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1e3756971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578e119f4f472c"/>
    <x:sheet xmlns:r="http://schemas.openxmlformats.org/officeDocument/2006/relationships" name="Review Dashboard" sheetId="2" r:id="R3dae4234f64145f0"/>
    <x:sheet xmlns:r="http://schemas.openxmlformats.org/officeDocument/2006/relationships" name="Service Identity Review" sheetId="3" r:id="Re4546df388e94193"/>
    <x:sheet xmlns:r="http://schemas.openxmlformats.org/officeDocument/2006/relationships" name="Manufacturer Scope Review" sheetId="4" r:id="Red090abdb09a4121"/>
    <x:sheet xmlns:r="http://schemas.openxmlformats.org/officeDocument/2006/relationships" name="Device Applicability Review" sheetId="5" r:id="Rc0abf2523b054a5d"/>
    <x:sheet xmlns:r="http://schemas.openxmlformats.org/officeDocument/2006/relationships" name="Part Requirement Review" sheetId="6" r:id="R43f943fa0cd34678"/>
    <x:sheet xmlns:r="http://schemas.openxmlformats.org/officeDocument/2006/relationships" name="Labor Reference Review" sheetId="7" r:id="R650fe26cb7944bc0"/>
    <x:sheet xmlns:r="http://schemas.openxmlformats.org/officeDocument/2006/relationships" name="Duplicate Group Review" sheetId="8" r:id="R93b555d929c04d2f"/>
    <x:sheet xmlns:r="http://schemas.openxmlformats.org/officeDocument/2006/relationships" name="Unsupported Relationship Review" sheetId="9" r:id="Rc08d7b054e924b0c"/>
    <x:sheet xmlns:r="http://schemas.openxmlformats.org/officeDocument/2006/relationships" name="Decision Register" sheetId="10" r:id="R21c7680057004ed4"/>
    <x:sheet xmlns:r="http://schemas.openxmlformats.org/officeDocument/2006/relationships" name="Escalation Queue" sheetId="11" r:id="R36340b2efc014a0d"/>
    <x:sheet xmlns:r="http://schemas.openxmlformats.org/officeDocument/2006/relationships" name="Source Evidence" sheetId="12" r:id="R337f2cf46ca04a1a"/>
    <x:sheet xmlns:r="http://schemas.openxmlformats.org/officeDocument/2006/relationships" name="Validation Summary" sheetId="13" r:id="R2cbc3c77cae6410a"/>
    <x:sheet xmlns:r="http://schemas.openxmlformats.org/officeDocument/2006/relationships" name="Revision History" sheetId="14" r:id="R6292e8df20f64314"/>
    <x:sheet xmlns:r="http://schemas.openxmlformats.org/officeDocument/2006/relationships" name="Import Metadata" sheetId="15" r:id="Rb770157305d6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466A8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750e469fc411d" /><Relationship Type="http://schemas.openxmlformats.org/officeDocument/2006/relationships/theme" Target="/xl/theme/theme1.xml" Id="Rf982ad10c307403d" /><Relationship Type="http://schemas.openxmlformats.org/officeDocument/2006/relationships/sharedStrings" Target="/xl/sharedStrings.xml" Id="Rcdee6aeab83744cd" /><Relationship Type="http://schemas.openxmlformats.org/officeDocument/2006/relationships/worksheet" Target="/xl/worksheets/sheet1.xml" Id="R6c578e119f4f472c" /><Relationship Type="http://schemas.openxmlformats.org/officeDocument/2006/relationships/worksheet" Target="/xl/worksheets/sheet2.xml" Id="R3dae4234f64145f0" /><Relationship Type="http://schemas.openxmlformats.org/officeDocument/2006/relationships/worksheet" Target="/xl/worksheets/sheet3.xml" Id="Re4546df388e94193" /><Relationship Type="http://schemas.openxmlformats.org/officeDocument/2006/relationships/worksheet" Target="/xl/worksheets/sheet4.xml" Id="Red090abdb09a4121" /><Relationship Type="http://schemas.openxmlformats.org/officeDocument/2006/relationships/worksheet" Target="/xl/worksheets/sheet5.xml" Id="Rc0abf2523b054a5d" /><Relationship Type="http://schemas.openxmlformats.org/officeDocument/2006/relationships/worksheet" Target="/xl/worksheets/sheet6.xml" Id="R43f943fa0cd34678" /><Relationship Type="http://schemas.openxmlformats.org/officeDocument/2006/relationships/worksheet" Target="/xl/worksheets/sheet7.xml" Id="R650fe26cb7944bc0" /><Relationship Type="http://schemas.openxmlformats.org/officeDocument/2006/relationships/worksheet" Target="/xl/worksheets/sheet8.xml" Id="R93b555d929c04d2f" /><Relationship Type="http://schemas.openxmlformats.org/officeDocument/2006/relationships/worksheet" Target="/xl/worksheets/sheet9.xml" Id="Rc08d7b054e924b0c" /><Relationship Type="http://schemas.openxmlformats.org/officeDocument/2006/relationships/worksheet" Target="/xl/worksheets/sheet10.xml" Id="R21c7680057004ed4" /><Relationship Type="http://schemas.openxmlformats.org/officeDocument/2006/relationships/worksheet" Target="/xl/worksheets/sheet11.xml" Id="R36340b2efc014a0d" /><Relationship Type="http://schemas.openxmlformats.org/officeDocument/2006/relationships/worksheet" Target="/xl/worksheets/sheet12.xml" Id="R337f2cf46ca04a1a" /><Relationship Type="http://schemas.openxmlformats.org/officeDocument/2006/relationships/worksheet" Target="/xl/worksheets/sheet13.xml" Id="R2cbc3c77cae6410a" /><Relationship Type="http://schemas.openxmlformats.org/officeDocument/2006/relationships/worksheet" Target="/xl/worksheets/sheet14.xml" Id="R6292e8df20f64314" /><Relationship Type="http://schemas.openxmlformats.org/officeDocument/2006/relationships/worksheet" Target="/xl/worksheets/sheet15.xml" Id="Rb770157305d64b9d" /></Relationships>
</file>

<file path=xl/tables/table1.xml><?xml version="1.0" encoding="utf-8"?>
<x:table xmlns:x="http://schemas.openxmlformats.org/spreadsheetml/2006/main" id="1" name="InstructionsTable" displayName="InstructionsTable" ref="A1:B9" headerRowCount="1" totalsRowCount="0" totalsRowShown="0">
  <x:tableColumns count="2">
    <x:tableColumn id="1" name="Section"/>
    <x:tableColumn id="2" name="Instr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IdentityReviewTable" displayName="ServiceIdentityReviewTable" ref="A1:AD315" headerRowCount="1" totalsRowCount="0" totalsRowShown="0">
  <x:tableColumns count="30">
    <x:tableColumn id="1" name="Review Item ID"/>
    <x:tableColumn id="2" name="Service ID"/>
    <x:tableColumn id="3" name="Source Service ID"/>
    <x:tableColumn id="4" name="Current Canonical Service Name"/>
    <x:tableColumn id="5" name="Observed Service Name"/>
    <x:tableColumn id="6" name="Normalized Service Name"/>
    <x:tableColumn id="7" name="Service Category"/>
    <x:tableColumn id="8" name="Service Type"/>
    <x:tableColumn id="9" name="Service Family"/>
    <x:tableColumn id="10" name="Service Variant"/>
    <x:tableColumn id="11" name="Source Workbook"/>
    <x:tableColumn id="12" name="Source Worksheet"/>
    <x:tableColumn id="13" name="Source Record"/>
    <x:tableColumn id="14" name="Conflict ID"/>
    <x:tableColumn id="15" name="Duplicate Group ID"/>
    <x:tableColumn id="16" name="Current Governance Status"/>
    <x:tableColumn id="17" name="Proposed Canonical Service Name"/>
    <x:tableColumn id="18" name="Proposed Service Category"/>
    <x:tableColumn id="19" name="Proposed Service Type"/>
    <x:tableColumn id="20" name="Proposed Service Family"/>
    <x:tableColumn id="21" name="Proposed Service Variant"/>
    <x:tableColumn id="22" name="Reviewer Decision"/>
    <x:tableColumn id="23" name="Decision Basis"/>
    <x:tableColumn id="24" name="Evidence Reference"/>
    <x:tableColumn id="25" name="Reviewer Name"/>
    <x:tableColumn id="26" name="Review Date"/>
    <x:tableColumn id="27" name="Second-Level Approval Status"/>
    <x:tableColumn id="28" name="Approver Name"/>
    <x:tableColumn id="29" name="Approval Date"/>
    <x:tableColumn id="3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facturerScopeReviewTable" displayName="ManufacturerScopeReviewTable" ref="A1:R315" headerRowCount="1" totalsRowCount="0" totalsRowShown="0">
  <x:tableColumns count="18">
    <x:tableColumn id="1" name="Manufacturer Review ID"/>
    <x:tableColumn id="2" name="Service ID"/>
    <x:tableColumn id="3" name="Canonical Service Name"/>
    <x:tableColumn id="4" name="Observed Manufacturer Value"/>
    <x:tableColumn id="5" name="Current Manufacturer ID"/>
    <x:tableColumn id="6" name="Current Manufacturer Name"/>
    <x:tableColumn id="7" name="Proposed Manufacturer Scope Type"/>
    <x:tableColumn id="8" name="Proposed Manufacturer ID"/>
    <x:tableColumn id="9" name="Proposed Manufacturer Name"/>
    <x:tableColumn id="10" name="Generic Across Manufacturers"/>
    <x:tableColumn id="11" name="Manufacturer-Specific"/>
    <x:tableColumn id="12" name="Evidence Type"/>
    <x:tableColumn id="13" name="Evidence Reference"/>
    <x:tableColumn id="14" name="Reviewer Decision"/>
    <x:tableColumn id="15" name="Reviewer Name"/>
    <x:tableColumn id="16" name="Review Date"/>
    <x:tableColumn id="17" name="Second-Level Approval Status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iceApplicabilityReviewTable" displayName="DeviceApplicabilityReviewTable" ref="A1:N315" headerRowCount="1" totalsRowCount="0" totalsRowShown="0">
  <x:tableColumns count="14">
    <x:tableColumn id="1" name="Device Review ID"/>
    <x:tableColumn id="2" name="Service ID"/>
    <x:tableColumn id="3" name="Canonical Service Name"/>
    <x:tableColumn id="4" name="Observed Device Value"/>
    <x:tableColumn id="5" name="Proposed Device ID"/>
    <x:tableColumn id="6" name="Proposed Device Name"/>
    <x:tableColumn id="7" name="Applicability Type"/>
    <x:tableColumn id="8" name="Evidence Type"/>
    <x:tableColumn id="9" name="Evidence Reference"/>
    <x:tableColumn id="10" name="Reviewer Decision"/>
    <x:tableColumn id="11" name="Reviewer Name"/>
    <x:tableColumn id="12" name="Review Date"/>
    <x:tableColumn id="13" name="Second-Level Approval Status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tRequirementReviewTable" displayName="PartRequirementReviewTable" ref="A1:O315" headerRowCount="1" totalsRowCount="0" totalsRowShown="0">
  <x:tableColumns count="15">
    <x:tableColumn id="1" name="Part Review ID"/>
    <x:tableColumn id="2" name="Service ID"/>
    <x:tableColumn id="3" name="Canonical Service Name"/>
    <x:tableColumn id="4" name="Observed Part Value"/>
    <x:tableColumn id="5" name="Proposed Part ID"/>
    <x:tableColumn id="6" name="Proposed Part Name"/>
    <x:tableColumn id="7" name="Requirement Type"/>
    <x:tableColumn id="8" name="Quantity"/>
    <x:tableColumn id="9" name="Evidence Type"/>
    <x:tableColumn id="10" name="Evidence Reference"/>
    <x:tableColumn id="11" name="Reviewer Decision"/>
    <x:tableColumn id="12" name="Reviewer Name"/>
    <x:tableColumn id="13" name="Review Date"/>
    <x:tableColumn id="14" name="Second-Level Approval Status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borReferenceReviewTable" displayName="LaborReferenceReviewTable" ref="A1:Q315" headerRowCount="1" totalsRowCount="0" totalsRowShown="0">
  <x:tableColumns count="17">
    <x:tableColumn id="1" name="Labor Review ID"/>
    <x:tableColumn id="2" name="Service ID"/>
    <x:tableColumn id="3" name="Canonical Service Name"/>
    <x:tableColumn id="4" name="Observed Labor ID"/>
    <x:tableColumn id="5" name="Observed Labor Name"/>
    <x:tableColumn id="6" name="Observed Duration"/>
    <x:tableColumn id="7" name="Observed Skill Level"/>
    <x:tableColumn id="8" name="Proposed Labor Reference"/>
    <x:tableColumn id="9" name="Proposed Duration"/>
    <x:tableColumn id="10" name="Proposed Skill Level"/>
    <x:tableColumn id="11" name="Evidence Type"/>
    <x:tableColumn id="12" name="Evidence Reference"/>
    <x:tableColumn id="13" name="Reviewer Decision"/>
    <x:tableColumn id="14" name="Reviewer Name"/>
    <x:tableColumn id="15" name="Review Date"/>
    <x:tableColumn id="16" name="Second-Level Approval Status"/>
    <x:tableColumn id="1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uplicateGroupReviewTable" displayName="DuplicateGroupReviewTable" ref="A1:T16" headerRowCount="1" totalsRowCount="0" totalsRowShown="0">
  <x:tableColumns count="20">
    <x:tableColumn id="1" name="Duplicate Review ID"/>
    <x:tableColumn id="2" name="Duplicate Group ID"/>
    <x:tableColumn id="3" name="Service IDs"/>
    <x:tableColumn id="4" name="Service Names"/>
    <x:tableColumn id="5" name="Source Service IDs"/>
    <x:tableColumn id="6" name="Normalized Names"/>
    <x:tableColumn id="7" name="Manufacturer Evidence"/>
    <x:tableColumn id="8" name="Device Evidence"/>
    <x:tableColumn id="9" name="Part Evidence"/>
    <x:tableColumn id="10" name="Labor Evidence"/>
    <x:tableColumn id="11" name="Duplicate Reason"/>
    <x:tableColumn id="12" name="Proposed Disposition"/>
    <x:tableColumn id="13" name="Surviving Service ID"/>
    <x:tableColumn id="14" name="Retired Service IDs"/>
    <x:tableColumn id="15" name="Reviewer Decision"/>
    <x:tableColumn id="16" name="Decision Basis"/>
    <x:tableColumn id="17" name="Reviewer Name"/>
    <x:tableColumn id="18" name="Review Date"/>
    <x:tableColumn id="19" name="Second-Level Approval Status"/>
    <x:tableColumn id="2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nsupportedRelationshipReviewTable" displayName="UnsupportedRelationshipReviewTable" ref="A1:O315" headerRowCount="1" totalsRowCount="0" totalsRowShown="0">
  <x:tableColumns count="15">
    <x:tableColumn id="1" name="Unsupported Relationship ID"/>
    <x:tableColumn id="2" name="Service ID"/>
    <x:tableColumn id="3" name="Canonical Service Name"/>
    <x:tableColumn id="4" name="Relationship Type"/>
    <x:tableColumn id="5" name="Observed Value"/>
    <x:tableColumn id="6" name="Reason Unsupported"/>
    <x:tableColumn id="7" name="Source Workbook"/>
    <x:tableColumn id="8" name="Source Worksheet"/>
    <x:tableColumn id="9" name="Source Record"/>
    <x:tableColumn id="10" name="Additional Evidence Required"/>
    <x:tableColumn id="11" name="Reviewer Disposition"/>
    <x:tableColumn id="12" name="Escalation Required"/>
    <x:tableColumn id="13" name="Reviewer Name"/>
    <x:tableColumn id="14" name="Review Date"/>
    <x:tableColumn id="1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cisionRegisterTable" displayName="DecisionRegisterTable" ref="A1:O315" headerRowCount="1" totalsRowCount="0" totalsRowShown="0">
  <x:tableColumns count="15">
    <x:tableColumn id="1" name="Decision ID"/>
    <x:tableColumn id="2" name="Review Sheet"/>
    <x:tableColumn id="3" name="Review Item ID"/>
    <x:tableColumn id="4" name="Entity Type"/>
    <x:tableColumn id="5" name="Entity ID"/>
    <x:tableColumn id="6" name="Decision Type"/>
    <x:tableColumn id="7" name="Proposed Value"/>
    <x:tableColumn id="8" name="Evidence Reference"/>
    <x:tableColumn id="9" name="Reviewer"/>
    <x:tableColumn id="10" name="Review Date"/>
    <x:tableColumn id="11" name="Approval Status"/>
    <x:tableColumn id="12" name="Approver"/>
    <x:tableColumn id="13" name="Approval Date"/>
    <x:tableColumn id="14" name="Import Eligibility"/>
    <x:tableColumn id="1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scalationQueueTable" displayName="EscalationQueueTable" ref="A1:L330" headerRowCount="1" totalsRowCount="0" totalsRowShown="0">
  <x:tableColumns count="12">
    <x:tableColumn id="1" name="Escalation ID"/>
    <x:tableColumn id="2" name="Source Review Sheet"/>
    <x:tableColumn id="3" name="Review Item ID"/>
    <x:tableColumn id="4" name="Service ID"/>
    <x:tableColumn id="5" name="Escalation Type"/>
    <x:tableColumn id="6" name="Issue Summary"/>
    <x:tableColumn id="7" name="Evidence Needed"/>
    <x:tableColumn id="8" name="Assigned Reviewer"/>
    <x:tableColumn id="9" name="Assigned Approver"/>
    <x:tableColumn id="10" name="Due Date"/>
    <x:tableColumn id="11" name="Escalation Status"/>
    <x:tableColumn id="12" name="Resolution 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EvidenceTable" displayName="SourceEvidenceTable" ref="A1:L629" headerRowCount="1" totalsRowCount="0" totalsRowShown="0">
  <x:tableColumns count="12">
    <x:tableColumn id="1" name="Evidence ID"/>
    <x:tableColumn id="2" name="Review Item ID"/>
    <x:tableColumn id="3" name="Service ID"/>
    <x:tableColumn id="4" name="Evidence Type"/>
    <x:tableColumn id="5" name="Source Workbook"/>
    <x:tableColumn id="6" name="Source Worksheet"/>
    <x:tableColumn id="7" name="Source Record"/>
    <x:tableColumn id="8" name="Original Value"/>
    <x:tableColumn id="9" name="Normalized Value"/>
    <x:tableColumn id="10" name="Related Governed ID"/>
    <x:tableColumn id="11" name="Evidence Strength"/>
    <x:tableColumn id="12" name="Evidence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alidationSummaryTable" displayName="ValidationSummaryTable" ref="A1:C14" headerRowCount="1" totalsRowCount="0" totalsRowShown="0">
  <x:tableColumns count="3">
    <x:tableColumn id="1" name="Validation Gate"/>
    <x:tableColumn id="2" name="Result"/>
    <x:tableColumn id="3" name="Detail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visionHistoryTable" displayName="RevisionHistoryTable" ref="A1:D2" headerRowCount="1" totalsRowCount="0" totalsRowShown="0">
  <x:tableColumns count="4">
    <x:tableColumn id="1" name="Version"/>
    <x:tableColumn id="2" name="Date UTC"/>
    <x:tableColumn id="3" name="Author"/>
    <x:tableColumn id="4" name="Chang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mportMetadataTable" displayName="ImportMetadataTable" ref="A1:C17" headerRowCount="1" totalsRowCount="0" totalsRowShown="0">
  <x:tableColumns count="3">
    <x:tableColumn id="1" name="Field"/>
    <x:tableColumn id="2" name="Value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53f5d62f3d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86c408044e48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da91a6e32748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20fe9f01bb48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f888096ffe41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e637a3669b45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0c93767dc84c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2342a670d34c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7688d26e5c24a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ad79aec46db4f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7659292cbb43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f409de0180a4b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27465d95400494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03c7f7cd16c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2.5" hidden="0" customWidth="1"/>
  </x:cols>
  <x:sheetData>
    <x:row r="1">
      <x:c r="A1" s="5" t="str">
        <x:v>Section</x:v>
      </x:c>
      <x:c r="B1" s="5" t="str">
        <x:v>Instruction</x:v>
      </x:c>
    </x:row>
    <x:row r="2">
      <x:c r="A2" s="6" t="str">
        <x:v>Status</x:v>
      </x:c>
      <x:c r="B2" s="6" t="str">
        <x:v>Draft; Manual Review Required; Pending Verification; Production Import Prohibited; Pricing Activation Prohibited.</x:v>
      </x:c>
    </x:row>
    <x:row r="3">
      <x:c r="A3" s="6" t="str">
        <x:v>Authority</x:v>
      </x:c>
      <x:c r="B3" s="6" t="str">
        <x:v>Existing governed registries remain authoritative. No decision in this workbook is automatically approved.</x:v>
      </x:c>
    </x:row>
    <x:row r="4">
      <x:c r="A4" s="6" t="str">
        <x:v>Reviewer Decisions</x:v>
      </x:c>
      <x:c r="B4" s="6" t="str">
        <x:v>Select proposed mappings only when evidence supports them, record evidence references, reviewer identity, and review date.</x:v>
      </x:c>
    </x:row>
    <x:row r="5">
      <x:c r="A5" s="6" t="str">
        <x:v>Unresolved Records</x:v>
      </x:c>
      <x:c r="B5" s="6" t="str">
        <x:v>Mark records Unresolved when evidence is insufficient. Unsupported relationships must not be promoted.</x:v>
      </x:c>
    </x:row>
    <x:row r="6">
      <x:c r="A6" s="6" t="str">
        <x:v>Escalations</x:v>
      </x:c>
      <x:c r="B6" s="6" t="str">
        <x:v>Escalate ambiguous records, conflicting evidence, unclear manufacturer scope, family-level device scope, inferred part relationships, insufficient labor evidence, or unresolved duplicate dispositions.</x:v>
      </x:c>
    </x:row>
    <x:row r="7">
      <x:c r="A7" s="6" t="str">
        <x:v>Duplicates</x:v>
      </x:c>
      <x:c r="B7" s="6" t="str">
        <x:v>Document duplicate disposition proposals only. Do not merge records, retire IDs, or approve identity changes here.</x:v>
      </x:c>
    </x:row>
    <x:row r="8">
      <x:c r="A8" s="6" t="str">
        <x:v>Approval Boundary</x:v>
      </x:c>
      <x:c r="B8" s="6" t="str">
        <x:v>Reviewer proposals require separate approval and later controlled import authorization.</x:v>
      </x:c>
    </x:row>
    <x:row r="9">
      <x:c r="A9" s="6" t="str">
        <x:v>Legend</x:v>
      </x:c>
      <x:c r="B9" s="6" t="str">
        <x:v>Source-controlled fields preserve observed evidence. Reviewer-input fields collect proposals only and default to Unresolved, Pending, blank, or Not Eligible.</x:v>
      </x:c>
    </x:row>
  </x:sheetData>
  <x:pageMargins left="0.7" right="0.7" top="0.75" bottom="0.75" header="0.3" footer="0.3"/>
  <x:tableParts count="1">
    <x:tablePart xmlns:r="http://schemas.openxmlformats.org/officeDocument/2006/relationships" r:id="Rb453f5d62f3d45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75" hidden="0" customWidth="1"/>
    <x:col min="2" max="2" width="3.380000114440918" hidden="0" customWidth="1"/>
    <x:col min="3" max="3" width="10.5" hidden="0" customWidth="1"/>
  </x:cols>
  <x:sheetData>
    <x:row r="1">
      <x:c r="A1" s="8" t="str">
        <x:v>Service Governance Review Dashboard</x:v>
      </x:c>
      <x:c r="B1" s="8"/>
      <x:c r="C1" s="8"/>
      <x:c r="D1" s="8"/>
    </x:row>
    <x:row r="3">
      <x:c r="A3" s="11" t="str">
        <x:v>Metric</x:v>
      </x:c>
      <x:c r="B3" s="11" t="str">
        <x:v>Formula Result</x:v>
      </x:c>
      <x:c r="C3" s="11" t="str">
        <x:v>Control Note</x:v>
      </x:c>
    </x:row>
    <x:row r="4">
      <x:c r="A4" s="9" t="str">
        <x:v>Total services requiring review</x:v>
      </x:c>
      <x:c r="B4" s="9" t="n">
        <x:f>COUNTA('Service Identity Review'!B2:B315)</x:f>
        <x:v>314</x:v>
      </x:c>
      <x:c r="C4" s="9" t="str">
        <x:v>Required 314</x:v>
      </x:c>
    </x:row>
    <x:row r="5">
      <x:c r="A5" s="9" t="str">
        <x:v>Identity reviews completed</x:v>
      </x:c>
      <x:c r="B5" s="9" t="n">
        <x:f>COUNTIF('Service Identity Review'!V2:V315,"&lt;&gt;Unresolved")</x:f>
        <x:v>0</x:v>
      </x:c>
      <x:c r="C5" s="9" t="str"/>
    </x:row>
    <x:row r="6">
      <x:c r="A6" s="9" t="str">
        <x:v>Manufacturer reviews completed</x:v>
      </x:c>
      <x:c r="B6" s="9" t="n">
        <x:f>COUNTIF('Manufacturer Scope Review'!N2:N315,"&lt;&gt;Unresolved")</x:f>
        <x:v>0</x:v>
      </x:c>
      <x:c r="C6" s="9" t="str"/>
    </x:row>
    <x:row r="7">
      <x:c r="A7" s="9" t="str">
        <x:v>Device reviews completed</x:v>
      </x:c>
      <x:c r="B7" s="9" t="n">
        <x:f>COUNTIF('Device Applicability Review'!J2:J315,"&lt;&gt;Unresolved")</x:f>
        <x:v>0</x:v>
      </x:c>
      <x:c r="C7" s="9" t="str"/>
    </x:row>
    <x:row r="8">
      <x:c r="A8" s="9" t="str">
        <x:v>Part reviews completed</x:v>
      </x:c>
      <x:c r="B8" s="9" t="n">
        <x:f>COUNTIF('Part Requirement Review'!J2:J315,"&lt;&gt;Unresolved")</x:f>
        <x:v>314</x:v>
      </x:c>
      <x:c r="C8" s="9" t="str"/>
    </x:row>
    <x:row r="9">
      <x:c r="A9" s="9" t="str">
        <x:v>Labor reviews completed</x:v>
      </x:c>
      <x:c r="B9" s="9" t="n">
        <x:f>COUNTIF('Labor Reference Review'!M2:M315,"&lt;&gt;Unresolved")</x:f>
        <x:v>0</x:v>
      </x:c>
      <x:c r="C9" s="9" t="str"/>
    </x:row>
    <x:row r="10">
      <x:c r="A10" s="9" t="str">
        <x:v>Duplicate groups reviewed</x:v>
      </x:c>
      <x:c r="B10" s="9" t="n">
        <x:f>COUNTIF('Duplicate Group Review'!O2:O16,"&lt;&gt;Unresolved")</x:f>
        <x:v>0</x:v>
      </x:c>
      <x:c r="C10" s="9" t="str"/>
    </x:row>
    <x:row r="11">
      <x:c r="A11" s="9" t="str">
        <x:v>Unresolved records</x:v>
      </x:c>
      <x:c r="B11" s="9" t="n">
        <x:f>COUNTIF('Service Identity Review'!V2:V315,"Unresolved")+COUNTIF('Manufacturer Scope Review'!N2:N315,"Unresolved")+COUNTIF('Device Applicability Review'!J2:J315,"Unresolved")+COUNTIF('Part Requirement Review'!J2:J315,"Unresolved")+COUNTIF('Labor Reference Review'!M2:M315,"Unresolved")+COUNTIF('Duplicate Group Review'!O2:O16,"Unresolved")+COUNTIF('Unsupported Relationship Review'!L2:L315,"Unresolved")</x:f>
        <x:v>1271</x:v>
      </x:c>
      <x:c r="C11" s="9" t="str"/>
    </x:row>
    <x:row r="12">
      <x:c r="A12" s="9" t="str">
        <x:v>Escalated records</x:v>
      </x:c>
      <x:c r="B12" s="9" t="n">
        <x:f>COUNTIF('Escalation Queue'!K2:K330,"Open")</x:f>
        <x:v>329</x:v>
      </x:c>
      <x:c r="C12" s="9" t="str"/>
    </x:row>
    <x:row r="13">
      <x:c r="A13" s="9" t="str">
        <x:v>Proposed mappings</x:v>
      </x:c>
      <x:c r="B13" s="9" t="n">
        <x:f>COUNTIF('Decision Register'!F2:F315,"&lt;&gt;Unresolved")</x:f>
        <x:v>0</x:v>
      </x:c>
      <x:c r="C13" s="9" t="str"/>
    </x:row>
    <x:row r="14">
      <x:c r="A14" s="9" t="str">
        <x:v>Rejected mappings</x:v>
      </x:c>
      <x:c r="B14" s="9" t="n">
        <x:f>COUNTIF('Decision Register'!F2:F315,"Rejected")</x:f>
        <x:v>0</x:v>
      </x:c>
      <x:c r="C14" s="9" t="str"/>
    </x:row>
    <x:row r="15">
      <x:c r="A15" s="9" t="str">
        <x:v>Records awaiting second-level approval</x:v>
      </x:c>
      <x:c r="B15" s="9" t="n">
        <x:f>COUNTIF('Service Identity Review'!AB2:AB315,"Pending")+COUNTIF('Manufacturer Scope Review'!Q2:Q315,"Pending")+COUNTIF('Device Applicability Review'!M2:M315,"Pending")+COUNTIF('Part Requirement Review'!M2:M315,"Pending")+COUNTIF('Labor Reference Review'!P2:P315,"Pending")</x:f>
        <x:v>942</x:v>
      </x:c>
      <x:c r="C15" s="9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0.75" hidden="0" customWidth="1"/>
    <x:col min="3" max="3" width="16.5" hidden="0" customWidth="1"/>
    <x:col min="4" max="4" width="38.130001068115234" hidden="0" customWidth="1"/>
    <x:col min="5" max="5" width="38.130001068115234" hidden="0" customWidth="1"/>
    <x:col min="6" max="6" width="36.75" hidden="0" customWidth="1"/>
    <x:col min="7" max="7" width="16" hidden="0" customWidth="1"/>
    <x:col min="8" max="8" width="17.6299991607666" hidden="0" customWidth="1"/>
    <x:col min="9" max="9" width="14.130000114440918" hidden="0" customWidth="1"/>
    <x:col min="10" max="10" width="38.130001068115234" hidden="0" customWidth="1"/>
    <x:col min="11" max="11" width="32.25" hidden="0" customWidth="1"/>
    <x:col min="12" max="12" width="17" hidden="0" customWidth="1"/>
    <x:col min="13" max="13" width="14.25" hidden="0" customWidth="1"/>
    <x:col min="14" max="14" width="11.130000114440918" hidden="0" customWidth="1"/>
    <x:col min="15" max="15" width="17.5" hidden="0" customWidth="1"/>
    <x:col min="16" max="16" width="23.6299991607666" hidden="0" customWidth="1"/>
    <x:col min="17" max="17" width="29.25" hidden="0" customWidth="1"/>
    <x:col min="18" max="18" width="23.5" hidden="0" customWidth="1"/>
    <x:col min="19" max="19" width="20.1299991607666" hidden="0" customWidth="1"/>
    <x:col min="20" max="20" width="21.6299991607666" hidden="0" customWidth="1"/>
    <x:col min="21" max="21" width="22" hidden="0" customWidth="1"/>
    <x:col min="22" max="22" width="17" hidden="0" customWidth="1"/>
    <x:col min="23" max="23" width="14.25" hidden="0" customWidth="1"/>
    <x:col min="24" max="24" width="18.1299991607666" hidden="0" customWidth="1"/>
    <x:col min="25" max="25" width="14.880000114440918" hidden="0" customWidth="1"/>
    <x:col min="26" max="26" width="12.380000114440918" hidden="0" customWidth="1"/>
    <x:col min="27" max="27" width="25.75" hidden="0" customWidth="1"/>
    <x:col min="28" max="28" width="14.880000114440918" hidden="0" customWidth="1"/>
    <x:col min="29" max="29" width="13.75" hidden="0" customWidth="1"/>
    <x:col min="30" max="30" width="7.630000114440918" hidden="0" customWidth="1"/>
  </x:cols>
  <x:sheetData>
    <x:row r="1">
      <x:c r="A1" s="5" t="str">
        <x:v>Review Item ID</x:v>
      </x:c>
      <x:c r="B1" s="5" t="str">
        <x:v>Service ID</x:v>
      </x:c>
      <x:c r="C1" s="5" t="str">
        <x:v>Source Service ID</x:v>
      </x:c>
      <x:c r="D1" s="5" t="str">
        <x:v>Current Canonical Service Name</x:v>
      </x:c>
      <x:c r="E1" s="5" t="str">
        <x:v>Observed Service Name</x:v>
      </x:c>
      <x:c r="F1" s="5" t="str">
        <x:v>Normalized Service Name</x:v>
      </x:c>
      <x:c r="G1" s="5" t="str">
        <x:v>Service Category</x:v>
      </x:c>
      <x:c r="H1" s="5" t="str">
        <x:v>Service Type</x:v>
      </x:c>
      <x:c r="I1" s="5" t="str">
        <x:v>Service Family</x:v>
      </x:c>
      <x:c r="J1" s="5" t="str">
        <x:v>Service Variant</x:v>
      </x:c>
      <x:c r="K1" s="5" t="str">
        <x:v>Source Workbook</x:v>
      </x:c>
      <x:c r="L1" s="5" t="str">
        <x:v>Source Worksheet</x:v>
      </x:c>
      <x:c r="M1" s="5" t="str">
        <x:v>Source Record</x:v>
      </x:c>
      <x:c r="N1" s="5" t="str">
        <x:v>Conflict ID</x:v>
      </x:c>
      <x:c r="O1" s="5" t="str">
        <x:v>Duplicate Group ID</x:v>
      </x:c>
      <x:c r="P1" s="5" t="str">
        <x:v>Current Governance Status</x:v>
      </x:c>
      <x:c r="Q1" s="5" t="str">
        <x:v>Proposed Canonical Service Name</x:v>
      </x:c>
      <x:c r="R1" s="5" t="str">
        <x:v>Proposed Service Category</x:v>
      </x:c>
      <x:c r="S1" s="5" t="str">
        <x:v>Proposed Service Type</x:v>
      </x:c>
      <x:c r="T1" s="5" t="str">
        <x:v>Proposed Service Family</x:v>
      </x:c>
      <x:c r="U1" s="5" t="str">
        <x:v>Proposed Service Variant</x:v>
      </x:c>
      <x:c r="V1" s="5" t="str">
        <x:v>Reviewer Decision</x:v>
      </x:c>
      <x:c r="W1" s="5" t="str">
        <x:v>Decision Basis</x:v>
      </x:c>
      <x:c r="X1" s="5" t="str">
        <x:v>Evidence Reference</x:v>
      </x:c>
      <x:c r="Y1" s="5" t="str">
        <x:v>Reviewer Name</x:v>
      </x:c>
      <x:c r="Z1" s="5" t="str">
        <x:v>Review Date</x:v>
      </x:c>
      <x:c r="AA1" s="5" t="str">
        <x:v>Second-Level Approval Status</x:v>
      </x:c>
      <x:c r="AB1" s="5" t="str">
        <x:v>Approver Name</x:v>
      </x:c>
      <x:c r="AC1" s="5" t="str">
        <x:v>Approval Date</x:v>
      </x:c>
      <x:c r="AD1" s="5" t="str">
        <x:v>Notes</x:v>
      </x:c>
    </x:row>
    <x:row r="2">
      <x:c r="A2" s="6" t="str">
        <x:v>SIR-000001</x:v>
      </x:c>
      <x:c r="B2" s="6" t="str">
        <x:v>SVC000001</x:v>
      </x:c>
      <x:c r="C2" s="6" t="str">
        <x:v>SVC000076</x:v>
      </x:c>
      <x:c r="D2" s="6" t="str">
        <x:v>Galaxy Note 9 Screen replacement</x:v>
      </x:c>
      <x:c r="E2" s="6" t="str">
        <x:v>Galaxy Note 9 Screen replacement</x:v>
      </x:c>
      <x:c r="F2" s="6" t="str">
        <x:v>galaxy note 9 screen replacement</x:v>
      </x:c>
      <x:c r="G2" s="6" t="str">
        <x:v>Repair</x:v>
      </x:c>
      <x:c r="H2" s="6" t="str">
        <x:v>Samsung Screen Repair</x:v>
      </x:c>
      <x:c r="I2" s="6" t="str">
        <x:v>Phone</x:v>
      </x:c>
      <x:c r="J2" s="6" t="str">
        <x:v>Galaxy Note 9 Screen replacement</x:v>
      </x:c>
      <x:c r="K2" s="6" t="str">
        <x:v>Nocturnix_Master_Services_Catalog_v1.xlsx</x:v>
      </x:c>
      <x:c r="L2" s="6" t="str">
        <x:v>01 - Master Services</x:v>
      </x:c>
      <x:c r="M2" s="6" t="n">
        <x:v>41</x:v>
      </x:c>
      <x:c r="N2" s="6" t="str">
        <x:v>CNF000001</x:v>
      </x:c>
      <x:c r="O2" s="6" t="str"/>
      <x:c r="P2" s="6" t="str">
        <x:v>Pending Verification</x:v>
      </x:c>
      <x:c r="Q2" s="6" t="str"/>
      <x:c r="R2" s="6" t="str"/>
      <x:c r="S2" s="6" t="str"/>
      <x:c r="T2" s="6" t="str"/>
      <x:c r="U2" s="6" t="str"/>
      <x:c r="V2" s="6" t="str">
        <x:v>Unresolved</x:v>
      </x:c>
      <x:c r="W2" s="12" t="str"/>
      <x:c r="X2" s="12" t="str"/>
      <x:c r="Y2" s="6" t="str"/>
      <x:c r="Z2" s="6" t="str"/>
      <x:c r="AA2" s="6" t="str">
        <x:v>Pending</x:v>
      </x:c>
      <x:c r="AB2" s="6" t="str"/>
      <x:c r="AC2" s="6" t="str"/>
      <x:c r="AD2" s="12" t="str"/>
    </x:row>
    <x:row r="3">
      <x:c r="A3" s="6" t="str">
        <x:v>SIR-000002</x:v>
      </x:c>
      <x:c r="B3" s="6" t="str">
        <x:v>SVC000002</x:v>
      </x:c>
      <x:c r="C3" s="6" t="str">
        <x:v>SVC000077</x:v>
      </x:c>
      <x:c r="D3" s="6" t="str">
        <x:v>Galaxy S 8 Active Screen replacement</x:v>
      </x:c>
      <x:c r="E3" s="6" t="str">
        <x:v>Galaxy S 8 Active Screen replacement</x:v>
      </x:c>
      <x:c r="F3" s="6" t="str">
        <x:v>galaxy s 8 active screen replacement</x:v>
      </x:c>
      <x:c r="G3" s="6" t="str">
        <x:v>Repair</x:v>
      </x:c>
      <x:c r="H3" s="6" t="str">
        <x:v>Samsung Screen Repair</x:v>
      </x:c>
      <x:c r="I3" s="6" t="str">
        <x:v>Phone</x:v>
      </x:c>
      <x:c r="J3" s="6" t="str">
        <x:v>Galaxy S 8 Active Screen replacement</x:v>
      </x:c>
      <x:c r="K3" s="6" t="str">
        <x:v>Nocturnix_Master_Services_Catalog_v1.xlsx</x:v>
      </x:c>
      <x:c r="L3" s="6" t="str">
        <x:v>01 - Master Services</x:v>
      </x:c>
      <x:c r="M3" s="6" t="n">
        <x:v>42</x:v>
      </x:c>
      <x:c r="N3" s="6" t="str">
        <x:v>CNF000002</x:v>
      </x:c>
      <x:c r="O3" s="6" t="str"/>
      <x:c r="P3" s="6" t="str">
        <x:v>Pending Verification</x:v>
      </x:c>
      <x:c r="Q3" s="6" t="str"/>
      <x:c r="R3" s="6" t="str"/>
      <x:c r="S3" s="6" t="str"/>
      <x:c r="T3" s="6" t="str"/>
      <x:c r="U3" s="6" t="str"/>
      <x:c r="V3" s="6" t="str">
        <x:v>Unresolved</x:v>
      </x:c>
      <x:c r="W3" s="12" t="str"/>
      <x:c r="X3" s="12" t="str"/>
      <x:c r="Y3" s="6" t="str"/>
      <x:c r="Z3" s="6" t="str"/>
      <x:c r="AA3" s="6" t="str">
        <x:v>Pending</x:v>
      </x:c>
      <x:c r="AB3" s="6" t="str"/>
      <x:c r="AC3" s="6" t="str"/>
      <x:c r="AD3" s="12" t="str"/>
    </x:row>
    <x:row r="4">
      <x:c r="A4" s="6" t="str">
        <x:v>SIR-000003</x:v>
      </x:c>
      <x:c r="B4" s="6" t="str">
        <x:v>SVC000003</x:v>
      </x:c>
      <x:c r="C4" s="6" t="str">
        <x:v>SVC000078</x:v>
      </x:c>
      <x:c r="D4" s="6" t="str">
        <x:v>Galaxy S 24 Screen replacement</x:v>
      </x:c>
      <x:c r="E4" s="6" t="str">
        <x:v>Galaxy S 24 Screen replacement</x:v>
      </x:c>
      <x:c r="F4" s="6" t="str">
        <x:v>galaxy s 24 screen replacement</x:v>
      </x:c>
      <x:c r="G4" s="6" t="str">
        <x:v>Repair</x:v>
      </x:c>
      <x:c r="H4" s="6" t="str">
        <x:v>Samsung Screen Repair</x:v>
      </x:c>
      <x:c r="I4" s="6" t="str">
        <x:v>Phone</x:v>
      </x:c>
      <x:c r="J4" s="6" t="str">
        <x:v>Galaxy S 24 Screen replacement</x:v>
      </x:c>
      <x:c r="K4" s="6" t="str">
        <x:v>Nocturnix_Master_Services_Catalog_v1.xlsx</x:v>
      </x:c>
      <x:c r="L4" s="6" t="str">
        <x:v>01 - Master Services</x:v>
      </x:c>
      <x:c r="M4" s="6" t="n">
        <x:v>43</x:v>
      </x:c>
      <x:c r="N4" s="6" t="str">
        <x:v>CNF000003</x:v>
      </x:c>
      <x:c r="O4" s="6" t="str"/>
      <x:c r="P4" s="6" t="str">
        <x:v>Pending Verification</x:v>
      </x:c>
      <x:c r="Q4" s="6" t="str"/>
      <x:c r="R4" s="6" t="str"/>
      <x:c r="S4" s="6" t="str"/>
      <x:c r="T4" s="6" t="str"/>
      <x:c r="U4" s="6" t="str"/>
      <x:c r="V4" s="6" t="str">
        <x:v>Unresolved</x:v>
      </x:c>
      <x:c r="W4" s="12" t="str"/>
      <x:c r="X4" s="12" t="str"/>
      <x:c r="Y4" s="6" t="str"/>
      <x:c r="Z4" s="6" t="str"/>
      <x:c r="AA4" s="6" t="str">
        <x:v>Pending</x:v>
      </x:c>
      <x:c r="AB4" s="6" t="str"/>
      <x:c r="AC4" s="6" t="str"/>
      <x:c r="AD4" s="12" t="str"/>
    </x:row>
    <x:row r="5">
      <x:c r="A5" s="6" t="str">
        <x:v>SIR-000004</x:v>
      </x:c>
      <x:c r="B5" s="6" t="str">
        <x:v>SVC000004</x:v>
      </x:c>
      <x:c r="C5" s="6" t="str">
        <x:v>SVC000079</x:v>
      </x:c>
      <x:c r="D5" s="6" t="str">
        <x:v>Galaxy Note 10 Plus Screen replacement</x:v>
      </x:c>
      <x:c r="E5" s="6" t="str">
        <x:v>Galaxy Note 10 Plus Screen replacement</x:v>
      </x:c>
      <x:c r="F5" s="6" t="str">
        <x:v>galaxy note 10 plus screen replacement</x:v>
      </x:c>
      <x:c r="G5" s="6" t="str">
        <x:v>Repair</x:v>
      </x:c>
      <x:c r="H5" s="6" t="str">
        <x:v>Samsung Screen Repair</x:v>
      </x:c>
      <x:c r="I5" s="6" t="str">
        <x:v>Phone</x:v>
      </x:c>
      <x:c r="J5" s="6" t="str">
        <x:v>Galaxy Note 10 Plus Screen replacement</x:v>
      </x:c>
      <x:c r="K5" s="6" t="str">
        <x:v>Nocturnix_Master_Services_Catalog_v1.xlsx</x:v>
      </x:c>
      <x:c r="L5" s="6" t="str">
        <x:v>01 - Master Services</x:v>
      </x:c>
      <x:c r="M5" s="6" t="n">
        <x:v>44</x:v>
      </x:c>
      <x:c r="N5" s="6" t="str">
        <x:v>CNF000004</x:v>
      </x:c>
      <x:c r="O5" s="6" t="str"/>
      <x:c r="P5" s="6" t="str">
        <x:v>Pending Verification</x:v>
      </x:c>
      <x:c r="Q5" s="6" t="str"/>
      <x:c r="R5" s="6" t="str"/>
      <x:c r="S5" s="6" t="str"/>
      <x:c r="T5" s="6" t="str"/>
      <x:c r="U5" s="6" t="str"/>
      <x:c r="V5" s="6" t="str">
        <x:v>Unresolved</x:v>
      </x:c>
      <x:c r="W5" s="12" t="str"/>
      <x:c r="X5" s="12" t="str"/>
      <x:c r="Y5" s="6" t="str"/>
      <x:c r="Z5" s="6" t="str"/>
      <x:c r="AA5" s="6" t="str">
        <x:v>Pending</x:v>
      </x:c>
      <x:c r="AB5" s="6" t="str"/>
      <x:c r="AC5" s="6" t="str"/>
      <x:c r="AD5" s="12" t="str"/>
    </x:row>
    <x:row r="6">
      <x:c r="A6" s="6" t="str">
        <x:v>SIR-000005</x:v>
      </x:c>
      <x:c r="B6" s="6" t="str">
        <x:v>SVC000005</x:v>
      </x:c>
      <x:c r="C6" s="6" t="str">
        <x:v>SVC000080</x:v>
      </x:c>
      <x:c r="D6" s="6" t="str">
        <x:v>Galaxy Note 8 Screen replacement</x:v>
      </x:c>
      <x:c r="E6" s="6" t="str">
        <x:v>Galaxy Note 8 Screen replacement</x:v>
      </x:c>
      <x:c r="F6" s="6" t="str">
        <x:v>galaxy note 8 screen replacement</x:v>
      </x:c>
      <x:c r="G6" s="6" t="str">
        <x:v>Repair</x:v>
      </x:c>
      <x:c r="H6" s="6" t="str">
        <x:v>Samsung Screen Repair</x:v>
      </x:c>
      <x:c r="I6" s="6" t="str">
        <x:v>Phone</x:v>
      </x:c>
      <x:c r="J6" s="6" t="str">
        <x:v>Galaxy Note 8 Screen replacement</x:v>
      </x:c>
      <x:c r="K6" s="6" t="str">
        <x:v>Nocturnix_Master_Services_Catalog_v1.xlsx</x:v>
      </x:c>
      <x:c r="L6" s="6" t="str">
        <x:v>01 - Master Services</x:v>
      </x:c>
      <x:c r="M6" s="6" t="n">
        <x:v>45</x:v>
      </x:c>
      <x:c r="N6" s="6" t="str">
        <x:v>CNF000005</x:v>
      </x:c>
      <x:c r="O6" s="6" t="str"/>
      <x:c r="P6" s="6" t="str">
        <x:v>Pending Verification</x:v>
      </x:c>
      <x:c r="Q6" s="6" t="str"/>
      <x:c r="R6" s="6" t="str"/>
      <x:c r="S6" s="6" t="str"/>
      <x:c r="T6" s="6" t="str"/>
      <x:c r="U6" s="6" t="str"/>
      <x:c r="V6" s="6" t="str">
        <x:v>Unresolved</x:v>
      </x:c>
      <x:c r="W6" s="12" t="str"/>
      <x:c r="X6" s="12" t="str"/>
      <x:c r="Y6" s="6" t="str"/>
      <x:c r="Z6" s="6" t="str"/>
      <x:c r="AA6" s="6" t="str">
        <x:v>Pending</x:v>
      </x:c>
      <x:c r="AB6" s="6" t="str"/>
      <x:c r="AC6" s="6" t="str"/>
      <x:c r="AD6" s="12" t="str"/>
    </x:row>
    <x:row r="7">
      <x:c r="A7" s="6" t="str">
        <x:v>SIR-000006</x:v>
      </x:c>
      <x:c r="B7" s="6" t="str">
        <x:v>SVC000006</x:v>
      </x:c>
      <x:c r="C7" s="6" t="str">
        <x:v>SVC000081</x:v>
      </x:c>
      <x:c r="D7" s="6" t="str">
        <x:v>Galaxy S 25 Edge Screen replacement</x:v>
      </x:c>
      <x:c r="E7" s="6" t="str">
        <x:v>Galaxy S 25 Edge Screen replacement</x:v>
      </x:c>
      <x:c r="F7" s="6" t="str">
        <x:v>galaxy s 25 edge screen replacement</x:v>
      </x:c>
      <x:c r="G7" s="6" t="str">
        <x:v>Repair</x:v>
      </x:c>
      <x:c r="H7" s="6" t="str">
        <x:v>Samsung Screen Repair</x:v>
      </x:c>
      <x:c r="I7" s="6" t="str">
        <x:v>Phone</x:v>
      </x:c>
      <x:c r="J7" s="6" t="str">
        <x:v>Galaxy S 25 Edge Screen replacement</x:v>
      </x:c>
      <x:c r="K7" s="6" t="str">
        <x:v>Nocturnix_Master_Services_Catalog_v1.xlsx</x:v>
      </x:c>
      <x:c r="L7" s="6" t="str">
        <x:v>01 - Master Services</x:v>
      </x:c>
      <x:c r="M7" s="6" t="n">
        <x:v>46</x:v>
      </x:c>
      <x:c r="N7" s="6" t="str">
        <x:v>CNF000006</x:v>
      </x:c>
      <x:c r="O7" s="6" t="str"/>
      <x:c r="P7" s="6" t="str">
        <x:v>Pending Verification</x:v>
      </x:c>
      <x:c r="Q7" s="6" t="str"/>
      <x:c r="R7" s="6" t="str"/>
      <x:c r="S7" s="6" t="str"/>
      <x:c r="T7" s="6" t="str"/>
      <x:c r="U7" s="6" t="str"/>
      <x:c r="V7" s="6" t="str">
        <x:v>Unresolved</x:v>
      </x:c>
      <x:c r="W7" s="12" t="str"/>
      <x:c r="X7" s="12" t="str"/>
      <x:c r="Y7" s="6" t="str"/>
      <x:c r="Z7" s="6" t="str"/>
      <x:c r="AA7" s="6" t="str">
        <x:v>Pending</x:v>
      </x:c>
      <x:c r="AB7" s="6" t="str"/>
      <x:c r="AC7" s="6" t="str"/>
      <x:c r="AD7" s="12" t="str"/>
    </x:row>
    <x:row r="8">
      <x:c r="A8" s="6" t="str">
        <x:v>SIR-000007</x:v>
      </x:c>
      <x:c r="B8" s="6" t="str">
        <x:v>SVC000007</x:v>
      </x:c>
      <x:c r="C8" s="6" t="str">
        <x:v>SVC000082</x:v>
      </x:c>
      <x:c r="D8" s="6" t="str">
        <x:v>Galaxy S 25 FE Screen replacement</x:v>
      </x:c>
      <x:c r="E8" s="6" t="str">
        <x:v>Galaxy S 25 FE Screen replacement</x:v>
      </x:c>
      <x:c r="F8" s="6" t="str">
        <x:v>galaxy s 25 fe screen replacement</x:v>
      </x:c>
      <x:c r="G8" s="6" t="str">
        <x:v>Repair</x:v>
      </x:c>
      <x:c r="H8" s="6" t="str">
        <x:v>Samsung Screen Repair</x:v>
      </x:c>
      <x:c r="I8" s="6" t="str">
        <x:v>Phone</x:v>
      </x:c>
      <x:c r="J8" s="6" t="str">
        <x:v>Galaxy S 25 FE Screen replacement</x:v>
      </x:c>
      <x:c r="K8" s="6" t="str">
        <x:v>Nocturnix_Master_Services_Catalog_v1.xlsx</x:v>
      </x:c>
      <x:c r="L8" s="6" t="str">
        <x:v>01 - Master Services</x:v>
      </x:c>
      <x:c r="M8" s="6" t="n">
        <x:v>47</x:v>
      </x:c>
      <x:c r="N8" s="6" t="str">
        <x:v>CNF000007</x:v>
      </x:c>
      <x:c r="O8" s="6" t="str"/>
      <x:c r="P8" s="6" t="str">
        <x:v>Pending Verification</x:v>
      </x:c>
      <x:c r="Q8" s="6" t="str"/>
      <x:c r="R8" s="6" t="str"/>
      <x:c r="S8" s="6" t="str"/>
      <x:c r="T8" s="6" t="str"/>
      <x:c r="U8" s="6" t="str"/>
      <x:c r="V8" s="6" t="str">
        <x:v>Unresolved</x:v>
      </x:c>
      <x:c r="W8" s="12" t="str"/>
      <x:c r="X8" s="12" t="str"/>
      <x:c r="Y8" s="6" t="str"/>
      <x:c r="Z8" s="6" t="str"/>
      <x:c r="AA8" s="6" t="str">
        <x:v>Pending</x:v>
      </x:c>
      <x:c r="AB8" s="6" t="str"/>
      <x:c r="AC8" s="6" t="str"/>
      <x:c r="AD8" s="12" t="str"/>
    </x:row>
    <x:row r="9">
      <x:c r="A9" s="6" t="str">
        <x:v>SIR-000008</x:v>
      </x:c>
      <x:c r="B9" s="6" t="str">
        <x:v>SVC000008</x:v>
      </x:c>
      <x:c r="C9" s="6" t="str">
        <x:v>SVC000083</x:v>
      </x:c>
      <x:c r="D9" s="6" t="str">
        <x:v>iPhone 6 Screen replacement</x:v>
      </x:c>
      <x:c r="E9" s="6" t="str">
        <x:v>iPhone 6 Screen replacement</x:v>
      </x:c>
      <x:c r="F9" s="6" t="str">
        <x:v>iphone 6 screen replacement</x:v>
      </x:c>
      <x:c r="G9" s="6" t="str">
        <x:v>Repair</x:v>
      </x:c>
      <x:c r="H9" s="6" t="str">
        <x:v>iPhone Screen Repair</x:v>
      </x:c>
      <x:c r="I9" s="6" t="str">
        <x:v>Phone</x:v>
      </x:c>
      <x:c r="J9" s="6" t="str">
        <x:v>iPhone 6 Screen replacement</x:v>
      </x:c>
      <x:c r="K9" s="6" t="str">
        <x:v>Nocturnix_Master_Services_Catalog_v1.xlsx</x:v>
      </x:c>
      <x:c r="L9" s="6" t="str">
        <x:v>01 - Master Services</x:v>
      </x:c>
      <x:c r="M9" s="6" t="n">
        <x:v>48</x:v>
      </x:c>
      <x:c r="N9" s="6" t="str">
        <x:v>CNF000008</x:v>
      </x:c>
      <x:c r="O9" s="6" t="str">
        <x:v>DUP000001</x:v>
      </x:c>
      <x:c r="P9" s="6" t="str">
        <x:v>Pending Verification</x:v>
      </x:c>
      <x:c r="Q9" s="6" t="str"/>
      <x:c r="R9" s="6" t="str"/>
      <x:c r="S9" s="6" t="str"/>
      <x:c r="T9" s="6" t="str"/>
      <x:c r="U9" s="6" t="str"/>
      <x:c r="V9" s="6" t="str">
        <x:v>Unresolved</x:v>
      </x:c>
      <x:c r="W9" s="12" t="str"/>
      <x:c r="X9" s="12" t="str"/>
      <x:c r="Y9" s="6" t="str"/>
      <x:c r="Z9" s="6" t="str"/>
      <x:c r="AA9" s="6" t="str">
        <x:v>Pending</x:v>
      </x:c>
      <x:c r="AB9" s="6" t="str"/>
      <x:c r="AC9" s="6" t="str"/>
      <x:c r="AD9" s="12" t="str"/>
    </x:row>
    <x:row r="10">
      <x:c r="A10" s="6" t="str">
        <x:v>SIR-000009</x:v>
      </x:c>
      <x:c r="B10" s="6" t="str">
        <x:v>SVC000009</x:v>
      </x:c>
      <x:c r="C10" s="6" t="str">
        <x:v>SVC000084</x:v>
      </x:c>
      <x:c r="D10" s="6" t="str">
        <x:v>iPhone 6S+ Screen replacement</x:v>
      </x:c>
      <x:c r="E10" s="6" t="str">
        <x:v>iPhone 6S+ Screen replacement</x:v>
      </x:c>
      <x:c r="F10" s="6" t="str">
        <x:v>iphone 6s screen replacement</x:v>
      </x:c>
      <x:c r="G10" s="6" t="str">
        <x:v>Repair</x:v>
      </x:c>
      <x:c r="H10" s="6" t="str">
        <x:v>iPhone Screen Repair</x:v>
      </x:c>
      <x:c r="I10" s="6" t="str">
        <x:v>Phone</x:v>
      </x:c>
      <x:c r="J10" s="6" t="str">
        <x:v>iPhone 6S+ Screen replacement</x:v>
      </x:c>
      <x:c r="K10" s="6" t="str">
        <x:v>Nocturnix_Master_Services_Catalog_v1.xlsx</x:v>
      </x:c>
      <x:c r="L10" s="6" t="str">
        <x:v>01 - Master Services</x:v>
      </x:c>
      <x:c r="M10" s="6" t="n">
        <x:v>49</x:v>
      </x:c>
      <x:c r="N10" s="6" t="str">
        <x:v>CNF000009</x:v>
      </x:c>
      <x:c r="O10" s="6" t="str">
        <x:v>DUP000002</x:v>
      </x:c>
      <x:c r="P10" s="6" t="str">
        <x:v>Pending Verification</x:v>
      </x:c>
      <x:c r="Q10" s="6" t="str"/>
      <x:c r="R10" s="6" t="str"/>
      <x:c r="S10" s="6" t="str"/>
      <x:c r="T10" s="6" t="str"/>
      <x:c r="U10" s="6" t="str"/>
      <x:c r="V10" s="6" t="str">
        <x:v>Unresolved</x:v>
      </x:c>
      <x:c r="W10" s="12" t="str"/>
      <x:c r="X10" s="12" t="str"/>
      <x:c r="Y10" s="6" t="str"/>
      <x:c r="Z10" s="6" t="str"/>
      <x:c r="AA10" s="6" t="str">
        <x:v>Pending</x:v>
      </x:c>
      <x:c r="AB10" s="6" t="str"/>
      <x:c r="AC10" s="6" t="str"/>
      <x:c r="AD10" s="12" t="str"/>
    </x:row>
    <x:row r="11">
      <x:c r="A11" s="6" t="str">
        <x:v>SIR-000010</x:v>
      </x:c>
      <x:c r="B11" s="6" t="str">
        <x:v>SVC000010</x:v>
      </x:c>
      <x:c r="C11" s="6" t="str">
        <x:v>SVC000085</x:v>
      </x:c>
      <x:c r="D11" s="6" t="str">
        <x:v>Galaxy S 22 Screen replacement</x:v>
      </x:c>
      <x:c r="E11" s="6" t="str">
        <x:v>Galaxy S 22 Screen replacement</x:v>
      </x:c>
      <x:c r="F11" s="6" t="str">
        <x:v>galaxy s 22 screen replacement</x:v>
      </x:c>
      <x:c r="G11" s="6" t="str">
        <x:v>Repair</x:v>
      </x:c>
      <x:c r="H11" s="6" t="str">
        <x:v>Samsung Screen Repair</x:v>
      </x:c>
      <x:c r="I11" s="6" t="str">
        <x:v>Phone</x:v>
      </x:c>
      <x:c r="J11" s="6" t="str">
        <x:v>Galaxy S 22 Screen replacement</x:v>
      </x:c>
      <x:c r="K11" s="6" t="str">
        <x:v>Nocturnix_Master_Services_Catalog_v1.xlsx</x:v>
      </x:c>
      <x:c r="L11" s="6" t="str">
        <x:v>01 - Master Services</x:v>
      </x:c>
      <x:c r="M11" s="6" t="n">
        <x:v>50</x:v>
      </x:c>
      <x:c r="N11" s="6" t="str">
        <x:v>CNF000010</x:v>
      </x:c>
      <x:c r="O11" s="6" t="str"/>
      <x:c r="P11" s="6" t="str">
        <x:v>Pending Verification</x:v>
      </x:c>
      <x:c r="Q11" s="6" t="str"/>
      <x:c r="R11" s="6" t="str"/>
      <x:c r="S11" s="6" t="str"/>
      <x:c r="T11" s="6" t="str"/>
      <x:c r="U11" s="6" t="str"/>
      <x:c r="V11" s="6" t="str">
        <x:v>Unresolved</x:v>
      </x:c>
      <x:c r="W11" s="12" t="str"/>
      <x:c r="X11" s="12" t="str"/>
      <x:c r="Y11" s="6" t="str"/>
      <x:c r="Z11" s="6" t="str"/>
      <x:c r="AA11" s="6" t="str">
        <x:v>Pending</x:v>
      </x:c>
      <x:c r="AB11" s="6" t="str"/>
      <x:c r="AC11" s="6" t="str"/>
      <x:c r="AD11" s="12" t="str"/>
    </x:row>
    <x:row r="12">
      <x:c r="A12" s="6" t="str">
        <x:v>SIR-000011</x:v>
      </x:c>
      <x:c r="B12" s="6" t="str">
        <x:v>SVC000011</x:v>
      </x:c>
      <x:c r="C12" s="6" t="str">
        <x:v>SVC000086</x:v>
      </x:c>
      <x:c r="D12" s="6" t="str">
        <x:v>Galaxy S 20 Plus Screen replacement</x:v>
      </x:c>
      <x:c r="E12" s="6" t="str">
        <x:v>Galaxy S 20 Plus Screen replacement</x:v>
      </x:c>
      <x:c r="F12" s="6" t="str">
        <x:v>galaxy s 20 plus screen replacement</x:v>
      </x:c>
      <x:c r="G12" s="6" t="str">
        <x:v>Repair</x:v>
      </x:c>
      <x:c r="H12" s="6" t="str">
        <x:v>Samsung Screen Repair</x:v>
      </x:c>
      <x:c r="I12" s="6" t="str">
        <x:v>Phone</x:v>
      </x:c>
      <x:c r="J12" s="6" t="str">
        <x:v>Galaxy S 20 Plus Screen replacement</x:v>
      </x:c>
      <x:c r="K12" s="6" t="str">
        <x:v>Nocturnix_Master_Services_Catalog_v1.xlsx</x:v>
      </x:c>
      <x:c r="L12" s="6" t="str">
        <x:v>01 - Master Services</x:v>
      </x:c>
      <x:c r="M12" s="6" t="n">
        <x:v>51</x:v>
      </x:c>
      <x:c r="N12" s="6" t="str">
        <x:v>CNF000011</x:v>
      </x:c>
      <x:c r="O12" s="6" t="str"/>
      <x:c r="P12" s="6" t="str">
        <x:v>Pending Verification</x:v>
      </x:c>
      <x:c r="Q12" s="6" t="str"/>
      <x:c r="R12" s="6" t="str"/>
      <x:c r="S12" s="6" t="str"/>
      <x:c r="T12" s="6" t="str"/>
      <x:c r="U12" s="6" t="str"/>
      <x:c r="V12" s="6" t="str">
        <x:v>Unresolved</x:v>
      </x:c>
      <x:c r="W12" s="12" t="str"/>
      <x:c r="X12" s="12" t="str"/>
      <x:c r="Y12" s="6" t="str"/>
      <x:c r="Z12" s="6" t="str"/>
      <x:c r="AA12" s="6" t="str">
        <x:v>Pending</x:v>
      </x:c>
      <x:c r="AB12" s="6" t="str"/>
      <x:c r="AC12" s="6" t="str"/>
      <x:c r="AD12" s="12" t="str"/>
    </x:row>
    <x:row r="13">
      <x:c r="A13" s="6" t="str">
        <x:v>SIR-000012</x:v>
      </x:c>
      <x:c r="B13" s="6" t="str">
        <x:v>SVC000012</x:v>
      </x:c>
      <x:c r="C13" s="6" t="str">
        <x:v>SVC000087</x:v>
      </x:c>
      <x:c r="D13" s="6" t="str">
        <x:v>Galaxy S 23 Ultra Screen replacement</x:v>
      </x:c>
      <x:c r="E13" s="6" t="str">
        <x:v>Galaxy S 23 Ultra Screen replacement</x:v>
      </x:c>
      <x:c r="F13" s="6" t="str">
        <x:v>galaxy s 23 ultra screen replacement</x:v>
      </x:c>
      <x:c r="G13" s="6" t="str">
        <x:v>Repair</x:v>
      </x:c>
      <x:c r="H13" s="6" t="str">
        <x:v>Samsung Screen Repair</x:v>
      </x:c>
      <x:c r="I13" s="6" t="str">
        <x:v>Phone</x:v>
      </x:c>
      <x:c r="J13" s="6" t="str">
        <x:v>Galaxy S 23 Ultra Screen replacement</x:v>
      </x:c>
      <x:c r="K13" s="6" t="str">
        <x:v>Nocturnix_Master_Services_Catalog_v1.xlsx</x:v>
      </x:c>
      <x:c r="L13" s="6" t="str">
        <x:v>01 - Master Services</x:v>
      </x:c>
      <x:c r="M13" s="6" t="n">
        <x:v>52</x:v>
      </x:c>
      <x:c r="N13" s="6" t="str">
        <x:v>CNF000012</x:v>
      </x:c>
      <x:c r="O13" s="6" t="str"/>
      <x:c r="P13" s="6" t="str">
        <x:v>Pending Verification</x:v>
      </x:c>
      <x:c r="Q13" s="6" t="str"/>
      <x:c r="R13" s="6" t="str"/>
      <x:c r="S13" s="6" t="str"/>
      <x:c r="T13" s="6" t="str"/>
      <x:c r="U13" s="6" t="str"/>
      <x:c r="V13" s="6" t="str">
        <x:v>Unresolved</x:v>
      </x:c>
      <x:c r="W13" s="12" t="str"/>
      <x:c r="X13" s="12" t="str"/>
      <x:c r="Y13" s="6" t="str"/>
      <x:c r="Z13" s="6" t="str"/>
      <x:c r="AA13" s="6" t="str">
        <x:v>Pending</x:v>
      </x:c>
      <x:c r="AB13" s="6" t="str"/>
      <x:c r="AC13" s="6" t="str"/>
      <x:c r="AD13" s="12" t="str"/>
    </x:row>
    <x:row r="14">
      <x:c r="A14" s="6" t="str">
        <x:v>SIR-000013</x:v>
      </x:c>
      <x:c r="B14" s="6" t="str">
        <x:v>SVC000013</x:v>
      </x:c>
      <x:c r="C14" s="6" t="str">
        <x:v>SVC000088</x:v>
      </x:c>
      <x:c r="D14" s="6" t="str">
        <x:v>Galaxy S 24 Ultra Screen replacement</x:v>
      </x:c>
      <x:c r="E14" s="6" t="str">
        <x:v>Galaxy S 24 Ultra Screen replacement</x:v>
      </x:c>
      <x:c r="F14" s="6" t="str">
        <x:v>galaxy s 24 ultra screen replacement</x:v>
      </x:c>
      <x:c r="G14" s="6" t="str">
        <x:v>Repair</x:v>
      </x:c>
      <x:c r="H14" s="6" t="str">
        <x:v>Samsung Screen Repair</x:v>
      </x:c>
      <x:c r="I14" s="6" t="str">
        <x:v>Phone</x:v>
      </x:c>
      <x:c r="J14" s="6" t="str">
        <x:v>Galaxy S 24 Ultra Screen replacement</x:v>
      </x:c>
      <x:c r="K14" s="6" t="str">
        <x:v>Nocturnix_Master_Services_Catalog_v1.xlsx</x:v>
      </x:c>
      <x:c r="L14" s="6" t="str">
        <x:v>01 - Master Services</x:v>
      </x:c>
      <x:c r="M14" s="6" t="n">
        <x:v>53</x:v>
      </x:c>
      <x:c r="N14" s="6" t="str">
        <x:v>CNF000013</x:v>
      </x:c>
      <x:c r="O14" s="6" t="str"/>
      <x:c r="P14" s="6" t="str">
        <x:v>Pending Verification</x:v>
      </x:c>
      <x:c r="Q14" s="6" t="str"/>
      <x:c r="R14" s="6" t="str"/>
      <x:c r="S14" s="6" t="str"/>
      <x:c r="T14" s="6" t="str"/>
      <x:c r="U14" s="6" t="str"/>
      <x:c r="V14" s="6" t="str">
        <x:v>Unresolved</x:v>
      </x:c>
      <x:c r="W14" s="12" t="str"/>
      <x:c r="X14" s="12" t="str"/>
      <x:c r="Y14" s="6" t="str"/>
      <x:c r="Z14" s="6" t="str"/>
      <x:c r="AA14" s="6" t="str">
        <x:v>Pending</x:v>
      </x:c>
      <x:c r="AB14" s="6" t="str"/>
      <x:c r="AC14" s="6" t="str"/>
      <x:c r="AD14" s="12" t="str"/>
    </x:row>
    <x:row r="15">
      <x:c r="A15" s="6" t="str">
        <x:v>SIR-000014</x:v>
      </x:c>
      <x:c r="B15" s="6" t="str">
        <x:v>SVC000014</x:v>
      </x:c>
      <x:c r="C15" s="6" t="str">
        <x:v>SVC000089</x:v>
      </x:c>
      <x:c r="D15" s="6" t="str">
        <x:v>Galaxy S 20 FE Screen replacement</x:v>
      </x:c>
      <x:c r="E15" s="6" t="str">
        <x:v>Galaxy S 20 FE Screen replacement</x:v>
      </x:c>
      <x:c r="F15" s="6" t="str">
        <x:v>galaxy s 20 fe screen replacement</x:v>
      </x:c>
      <x:c r="G15" s="6" t="str">
        <x:v>Repair</x:v>
      </x:c>
      <x:c r="H15" s="6" t="str">
        <x:v>Samsung Screen Repair</x:v>
      </x:c>
      <x:c r="I15" s="6" t="str">
        <x:v>Phone</x:v>
      </x:c>
      <x:c r="J15" s="6" t="str">
        <x:v>Galaxy S 20 FE Screen replacement</x:v>
      </x:c>
      <x:c r="K15" s="6" t="str">
        <x:v>Nocturnix_Master_Services_Catalog_v1.xlsx</x:v>
      </x:c>
      <x:c r="L15" s="6" t="str">
        <x:v>01 - Master Services</x:v>
      </x:c>
      <x:c r="M15" s="6" t="n">
        <x:v>54</x:v>
      </x:c>
      <x:c r="N15" s="6" t="str">
        <x:v>CNF000014</x:v>
      </x:c>
      <x:c r="O15" s="6" t="str"/>
      <x:c r="P15" s="6" t="str">
        <x:v>Pending Verification</x:v>
      </x:c>
      <x:c r="Q15" s="6" t="str"/>
      <x:c r="R15" s="6" t="str"/>
      <x:c r="S15" s="6" t="str"/>
      <x:c r="T15" s="6" t="str"/>
      <x:c r="U15" s="6" t="str"/>
      <x:c r="V15" s="6" t="str">
        <x:v>Unresolved</x:v>
      </x:c>
      <x:c r="W15" s="12" t="str"/>
      <x:c r="X15" s="12" t="str"/>
      <x:c r="Y15" s="6" t="str"/>
      <x:c r="Z15" s="6" t="str"/>
      <x:c r="AA15" s="6" t="str">
        <x:v>Pending</x:v>
      </x:c>
      <x:c r="AB15" s="6" t="str"/>
      <x:c r="AC15" s="6" t="str"/>
      <x:c r="AD15" s="12" t="str"/>
    </x:row>
    <x:row r="16">
      <x:c r="A16" s="6" t="str">
        <x:v>SIR-000015</x:v>
      </x:c>
      <x:c r="B16" s="6" t="str">
        <x:v>SVC000015</x:v>
      </x:c>
      <x:c r="C16" s="6" t="str">
        <x:v>SVC000090</x:v>
      </x:c>
      <x:c r="D16" s="6" t="str">
        <x:v>Galaxy S 9 Plus Screen replacement</x:v>
      </x:c>
      <x:c r="E16" s="6" t="str">
        <x:v>Galaxy S 9 Plus Screen replacement</x:v>
      </x:c>
      <x:c r="F16" s="6" t="str">
        <x:v>galaxy s 9 plus screen replacement</x:v>
      </x:c>
      <x:c r="G16" s="6" t="str">
        <x:v>Repair</x:v>
      </x:c>
      <x:c r="H16" s="6" t="str">
        <x:v>Samsung Screen Repair</x:v>
      </x:c>
      <x:c r="I16" s="6" t="str">
        <x:v>Phone</x:v>
      </x:c>
      <x:c r="J16" s="6" t="str">
        <x:v>Galaxy S 9 Plus Screen replacement</x:v>
      </x:c>
      <x:c r="K16" s="6" t="str">
        <x:v>Nocturnix_Master_Services_Catalog_v1.xlsx</x:v>
      </x:c>
      <x:c r="L16" s="6" t="str">
        <x:v>01 - Master Services</x:v>
      </x:c>
      <x:c r="M16" s="6" t="n">
        <x:v>55</x:v>
      </x:c>
      <x:c r="N16" s="6" t="str">
        <x:v>CNF000015</x:v>
      </x:c>
      <x:c r="O16" s="6" t="str"/>
      <x:c r="P16" s="6" t="str">
        <x:v>Pending Verification</x:v>
      </x:c>
      <x:c r="Q16" s="6" t="str"/>
      <x:c r="R16" s="6" t="str"/>
      <x:c r="S16" s="6" t="str"/>
      <x:c r="T16" s="6" t="str"/>
      <x:c r="U16" s="6" t="str"/>
      <x:c r="V16" s="6" t="str">
        <x:v>Unresolved</x:v>
      </x:c>
      <x:c r="W16" s="12" t="str"/>
      <x:c r="X16" s="12" t="str"/>
      <x:c r="Y16" s="6" t="str"/>
      <x:c r="Z16" s="6" t="str"/>
      <x:c r="AA16" s="6" t="str">
        <x:v>Pending</x:v>
      </x:c>
      <x:c r="AB16" s="6" t="str"/>
      <x:c r="AC16" s="6" t="str"/>
      <x:c r="AD16" s="12" t="str"/>
    </x:row>
    <x:row r="17">
      <x:c r="A17" s="6" t="str">
        <x:v>SIR-000016</x:v>
      </x:c>
      <x:c r="B17" s="6" t="str">
        <x:v>SVC000016</x:v>
      </x:c>
      <x:c r="C17" s="6" t="str">
        <x:v>SVC000091</x:v>
      </x:c>
      <x:c r="D17" s="6" t="str">
        <x:v>Galaxy S 24 FE Screen replacement</x:v>
      </x:c>
      <x:c r="E17" s="6" t="str">
        <x:v>Galaxy S 24 FE Screen replacement</x:v>
      </x:c>
      <x:c r="F17" s="6" t="str">
        <x:v>galaxy s 24 fe screen replacement</x:v>
      </x:c>
      <x:c r="G17" s="6" t="str">
        <x:v>Repair</x:v>
      </x:c>
      <x:c r="H17" s="6" t="str">
        <x:v>Samsung Screen Repair</x:v>
      </x:c>
      <x:c r="I17" s="6" t="str">
        <x:v>Phone</x:v>
      </x:c>
      <x:c r="J17" s="6" t="str">
        <x:v>Galaxy S 24 FE Screen replacement</x:v>
      </x:c>
      <x:c r="K17" s="6" t="str">
        <x:v>Nocturnix_Master_Services_Catalog_v1.xlsx</x:v>
      </x:c>
      <x:c r="L17" s="6" t="str">
        <x:v>01 - Master Services</x:v>
      </x:c>
      <x:c r="M17" s="6" t="n">
        <x:v>56</x:v>
      </x:c>
      <x:c r="N17" s="6" t="str">
        <x:v>CNF000016</x:v>
      </x:c>
      <x:c r="O17" s="6" t="str"/>
      <x:c r="P17" s="6" t="str">
        <x:v>Pending Verification</x:v>
      </x:c>
      <x:c r="Q17" s="6" t="str"/>
      <x:c r="R17" s="6" t="str"/>
      <x:c r="S17" s="6" t="str"/>
      <x:c r="T17" s="6" t="str"/>
      <x:c r="U17" s="6" t="str"/>
      <x:c r="V17" s="6" t="str">
        <x:v>Unresolved</x:v>
      </x:c>
      <x:c r="W17" s="12" t="str"/>
      <x:c r="X17" s="12" t="str"/>
      <x:c r="Y17" s="6" t="str"/>
      <x:c r="Z17" s="6" t="str"/>
      <x:c r="AA17" s="6" t="str">
        <x:v>Pending</x:v>
      </x:c>
      <x:c r="AB17" s="6" t="str"/>
      <x:c r="AC17" s="6" t="str"/>
      <x:c r="AD17" s="12" t="str"/>
    </x:row>
    <x:row r="18">
      <x:c r="A18" s="6" t="str">
        <x:v>SIR-000017</x:v>
      </x:c>
      <x:c r="B18" s="6" t="str">
        <x:v>SVC000017</x:v>
      </x:c>
      <x:c r="C18" s="6" t="str">
        <x:v>SVC000092</x:v>
      </x:c>
      <x:c r="D18" s="6" t="str">
        <x:v>Galaxy S 8 Plus Screen replacement</x:v>
      </x:c>
      <x:c r="E18" s="6" t="str">
        <x:v>Galaxy S 8 Plus Screen replacement</x:v>
      </x:c>
      <x:c r="F18" s="6" t="str">
        <x:v>galaxy s 8 plus screen replacement</x:v>
      </x:c>
      <x:c r="G18" s="6" t="str">
        <x:v>Repair</x:v>
      </x:c>
      <x:c r="H18" s="6" t="str">
        <x:v>Samsung Screen Repair</x:v>
      </x:c>
      <x:c r="I18" s="6" t="str">
        <x:v>Phone</x:v>
      </x:c>
      <x:c r="J18" s="6" t="str">
        <x:v>Galaxy S 8 Plus Screen replacement</x:v>
      </x:c>
      <x:c r="K18" s="6" t="str">
        <x:v>Nocturnix_Master_Services_Catalog_v1.xlsx</x:v>
      </x:c>
      <x:c r="L18" s="6" t="str">
        <x:v>01 - Master Services</x:v>
      </x:c>
      <x:c r="M18" s="6" t="n">
        <x:v>57</x:v>
      </x:c>
      <x:c r="N18" s="6" t="str">
        <x:v>CNF000017</x:v>
      </x:c>
      <x:c r="O18" s="6" t="str"/>
      <x:c r="P18" s="6" t="str">
        <x:v>Pending Verification</x:v>
      </x:c>
      <x:c r="Q18" s="6" t="str"/>
      <x:c r="R18" s="6" t="str"/>
      <x:c r="S18" s="6" t="str"/>
      <x:c r="T18" s="6" t="str"/>
      <x:c r="U18" s="6" t="str"/>
      <x:c r="V18" s="6" t="str">
        <x:v>Unresolved</x:v>
      </x:c>
      <x:c r="W18" s="12" t="str"/>
      <x:c r="X18" s="12" t="str"/>
      <x:c r="Y18" s="6" t="str"/>
      <x:c r="Z18" s="6" t="str"/>
      <x:c r="AA18" s="6" t="str">
        <x:v>Pending</x:v>
      </x:c>
      <x:c r="AB18" s="6" t="str"/>
      <x:c r="AC18" s="6" t="str"/>
      <x:c r="AD18" s="12" t="str"/>
    </x:row>
    <x:row r="19">
      <x:c r="A19" s="6" t="str">
        <x:v>SIR-000018</x:v>
      </x:c>
      <x:c r="B19" s="6" t="str">
        <x:v>SVC000018</x:v>
      </x:c>
      <x:c r="C19" s="6" t="str">
        <x:v>SVC000093</x:v>
      </x:c>
      <x:c r="D19" s="6" t="str">
        <x:v>Galaxy S 25 Plus Screen replacement</x:v>
      </x:c>
      <x:c r="E19" s="6" t="str">
        <x:v>Galaxy S 25 Plus Screen replacement</x:v>
      </x:c>
      <x:c r="F19" s="6" t="str">
        <x:v>galaxy s 25 plus screen replacement</x:v>
      </x:c>
      <x:c r="G19" s="6" t="str">
        <x:v>Repair</x:v>
      </x:c>
      <x:c r="H19" s="6" t="str">
        <x:v>Samsung Screen Repair</x:v>
      </x:c>
      <x:c r="I19" s="6" t="str">
        <x:v>Phone</x:v>
      </x:c>
      <x:c r="J19" s="6" t="str">
        <x:v>Galaxy S 25 Plus Screen replacement</x:v>
      </x:c>
      <x:c r="K19" s="6" t="str">
        <x:v>Nocturnix_Master_Services_Catalog_v1.xlsx</x:v>
      </x:c>
      <x:c r="L19" s="6" t="str">
        <x:v>01 - Master Services</x:v>
      </x:c>
      <x:c r="M19" s="6" t="n">
        <x:v>58</x:v>
      </x:c>
      <x:c r="N19" s="6" t="str">
        <x:v>CNF000018</x:v>
      </x:c>
      <x:c r="O19" s="6" t="str"/>
      <x:c r="P19" s="6" t="str">
        <x:v>Pending Verification</x:v>
      </x:c>
      <x:c r="Q19" s="6" t="str"/>
      <x:c r="R19" s="6" t="str"/>
      <x:c r="S19" s="6" t="str"/>
      <x:c r="T19" s="6" t="str"/>
      <x:c r="U19" s="6" t="str"/>
      <x:c r="V19" s="6" t="str">
        <x:v>Unresolved</x:v>
      </x:c>
      <x:c r="W19" s="12" t="str"/>
      <x:c r="X19" s="12" t="str"/>
      <x:c r="Y19" s="6" t="str"/>
      <x:c r="Z19" s="6" t="str"/>
      <x:c r="AA19" s="6" t="str">
        <x:v>Pending</x:v>
      </x:c>
      <x:c r="AB19" s="6" t="str"/>
      <x:c r="AC19" s="6" t="str"/>
      <x:c r="AD19" s="12" t="str"/>
    </x:row>
    <x:row r="20">
      <x:c r="A20" s="6" t="str">
        <x:v>SIR-000019</x:v>
      </x:c>
      <x:c r="B20" s="6" t="str">
        <x:v>SVC000019</x:v>
      </x:c>
      <x:c r="C20" s="6" t="str">
        <x:v>SVC000094</x:v>
      </x:c>
      <x:c r="D20" s="6" t="str">
        <x:v>Galaxy S 21 Screen replacement</x:v>
      </x:c>
      <x:c r="E20" s="6" t="str">
        <x:v>Galaxy S 21 Screen replacement</x:v>
      </x:c>
      <x:c r="F20" s="6" t="str">
        <x:v>galaxy s 21 screen replacement</x:v>
      </x:c>
      <x:c r="G20" s="6" t="str">
        <x:v>Repair</x:v>
      </x:c>
      <x:c r="H20" s="6" t="str">
        <x:v>Samsung Screen Repair</x:v>
      </x:c>
      <x:c r="I20" s="6" t="str">
        <x:v>Phone</x:v>
      </x:c>
      <x:c r="J20" s="6" t="str">
        <x:v>Galaxy S 21 Screen replacement</x:v>
      </x:c>
      <x:c r="K20" s="6" t="str">
        <x:v>Nocturnix_Master_Services_Catalog_v1.xlsx</x:v>
      </x:c>
      <x:c r="L20" s="6" t="str">
        <x:v>01 - Master Services</x:v>
      </x:c>
      <x:c r="M20" s="6" t="n">
        <x:v>59</x:v>
      </x:c>
      <x:c r="N20" s="6" t="str">
        <x:v>CNF000019</x:v>
      </x:c>
      <x:c r="O20" s="6" t="str"/>
      <x:c r="P20" s="6" t="str">
        <x:v>Pending Verification</x:v>
      </x:c>
      <x:c r="Q20" s="6" t="str"/>
      <x:c r="R20" s="6" t="str"/>
      <x:c r="S20" s="6" t="str"/>
      <x:c r="T20" s="6" t="str"/>
      <x:c r="U20" s="6" t="str"/>
      <x:c r="V20" s="6" t="str">
        <x:v>Unresolved</x:v>
      </x:c>
      <x:c r="W20" s="12" t="str"/>
      <x:c r="X20" s="12" t="str"/>
      <x:c r="Y20" s="6" t="str"/>
      <x:c r="Z20" s="6" t="str"/>
      <x:c r="AA20" s="6" t="str">
        <x:v>Pending</x:v>
      </x:c>
      <x:c r="AB20" s="6" t="str"/>
      <x:c r="AC20" s="6" t="str"/>
      <x:c r="AD20" s="12" t="str"/>
    </x:row>
    <x:row r="21">
      <x:c r="A21" s="6" t="str">
        <x:v>SIR-000020</x:v>
      </x:c>
      <x:c r="B21" s="6" t="str">
        <x:v>SVC000020</x:v>
      </x:c>
      <x:c r="C21" s="6" t="str">
        <x:v>SVC000095</x:v>
      </x:c>
      <x:c r="D21" s="6" t="str">
        <x:v>Galaxy S 22 Plus Screen replacement</x:v>
      </x:c>
      <x:c r="E21" s="6" t="str">
        <x:v>Galaxy S 22 Plus Screen replacement</x:v>
      </x:c>
      <x:c r="F21" s="6" t="str">
        <x:v>galaxy s 22 plus screen replacement</x:v>
      </x:c>
      <x:c r="G21" s="6" t="str">
        <x:v>Repair</x:v>
      </x:c>
      <x:c r="H21" s="6" t="str">
        <x:v>Samsung Screen Repair</x:v>
      </x:c>
      <x:c r="I21" s="6" t="str">
        <x:v>Phone</x:v>
      </x:c>
      <x:c r="J21" s="6" t="str">
        <x:v>Galaxy S 22 Plus Screen replacement</x:v>
      </x:c>
      <x:c r="K21" s="6" t="str">
        <x:v>Nocturnix_Master_Services_Catalog_v1.xlsx</x:v>
      </x:c>
      <x:c r="L21" s="6" t="str">
        <x:v>01 - Master Services</x:v>
      </x:c>
      <x:c r="M21" s="6" t="n">
        <x:v>60</x:v>
      </x:c>
      <x:c r="N21" s="6" t="str">
        <x:v>CNF000020</x:v>
      </x:c>
      <x:c r="O21" s="6" t="str"/>
      <x:c r="P21" s="6" t="str">
        <x:v>Pending Verification</x:v>
      </x:c>
      <x:c r="Q21" s="6" t="str"/>
      <x:c r="R21" s="6" t="str"/>
      <x:c r="S21" s="6" t="str"/>
      <x:c r="T21" s="6" t="str"/>
      <x:c r="U21" s="6" t="str"/>
      <x:c r="V21" s="6" t="str">
        <x:v>Unresolved</x:v>
      </x:c>
      <x:c r="W21" s="12" t="str"/>
      <x:c r="X21" s="12" t="str"/>
      <x:c r="Y21" s="6" t="str"/>
      <x:c r="Z21" s="6" t="str"/>
      <x:c r="AA21" s="6" t="str">
        <x:v>Pending</x:v>
      </x:c>
      <x:c r="AB21" s="6" t="str"/>
      <x:c r="AC21" s="6" t="str"/>
      <x:c r="AD21" s="12" t="str"/>
    </x:row>
    <x:row r="22">
      <x:c r="A22" s="6" t="str">
        <x:v>SIR-000021</x:v>
      </x:c>
      <x:c r="B22" s="6" t="str">
        <x:v>SVC000021</x:v>
      </x:c>
      <x:c r="C22" s="6" t="str">
        <x:v>SVC000096</x:v>
      </x:c>
      <x:c r="D22" s="6" t="str">
        <x:v>Galaxy S 22 Ultra Screen replacement</x:v>
      </x:c>
      <x:c r="E22" s="6" t="str">
        <x:v>Galaxy S 22 Ultra Screen replacement</x:v>
      </x:c>
      <x:c r="F22" s="6" t="str">
        <x:v>galaxy s 22 ultra screen replacement</x:v>
      </x:c>
      <x:c r="G22" s="6" t="str">
        <x:v>Repair</x:v>
      </x:c>
      <x:c r="H22" s="6" t="str">
        <x:v>Samsung Screen Repair</x:v>
      </x:c>
      <x:c r="I22" s="6" t="str">
        <x:v>Phone</x:v>
      </x:c>
      <x:c r="J22" s="6" t="str">
        <x:v>Galaxy S 22 Ultra Screen replacement</x:v>
      </x:c>
      <x:c r="K22" s="6" t="str">
        <x:v>Nocturnix_Master_Services_Catalog_v1.xlsx</x:v>
      </x:c>
      <x:c r="L22" s="6" t="str">
        <x:v>01 - Master Services</x:v>
      </x:c>
      <x:c r="M22" s="6" t="n">
        <x:v>61</x:v>
      </x:c>
      <x:c r="N22" s="6" t="str">
        <x:v>CNF000021</x:v>
      </x:c>
      <x:c r="O22" s="6" t="str"/>
      <x:c r="P22" s="6" t="str">
        <x:v>Pending Verification</x:v>
      </x:c>
      <x:c r="Q22" s="6" t="str"/>
      <x:c r="R22" s="6" t="str"/>
      <x:c r="S22" s="6" t="str"/>
      <x:c r="T22" s="6" t="str"/>
      <x:c r="U22" s="6" t="str"/>
      <x:c r="V22" s="6" t="str">
        <x:v>Unresolved</x:v>
      </x:c>
      <x:c r="W22" s="12" t="str"/>
      <x:c r="X22" s="12" t="str"/>
      <x:c r="Y22" s="6" t="str"/>
      <x:c r="Z22" s="6" t="str"/>
      <x:c r="AA22" s="6" t="str">
        <x:v>Pending</x:v>
      </x:c>
      <x:c r="AB22" s="6" t="str"/>
      <x:c r="AC22" s="6" t="str"/>
      <x:c r="AD22" s="12" t="str"/>
    </x:row>
    <x:row r="23">
      <x:c r="A23" s="6" t="str">
        <x:v>SIR-000022</x:v>
      </x:c>
      <x:c r="B23" s="6" t="str">
        <x:v>SVC000022</x:v>
      </x:c>
      <x:c r="C23" s="6" t="str">
        <x:v>SVC000097</x:v>
      </x:c>
      <x:c r="D23" s="6" t="str">
        <x:v>Galaxy S 24 FE Battery Replacement</x:v>
      </x:c>
      <x:c r="E23" s="6" t="str">
        <x:v>Galaxy S 24 FE Battery Replacement</x:v>
      </x:c>
      <x:c r="F23" s="6" t="str">
        <x:v>galaxy s 24 fe battery replacement</x:v>
      </x:c>
      <x:c r="G23" s="6" t="str">
        <x:v>Repair</x:v>
      </x:c>
      <x:c r="H23" s="6" t="str">
        <x:v>Samsung Screen Repair</x:v>
      </x:c>
      <x:c r="I23" s="6" t="str">
        <x:v>Phone</x:v>
      </x:c>
      <x:c r="J23" s="6" t="str">
        <x:v>Galaxy S 24 FE Battery Replacement</x:v>
      </x:c>
      <x:c r="K23" s="6" t="str">
        <x:v>Nocturnix_Master_Services_Catalog_v1.xlsx</x:v>
      </x:c>
      <x:c r="L23" s="6" t="str">
        <x:v>01 - Master Services</x:v>
      </x:c>
      <x:c r="M23" s="6" t="n">
        <x:v>62</x:v>
      </x:c>
      <x:c r="N23" s="6" t="str">
        <x:v>CNF000022</x:v>
      </x:c>
      <x:c r="O23" s="6" t="str"/>
      <x:c r="P23" s="6" t="str">
        <x:v>Pending Verification</x:v>
      </x:c>
      <x:c r="Q23" s="6" t="str"/>
      <x:c r="R23" s="6" t="str"/>
      <x:c r="S23" s="6" t="str"/>
      <x:c r="T23" s="6" t="str"/>
      <x:c r="U23" s="6" t="str"/>
      <x:c r="V23" s="6" t="str">
        <x:v>Unresolved</x:v>
      </x:c>
      <x:c r="W23" s="12" t="str"/>
      <x:c r="X23" s="12" t="str"/>
      <x:c r="Y23" s="6" t="str"/>
      <x:c r="Z23" s="6" t="str"/>
      <x:c r="AA23" s="6" t="str">
        <x:v>Pending</x:v>
      </x:c>
      <x:c r="AB23" s="6" t="str"/>
      <x:c r="AC23" s="6" t="str"/>
      <x:c r="AD23" s="12" t="str"/>
    </x:row>
    <x:row r="24">
      <x:c r="A24" s="6" t="str">
        <x:v>SIR-000023</x:v>
      </x:c>
      <x:c r="B24" s="6" t="str">
        <x:v>SVC000023</x:v>
      </x:c>
      <x:c r="C24" s="6" t="str">
        <x:v>SVC000098</x:v>
      </x:c>
      <x:c r="D24" s="6" t="str">
        <x:v>Galaxy S 7 Active Screen replacement</x:v>
      </x:c>
      <x:c r="E24" s="6" t="str">
        <x:v>Galaxy S 7 Active Screen replacement</x:v>
      </x:c>
      <x:c r="F24" s="6" t="str">
        <x:v>galaxy s 7 active screen replacement</x:v>
      </x:c>
      <x:c r="G24" s="6" t="str">
        <x:v>Repair</x:v>
      </x:c>
      <x:c r="H24" s="6" t="str">
        <x:v>Samsung Screen Repair</x:v>
      </x:c>
      <x:c r="I24" s="6" t="str">
        <x:v>Phone</x:v>
      </x:c>
      <x:c r="J24" s="6" t="str">
        <x:v>Galaxy S 7 Active Screen replacement</x:v>
      </x:c>
      <x:c r="K24" s="6" t="str">
        <x:v>Nocturnix_Master_Services_Catalog_v1.xlsx</x:v>
      </x:c>
      <x:c r="L24" s="6" t="str">
        <x:v>01 - Master Services</x:v>
      </x:c>
      <x:c r="M24" s="6" t="n">
        <x:v>63</x:v>
      </x:c>
      <x:c r="N24" s="6" t="str">
        <x:v>CNF000023</x:v>
      </x:c>
      <x:c r="O24" s="6" t="str"/>
      <x:c r="P24" s="6" t="str">
        <x:v>Pending Verification</x:v>
      </x:c>
      <x:c r="Q24" s="6" t="str"/>
      <x:c r="R24" s="6" t="str"/>
      <x:c r="S24" s="6" t="str"/>
      <x:c r="T24" s="6" t="str"/>
      <x:c r="U24" s="6" t="str"/>
      <x:c r="V24" s="6" t="str">
        <x:v>Unresolved</x:v>
      </x:c>
      <x:c r="W24" s="12" t="str"/>
      <x:c r="X24" s="12" t="str"/>
      <x:c r="Y24" s="6" t="str"/>
      <x:c r="Z24" s="6" t="str"/>
      <x:c r="AA24" s="6" t="str">
        <x:v>Pending</x:v>
      </x:c>
      <x:c r="AB24" s="6" t="str"/>
      <x:c r="AC24" s="6" t="str"/>
      <x:c r="AD24" s="12" t="str"/>
    </x:row>
    <x:row r="25">
      <x:c r="A25" s="6" t="str">
        <x:v>SIR-000024</x:v>
      </x:c>
      <x:c r="B25" s="6" t="str">
        <x:v>SVC000024</x:v>
      </x:c>
      <x:c r="C25" s="6" t="str">
        <x:v>SVC000099</x:v>
      </x:c>
      <x:c r="D25" s="6" t="str">
        <x:v>Galaxy S 10 Plus Screen replacement</x:v>
      </x:c>
      <x:c r="E25" s="6" t="str">
        <x:v>Galaxy S 10 Plus Screen replacement</x:v>
      </x:c>
      <x:c r="F25" s="6" t="str">
        <x:v>galaxy s 10 plus screen replacement</x:v>
      </x:c>
      <x:c r="G25" s="6" t="str">
        <x:v>Repair</x:v>
      </x:c>
      <x:c r="H25" s="6" t="str">
        <x:v>Samsung Screen Repair</x:v>
      </x:c>
      <x:c r="I25" s="6" t="str">
        <x:v>Phone</x:v>
      </x:c>
      <x:c r="J25" s="6" t="str">
        <x:v>Galaxy S 10 Plus Screen replacement</x:v>
      </x:c>
      <x:c r="K25" s="6" t="str">
        <x:v>Nocturnix_Master_Services_Catalog_v1.xlsx</x:v>
      </x:c>
      <x:c r="L25" s="6" t="str">
        <x:v>01 - Master Services</x:v>
      </x:c>
      <x:c r="M25" s="6" t="n">
        <x:v>64</x:v>
      </x:c>
      <x:c r="N25" s="6" t="str">
        <x:v>CNF000024</x:v>
      </x:c>
      <x:c r="O25" s="6" t="str"/>
      <x:c r="P25" s="6" t="str">
        <x:v>Pending Verification</x:v>
      </x:c>
      <x:c r="Q25" s="6" t="str"/>
      <x:c r="R25" s="6" t="str"/>
      <x:c r="S25" s="6" t="str"/>
      <x:c r="T25" s="6" t="str"/>
      <x:c r="U25" s="6" t="str"/>
      <x:c r="V25" s="6" t="str">
        <x:v>Unresolved</x:v>
      </x:c>
      <x:c r="W25" s="12" t="str"/>
      <x:c r="X25" s="12" t="str"/>
      <x:c r="Y25" s="6" t="str"/>
      <x:c r="Z25" s="6" t="str"/>
      <x:c r="AA25" s="6" t="str">
        <x:v>Pending</x:v>
      </x:c>
      <x:c r="AB25" s="6" t="str"/>
      <x:c r="AC25" s="6" t="str"/>
      <x:c r="AD25" s="12" t="str"/>
    </x:row>
    <x:row r="26">
      <x:c r="A26" s="6" t="str">
        <x:v>SIR-000025</x:v>
      </x:c>
      <x:c r="B26" s="6" t="str">
        <x:v>SVC000025</x:v>
      </x:c>
      <x:c r="C26" s="6" t="str">
        <x:v>SVC000100</x:v>
      </x:c>
      <x:c r="D26" s="6" t="str">
        <x:v>Galaxy S 6 Active Screen replacement</x:v>
      </x:c>
      <x:c r="E26" s="6" t="str">
        <x:v>Galaxy S 6 Active Screen replacement</x:v>
      </x:c>
      <x:c r="F26" s="6" t="str">
        <x:v>galaxy s 6 active screen replacement</x:v>
      </x:c>
      <x:c r="G26" s="6" t="str">
        <x:v>Repair</x:v>
      </x:c>
      <x:c r="H26" s="6" t="str">
        <x:v>Samsung Screen Repair</x:v>
      </x:c>
      <x:c r="I26" s="6" t="str">
        <x:v>Phone</x:v>
      </x:c>
      <x:c r="J26" s="6" t="str">
        <x:v>Galaxy S 6 Active Screen replacement</x:v>
      </x:c>
      <x:c r="K26" s="6" t="str">
        <x:v>Nocturnix_Master_Services_Catalog_v1.xlsx</x:v>
      </x:c>
      <x:c r="L26" s="6" t="str">
        <x:v>01 - Master Services</x:v>
      </x:c>
      <x:c r="M26" s="6" t="n">
        <x:v>65</x:v>
      </x:c>
      <x:c r="N26" s="6" t="str">
        <x:v>CNF000025</x:v>
      </x:c>
      <x:c r="O26" s="6" t="str"/>
      <x:c r="P26" s="6" t="str">
        <x:v>Pending Verification</x:v>
      </x:c>
      <x:c r="Q26" s="6" t="str"/>
      <x:c r="R26" s="6" t="str"/>
      <x:c r="S26" s="6" t="str"/>
      <x:c r="T26" s="6" t="str"/>
      <x:c r="U26" s="6" t="str"/>
      <x:c r="V26" s="6" t="str">
        <x:v>Unresolved</x:v>
      </x:c>
      <x:c r="W26" s="12" t="str"/>
      <x:c r="X26" s="12" t="str"/>
      <x:c r="Y26" s="6" t="str"/>
      <x:c r="Z26" s="6" t="str"/>
      <x:c r="AA26" s="6" t="str">
        <x:v>Pending</x:v>
      </x:c>
      <x:c r="AB26" s="6" t="str"/>
      <x:c r="AC26" s="6" t="str"/>
      <x:c r="AD26" s="12" t="str"/>
    </x:row>
    <x:row r="27">
      <x:c r="A27" s="6" t="str">
        <x:v>SIR-000026</x:v>
      </x:c>
      <x:c r="B27" s="6" t="str">
        <x:v>SVC000026</x:v>
      </x:c>
      <x:c r="C27" s="6" t="str">
        <x:v>SVC000101</x:v>
      </x:c>
      <x:c r="D27" s="6" t="str">
        <x:v>Galaxy S 6 Screen replacement</x:v>
      </x:c>
      <x:c r="E27" s="6" t="str">
        <x:v>Galaxy S 6 Screen replacement</x:v>
      </x:c>
      <x:c r="F27" s="6" t="str">
        <x:v>galaxy s 6 screen replacement</x:v>
      </x:c>
      <x:c r="G27" s="6" t="str">
        <x:v>Repair</x:v>
      </x:c>
      <x:c r="H27" s="6" t="str">
        <x:v>Samsung Screen Repair</x:v>
      </x:c>
      <x:c r="I27" s="6" t="str">
        <x:v>Phone</x:v>
      </x:c>
      <x:c r="J27" s="6" t="str">
        <x:v>Galaxy S 6 Screen replacement</x:v>
      </x:c>
      <x:c r="K27" s="6" t="str">
        <x:v>Nocturnix_Master_Services_Catalog_v1.xlsx</x:v>
      </x:c>
      <x:c r="L27" s="6" t="str">
        <x:v>01 - Master Services</x:v>
      </x:c>
      <x:c r="M27" s="6" t="n">
        <x:v>66</x:v>
      </x:c>
      <x:c r="N27" s="6" t="str">
        <x:v>CNF000026</x:v>
      </x:c>
      <x:c r="O27" s="6" t="str"/>
      <x:c r="P27" s="6" t="str">
        <x:v>Pending Verification</x:v>
      </x:c>
      <x:c r="Q27" s="6" t="str"/>
      <x:c r="R27" s="6" t="str"/>
      <x:c r="S27" s="6" t="str"/>
      <x:c r="T27" s="6" t="str"/>
      <x:c r="U27" s="6" t="str"/>
      <x:c r="V27" s="6" t="str">
        <x:v>Unresolved</x:v>
      </x:c>
      <x:c r="W27" s="12" t="str"/>
      <x:c r="X27" s="12" t="str"/>
      <x:c r="Y27" s="6" t="str"/>
      <x:c r="Z27" s="6" t="str"/>
      <x:c r="AA27" s="6" t="str">
        <x:v>Pending</x:v>
      </x:c>
      <x:c r="AB27" s="6" t="str"/>
      <x:c r="AC27" s="6" t="str"/>
      <x:c r="AD27" s="12" t="str"/>
    </x:row>
    <x:row r="28">
      <x:c r="A28" s="6" t="str">
        <x:v>SIR-000027</x:v>
      </x:c>
      <x:c r="B28" s="6" t="str">
        <x:v>SVC000027</x:v>
      </x:c>
      <x:c r="C28" s="6" t="str">
        <x:v>SVC000102</x:v>
      </x:c>
      <x:c r="D28" s="6" t="str">
        <x:v>Galaxy S 21 FE Screen replacement</x:v>
      </x:c>
      <x:c r="E28" s="6" t="str">
        <x:v>Galaxy S 21 FE Screen replacement</x:v>
      </x:c>
      <x:c r="F28" s="6" t="str">
        <x:v>galaxy s 21 fe screen replacement</x:v>
      </x:c>
      <x:c r="G28" s="6" t="str">
        <x:v>Repair</x:v>
      </x:c>
      <x:c r="H28" s="6" t="str">
        <x:v>Samsung Screen Repair</x:v>
      </x:c>
      <x:c r="I28" s="6" t="str">
        <x:v>Phone</x:v>
      </x:c>
      <x:c r="J28" s="6" t="str">
        <x:v>Galaxy S 21 FE Screen replacement</x:v>
      </x:c>
      <x:c r="K28" s="6" t="str">
        <x:v>Nocturnix_Master_Services_Catalog_v1.xlsx</x:v>
      </x:c>
      <x:c r="L28" s="6" t="str">
        <x:v>01 - Master Services</x:v>
      </x:c>
      <x:c r="M28" s="6" t="n">
        <x:v>67</x:v>
      </x:c>
      <x:c r="N28" s="6" t="str">
        <x:v>CNF000027</x:v>
      </x:c>
      <x:c r="O28" s="6" t="str"/>
      <x:c r="P28" s="6" t="str">
        <x:v>Pending Verification</x:v>
      </x:c>
      <x:c r="Q28" s="6" t="str"/>
      <x:c r="R28" s="6" t="str"/>
      <x:c r="S28" s="6" t="str"/>
      <x:c r="T28" s="6" t="str"/>
      <x:c r="U28" s="6" t="str"/>
      <x:c r="V28" s="6" t="str">
        <x:v>Unresolved</x:v>
      </x:c>
      <x:c r="W28" s="12" t="str"/>
      <x:c r="X28" s="12" t="str"/>
      <x:c r="Y28" s="6" t="str"/>
      <x:c r="Z28" s="6" t="str"/>
      <x:c r="AA28" s="6" t="str">
        <x:v>Pending</x:v>
      </x:c>
      <x:c r="AB28" s="6" t="str"/>
      <x:c r="AC28" s="6" t="str"/>
      <x:c r="AD28" s="12" t="str"/>
    </x:row>
    <x:row r="29">
      <x:c r="A29" s="6" t="str">
        <x:v>SIR-000028</x:v>
      </x:c>
      <x:c r="B29" s="6" t="str">
        <x:v>SVC000028</x:v>
      </x:c>
      <x:c r="C29" s="6" t="str">
        <x:v>SVC000103</x:v>
      </x:c>
      <x:c r="D29" s="6" t="str">
        <x:v>Galaxy S 6 Edge Screen replacement</x:v>
      </x:c>
      <x:c r="E29" s="6" t="str">
        <x:v>Galaxy S 6 Edge Screen replacement</x:v>
      </x:c>
      <x:c r="F29" s="6" t="str">
        <x:v>galaxy s 6 edge screen replacement</x:v>
      </x:c>
      <x:c r="G29" s="6" t="str">
        <x:v>Repair</x:v>
      </x:c>
      <x:c r="H29" s="6" t="str">
        <x:v>Samsung Screen Repair</x:v>
      </x:c>
      <x:c r="I29" s="6" t="str">
        <x:v>Phone</x:v>
      </x:c>
      <x:c r="J29" s="6" t="str">
        <x:v>Galaxy S 6 Edge Screen replacement</x:v>
      </x:c>
      <x:c r="K29" s="6" t="str">
        <x:v>Nocturnix_Master_Services_Catalog_v1.xlsx</x:v>
      </x:c>
      <x:c r="L29" s="6" t="str">
        <x:v>01 - Master Services</x:v>
      </x:c>
      <x:c r="M29" s="6" t="n">
        <x:v>68</x:v>
      </x:c>
      <x:c r="N29" s="6" t="str">
        <x:v>CNF000028</x:v>
      </x:c>
      <x:c r="O29" s="6" t="str"/>
      <x:c r="P29" s="6" t="str">
        <x:v>Pending Verification</x:v>
      </x:c>
      <x:c r="Q29" s="6" t="str"/>
      <x:c r="R29" s="6" t="str"/>
      <x:c r="S29" s="6" t="str"/>
      <x:c r="T29" s="6" t="str"/>
      <x:c r="U29" s="6" t="str"/>
      <x:c r="V29" s="6" t="str">
        <x:v>Unresolved</x:v>
      </x:c>
      <x:c r="W29" s="12" t="str"/>
      <x:c r="X29" s="12" t="str"/>
      <x:c r="Y29" s="6" t="str"/>
      <x:c r="Z29" s="6" t="str"/>
      <x:c r="AA29" s="6" t="str">
        <x:v>Pending</x:v>
      </x:c>
      <x:c r="AB29" s="6" t="str"/>
      <x:c r="AC29" s="6" t="str"/>
      <x:c r="AD29" s="12" t="str"/>
    </x:row>
    <x:row r="30">
      <x:c r="A30" s="6" t="str">
        <x:v>SIR-000029</x:v>
      </x:c>
      <x:c r="B30" s="6" t="str">
        <x:v>SVC000029</x:v>
      </x:c>
      <x:c r="C30" s="6" t="str">
        <x:v>SVC000104</x:v>
      </x:c>
      <x:c r="D30" s="6" t="str">
        <x:v>Galaxy S 21 Plus Screen replacement</x:v>
      </x:c>
      <x:c r="E30" s="6" t="str">
        <x:v>Galaxy S 21 Plus Screen replacement</x:v>
      </x:c>
      <x:c r="F30" s="6" t="str">
        <x:v>galaxy s 21 plus screen replacement</x:v>
      </x:c>
      <x:c r="G30" s="6" t="str">
        <x:v>Repair</x:v>
      </x:c>
      <x:c r="H30" s="6" t="str">
        <x:v>Samsung Screen Repair</x:v>
      </x:c>
      <x:c r="I30" s="6" t="str">
        <x:v>Phone</x:v>
      </x:c>
      <x:c r="J30" s="6" t="str">
        <x:v>Galaxy S 21 Plus Screen replacement</x:v>
      </x:c>
      <x:c r="K30" s="6" t="str">
        <x:v>Nocturnix_Master_Services_Catalog_v1.xlsx</x:v>
      </x:c>
      <x:c r="L30" s="6" t="str">
        <x:v>01 - Master Services</x:v>
      </x:c>
      <x:c r="M30" s="6" t="n">
        <x:v>69</x:v>
      </x:c>
      <x:c r="N30" s="6" t="str">
        <x:v>CNF000029</x:v>
      </x:c>
      <x:c r="O30" s="6" t="str"/>
      <x:c r="P30" s="6" t="str">
        <x:v>Pending Verification</x:v>
      </x:c>
      <x:c r="Q30" s="6" t="str"/>
      <x:c r="R30" s="6" t="str"/>
      <x:c r="S30" s="6" t="str"/>
      <x:c r="T30" s="6" t="str"/>
      <x:c r="U30" s="6" t="str"/>
      <x:c r="V30" s="6" t="str">
        <x:v>Unresolved</x:v>
      </x:c>
      <x:c r="W30" s="12" t="str"/>
      <x:c r="X30" s="12" t="str"/>
      <x:c r="Y30" s="6" t="str"/>
      <x:c r="Z30" s="6" t="str"/>
      <x:c r="AA30" s="6" t="str">
        <x:v>Pending</x:v>
      </x:c>
      <x:c r="AB30" s="6" t="str"/>
      <x:c r="AC30" s="6" t="str"/>
      <x:c r="AD30" s="12" t="str"/>
    </x:row>
    <x:row r="31">
      <x:c r="A31" s="6" t="str">
        <x:v>SIR-000030</x:v>
      </x:c>
      <x:c r="B31" s="6" t="str">
        <x:v>SVC000030</x:v>
      </x:c>
      <x:c r="C31" s="6" t="str">
        <x:v>SVC000105</x:v>
      </x:c>
      <x:c r="D31" s="6" t="str">
        <x:v>Galaxy S 6 Edge Plus Screen replacement</x:v>
      </x:c>
      <x:c r="E31" s="6" t="str">
        <x:v>Galaxy S 6 Edge Plus Screen replacement</x:v>
      </x:c>
      <x:c r="F31" s="6" t="str">
        <x:v>galaxy s 6 edge plus screen replacement</x:v>
      </x:c>
      <x:c r="G31" s="6" t="str">
        <x:v>Repair</x:v>
      </x:c>
      <x:c r="H31" s="6" t="str">
        <x:v>Samsung Screen Repair</x:v>
      </x:c>
      <x:c r="I31" s="6" t="str">
        <x:v>Phone</x:v>
      </x:c>
      <x:c r="J31" s="6" t="str">
        <x:v>Galaxy S 6 Edge Plus Screen replacement</x:v>
      </x:c>
      <x:c r="K31" s="6" t="str">
        <x:v>Nocturnix_Master_Services_Catalog_v1.xlsx</x:v>
      </x:c>
      <x:c r="L31" s="6" t="str">
        <x:v>01 - Master Services</x:v>
      </x:c>
      <x:c r="M31" s="6" t="n">
        <x:v>70</x:v>
      </x:c>
      <x:c r="N31" s="6" t="str">
        <x:v>CNF000030</x:v>
      </x:c>
      <x:c r="O31" s="6" t="str"/>
      <x:c r="P31" s="6" t="str">
        <x:v>Pending Verification</x:v>
      </x:c>
      <x:c r="Q31" s="6" t="str"/>
      <x:c r="R31" s="6" t="str"/>
      <x:c r="S31" s="6" t="str"/>
      <x:c r="T31" s="6" t="str"/>
      <x:c r="U31" s="6" t="str"/>
      <x:c r="V31" s="6" t="str">
        <x:v>Unresolved</x:v>
      </x:c>
      <x:c r="W31" s="12" t="str"/>
      <x:c r="X31" s="12" t="str"/>
      <x:c r="Y31" s="6" t="str"/>
      <x:c r="Z31" s="6" t="str"/>
      <x:c r="AA31" s="6" t="str">
        <x:v>Pending</x:v>
      </x:c>
      <x:c r="AB31" s="6" t="str"/>
      <x:c r="AC31" s="6" t="str"/>
      <x:c r="AD31" s="12" t="str"/>
    </x:row>
    <x:row r="32">
      <x:c r="A32" s="6" t="str">
        <x:v>SIR-000031</x:v>
      </x:c>
      <x:c r="B32" s="6" t="str">
        <x:v>SVC000031</x:v>
      </x:c>
      <x:c r="C32" s="6" t="str">
        <x:v>SVC000106</x:v>
      </x:c>
      <x:c r="D32" s="6" t="str">
        <x:v>Galaxy S 25 Screen replacement</x:v>
      </x:c>
      <x:c r="E32" s="6" t="str">
        <x:v>Galaxy S 25 Screen replacement</x:v>
      </x:c>
      <x:c r="F32" s="6" t="str">
        <x:v>galaxy s 25 screen replacement</x:v>
      </x:c>
      <x:c r="G32" s="6" t="str">
        <x:v>Repair</x:v>
      </x:c>
      <x:c r="H32" s="6" t="str">
        <x:v>Samsung Screen Repair</x:v>
      </x:c>
      <x:c r="I32" s="6" t="str">
        <x:v>Phone</x:v>
      </x:c>
      <x:c r="J32" s="6" t="str">
        <x:v>Galaxy S 25 Screen replacement</x:v>
      </x:c>
      <x:c r="K32" s="6" t="str">
        <x:v>Nocturnix_Master_Services_Catalog_v1.xlsx</x:v>
      </x:c>
      <x:c r="L32" s="6" t="str">
        <x:v>01 - Master Services</x:v>
      </x:c>
      <x:c r="M32" s="6" t="n">
        <x:v>71</x:v>
      </x:c>
      <x:c r="N32" s="6" t="str">
        <x:v>CNF000031</x:v>
      </x:c>
      <x:c r="O32" s="6" t="str"/>
      <x:c r="P32" s="6" t="str">
        <x:v>Pending Verification</x:v>
      </x:c>
      <x:c r="Q32" s="6" t="str"/>
      <x:c r="R32" s="6" t="str"/>
      <x:c r="S32" s="6" t="str"/>
      <x:c r="T32" s="6" t="str"/>
      <x:c r="U32" s="6" t="str"/>
      <x:c r="V32" s="6" t="str">
        <x:v>Unresolved</x:v>
      </x:c>
      <x:c r="W32" s="12" t="str"/>
      <x:c r="X32" s="12" t="str"/>
      <x:c r="Y32" s="6" t="str"/>
      <x:c r="Z32" s="6" t="str"/>
      <x:c r="AA32" s="6" t="str">
        <x:v>Pending</x:v>
      </x:c>
      <x:c r="AB32" s="6" t="str"/>
      <x:c r="AC32" s="6" t="str"/>
      <x:c r="AD32" s="12" t="str"/>
    </x:row>
    <x:row r="33">
      <x:c r="A33" s="6" t="str">
        <x:v>SIR-000032</x:v>
      </x:c>
      <x:c r="B33" s="6" t="str">
        <x:v>SVC000032</x:v>
      </x:c>
      <x:c r="C33" s="6" t="str">
        <x:v>SVC000107</x:v>
      </x:c>
      <x:c r="D33" s="6" t="str">
        <x:v>Galaxy S 10 E Screen replacement</x:v>
      </x:c>
      <x:c r="E33" s="6" t="str">
        <x:v>Galaxy S 10 E Screen replacement</x:v>
      </x:c>
      <x:c r="F33" s="6" t="str">
        <x:v>galaxy s 10 e screen replacement</x:v>
      </x:c>
      <x:c r="G33" s="6" t="str">
        <x:v>Repair</x:v>
      </x:c>
      <x:c r="H33" s="6" t="str">
        <x:v>Samsung Screen Repair</x:v>
      </x:c>
      <x:c r="I33" s="6" t="str">
        <x:v>Phone</x:v>
      </x:c>
      <x:c r="J33" s="6" t="str">
        <x:v>Galaxy S 10 E Screen replacement</x:v>
      </x:c>
      <x:c r="K33" s="6" t="str">
        <x:v>Nocturnix_Master_Services_Catalog_v1.xlsx</x:v>
      </x:c>
      <x:c r="L33" s="6" t="str">
        <x:v>01 - Master Services</x:v>
      </x:c>
      <x:c r="M33" s="6" t="n">
        <x:v>72</x:v>
      </x:c>
      <x:c r="N33" s="6" t="str">
        <x:v>CNF000032</x:v>
      </x:c>
      <x:c r="O33" s="6" t="str"/>
      <x:c r="P33" s="6" t="str">
        <x:v>Pending Verification</x:v>
      </x:c>
      <x:c r="Q33" s="6" t="str"/>
      <x:c r="R33" s="6" t="str"/>
      <x:c r="S33" s="6" t="str"/>
      <x:c r="T33" s="6" t="str"/>
      <x:c r="U33" s="6" t="str"/>
      <x:c r="V33" s="6" t="str">
        <x:v>Unresolved</x:v>
      </x:c>
      <x:c r="W33" s="12" t="str"/>
      <x:c r="X33" s="12" t="str"/>
      <x:c r="Y33" s="6" t="str"/>
      <x:c r="Z33" s="6" t="str"/>
      <x:c r="AA33" s="6" t="str">
        <x:v>Pending</x:v>
      </x:c>
      <x:c r="AB33" s="6" t="str"/>
      <x:c r="AC33" s="6" t="str"/>
      <x:c r="AD33" s="12" t="str"/>
    </x:row>
    <x:row r="34">
      <x:c r="A34" s="6" t="str">
        <x:v>SIR-000033</x:v>
      </x:c>
      <x:c r="B34" s="6" t="str">
        <x:v>SVC000033</x:v>
      </x:c>
      <x:c r="C34" s="6" t="str">
        <x:v>SVC000108</x:v>
      </x:c>
      <x:c r="D34" s="6" t="str">
        <x:v>Galaxy S 23 Plus Screen replacement</x:v>
      </x:c>
      <x:c r="E34" s="6" t="str">
        <x:v>Galaxy S 23 Plus Screen replacement</x:v>
      </x:c>
      <x:c r="F34" s="6" t="str">
        <x:v>galaxy s 23 plus screen replacement</x:v>
      </x:c>
      <x:c r="G34" s="6" t="str">
        <x:v>Repair</x:v>
      </x:c>
      <x:c r="H34" s="6" t="str">
        <x:v>Samsung Screen Repair</x:v>
      </x:c>
      <x:c r="I34" s="6" t="str">
        <x:v>Phone</x:v>
      </x:c>
      <x:c r="J34" s="6" t="str">
        <x:v>Galaxy S 23 Plus Screen replacement</x:v>
      </x:c>
      <x:c r="K34" s="6" t="str">
        <x:v>Nocturnix_Master_Services_Catalog_v1.xlsx</x:v>
      </x:c>
      <x:c r="L34" s="6" t="str">
        <x:v>01 - Master Services</x:v>
      </x:c>
      <x:c r="M34" s="6" t="n">
        <x:v>73</x:v>
      </x:c>
      <x:c r="N34" s="6" t="str">
        <x:v>CNF000033</x:v>
      </x:c>
      <x:c r="O34" s="6" t="str"/>
      <x:c r="P34" s="6" t="str">
        <x:v>Pending Verification</x:v>
      </x:c>
      <x:c r="Q34" s="6" t="str"/>
      <x:c r="R34" s="6" t="str"/>
      <x:c r="S34" s="6" t="str"/>
      <x:c r="T34" s="6" t="str"/>
      <x:c r="U34" s="6" t="str"/>
      <x:c r="V34" s="6" t="str">
        <x:v>Unresolved</x:v>
      </x:c>
      <x:c r="W34" s="12" t="str"/>
      <x:c r="X34" s="12" t="str"/>
      <x:c r="Y34" s="6" t="str"/>
      <x:c r="Z34" s="6" t="str"/>
      <x:c r="AA34" s="6" t="str">
        <x:v>Pending</x:v>
      </x:c>
      <x:c r="AB34" s="6" t="str"/>
      <x:c r="AC34" s="6" t="str"/>
      <x:c r="AD34" s="12" t="str"/>
    </x:row>
    <x:row r="35">
      <x:c r="A35" s="6" t="str">
        <x:v>SIR-000034</x:v>
      </x:c>
      <x:c r="B35" s="6" t="str">
        <x:v>SVC000034</x:v>
      </x:c>
      <x:c r="C35" s="6" t="str">
        <x:v>SVC000109</x:v>
      </x:c>
      <x:c r="D35" s="6" t="str">
        <x:v>Galaxy S 8 Screen replacement</x:v>
      </x:c>
      <x:c r="E35" s="6" t="str">
        <x:v>Galaxy S 8 Screen replacement</x:v>
      </x:c>
      <x:c r="F35" s="6" t="str">
        <x:v>galaxy s 8 screen replacement</x:v>
      </x:c>
      <x:c r="G35" s="6" t="str">
        <x:v>Repair</x:v>
      </x:c>
      <x:c r="H35" s="6" t="str">
        <x:v>Samsung Screen Repair</x:v>
      </x:c>
      <x:c r="I35" s="6" t="str">
        <x:v>Phone</x:v>
      </x:c>
      <x:c r="J35" s="6" t="str">
        <x:v>Galaxy S 8 Screen replacement</x:v>
      </x:c>
      <x:c r="K35" s="6" t="str">
        <x:v>Nocturnix_Master_Services_Catalog_v1.xlsx</x:v>
      </x:c>
      <x:c r="L35" s="6" t="str">
        <x:v>01 - Master Services</x:v>
      </x:c>
      <x:c r="M35" s="6" t="n">
        <x:v>74</x:v>
      </x:c>
      <x:c r="N35" s="6" t="str">
        <x:v>CNF000034</x:v>
      </x:c>
      <x:c r="O35" s="6" t="str"/>
      <x:c r="P35" s="6" t="str">
        <x:v>Pending Verification</x:v>
      </x:c>
      <x:c r="Q35" s="6" t="str"/>
      <x:c r="R35" s="6" t="str"/>
      <x:c r="S35" s="6" t="str"/>
      <x:c r="T35" s="6" t="str"/>
      <x:c r="U35" s="6" t="str"/>
      <x:c r="V35" s="6" t="str">
        <x:v>Unresolved</x:v>
      </x:c>
      <x:c r="W35" s="12" t="str"/>
      <x:c r="X35" s="12" t="str"/>
      <x:c r="Y35" s="6" t="str"/>
      <x:c r="Z35" s="6" t="str"/>
      <x:c r="AA35" s="6" t="str">
        <x:v>Pending</x:v>
      </x:c>
      <x:c r="AB35" s="6" t="str"/>
      <x:c r="AC35" s="6" t="str"/>
      <x:c r="AD35" s="12" t="str"/>
    </x:row>
    <x:row r="36">
      <x:c r="A36" s="6" t="str">
        <x:v>SIR-000035</x:v>
      </x:c>
      <x:c r="B36" s="6" t="str">
        <x:v>SVC000035</x:v>
      </x:c>
      <x:c r="C36" s="6" t="str">
        <x:v>SVC000110</x:v>
      </x:c>
      <x:c r="D36" s="6" t="str">
        <x:v>Galaxy S 20 Screen replacement</x:v>
      </x:c>
      <x:c r="E36" s="6" t="str">
        <x:v>Galaxy S 20 Screen replacement</x:v>
      </x:c>
      <x:c r="F36" s="6" t="str">
        <x:v>galaxy s 20 screen replacement</x:v>
      </x:c>
      <x:c r="G36" s="6" t="str">
        <x:v>Repair</x:v>
      </x:c>
      <x:c r="H36" s="6" t="str">
        <x:v>Samsung Screen Repair</x:v>
      </x:c>
      <x:c r="I36" s="6" t="str">
        <x:v>Phone</x:v>
      </x:c>
      <x:c r="J36" s="6" t="str">
        <x:v>Galaxy S 20 Screen replacement</x:v>
      </x:c>
      <x:c r="K36" s="6" t="str">
        <x:v>Nocturnix_Master_Services_Catalog_v1.xlsx</x:v>
      </x:c>
      <x:c r="L36" s="6" t="str">
        <x:v>01 - Master Services</x:v>
      </x:c>
      <x:c r="M36" s="6" t="n">
        <x:v>75</x:v>
      </x:c>
      <x:c r="N36" s="6" t="str">
        <x:v>CNF000035</x:v>
      </x:c>
      <x:c r="O36" s="6" t="str"/>
      <x:c r="P36" s="6" t="str">
        <x:v>Pending Verification</x:v>
      </x:c>
      <x:c r="Q36" s="6" t="str"/>
      <x:c r="R36" s="6" t="str"/>
      <x:c r="S36" s="6" t="str"/>
      <x:c r="T36" s="6" t="str"/>
      <x:c r="U36" s="6" t="str"/>
      <x:c r="V36" s="6" t="str">
        <x:v>Unresolved</x:v>
      </x:c>
      <x:c r="W36" s="12" t="str"/>
      <x:c r="X36" s="12" t="str"/>
      <x:c r="Y36" s="6" t="str"/>
      <x:c r="Z36" s="6" t="str"/>
      <x:c r="AA36" s="6" t="str">
        <x:v>Pending</x:v>
      </x:c>
      <x:c r="AB36" s="6" t="str"/>
      <x:c r="AC36" s="6" t="str"/>
      <x:c r="AD36" s="12" t="str"/>
    </x:row>
    <x:row r="37">
      <x:c r="A37" s="6" t="str">
        <x:v>SIR-000036</x:v>
      </x:c>
      <x:c r="B37" s="6" t="str">
        <x:v>SVC000036</x:v>
      </x:c>
      <x:c r="C37" s="6" t="str">
        <x:v>SVC000111</x:v>
      </x:c>
      <x:c r="D37" s="6" t="str">
        <x:v>Galaxy S 20 Ultra Screen replacement</x:v>
      </x:c>
      <x:c r="E37" s="6" t="str">
        <x:v>Galaxy S 20 Ultra Screen replacement</x:v>
      </x:c>
      <x:c r="F37" s="6" t="str">
        <x:v>galaxy s 20 ultra screen replacement</x:v>
      </x:c>
      <x:c r="G37" s="6" t="str">
        <x:v>Repair</x:v>
      </x:c>
      <x:c r="H37" s="6" t="str">
        <x:v>Samsung Screen Repair</x:v>
      </x:c>
      <x:c r="I37" s="6" t="str">
        <x:v>Phone</x:v>
      </x:c>
      <x:c r="J37" s="6" t="str">
        <x:v>Galaxy S 20 Ultra Screen replacement</x:v>
      </x:c>
      <x:c r="K37" s="6" t="str">
        <x:v>Nocturnix_Master_Services_Catalog_v1.xlsx</x:v>
      </x:c>
      <x:c r="L37" s="6" t="str">
        <x:v>01 - Master Services</x:v>
      </x:c>
      <x:c r="M37" s="6" t="n">
        <x:v>76</x:v>
      </x:c>
      <x:c r="N37" s="6" t="str">
        <x:v>CNF000036</x:v>
      </x:c>
      <x:c r="O37" s="6" t="str"/>
      <x:c r="P37" s="6" t="str">
        <x:v>Pending Verification</x:v>
      </x:c>
      <x:c r="Q37" s="6" t="str"/>
      <x:c r="R37" s="6" t="str"/>
      <x:c r="S37" s="6" t="str"/>
      <x:c r="T37" s="6" t="str"/>
      <x:c r="U37" s="6" t="str"/>
      <x:c r="V37" s="6" t="str">
        <x:v>Unresolved</x:v>
      </x:c>
      <x:c r="W37" s="12" t="str"/>
      <x:c r="X37" s="12" t="str"/>
      <x:c r="Y37" s="6" t="str"/>
      <x:c r="Z37" s="6" t="str"/>
      <x:c r="AA37" s="6" t="str">
        <x:v>Pending</x:v>
      </x:c>
      <x:c r="AB37" s="6" t="str"/>
      <x:c r="AC37" s="6" t="str"/>
      <x:c r="AD37" s="12" t="str"/>
    </x:row>
    <x:row r="38">
      <x:c r="A38" s="6" t="str">
        <x:v>SIR-000037</x:v>
      </x:c>
      <x:c r="B38" s="6" t="str">
        <x:v>SVC000037</x:v>
      </x:c>
      <x:c r="C38" s="6" t="str">
        <x:v>SVC000112</x:v>
      </x:c>
      <x:c r="D38" s="6" t="str">
        <x:v>Galaxy S 24 Plus Screen replacement</x:v>
      </x:c>
      <x:c r="E38" s="6" t="str">
        <x:v>Galaxy S 24 Plus Screen replacement</x:v>
      </x:c>
      <x:c r="F38" s="6" t="str">
        <x:v>galaxy s 24 plus screen replacement</x:v>
      </x:c>
      <x:c r="G38" s="6" t="str">
        <x:v>Repair</x:v>
      </x:c>
      <x:c r="H38" s="6" t="str">
        <x:v>Samsung Screen Repair</x:v>
      </x:c>
      <x:c r="I38" s="6" t="str">
        <x:v>Phone</x:v>
      </x:c>
      <x:c r="J38" s="6" t="str">
        <x:v>Galaxy S 24 Plus Screen replacement</x:v>
      </x:c>
      <x:c r="K38" s="6" t="str">
        <x:v>Nocturnix_Master_Services_Catalog_v1.xlsx</x:v>
      </x:c>
      <x:c r="L38" s="6" t="str">
        <x:v>01 - Master Services</x:v>
      </x:c>
      <x:c r="M38" s="6" t="n">
        <x:v>77</x:v>
      </x:c>
      <x:c r="N38" s="6" t="str">
        <x:v>CNF000037</x:v>
      </x:c>
      <x:c r="O38" s="6" t="str"/>
      <x:c r="P38" s="6" t="str">
        <x:v>Pending Verification</x:v>
      </x:c>
      <x:c r="Q38" s="6" t="str"/>
      <x:c r="R38" s="6" t="str"/>
      <x:c r="S38" s="6" t="str"/>
      <x:c r="T38" s="6" t="str"/>
      <x:c r="U38" s="6" t="str"/>
      <x:c r="V38" s="6" t="str">
        <x:v>Unresolved</x:v>
      </x:c>
      <x:c r="W38" s="12" t="str"/>
      <x:c r="X38" s="12" t="str"/>
      <x:c r="Y38" s="6" t="str"/>
      <x:c r="Z38" s="6" t="str"/>
      <x:c r="AA38" s="6" t="str">
        <x:v>Pending</x:v>
      </x:c>
      <x:c r="AB38" s="6" t="str"/>
      <x:c r="AC38" s="6" t="str"/>
      <x:c r="AD38" s="12" t="str"/>
    </x:row>
    <x:row r="39">
      <x:c r="A39" s="6" t="str">
        <x:v>SIR-000038</x:v>
      </x:c>
      <x:c r="B39" s="6" t="str">
        <x:v>SVC000038</x:v>
      </x:c>
      <x:c r="C39" s="6" t="str">
        <x:v>SVC000113</x:v>
      </x:c>
      <x:c r="D39" s="6" t="str">
        <x:v>Galaxy S 7 Screen replacement</x:v>
      </x:c>
      <x:c r="E39" s="6" t="str">
        <x:v>Galaxy S 7 Screen replacement</x:v>
      </x:c>
      <x:c r="F39" s="6" t="str">
        <x:v>galaxy s 7 screen replacement</x:v>
      </x:c>
      <x:c r="G39" s="6" t="str">
        <x:v>Repair</x:v>
      </x:c>
      <x:c r="H39" s="6" t="str">
        <x:v>Samsung Screen Repair</x:v>
      </x:c>
      <x:c r="I39" s="6" t="str">
        <x:v>Phone</x:v>
      </x:c>
      <x:c r="J39" s="6" t="str">
        <x:v>Galaxy S 7 Screen replacement</x:v>
      </x:c>
      <x:c r="K39" s="6" t="str">
        <x:v>Nocturnix_Master_Services_Catalog_v1.xlsx</x:v>
      </x:c>
      <x:c r="L39" s="6" t="str">
        <x:v>01 - Master Services</x:v>
      </x:c>
      <x:c r="M39" s="6" t="n">
        <x:v>78</x:v>
      </x:c>
      <x:c r="N39" s="6" t="str">
        <x:v>CNF000038</x:v>
      </x:c>
      <x:c r="O39" s="6" t="str"/>
      <x:c r="P39" s="6" t="str">
        <x:v>Pending Verification</x:v>
      </x:c>
      <x:c r="Q39" s="6" t="str"/>
      <x:c r="R39" s="6" t="str"/>
      <x:c r="S39" s="6" t="str"/>
      <x:c r="T39" s="6" t="str"/>
      <x:c r="U39" s="6" t="str"/>
      <x:c r="V39" s="6" t="str">
        <x:v>Unresolved</x:v>
      </x:c>
      <x:c r="W39" s="12" t="str"/>
      <x:c r="X39" s="12" t="str"/>
      <x:c r="Y39" s="6" t="str"/>
      <x:c r="Z39" s="6" t="str"/>
      <x:c r="AA39" s="6" t="str">
        <x:v>Pending</x:v>
      </x:c>
      <x:c r="AB39" s="6" t="str"/>
      <x:c r="AC39" s="6" t="str"/>
      <x:c r="AD39" s="12" t="str"/>
    </x:row>
    <x:row r="40">
      <x:c r="A40" s="6" t="str">
        <x:v>SIR-000039</x:v>
      </x:c>
      <x:c r="B40" s="6" t="str">
        <x:v>SVC000039</x:v>
      </x:c>
      <x:c r="C40" s="6" t="str">
        <x:v>SVC000114</x:v>
      </x:c>
      <x:c r="D40" s="6" t="str">
        <x:v>Galaxy S 10 Screen replacement</x:v>
      </x:c>
      <x:c r="E40" s="6" t="str">
        <x:v>Galaxy S 10 Screen replacement</x:v>
      </x:c>
      <x:c r="F40" s="6" t="str">
        <x:v>galaxy s 10 screen replacement</x:v>
      </x:c>
      <x:c r="G40" s="6" t="str">
        <x:v>Repair</x:v>
      </x:c>
      <x:c r="H40" s="6" t="str">
        <x:v>Samsung Screen Repair</x:v>
      </x:c>
      <x:c r="I40" s="6" t="str">
        <x:v>Phone</x:v>
      </x:c>
      <x:c r="J40" s="6" t="str">
        <x:v>Galaxy S 10 Screen replacement</x:v>
      </x:c>
      <x:c r="K40" s="6" t="str">
        <x:v>Nocturnix_Master_Services_Catalog_v1.xlsx</x:v>
      </x:c>
      <x:c r="L40" s="6" t="str">
        <x:v>01 - Master Services</x:v>
      </x:c>
      <x:c r="M40" s="6" t="n">
        <x:v>79</x:v>
      </x:c>
      <x:c r="N40" s="6" t="str">
        <x:v>CNF000039</x:v>
      </x:c>
      <x:c r="O40" s="6" t="str"/>
      <x:c r="P40" s="6" t="str">
        <x:v>Pending Verification</x:v>
      </x:c>
      <x:c r="Q40" s="6" t="str"/>
      <x:c r="R40" s="6" t="str"/>
      <x:c r="S40" s="6" t="str"/>
      <x:c r="T40" s="6" t="str"/>
      <x:c r="U40" s="6" t="str"/>
      <x:c r="V40" s="6" t="str">
        <x:v>Unresolved</x:v>
      </x:c>
      <x:c r="W40" s="12" t="str"/>
      <x:c r="X40" s="12" t="str"/>
      <x:c r="Y40" s="6" t="str"/>
      <x:c r="Z40" s="6" t="str"/>
      <x:c r="AA40" s="6" t="str">
        <x:v>Pending</x:v>
      </x:c>
      <x:c r="AB40" s="6" t="str"/>
      <x:c r="AC40" s="6" t="str"/>
      <x:c r="AD40" s="12" t="str"/>
    </x:row>
    <x:row r="41">
      <x:c r="A41" s="6" t="str">
        <x:v>SIR-000040</x:v>
      </x:c>
      <x:c r="B41" s="6" t="str">
        <x:v>SVC000040</x:v>
      </x:c>
      <x:c r="C41" s="6" t="str">
        <x:v>SVC000115</x:v>
      </x:c>
      <x:c r="D41" s="6" t="str">
        <x:v>Galaxy S 7 Edge Screen replacement</x:v>
      </x:c>
      <x:c r="E41" s="6" t="str">
        <x:v>Galaxy S 7 Edge Screen replacement</x:v>
      </x:c>
      <x:c r="F41" s="6" t="str">
        <x:v>galaxy s 7 edge screen replacement</x:v>
      </x:c>
      <x:c r="G41" s="6" t="str">
        <x:v>Repair</x:v>
      </x:c>
      <x:c r="H41" s="6" t="str">
        <x:v>Samsung Screen Repair</x:v>
      </x:c>
      <x:c r="I41" s="6" t="str">
        <x:v>Phone</x:v>
      </x:c>
      <x:c r="J41" s="6" t="str">
        <x:v>Galaxy S 7 Edge Screen replacement</x:v>
      </x:c>
      <x:c r="K41" s="6" t="str">
        <x:v>Nocturnix_Master_Services_Catalog_v1.xlsx</x:v>
      </x:c>
      <x:c r="L41" s="6" t="str">
        <x:v>01 - Master Services</x:v>
      </x:c>
      <x:c r="M41" s="6" t="n">
        <x:v>80</x:v>
      </x:c>
      <x:c r="N41" s="6" t="str">
        <x:v>CNF000040</x:v>
      </x:c>
      <x:c r="O41" s="6" t="str"/>
      <x:c r="P41" s="6" t="str">
        <x:v>Pending Verification</x:v>
      </x:c>
      <x:c r="Q41" s="6" t="str"/>
      <x:c r="R41" s="6" t="str"/>
      <x:c r="S41" s="6" t="str"/>
      <x:c r="T41" s="6" t="str"/>
      <x:c r="U41" s="6" t="str"/>
      <x:c r="V41" s="6" t="str">
        <x:v>Unresolved</x:v>
      </x:c>
      <x:c r="W41" s="12" t="str"/>
      <x:c r="X41" s="12" t="str"/>
      <x:c r="Y41" s="6" t="str"/>
      <x:c r="Z41" s="6" t="str"/>
      <x:c r="AA41" s="6" t="str">
        <x:v>Pending</x:v>
      </x:c>
      <x:c r="AB41" s="6" t="str"/>
      <x:c r="AC41" s="6" t="str"/>
      <x:c r="AD41" s="12" t="str"/>
    </x:row>
    <x:row r="42">
      <x:c r="A42" s="6" t="str">
        <x:v>SIR-000041</x:v>
      </x:c>
      <x:c r="B42" s="6" t="str">
        <x:v>SVC000041</x:v>
      </x:c>
      <x:c r="C42" s="6" t="str">
        <x:v>SVC000116</x:v>
      </x:c>
      <x:c r="D42" s="6" t="str">
        <x:v>Galaxy S 9 Screen replacement</x:v>
      </x:c>
      <x:c r="E42" s="6" t="str">
        <x:v>Galaxy S 9 Screen replacement</x:v>
      </x:c>
      <x:c r="F42" s="6" t="str">
        <x:v>galaxy s 9 screen replacement</x:v>
      </x:c>
      <x:c r="G42" s="6" t="str">
        <x:v>Repair</x:v>
      </x:c>
      <x:c r="H42" s="6" t="str">
        <x:v>Samsung Screen Repair</x:v>
      </x:c>
      <x:c r="I42" s="6" t="str">
        <x:v>Phone</x:v>
      </x:c>
      <x:c r="J42" s="6" t="str">
        <x:v>Galaxy S 9 Screen replacement</x:v>
      </x:c>
      <x:c r="K42" s="6" t="str">
        <x:v>Nocturnix_Master_Services_Catalog_v1.xlsx</x:v>
      </x:c>
      <x:c r="L42" s="6" t="str">
        <x:v>01 - Master Services</x:v>
      </x:c>
      <x:c r="M42" s="6" t="n">
        <x:v>81</x:v>
      </x:c>
      <x:c r="N42" s="6" t="str">
        <x:v>CNF000041</x:v>
      </x:c>
      <x:c r="O42" s="6" t="str"/>
      <x:c r="P42" s="6" t="str">
        <x:v>Pending Verification</x:v>
      </x:c>
      <x:c r="Q42" s="6" t="str"/>
      <x:c r="R42" s="6" t="str"/>
      <x:c r="S42" s="6" t="str"/>
      <x:c r="T42" s="6" t="str"/>
      <x:c r="U42" s="6" t="str"/>
      <x:c r="V42" s="6" t="str">
        <x:v>Unresolved</x:v>
      </x:c>
      <x:c r="W42" s="12" t="str"/>
      <x:c r="X42" s="12" t="str"/>
      <x:c r="Y42" s="6" t="str"/>
      <x:c r="Z42" s="6" t="str"/>
      <x:c r="AA42" s="6" t="str">
        <x:v>Pending</x:v>
      </x:c>
      <x:c r="AB42" s="6" t="str"/>
      <x:c r="AC42" s="6" t="str"/>
      <x:c r="AD42" s="12" t="str"/>
    </x:row>
    <x:row r="43">
      <x:c r="A43" s="6" t="str">
        <x:v>SIR-000042</x:v>
      </x:c>
      <x:c r="B43" s="6" t="str">
        <x:v>SVC000042</x:v>
      </x:c>
      <x:c r="C43" s="6" t="str">
        <x:v>SVC000117</x:v>
      </x:c>
      <x:c r="D43" s="6" t="str">
        <x:v>Galaxy S 23 Screen replacement</x:v>
      </x:c>
      <x:c r="E43" s="6" t="str">
        <x:v>Galaxy S 23 Screen replacement</x:v>
      </x:c>
      <x:c r="F43" s="6" t="str">
        <x:v>galaxy s 23 screen replacement</x:v>
      </x:c>
      <x:c r="G43" s="6" t="str">
        <x:v>Repair</x:v>
      </x:c>
      <x:c r="H43" s="6" t="str">
        <x:v>Samsung Screen Repair</x:v>
      </x:c>
      <x:c r="I43" s="6" t="str">
        <x:v>Phone</x:v>
      </x:c>
      <x:c r="J43" s="6" t="str">
        <x:v>Galaxy S 23 Screen replacement</x:v>
      </x:c>
      <x:c r="K43" s="6" t="str">
        <x:v>Nocturnix_Master_Services_Catalog_v1.xlsx</x:v>
      </x:c>
      <x:c r="L43" s="6" t="str">
        <x:v>01 - Master Services</x:v>
      </x:c>
      <x:c r="M43" s="6" t="n">
        <x:v>82</x:v>
      </x:c>
      <x:c r="N43" s="6" t="str">
        <x:v>CNF000042</x:v>
      </x:c>
      <x:c r="O43" s="6" t="str"/>
      <x:c r="P43" s="6" t="str">
        <x:v>Pending Verification</x:v>
      </x:c>
      <x:c r="Q43" s="6" t="str"/>
      <x:c r="R43" s="6" t="str"/>
      <x:c r="S43" s="6" t="str"/>
      <x:c r="T43" s="6" t="str"/>
      <x:c r="U43" s="6" t="str"/>
      <x:c r="V43" s="6" t="str">
        <x:v>Unresolved</x:v>
      </x:c>
      <x:c r="W43" s="12" t="str"/>
      <x:c r="X43" s="12" t="str"/>
      <x:c r="Y43" s="6" t="str"/>
      <x:c r="Z43" s="6" t="str"/>
      <x:c r="AA43" s="6" t="str">
        <x:v>Pending</x:v>
      </x:c>
      <x:c r="AB43" s="6" t="str"/>
      <x:c r="AC43" s="6" t="str"/>
      <x:c r="AD43" s="12" t="str"/>
    </x:row>
    <x:row r="44">
      <x:c r="A44" s="6" t="str">
        <x:v>SIR-000043</x:v>
      </x:c>
      <x:c r="B44" s="6" t="str">
        <x:v>SVC000043</x:v>
      </x:c>
      <x:c r="C44" s="6" t="str">
        <x:v>SVC000118</x:v>
      </x:c>
      <x:c r="D44" s="6" t="str">
        <x:v>Galaxy S 23 FE Screen replacement</x:v>
      </x:c>
      <x:c r="E44" s="6" t="str">
        <x:v>Galaxy S 23 FE Screen replacement</x:v>
      </x:c>
      <x:c r="F44" s="6" t="str">
        <x:v>galaxy s 23 fe screen replacement</x:v>
      </x:c>
      <x:c r="G44" s="6" t="str">
        <x:v>Repair</x:v>
      </x:c>
      <x:c r="H44" s="6" t="str">
        <x:v>Samsung Screen Repair</x:v>
      </x:c>
      <x:c r="I44" s="6" t="str">
        <x:v>Phone</x:v>
      </x:c>
      <x:c r="J44" s="6" t="str">
        <x:v>Galaxy S 23 FE Screen replacement</x:v>
      </x:c>
      <x:c r="K44" s="6" t="str">
        <x:v>Nocturnix_Master_Services_Catalog_v1.xlsx</x:v>
      </x:c>
      <x:c r="L44" s="6" t="str">
        <x:v>01 - Master Services</x:v>
      </x:c>
      <x:c r="M44" s="6" t="n">
        <x:v>83</x:v>
      </x:c>
      <x:c r="N44" s="6" t="str">
        <x:v>CNF000043</x:v>
      </x:c>
      <x:c r="O44" s="6" t="str"/>
      <x:c r="P44" s="6" t="str">
        <x:v>Pending Verification</x:v>
      </x:c>
      <x:c r="Q44" s="6" t="str"/>
      <x:c r="R44" s="6" t="str"/>
      <x:c r="S44" s="6" t="str"/>
      <x:c r="T44" s="6" t="str"/>
      <x:c r="U44" s="6" t="str"/>
      <x:c r="V44" s="6" t="str">
        <x:v>Unresolved</x:v>
      </x:c>
      <x:c r="W44" s="12" t="str"/>
      <x:c r="X44" s="12" t="str"/>
      <x:c r="Y44" s="6" t="str"/>
      <x:c r="Z44" s="6" t="str"/>
      <x:c r="AA44" s="6" t="str">
        <x:v>Pending</x:v>
      </x:c>
      <x:c r="AB44" s="6" t="str"/>
      <x:c r="AC44" s="6" t="str"/>
      <x:c r="AD44" s="12" t="str"/>
    </x:row>
    <x:row r="45">
      <x:c r="A45" s="6" t="str">
        <x:v>SIR-000044</x:v>
      </x:c>
      <x:c r="B45" s="6" t="str">
        <x:v>SVC000044</x:v>
      </x:c>
      <x:c r="C45" s="6" t="str">
        <x:v>SVC000119</x:v>
      </x:c>
      <x:c r="D45" s="6" t="str">
        <x:v>Galaxy S3 Mini Screen replacement</x:v>
      </x:c>
      <x:c r="E45" s="6" t="str">
        <x:v>Galaxy S3 Mini Screen replacement</x:v>
      </x:c>
      <x:c r="F45" s="6" t="str">
        <x:v>galaxy s3 mini screen replacement</x:v>
      </x:c>
      <x:c r="G45" s="6" t="str">
        <x:v>Repair</x:v>
      </x:c>
      <x:c r="H45" s="6" t="str">
        <x:v>Samsung Screen Repair</x:v>
      </x:c>
      <x:c r="I45" s="6" t="str">
        <x:v>Phone</x:v>
      </x:c>
      <x:c r="J45" s="6" t="str">
        <x:v>Galaxy S3 Mini Screen replacement</x:v>
      </x:c>
      <x:c r="K45" s="6" t="str">
        <x:v>Nocturnix_Master_Services_Catalog_v1.xlsx</x:v>
      </x:c>
      <x:c r="L45" s="6" t="str">
        <x:v>01 - Master Services</x:v>
      </x:c>
      <x:c r="M45" s="6" t="n">
        <x:v>84</x:v>
      </x:c>
      <x:c r="N45" s="6" t="str">
        <x:v>CNF000044</x:v>
      </x:c>
      <x:c r="O45" s="6" t="str"/>
      <x:c r="P45" s="6" t="str">
        <x:v>Pending Verification</x:v>
      </x:c>
      <x:c r="Q45" s="6" t="str"/>
      <x:c r="R45" s="6" t="str"/>
      <x:c r="S45" s="6" t="str"/>
      <x:c r="T45" s="6" t="str"/>
      <x:c r="U45" s="6" t="str"/>
      <x:c r="V45" s="6" t="str">
        <x:v>Unresolved</x:v>
      </x:c>
      <x:c r="W45" s="12" t="str"/>
      <x:c r="X45" s="12" t="str"/>
      <x:c r="Y45" s="6" t="str"/>
      <x:c r="Z45" s="6" t="str"/>
      <x:c r="AA45" s="6" t="str">
        <x:v>Pending</x:v>
      </x:c>
      <x:c r="AB45" s="6" t="str"/>
      <x:c r="AC45" s="6" t="str"/>
      <x:c r="AD45" s="12" t="str"/>
    </x:row>
    <x:row r="46">
      <x:c r="A46" s="6" t="str">
        <x:v>SIR-000045</x:v>
      </x:c>
      <x:c r="B46" s="6" t="str">
        <x:v>SVC000045</x:v>
      </x:c>
      <x:c r="C46" s="6" t="str">
        <x:v>SVC000120</x:v>
      </x:c>
      <x:c r="D46" s="6" t="str">
        <x:v>Galaxy S 4 Mini Screen replacement</x:v>
      </x:c>
      <x:c r="E46" s="6" t="str">
        <x:v>Galaxy S 4 Mini Screen replacement</x:v>
      </x:c>
      <x:c r="F46" s="6" t="str">
        <x:v>galaxy s 4 mini screen replacement</x:v>
      </x:c>
      <x:c r="G46" s="6" t="str">
        <x:v>Repair</x:v>
      </x:c>
      <x:c r="H46" s="6" t="str">
        <x:v>Samsung Screen Repair</x:v>
      </x:c>
      <x:c r="I46" s="6" t="str">
        <x:v>Phone</x:v>
      </x:c>
      <x:c r="J46" s="6" t="str">
        <x:v>Galaxy S 4 Mini Screen replacement</x:v>
      </x:c>
      <x:c r="K46" s="6" t="str">
        <x:v>Nocturnix_Master_Services_Catalog_v1.xlsx</x:v>
      </x:c>
      <x:c r="L46" s="6" t="str">
        <x:v>01 - Master Services</x:v>
      </x:c>
      <x:c r="M46" s="6" t="n">
        <x:v>85</x:v>
      </x:c>
      <x:c r="N46" s="6" t="str">
        <x:v>CNF000045</x:v>
      </x:c>
      <x:c r="O46" s="6" t="str"/>
      <x:c r="P46" s="6" t="str">
        <x:v>Pending Verification</x:v>
      </x:c>
      <x:c r="Q46" s="6" t="str"/>
      <x:c r="R46" s="6" t="str"/>
      <x:c r="S46" s="6" t="str"/>
      <x:c r="T46" s="6" t="str"/>
      <x:c r="U46" s="6" t="str"/>
      <x:c r="V46" s="6" t="str">
        <x:v>Unresolved</x:v>
      </x:c>
      <x:c r="W46" s="12" t="str"/>
      <x:c r="X46" s="12" t="str"/>
      <x:c r="Y46" s="6" t="str"/>
      <x:c r="Z46" s="6" t="str"/>
      <x:c r="AA46" s="6" t="str">
        <x:v>Pending</x:v>
      </x:c>
      <x:c r="AB46" s="6" t="str"/>
      <x:c r="AC46" s="6" t="str"/>
      <x:c r="AD46" s="12" t="str"/>
    </x:row>
    <x:row r="47">
      <x:c r="A47" s="6" t="str">
        <x:v>SIR-000046</x:v>
      </x:c>
      <x:c r="B47" s="6" t="str">
        <x:v>SVC000046</x:v>
      </x:c>
      <x:c r="C47" s="6" t="str">
        <x:v>SVC000121</x:v>
      </x:c>
      <x:c r="D47" s="6" t="str">
        <x:v>Galaxy S Classic Screen replacement</x:v>
      </x:c>
      <x:c r="E47" s="6" t="str">
        <x:v>Galaxy S Classic Screen replacement</x:v>
      </x:c>
      <x:c r="F47" s="6" t="str">
        <x:v>galaxy s classic screen replacement</x:v>
      </x:c>
      <x:c r="G47" s="6" t="str">
        <x:v>Repair</x:v>
      </x:c>
      <x:c r="H47" s="6" t="str">
        <x:v>Samsung Screen Repair</x:v>
      </x:c>
      <x:c r="I47" s="6" t="str">
        <x:v>Phone</x:v>
      </x:c>
      <x:c r="J47" s="6" t="str">
        <x:v>Galaxy S Classic Screen replacement</x:v>
      </x:c>
      <x:c r="K47" s="6" t="str">
        <x:v>Nocturnix_Master_Services_Catalog_v1.xlsx</x:v>
      </x:c>
      <x:c r="L47" s="6" t="str">
        <x:v>01 - Master Services</x:v>
      </x:c>
      <x:c r="M47" s="6" t="n">
        <x:v>86</x:v>
      </x:c>
      <x:c r="N47" s="6" t="str">
        <x:v>CNF000046</x:v>
      </x:c>
      <x:c r="O47" s="6" t="str"/>
      <x:c r="P47" s="6" t="str">
        <x:v>Pending Verification</x:v>
      </x:c>
      <x:c r="Q47" s="6" t="str"/>
      <x:c r="R47" s="6" t="str"/>
      <x:c r="S47" s="6" t="str"/>
      <x:c r="T47" s="6" t="str"/>
      <x:c r="U47" s="6" t="str"/>
      <x:c r="V47" s="6" t="str">
        <x:v>Unresolved</x:v>
      </x:c>
      <x:c r="W47" s="12" t="str"/>
      <x:c r="X47" s="12" t="str"/>
      <x:c r="Y47" s="6" t="str"/>
      <x:c r="Z47" s="6" t="str"/>
      <x:c r="AA47" s="6" t="str">
        <x:v>Pending</x:v>
      </x:c>
      <x:c r="AB47" s="6" t="str"/>
      <x:c r="AC47" s="6" t="str"/>
      <x:c r="AD47" s="12" t="str"/>
    </x:row>
    <x:row r="48">
      <x:c r="A48" s="6" t="str">
        <x:v>SIR-000047</x:v>
      </x:c>
      <x:c r="B48" s="6" t="str">
        <x:v>SVC000047</x:v>
      </x:c>
      <x:c r="C48" s="6" t="str">
        <x:v>SVC000122</x:v>
      </x:c>
      <x:c r="D48" s="6" t="str">
        <x:v>Galaxy S 5 Active Screen replacement</x:v>
      </x:c>
      <x:c r="E48" s="6" t="str">
        <x:v>Galaxy S 5 Active Screen replacement</x:v>
      </x:c>
      <x:c r="F48" s="6" t="str">
        <x:v>galaxy s 5 active screen replacement</x:v>
      </x:c>
      <x:c r="G48" s="6" t="str">
        <x:v>Repair</x:v>
      </x:c>
      <x:c r="H48" s="6" t="str">
        <x:v>Samsung Screen Repair</x:v>
      </x:c>
      <x:c r="I48" s="6" t="str">
        <x:v>Phone</x:v>
      </x:c>
      <x:c r="J48" s="6" t="str">
        <x:v>Galaxy S 5 Active Screen replacement</x:v>
      </x:c>
      <x:c r="K48" s="6" t="str">
        <x:v>Nocturnix_Master_Services_Catalog_v1.xlsx</x:v>
      </x:c>
      <x:c r="L48" s="6" t="str">
        <x:v>01 - Master Services</x:v>
      </x:c>
      <x:c r="M48" s="6" t="n">
        <x:v>87</x:v>
      </x:c>
      <x:c r="N48" s="6" t="str">
        <x:v>CNF000047</x:v>
      </x:c>
      <x:c r="O48" s="6" t="str"/>
      <x:c r="P48" s="6" t="str">
        <x:v>Pending Verification</x:v>
      </x:c>
      <x:c r="Q48" s="6" t="str"/>
      <x:c r="R48" s="6" t="str"/>
      <x:c r="S48" s="6" t="str"/>
      <x:c r="T48" s="6" t="str"/>
      <x:c r="U48" s="6" t="str"/>
      <x:c r="V48" s="6" t="str">
        <x:v>Unresolved</x:v>
      </x:c>
      <x:c r="W48" s="12" t="str"/>
      <x:c r="X48" s="12" t="str"/>
      <x:c r="Y48" s="6" t="str"/>
      <x:c r="Z48" s="6" t="str"/>
      <x:c r="AA48" s="6" t="str">
        <x:v>Pending</x:v>
      </x:c>
      <x:c r="AB48" s="6" t="str"/>
      <x:c r="AC48" s="6" t="str"/>
      <x:c r="AD48" s="12" t="str"/>
    </x:row>
    <x:row r="49">
      <x:c r="A49" s="6" t="str">
        <x:v>SIR-000048</x:v>
      </x:c>
      <x:c r="B49" s="6" t="str">
        <x:v>SVC000048</x:v>
      </x:c>
      <x:c r="C49" s="6" t="str">
        <x:v>SVC000123</x:v>
      </x:c>
      <x:c r="D49" s="6" t="str">
        <x:v>Galaxy S 5 Neo Screen replacement</x:v>
      </x:c>
      <x:c r="E49" s="6" t="str">
        <x:v>Galaxy S 5 Neo Screen replacement</x:v>
      </x:c>
      <x:c r="F49" s="6" t="str">
        <x:v>galaxy s 5 neo screen replacement</x:v>
      </x:c>
      <x:c r="G49" s="6" t="str">
        <x:v>Repair</x:v>
      </x:c>
      <x:c r="H49" s="6" t="str">
        <x:v>Samsung Screen Repair</x:v>
      </x:c>
      <x:c r="I49" s="6" t="str">
        <x:v>Phone</x:v>
      </x:c>
      <x:c r="J49" s="6" t="str">
        <x:v>Galaxy S 5 Neo Screen replacement</x:v>
      </x:c>
      <x:c r="K49" s="6" t="str">
        <x:v>Nocturnix_Master_Services_Catalog_v1.xlsx</x:v>
      </x:c>
      <x:c r="L49" s="6" t="str">
        <x:v>01 - Master Services</x:v>
      </x:c>
      <x:c r="M49" s="6" t="n">
        <x:v>88</x:v>
      </x:c>
      <x:c r="N49" s="6" t="str">
        <x:v>CNF000048</x:v>
      </x:c>
      <x:c r="O49" s="6" t="str"/>
      <x:c r="P49" s="6" t="str">
        <x:v>Pending Verification</x:v>
      </x:c>
      <x:c r="Q49" s="6" t="str"/>
      <x:c r="R49" s="6" t="str"/>
      <x:c r="S49" s="6" t="str"/>
      <x:c r="T49" s="6" t="str"/>
      <x:c r="U49" s="6" t="str"/>
      <x:c r="V49" s="6" t="str">
        <x:v>Unresolved</x:v>
      </x:c>
      <x:c r="W49" s="12" t="str"/>
      <x:c r="X49" s="12" t="str"/>
      <x:c r="Y49" s="6" t="str"/>
      <x:c r="Z49" s="6" t="str"/>
      <x:c r="AA49" s="6" t="str">
        <x:v>Pending</x:v>
      </x:c>
      <x:c r="AB49" s="6" t="str"/>
      <x:c r="AC49" s="6" t="str"/>
      <x:c r="AD49" s="12" t="str"/>
    </x:row>
    <x:row r="50">
      <x:c r="A50" s="6" t="str">
        <x:v>SIR-000049</x:v>
      </x:c>
      <x:c r="B50" s="6" t="str">
        <x:v>SVC000049</x:v>
      </x:c>
      <x:c r="C50" s="6" t="str">
        <x:v>SVC000124</x:v>
      </x:c>
      <x:c r="D50" s="6" t="str">
        <x:v>Galaxy S2 Screen replacement</x:v>
      </x:c>
      <x:c r="E50" s="6" t="str">
        <x:v>Galaxy S2 Screen replacement</x:v>
      </x:c>
      <x:c r="F50" s="6" t="str">
        <x:v>galaxy s2 screen replacement</x:v>
      </x:c>
      <x:c r="G50" s="6" t="str">
        <x:v>Repair</x:v>
      </x:c>
      <x:c r="H50" s="6" t="str">
        <x:v>Samsung Screen Repair</x:v>
      </x:c>
      <x:c r="I50" s="6" t="str">
        <x:v>Phone</x:v>
      </x:c>
      <x:c r="J50" s="6" t="str">
        <x:v>Galaxy S2 Screen replacement</x:v>
      </x:c>
      <x:c r="K50" s="6" t="str">
        <x:v>Nocturnix_Master_Services_Catalog_v1.xlsx</x:v>
      </x:c>
      <x:c r="L50" s="6" t="str">
        <x:v>01 - Master Services</x:v>
      </x:c>
      <x:c r="M50" s="6" t="n">
        <x:v>89</x:v>
      </x:c>
      <x:c r="N50" s="6" t="str">
        <x:v>CNF000049</x:v>
      </x:c>
      <x:c r="O50" s="6" t="str"/>
      <x:c r="P50" s="6" t="str">
        <x:v>Pending Verification</x:v>
      </x:c>
      <x:c r="Q50" s="6" t="str"/>
      <x:c r="R50" s="6" t="str"/>
      <x:c r="S50" s="6" t="str"/>
      <x:c r="T50" s="6" t="str"/>
      <x:c r="U50" s="6" t="str"/>
      <x:c r="V50" s="6" t="str">
        <x:v>Unresolved</x:v>
      </x:c>
      <x:c r="W50" s="12" t="str"/>
      <x:c r="X50" s="12" t="str"/>
      <x:c r="Y50" s="6" t="str"/>
      <x:c r="Z50" s="6" t="str"/>
      <x:c r="AA50" s="6" t="str">
        <x:v>Pending</x:v>
      </x:c>
      <x:c r="AB50" s="6" t="str"/>
      <x:c r="AC50" s="6" t="str"/>
      <x:c r="AD50" s="12" t="str"/>
    </x:row>
    <x:row r="51">
      <x:c r="A51" s="6" t="str">
        <x:v>SIR-000050</x:v>
      </x:c>
      <x:c r="B51" s="6" t="str">
        <x:v>SVC000050</x:v>
      </x:c>
      <x:c r="C51" s="6" t="str">
        <x:v>SVC000125</x:v>
      </x:c>
      <x:c r="D51" s="6" t="str">
        <x:v>Galaxy S3 Neo Screen replacement</x:v>
      </x:c>
      <x:c r="E51" s="6" t="str">
        <x:v>Galaxy S3 Neo Screen replacement</x:v>
      </x:c>
      <x:c r="F51" s="6" t="str">
        <x:v>galaxy s3 neo screen replacement</x:v>
      </x:c>
      <x:c r="G51" s="6" t="str">
        <x:v>Repair</x:v>
      </x:c>
      <x:c r="H51" s="6" t="str">
        <x:v>Samsung Screen Repair</x:v>
      </x:c>
      <x:c r="I51" s="6" t="str">
        <x:v>Phone</x:v>
      </x:c>
      <x:c r="J51" s="6" t="str">
        <x:v>Galaxy S3 Neo Screen replacement</x:v>
      </x:c>
      <x:c r="K51" s="6" t="str">
        <x:v>Nocturnix_Master_Services_Catalog_v1.xlsx</x:v>
      </x:c>
      <x:c r="L51" s="6" t="str">
        <x:v>01 - Master Services</x:v>
      </x:c>
      <x:c r="M51" s="6" t="n">
        <x:v>90</x:v>
      </x:c>
      <x:c r="N51" s="6" t="str">
        <x:v>CNF000050</x:v>
      </x:c>
      <x:c r="O51" s="6" t="str"/>
      <x:c r="P51" s="6" t="str">
        <x:v>Pending Verification</x:v>
      </x:c>
      <x:c r="Q51" s="6" t="str"/>
      <x:c r="R51" s="6" t="str"/>
      <x:c r="S51" s="6" t="str"/>
      <x:c r="T51" s="6" t="str"/>
      <x:c r="U51" s="6" t="str"/>
      <x:c r="V51" s="6" t="str">
        <x:v>Unresolved</x:v>
      </x:c>
      <x:c r="W51" s="12" t="str"/>
      <x:c r="X51" s="12" t="str"/>
      <x:c r="Y51" s="6" t="str"/>
      <x:c r="Z51" s="6" t="str"/>
      <x:c r="AA51" s="6" t="str">
        <x:v>Pending</x:v>
      </x:c>
      <x:c r="AB51" s="6" t="str"/>
      <x:c r="AC51" s="6" t="str"/>
      <x:c r="AD51" s="12" t="str"/>
    </x:row>
    <x:row r="52">
      <x:c r="A52" s="6" t="str">
        <x:v>SIR-000051</x:v>
      </x:c>
      <x:c r="B52" s="6" t="str">
        <x:v>SVC000051</x:v>
      </x:c>
      <x:c r="C52" s="6" t="str">
        <x:v>SVC000126</x:v>
      </x:c>
      <x:c r="D52" s="6" t="str">
        <x:v>Galaxy S3 Screen replacement</x:v>
      </x:c>
      <x:c r="E52" s="6" t="str">
        <x:v>Galaxy S3 Screen replacement</x:v>
      </x:c>
      <x:c r="F52" s="6" t="str">
        <x:v>galaxy s3 screen replacement</x:v>
      </x:c>
      <x:c r="G52" s="6" t="str">
        <x:v>Repair</x:v>
      </x:c>
      <x:c r="H52" s="6" t="str">
        <x:v>Samsung Screen Repair</x:v>
      </x:c>
      <x:c r="I52" s="6" t="str">
        <x:v>Phone</x:v>
      </x:c>
      <x:c r="J52" s="6" t="str">
        <x:v>Galaxy S3 Screen replacement</x:v>
      </x:c>
      <x:c r="K52" s="6" t="str">
        <x:v>Nocturnix_Master_Services_Catalog_v1.xlsx</x:v>
      </x:c>
      <x:c r="L52" s="6" t="str">
        <x:v>01 - Master Services</x:v>
      </x:c>
      <x:c r="M52" s="6" t="n">
        <x:v>91</x:v>
      </x:c>
      <x:c r="N52" s="6" t="str">
        <x:v>CNF000051</x:v>
      </x:c>
      <x:c r="O52" s="6" t="str"/>
      <x:c r="P52" s="6" t="str">
        <x:v>Pending Verification</x:v>
      </x:c>
      <x:c r="Q52" s="6" t="str"/>
      <x:c r="R52" s="6" t="str"/>
      <x:c r="S52" s="6" t="str"/>
      <x:c r="T52" s="6" t="str"/>
      <x:c r="U52" s="6" t="str"/>
      <x:c r="V52" s="6" t="str">
        <x:v>Unresolved</x:v>
      </x:c>
      <x:c r="W52" s="12" t="str"/>
      <x:c r="X52" s="12" t="str"/>
      <x:c r="Y52" s="6" t="str"/>
      <x:c r="Z52" s="6" t="str"/>
      <x:c r="AA52" s="6" t="str">
        <x:v>Pending</x:v>
      </x:c>
      <x:c r="AB52" s="6" t="str"/>
      <x:c r="AC52" s="6" t="str"/>
      <x:c r="AD52" s="12" t="str"/>
    </x:row>
    <x:row r="53">
      <x:c r="A53" s="6" t="str">
        <x:v>SIR-000052</x:v>
      </x:c>
      <x:c r="B53" s="6" t="str">
        <x:v>SVC000052</x:v>
      </x:c>
      <x:c r="C53" s="6" t="str">
        <x:v>SVC000127</x:v>
      </x:c>
      <x:c r="D53" s="6" t="str">
        <x:v>Galaxy S4 Screen replacement</x:v>
      </x:c>
      <x:c r="E53" s="6" t="str">
        <x:v>Galaxy S4 Screen replacement</x:v>
      </x:c>
      <x:c r="F53" s="6" t="str">
        <x:v>galaxy s4 screen replacement</x:v>
      </x:c>
      <x:c r="G53" s="6" t="str">
        <x:v>Repair</x:v>
      </x:c>
      <x:c r="H53" s="6" t="str">
        <x:v>Samsung Screen Repair</x:v>
      </x:c>
      <x:c r="I53" s="6" t="str">
        <x:v>Phone</x:v>
      </x:c>
      <x:c r="J53" s="6" t="str">
        <x:v>Galaxy S4 Screen replacement</x:v>
      </x:c>
      <x:c r="K53" s="6" t="str">
        <x:v>Nocturnix_Master_Services_Catalog_v1.xlsx</x:v>
      </x:c>
      <x:c r="L53" s="6" t="str">
        <x:v>01 - Master Services</x:v>
      </x:c>
      <x:c r="M53" s="6" t="n">
        <x:v>92</x:v>
      </x:c>
      <x:c r="N53" s="6" t="str">
        <x:v>CNF000052</x:v>
      </x:c>
      <x:c r="O53" s="6" t="str"/>
      <x:c r="P53" s="6" t="str">
        <x:v>Pending Verification</x:v>
      </x:c>
      <x:c r="Q53" s="6" t="str"/>
      <x:c r="R53" s="6" t="str"/>
      <x:c r="S53" s="6" t="str"/>
      <x:c r="T53" s="6" t="str"/>
      <x:c r="U53" s="6" t="str"/>
      <x:c r="V53" s="6" t="str">
        <x:v>Unresolved</x:v>
      </x:c>
      <x:c r="W53" s="12" t="str"/>
      <x:c r="X53" s="12" t="str"/>
      <x:c r="Y53" s="6" t="str"/>
      <x:c r="Z53" s="6" t="str"/>
      <x:c r="AA53" s="6" t="str">
        <x:v>Pending</x:v>
      </x:c>
      <x:c r="AB53" s="6" t="str"/>
      <x:c r="AC53" s="6" t="str"/>
      <x:c r="AD53" s="12" t="str"/>
    </x:row>
    <x:row r="54">
      <x:c r="A54" s="6" t="str">
        <x:v>SIR-000053</x:v>
      </x:c>
      <x:c r="B54" s="6" t="str">
        <x:v>SVC000053</x:v>
      </x:c>
      <x:c r="C54" s="6" t="str">
        <x:v>SVC000128</x:v>
      </x:c>
      <x:c r="D54" s="6" t="str">
        <x:v>Galaxy S 4 Active Screen replacement</x:v>
      </x:c>
      <x:c r="E54" s="6" t="str">
        <x:v>Galaxy S 4 Active Screen replacement</x:v>
      </x:c>
      <x:c r="F54" s="6" t="str">
        <x:v>galaxy s 4 active screen replacement</x:v>
      </x:c>
      <x:c r="G54" s="6" t="str">
        <x:v>Repair</x:v>
      </x:c>
      <x:c r="H54" s="6" t="str">
        <x:v>Samsung Screen Repair</x:v>
      </x:c>
      <x:c r="I54" s="6" t="str">
        <x:v>Phone</x:v>
      </x:c>
      <x:c r="J54" s="6" t="str">
        <x:v>Galaxy S 4 Active Screen replacement</x:v>
      </x:c>
      <x:c r="K54" s="6" t="str">
        <x:v>Nocturnix_Master_Services_Catalog_v1.xlsx</x:v>
      </x:c>
      <x:c r="L54" s="6" t="str">
        <x:v>01 - Master Services</x:v>
      </x:c>
      <x:c r="M54" s="6" t="n">
        <x:v>93</x:v>
      </x:c>
      <x:c r="N54" s="6" t="str">
        <x:v>CNF000053</x:v>
      </x:c>
      <x:c r="O54" s="6" t="str"/>
      <x:c r="P54" s="6" t="str">
        <x:v>Pending Verification</x:v>
      </x:c>
      <x:c r="Q54" s="6" t="str"/>
      <x:c r="R54" s="6" t="str"/>
      <x:c r="S54" s="6" t="str"/>
      <x:c r="T54" s="6" t="str"/>
      <x:c r="U54" s="6" t="str"/>
      <x:c r="V54" s="6" t="str">
        <x:v>Unresolved</x:v>
      </x:c>
      <x:c r="W54" s="12" t="str"/>
      <x:c r="X54" s="12" t="str"/>
      <x:c r="Y54" s="6" t="str"/>
      <x:c r="Z54" s="6" t="str"/>
      <x:c r="AA54" s="6" t="str">
        <x:v>Pending</x:v>
      </x:c>
      <x:c r="AB54" s="6" t="str"/>
      <x:c r="AC54" s="6" t="str"/>
      <x:c r="AD54" s="12" t="str"/>
    </x:row>
    <x:row r="55">
      <x:c r="A55" s="6" t="str">
        <x:v>SIR-000054</x:v>
      </x:c>
      <x:c r="B55" s="6" t="str">
        <x:v>SVC000054</x:v>
      </x:c>
      <x:c r="C55" s="6" t="str">
        <x:v>SVC000129</x:v>
      </x:c>
      <x:c r="D55" s="6" t="str">
        <x:v>Galaxy S 5 Screen replacement</x:v>
      </x:c>
      <x:c r="E55" s="6" t="str">
        <x:v>Galaxy S 5 Screen replacement</x:v>
      </x:c>
      <x:c r="F55" s="6" t="str">
        <x:v>galaxy s 5 screen replacement</x:v>
      </x:c>
      <x:c r="G55" s="6" t="str">
        <x:v>Repair</x:v>
      </x:c>
      <x:c r="H55" s="6" t="str">
        <x:v>Samsung Screen Repair</x:v>
      </x:c>
      <x:c r="I55" s="6" t="str">
        <x:v>Phone</x:v>
      </x:c>
      <x:c r="J55" s="6" t="str">
        <x:v>Galaxy S 5 Screen replacement</x:v>
      </x:c>
      <x:c r="K55" s="6" t="str">
        <x:v>Nocturnix_Master_Services_Catalog_v1.xlsx</x:v>
      </x:c>
      <x:c r="L55" s="6" t="str">
        <x:v>01 - Master Services</x:v>
      </x:c>
      <x:c r="M55" s="6" t="n">
        <x:v>94</x:v>
      </x:c>
      <x:c r="N55" s="6" t="str">
        <x:v>CNF000054</x:v>
      </x:c>
      <x:c r="O55" s="6" t="str"/>
      <x:c r="P55" s="6" t="str">
        <x:v>Pending Verification</x:v>
      </x:c>
      <x:c r="Q55" s="6" t="str"/>
      <x:c r="R55" s="6" t="str"/>
      <x:c r="S55" s="6" t="str"/>
      <x:c r="T55" s="6" t="str"/>
      <x:c r="U55" s="6" t="str"/>
      <x:c r="V55" s="6" t="str">
        <x:v>Unresolved</x:v>
      </x:c>
      <x:c r="W55" s="12" t="str"/>
      <x:c r="X55" s="12" t="str"/>
      <x:c r="Y55" s="6" t="str"/>
      <x:c r="Z55" s="6" t="str"/>
      <x:c r="AA55" s="6" t="str">
        <x:v>Pending</x:v>
      </x:c>
      <x:c r="AB55" s="6" t="str"/>
      <x:c r="AC55" s="6" t="str"/>
      <x:c r="AD55" s="12" t="str"/>
    </x:row>
    <x:row r="56">
      <x:c r="A56" s="6" t="str">
        <x:v>SIR-000055</x:v>
      </x:c>
      <x:c r="B56" s="6" t="str">
        <x:v>SVC000055</x:v>
      </x:c>
      <x:c r="C56" s="6" t="str">
        <x:v>SVC000130</x:v>
      </x:c>
      <x:c r="D56" s="6" t="str">
        <x:v>iPhone X Screen replacement</x:v>
      </x:c>
      <x:c r="E56" s="6" t="str">
        <x:v>iPhone X Screen replacement</x:v>
      </x:c>
      <x:c r="F56" s="6" t="str">
        <x:v>iphone x screen replacement</x:v>
      </x:c>
      <x:c r="G56" s="6" t="str">
        <x:v>Repair</x:v>
      </x:c>
      <x:c r="H56" s="6" t="str">
        <x:v>iPhone Screen Repair</x:v>
      </x:c>
      <x:c r="I56" s="6" t="str">
        <x:v>Phone</x:v>
      </x:c>
      <x:c r="J56" s="6" t="str">
        <x:v>iPhone X Screen replacement</x:v>
      </x:c>
      <x:c r="K56" s="6" t="str">
        <x:v>Nocturnix_Master_Services_Catalog_v1.xlsx</x:v>
      </x:c>
      <x:c r="L56" s="6" t="str">
        <x:v>01 - Master Services</x:v>
      </x:c>
      <x:c r="M56" s="6" t="n">
        <x:v>95</x:v>
      </x:c>
      <x:c r="N56" s="6" t="str">
        <x:v>CNF000055</x:v>
      </x:c>
      <x:c r="O56" s="6" t="str"/>
      <x:c r="P56" s="6" t="str">
        <x:v>Pending Verification</x:v>
      </x:c>
      <x:c r="Q56" s="6" t="str"/>
      <x:c r="R56" s="6" t="str"/>
      <x:c r="S56" s="6" t="str"/>
      <x:c r="T56" s="6" t="str"/>
      <x:c r="U56" s="6" t="str"/>
      <x:c r="V56" s="6" t="str">
        <x:v>Unresolved</x:v>
      </x:c>
      <x:c r="W56" s="12" t="str"/>
      <x:c r="X56" s="12" t="str"/>
      <x:c r="Y56" s="6" t="str"/>
      <x:c r="Z56" s="6" t="str"/>
      <x:c r="AA56" s="6" t="str">
        <x:v>Pending</x:v>
      </x:c>
      <x:c r="AB56" s="6" t="str"/>
      <x:c r="AC56" s="6" t="str"/>
      <x:c r="AD56" s="12" t="str"/>
    </x:row>
    <x:row r="57">
      <x:c r="A57" s="6" t="str">
        <x:v>SIR-000056</x:v>
      </x:c>
      <x:c r="B57" s="6" t="str">
        <x:v>SVC000056</x:v>
      </x:c>
      <x:c r="C57" s="6" t="str">
        <x:v>SVC000131</x:v>
      </x:c>
      <x:c r="D57" s="6" t="str">
        <x:v>iPhone XS Max Screen replacement</x:v>
      </x:c>
      <x:c r="E57" s="6" t="str">
        <x:v>iPhone XS Max Screen replacement</x:v>
      </x:c>
      <x:c r="F57" s="6" t="str">
        <x:v>iphone xs max screen replacement</x:v>
      </x:c>
      <x:c r="G57" s="6" t="str">
        <x:v>Repair</x:v>
      </x:c>
      <x:c r="H57" s="6" t="str">
        <x:v>iPhone Screen Repair</x:v>
      </x:c>
      <x:c r="I57" s="6" t="str">
        <x:v>Phone</x:v>
      </x:c>
      <x:c r="J57" s="6" t="str">
        <x:v>iPhone XS Max Screen replacement</x:v>
      </x:c>
      <x:c r="K57" s="6" t="str">
        <x:v>Nocturnix_Master_Services_Catalog_v1.xlsx</x:v>
      </x:c>
      <x:c r="L57" s="6" t="str">
        <x:v>01 - Master Services</x:v>
      </x:c>
      <x:c r="M57" s="6" t="n">
        <x:v>96</x:v>
      </x:c>
      <x:c r="N57" s="6" t="str">
        <x:v>CNF000056</x:v>
      </x:c>
      <x:c r="O57" s="6" t="str"/>
      <x:c r="P57" s="6" t="str">
        <x:v>Pending Verification</x:v>
      </x:c>
      <x:c r="Q57" s="6" t="str"/>
      <x:c r="R57" s="6" t="str"/>
      <x:c r="S57" s="6" t="str"/>
      <x:c r="T57" s="6" t="str"/>
      <x:c r="U57" s="6" t="str"/>
      <x:c r="V57" s="6" t="str">
        <x:v>Unresolved</x:v>
      </x:c>
      <x:c r="W57" s="12" t="str"/>
      <x:c r="X57" s="12" t="str"/>
      <x:c r="Y57" s="6" t="str"/>
      <x:c r="Z57" s="6" t="str"/>
      <x:c r="AA57" s="6" t="str">
        <x:v>Pending</x:v>
      </x:c>
      <x:c r="AB57" s="6" t="str"/>
      <x:c r="AC57" s="6" t="str"/>
      <x:c r="AD57" s="12" t="str"/>
    </x:row>
    <x:row r="58">
      <x:c r="A58" s="6" t="str">
        <x:v>SIR-000057</x:v>
      </x:c>
      <x:c r="B58" s="6" t="str">
        <x:v>SVC000057</x:v>
      </x:c>
      <x:c r="C58" s="6" t="str">
        <x:v>SVC000132</x:v>
      </x:c>
      <x:c r="D58" s="6" t="str">
        <x:v>iPhone 12 Screen replacement</x:v>
      </x:c>
      <x:c r="E58" s="6" t="str">
        <x:v>iPhone 12 Screen replacement</x:v>
      </x:c>
      <x:c r="F58" s="6" t="str">
        <x:v>iphone 12 screen replacement</x:v>
      </x:c>
      <x:c r="G58" s="6" t="str">
        <x:v>Repair</x:v>
      </x:c>
      <x:c r="H58" s="6" t="str">
        <x:v>iPhone Screen Repair</x:v>
      </x:c>
      <x:c r="I58" s="6" t="str">
        <x:v>Phone</x:v>
      </x:c>
      <x:c r="J58" s="6" t="str">
        <x:v>iPhone 12 Screen replacement</x:v>
      </x:c>
      <x:c r="K58" s="6" t="str">
        <x:v>Nocturnix_Master_Services_Catalog_v1.xlsx</x:v>
      </x:c>
      <x:c r="L58" s="6" t="str">
        <x:v>01 - Master Services</x:v>
      </x:c>
      <x:c r="M58" s="6" t="n">
        <x:v>97</x:v>
      </x:c>
      <x:c r="N58" s="6" t="str">
        <x:v>CNF000057</x:v>
      </x:c>
      <x:c r="O58" s="6" t="str"/>
      <x:c r="P58" s="6" t="str">
        <x:v>Pending Verification</x:v>
      </x:c>
      <x:c r="Q58" s="6" t="str"/>
      <x:c r="R58" s="6" t="str"/>
      <x:c r="S58" s="6" t="str"/>
      <x:c r="T58" s="6" t="str"/>
      <x:c r="U58" s="6" t="str"/>
      <x:c r="V58" s="6" t="str">
        <x:v>Unresolved</x:v>
      </x:c>
      <x:c r="W58" s="12" t="str"/>
      <x:c r="X58" s="12" t="str"/>
      <x:c r="Y58" s="6" t="str"/>
      <x:c r="Z58" s="6" t="str"/>
      <x:c r="AA58" s="6" t="str">
        <x:v>Pending</x:v>
      </x:c>
      <x:c r="AB58" s="6" t="str"/>
      <x:c r="AC58" s="6" t="str"/>
      <x:c r="AD58" s="12" t="str"/>
    </x:row>
    <x:row r="59">
      <x:c r="A59" s="6" t="str">
        <x:v>SIR-000058</x:v>
      </x:c>
      <x:c r="B59" s="6" t="str">
        <x:v>SVC000058</x:v>
      </x:c>
      <x:c r="C59" s="6" t="str">
        <x:v>SVC000133</x:v>
      </x:c>
      <x:c r="D59" s="6" t="str">
        <x:v>iPhone 12 Pro Max Screen replacement</x:v>
      </x:c>
      <x:c r="E59" s="6" t="str">
        <x:v>iPhone 12 Pro Max Screen replacement</x:v>
      </x:c>
      <x:c r="F59" s="6" t="str">
        <x:v>iphone 12 pro max screen replacement</x:v>
      </x:c>
      <x:c r="G59" s="6" t="str">
        <x:v>Repair</x:v>
      </x:c>
      <x:c r="H59" s="6" t="str">
        <x:v>iPhone Screen Repair</x:v>
      </x:c>
      <x:c r="I59" s="6" t="str">
        <x:v>Phone</x:v>
      </x:c>
      <x:c r="J59" s="6" t="str">
        <x:v>iPhone 12 Pro Max Screen replacement</x:v>
      </x:c>
      <x:c r="K59" s="6" t="str">
        <x:v>Nocturnix_Master_Services_Catalog_v1.xlsx</x:v>
      </x:c>
      <x:c r="L59" s="6" t="str">
        <x:v>01 - Master Services</x:v>
      </x:c>
      <x:c r="M59" s="6" t="n">
        <x:v>98</x:v>
      </x:c>
      <x:c r="N59" s="6" t="str">
        <x:v>CNF000058</x:v>
      </x:c>
      <x:c r="O59" s="6" t="str"/>
      <x:c r="P59" s="6" t="str">
        <x:v>Pending Verification</x:v>
      </x:c>
      <x:c r="Q59" s="6" t="str"/>
      <x:c r="R59" s="6" t="str"/>
      <x:c r="S59" s="6" t="str"/>
      <x:c r="T59" s="6" t="str"/>
      <x:c r="U59" s="6" t="str"/>
      <x:c r="V59" s="6" t="str">
        <x:v>Unresolved</x:v>
      </x:c>
      <x:c r="W59" s="12" t="str"/>
      <x:c r="X59" s="12" t="str"/>
      <x:c r="Y59" s="6" t="str"/>
      <x:c r="Z59" s="6" t="str"/>
      <x:c r="AA59" s="6" t="str">
        <x:v>Pending</x:v>
      </x:c>
      <x:c r="AB59" s="6" t="str"/>
      <x:c r="AC59" s="6" t="str"/>
      <x:c r="AD59" s="12" t="str"/>
    </x:row>
    <x:row r="60">
      <x:c r="A60" s="6" t="str">
        <x:v>SIR-000059</x:v>
      </x:c>
      <x:c r="B60" s="6" t="str">
        <x:v>SVC000059</x:v>
      </x:c>
      <x:c r="C60" s="6" t="str">
        <x:v>SVC000134</x:v>
      </x:c>
      <x:c r="D60" s="6" t="str">
        <x:v>iPhone 12 Mini Screen replacement</x:v>
      </x:c>
      <x:c r="E60" s="6" t="str">
        <x:v>iPhone 12 Mini Screen replacement</x:v>
      </x:c>
      <x:c r="F60" s="6" t="str">
        <x:v>iphone 12 mini screen replacement</x:v>
      </x:c>
      <x:c r="G60" s="6" t="str">
        <x:v>Repair</x:v>
      </x:c>
      <x:c r="H60" s="6" t="str">
        <x:v>iPhone Screen Repair</x:v>
      </x:c>
      <x:c r="I60" s="6" t="str">
        <x:v>Phone</x:v>
      </x:c>
      <x:c r="J60" s="6" t="str">
        <x:v>iPhone 12 Mini Screen replacement</x:v>
      </x:c>
      <x:c r="K60" s="6" t="str">
        <x:v>Nocturnix_Master_Services_Catalog_v1.xlsx</x:v>
      </x:c>
      <x:c r="L60" s="6" t="str">
        <x:v>01 - Master Services</x:v>
      </x:c>
      <x:c r="M60" s="6" t="n">
        <x:v>99</x:v>
      </x:c>
      <x:c r="N60" s="6" t="str">
        <x:v>CNF000059</x:v>
      </x:c>
      <x:c r="O60" s="6" t="str"/>
      <x:c r="P60" s="6" t="str">
        <x:v>Pending Verification</x:v>
      </x:c>
      <x:c r="Q60" s="6" t="str"/>
      <x:c r="R60" s="6" t="str"/>
      <x:c r="S60" s="6" t="str"/>
      <x:c r="T60" s="6" t="str"/>
      <x:c r="U60" s="6" t="str"/>
      <x:c r="V60" s="6" t="str">
        <x:v>Unresolved</x:v>
      </x:c>
      <x:c r="W60" s="12" t="str"/>
      <x:c r="X60" s="12" t="str"/>
      <x:c r="Y60" s="6" t="str"/>
      <x:c r="Z60" s="6" t="str"/>
      <x:c r="AA60" s="6" t="str">
        <x:v>Pending</x:v>
      </x:c>
      <x:c r="AB60" s="6" t="str"/>
      <x:c r="AC60" s="6" t="str"/>
      <x:c r="AD60" s="12" t="str"/>
    </x:row>
    <x:row r="61">
      <x:c r="A61" s="6" t="str">
        <x:v>SIR-000060</x:v>
      </x:c>
      <x:c r="B61" s="6" t="str">
        <x:v>SVC000060</x:v>
      </x:c>
      <x:c r="C61" s="6" t="str">
        <x:v>SVC000135</x:v>
      </x:c>
      <x:c r="D61" s="6" t="str">
        <x:v>iPhone 11 Pro Screen replacement</x:v>
      </x:c>
      <x:c r="E61" s="6" t="str">
        <x:v>iPhone 11 Pro Screen replacement</x:v>
      </x:c>
      <x:c r="F61" s="6" t="str">
        <x:v>iphone 11 pro screen replacement</x:v>
      </x:c>
      <x:c r="G61" s="6" t="str">
        <x:v>Repair</x:v>
      </x:c>
      <x:c r="H61" s="6" t="str">
        <x:v>iPhone Screen Repair</x:v>
      </x:c>
      <x:c r="I61" s="6" t="str">
        <x:v>Phone</x:v>
      </x:c>
      <x:c r="J61" s="6" t="str">
        <x:v>iPhone 11 Pro Screen replacement</x:v>
      </x:c>
      <x:c r="K61" s="6" t="str">
        <x:v>Nocturnix_Master_Services_Catalog_v1.xlsx</x:v>
      </x:c>
      <x:c r="L61" s="6" t="str">
        <x:v>01 - Master Services</x:v>
      </x:c>
      <x:c r="M61" s="6" t="n">
        <x:v>100</x:v>
      </x:c>
      <x:c r="N61" s="6" t="str">
        <x:v>CNF000060</x:v>
      </x:c>
      <x:c r="O61" s="6" t="str"/>
      <x:c r="P61" s="6" t="str">
        <x:v>Pending Verification</x:v>
      </x:c>
      <x:c r="Q61" s="6" t="str"/>
      <x:c r="R61" s="6" t="str"/>
      <x:c r="S61" s="6" t="str"/>
      <x:c r="T61" s="6" t="str"/>
      <x:c r="U61" s="6" t="str"/>
      <x:c r="V61" s="6" t="str">
        <x:v>Unresolved</x:v>
      </x:c>
      <x:c r="W61" s="12" t="str"/>
      <x:c r="X61" s="12" t="str"/>
      <x:c r="Y61" s="6" t="str"/>
      <x:c r="Z61" s="6" t="str"/>
      <x:c r="AA61" s="6" t="str">
        <x:v>Pending</x:v>
      </x:c>
      <x:c r="AB61" s="6" t="str"/>
      <x:c r="AC61" s="6" t="str"/>
      <x:c r="AD61" s="12" t="str"/>
    </x:row>
    <x:row r="62">
      <x:c r="A62" s="6" t="str">
        <x:v>SIR-000061</x:v>
      </x:c>
      <x:c r="B62" s="6" t="str">
        <x:v>SVC000061</x:v>
      </x:c>
      <x:c r="C62" s="6" t="str">
        <x:v>SVC000136</x:v>
      </x:c>
      <x:c r="D62" s="6" t="str">
        <x:v>iPhone 11 Screen replacement</x:v>
      </x:c>
      <x:c r="E62" s="6" t="str">
        <x:v>iPhone 11 Screen replacement</x:v>
      </x:c>
      <x:c r="F62" s="6" t="str">
        <x:v>iphone 11 screen replacement</x:v>
      </x:c>
      <x:c r="G62" s="6" t="str">
        <x:v>Repair</x:v>
      </x:c>
      <x:c r="H62" s="6" t="str">
        <x:v>iPhone Screen Repair</x:v>
      </x:c>
      <x:c r="I62" s="6" t="str">
        <x:v>Phone</x:v>
      </x:c>
      <x:c r="J62" s="6" t="str">
        <x:v>iPhone 11 Screen replacement</x:v>
      </x:c>
      <x:c r="K62" s="6" t="str">
        <x:v>Nocturnix_Master_Services_Catalog_v1.xlsx</x:v>
      </x:c>
      <x:c r="L62" s="6" t="str">
        <x:v>01 - Master Services</x:v>
      </x:c>
      <x:c r="M62" s="6" t="n">
        <x:v>101</x:v>
      </x:c>
      <x:c r="N62" s="6" t="str">
        <x:v>CNF000061</x:v>
      </x:c>
      <x:c r="O62" s="6" t="str"/>
      <x:c r="P62" s="6" t="str">
        <x:v>Pending Verification</x:v>
      </x:c>
      <x:c r="Q62" s="6" t="str"/>
      <x:c r="R62" s="6" t="str"/>
      <x:c r="S62" s="6" t="str"/>
      <x:c r="T62" s="6" t="str"/>
      <x:c r="U62" s="6" t="str"/>
      <x:c r="V62" s="6" t="str">
        <x:v>Unresolved</x:v>
      </x:c>
      <x:c r="W62" s="12" t="str"/>
      <x:c r="X62" s="12" t="str"/>
      <x:c r="Y62" s="6" t="str"/>
      <x:c r="Z62" s="6" t="str"/>
      <x:c r="AA62" s="6" t="str">
        <x:v>Pending</x:v>
      </x:c>
      <x:c r="AB62" s="6" t="str"/>
      <x:c r="AC62" s="6" t="str"/>
      <x:c r="AD62" s="12" t="str"/>
    </x:row>
    <x:row r="63">
      <x:c r="A63" s="6" t="str">
        <x:v>SIR-000062</x:v>
      </x:c>
      <x:c r="B63" s="6" t="str">
        <x:v>SVC000062</x:v>
      </x:c>
      <x:c r="C63" s="6" t="str">
        <x:v>SVC000137</x:v>
      </x:c>
      <x:c r="D63" s="6" t="str">
        <x:v>iPhone 11 Pro Max Screen replacement</x:v>
      </x:c>
      <x:c r="E63" s="6" t="str">
        <x:v>iPhone 11 Pro Max Screen replacement</x:v>
      </x:c>
      <x:c r="F63" s="6" t="str">
        <x:v>iphone 11 pro max screen replacement</x:v>
      </x:c>
      <x:c r="G63" s="6" t="str">
        <x:v>Repair</x:v>
      </x:c>
      <x:c r="H63" s="6" t="str">
        <x:v>iPhone Screen Repair</x:v>
      </x:c>
      <x:c r="I63" s="6" t="str">
        <x:v>Phone</x:v>
      </x:c>
      <x:c r="J63" s="6" t="str">
        <x:v>iPhone 11 Pro Max Screen replacement</x:v>
      </x:c>
      <x:c r="K63" s="6" t="str">
        <x:v>Nocturnix_Master_Services_Catalog_v1.xlsx</x:v>
      </x:c>
      <x:c r="L63" s="6" t="str">
        <x:v>01 - Master Services</x:v>
      </x:c>
      <x:c r="M63" s="6" t="n">
        <x:v>102</x:v>
      </x:c>
      <x:c r="N63" s="6" t="str">
        <x:v>CNF000062</x:v>
      </x:c>
      <x:c r="O63" s="6" t="str"/>
      <x:c r="P63" s="6" t="str">
        <x:v>Pending Verification</x:v>
      </x:c>
      <x:c r="Q63" s="6" t="str"/>
      <x:c r="R63" s="6" t="str"/>
      <x:c r="S63" s="6" t="str"/>
      <x:c r="T63" s="6" t="str"/>
      <x:c r="U63" s="6" t="str"/>
      <x:c r="V63" s="6" t="str">
        <x:v>Unresolved</x:v>
      </x:c>
      <x:c r="W63" s="12" t="str"/>
      <x:c r="X63" s="12" t="str"/>
      <x:c r="Y63" s="6" t="str"/>
      <x:c r="Z63" s="6" t="str"/>
      <x:c r="AA63" s="6" t="str">
        <x:v>Pending</x:v>
      </x:c>
      <x:c r="AB63" s="6" t="str"/>
      <x:c r="AC63" s="6" t="str"/>
      <x:c r="AD63" s="12" t="str"/>
    </x:row>
    <x:row r="64">
      <x:c r="A64" s="6" t="str">
        <x:v>SIR-000063</x:v>
      </x:c>
      <x:c r="B64" s="6" t="str">
        <x:v>SVC000063</x:v>
      </x:c>
      <x:c r="C64" s="6" t="str">
        <x:v>SVC000138</x:v>
      </x:c>
      <x:c r="D64" s="6" t="str">
        <x:v>iPhone 12 Pro Screen replacement</x:v>
      </x:c>
      <x:c r="E64" s="6" t="str">
        <x:v>iPhone 12 Pro Screen replacement</x:v>
      </x:c>
      <x:c r="F64" s="6" t="str">
        <x:v>iphone 12 pro screen replacement</x:v>
      </x:c>
      <x:c r="G64" s="6" t="str">
        <x:v>Repair</x:v>
      </x:c>
      <x:c r="H64" s="6" t="str">
        <x:v>iPhone Screen Repair</x:v>
      </x:c>
      <x:c r="I64" s="6" t="str">
        <x:v>Phone</x:v>
      </x:c>
      <x:c r="J64" s="6" t="str">
        <x:v>iPhone 12 Pro Screen replacement</x:v>
      </x:c>
      <x:c r="K64" s="6" t="str">
        <x:v>Nocturnix_Master_Services_Catalog_v1.xlsx</x:v>
      </x:c>
      <x:c r="L64" s="6" t="str">
        <x:v>01 - Master Services</x:v>
      </x:c>
      <x:c r="M64" s="6" t="n">
        <x:v>103</x:v>
      </x:c>
      <x:c r="N64" s="6" t="str">
        <x:v>CNF000063</x:v>
      </x:c>
      <x:c r="O64" s="6" t="str"/>
      <x:c r="P64" s="6" t="str">
        <x:v>Pending Verification</x:v>
      </x:c>
      <x:c r="Q64" s="6" t="str"/>
      <x:c r="R64" s="6" t="str"/>
      <x:c r="S64" s="6" t="str"/>
      <x:c r="T64" s="6" t="str"/>
      <x:c r="U64" s="6" t="str"/>
      <x:c r="V64" s="6" t="str">
        <x:v>Unresolved</x:v>
      </x:c>
      <x:c r="W64" s="12" t="str"/>
      <x:c r="X64" s="12" t="str"/>
      <x:c r="Y64" s="6" t="str"/>
      <x:c r="Z64" s="6" t="str"/>
      <x:c r="AA64" s="6" t="str">
        <x:v>Pending</x:v>
      </x:c>
      <x:c r="AB64" s="6" t="str"/>
      <x:c r="AC64" s="6" t="str"/>
      <x:c r="AD64" s="12" t="str"/>
    </x:row>
    <x:row r="65">
      <x:c r="A65" s="6" t="str">
        <x:v>SIR-000064</x:v>
      </x:c>
      <x:c r="B65" s="6" t="str">
        <x:v>SVC000064</x:v>
      </x:c>
      <x:c r="C65" s="6" t="str">
        <x:v>SVC000139</x:v>
      </x:c>
      <x:c r="D65" s="6" t="str">
        <x:v>iPhone 13 Pro Screen replacement</x:v>
      </x:c>
      <x:c r="E65" s="6" t="str">
        <x:v>iPhone 13 Pro Screen replacement</x:v>
      </x:c>
      <x:c r="F65" s="6" t="str">
        <x:v>iphone 13 pro screen replacement</x:v>
      </x:c>
      <x:c r="G65" s="6" t="str">
        <x:v>Repair</x:v>
      </x:c>
      <x:c r="H65" s="6" t="str">
        <x:v>iPhone Screen Repair</x:v>
      </x:c>
      <x:c r="I65" s="6" t="str">
        <x:v>Phone</x:v>
      </x:c>
      <x:c r="J65" s="6" t="str">
        <x:v>iPhone 13 Pro Screen replacement</x:v>
      </x:c>
      <x:c r="K65" s="6" t="str">
        <x:v>Nocturnix_Master_Services_Catalog_v1.xlsx</x:v>
      </x:c>
      <x:c r="L65" s="6" t="str">
        <x:v>01 - Master Services</x:v>
      </x:c>
      <x:c r="M65" s="6" t="n">
        <x:v>104</x:v>
      </x:c>
      <x:c r="N65" s="6" t="str">
        <x:v>CNF000064</x:v>
      </x:c>
      <x:c r="O65" s="6" t="str"/>
      <x:c r="P65" s="6" t="str">
        <x:v>Pending Verification</x:v>
      </x:c>
      <x:c r="Q65" s="6" t="str"/>
      <x:c r="R65" s="6" t="str"/>
      <x:c r="S65" s="6" t="str"/>
      <x:c r="T65" s="6" t="str"/>
      <x:c r="U65" s="6" t="str"/>
      <x:c r="V65" s="6" t="str">
        <x:v>Unresolved</x:v>
      </x:c>
      <x:c r="W65" s="12" t="str"/>
      <x:c r="X65" s="12" t="str"/>
      <x:c r="Y65" s="6" t="str"/>
      <x:c r="Z65" s="6" t="str"/>
      <x:c r="AA65" s="6" t="str">
        <x:v>Pending</x:v>
      </x:c>
      <x:c r="AB65" s="6" t="str"/>
      <x:c r="AC65" s="6" t="str"/>
      <x:c r="AD65" s="12" t="str"/>
    </x:row>
    <x:row r="66">
      <x:c r="A66" s="6" t="str">
        <x:v>SIR-000065</x:v>
      </x:c>
      <x:c r="B66" s="6" t="str">
        <x:v>SVC000065</x:v>
      </x:c>
      <x:c r="C66" s="6" t="str">
        <x:v>SVC000140</x:v>
      </x:c>
      <x:c r="D66" s="6" t="str">
        <x:v>iPhone 13 Screen replacement</x:v>
      </x:c>
      <x:c r="E66" s="6" t="str">
        <x:v>iPhone 13 Screen replacement</x:v>
      </x:c>
      <x:c r="F66" s="6" t="str">
        <x:v>iphone 13 screen replacement</x:v>
      </x:c>
      <x:c r="G66" s="6" t="str">
        <x:v>Repair</x:v>
      </x:c>
      <x:c r="H66" s="6" t="str">
        <x:v>iPhone Screen Repair</x:v>
      </x:c>
      <x:c r="I66" s="6" t="str">
        <x:v>Phone</x:v>
      </x:c>
      <x:c r="J66" s="6" t="str">
        <x:v>iPhone 13 Screen replacement</x:v>
      </x:c>
      <x:c r="K66" s="6" t="str">
        <x:v>Nocturnix_Master_Services_Catalog_v1.xlsx</x:v>
      </x:c>
      <x:c r="L66" s="6" t="str">
        <x:v>01 - Master Services</x:v>
      </x:c>
      <x:c r="M66" s="6" t="n">
        <x:v>105</x:v>
      </x:c>
      <x:c r="N66" s="6" t="str">
        <x:v>CNF000065</x:v>
      </x:c>
      <x:c r="O66" s="6" t="str"/>
      <x:c r="P66" s="6" t="str">
        <x:v>Pending Verification</x:v>
      </x:c>
      <x:c r="Q66" s="6" t="str"/>
      <x:c r="R66" s="6" t="str"/>
      <x:c r="S66" s="6" t="str"/>
      <x:c r="T66" s="6" t="str"/>
      <x:c r="U66" s="6" t="str"/>
      <x:c r="V66" s="6" t="str">
        <x:v>Unresolved</x:v>
      </x:c>
      <x:c r="W66" s="12" t="str"/>
      <x:c r="X66" s="12" t="str"/>
      <x:c r="Y66" s="6" t="str"/>
      <x:c r="Z66" s="6" t="str"/>
      <x:c r="AA66" s="6" t="str">
        <x:v>Pending</x:v>
      </x:c>
      <x:c r="AB66" s="6" t="str"/>
      <x:c r="AC66" s="6" t="str"/>
      <x:c r="AD66" s="12" t="str"/>
    </x:row>
    <x:row r="67">
      <x:c r="A67" s="6" t="str">
        <x:v>SIR-000066</x:v>
      </x:c>
      <x:c r="B67" s="6" t="str">
        <x:v>SVC000066</x:v>
      </x:c>
      <x:c r="C67" s="6" t="str">
        <x:v>SVC000141</x:v>
      </x:c>
      <x:c r="D67" s="6" t="str">
        <x:v>iPhone 13 Pro Max Screen replacement</x:v>
      </x:c>
      <x:c r="E67" s="6" t="str">
        <x:v>iPhone 13 Pro Max Screen replacement</x:v>
      </x:c>
      <x:c r="F67" s="6" t="str">
        <x:v>iphone 13 pro max screen replacement</x:v>
      </x:c>
      <x:c r="G67" s="6" t="str">
        <x:v>Repair</x:v>
      </x:c>
      <x:c r="H67" s="6" t="str">
        <x:v>iPhone Screen Repair</x:v>
      </x:c>
      <x:c r="I67" s="6" t="str">
        <x:v>Phone</x:v>
      </x:c>
      <x:c r="J67" s="6" t="str">
        <x:v>iPhone 13 Pro Max Screen replacement</x:v>
      </x:c>
      <x:c r="K67" s="6" t="str">
        <x:v>Nocturnix_Master_Services_Catalog_v1.xlsx</x:v>
      </x:c>
      <x:c r="L67" s="6" t="str">
        <x:v>01 - Master Services</x:v>
      </x:c>
      <x:c r="M67" s="6" t="n">
        <x:v>106</x:v>
      </x:c>
      <x:c r="N67" s="6" t="str">
        <x:v>CNF000066</x:v>
      </x:c>
      <x:c r="O67" s="6" t="str"/>
      <x:c r="P67" s="6" t="str">
        <x:v>Pending Verification</x:v>
      </x:c>
      <x:c r="Q67" s="6" t="str"/>
      <x:c r="R67" s="6" t="str"/>
      <x:c r="S67" s="6" t="str"/>
      <x:c r="T67" s="6" t="str"/>
      <x:c r="U67" s="6" t="str"/>
      <x:c r="V67" s="6" t="str">
        <x:v>Unresolved</x:v>
      </x:c>
      <x:c r="W67" s="12" t="str"/>
      <x:c r="X67" s="12" t="str"/>
      <x:c r="Y67" s="6" t="str"/>
      <x:c r="Z67" s="6" t="str"/>
      <x:c r="AA67" s="6" t="str">
        <x:v>Pending</x:v>
      </x:c>
      <x:c r="AB67" s="6" t="str"/>
      <x:c r="AC67" s="6" t="str"/>
      <x:c r="AD67" s="12" t="str"/>
    </x:row>
    <x:row r="68">
      <x:c r="A68" s="6" t="str">
        <x:v>SIR-000067</x:v>
      </x:c>
      <x:c r="B68" s="6" t="str">
        <x:v>SVC000067</x:v>
      </x:c>
      <x:c r="C68" s="6" t="str">
        <x:v>SVC000142</x:v>
      </x:c>
      <x:c r="D68" s="6" t="str">
        <x:v>iPhone 13 Mini Screen replacement</x:v>
      </x:c>
      <x:c r="E68" s="6" t="str">
        <x:v>iPhone 13 Mini Screen replacement</x:v>
      </x:c>
      <x:c r="F68" s="6" t="str">
        <x:v>iphone 13 mini screen replacement</x:v>
      </x:c>
      <x:c r="G68" s="6" t="str">
        <x:v>Repair</x:v>
      </x:c>
      <x:c r="H68" s="6" t="str">
        <x:v>iPhone Screen Repair</x:v>
      </x:c>
      <x:c r="I68" s="6" t="str">
        <x:v>Phone</x:v>
      </x:c>
      <x:c r="J68" s="6" t="str">
        <x:v>iPhone 13 Mini Screen replacement</x:v>
      </x:c>
      <x:c r="K68" s="6" t="str">
        <x:v>Nocturnix_Master_Services_Catalog_v1.xlsx</x:v>
      </x:c>
      <x:c r="L68" s="6" t="str">
        <x:v>01 - Master Services</x:v>
      </x:c>
      <x:c r="M68" s="6" t="n">
        <x:v>107</x:v>
      </x:c>
      <x:c r="N68" s="6" t="str">
        <x:v>CNF000067</x:v>
      </x:c>
      <x:c r="O68" s="6" t="str"/>
      <x:c r="P68" s="6" t="str">
        <x:v>Pending Verification</x:v>
      </x:c>
      <x:c r="Q68" s="6" t="str"/>
      <x:c r="R68" s="6" t="str"/>
      <x:c r="S68" s="6" t="str"/>
      <x:c r="T68" s="6" t="str"/>
      <x:c r="U68" s="6" t="str"/>
      <x:c r="V68" s="6" t="str">
        <x:v>Unresolved</x:v>
      </x:c>
      <x:c r="W68" s="12" t="str"/>
      <x:c r="X68" s="12" t="str"/>
      <x:c r="Y68" s="6" t="str"/>
      <x:c r="Z68" s="6" t="str"/>
      <x:c r="AA68" s="6" t="str">
        <x:v>Pending</x:v>
      </x:c>
      <x:c r="AB68" s="6" t="str"/>
      <x:c r="AC68" s="6" t="str"/>
      <x:c r="AD68" s="12" t="str"/>
    </x:row>
    <x:row r="69">
      <x:c r="A69" s="6" t="str">
        <x:v>SIR-000068</x:v>
      </x:c>
      <x:c r="B69" s="6" t="str">
        <x:v>SVC000068</x:v>
      </x:c>
      <x:c r="C69" s="6" t="str">
        <x:v>SVC000143</x:v>
      </x:c>
      <x:c r="D69" s="6" t="str">
        <x:v>iPhone 14 Screen replacement</x:v>
      </x:c>
      <x:c r="E69" s="6" t="str">
        <x:v>iPhone 14 Screen replacement</x:v>
      </x:c>
      <x:c r="F69" s="6" t="str">
        <x:v>iphone 14 screen replacement</x:v>
      </x:c>
      <x:c r="G69" s="6" t="str">
        <x:v>Repair</x:v>
      </x:c>
      <x:c r="H69" s="6" t="str">
        <x:v>iPhone Screen Repair</x:v>
      </x:c>
      <x:c r="I69" s="6" t="str">
        <x:v>Phone</x:v>
      </x:c>
      <x:c r="J69" s="6" t="str">
        <x:v>iPhone 14 Screen replacement</x:v>
      </x:c>
      <x:c r="K69" s="6" t="str">
        <x:v>Nocturnix_Master_Services_Catalog_v1.xlsx</x:v>
      </x:c>
      <x:c r="L69" s="6" t="str">
        <x:v>01 - Master Services</x:v>
      </x:c>
      <x:c r="M69" s="6" t="n">
        <x:v>108</x:v>
      </x:c>
      <x:c r="N69" s="6" t="str">
        <x:v>CNF000068</x:v>
      </x:c>
      <x:c r="O69" s="6" t="str"/>
      <x:c r="P69" s="6" t="str">
        <x:v>Pending Verification</x:v>
      </x:c>
      <x:c r="Q69" s="6" t="str"/>
      <x:c r="R69" s="6" t="str"/>
      <x:c r="S69" s="6" t="str"/>
      <x:c r="T69" s="6" t="str"/>
      <x:c r="U69" s="6" t="str"/>
      <x:c r="V69" s="6" t="str">
        <x:v>Unresolved</x:v>
      </x:c>
      <x:c r="W69" s="12" t="str"/>
      <x:c r="X69" s="12" t="str"/>
      <x:c r="Y69" s="6" t="str"/>
      <x:c r="Z69" s="6" t="str"/>
      <x:c r="AA69" s="6" t="str">
        <x:v>Pending</x:v>
      </x:c>
      <x:c r="AB69" s="6" t="str"/>
      <x:c r="AC69" s="6" t="str"/>
      <x:c r="AD69" s="12" t="str"/>
    </x:row>
    <x:row r="70">
      <x:c r="A70" s="6" t="str">
        <x:v>SIR-000069</x:v>
      </x:c>
      <x:c r="B70" s="6" t="str">
        <x:v>SVC000069</x:v>
      </x:c>
      <x:c r="C70" s="6" t="str">
        <x:v>SVC000144</x:v>
      </x:c>
      <x:c r="D70" s="6" t="str">
        <x:v>iPhone 14 Pro Max Screen replacement</x:v>
      </x:c>
      <x:c r="E70" s="6" t="str">
        <x:v>iPhone 14 Pro Max Screen replacement</x:v>
      </x:c>
      <x:c r="F70" s="6" t="str">
        <x:v>iphone 14 pro max screen replacement</x:v>
      </x:c>
      <x:c r="G70" s="6" t="str">
        <x:v>Repair</x:v>
      </x:c>
      <x:c r="H70" s="6" t="str">
        <x:v>iPhone Screen Repair</x:v>
      </x:c>
      <x:c r="I70" s="6" t="str">
        <x:v>Phone</x:v>
      </x:c>
      <x:c r="J70" s="6" t="str">
        <x:v>iPhone 14 Pro Max Screen replacement</x:v>
      </x:c>
      <x:c r="K70" s="6" t="str">
        <x:v>Nocturnix_Master_Services_Catalog_v1.xlsx</x:v>
      </x:c>
      <x:c r="L70" s="6" t="str">
        <x:v>01 - Master Services</x:v>
      </x:c>
      <x:c r="M70" s="6" t="n">
        <x:v>109</x:v>
      </x:c>
      <x:c r="N70" s="6" t="str">
        <x:v>CNF000069</x:v>
      </x:c>
      <x:c r="O70" s="6" t="str"/>
      <x:c r="P70" s="6" t="str">
        <x:v>Pending Verification</x:v>
      </x:c>
      <x:c r="Q70" s="6" t="str"/>
      <x:c r="R70" s="6" t="str"/>
      <x:c r="S70" s="6" t="str"/>
      <x:c r="T70" s="6" t="str"/>
      <x:c r="U70" s="6" t="str"/>
      <x:c r="V70" s="6" t="str">
        <x:v>Unresolved</x:v>
      </x:c>
      <x:c r="W70" s="12" t="str"/>
      <x:c r="X70" s="12" t="str"/>
      <x:c r="Y70" s="6" t="str"/>
      <x:c r="Z70" s="6" t="str"/>
      <x:c r="AA70" s="6" t="str">
        <x:v>Pending</x:v>
      </x:c>
      <x:c r="AB70" s="6" t="str"/>
      <x:c r="AC70" s="6" t="str"/>
      <x:c r="AD70" s="12" t="str"/>
    </x:row>
    <x:row r="71">
      <x:c r="A71" s="6" t="str">
        <x:v>SIR-000070</x:v>
      </x:c>
      <x:c r="B71" s="6" t="str">
        <x:v>SVC000070</x:v>
      </x:c>
      <x:c r="C71" s="6" t="str">
        <x:v>SVC000145</x:v>
      </x:c>
      <x:c r="D71" s="6" t="str">
        <x:v>iPhone 14 Plus Screen replacement</x:v>
      </x:c>
      <x:c r="E71" s="6" t="str">
        <x:v>iPhone 14 Plus Screen replacement</x:v>
      </x:c>
      <x:c r="F71" s="6" t="str">
        <x:v>iphone 14 plus screen replacement</x:v>
      </x:c>
      <x:c r="G71" s="6" t="str">
        <x:v>Repair</x:v>
      </x:c>
      <x:c r="H71" s="6" t="str">
        <x:v>iPhone Screen Repair</x:v>
      </x:c>
      <x:c r="I71" s="6" t="str">
        <x:v>Phone</x:v>
      </x:c>
      <x:c r="J71" s="6" t="str">
        <x:v>iPhone 14 Plus Screen replacement</x:v>
      </x:c>
      <x:c r="K71" s="6" t="str">
        <x:v>Nocturnix_Master_Services_Catalog_v1.xlsx</x:v>
      </x:c>
      <x:c r="L71" s="6" t="str">
        <x:v>01 - Master Services</x:v>
      </x:c>
      <x:c r="M71" s="6" t="n">
        <x:v>110</x:v>
      </x:c>
      <x:c r="N71" s="6" t="str">
        <x:v>CNF000070</x:v>
      </x:c>
      <x:c r="O71" s="6" t="str"/>
      <x:c r="P71" s="6" t="str">
        <x:v>Pending Verification</x:v>
      </x:c>
      <x:c r="Q71" s="6" t="str"/>
      <x:c r="R71" s="6" t="str"/>
      <x:c r="S71" s="6" t="str"/>
      <x:c r="T71" s="6" t="str"/>
      <x:c r="U71" s="6" t="str"/>
      <x:c r="V71" s="6" t="str">
        <x:v>Unresolved</x:v>
      </x:c>
      <x:c r="W71" s="12" t="str"/>
      <x:c r="X71" s="12" t="str"/>
      <x:c r="Y71" s="6" t="str"/>
      <x:c r="Z71" s="6" t="str"/>
      <x:c r="AA71" s="6" t="str">
        <x:v>Pending</x:v>
      </x:c>
      <x:c r="AB71" s="6" t="str"/>
      <x:c r="AC71" s="6" t="str"/>
      <x:c r="AD71" s="12" t="str"/>
    </x:row>
    <x:row r="72">
      <x:c r="A72" s="6" t="str">
        <x:v>SIR-000071</x:v>
      </x:c>
      <x:c r="B72" s="6" t="str">
        <x:v>SVC000071</x:v>
      </x:c>
      <x:c r="C72" s="6" t="str">
        <x:v>SVC000146</x:v>
      </x:c>
      <x:c r="D72" s="6" t="str">
        <x:v>iPhone 14 Pro Screen replacement</x:v>
      </x:c>
      <x:c r="E72" s="6" t="str">
        <x:v>iPhone 14 Pro Screen replacement</x:v>
      </x:c>
      <x:c r="F72" s="6" t="str">
        <x:v>iphone 14 pro screen replacement</x:v>
      </x:c>
      <x:c r="G72" s="6" t="str">
        <x:v>Repair</x:v>
      </x:c>
      <x:c r="H72" s="6" t="str">
        <x:v>iPhone Screen Repair</x:v>
      </x:c>
      <x:c r="I72" s="6" t="str">
        <x:v>Phone</x:v>
      </x:c>
      <x:c r="J72" s="6" t="str">
        <x:v>iPhone 14 Pro Screen replacement</x:v>
      </x:c>
      <x:c r="K72" s="6" t="str">
        <x:v>Nocturnix_Master_Services_Catalog_v1.xlsx</x:v>
      </x:c>
      <x:c r="L72" s="6" t="str">
        <x:v>01 - Master Services</x:v>
      </x:c>
      <x:c r="M72" s="6" t="n">
        <x:v>111</x:v>
      </x:c>
      <x:c r="N72" s="6" t="str">
        <x:v>CNF000071</x:v>
      </x:c>
      <x:c r="O72" s="6" t="str"/>
      <x:c r="P72" s="6" t="str">
        <x:v>Pending Verification</x:v>
      </x:c>
      <x:c r="Q72" s="6" t="str"/>
      <x:c r="R72" s="6" t="str"/>
      <x:c r="S72" s="6" t="str"/>
      <x:c r="T72" s="6" t="str"/>
      <x:c r="U72" s="6" t="str"/>
      <x:c r="V72" s="6" t="str">
        <x:v>Unresolved</x:v>
      </x:c>
      <x:c r="W72" s="12" t="str"/>
      <x:c r="X72" s="12" t="str"/>
      <x:c r="Y72" s="6" t="str"/>
      <x:c r="Z72" s="6" t="str"/>
      <x:c r="AA72" s="6" t="str">
        <x:v>Pending</x:v>
      </x:c>
      <x:c r="AB72" s="6" t="str"/>
      <x:c r="AC72" s="6" t="str"/>
      <x:c r="AD72" s="12" t="str"/>
    </x:row>
    <x:row r="73">
      <x:c r="A73" s="6" t="str">
        <x:v>SIR-000072</x:v>
      </x:c>
      <x:c r="B73" s="6" t="str">
        <x:v>SVC000072</x:v>
      </x:c>
      <x:c r="C73" s="6" t="str">
        <x:v>SVC000147</x:v>
      </x:c>
      <x:c r="D73" s="6" t="str">
        <x:v>iPhone 15 Pro Screen replacement</x:v>
      </x:c>
      <x:c r="E73" s="6" t="str">
        <x:v>iPhone 15 Pro Screen replacement</x:v>
      </x:c>
      <x:c r="F73" s="6" t="str">
        <x:v>iphone 15 pro screen replacement</x:v>
      </x:c>
      <x:c r="G73" s="6" t="str">
        <x:v>Repair</x:v>
      </x:c>
      <x:c r="H73" s="6" t="str">
        <x:v>iPhone Screen Repair</x:v>
      </x:c>
      <x:c r="I73" s="6" t="str">
        <x:v>Phone</x:v>
      </x:c>
      <x:c r="J73" s="6" t="str">
        <x:v>iPhone 15 Pro Screen replacement</x:v>
      </x:c>
      <x:c r="K73" s="6" t="str">
        <x:v>Nocturnix_Master_Services_Catalog_v1.xlsx</x:v>
      </x:c>
      <x:c r="L73" s="6" t="str">
        <x:v>01 - Master Services</x:v>
      </x:c>
      <x:c r="M73" s="6" t="n">
        <x:v>112</x:v>
      </x:c>
      <x:c r="N73" s="6" t="str">
        <x:v>CNF000072</x:v>
      </x:c>
      <x:c r="O73" s="6" t="str"/>
      <x:c r="P73" s="6" t="str">
        <x:v>Pending Verification</x:v>
      </x:c>
      <x:c r="Q73" s="6" t="str"/>
      <x:c r="R73" s="6" t="str"/>
      <x:c r="S73" s="6" t="str"/>
      <x:c r="T73" s="6" t="str"/>
      <x:c r="U73" s="6" t="str"/>
      <x:c r="V73" s="6" t="str">
        <x:v>Unresolved</x:v>
      </x:c>
      <x:c r="W73" s="12" t="str"/>
      <x:c r="X73" s="12" t="str"/>
      <x:c r="Y73" s="6" t="str"/>
      <x:c r="Z73" s="6" t="str"/>
      <x:c r="AA73" s="6" t="str">
        <x:v>Pending</x:v>
      </x:c>
      <x:c r="AB73" s="6" t="str"/>
      <x:c r="AC73" s="6" t="str"/>
      <x:c r="AD73" s="12" t="str"/>
    </x:row>
    <x:row r="74">
      <x:c r="A74" s="6" t="str">
        <x:v>SIR-000073</x:v>
      </x:c>
      <x:c r="B74" s="6" t="str">
        <x:v>SVC000073</x:v>
      </x:c>
      <x:c r="C74" s="6" t="str">
        <x:v>SVC000148</x:v>
      </x:c>
      <x:c r="D74" s="6" t="str">
        <x:v>iPhone 15 Pro Max Screen replacement</x:v>
      </x:c>
      <x:c r="E74" s="6" t="str">
        <x:v>iPhone 15 Pro Max Screen replacement</x:v>
      </x:c>
      <x:c r="F74" s="6" t="str">
        <x:v>iphone 15 pro max screen replacement</x:v>
      </x:c>
      <x:c r="G74" s="6" t="str">
        <x:v>Repair</x:v>
      </x:c>
      <x:c r="H74" s="6" t="str">
        <x:v>iPhone Screen Repair</x:v>
      </x:c>
      <x:c r="I74" s="6" t="str">
        <x:v>Phone</x:v>
      </x:c>
      <x:c r="J74" s="6" t="str">
        <x:v>iPhone 15 Pro Max Screen replacement</x:v>
      </x:c>
      <x:c r="K74" s="6" t="str">
        <x:v>Nocturnix_Master_Services_Catalog_v1.xlsx</x:v>
      </x:c>
      <x:c r="L74" s="6" t="str">
        <x:v>01 - Master Services</x:v>
      </x:c>
      <x:c r="M74" s="6" t="n">
        <x:v>113</x:v>
      </x:c>
      <x:c r="N74" s="6" t="str">
        <x:v>CNF000073</x:v>
      </x:c>
      <x:c r="O74" s="6" t="str"/>
      <x:c r="P74" s="6" t="str">
        <x:v>Pending Verification</x:v>
      </x:c>
      <x:c r="Q74" s="6" t="str"/>
      <x:c r="R74" s="6" t="str"/>
      <x:c r="S74" s="6" t="str"/>
      <x:c r="T74" s="6" t="str"/>
      <x:c r="U74" s="6" t="str"/>
      <x:c r="V74" s="6" t="str">
        <x:v>Unresolved</x:v>
      </x:c>
      <x:c r="W74" s="12" t="str"/>
      <x:c r="X74" s="12" t="str"/>
      <x:c r="Y74" s="6" t="str"/>
      <x:c r="Z74" s="6" t="str"/>
      <x:c r="AA74" s="6" t="str">
        <x:v>Pending</x:v>
      </x:c>
      <x:c r="AB74" s="6" t="str"/>
      <x:c r="AC74" s="6" t="str"/>
      <x:c r="AD74" s="12" t="str"/>
    </x:row>
    <x:row r="75">
      <x:c r="A75" s="6" t="str">
        <x:v>SIR-000074</x:v>
      </x:c>
      <x:c r="B75" s="6" t="str">
        <x:v>SVC000074</x:v>
      </x:c>
      <x:c r="C75" s="6" t="str">
        <x:v>SVC000149</x:v>
      </x:c>
      <x:c r="D75" s="6" t="str">
        <x:v>iPhone 15 Screen replacement</x:v>
      </x:c>
      <x:c r="E75" s="6" t="str">
        <x:v>iPhone 15 Screen replacement</x:v>
      </x:c>
      <x:c r="F75" s="6" t="str">
        <x:v>iphone 15 screen replacement</x:v>
      </x:c>
      <x:c r="G75" s="6" t="str">
        <x:v>Repair</x:v>
      </x:c>
      <x:c r="H75" s="6" t="str">
        <x:v>iPhone Screen Repair</x:v>
      </x:c>
      <x:c r="I75" s="6" t="str">
        <x:v>Phone</x:v>
      </x:c>
      <x:c r="J75" s="6" t="str">
        <x:v>iPhone 15 Screen replacement</x:v>
      </x:c>
      <x:c r="K75" s="6" t="str">
        <x:v>Nocturnix_Master_Services_Catalog_v1.xlsx</x:v>
      </x:c>
      <x:c r="L75" s="6" t="str">
        <x:v>01 - Master Services</x:v>
      </x:c>
      <x:c r="M75" s="6" t="n">
        <x:v>114</x:v>
      </x:c>
      <x:c r="N75" s="6" t="str">
        <x:v>CNF000074</x:v>
      </x:c>
      <x:c r="O75" s="6" t="str"/>
      <x:c r="P75" s="6" t="str">
        <x:v>Pending Verification</x:v>
      </x:c>
      <x:c r="Q75" s="6" t="str"/>
      <x:c r="R75" s="6" t="str"/>
      <x:c r="S75" s="6" t="str"/>
      <x:c r="T75" s="6" t="str"/>
      <x:c r="U75" s="6" t="str"/>
      <x:c r="V75" s="6" t="str">
        <x:v>Unresolved</x:v>
      </x:c>
      <x:c r="W75" s="12" t="str"/>
      <x:c r="X75" s="12" t="str"/>
      <x:c r="Y75" s="6" t="str"/>
      <x:c r="Z75" s="6" t="str"/>
      <x:c r="AA75" s="6" t="str">
        <x:v>Pending</x:v>
      </x:c>
      <x:c r="AB75" s="6" t="str"/>
      <x:c r="AC75" s="6" t="str"/>
      <x:c r="AD75" s="12" t="str"/>
    </x:row>
    <x:row r="76">
      <x:c r="A76" s="6" t="str">
        <x:v>SIR-000075</x:v>
      </x:c>
      <x:c r="B76" s="6" t="str">
        <x:v>SVC000075</x:v>
      </x:c>
      <x:c r="C76" s="6" t="str">
        <x:v>SVC000150</x:v>
      </x:c>
      <x:c r="D76" s="6" t="str">
        <x:v>iPhone 15 Plus Screen replacement</x:v>
      </x:c>
      <x:c r="E76" s="6" t="str">
        <x:v>iPhone 15 Plus Screen replacement</x:v>
      </x:c>
      <x:c r="F76" s="6" t="str">
        <x:v>iphone 15 plus screen replacement</x:v>
      </x:c>
      <x:c r="G76" s="6" t="str">
        <x:v>Repair</x:v>
      </x:c>
      <x:c r="H76" s="6" t="str">
        <x:v>iPhone Screen Repair</x:v>
      </x:c>
      <x:c r="I76" s="6" t="str">
        <x:v>Phone</x:v>
      </x:c>
      <x:c r="J76" s="6" t="str">
        <x:v>iPhone 15 Plus Screen replacement</x:v>
      </x:c>
      <x:c r="K76" s="6" t="str">
        <x:v>Nocturnix_Master_Services_Catalog_v1.xlsx</x:v>
      </x:c>
      <x:c r="L76" s="6" t="str">
        <x:v>01 - Master Services</x:v>
      </x:c>
      <x:c r="M76" s="6" t="n">
        <x:v>115</x:v>
      </x:c>
      <x:c r="N76" s="6" t="str">
        <x:v>CNF000075</x:v>
      </x:c>
      <x:c r="O76" s="6" t="str"/>
      <x:c r="P76" s="6" t="str">
        <x:v>Pending Verification</x:v>
      </x:c>
      <x:c r="Q76" s="6" t="str"/>
      <x:c r="R76" s="6" t="str"/>
      <x:c r="S76" s="6" t="str"/>
      <x:c r="T76" s="6" t="str"/>
      <x:c r="U76" s="6" t="str"/>
      <x:c r="V76" s="6" t="str">
        <x:v>Unresolved</x:v>
      </x:c>
      <x:c r="W76" s="12" t="str"/>
      <x:c r="X76" s="12" t="str"/>
      <x:c r="Y76" s="6" t="str"/>
      <x:c r="Z76" s="6" t="str"/>
      <x:c r="AA76" s="6" t="str">
        <x:v>Pending</x:v>
      </x:c>
      <x:c r="AB76" s="6" t="str"/>
      <x:c r="AC76" s="6" t="str"/>
      <x:c r="AD76" s="12" t="str"/>
    </x:row>
    <x:row r="77">
      <x:c r="A77" s="6" t="str">
        <x:v>SIR-000076</x:v>
      </x:c>
      <x:c r="B77" s="6" t="str">
        <x:v>SVC000076</x:v>
      </x:c>
      <x:c r="C77" s="6" t="str">
        <x:v>SVC000151</x:v>
      </x:c>
      <x:c r="D77" s="6" t="str">
        <x:v>iPhone 16 Plus Screen replacement</x:v>
      </x:c>
      <x:c r="E77" s="6" t="str">
        <x:v>iPhone 16 Plus Screen replacement</x:v>
      </x:c>
      <x:c r="F77" s="6" t="str">
        <x:v>iphone 16 plus screen replacement</x:v>
      </x:c>
      <x:c r="G77" s="6" t="str">
        <x:v>Repair</x:v>
      </x:c>
      <x:c r="H77" s="6" t="str">
        <x:v>iPhone Screen Repair</x:v>
      </x:c>
      <x:c r="I77" s="6" t="str">
        <x:v>Phone</x:v>
      </x:c>
      <x:c r="J77" s="6" t="str">
        <x:v>iPhone 16 Plus Screen replacement</x:v>
      </x:c>
      <x:c r="K77" s="6" t="str">
        <x:v>Nocturnix_Master_Services_Catalog_v1.xlsx</x:v>
      </x:c>
      <x:c r="L77" s="6" t="str">
        <x:v>01 - Master Services</x:v>
      </x:c>
      <x:c r="M77" s="6" t="n">
        <x:v>116</x:v>
      </x:c>
      <x:c r="N77" s="6" t="str">
        <x:v>CNF000076</x:v>
      </x:c>
      <x:c r="O77" s="6" t="str"/>
      <x:c r="P77" s="6" t="str">
        <x:v>Pending Verification</x:v>
      </x:c>
      <x:c r="Q77" s="6" t="str"/>
      <x:c r="R77" s="6" t="str"/>
      <x:c r="S77" s="6" t="str"/>
      <x:c r="T77" s="6" t="str"/>
      <x:c r="U77" s="6" t="str"/>
      <x:c r="V77" s="6" t="str">
        <x:v>Unresolved</x:v>
      </x:c>
      <x:c r="W77" s="12" t="str"/>
      <x:c r="X77" s="12" t="str"/>
      <x:c r="Y77" s="6" t="str"/>
      <x:c r="Z77" s="6" t="str"/>
      <x:c r="AA77" s="6" t="str">
        <x:v>Pending</x:v>
      </x:c>
      <x:c r="AB77" s="6" t="str"/>
      <x:c r="AC77" s="6" t="str"/>
      <x:c r="AD77" s="12" t="str"/>
    </x:row>
    <x:row r="78">
      <x:c r="A78" s="6" t="str">
        <x:v>SIR-000077</x:v>
      </x:c>
      <x:c r="B78" s="6" t="str">
        <x:v>SVC000077</x:v>
      </x:c>
      <x:c r="C78" s="6" t="str">
        <x:v>SVC000152</x:v>
      </x:c>
      <x:c r="D78" s="6" t="str">
        <x:v>iPhone 16 Pro Max Screen replacement</x:v>
      </x:c>
      <x:c r="E78" s="6" t="str">
        <x:v>iPhone 16 Pro Max Screen replacement</x:v>
      </x:c>
      <x:c r="F78" s="6" t="str">
        <x:v>iphone 16 pro max screen replacement</x:v>
      </x:c>
      <x:c r="G78" s="6" t="str">
        <x:v>Repair</x:v>
      </x:c>
      <x:c r="H78" s="6" t="str">
        <x:v>iPhone Screen Repair</x:v>
      </x:c>
      <x:c r="I78" s="6" t="str">
        <x:v>Phone</x:v>
      </x:c>
      <x:c r="J78" s="6" t="str">
        <x:v>iPhone 16 Pro Max Screen replacement</x:v>
      </x:c>
      <x:c r="K78" s="6" t="str">
        <x:v>Nocturnix_Master_Services_Catalog_v1.xlsx</x:v>
      </x:c>
      <x:c r="L78" s="6" t="str">
        <x:v>01 - Master Services</x:v>
      </x:c>
      <x:c r="M78" s="6" t="n">
        <x:v>117</x:v>
      </x:c>
      <x:c r="N78" s="6" t="str">
        <x:v>CNF000077</x:v>
      </x:c>
      <x:c r="O78" s="6" t="str"/>
      <x:c r="P78" s="6" t="str">
        <x:v>Pending Verification</x:v>
      </x:c>
      <x:c r="Q78" s="6" t="str"/>
      <x:c r="R78" s="6" t="str"/>
      <x:c r="S78" s="6" t="str"/>
      <x:c r="T78" s="6" t="str"/>
      <x:c r="U78" s="6" t="str"/>
      <x:c r="V78" s="6" t="str">
        <x:v>Unresolved</x:v>
      </x:c>
      <x:c r="W78" s="12" t="str"/>
      <x:c r="X78" s="12" t="str"/>
      <x:c r="Y78" s="6" t="str"/>
      <x:c r="Z78" s="6" t="str"/>
      <x:c r="AA78" s="6" t="str">
        <x:v>Pending</x:v>
      </x:c>
      <x:c r="AB78" s="6" t="str"/>
      <x:c r="AC78" s="6" t="str"/>
      <x:c r="AD78" s="12" t="str"/>
    </x:row>
    <x:row r="79">
      <x:c r="A79" s="6" t="str">
        <x:v>SIR-000078</x:v>
      </x:c>
      <x:c r="B79" s="6" t="str">
        <x:v>SVC000078</x:v>
      </x:c>
      <x:c r="C79" s="6" t="str">
        <x:v>SVC000153</x:v>
      </x:c>
      <x:c r="D79" s="6" t="str">
        <x:v>iPhone 16 Screen replacement</x:v>
      </x:c>
      <x:c r="E79" s="6" t="str">
        <x:v>iPhone 16 Screen replacement</x:v>
      </x:c>
      <x:c r="F79" s="6" t="str">
        <x:v>iphone 16 screen replacement</x:v>
      </x:c>
      <x:c r="G79" s="6" t="str">
        <x:v>Repair</x:v>
      </x:c>
      <x:c r="H79" s="6" t="str">
        <x:v>iPhone Screen Repair</x:v>
      </x:c>
      <x:c r="I79" s="6" t="str">
        <x:v>Phone</x:v>
      </x:c>
      <x:c r="J79" s="6" t="str">
        <x:v>iPhone 16 Screen replacement</x:v>
      </x:c>
      <x:c r="K79" s="6" t="str">
        <x:v>Nocturnix_Master_Services_Catalog_v1.xlsx</x:v>
      </x:c>
      <x:c r="L79" s="6" t="str">
        <x:v>01 - Master Services</x:v>
      </x:c>
      <x:c r="M79" s="6" t="n">
        <x:v>118</x:v>
      </x:c>
      <x:c r="N79" s="6" t="str">
        <x:v>CNF000078</x:v>
      </x:c>
      <x:c r="O79" s="6" t="str"/>
      <x:c r="P79" s="6" t="str">
        <x:v>Pending Verification</x:v>
      </x:c>
      <x:c r="Q79" s="6" t="str"/>
      <x:c r="R79" s="6" t="str"/>
      <x:c r="S79" s="6" t="str"/>
      <x:c r="T79" s="6" t="str"/>
      <x:c r="U79" s="6" t="str"/>
      <x:c r="V79" s="6" t="str">
        <x:v>Unresolved</x:v>
      </x:c>
      <x:c r="W79" s="12" t="str"/>
      <x:c r="X79" s="12" t="str"/>
      <x:c r="Y79" s="6" t="str"/>
      <x:c r="Z79" s="6" t="str"/>
      <x:c r="AA79" s="6" t="str">
        <x:v>Pending</x:v>
      </x:c>
      <x:c r="AB79" s="6" t="str"/>
      <x:c r="AC79" s="6" t="str"/>
      <x:c r="AD79" s="12" t="str"/>
    </x:row>
    <x:row r="80">
      <x:c r="A80" s="6" t="str">
        <x:v>SIR-000079</x:v>
      </x:c>
      <x:c r="B80" s="6" t="str">
        <x:v>SVC000079</x:v>
      </x:c>
      <x:c r="C80" s="6" t="str">
        <x:v>SVC000154</x:v>
      </x:c>
      <x:c r="D80" s="6" t="str">
        <x:v>iPhone 16 Pro Screen replacement</x:v>
      </x:c>
      <x:c r="E80" s="6" t="str">
        <x:v>iPhone 16 Pro Screen replacement</x:v>
      </x:c>
      <x:c r="F80" s="6" t="str">
        <x:v>iphone 16 pro screen replacement</x:v>
      </x:c>
      <x:c r="G80" s="6" t="str">
        <x:v>Repair</x:v>
      </x:c>
      <x:c r="H80" s="6" t="str">
        <x:v>iPhone Screen Repair</x:v>
      </x:c>
      <x:c r="I80" s="6" t="str">
        <x:v>Phone</x:v>
      </x:c>
      <x:c r="J80" s="6" t="str">
        <x:v>iPhone 16 Pro Screen replacement</x:v>
      </x:c>
      <x:c r="K80" s="6" t="str">
        <x:v>Nocturnix_Master_Services_Catalog_v1.xlsx</x:v>
      </x:c>
      <x:c r="L80" s="6" t="str">
        <x:v>01 - Master Services</x:v>
      </x:c>
      <x:c r="M80" s="6" t="n">
        <x:v>119</x:v>
      </x:c>
      <x:c r="N80" s="6" t="str">
        <x:v>CNF000079</x:v>
      </x:c>
      <x:c r="O80" s="6" t="str"/>
      <x:c r="P80" s="6" t="str">
        <x:v>Pending Verification</x:v>
      </x:c>
      <x:c r="Q80" s="6" t="str"/>
      <x:c r="R80" s="6" t="str"/>
      <x:c r="S80" s="6" t="str"/>
      <x:c r="T80" s="6" t="str"/>
      <x:c r="U80" s="6" t="str"/>
      <x:c r="V80" s="6" t="str">
        <x:v>Unresolved</x:v>
      </x:c>
      <x:c r="W80" s="12" t="str"/>
      <x:c r="X80" s="12" t="str"/>
      <x:c r="Y80" s="6" t="str"/>
      <x:c r="Z80" s="6" t="str"/>
      <x:c r="AA80" s="6" t="str">
        <x:v>Pending</x:v>
      </x:c>
      <x:c r="AB80" s="6" t="str"/>
      <x:c r="AC80" s="6" t="str"/>
      <x:c r="AD80" s="12" t="str"/>
    </x:row>
    <x:row r="81">
      <x:c r="A81" s="6" t="str">
        <x:v>SIR-000080</x:v>
      </x:c>
      <x:c r="B81" s="6" t="str">
        <x:v>SVC000080</x:v>
      </x:c>
      <x:c r="C81" s="6" t="str">
        <x:v>SVC000155</x:v>
      </x:c>
      <x:c r="D81" s="6" t="str">
        <x:v>iPhone 16E Screen replacement</x:v>
      </x:c>
      <x:c r="E81" s="6" t="str">
        <x:v>iPhone 16E Screen replacement</x:v>
      </x:c>
      <x:c r="F81" s="6" t="str">
        <x:v>iphone 16e screen replacement</x:v>
      </x:c>
      <x:c r="G81" s="6" t="str">
        <x:v>Repair</x:v>
      </x:c>
      <x:c r="H81" s="6" t="str">
        <x:v>iPhone Screen Repair</x:v>
      </x:c>
      <x:c r="I81" s="6" t="str">
        <x:v>Phone</x:v>
      </x:c>
      <x:c r="J81" s="6" t="str">
        <x:v>iPhone 16E Screen replacement</x:v>
      </x:c>
      <x:c r="K81" s="6" t="str">
        <x:v>Nocturnix_Master_Services_Catalog_v1.xlsx</x:v>
      </x:c>
      <x:c r="L81" s="6" t="str">
        <x:v>01 - Master Services</x:v>
      </x:c>
      <x:c r="M81" s="6" t="n">
        <x:v>120</x:v>
      </x:c>
      <x:c r="N81" s="6" t="str">
        <x:v>CNF000080</x:v>
      </x:c>
      <x:c r="O81" s="6" t="str"/>
      <x:c r="P81" s="6" t="str">
        <x:v>Pending Verification</x:v>
      </x:c>
      <x:c r="Q81" s="6" t="str"/>
      <x:c r="R81" s="6" t="str"/>
      <x:c r="S81" s="6" t="str"/>
      <x:c r="T81" s="6" t="str"/>
      <x:c r="U81" s="6" t="str"/>
      <x:c r="V81" s="6" t="str">
        <x:v>Unresolved</x:v>
      </x:c>
      <x:c r="W81" s="12" t="str"/>
      <x:c r="X81" s="12" t="str"/>
      <x:c r="Y81" s="6" t="str"/>
      <x:c r="Z81" s="6" t="str"/>
      <x:c r="AA81" s="6" t="str">
        <x:v>Pending</x:v>
      </x:c>
      <x:c r="AB81" s="6" t="str"/>
      <x:c r="AC81" s="6" t="str"/>
      <x:c r="AD81" s="12" t="str"/>
    </x:row>
    <x:row r="82">
      <x:c r="A82" s="6" t="str">
        <x:v>SIR-000081</x:v>
      </x:c>
      <x:c r="B82" s="6" t="str">
        <x:v>SVC000081</x:v>
      </x:c>
      <x:c r="C82" s="6" t="str">
        <x:v>SVC000156</x:v>
      </x:c>
      <x:c r="D82" s="6" t="str">
        <x:v>iPhone 17 Pro Max Phone* Screen replacement</x:v>
      </x:c>
      <x:c r="E82" s="6" t="str">
        <x:v>iPhone 17 Pro Max Phone* Screen replacement</x:v>
      </x:c>
      <x:c r="F82" s="6" t="str">
        <x:v>iphone 17 pro max phone screen replacement</x:v>
      </x:c>
      <x:c r="G82" s="6" t="str">
        <x:v>Repair</x:v>
      </x:c>
      <x:c r="H82" s="6" t="str">
        <x:v>iPhone Screen Repair</x:v>
      </x:c>
      <x:c r="I82" s="6" t="str">
        <x:v>Phone</x:v>
      </x:c>
      <x:c r="J82" s="6" t="str">
        <x:v>iPhone 17 Pro Max Phone* Screen replacement</x:v>
      </x:c>
      <x:c r="K82" s="6" t="str">
        <x:v>Nocturnix_Master_Services_Catalog_v1.xlsx</x:v>
      </x:c>
      <x:c r="L82" s="6" t="str">
        <x:v>01 - Master Services</x:v>
      </x:c>
      <x:c r="M82" s="6" t="n">
        <x:v>121</x:v>
      </x:c>
      <x:c r="N82" s="6" t="str">
        <x:v>CNF000081</x:v>
      </x:c>
      <x:c r="O82" s="6" t="str"/>
      <x:c r="P82" s="6" t="str">
        <x:v>Pending Verification</x:v>
      </x:c>
      <x:c r="Q82" s="6" t="str"/>
      <x:c r="R82" s="6" t="str"/>
      <x:c r="S82" s="6" t="str"/>
      <x:c r="T82" s="6" t="str"/>
      <x:c r="U82" s="6" t="str"/>
      <x:c r="V82" s="6" t="str">
        <x:v>Unresolved</x:v>
      </x:c>
      <x:c r="W82" s="12" t="str"/>
      <x:c r="X82" s="12" t="str"/>
      <x:c r="Y82" s="6" t="str"/>
      <x:c r="Z82" s="6" t="str"/>
      <x:c r="AA82" s="6" t="str">
        <x:v>Pending</x:v>
      </x:c>
      <x:c r="AB82" s="6" t="str"/>
      <x:c r="AC82" s="6" t="str"/>
      <x:c r="AD82" s="12" t="str"/>
    </x:row>
    <x:row r="83">
      <x:c r="A83" s="6" t="str">
        <x:v>SIR-000082</x:v>
      </x:c>
      <x:c r="B83" s="6" t="str">
        <x:v>SVC000082</x:v>
      </x:c>
      <x:c r="C83" s="6" t="str">
        <x:v>SVC000157</x:v>
      </x:c>
      <x:c r="D83" s="6" t="str">
        <x:v>iPhone 17 Pro Screen replacement</x:v>
      </x:c>
      <x:c r="E83" s="6" t="str">
        <x:v>iPhone 17 Pro Screen replacement</x:v>
      </x:c>
      <x:c r="F83" s="6" t="str">
        <x:v>iphone 17 pro screen replacement</x:v>
      </x:c>
      <x:c r="G83" s="6" t="str">
        <x:v>Repair</x:v>
      </x:c>
      <x:c r="H83" s="6" t="str">
        <x:v>iPhone Screen Repair</x:v>
      </x:c>
      <x:c r="I83" s="6" t="str">
        <x:v>Phone</x:v>
      </x:c>
      <x:c r="J83" s="6" t="str">
        <x:v>iPhone 17 Pro Screen replacement</x:v>
      </x:c>
      <x:c r="K83" s="6" t="str">
        <x:v>Nocturnix_Master_Services_Catalog_v1.xlsx</x:v>
      </x:c>
      <x:c r="L83" s="6" t="str">
        <x:v>01 - Master Services</x:v>
      </x:c>
      <x:c r="M83" s="6" t="n">
        <x:v>122</x:v>
      </x:c>
      <x:c r="N83" s="6" t="str">
        <x:v>CNF000082</x:v>
      </x:c>
      <x:c r="O83" s="6" t="str"/>
      <x:c r="P83" s="6" t="str">
        <x:v>Pending Verification</x:v>
      </x:c>
      <x:c r="Q83" s="6" t="str"/>
      <x:c r="R83" s="6" t="str"/>
      <x:c r="S83" s="6" t="str"/>
      <x:c r="T83" s="6" t="str"/>
      <x:c r="U83" s="6" t="str"/>
      <x:c r="V83" s="6" t="str">
        <x:v>Unresolved</x:v>
      </x:c>
      <x:c r="W83" s="12" t="str"/>
      <x:c r="X83" s="12" t="str"/>
      <x:c r="Y83" s="6" t="str"/>
      <x:c r="Z83" s="6" t="str"/>
      <x:c r="AA83" s="6" t="str">
        <x:v>Pending</x:v>
      </x:c>
      <x:c r="AB83" s="6" t="str"/>
      <x:c r="AC83" s="6" t="str"/>
      <x:c r="AD83" s="12" t="str"/>
    </x:row>
    <x:row r="84">
      <x:c r="A84" s="6" t="str">
        <x:v>SIR-000083</x:v>
      </x:c>
      <x:c r="B84" s="6" t="str">
        <x:v>SVC000083</x:v>
      </x:c>
      <x:c r="C84" s="6" t="str">
        <x:v>SVC000158</x:v>
      </x:c>
      <x:c r="D84" s="6" t="str">
        <x:v>iPhone 17 Screen replacement</x:v>
      </x:c>
      <x:c r="E84" s="6" t="str">
        <x:v>iPhone 17 Screen replacement</x:v>
      </x:c>
      <x:c r="F84" s="6" t="str">
        <x:v>iphone 17 screen replacement</x:v>
      </x:c>
      <x:c r="G84" s="6" t="str">
        <x:v>Repair</x:v>
      </x:c>
      <x:c r="H84" s="6" t="str">
        <x:v>iPhone Screen Repair</x:v>
      </x:c>
      <x:c r="I84" s="6" t="str">
        <x:v>Phone</x:v>
      </x:c>
      <x:c r="J84" s="6" t="str">
        <x:v>iPhone 17 Screen replacement</x:v>
      </x:c>
      <x:c r="K84" s="6" t="str">
        <x:v>Nocturnix_Master_Services_Catalog_v1.xlsx</x:v>
      </x:c>
      <x:c r="L84" s="6" t="str">
        <x:v>01 - Master Services</x:v>
      </x:c>
      <x:c r="M84" s="6" t="n">
        <x:v>123</x:v>
      </x:c>
      <x:c r="N84" s="6" t="str">
        <x:v>CNF000083</x:v>
      </x:c>
      <x:c r="O84" s="6" t="str"/>
      <x:c r="P84" s="6" t="str">
        <x:v>Pending Verification</x:v>
      </x:c>
      <x:c r="Q84" s="6" t="str"/>
      <x:c r="R84" s="6" t="str"/>
      <x:c r="S84" s="6" t="str"/>
      <x:c r="T84" s="6" t="str"/>
      <x:c r="U84" s="6" t="str"/>
      <x:c r="V84" s="6" t="str">
        <x:v>Unresolved</x:v>
      </x:c>
      <x:c r="W84" s="12" t="str"/>
      <x:c r="X84" s="12" t="str"/>
      <x:c r="Y84" s="6" t="str"/>
      <x:c r="Z84" s="6" t="str"/>
      <x:c r="AA84" s="6" t="str">
        <x:v>Pending</x:v>
      </x:c>
      <x:c r="AB84" s="6" t="str"/>
      <x:c r="AC84" s="6" t="str"/>
      <x:c r="AD84" s="12" t="str"/>
    </x:row>
    <x:row r="85">
      <x:c r="A85" s="6" t="str">
        <x:v>SIR-000084</x:v>
      </x:c>
      <x:c r="B85" s="6" t="str">
        <x:v>SVC000084</x:v>
      </x:c>
      <x:c r="C85" s="6" t="str">
        <x:v>SVC000159</x:v>
      </x:c>
      <x:c r="D85" s="6" t="str">
        <x:v>iPhone 5C Screen replacement</x:v>
      </x:c>
      <x:c r="E85" s="6" t="str">
        <x:v>iPhone 5C Screen replacement</x:v>
      </x:c>
      <x:c r="F85" s="6" t="str">
        <x:v>iphone 5c screen replacement</x:v>
      </x:c>
      <x:c r="G85" s="6" t="str">
        <x:v>Repair</x:v>
      </x:c>
      <x:c r="H85" s="6" t="str">
        <x:v>iPhone Screen Repair</x:v>
      </x:c>
      <x:c r="I85" s="6" t="str">
        <x:v>Phone</x:v>
      </x:c>
      <x:c r="J85" s="6" t="str">
        <x:v>iPhone 5C Screen replacement</x:v>
      </x:c>
      <x:c r="K85" s="6" t="str">
        <x:v>Nocturnix_Master_Services_Catalog_v1.xlsx</x:v>
      </x:c>
      <x:c r="L85" s="6" t="str">
        <x:v>01 - Master Services</x:v>
      </x:c>
      <x:c r="M85" s="6" t="n">
        <x:v>124</x:v>
      </x:c>
      <x:c r="N85" s="6" t="str">
        <x:v>CNF000084</x:v>
      </x:c>
      <x:c r="O85" s="6" t="str"/>
      <x:c r="P85" s="6" t="str">
        <x:v>Pending Verification</x:v>
      </x:c>
      <x:c r="Q85" s="6" t="str"/>
      <x:c r="R85" s="6" t="str"/>
      <x:c r="S85" s="6" t="str"/>
      <x:c r="T85" s="6" t="str"/>
      <x:c r="U85" s="6" t="str"/>
      <x:c r="V85" s="6" t="str">
        <x:v>Unresolved</x:v>
      </x:c>
      <x:c r="W85" s="12" t="str"/>
      <x:c r="X85" s="12" t="str"/>
      <x:c r="Y85" s="6" t="str"/>
      <x:c r="Z85" s="6" t="str"/>
      <x:c r="AA85" s="6" t="str">
        <x:v>Pending</x:v>
      </x:c>
      <x:c r="AB85" s="6" t="str"/>
      <x:c r="AC85" s="6" t="str"/>
      <x:c r="AD85" s="12" t="str"/>
    </x:row>
    <x:row r="86">
      <x:c r="A86" s="6" t="str">
        <x:v>SIR-000085</x:v>
      </x:c>
      <x:c r="B86" s="6" t="str">
        <x:v>SVC000085</x:v>
      </x:c>
      <x:c r="C86" s="6" t="str">
        <x:v>SVC000160</x:v>
      </x:c>
      <x:c r="D86" s="6" t="str">
        <x:v>iPhone 5S Screen replacement</x:v>
      </x:c>
      <x:c r="E86" s="6" t="str">
        <x:v>iPhone 5S Screen replacement</x:v>
      </x:c>
      <x:c r="F86" s="6" t="str">
        <x:v>iphone 5s screen replacement</x:v>
      </x:c>
      <x:c r="G86" s="6" t="str">
        <x:v>Repair</x:v>
      </x:c>
      <x:c r="H86" s="6" t="str">
        <x:v>iPhone Screen Repair</x:v>
      </x:c>
      <x:c r="I86" s="6" t="str">
        <x:v>Phone</x:v>
      </x:c>
      <x:c r="J86" s="6" t="str">
        <x:v>iPhone 5S Screen replacement</x:v>
      </x:c>
      <x:c r="K86" s="6" t="str">
        <x:v>Nocturnix_Master_Services_Catalog_v1.xlsx</x:v>
      </x:c>
      <x:c r="L86" s="6" t="str">
        <x:v>01 - Master Services</x:v>
      </x:c>
      <x:c r="M86" s="6" t="n">
        <x:v>125</x:v>
      </x:c>
      <x:c r="N86" s="6" t="str">
        <x:v>CNF000085</x:v>
      </x:c>
      <x:c r="O86" s="6" t="str"/>
      <x:c r="P86" s="6" t="str">
        <x:v>Pending Verification</x:v>
      </x:c>
      <x:c r="Q86" s="6" t="str"/>
      <x:c r="R86" s="6" t="str"/>
      <x:c r="S86" s="6" t="str"/>
      <x:c r="T86" s="6" t="str"/>
      <x:c r="U86" s="6" t="str"/>
      <x:c r="V86" s="6" t="str">
        <x:v>Unresolved</x:v>
      </x:c>
      <x:c r="W86" s="12" t="str"/>
      <x:c r="X86" s="12" t="str"/>
      <x:c r="Y86" s="6" t="str"/>
      <x:c r="Z86" s="6" t="str"/>
      <x:c r="AA86" s="6" t="str">
        <x:v>Pending</x:v>
      </x:c>
      <x:c r="AB86" s="6" t="str"/>
      <x:c r="AC86" s="6" t="str"/>
      <x:c r="AD86" s="12" t="str"/>
    </x:row>
    <x:row r="87">
      <x:c r="A87" s="6" t="str">
        <x:v>SIR-000086</x:v>
      </x:c>
      <x:c r="B87" s="6" t="str">
        <x:v>SVC000086</x:v>
      </x:c>
      <x:c r="C87" s="6" t="str">
        <x:v>SVC000161</x:v>
      </x:c>
      <x:c r="D87" s="6" t="str">
        <x:v>iPhone 6+ Screen replacement</x:v>
      </x:c>
      <x:c r="E87" s="6" t="str">
        <x:v>iPhone 6+ Screen replacement</x:v>
      </x:c>
      <x:c r="F87" s="6" t="str">
        <x:v>iphone 6 screen replacement</x:v>
      </x:c>
      <x:c r="G87" s="6" t="str">
        <x:v>Repair</x:v>
      </x:c>
      <x:c r="H87" s="6" t="str">
        <x:v>iPhone Screen Repair</x:v>
      </x:c>
      <x:c r="I87" s="6" t="str">
        <x:v>Phone</x:v>
      </x:c>
      <x:c r="J87" s="6" t="str">
        <x:v>iPhone 6+ Screen replacement</x:v>
      </x:c>
      <x:c r="K87" s="6" t="str">
        <x:v>Nocturnix_Master_Services_Catalog_v1.xlsx</x:v>
      </x:c>
      <x:c r="L87" s="6" t="str">
        <x:v>01 - Master Services</x:v>
      </x:c>
      <x:c r="M87" s="6" t="n">
        <x:v>126</x:v>
      </x:c>
      <x:c r="N87" s="6" t="str">
        <x:v>CNF000086</x:v>
      </x:c>
      <x:c r="O87" s="6" t="str">
        <x:v>DUP000001</x:v>
      </x:c>
      <x:c r="P87" s="6" t="str">
        <x:v>Pending Verification</x:v>
      </x:c>
      <x:c r="Q87" s="6" t="str"/>
      <x:c r="R87" s="6" t="str"/>
      <x:c r="S87" s="6" t="str"/>
      <x:c r="T87" s="6" t="str"/>
      <x:c r="U87" s="6" t="str"/>
      <x:c r="V87" s="6" t="str">
        <x:v>Unresolved</x:v>
      </x:c>
      <x:c r="W87" s="12" t="str"/>
      <x:c r="X87" s="12" t="str"/>
      <x:c r="Y87" s="6" t="str"/>
      <x:c r="Z87" s="6" t="str"/>
      <x:c r="AA87" s="6" t="str">
        <x:v>Pending</x:v>
      </x:c>
      <x:c r="AB87" s="6" t="str"/>
      <x:c r="AC87" s="6" t="str"/>
      <x:c r="AD87" s="12" t="str"/>
    </x:row>
    <x:row r="88">
      <x:c r="A88" s="6" t="str">
        <x:v>SIR-000087</x:v>
      </x:c>
      <x:c r="B88" s="6" t="str">
        <x:v>SVC000087</x:v>
      </x:c>
      <x:c r="C88" s="6" t="str">
        <x:v>SVC000162</x:v>
      </x:c>
      <x:c r="D88" s="6" t="str">
        <x:v>iPhone 6 Screen replacement</x:v>
      </x:c>
      <x:c r="E88" s="6" t="str">
        <x:v>iPhone 6 Screen replacement</x:v>
      </x:c>
      <x:c r="F88" s="6" t="str">
        <x:v>iphone 6 screen replacement</x:v>
      </x:c>
      <x:c r="G88" s="6" t="str">
        <x:v>Repair</x:v>
      </x:c>
      <x:c r="H88" s="6" t="str">
        <x:v>iPhone Screen Repair</x:v>
      </x:c>
      <x:c r="I88" s="6" t="str">
        <x:v>Phone</x:v>
      </x:c>
      <x:c r="J88" s="6" t="str">
        <x:v>iPhone 6 Screen replacement</x:v>
      </x:c>
      <x:c r="K88" s="6" t="str">
        <x:v>Nocturnix_Master_Services_Catalog_v1.xlsx</x:v>
      </x:c>
      <x:c r="L88" s="6" t="str">
        <x:v>01 - Master Services</x:v>
      </x:c>
      <x:c r="M88" s="6" t="n">
        <x:v>127</x:v>
      </x:c>
      <x:c r="N88" s="6" t="str">
        <x:v>CNF000087</x:v>
      </x:c>
      <x:c r="O88" s="6" t="str">
        <x:v>DUP000001</x:v>
      </x:c>
      <x:c r="P88" s="6" t="str">
        <x:v>Pending Verification</x:v>
      </x:c>
      <x:c r="Q88" s="6" t="str"/>
      <x:c r="R88" s="6" t="str"/>
      <x:c r="S88" s="6" t="str"/>
      <x:c r="T88" s="6" t="str"/>
      <x:c r="U88" s="6" t="str"/>
      <x:c r="V88" s="6" t="str">
        <x:v>Unresolved</x:v>
      </x:c>
      <x:c r="W88" s="12" t="str"/>
      <x:c r="X88" s="12" t="str"/>
      <x:c r="Y88" s="6" t="str"/>
      <x:c r="Z88" s="6" t="str"/>
      <x:c r="AA88" s="6" t="str">
        <x:v>Pending</x:v>
      </x:c>
      <x:c r="AB88" s="6" t="str"/>
      <x:c r="AC88" s="6" t="str"/>
      <x:c r="AD88" s="12" t="str"/>
    </x:row>
    <x:row r="89">
      <x:c r="A89" s="6" t="str">
        <x:v>SIR-000088</x:v>
      </x:c>
      <x:c r="B89" s="6" t="str">
        <x:v>SVC000088</x:v>
      </x:c>
      <x:c r="C89" s="6" t="str">
        <x:v>SVC000163</x:v>
      </x:c>
      <x:c r="D89" s="6" t="str">
        <x:v>iPhone 6S+ Screen replacement</x:v>
      </x:c>
      <x:c r="E89" s="6" t="str">
        <x:v>iPhone 6S+ Screen replacement</x:v>
      </x:c>
      <x:c r="F89" s="6" t="str">
        <x:v>iphone 6s screen replacement</x:v>
      </x:c>
      <x:c r="G89" s="6" t="str">
        <x:v>Repair</x:v>
      </x:c>
      <x:c r="H89" s="6" t="str">
        <x:v>iPhone Screen Repair</x:v>
      </x:c>
      <x:c r="I89" s="6" t="str">
        <x:v>Phone</x:v>
      </x:c>
      <x:c r="J89" s="6" t="str">
        <x:v>iPhone 6S+ Screen replacement</x:v>
      </x:c>
      <x:c r="K89" s="6" t="str">
        <x:v>Nocturnix_Master_Services_Catalog_v1.xlsx</x:v>
      </x:c>
      <x:c r="L89" s="6" t="str">
        <x:v>01 - Master Services</x:v>
      </x:c>
      <x:c r="M89" s="6" t="n">
        <x:v>128</x:v>
      </x:c>
      <x:c r="N89" s="6" t="str">
        <x:v>CNF000088</x:v>
      </x:c>
      <x:c r="O89" s="6" t="str">
        <x:v>DUP000002</x:v>
      </x:c>
      <x:c r="P89" s="6" t="str">
        <x:v>Pending Verification</x:v>
      </x:c>
      <x:c r="Q89" s="6" t="str"/>
      <x:c r="R89" s="6" t="str"/>
      <x:c r="S89" s="6" t="str"/>
      <x:c r="T89" s="6" t="str"/>
      <x:c r="U89" s="6" t="str"/>
      <x:c r="V89" s="6" t="str">
        <x:v>Unresolved</x:v>
      </x:c>
      <x:c r="W89" s="12" t="str"/>
      <x:c r="X89" s="12" t="str"/>
      <x:c r="Y89" s="6" t="str"/>
      <x:c r="Z89" s="6" t="str"/>
      <x:c r="AA89" s="6" t="str">
        <x:v>Pending</x:v>
      </x:c>
      <x:c r="AB89" s="6" t="str"/>
      <x:c r="AC89" s="6" t="str"/>
      <x:c r="AD89" s="12" t="str"/>
    </x:row>
    <x:row r="90">
      <x:c r="A90" s="6" t="str">
        <x:v>SIR-000089</x:v>
      </x:c>
      <x:c r="B90" s="6" t="str">
        <x:v>SVC000089</x:v>
      </x:c>
      <x:c r="C90" s="6" t="str">
        <x:v>SVC000164</x:v>
      </x:c>
      <x:c r="D90" s="6" t="str">
        <x:v>iPhone 6S Screen replacement</x:v>
      </x:c>
      <x:c r="E90" s="6" t="str">
        <x:v>iPhone 6S Screen replacement</x:v>
      </x:c>
      <x:c r="F90" s="6" t="str">
        <x:v>iphone 6s screen replacement</x:v>
      </x:c>
      <x:c r="G90" s="6" t="str">
        <x:v>Repair</x:v>
      </x:c>
      <x:c r="H90" s="6" t="str">
        <x:v>iPhone Screen Repair</x:v>
      </x:c>
      <x:c r="I90" s="6" t="str">
        <x:v>Phone</x:v>
      </x:c>
      <x:c r="J90" s="6" t="str">
        <x:v>iPhone 6S Screen replacement</x:v>
      </x:c>
      <x:c r="K90" s="6" t="str">
        <x:v>Nocturnix_Master_Services_Catalog_v1.xlsx</x:v>
      </x:c>
      <x:c r="L90" s="6" t="str">
        <x:v>01 - Master Services</x:v>
      </x:c>
      <x:c r="M90" s="6" t="n">
        <x:v>129</x:v>
      </x:c>
      <x:c r="N90" s="6" t="str">
        <x:v>CNF000089</x:v>
      </x:c>
      <x:c r="O90" s="6" t="str">
        <x:v>DUP000002</x:v>
      </x:c>
      <x:c r="P90" s="6" t="str">
        <x:v>Pending Verification</x:v>
      </x:c>
      <x:c r="Q90" s="6" t="str"/>
      <x:c r="R90" s="6" t="str"/>
      <x:c r="S90" s="6" t="str"/>
      <x:c r="T90" s="6" t="str"/>
      <x:c r="U90" s="6" t="str"/>
      <x:c r="V90" s="6" t="str">
        <x:v>Unresolved</x:v>
      </x:c>
      <x:c r="W90" s="12" t="str"/>
      <x:c r="X90" s="12" t="str"/>
      <x:c r="Y90" s="6" t="str"/>
      <x:c r="Z90" s="6" t="str"/>
      <x:c r="AA90" s="6" t="str">
        <x:v>Pending</x:v>
      </x:c>
      <x:c r="AB90" s="6" t="str"/>
      <x:c r="AC90" s="6" t="str"/>
      <x:c r="AD90" s="12" t="str"/>
    </x:row>
    <x:row r="91">
      <x:c r="A91" s="6" t="str">
        <x:v>SIR-000090</x:v>
      </x:c>
      <x:c r="B91" s="6" t="str">
        <x:v>SVC000090</x:v>
      </x:c>
      <x:c r="C91" s="6" t="str">
        <x:v>SVC000165</x:v>
      </x:c>
      <x:c r="D91" s="6" t="str">
        <x:v>iPhone 7+ Screen replacement</x:v>
      </x:c>
      <x:c r="E91" s="6" t="str">
        <x:v>iPhone 7+ Screen replacement</x:v>
      </x:c>
      <x:c r="F91" s="6" t="str">
        <x:v>iphone 7 screen replacement</x:v>
      </x:c>
      <x:c r="G91" s="6" t="str">
        <x:v>Repair</x:v>
      </x:c>
      <x:c r="H91" s="6" t="str">
        <x:v>iPhone Screen Repair</x:v>
      </x:c>
      <x:c r="I91" s="6" t="str">
        <x:v>Phone</x:v>
      </x:c>
      <x:c r="J91" s="6" t="str">
        <x:v>iPhone 7+ Screen replacement</x:v>
      </x:c>
      <x:c r="K91" s="6" t="str">
        <x:v>Nocturnix_Master_Services_Catalog_v1.xlsx</x:v>
      </x:c>
      <x:c r="L91" s="6" t="str">
        <x:v>01 - Master Services</x:v>
      </x:c>
      <x:c r="M91" s="6" t="n">
        <x:v>130</x:v>
      </x:c>
      <x:c r="N91" s="6" t="str">
        <x:v>CNF000090</x:v>
      </x:c>
      <x:c r="O91" s="6" t="str">
        <x:v>DUP000003</x:v>
      </x:c>
      <x:c r="P91" s="6" t="str">
        <x:v>Pending Verification</x:v>
      </x:c>
      <x:c r="Q91" s="6" t="str"/>
      <x:c r="R91" s="6" t="str"/>
      <x:c r="S91" s="6" t="str"/>
      <x:c r="T91" s="6" t="str"/>
      <x:c r="U91" s="6" t="str"/>
      <x:c r="V91" s="6" t="str">
        <x:v>Unresolved</x:v>
      </x:c>
      <x:c r="W91" s="12" t="str"/>
      <x:c r="X91" s="12" t="str"/>
      <x:c r="Y91" s="6" t="str"/>
      <x:c r="Z91" s="6" t="str"/>
      <x:c r="AA91" s="6" t="str">
        <x:v>Pending</x:v>
      </x:c>
      <x:c r="AB91" s="6" t="str"/>
      <x:c r="AC91" s="6" t="str"/>
      <x:c r="AD91" s="12" t="str"/>
    </x:row>
    <x:row r="92">
      <x:c r="A92" s="6" t="str">
        <x:v>SIR-000091</x:v>
      </x:c>
      <x:c r="B92" s="6" t="str">
        <x:v>SVC000091</x:v>
      </x:c>
      <x:c r="C92" s="6" t="str">
        <x:v>SVC000166</x:v>
      </x:c>
      <x:c r="D92" s="6" t="str">
        <x:v>iPhone 7 Screen replacement</x:v>
      </x:c>
      <x:c r="E92" s="6" t="str">
        <x:v>iPhone 7 Screen replacement</x:v>
      </x:c>
      <x:c r="F92" s="6" t="str">
        <x:v>iphone 7 screen replacement</x:v>
      </x:c>
      <x:c r="G92" s="6" t="str">
        <x:v>Repair</x:v>
      </x:c>
      <x:c r="H92" s="6" t="str">
        <x:v>iPhone Screen Repair</x:v>
      </x:c>
      <x:c r="I92" s="6" t="str">
        <x:v>Phone</x:v>
      </x:c>
      <x:c r="J92" s="6" t="str">
        <x:v>iPhone 7 Screen replacement</x:v>
      </x:c>
      <x:c r="K92" s="6" t="str">
        <x:v>Nocturnix_Master_Services_Catalog_v1.xlsx</x:v>
      </x:c>
      <x:c r="L92" s="6" t="str">
        <x:v>01 - Master Services</x:v>
      </x:c>
      <x:c r="M92" s="6" t="n">
        <x:v>131</x:v>
      </x:c>
      <x:c r="N92" s="6" t="str">
        <x:v>CNF000091</x:v>
      </x:c>
      <x:c r="O92" s="6" t="str">
        <x:v>DUP000003</x:v>
      </x:c>
      <x:c r="P92" s="6" t="str">
        <x:v>Pending Verification</x:v>
      </x:c>
      <x:c r="Q92" s="6" t="str"/>
      <x:c r="R92" s="6" t="str"/>
      <x:c r="S92" s="6" t="str"/>
      <x:c r="T92" s="6" t="str"/>
      <x:c r="U92" s="6" t="str"/>
      <x:c r="V92" s="6" t="str">
        <x:v>Unresolved</x:v>
      </x:c>
      <x:c r="W92" s="12" t="str"/>
      <x:c r="X92" s="12" t="str"/>
      <x:c r="Y92" s="6" t="str"/>
      <x:c r="Z92" s="6" t="str"/>
      <x:c r="AA92" s="6" t="str">
        <x:v>Pending</x:v>
      </x:c>
      <x:c r="AB92" s="6" t="str"/>
      <x:c r="AC92" s="6" t="str"/>
      <x:c r="AD92" s="12" t="str"/>
    </x:row>
    <x:row r="93">
      <x:c r="A93" s="6" t="str">
        <x:v>SIR-000092</x:v>
      </x:c>
      <x:c r="B93" s="6" t="str">
        <x:v>SVC000092</x:v>
      </x:c>
      <x:c r="C93" s="6" t="str">
        <x:v>SVC000167</x:v>
      </x:c>
      <x:c r="D93" s="6" t="str">
        <x:v>iPhone 8+ Screen replacement</x:v>
      </x:c>
      <x:c r="E93" s="6" t="str">
        <x:v>iPhone 8+ Screen replacement</x:v>
      </x:c>
      <x:c r="F93" s="6" t="str">
        <x:v>iphone 8 screen replacement</x:v>
      </x:c>
      <x:c r="G93" s="6" t="str">
        <x:v>Repair</x:v>
      </x:c>
      <x:c r="H93" s="6" t="str">
        <x:v>iPhone Screen Repair</x:v>
      </x:c>
      <x:c r="I93" s="6" t="str">
        <x:v>Phone</x:v>
      </x:c>
      <x:c r="J93" s="6" t="str">
        <x:v>iPhone 8+ Screen replacement</x:v>
      </x:c>
      <x:c r="K93" s="6" t="str">
        <x:v>Nocturnix_Master_Services_Catalog_v1.xlsx</x:v>
      </x:c>
      <x:c r="L93" s="6" t="str">
        <x:v>01 - Master Services</x:v>
      </x:c>
      <x:c r="M93" s="6" t="n">
        <x:v>132</x:v>
      </x:c>
      <x:c r="N93" s="6" t="str">
        <x:v>CNF000092</x:v>
      </x:c>
      <x:c r="O93" s="6" t="str">
        <x:v>DUP000004</x:v>
      </x:c>
      <x:c r="P93" s="6" t="str">
        <x:v>Pending Verification</x:v>
      </x:c>
      <x:c r="Q93" s="6" t="str"/>
      <x:c r="R93" s="6" t="str"/>
      <x:c r="S93" s="6" t="str"/>
      <x:c r="T93" s="6" t="str"/>
      <x:c r="U93" s="6" t="str"/>
      <x:c r="V93" s="6" t="str">
        <x:v>Unresolved</x:v>
      </x:c>
      <x:c r="W93" s="12" t="str"/>
      <x:c r="X93" s="12" t="str"/>
      <x:c r="Y93" s="6" t="str"/>
      <x:c r="Z93" s="6" t="str"/>
      <x:c r="AA93" s="6" t="str">
        <x:v>Pending</x:v>
      </x:c>
      <x:c r="AB93" s="6" t="str"/>
      <x:c r="AC93" s="6" t="str"/>
      <x:c r="AD93" s="12" t="str"/>
    </x:row>
    <x:row r="94">
      <x:c r="A94" s="6" t="str">
        <x:v>SIR-000093</x:v>
      </x:c>
      <x:c r="B94" s="6" t="str">
        <x:v>SVC000093</x:v>
      </x:c>
      <x:c r="C94" s="6" t="str">
        <x:v>SVC000168</x:v>
      </x:c>
      <x:c r="D94" s="6" t="str">
        <x:v>iPhone 8 Screen replacement</x:v>
      </x:c>
      <x:c r="E94" s="6" t="str">
        <x:v>iPhone 8 Screen replacement</x:v>
      </x:c>
      <x:c r="F94" s="6" t="str">
        <x:v>iphone 8 screen replacement</x:v>
      </x:c>
      <x:c r="G94" s="6" t="str">
        <x:v>Repair</x:v>
      </x:c>
      <x:c r="H94" s="6" t="str">
        <x:v>iPhone Screen Repair</x:v>
      </x:c>
      <x:c r="I94" s="6" t="str">
        <x:v>Phone</x:v>
      </x:c>
      <x:c r="J94" s="6" t="str">
        <x:v>iPhone 8 Screen replacement</x:v>
      </x:c>
      <x:c r="K94" s="6" t="str">
        <x:v>Nocturnix_Master_Services_Catalog_v1.xlsx</x:v>
      </x:c>
      <x:c r="L94" s="6" t="str">
        <x:v>01 - Master Services</x:v>
      </x:c>
      <x:c r="M94" s="6" t="n">
        <x:v>133</x:v>
      </x:c>
      <x:c r="N94" s="6" t="str">
        <x:v>CNF000093</x:v>
      </x:c>
      <x:c r="O94" s="6" t="str">
        <x:v>DUP000004</x:v>
      </x:c>
      <x:c r="P94" s="6" t="str">
        <x:v>Pending Verification</x:v>
      </x:c>
      <x:c r="Q94" s="6" t="str"/>
      <x:c r="R94" s="6" t="str"/>
      <x:c r="S94" s="6" t="str"/>
      <x:c r="T94" s="6" t="str"/>
      <x:c r="U94" s="6" t="str"/>
      <x:c r="V94" s="6" t="str">
        <x:v>Unresolved</x:v>
      </x:c>
      <x:c r="W94" s="12" t="str"/>
      <x:c r="X94" s="12" t="str"/>
      <x:c r="Y94" s="6" t="str"/>
      <x:c r="Z94" s="6" t="str"/>
      <x:c r="AA94" s="6" t="str">
        <x:v>Pending</x:v>
      </x:c>
      <x:c r="AB94" s="6" t="str"/>
      <x:c r="AC94" s="6" t="str"/>
      <x:c r="AD94" s="12" t="str"/>
    </x:row>
    <x:row r="95">
      <x:c r="A95" s="6" t="str">
        <x:v>SIR-000094</x:v>
      </x:c>
      <x:c r="B95" s="6" t="str">
        <x:v>SVC000094</x:v>
      </x:c>
      <x:c r="C95" s="6" t="str">
        <x:v>SVC000169</x:v>
      </x:c>
      <x:c r="D95" s="6" t="str">
        <x:v>iPhone Air Screen replacement</x:v>
      </x:c>
      <x:c r="E95" s="6" t="str">
        <x:v>iPhone Air Screen replacement</x:v>
      </x:c>
      <x:c r="F95" s="6" t="str">
        <x:v>iphone air screen replacement</x:v>
      </x:c>
      <x:c r="G95" s="6" t="str">
        <x:v>Repair</x:v>
      </x:c>
      <x:c r="H95" s="6" t="str">
        <x:v>iPhone Screen Repair</x:v>
      </x:c>
      <x:c r="I95" s="6" t="str">
        <x:v>Phone</x:v>
      </x:c>
      <x:c r="J95" s="6" t="str">
        <x:v>iPhone Air Screen replacement</x:v>
      </x:c>
      <x:c r="K95" s="6" t="str">
        <x:v>Nocturnix_Master_Services_Catalog_v1.xlsx</x:v>
      </x:c>
      <x:c r="L95" s="6" t="str">
        <x:v>01 - Master Services</x:v>
      </x:c>
      <x:c r="M95" s="6" t="n">
        <x:v>134</x:v>
      </x:c>
      <x:c r="N95" s="6" t="str">
        <x:v>CNF000094</x:v>
      </x:c>
      <x:c r="O95" s="6" t="str"/>
      <x:c r="P95" s="6" t="str">
        <x:v>Pending Verification</x:v>
      </x:c>
      <x:c r="Q95" s="6" t="str"/>
      <x:c r="R95" s="6" t="str"/>
      <x:c r="S95" s="6" t="str"/>
      <x:c r="T95" s="6" t="str"/>
      <x:c r="U95" s="6" t="str"/>
      <x:c r="V95" s="6" t="str">
        <x:v>Unresolved</x:v>
      </x:c>
      <x:c r="W95" s="12" t="str"/>
      <x:c r="X95" s="12" t="str"/>
      <x:c r="Y95" s="6" t="str"/>
      <x:c r="Z95" s="6" t="str"/>
      <x:c r="AA95" s="6" t="str">
        <x:v>Pending</x:v>
      </x:c>
      <x:c r="AB95" s="6" t="str"/>
      <x:c r="AC95" s="6" t="str"/>
      <x:c r="AD95" s="12" t="str"/>
    </x:row>
    <x:row r="96">
      <x:c r="A96" s="6" t="str">
        <x:v>SIR-000095</x:v>
      </x:c>
      <x:c r="B96" s="6" t="str">
        <x:v>SVC000095</x:v>
      </x:c>
      <x:c r="C96" s="6" t="str">
        <x:v>SVC000170</x:v>
      </x:c>
      <x:c r="D96" s="6" t="str">
        <x:v>iPhone SE(1ST GEN) Screen replacement</x:v>
      </x:c>
      <x:c r="E96" s="6" t="str">
        <x:v>iPhone SE(1ST GEN) Screen replacement</x:v>
      </x:c>
      <x:c r="F96" s="6" t="str">
        <x:v>iphone se 1st gen screen replacement</x:v>
      </x:c>
      <x:c r="G96" s="6" t="str">
        <x:v>Repair</x:v>
      </x:c>
      <x:c r="H96" s="6" t="str">
        <x:v>iPhone Screen Repair</x:v>
      </x:c>
      <x:c r="I96" s="6" t="str">
        <x:v>Phone</x:v>
      </x:c>
      <x:c r="J96" s="6" t="str">
        <x:v>iPhone SE(1ST GEN) Screen replacement</x:v>
      </x:c>
      <x:c r="K96" s="6" t="str">
        <x:v>Nocturnix_Master_Services_Catalog_v1.xlsx</x:v>
      </x:c>
      <x:c r="L96" s="6" t="str">
        <x:v>01 - Master Services</x:v>
      </x:c>
      <x:c r="M96" s="6" t="n">
        <x:v>135</x:v>
      </x:c>
      <x:c r="N96" s="6" t="str">
        <x:v>CNF000095</x:v>
      </x:c>
      <x:c r="O96" s="6" t="str"/>
      <x:c r="P96" s="6" t="str">
        <x:v>Pending Verification</x:v>
      </x:c>
      <x:c r="Q96" s="6" t="str"/>
      <x:c r="R96" s="6" t="str"/>
      <x:c r="S96" s="6" t="str"/>
      <x:c r="T96" s="6" t="str"/>
      <x:c r="U96" s="6" t="str"/>
      <x:c r="V96" s="6" t="str">
        <x:v>Unresolved</x:v>
      </x:c>
      <x:c r="W96" s="12" t="str"/>
      <x:c r="X96" s="12" t="str"/>
      <x:c r="Y96" s="6" t="str"/>
      <x:c r="Z96" s="6" t="str"/>
      <x:c r="AA96" s="6" t="str">
        <x:v>Pending</x:v>
      </x:c>
      <x:c r="AB96" s="6" t="str"/>
      <x:c r="AC96" s="6" t="str"/>
      <x:c r="AD96" s="12" t="str"/>
    </x:row>
    <x:row r="97">
      <x:c r="A97" s="6" t="str">
        <x:v>SIR-000096</x:v>
      </x:c>
      <x:c r="B97" s="6" t="str">
        <x:v>SVC000096</x:v>
      </x:c>
      <x:c r="C97" s="6" t="str">
        <x:v>SVC000171</x:v>
      </x:c>
      <x:c r="D97" s="6" t="str">
        <x:v>iPhone SE (2ND GEN) Screen replacement</x:v>
      </x:c>
      <x:c r="E97" s="6" t="str">
        <x:v>iPhone SE (2ND GEN) Screen replacement</x:v>
      </x:c>
      <x:c r="F97" s="6" t="str">
        <x:v>iphone se 2nd gen screen replacement</x:v>
      </x:c>
      <x:c r="G97" s="6" t="str">
        <x:v>Repair</x:v>
      </x:c>
      <x:c r="H97" s="6" t="str">
        <x:v>iPhone Screen Repair</x:v>
      </x:c>
      <x:c r="I97" s="6" t="str">
        <x:v>Phone</x:v>
      </x:c>
      <x:c r="J97" s="6" t="str">
        <x:v>iPhone SE (2ND GEN) Screen replacement</x:v>
      </x:c>
      <x:c r="K97" s="6" t="str">
        <x:v>Nocturnix_Master_Services_Catalog_v1.xlsx</x:v>
      </x:c>
      <x:c r="L97" s="6" t="str">
        <x:v>01 - Master Services</x:v>
      </x:c>
      <x:c r="M97" s="6" t="n">
        <x:v>136</x:v>
      </x:c>
      <x:c r="N97" s="6" t="str">
        <x:v>CNF000096</x:v>
      </x:c>
      <x:c r="O97" s="6" t="str"/>
      <x:c r="P97" s="6" t="str">
        <x:v>Pending Verification</x:v>
      </x:c>
      <x:c r="Q97" s="6" t="str"/>
      <x:c r="R97" s="6" t="str"/>
      <x:c r="S97" s="6" t="str"/>
      <x:c r="T97" s="6" t="str"/>
      <x:c r="U97" s="6" t="str"/>
      <x:c r="V97" s="6" t="str">
        <x:v>Unresolved</x:v>
      </x:c>
      <x:c r="W97" s="12" t="str"/>
      <x:c r="X97" s="12" t="str"/>
      <x:c r="Y97" s="6" t="str"/>
      <x:c r="Z97" s="6" t="str"/>
      <x:c r="AA97" s="6" t="str">
        <x:v>Pending</x:v>
      </x:c>
      <x:c r="AB97" s="6" t="str"/>
      <x:c r="AC97" s="6" t="str"/>
      <x:c r="AD97" s="12" t="str"/>
    </x:row>
    <x:row r="98">
      <x:c r="A98" s="6" t="str">
        <x:v>SIR-000097</x:v>
      </x:c>
      <x:c r="B98" s="6" t="str">
        <x:v>SVC000097</x:v>
      </x:c>
      <x:c r="C98" s="6" t="str">
        <x:v>SVC000172</x:v>
      </x:c>
      <x:c r="D98" s="6" t="str">
        <x:v>iPhone SE (3RD GEN) Screen replacement</x:v>
      </x:c>
      <x:c r="E98" s="6" t="str">
        <x:v>iPhone SE (3RD GEN) Screen replacement</x:v>
      </x:c>
      <x:c r="F98" s="6" t="str">
        <x:v>iphone se 3rd gen screen replacement</x:v>
      </x:c>
      <x:c r="G98" s="6" t="str">
        <x:v>Repair</x:v>
      </x:c>
      <x:c r="H98" s="6" t="str">
        <x:v>iPhone Screen Repair</x:v>
      </x:c>
      <x:c r="I98" s="6" t="str">
        <x:v>Phone</x:v>
      </x:c>
      <x:c r="J98" s="6" t="str">
        <x:v>iPhone SE (3RD GEN) Screen replacement</x:v>
      </x:c>
      <x:c r="K98" s="6" t="str">
        <x:v>Nocturnix_Master_Services_Catalog_v1.xlsx</x:v>
      </x:c>
      <x:c r="L98" s="6" t="str">
        <x:v>01 - Master Services</x:v>
      </x:c>
      <x:c r="M98" s="6" t="n">
        <x:v>137</x:v>
      </x:c>
      <x:c r="N98" s="6" t="str">
        <x:v>CNF000097</x:v>
      </x:c>
      <x:c r="O98" s="6" t="str"/>
      <x:c r="P98" s="6" t="str">
        <x:v>Pending Verification</x:v>
      </x:c>
      <x:c r="Q98" s="6" t="str"/>
      <x:c r="R98" s="6" t="str"/>
      <x:c r="S98" s="6" t="str"/>
      <x:c r="T98" s="6" t="str"/>
      <x:c r="U98" s="6" t="str"/>
      <x:c r="V98" s="6" t="str">
        <x:v>Unresolved</x:v>
      </x:c>
      <x:c r="W98" s="12" t="str"/>
      <x:c r="X98" s="12" t="str"/>
      <x:c r="Y98" s="6" t="str"/>
      <x:c r="Z98" s="6" t="str"/>
      <x:c r="AA98" s="6" t="str">
        <x:v>Pending</x:v>
      </x:c>
      <x:c r="AB98" s="6" t="str"/>
      <x:c r="AC98" s="6" t="str"/>
      <x:c r="AD98" s="12" t="str"/>
    </x:row>
    <x:row r="99">
      <x:c r="A99" s="6" t="str">
        <x:v>SIR-000098</x:v>
      </x:c>
      <x:c r="B99" s="6" t="str">
        <x:v>SVC000098</x:v>
      </x:c>
      <x:c r="C99" s="6" t="str">
        <x:v>SVC000173</x:v>
      </x:c>
      <x:c r="D99" s="6" t="str">
        <x:v>iPhone XR Screen replacement</x:v>
      </x:c>
      <x:c r="E99" s="6" t="str">
        <x:v>iPhone XR Screen replacement</x:v>
      </x:c>
      <x:c r="F99" s="6" t="str">
        <x:v>iphone xr screen replacement</x:v>
      </x:c>
      <x:c r="G99" s="6" t="str">
        <x:v>Repair</x:v>
      </x:c>
      <x:c r="H99" s="6" t="str">
        <x:v>iPhone Screen Repair</x:v>
      </x:c>
      <x:c r="I99" s="6" t="str">
        <x:v>Phone</x:v>
      </x:c>
      <x:c r="J99" s="6" t="str">
        <x:v>iPhone XR Screen replacement</x:v>
      </x:c>
      <x:c r="K99" s="6" t="str">
        <x:v>Nocturnix_Master_Services_Catalog_v1.xlsx</x:v>
      </x:c>
      <x:c r="L99" s="6" t="str">
        <x:v>01 - Master Services</x:v>
      </x:c>
      <x:c r="M99" s="6" t="n">
        <x:v>138</x:v>
      </x:c>
      <x:c r="N99" s="6" t="str">
        <x:v>CNF000098</x:v>
      </x:c>
      <x:c r="O99" s="6" t="str"/>
      <x:c r="P99" s="6" t="str">
        <x:v>Pending Verification</x:v>
      </x:c>
      <x:c r="Q99" s="6" t="str"/>
      <x:c r="R99" s="6" t="str"/>
      <x:c r="S99" s="6" t="str"/>
      <x:c r="T99" s="6" t="str"/>
      <x:c r="U99" s="6" t="str"/>
      <x:c r="V99" s="6" t="str">
        <x:v>Unresolved</x:v>
      </x:c>
      <x:c r="W99" s="12" t="str"/>
      <x:c r="X99" s="12" t="str"/>
      <x:c r="Y99" s="6" t="str"/>
      <x:c r="Z99" s="6" t="str"/>
      <x:c r="AA99" s="6" t="str">
        <x:v>Pending</x:v>
      </x:c>
      <x:c r="AB99" s="6" t="str"/>
      <x:c r="AC99" s="6" t="str"/>
      <x:c r="AD99" s="12" t="str"/>
    </x:row>
    <x:row r="100">
      <x:c r="A100" s="6" t="str">
        <x:v>SIR-000099</x:v>
      </x:c>
      <x:c r="B100" s="6" t="str">
        <x:v>SVC000099</x:v>
      </x:c>
      <x:c r="C100" s="6" t="str">
        <x:v>SVC000174</x:v>
      </x:c>
      <x:c r="D100" s="6" t="str">
        <x:v>iPhone XS Screen replacement</x:v>
      </x:c>
      <x:c r="E100" s="6" t="str">
        <x:v>iPhone XS Screen replacement</x:v>
      </x:c>
      <x:c r="F100" s="6" t="str">
        <x:v>iphone xs screen replacement</x:v>
      </x:c>
      <x:c r="G100" s="6" t="str">
        <x:v>Repair</x:v>
      </x:c>
      <x:c r="H100" s="6" t="str">
        <x:v>iPhone Screen Repair</x:v>
      </x:c>
      <x:c r="I100" s="6" t="str">
        <x:v>Phone</x:v>
      </x:c>
      <x:c r="J100" s="6" t="str">
        <x:v>iPhone XS Screen replacement</x:v>
      </x:c>
      <x:c r="K100" s="6" t="str">
        <x:v>Nocturnix_Master_Services_Catalog_v1.xlsx</x:v>
      </x:c>
      <x:c r="L100" s="6" t="str">
        <x:v>01 - Master Services</x:v>
      </x:c>
      <x:c r="M100" s="6" t="n">
        <x:v>139</x:v>
      </x:c>
      <x:c r="N100" s="6" t="str">
        <x:v>CNF000099</x:v>
      </x:c>
      <x:c r="O100" s="6" t="str"/>
      <x:c r="P100" s="6" t="str">
        <x:v>Pending Verification</x:v>
      </x:c>
      <x:c r="Q100" s="6" t="str"/>
      <x:c r="R100" s="6" t="str"/>
      <x:c r="S100" s="6" t="str"/>
      <x:c r="T100" s="6" t="str"/>
      <x:c r="U100" s="6" t="str"/>
      <x:c r="V100" s="6" t="str">
        <x:v>Unresolved</x:v>
      </x:c>
      <x:c r="W100" s="12" t="str"/>
      <x:c r="X100" s="12" t="str"/>
      <x:c r="Y100" s="6" t="str"/>
      <x:c r="Z100" s="6" t="str"/>
      <x:c r="AA100" s="6" t="str">
        <x:v>Pending</x:v>
      </x:c>
      <x:c r="AB100" s="6" t="str"/>
      <x:c r="AC100" s="6" t="str"/>
      <x:c r="AD100" s="12" t="str"/>
    </x:row>
    <x:row r="101">
      <x:c r="A101" s="6" t="str">
        <x:v>SIR-000100</x:v>
      </x:c>
      <x:c r="B101" s="6" t="str">
        <x:v>SVC000100</x:v>
      </x:c>
      <x:c r="C101" s="6" t="str">
        <x:v>SVC000175</x:v>
      </x:c>
      <x:c r="D101" s="6" t="str">
        <x:v>iPhone 5 Screen replacement</x:v>
      </x:c>
      <x:c r="E101" s="6" t="str">
        <x:v>iPhone 5 Screen replacement</x:v>
      </x:c>
      <x:c r="F101" s="6" t="str">
        <x:v>iphone 5 screen replacement</x:v>
      </x:c>
      <x:c r="G101" s="6" t="str">
        <x:v>Repair</x:v>
      </x:c>
      <x:c r="H101" s="6" t="str">
        <x:v>iPhone Screen Repair</x:v>
      </x:c>
      <x:c r="I101" s="6" t="str">
        <x:v>Phone</x:v>
      </x:c>
      <x:c r="J101" s="6" t="str">
        <x:v>iPhone 5 Screen replacement</x:v>
      </x:c>
      <x:c r="K101" s="6" t="str">
        <x:v>Nocturnix_Master_Services_Catalog_v1.xlsx</x:v>
      </x:c>
      <x:c r="L101" s="6" t="str">
        <x:v>01 - Master Services</x:v>
      </x:c>
      <x:c r="M101" s="6" t="n">
        <x:v>140</x:v>
      </x:c>
      <x:c r="N101" s="6" t="str">
        <x:v>CNF000100</x:v>
      </x:c>
      <x:c r="O101" s="6" t="str"/>
      <x:c r="P101" s="6" t="str">
        <x:v>Pending Verification</x:v>
      </x:c>
      <x:c r="Q101" s="6" t="str"/>
      <x:c r="R101" s="6" t="str"/>
      <x:c r="S101" s="6" t="str"/>
      <x:c r="T101" s="6" t="str"/>
      <x:c r="U101" s="6" t="str"/>
      <x:c r="V101" s="6" t="str">
        <x:v>Unresolved</x:v>
      </x:c>
      <x:c r="W101" s="12" t="str"/>
      <x:c r="X101" s="12" t="str"/>
      <x:c r="Y101" s="6" t="str"/>
      <x:c r="Z101" s="6" t="str"/>
      <x:c r="AA101" s="6" t="str">
        <x:v>Pending</x:v>
      </x:c>
      <x:c r="AB101" s="6" t="str"/>
      <x:c r="AC101" s="6" t="str"/>
      <x:c r="AD101" s="12" t="str"/>
    </x:row>
    <x:row r="102">
      <x:c r="A102" s="6" t="str">
        <x:v>SIR-000101</x:v>
      </x:c>
      <x:c r="B102" s="6" t="str">
        <x:v>SVC000101</x:v>
      </x:c>
      <x:c r="C102" s="6" t="str">
        <x:v>SVC000176</x:v>
      </x:c>
      <x:c r="D102" s="6" t="str">
        <x:v>iPhone 4S Screen replacement</x:v>
      </x:c>
      <x:c r="E102" s="6" t="str">
        <x:v>iPhone 4S Screen replacement</x:v>
      </x:c>
      <x:c r="F102" s="6" t="str">
        <x:v>iphone 4s screen replacement</x:v>
      </x:c>
      <x:c r="G102" s="6" t="str">
        <x:v>Repair</x:v>
      </x:c>
      <x:c r="H102" s="6" t="str">
        <x:v>iPhone Screen Repair</x:v>
      </x:c>
      <x:c r="I102" s="6" t="str">
        <x:v>Phone</x:v>
      </x:c>
      <x:c r="J102" s="6" t="str">
        <x:v>iPhone 4S Screen replacement</x:v>
      </x:c>
      <x:c r="K102" s="6" t="str">
        <x:v>Nocturnix_Master_Services_Catalog_v1.xlsx</x:v>
      </x:c>
      <x:c r="L102" s="6" t="str">
        <x:v>01 - Master Services</x:v>
      </x:c>
      <x:c r="M102" s="6" t="n">
        <x:v>141</x:v>
      </x:c>
      <x:c r="N102" s="6" t="str">
        <x:v>CNF000101</x:v>
      </x:c>
      <x:c r="O102" s="6" t="str">
        <x:v>DUP000005</x:v>
      </x:c>
      <x:c r="P102" s="6" t="str">
        <x:v>Pending Verification</x:v>
      </x:c>
      <x:c r="Q102" s="6" t="str"/>
      <x:c r="R102" s="6" t="str"/>
      <x:c r="S102" s="6" t="str"/>
      <x:c r="T102" s="6" t="str"/>
      <x:c r="U102" s="6" t="str"/>
      <x:c r="V102" s="6" t="str">
        <x:v>Unresolved</x:v>
      </x:c>
      <x:c r="W102" s="12" t="str"/>
      <x:c r="X102" s="12" t="str"/>
      <x:c r="Y102" s="6" t="str"/>
      <x:c r="Z102" s="6" t="str"/>
      <x:c r="AA102" s="6" t="str">
        <x:v>Pending</x:v>
      </x:c>
      <x:c r="AB102" s="6" t="str"/>
      <x:c r="AC102" s="6" t="str"/>
      <x:c r="AD102" s="12" t="str"/>
    </x:row>
    <x:row r="103">
      <x:c r="A103" s="6" t="str">
        <x:v>SIR-000102</x:v>
      </x:c>
      <x:c r="B103" s="6" t="str">
        <x:v>SVC000102</x:v>
      </x:c>
      <x:c r="C103" s="6" t="str">
        <x:v>SVC000177</x:v>
      </x:c>
      <x:c r="D103" s="6" t="str">
        <x:v>iPhone 4S Screen replacement</x:v>
      </x:c>
      <x:c r="E103" s="6" t="str">
        <x:v>iPhone 4S Screen replacement</x:v>
      </x:c>
      <x:c r="F103" s="6" t="str">
        <x:v>iphone 4s screen replacement</x:v>
      </x:c>
      <x:c r="G103" s="6" t="str">
        <x:v>Repair</x:v>
      </x:c>
      <x:c r="H103" s="6" t="str">
        <x:v>iPhone Screen Repair</x:v>
      </x:c>
      <x:c r="I103" s="6" t="str">
        <x:v>Phone</x:v>
      </x:c>
      <x:c r="J103" s="6" t="str">
        <x:v>iPhone 4S Screen replacement</x:v>
      </x:c>
      <x:c r="K103" s="6" t="str">
        <x:v>Nocturnix_Master_Services_Catalog_v1.xlsx</x:v>
      </x:c>
      <x:c r="L103" s="6" t="str">
        <x:v>01 - Master Services</x:v>
      </x:c>
      <x:c r="M103" s="6" t="n">
        <x:v>142</x:v>
      </x:c>
      <x:c r="N103" s="6" t="str">
        <x:v>CNF000102</x:v>
      </x:c>
      <x:c r="O103" s="6" t="str">
        <x:v>DUP000005</x:v>
      </x:c>
      <x:c r="P103" s="6" t="str">
        <x:v>Pending Verification</x:v>
      </x:c>
      <x:c r="Q103" s="6" t="str"/>
      <x:c r="R103" s="6" t="str"/>
      <x:c r="S103" s="6" t="str"/>
      <x:c r="T103" s="6" t="str"/>
      <x:c r="U103" s="6" t="str"/>
      <x:c r="V103" s="6" t="str">
        <x:v>Unresolved</x:v>
      </x:c>
      <x:c r="W103" s="12" t="str"/>
      <x:c r="X103" s="12" t="str"/>
      <x:c r="Y103" s="6" t="str"/>
      <x:c r="Z103" s="6" t="str"/>
      <x:c r="AA103" s="6" t="str">
        <x:v>Pending</x:v>
      </x:c>
      <x:c r="AB103" s="6" t="str"/>
      <x:c r="AC103" s="6" t="str"/>
      <x:c r="AD103" s="12" t="str"/>
    </x:row>
    <x:row r="104">
      <x:c r="A104" s="6" t="str">
        <x:v>SIR-000103</x:v>
      </x:c>
      <x:c r="B104" s="6" t="str">
        <x:v>SVC000103</x:v>
      </x:c>
      <x:c r="C104" s="6" t="str">
        <x:v>SVC000178</x:v>
      </x:c>
      <x:c r="D104" s="6" t="str">
        <x:v>iPhone 4S Screen replacement</x:v>
      </x:c>
      <x:c r="E104" s="6" t="str">
        <x:v>iPhone 4S Screen replacement</x:v>
      </x:c>
      <x:c r="F104" s="6" t="str">
        <x:v>iphone 4s screen replacement</x:v>
      </x:c>
      <x:c r="G104" s="6" t="str">
        <x:v>Repair</x:v>
      </x:c>
      <x:c r="H104" s="6" t="str">
        <x:v>iPhone Screen Repair</x:v>
      </x:c>
      <x:c r="I104" s="6" t="str">
        <x:v>Phone</x:v>
      </x:c>
      <x:c r="J104" s="6" t="str">
        <x:v>iPhone 4S Screen replacement</x:v>
      </x:c>
      <x:c r="K104" s="6" t="str">
        <x:v>Nocturnix_Master_Services_Catalog_v1.xlsx</x:v>
      </x:c>
      <x:c r="L104" s="6" t="str">
        <x:v>01 - Master Services</x:v>
      </x:c>
      <x:c r="M104" s="6" t="n">
        <x:v>143</x:v>
      </x:c>
      <x:c r="N104" s="6" t="str">
        <x:v>CNF000103</x:v>
      </x:c>
      <x:c r="O104" s="6" t="str">
        <x:v>DUP000005</x:v>
      </x:c>
      <x:c r="P104" s="6" t="str">
        <x:v>Pending Verification</x:v>
      </x:c>
      <x:c r="Q104" s="6" t="str"/>
      <x:c r="R104" s="6" t="str"/>
      <x:c r="S104" s="6" t="str"/>
      <x:c r="T104" s="6" t="str"/>
      <x:c r="U104" s="6" t="str"/>
      <x:c r="V104" s="6" t="str">
        <x:v>Unresolved</x:v>
      </x:c>
      <x:c r="W104" s="12" t="str"/>
      <x:c r="X104" s="12" t="str"/>
      <x:c r="Y104" s="6" t="str"/>
      <x:c r="Z104" s="6" t="str"/>
      <x:c r="AA104" s="6" t="str">
        <x:v>Pending</x:v>
      </x:c>
      <x:c r="AB104" s="6" t="str"/>
      <x:c r="AC104" s="6" t="str"/>
      <x:c r="AD104" s="12" t="str"/>
    </x:row>
    <x:row r="105">
      <x:c r="A105" s="6" t="str">
        <x:v>SIR-000104</x:v>
      </x:c>
      <x:c r="B105" s="6" t="str">
        <x:v>SVC000104</x:v>
      </x:c>
      <x:c r="C105" s="6" t="str">
        <x:v>SVC000179</x:v>
      </x:c>
      <x:c r="D105" s="6" t="str">
        <x:v>iPhone 3GS Screen replacement</x:v>
      </x:c>
      <x:c r="E105" s="6" t="str">
        <x:v>iPhone 3GS Screen replacement</x:v>
      </x:c>
      <x:c r="F105" s="6" t="str">
        <x:v>iphone 3gs screen replacement</x:v>
      </x:c>
      <x:c r="G105" s="6" t="str">
        <x:v>Repair</x:v>
      </x:c>
      <x:c r="H105" s="6" t="str">
        <x:v>iPhone Screen Repair</x:v>
      </x:c>
      <x:c r="I105" s="6" t="str">
        <x:v>Phone</x:v>
      </x:c>
      <x:c r="J105" s="6" t="str">
        <x:v>iPhone 3GS Screen replacement</x:v>
      </x:c>
      <x:c r="K105" s="6" t="str">
        <x:v>Nocturnix_Master_Services_Catalog_v1.xlsx</x:v>
      </x:c>
      <x:c r="L105" s="6" t="str">
        <x:v>01 - Master Services</x:v>
      </x:c>
      <x:c r="M105" s="6" t="n">
        <x:v>144</x:v>
      </x:c>
      <x:c r="N105" s="6" t="str">
        <x:v>CNF000104</x:v>
      </x:c>
      <x:c r="O105" s="6" t="str"/>
      <x:c r="P105" s="6" t="str">
        <x:v>Pending Verification</x:v>
      </x:c>
      <x:c r="Q105" s="6" t="str"/>
      <x:c r="R105" s="6" t="str"/>
      <x:c r="S105" s="6" t="str"/>
      <x:c r="T105" s="6" t="str"/>
      <x:c r="U105" s="6" t="str"/>
      <x:c r="V105" s="6" t="str">
        <x:v>Unresolved</x:v>
      </x:c>
      <x:c r="W105" s="12" t="str"/>
      <x:c r="X105" s="12" t="str"/>
      <x:c r="Y105" s="6" t="str"/>
      <x:c r="Z105" s="6" t="str"/>
      <x:c r="AA105" s="6" t="str">
        <x:v>Pending</x:v>
      </x:c>
      <x:c r="AB105" s="6" t="str"/>
      <x:c r="AC105" s="6" t="str"/>
      <x:c r="AD105" s="12" t="str"/>
    </x:row>
    <x:row r="106">
      <x:c r="A106" s="6" t="str">
        <x:v>SIR-000105</x:v>
      </x:c>
      <x:c r="B106" s="6" t="str">
        <x:v>SVC000105</x:v>
      </x:c>
      <x:c r="C106" s="6" t="str">
        <x:v>SVC000180</x:v>
      </x:c>
      <x:c r="D106" s="6" t="str">
        <x:v>iPhone 3G Screen replacement</x:v>
      </x:c>
      <x:c r="E106" s="6" t="str">
        <x:v>iPhone 3G Screen replacement</x:v>
      </x:c>
      <x:c r="F106" s="6" t="str">
        <x:v>iphone 3g screen replacement</x:v>
      </x:c>
      <x:c r="G106" s="6" t="str">
        <x:v>Repair</x:v>
      </x:c>
      <x:c r="H106" s="6" t="str">
        <x:v>iPhone Screen Repair</x:v>
      </x:c>
      <x:c r="I106" s="6" t="str">
        <x:v>Phone</x:v>
      </x:c>
      <x:c r="J106" s="6" t="str">
        <x:v>iPhone 3G Screen replacement</x:v>
      </x:c>
      <x:c r="K106" s="6" t="str">
        <x:v>Nocturnix_Master_Services_Catalog_v1.xlsx</x:v>
      </x:c>
      <x:c r="L106" s="6" t="str">
        <x:v>01 - Master Services</x:v>
      </x:c>
      <x:c r="M106" s="6" t="n">
        <x:v>145</x:v>
      </x:c>
      <x:c r="N106" s="6" t="str">
        <x:v>CNF000105</x:v>
      </x:c>
      <x:c r="O106" s="6" t="str"/>
      <x:c r="P106" s="6" t="str">
        <x:v>Pending Verification</x:v>
      </x:c>
      <x:c r="Q106" s="6" t="str"/>
      <x:c r="R106" s="6" t="str"/>
      <x:c r="S106" s="6" t="str"/>
      <x:c r="T106" s="6" t="str"/>
      <x:c r="U106" s="6" t="str"/>
      <x:c r="V106" s="6" t="str">
        <x:v>Unresolved</x:v>
      </x:c>
      <x:c r="W106" s="12" t="str"/>
      <x:c r="X106" s="12" t="str"/>
      <x:c r="Y106" s="6" t="str"/>
      <x:c r="Z106" s="6" t="str"/>
      <x:c r="AA106" s="6" t="str">
        <x:v>Pending</x:v>
      </x:c>
      <x:c r="AB106" s="6" t="str"/>
      <x:c r="AC106" s="6" t="str"/>
      <x:c r="AD106" s="12" t="str"/>
    </x:row>
    <x:row r="107">
      <x:c r="A107" s="6" t="str">
        <x:v>SIR-000106</x:v>
      </x:c>
      <x:c r="B107" s="6" t="str">
        <x:v>SVC000106</x:v>
      </x:c>
      <x:c r="C107" s="6" t="str">
        <x:v>SVC000181</x:v>
      </x:c>
      <x:c r="D107" s="6" t="str">
        <x:v>iPhone Screen replacement</x:v>
      </x:c>
      <x:c r="E107" s="6" t="str">
        <x:v>iPhone Screen replacement</x:v>
      </x:c>
      <x:c r="F107" s="6" t="str">
        <x:v>iphone screen replacement</x:v>
      </x:c>
      <x:c r="G107" s="6" t="str">
        <x:v>Repair</x:v>
      </x:c>
      <x:c r="H107" s="6" t="str">
        <x:v>iPhone Screen Repair</x:v>
      </x:c>
      <x:c r="I107" s="6" t="str">
        <x:v>Phone</x:v>
      </x:c>
      <x:c r="J107" s="6" t="str">
        <x:v>iPhone Screen replacement</x:v>
      </x:c>
      <x:c r="K107" s="6" t="str">
        <x:v>Nocturnix_Master_Services_Catalog_v1.xlsx</x:v>
      </x:c>
      <x:c r="L107" s="6" t="str">
        <x:v>01 - Master Services</x:v>
      </x:c>
      <x:c r="M107" s="6" t="n">
        <x:v>146</x:v>
      </x:c>
      <x:c r="N107" s="6" t="str">
        <x:v>CNF000106</x:v>
      </x:c>
      <x:c r="O107" s="6" t="str"/>
      <x:c r="P107" s="6" t="str">
        <x:v>Pending Verification</x:v>
      </x:c>
      <x:c r="Q107" s="6" t="str"/>
      <x:c r="R107" s="6" t="str"/>
      <x:c r="S107" s="6" t="str"/>
      <x:c r="T107" s="6" t="str"/>
      <x:c r="U107" s="6" t="str"/>
      <x:c r="V107" s="6" t="str">
        <x:v>Unresolved</x:v>
      </x:c>
      <x:c r="W107" s="12" t="str"/>
      <x:c r="X107" s="12" t="str"/>
      <x:c r="Y107" s="6" t="str"/>
      <x:c r="Z107" s="6" t="str"/>
      <x:c r="AA107" s="6" t="str">
        <x:v>Pending</x:v>
      </x:c>
      <x:c r="AB107" s="6" t="str"/>
      <x:c r="AC107" s="6" t="str"/>
      <x:c r="AD107" s="12" t="str"/>
    </x:row>
    <x:row r="108">
      <x:c r="A108" s="6" t="str">
        <x:v>SIR-000107</x:v>
      </x:c>
      <x:c r="B108" s="6" t="str">
        <x:v>SVC000107</x:v>
      </x:c>
      <x:c r="C108" s="6" t="str">
        <x:v>SVC000182</x:v>
      </x:c>
      <x:c r="D108" s="6" t="str">
        <x:v>Galaxy S 24 FE Charge Port Replacement</x:v>
      </x:c>
      <x:c r="E108" s="6" t="str">
        <x:v>Galaxy S 24 FE Charge Port Replacement</x:v>
      </x:c>
      <x:c r="F108" s="6" t="str">
        <x:v>galaxy s 24 fe charge port replacement</x:v>
      </x:c>
      <x:c r="G108" s="6" t="str">
        <x:v>Repair</x:v>
      </x:c>
      <x:c r="H108" s="6" t="str">
        <x:v>Miscellaneous Repair</x:v>
      </x:c>
      <x:c r="I108" s="6" t="str">
        <x:v>Phone</x:v>
      </x:c>
      <x:c r="J108" s="6" t="str">
        <x:v>Galaxy S 24 FE Charge Port Replacement</x:v>
      </x:c>
      <x:c r="K108" s="6" t="str">
        <x:v>Nocturnix_Master_Services_Catalog_v1.xlsx</x:v>
      </x:c>
      <x:c r="L108" s="6" t="str">
        <x:v>01 - Master Services</x:v>
      </x:c>
      <x:c r="M108" s="6" t="n">
        <x:v>147</x:v>
      </x:c>
      <x:c r="N108" s="6" t="str">
        <x:v>CNF000107</x:v>
      </x:c>
      <x:c r="O108" s="6" t="str"/>
      <x:c r="P108" s="6" t="str">
        <x:v>Pending Verification</x:v>
      </x:c>
      <x:c r="Q108" s="6" t="str"/>
      <x:c r="R108" s="6" t="str"/>
      <x:c r="S108" s="6" t="str"/>
      <x:c r="T108" s="6" t="str"/>
      <x:c r="U108" s="6" t="str"/>
      <x:c r="V108" s="6" t="str">
        <x:v>Unresolved</x:v>
      </x:c>
      <x:c r="W108" s="12" t="str"/>
      <x:c r="X108" s="12" t="str"/>
      <x:c r="Y108" s="6" t="str"/>
      <x:c r="Z108" s="6" t="str"/>
      <x:c r="AA108" s="6" t="str">
        <x:v>Pending</x:v>
      </x:c>
      <x:c r="AB108" s="6" t="str"/>
      <x:c r="AC108" s="6" t="str"/>
      <x:c r="AD108" s="12" t="str"/>
    </x:row>
    <x:row r="109">
      <x:c r="A109" s="6" t="str">
        <x:v>SIR-000108</x:v>
      </x:c>
      <x:c r="B109" s="6" t="str">
        <x:v>SVC000108</x:v>
      </x:c>
      <x:c r="C109" s="6" t="str">
        <x:v>SVC000183</x:v>
      </x:c>
      <x:c r="D109" s="6" t="str">
        <x:v>Galaxy S 25 Charge Port Replacement</x:v>
      </x:c>
      <x:c r="E109" s="6" t="str">
        <x:v>Galaxy S 25 Charge Port Replacement</x:v>
      </x:c>
      <x:c r="F109" s="6" t="str">
        <x:v>galaxy s 25 charge port replacement</x:v>
      </x:c>
      <x:c r="G109" s="6" t="str">
        <x:v>Repair</x:v>
      </x:c>
      <x:c r="H109" s="6" t="str">
        <x:v>Miscellaneous Repair</x:v>
      </x:c>
      <x:c r="I109" s="6" t="str">
        <x:v>Phone</x:v>
      </x:c>
      <x:c r="J109" s="6" t="str">
        <x:v>Galaxy S 25 Charge Port Replacement</x:v>
      </x:c>
      <x:c r="K109" s="6" t="str">
        <x:v>Nocturnix_Master_Services_Catalog_v1.xlsx</x:v>
      </x:c>
      <x:c r="L109" s="6" t="str">
        <x:v>01 - Master Services</x:v>
      </x:c>
      <x:c r="M109" s="6" t="n">
        <x:v>148</x:v>
      </x:c>
      <x:c r="N109" s="6" t="str">
        <x:v>CNF000108</x:v>
      </x:c>
      <x:c r="O109" s="6" t="str"/>
      <x:c r="P109" s="6" t="str">
        <x:v>Pending Verification</x:v>
      </x:c>
      <x:c r="Q109" s="6" t="str"/>
      <x:c r="R109" s="6" t="str"/>
      <x:c r="S109" s="6" t="str"/>
      <x:c r="T109" s="6" t="str"/>
      <x:c r="U109" s="6" t="str"/>
      <x:c r="V109" s="6" t="str">
        <x:v>Unresolved</x:v>
      </x:c>
      <x:c r="W109" s="12" t="str"/>
      <x:c r="X109" s="12" t="str"/>
      <x:c r="Y109" s="6" t="str"/>
      <x:c r="Z109" s="6" t="str"/>
      <x:c r="AA109" s="6" t="str">
        <x:v>Pending</x:v>
      </x:c>
      <x:c r="AB109" s="6" t="str"/>
      <x:c r="AC109" s="6" t="str"/>
      <x:c r="AD109" s="12" t="str"/>
    </x:row>
    <x:row r="110">
      <x:c r="A110" s="6" t="str">
        <x:v>SIR-000109</x:v>
      </x:c>
      <x:c r="B110" s="6" t="str">
        <x:v>SVC000109</x:v>
      </x:c>
      <x:c r="C110" s="6" t="str">
        <x:v>SVC000184</x:v>
      </x:c>
      <x:c r="D110" s="6" t="str">
        <x:v>Galaxy S 25 Plus Charge Port Replacement</x:v>
      </x:c>
      <x:c r="E110" s="6" t="str">
        <x:v>Galaxy S 25 Plus Charge Port Replacement</x:v>
      </x:c>
      <x:c r="F110" s="6" t="str">
        <x:v>galaxy s 25 plus charge port replacement</x:v>
      </x:c>
      <x:c r="G110" s="6" t="str">
        <x:v>Repair</x:v>
      </x:c>
      <x:c r="H110" s="6" t="str">
        <x:v>Miscellaneous Repair</x:v>
      </x:c>
      <x:c r="I110" s="6" t="str">
        <x:v>Phone</x:v>
      </x:c>
      <x:c r="J110" s="6" t="str">
        <x:v>Galaxy S 25 Plus Charge Port Replacement</x:v>
      </x:c>
      <x:c r="K110" s="6" t="str">
        <x:v>Nocturnix_Master_Services_Catalog_v1.xlsx</x:v>
      </x:c>
      <x:c r="L110" s="6" t="str">
        <x:v>01 - Master Services</x:v>
      </x:c>
      <x:c r="M110" s="6" t="n">
        <x:v>149</x:v>
      </x:c>
      <x:c r="N110" s="6" t="str">
        <x:v>CNF000109</x:v>
      </x:c>
      <x:c r="O110" s="6" t="str"/>
      <x:c r="P110" s="6" t="str">
        <x:v>Pending Verification</x:v>
      </x:c>
      <x:c r="Q110" s="6" t="str"/>
      <x:c r="R110" s="6" t="str"/>
      <x:c r="S110" s="6" t="str"/>
      <x:c r="T110" s="6" t="str"/>
      <x:c r="U110" s="6" t="str"/>
      <x:c r="V110" s="6" t="str">
        <x:v>Unresolved</x:v>
      </x:c>
      <x:c r="W110" s="12" t="str"/>
      <x:c r="X110" s="12" t="str"/>
      <x:c r="Y110" s="6" t="str"/>
      <x:c r="Z110" s="6" t="str"/>
      <x:c r="AA110" s="6" t="str">
        <x:v>Pending</x:v>
      </x:c>
      <x:c r="AB110" s="6" t="str"/>
      <x:c r="AC110" s="6" t="str"/>
      <x:c r="AD110" s="12" t="str"/>
    </x:row>
    <x:row r="111">
      <x:c r="A111" s="6" t="str">
        <x:v>SIR-000110</x:v>
      </x:c>
      <x:c r="B111" s="6" t="str">
        <x:v>SVC000110</x:v>
      </x:c>
      <x:c r="C111" s="6" t="str">
        <x:v>SVC000185</x:v>
      </x:c>
      <x:c r="D111" s="6" t="str">
        <x:v>Galaxy S 25 Edge Charge Port Replacement</x:v>
      </x:c>
      <x:c r="E111" s="6" t="str">
        <x:v>Galaxy S 25 Edge Charge Port Replacement</x:v>
      </x:c>
      <x:c r="F111" s="6" t="str">
        <x:v>galaxy s 25 edge charge port replacement</x:v>
      </x:c>
      <x:c r="G111" s="6" t="str">
        <x:v>Repair</x:v>
      </x:c>
      <x:c r="H111" s="6" t="str">
        <x:v>Miscellaneous Repair</x:v>
      </x:c>
      <x:c r="I111" s="6" t="str">
        <x:v>Phone</x:v>
      </x:c>
      <x:c r="J111" s="6" t="str">
        <x:v>Galaxy S 25 Edge Charge Port Replacement</x:v>
      </x:c>
      <x:c r="K111" s="6" t="str">
        <x:v>Nocturnix_Master_Services_Catalog_v1.xlsx</x:v>
      </x:c>
      <x:c r="L111" s="6" t="str">
        <x:v>01 - Master Services</x:v>
      </x:c>
      <x:c r="M111" s="6" t="n">
        <x:v>150</x:v>
      </x:c>
      <x:c r="N111" s="6" t="str">
        <x:v>CNF000110</x:v>
      </x:c>
      <x:c r="O111" s="6" t="str"/>
      <x:c r="P111" s="6" t="str">
        <x:v>Pending Verification</x:v>
      </x:c>
      <x:c r="Q111" s="6" t="str"/>
      <x:c r="R111" s="6" t="str"/>
      <x:c r="S111" s="6" t="str"/>
      <x:c r="T111" s="6" t="str"/>
      <x:c r="U111" s="6" t="str"/>
      <x:c r="V111" s="6" t="str">
        <x:v>Unresolved</x:v>
      </x:c>
      <x:c r="W111" s="12" t="str"/>
      <x:c r="X111" s="12" t="str"/>
      <x:c r="Y111" s="6" t="str"/>
      <x:c r="Z111" s="6" t="str"/>
      <x:c r="AA111" s="6" t="str">
        <x:v>Pending</x:v>
      </x:c>
      <x:c r="AB111" s="6" t="str"/>
      <x:c r="AC111" s="6" t="str"/>
      <x:c r="AD111" s="12" t="str"/>
    </x:row>
    <x:row r="112">
      <x:c r="A112" s="6" t="str">
        <x:v>SIR-000111</x:v>
      </x:c>
      <x:c r="B112" s="6" t="str">
        <x:v>SVC000111</x:v>
      </x:c>
      <x:c r="C112" s="6" t="str">
        <x:v>SVC000186</x:v>
      </x:c>
      <x:c r="D112" s="6" t="str">
        <x:v>Galaxy S 22 Plus Battery Replacement</x:v>
      </x:c>
      <x:c r="E112" s="6" t="str">
        <x:v>Galaxy S 22 Plus Battery Replacement</x:v>
      </x:c>
      <x:c r="F112" s="6" t="str">
        <x:v>galaxy s 22 plus battery replacement</x:v>
      </x:c>
      <x:c r="G112" s="6" t="str">
        <x:v>Repair</x:v>
      </x:c>
      <x:c r="H112" s="6" t="str">
        <x:v>Miscellaneous Repair</x:v>
      </x:c>
      <x:c r="I112" s="6" t="str">
        <x:v>Phone</x:v>
      </x:c>
      <x:c r="J112" s="6" t="str">
        <x:v>Galaxy S 22 Plus Battery Replacement</x:v>
      </x:c>
      <x:c r="K112" s="6" t="str">
        <x:v>Nocturnix_Master_Services_Catalog_v1.xlsx</x:v>
      </x:c>
      <x:c r="L112" s="6" t="str">
        <x:v>01 - Master Services</x:v>
      </x:c>
      <x:c r="M112" s="6" t="n">
        <x:v>151</x:v>
      </x:c>
      <x:c r="N112" s="6" t="str">
        <x:v>CNF000111</x:v>
      </x:c>
      <x:c r="O112" s="6" t="str"/>
      <x:c r="P112" s="6" t="str">
        <x:v>Pending Verification</x:v>
      </x:c>
      <x:c r="Q112" s="6" t="str"/>
      <x:c r="R112" s="6" t="str"/>
      <x:c r="S112" s="6" t="str"/>
      <x:c r="T112" s="6" t="str"/>
      <x:c r="U112" s="6" t="str"/>
      <x:c r="V112" s="6" t="str">
        <x:v>Unresolved</x:v>
      </x:c>
      <x:c r="W112" s="12" t="str"/>
      <x:c r="X112" s="12" t="str"/>
      <x:c r="Y112" s="6" t="str"/>
      <x:c r="Z112" s="6" t="str"/>
      <x:c r="AA112" s="6" t="str">
        <x:v>Pending</x:v>
      </x:c>
      <x:c r="AB112" s="6" t="str"/>
      <x:c r="AC112" s="6" t="str"/>
      <x:c r="AD112" s="12" t="str"/>
    </x:row>
    <x:row r="113">
      <x:c r="A113" s="6" t="str">
        <x:v>SIR-000112</x:v>
      </x:c>
      <x:c r="B113" s="6" t="str">
        <x:v>SVC000112</x:v>
      </x:c>
      <x:c r="C113" s="6" t="str">
        <x:v>SVC000187</x:v>
      </x:c>
      <x:c r="D113" s="6" t="str">
        <x:v>Galaxy S 22 Ultra Battery Replacement</x:v>
      </x:c>
      <x:c r="E113" s="6" t="str">
        <x:v>Galaxy S 22 Ultra Battery Replacement</x:v>
      </x:c>
      <x:c r="F113" s="6" t="str">
        <x:v>galaxy s 22 ultra battery replacement</x:v>
      </x:c>
      <x:c r="G113" s="6" t="str">
        <x:v>Repair</x:v>
      </x:c>
      <x:c r="H113" s="6" t="str">
        <x:v>Miscellaneous Repair</x:v>
      </x:c>
      <x:c r="I113" s="6" t="str">
        <x:v>Phone</x:v>
      </x:c>
      <x:c r="J113" s="6" t="str">
        <x:v>Galaxy S 22 Ultra Battery Replacement</x:v>
      </x:c>
      <x:c r="K113" s="6" t="str">
        <x:v>Nocturnix_Master_Services_Catalog_v1.xlsx</x:v>
      </x:c>
      <x:c r="L113" s="6" t="str">
        <x:v>01 - Master Services</x:v>
      </x:c>
      <x:c r="M113" s="6" t="n">
        <x:v>152</x:v>
      </x:c>
      <x:c r="N113" s="6" t="str">
        <x:v>CNF000112</x:v>
      </x:c>
      <x:c r="O113" s="6" t="str"/>
      <x:c r="P113" s="6" t="str">
        <x:v>Pending Verification</x:v>
      </x:c>
      <x:c r="Q113" s="6" t="str"/>
      <x:c r="R113" s="6" t="str"/>
      <x:c r="S113" s="6" t="str"/>
      <x:c r="T113" s="6" t="str"/>
      <x:c r="U113" s="6" t="str"/>
      <x:c r="V113" s="6" t="str">
        <x:v>Unresolved</x:v>
      </x:c>
      <x:c r="W113" s="12" t="str"/>
      <x:c r="X113" s="12" t="str"/>
      <x:c r="Y113" s="6" t="str"/>
      <x:c r="Z113" s="6" t="str"/>
      <x:c r="AA113" s="6" t="str">
        <x:v>Pending</x:v>
      </x:c>
      <x:c r="AB113" s="6" t="str"/>
      <x:c r="AC113" s="6" t="str"/>
      <x:c r="AD113" s="12" t="str"/>
    </x:row>
    <x:row r="114">
      <x:c r="A114" s="6" t="str">
        <x:v>SIR-000113</x:v>
      </x:c>
      <x:c r="B114" s="6" t="str">
        <x:v>SVC000113</x:v>
      </x:c>
      <x:c r="C114" s="6" t="str">
        <x:v>SVC000188</x:v>
      </x:c>
      <x:c r="D114" s="6" t="str">
        <x:v>Galaxy S 23 Plus Battery Replacement</x:v>
      </x:c>
      <x:c r="E114" s="6" t="str">
        <x:v>Galaxy S 23 Plus Battery Replacement</x:v>
      </x:c>
      <x:c r="F114" s="6" t="str">
        <x:v>galaxy s 23 plus battery replacement</x:v>
      </x:c>
      <x:c r="G114" s="6" t="str">
        <x:v>Repair</x:v>
      </x:c>
      <x:c r="H114" s="6" t="str">
        <x:v>Miscellaneous Repair</x:v>
      </x:c>
      <x:c r="I114" s="6" t="str">
        <x:v>Phone</x:v>
      </x:c>
      <x:c r="J114" s="6" t="str">
        <x:v>Galaxy S 23 Plus Battery Replacement</x:v>
      </x:c>
      <x:c r="K114" s="6" t="str">
        <x:v>Nocturnix_Master_Services_Catalog_v1.xlsx</x:v>
      </x:c>
      <x:c r="L114" s="6" t="str">
        <x:v>01 - Master Services</x:v>
      </x:c>
      <x:c r="M114" s="6" t="n">
        <x:v>153</x:v>
      </x:c>
      <x:c r="N114" s="6" t="str">
        <x:v>CNF000113</x:v>
      </x:c>
      <x:c r="O114" s="6" t="str"/>
      <x:c r="P114" s="6" t="str">
        <x:v>Pending Verification</x:v>
      </x:c>
      <x:c r="Q114" s="6" t="str"/>
      <x:c r="R114" s="6" t="str"/>
      <x:c r="S114" s="6" t="str"/>
      <x:c r="T114" s="6" t="str"/>
      <x:c r="U114" s="6" t="str"/>
      <x:c r="V114" s="6" t="str">
        <x:v>Unresolved</x:v>
      </x:c>
      <x:c r="W114" s="12" t="str"/>
      <x:c r="X114" s="12" t="str"/>
      <x:c r="Y114" s="6" t="str"/>
      <x:c r="Z114" s="6" t="str"/>
      <x:c r="AA114" s="6" t="str">
        <x:v>Pending</x:v>
      </x:c>
      <x:c r="AB114" s="6" t="str"/>
      <x:c r="AC114" s="6" t="str"/>
      <x:c r="AD114" s="12" t="str"/>
    </x:row>
    <x:row r="115">
      <x:c r="A115" s="6" t="str">
        <x:v>SIR-000114</x:v>
      </x:c>
      <x:c r="B115" s="6" t="str">
        <x:v>SVC000114</x:v>
      </x:c>
      <x:c r="C115" s="6" t="str">
        <x:v>SVC000189</x:v>
      </x:c>
      <x:c r="D115" s="6" t="str">
        <x:v>Galaxy S 24 Battery Replacement</x:v>
      </x:c>
      <x:c r="E115" s="6" t="str">
        <x:v>Galaxy S 24 Battery Replacement</x:v>
      </x:c>
      <x:c r="F115" s="6" t="str">
        <x:v>galaxy s 24 battery replacement</x:v>
      </x:c>
      <x:c r="G115" s="6" t="str">
        <x:v>Repair</x:v>
      </x:c>
      <x:c r="H115" s="6" t="str">
        <x:v>Miscellaneous Repair</x:v>
      </x:c>
      <x:c r="I115" s="6" t="str">
        <x:v>Phone</x:v>
      </x:c>
      <x:c r="J115" s="6" t="str">
        <x:v>Galaxy S 24 Battery Replacement</x:v>
      </x:c>
      <x:c r="K115" s="6" t="str">
        <x:v>Nocturnix_Master_Services_Catalog_v1.xlsx</x:v>
      </x:c>
      <x:c r="L115" s="6" t="str">
        <x:v>01 - Master Services</x:v>
      </x:c>
      <x:c r="M115" s="6" t="n">
        <x:v>154</x:v>
      </x:c>
      <x:c r="N115" s="6" t="str">
        <x:v>CNF000114</x:v>
      </x:c>
      <x:c r="O115" s="6" t="str"/>
      <x:c r="P115" s="6" t="str">
        <x:v>Pending Verification</x:v>
      </x:c>
      <x:c r="Q115" s="6" t="str"/>
      <x:c r="R115" s="6" t="str"/>
      <x:c r="S115" s="6" t="str"/>
      <x:c r="T115" s="6" t="str"/>
      <x:c r="U115" s="6" t="str"/>
      <x:c r="V115" s="6" t="str">
        <x:v>Unresolved</x:v>
      </x:c>
      <x:c r="W115" s="12" t="str"/>
      <x:c r="X115" s="12" t="str"/>
      <x:c r="Y115" s="6" t="str"/>
      <x:c r="Z115" s="6" t="str"/>
      <x:c r="AA115" s="6" t="str">
        <x:v>Pending</x:v>
      </x:c>
      <x:c r="AB115" s="6" t="str"/>
      <x:c r="AC115" s="6" t="str"/>
      <x:c r="AD115" s="12" t="str"/>
    </x:row>
    <x:row r="116">
      <x:c r="A116" s="6" t="str">
        <x:v>SIR-000115</x:v>
      </x:c>
      <x:c r="B116" s="6" t="str">
        <x:v>SVC000115</x:v>
      </x:c>
      <x:c r="C116" s="6" t="str">
        <x:v>SVC000190</x:v>
      </x:c>
      <x:c r="D116" s="6" t="str">
        <x:v>Galaxy S 24 Plus Battery Replacement</x:v>
      </x:c>
      <x:c r="E116" s="6" t="str">
        <x:v>Galaxy S 24 Plus Battery Replacement</x:v>
      </x:c>
      <x:c r="F116" s="6" t="str">
        <x:v>galaxy s 24 plus battery replacement</x:v>
      </x:c>
      <x:c r="G116" s="6" t="str">
        <x:v>Repair</x:v>
      </x:c>
      <x:c r="H116" s="6" t="str">
        <x:v>Miscellaneous Repair</x:v>
      </x:c>
      <x:c r="I116" s="6" t="str">
        <x:v>Phone</x:v>
      </x:c>
      <x:c r="J116" s="6" t="str">
        <x:v>Galaxy S 24 Plus Battery Replacement</x:v>
      </x:c>
      <x:c r="K116" s="6" t="str">
        <x:v>Nocturnix_Master_Services_Catalog_v1.xlsx</x:v>
      </x:c>
      <x:c r="L116" s="6" t="str">
        <x:v>01 - Master Services</x:v>
      </x:c>
      <x:c r="M116" s="6" t="n">
        <x:v>155</x:v>
      </x:c>
      <x:c r="N116" s="6" t="str">
        <x:v>CNF000115</x:v>
      </x:c>
      <x:c r="O116" s="6" t="str"/>
      <x:c r="P116" s="6" t="str">
        <x:v>Pending Verification</x:v>
      </x:c>
      <x:c r="Q116" s="6" t="str"/>
      <x:c r="R116" s="6" t="str"/>
      <x:c r="S116" s="6" t="str"/>
      <x:c r="T116" s="6" t="str"/>
      <x:c r="U116" s="6" t="str"/>
      <x:c r="V116" s="6" t="str">
        <x:v>Unresolved</x:v>
      </x:c>
      <x:c r="W116" s="12" t="str"/>
      <x:c r="X116" s="12" t="str"/>
      <x:c r="Y116" s="6" t="str"/>
      <x:c r="Z116" s="6" t="str"/>
      <x:c r="AA116" s="6" t="str">
        <x:v>Pending</x:v>
      </x:c>
      <x:c r="AB116" s="6" t="str"/>
      <x:c r="AC116" s="6" t="str"/>
      <x:c r="AD116" s="12" t="str"/>
    </x:row>
    <x:row r="117">
      <x:c r="A117" s="6" t="str">
        <x:v>SIR-000116</x:v>
      </x:c>
      <x:c r="B117" s="6" t="str">
        <x:v>SVC000116</x:v>
      </x:c>
      <x:c r="C117" s="6" t="str">
        <x:v>SVC000191</x:v>
      </x:c>
      <x:c r="D117" s="6" t="str">
        <x:v>Galaxy S 24 Ultra Battery Replacement</x:v>
      </x:c>
      <x:c r="E117" s="6" t="str">
        <x:v>Galaxy S 24 Ultra Battery Replacement</x:v>
      </x:c>
      <x:c r="F117" s="6" t="str">
        <x:v>galaxy s 24 ultra battery replacement</x:v>
      </x:c>
      <x:c r="G117" s="6" t="str">
        <x:v>Repair</x:v>
      </x:c>
      <x:c r="H117" s="6" t="str">
        <x:v>Miscellaneous Repair</x:v>
      </x:c>
      <x:c r="I117" s="6" t="str">
        <x:v>Phone</x:v>
      </x:c>
      <x:c r="J117" s="6" t="str">
        <x:v>Galaxy S 24 Ultra Battery Replacement</x:v>
      </x:c>
      <x:c r="K117" s="6" t="str">
        <x:v>Nocturnix_Master_Services_Catalog_v1.xlsx</x:v>
      </x:c>
      <x:c r="L117" s="6" t="str">
        <x:v>01 - Master Services</x:v>
      </x:c>
      <x:c r="M117" s="6" t="n">
        <x:v>156</x:v>
      </x:c>
      <x:c r="N117" s="6" t="str">
        <x:v>CNF000116</x:v>
      </x:c>
      <x:c r="O117" s="6" t="str"/>
      <x:c r="P117" s="6" t="str">
        <x:v>Pending Verification</x:v>
      </x:c>
      <x:c r="Q117" s="6" t="str"/>
      <x:c r="R117" s="6" t="str"/>
      <x:c r="S117" s="6" t="str"/>
      <x:c r="T117" s="6" t="str"/>
      <x:c r="U117" s="6" t="str"/>
      <x:c r="V117" s="6" t="str">
        <x:v>Unresolved</x:v>
      </x:c>
      <x:c r="W117" s="12" t="str"/>
      <x:c r="X117" s="12" t="str"/>
      <x:c r="Y117" s="6" t="str"/>
      <x:c r="Z117" s="6" t="str"/>
      <x:c r="AA117" s="6" t="str">
        <x:v>Pending</x:v>
      </x:c>
      <x:c r="AB117" s="6" t="str"/>
      <x:c r="AC117" s="6" t="str"/>
      <x:c r="AD117" s="12" t="str"/>
    </x:row>
    <x:row r="118">
      <x:c r="A118" s="6" t="str">
        <x:v>SIR-000117</x:v>
      </x:c>
      <x:c r="B118" s="6" t="str">
        <x:v>SVC000117</x:v>
      </x:c>
      <x:c r="C118" s="6" t="str">
        <x:v>SVC000192</x:v>
      </x:c>
      <x:c r="D118" s="6" t="str">
        <x:v>Galaxy S 25 Plus Battery Replacement</x:v>
      </x:c>
      <x:c r="E118" s="6" t="str">
        <x:v>Galaxy S 25 Plus Battery Replacement</x:v>
      </x:c>
      <x:c r="F118" s="6" t="str">
        <x:v>galaxy s 25 plus battery replacement</x:v>
      </x:c>
      <x:c r="G118" s="6" t="str">
        <x:v>Repair</x:v>
      </x:c>
      <x:c r="H118" s="6" t="str">
        <x:v>Miscellaneous Repair</x:v>
      </x:c>
      <x:c r="I118" s="6" t="str">
        <x:v>Phone</x:v>
      </x:c>
      <x:c r="J118" s="6" t="str">
        <x:v>Galaxy S 25 Plus Battery Replacement</x:v>
      </x:c>
      <x:c r="K118" s="6" t="str">
        <x:v>Nocturnix_Master_Services_Catalog_v1.xlsx</x:v>
      </x:c>
      <x:c r="L118" s="6" t="str">
        <x:v>01 - Master Services</x:v>
      </x:c>
      <x:c r="M118" s="6" t="n">
        <x:v>157</x:v>
      </x:c>
      <x:c r="N118" s="6" t="str">
        <x:v>CNF000117</x:v>
      </x:c>
      <x:c r="O118" s="6" t="str"/>
      <x:c r="P118" s="6" t="str">
        <x:v>Pending Verification</x:v>
      </x:c>
      <x:c r="Q118" s="6" t="str"/>
      <x:c r="R118" s="6" t="str"/>
      <x:c r="S118" s="6" t="str"/>
      <x:c r="T118" s="6" t="str"/>
      <x:c r="U118" s="6" t="str"/>
      <x:c r="V118" s="6" t="str">
        <x:v>Unresolved</x:v>
      </x:c>
      <x:c r="W118" s="12" t="str"/>
      <x:c r="X118" s="12" t="str"/>
      <x:c r="Y118" s="6" t="str"/>
      <x:c r="Z118" s="6" t="str"/>
      <x:c r="AA118" s="6" t="str">
        <x:v>Pending</x:v>
      </x:c>
      <x:c r="AB118" s="6" t="str"/>
      <x:c r="AC118" s="6" t="str"/>
      <x:c r="AD118" s="12" t="str"/>
    </x:row>
    <x:row r="119">
      <x:c r="A119" s="6" t="str">
        <x:v>SIR-000118</x:v>
      </x:c>
      <x:c r="B119" s="6" t="str">
        <x:v>SVC000118</x:v>
      </x:c>
      <x:c r="C119" s="6" t="str">
        <x:v>SVC000193</x:v>
      </x:c>
      <x:c r="D119" s="6" t="str">
        <x:v>Galaxy S 10 Battery Replacement</x:v>
      </x:c>
      <x:c r="E119" s="6" t="str">
        <x:v>Galaxy S 10 Battery Replacement</x:v>
      </x:c>
      <x:c r="F119" s="6" t="str">
        <x:v>galaxy s 10 battery replacement</x:v>
      </x:c>
      <x:c r="G119" s="6" t="str">
        <x:v>Repair</x:v>
      </x:c>
      <x:c r="H119" s="6" t="str">
        <x:v>Miscellaneous Repair</x:v>
      </x:c>
      <x:c r="I119" s="6" t="str">
        <x:v>Phone</x:v>
      </x:c>
      <x:c r="J119" s="6" t="str">
        <x:v>Galaxy S 10 Battery Replacement</x:v>
      </x:c>
      <x:c r="K119" s="6" t="str">
        <x:v>Nocturnix_Master_Services_Catalog_v1.xlsx</x:v>
      </x:c>
      <x:c r="L119" s="6" t="str">
        <x:v>01 - Master Services</x:v>
      </x:c>
      <x:c r="M119" s="6" t="n">
        <x:v>158</x:v>
      </x:c>
      <x:c r="N119" s="6" t="str">
        <x:v>CNF000118</x:v>
      </x:c>
      <x:c r="O119" s="6" t="str"/>
      <x:c r="P119" s="6" t="str">
        <x:v>Pending Verification</x:v>
      </x:c>
      <x:c r="Q119" s="6" t="str"/>
      <x:c r="R119" s="6" t="str"/>
      <x:c r="S119" s="6" t="str"/>
      <x:c r="T119" s="6" t="str"/>
      <x:c r="U119" s="6" t="str"/>
      <x:c r="V119" s="6" t="str">
        <x:v>Unresolved</x:v>
      </x:c>
      <x:c r="W119" s="12" t="str"/>
      <x:c r="X119" s="12" t="str"/>
      <x:c r="Y119" s="6" t="str"/>
      <x:c r="Z119" s="6" t="str"/>
      <x:c r="AA119" s="6" t="str">
        <x:v>Pending</x:v>
      </x:c>
      <x:c r="AB119" s="6" t="str"/>
      <x:c r="AC119" s="6" t="str"/>
      <x:c r="AD119" s="12" t="str"/>
    </x:row>
    <x:row r="120">
      <x:c r="A120" s="6" t="str">
        <x:v>SIR-000119</x:v>
      </x:c>
      <x:c r="B120" s="6" t="str">
        <x:v>SVC000119</x:v>
      </x:c>
      <x:c r="C120" s="6" t="str">
        <x:v>SVC000194</x:v>
      </x:c>
      <x:c r="D120" s="6" t="str">
        <x:v>Galaxy S 10 Plus Battery Replacement</x:v>
      </x:c>
      <x:c r="E120" s="6" t="str">
        <x:v>Galaxy S 10 Plus Battery Replacement</x:v>
      </x:c>
      <x:c r="F120" s="6" t="str">
        <x:v>galaxy s 10 plus battery replacement</x:v>
      </x:c>
      <x:c r="G120" s="6" t="str">
        <x:v>Repair</x:v>
      </x:c>
      <x:c r="H120" s="6" t="str">
        <x:v>Miscellaneous Repair</x:v>
      </x:c>
      <x:c r="I120" s="6" t="str">
        <x:v>Phone</x:v>
      </x:c>
      <x:c r="J120" s="6" t="str">
        <x:v>Galaxy S 10 Plus Battery Replacement</x:v>
      </x:c>
      <x:c r="K120" s="6" t="str">
        <x:v>Nocturnix_Master_Services_Catalog_v1.xlsx</x:v>
      </x:c>
      <x:c r="L120" s="6" t="str">
        <x:v>01 - Master Services</x:v>
      </x:c>
      <x:c r="M120" s="6" t="n">
        <x:v>159</x:v>
      </x:c>
      <x:c r="N120" s="6" t="str">
        <x:v>CNF000119</x:v>
      </x:c>
      <x:c r="O120" s="6" t="str"/>
      <x:c r="P120" s="6" t="str">
        <x:v>Pending Verification</x:v>
      </x:c>
      <x:c r="Q120" s="6" t="str"/>
      <x:c r="R120" s="6" t="str"/>
      <x:c r="S120" s="6" t="str"/>
      <x:c r="T120" s="6" t="str"/>
      <x:c r="U120" s="6" t="str"/>
      <x:c r="V120" s="6" t="str">
        <x:v>Unresolved</x:v>
      </x:c>
      <x:c r="W120" s="12" t="str"/>
      <x:c r="X120" s="12" t="str"/>
      <x:c r="Y120" s="6" t="str"/>
      <x:c r="Z120" s="6" t="str"/>
      <x:c r="AA120" s="6" t="str">
        <x:v>Pending</x:v>
      </x:c>
      <x:c r="AB120" s="6" t="str"/>
      <x:c r="AC120" s="6" t="str"/>
      <x:c r="AD120" s="12" t="str"/>
    </x:row>
    <x:row r="121">
      <x:c r="A121" s="6" t="str">
        <x:v>SIR-000120</x:v>
      </x:c>
      <x:c r="B121" s="6" t="str">
        <x:v>SVC000120</x:v>
      </x:c>
      <x:c r="C121" s="6" t="str">
        <x:v>SVC000195</x:v>
      </x:c>
      <x:c r="D121" s="6" t="str">
        <x:v>Galaxy S 10 E Battery Replacement</x:v>
      </x:c>
      <x:c r="E121" s="6" t="str">
        <x:v>Galaxy S 10 E Battery Replacement</x:v>
      </x:c>
      <x:c r="F121" s="6" t="str">
        <x:v>galaxy s 10 e battery replacement</x:v>
      </x:c>
      <x:c r="G121" s="6" t="str">
        <x:v>Repair</x:v>
      </x:c>
      <x:c r="H121" s="6" t="str">
        <x:v>Miscellaneous Repair</x:v>
      </x:c>
      <x:c r="I121" s="6" t="str">
        <x:v>Phone</x:v>
      </x:c>
      <x:c r="J121" s="6" t="str">
        <x:v>Galaxy S 10 E Battery Replacement</x:v>
      </x:c>
      <x:c r="K121" s="6" t="str">
        <x:v>Nocturnix_Master_Services_Catalog_v1.xlsx</x:v>
      </x:c>
      <x:c r="L121" s="6" t="str">
        <x:v>01 - Master Services</x:v>
      </x:c>
      <x:c r="M121" s="6" t="n">
        <x:v>160</x:v>
      </x:c>
      <x:c r="N121" s="6" t="str">
        <x:v>CNF000120</x:v>
      </x:c>
      <x:c r="O121" s="6" t="str"/>
      <x:c r="P121" s="6" t="str">
        <x:v>Pending Verification</x:v>
      </x:c>
      <x:c r="Q121" s="6" t="str"/>
      <x:c r="R121" s="6" t="str"/>
      <x:c r="S121" s="6" t="str"/>
      <x:c r="T121" s="6" t="str"/>
      <x:c r="U121" s="6" t="str"/>
      <x:c r="V121" s="6" t="str">
        <x:v>Unresolved</x:v>
      </x:c>
      <x:c r="W121" s="12" t="str"/>
      <x:c r="X121" s="12" t="str"/>
      <x:c r="Y121" s="6" t="str"/>
      <x:c r="Z121" s="6" t="str"/>
      <x:c r="AA121" s="6" t="str">
        <x:v>Pending</x:v>
      </x:c>
      <x:c r="AB121" s="6" t="str"/>
      <x:c r="AC121" s="6" t="str"/>
      <x:c r="AD121" s="12" t="str"/>
    </x:row>
    <x:row r="122">
      <x:c r="A122" s="6" t="str">
        <x:v>SIR-000121</x:v>
      </x:c>
      <x:c r="B122" s="6" t="str">
        <x:v>SVC000121</x:v>
      </x:c>
      <x:c r="C122" s="6" t="str">
        <x:v>SVC000196</x:v>
      </x:c>
      <x:c r="D122" s="6" t="str">
        <x:v>Galaxy Note 9 Battery Replacement</x:v>
      </x:c>
      <x:c r="E122" s="6" t="str">
        <x:v>Galaxy Note 9 Battery Replacement</x:v>
      </x:c>
      <x:c r="F122" s="6" t="str">
        <x:v>galaxy note 9 battery replacement</x:v>
      </x:c>
      <x:c r="G122" s="6" t="str">
        <x:v>Repair</x:v>
      </x:c>
      <x:c r="H122" s="6" t="str">
        <x:v>Miscellaneous Repair</x:v>
      </x:c>
      <x:c r="I122" s="6" t="str">
        <x:v>Phone</x:v>
      </x:c>
      <x:c r="J122" s="6" t="str">
        <x:v>Galaxy Note 9 Battery Replacement</x:v>
      </x:c>
      <x:c r="K122" s="6" t="str">
        <x:v>Nocturnix_Master_Services_Catalog_v1.xlsx</x:v>
      </x:c>
      <x:c r="L122" s="6" t="str">
        <x:v>01 - Master Services</x:v>
      </x:c>
      <x:c r="M122" s="6" t="n">
        <x:v>161</x:v>
      </x:c>
      <x:c r="N122" s="6" t="str">
        <x:v>CNF000121</x:v>
      </x:c>
      <x:c r="O122" s="6" t="str"/>
      <x:c r="P122" s="6" t="str">
        <x:v>Pending Verification</x:v>
      </x:c>
      <x:c r="Q122" s="6" t="str"/>
      <x:c r="R122" s="6" t="str"/>
      <x:c r="S122" s="6" t="str"/>
      <x:c r="T122" s="6" t="str"/>
      <x:c r="U122" s="6" t="str"/>
      <x:c r="V122" s="6" t="str">
        <x:v>Unresolved</x:v>
      </x:c>
      <x:c r="W122" s="12" t="str"/>
      <x:c r="X122" s="12" t="str"/>
      <x:c r="Y122" s="6" t="str"/>
      <x:c r="Z122" s="6" t="str"/>
      <x:c r="AA122" s="6" t="str">
        <x:v>Pending</x:v>
      </x:c>
      <x:c r="AB122" s="6" t="str"/>
      <x:c r="AC122" s="6" t="str"/>
      <x:c r="AD122" s="12" t="str"/>
    </x:row>
    <x:row r="123">
      <x:c r="A123" s="6" t="str">
        <x:v>SIR-000122</x:v>
      </x:c>
      <x:c r="B123" s="6" t="str">
        <x:v>SVC000122</x:v>
      </x:c>
      <x:c r="C123" s="6" t="str">
        <x:v>SVC000197</x:v>
      </x:c>
      <x:c r="D123" s="6" t="str">
        <x:v>Galaxy Note 10 Plus Battery Replacement</x:v>
      </x:c>
      <x:c r="E123" s="6" t="str">
        <x:v>Galaxy Note 10 Plus Battery Replacement</x:v>
      </x:c>
      <x:c r="F123" s="6" t="str">
        <x:v>galaxy note 10 plus battery replacement</x:v>
      </x:c>
      <x:c r="G123" s="6" t="str">
        <x:v>Repair</x:v>
      </x:c>
      <x:c r="H123" s="6" t="str">
        <x:v>Miscellaneous Repair</x:v>
      </x:c>
      <x:c r="I123" s="6" t="str">
        <x:v>Phone</x:v>
      </x:c>
      <x:c r="J123" s="6" t="str">
        <x:v>Galaxy Note 10 Plus Battery Replacement</x:v>
      </x:c>
      <x:c r="K123" s="6" t="str">
        <x:v>Nocturnix_Master_Services_Catalog_v1.xlsx</x:v>
      </x:c>
      <x:c r="L123" s="6" t="str">
        <x:v>01 - Master Services</x:v>
      </x:c>
      <x:c r="M123" s="6" t="n">
        <x:v>162</x:v>
      </x:c>
      <x:c r="N123" s="6" t="str">
        <x:v>CNF000122</x:v>
      </x:c>
      <x:c r="O123" s="6" t="str"/>
      <x:c r="P123" s="6" t="str">
        <x:v>Pending Verification</x:v>
      </x:c>
      <x:c r="Q123" s="6" t="str"/>
      <x:c r="R123" s="6" t="str"/>
      <x:c r="S123" s="6" t="str"/>
      <x:c r="T123" s="6" t="str"/>
      <x:c r="U123" s="6" t="str"/>
      <x:c r="V123" s="6" t="str">
        <x:v>Unresolved</x:v>
      </x:c>
      <x:c r="W123" s="12" t="str"/>
      <x:c r="X123" s="12" t="str"/>
      <x:c r="Y123" s="6" t="str"/>
      <x:c r="Z123" s="6" t="str"/>
      <x:c r="AA123" s="6" t="str">
        <x:v>Pending</x:v>
      </x:c>
      <x:c r="AB123" s="6" t="str"/>
      <x:c r="AC123" s="6" t="str"/>
      <x:c r="AD123" s="12" t="str"/>
    </x:row>
    <x:row r="124">
      <x:c r="A124" s="6" t="str">
        <x:v>SIR-000123</x:v>
      </x:c>
      <x:c r="B124" s="6" t="str">
        <x:v>SVC000123</x:v>
      </x:c>
      <x:c r="C124" s="6" t="str">
        <x:v>SVC000198</x:v>
      </x:c>
      <x:c r="D124" s="6" t="str">
        <x:v>Galaxy S 20 Battery Replacement</x:v>
      </x:c>
      <x:c r="E124" s="6" t="str">
        <x:v>Galaxy S 20 Battery Replacement</x:v>
      </x:c>
      <x:c r="F124" s="6" t="str">
        <x:v>galaxy s 20 battery replacement</x:v>
      </x:c>
      <x:c r="G124" s="6" t="str">
        <x:v>Repair</x:v>
      </x:c>
      <x:c r="H124" s="6" t="str">
        <x:v>Miscellaneous Repair</x:v>
      </x:c>
      <x:c r="I124" s="6" t="str">
        <x:v>Phone</x:v>
      </x:c>
      <x:c r="J124" s="6" t="str">
        <x:v>Galaxy S 20 Battery Replacement</x:v>
      </x:c>
      <x:c r="K124" s="6" t="str">
        <x:v>Nocturnix_Master_Services_Catalog_v1.xlsx</x:v>
      </x:c>
      <x:c r="L124" s="6" t="str">
        <x:v>01 - Master Services</x:v>
      </x:c>
      <x:c r="M124" s="6" t="n">
        <x:v>163</x:v>
      </x:c>
      <x:c r="N124" s="6" t="str">
        <x:v>CNF000123</x:v>
      </x:c>
      <x:c r="O124" s="6" t="str"/>
      <x:c r="P124" s="6" t="str">
        <x:v>Pending Verification</x:v>
      </x:c>
      <x:c r="Q124" s="6" t="str"/>
      <x:c r="R124" s="6" t="str"/>
      <x:c r="S124" s="6" t="str"/>
      <x:c r="T124" s="6" t="str"/>
      <x:c r="U124" s="6" t="str"/>
      <x:c r="V124" s="6" t="str">
        <x:v>Unresolved</x:v>
      </x:c>
      <x:c r="W124" s="12" t="str"/>
      <x:c r="X124" s="12" t="str"/>
      <x:c r="Y124" s="6" t="str"/>
      <x:c r="Z124" s="6" t="str"/>
      <x:c r="AA124" s="6" t="str">
        <x:v>Pending</x:v>
      </x:c>
      <x:c r="AB124" s="6" t="str"/>
      <x:c r="AC124" s="6" t="str"/>
      <x:c r="AD124" s="12" t="str"/>
    </x:row>
    <x:row r="125">
      <x:c r="A125" s="6" t="str">
        <x:v>SIR-000124</x:v>
      </x:c>
      <x:c r="B125" s="6" t="str">
        <x:v>SVC000124</x:v>
      </x:c>
      <x:c r="C125" s="6" t="str">
        <x:v>SVC000199</x:v>
      </x:c>
      <x:c r="D125" s="6" t="str">
        <x:v>Galaxy S 20 Plus Battery Replacement</x:v>
      </x:c>
      <x:c r="E125" s="6" t="str">
        <x:v>Galaxy S 20 Plus Battery Replacement</x:v>
      </x:c>
      <x:c r="F125" s="6" t="str">
        <x:v>galaxy s 20 plus battery replacement</x:v>
      </x:c>
      <x:c r="G125" s="6" t="str">
        <x:v>Repair</x:v>
      </x:c>
      <x:c r="H125" s="6" t="str">
        <x:v>Miscellaneous Repair</x:v>
      </x:c>
      <x:c r="I125" s="6" t="str">
        <x:v>Phone</x:v>
      </x:c>
      <x:c r="J125" s="6" t="str">
        <x:v>Galaxy S 20 Plus Battery Replacement</x:v>
      </x:c>
      <x:c r="K125" s="6" t="str">
        <x:v>Nocturnix_Master_Services_Catalog_v1.xlsx</x:v>
      </x:c>
      <x:c r="L125" s="6" t="str">
        <x:v>01 - Master Services</x:v>
      </x:c>
      <x:c r="M125" s="6" t="n">
        <x:v>164</x:v>
      </x:c>
      <x:c r="N125" s="6" t="str">
        <x:v>CNF000124</x:v>
      </x:c>
      <x:c r="O125" s="6" t="str"/>
      <x:c r="P125" s="6" t="str">
        <x:v>Pending Verification</x:v>
      </x:c>
      <x:c r="Q125" s="6" t="str"/>
      <x:c r="R125" s="6" t="str"/>
      <x:c r="S125" s="6" t="str"/>
      <x:c r="T125" s="6" t="str"/>
      <x:c r="U125" s="6" t="str"/>
      <x:c r="V125" s="6" t="str">
        <x:v>Unresolved</x:v>
      </x:c>
      <x:c r="W125" s="12" t="str"/>
      <x:c r="X125" s="12" t="str"/>
      <x:c r="Y125" s="6" t="str"/>
      <x:c r="Z125" s="6" t="str"/>
      <x:c r="AA125" s="6" t="str">
        <x:v>Pending</x:v>
      </x:c>
      <x:c r="AB125" s="6" t="str"/>
      <x:c r="AC125" s="6" t="str"/>
      <x:c r="AD125" s="12" t="str"/>
    </x:row>
    <x:row r="126">
      <x:c r="A126" s="6" t="str">
        <x:v>SIR-000125</x:v>
      </x:c>
      <x:c r="B126" s="6" t="str">
        <x:v>SVC000125</x:v>
      </x:c>
      <x:c r="C126" s="6" t="str">
        <x:v>SVC000200</x:v>
      </x:c>
      <x:c r="D126" s="6" t="str">
        <x:v>Galaxy S 21 Plus Battery Replacement</x:v>
      </x:c>
      <x:c r="E126" s="6" t="str">
        <x:v>Galaxy S 21 Plus Battery Replacement</x:v>
      </x:c>
      <x:c r="F126" s="6" t="str">
        <x:v>galaxy s 21 plus battery replacement</x:v>
      </x:c>
      <x:c r="G126" s="6" t="str">
        <x:v>Repair</x:v>
      </x:c>
      <x:c r="H126" s="6" t="str">
        <x:v>Miscellaneous Repair</x:v>
      </x:c>
      <x:c r="I126" s="6" t="str">
        <x:v>Phone</x:v>
      </x:c>
      <x:c r="J126" s="6" t="str">
        <x:v>Galaxy S 21 Plus Battery Replacement</x:v>
      </x:c>
      <x:c r="K126" s="6" t="str">
        <x:v>Nocturnix_Master_Services_Catalog_v1.xlsx</x:v>
      </x:c>
      <x:c r="L126" s="6" t="str">
        <x:v>01 - Master Services</x:v>
      </x:c>
      <x:c r="M126" s="6" t="n">
        <x:v>165</x:v>
      </x:c>
      <x:c r="N126" s="6" t="str">
        <x:v>CNF000125</x:v>
      </x:c>
      <x:c r="O126" s="6" t="str"/>
      <x:c r="P126" s="6" t="str">
        <x:v>Pending Verification</x:v>
      </x:c>
      <x:c r="Q126" s="6" t="str"/>
      <x:c r="R126" s="6" t="str"/>
      <x:c r="S126" s="6" t="str"/>
      <x:c r="T126" s="6" t="str"/>
      <x:c r="U126" s="6" t="str"/>
      <x:c r="V126" s="6" t="str">
        <x:v>Unresolved</x:v>
      </x:c>
      <x:c r="W126" s="12" t="str"/>
      <x:c r="X126" s="12" t="str"/>
      <x:c r="Y126" s="6" t="str"/>
      <x:c r="Z126" s="6" t="str"/>
      <x:c r="AA126" s="6" t="str">
        <x:v>Pending</x:v>
      </x:c>
      <x:c r="AB126" s="6" t="str"/>
      <x:c r="AC126" s="6" t="str"/>
      <x:c r="AD126" s="12" t="str"/>
    </x:row>
    <x:row r="127">
      <x:c r="A127" s="6" t="str">
        <x:v>SIR-000126</x:v>
      </x:c>
      <x:c r="B127" s="6" t="str">
        <x:v>SVC000126</x:v>
      </x:c>
      <x:c r="C127" s="6" t="str">
        <x:v>SVC000201</x:v>
      </x:c>
      <x:c r="D127" s="6" t="str">
        <x:v>Galaxy S 7 Battery Replacement</x:v>
      </x:c>
      <x:c r="E127" s="6" t="str">
        <x:v>Galaxy S 7 Battery Replacement</x:v>
      </x:c>
      <x:c r="F127" s="6" t="str">
        <x:v>galaxy s 7 battery replacement</x:v>
      </x:c>
      <x:c r="G127" s="6" t="str">
        <x:v>Repair</x:v>
      </x:c>
      <x:c r="H127" s="6" t="str">
        <x:v>Miscellaneous Repair</x:v>
      </x:c>
      <x:c r="I127" s="6" t="str">
        <x:v>Phone</x:v>
      </x:c>
      <x:c r="J127" s="6" t="str">
        <x:v>Galaxy S 7 Battery Replacement</x:v>
      </x:c>
      <x:c r="K127" s="6" t="str">
        <x:v>Nocturnix_Master_Services_Catalog_v1.xlsx</x:v>
      </x:c>
      <x:c r="L127" s="6" t="str">
        <x:v>01 - Master Services</x:v>
      </x:c>
      <x:c r="M127" s="6" t="n">
        <x:v>166</x:v>
      </x:c>
      <x:c r="N127" s="6" t="str">
        <x:v>CNF000126</x:v>
      </x:c>
      <x:c r="O127" s="6" t="str"/>
      <x:c r="P127" s="6" t="str">
        <x:v>Pending Verification</x:v>
      </x:c>
      <x:c r="Q127" s="6" t="str"/>
      <x:c r="R127" s="6" t="str"/>
      <x:c r="S127" s="6" t="str"/>
      <x:c r="T127" s="6" t="str"/>
      <x:c r="U127" s="6" t="str"/>
      <x:c r="V127" s="6" t="str">
        <x:v>Unresolved</x:v>
      </x:c>
      <x:c r="W127" s="12" t="str"/>
      <x:c r="X127" s="12" t="str"/>
      <x:c r="Y127" s="6" t="str"/>
      <x:c r="Z127" s="6" t="str"/>
      <x:c r="AA127" s="6" t="str">
        <x:v>Pending</x:v>
      </x:c>
      <x:c r="AB127" s="6" t="str"/>
      <x:c r="AC127" s="6" t="str"/>
      <x:c r="AD127" s="12" t="str"/>
    </x:row>
    <x:row r="128">
      <x:c r="A128" s="6" t="str">
        <x:v>SIR-000127</x:v>
      </x:c>
      <x:c r="B128" s="6" t="str">
        <x:v>SVC000127</x:v>
      </x:c>
      <x:c r="C128" s="6" t="str">
        <x:v>SVC000202</x:v>
      </x:c>
      <x:c r="D128" s="6" t="str">
        <x:v>Galaxy S 7 Edge Battery Replacement</x:v>
      </x:c>
      <x:c r="E128" s="6" t="str">
        <x:v>Galaxy S 7 Edge Battery Replacement</x:v>
      </x:c>
      <x:c r="F128" s="6" t="str">
        <x:v>galaxy s 7 edge battery replacement</x:v>
      </x:c>
      <x:c r="G128" s="6" t="str">
        <x:v>Repair</x:v>
      </x:c>
      <x:c r="H128" s="6" t="str">
        <x:v>Miscellaneous Repair</x:v>
      </x:c>
      <x:c r="I128" s="6" t="str">
        <x:v>Phone</x:v>
      </x:c>
      <x:c r="J128" s="6" t="str">
        <x:v>Galaxy S 7 Edge Battery Replacement</x:v>
      </x:c>
      <x:c r="K128" s="6" t="str">
        <x:v>Nocturnix_Master_Services_Catalog_v1.xlsx</x:v>
      </x:c>
      <x:c r="L128" s="6" t="str">
        <x:v>01 - Master Services</x:v>
      </x:c>
      <x:c r="M128" s="6" t="n">
        <x:v>167</x:v>
      </x:c>
      <x:c r="N128" s="6" t="str">
        <x:v>CNF000127</x:v>
      </x:c>
      <x:c r="O128" s="6" t="str"/>
      <x:c r="P128" s="6" t="str">
        <x:v>Pending Verification</x:v>
      </x:c>
      <x:c r="Q128" s="6" t="str"/>
      <x:c r="R128" s="6" t="str"/>
      <x:c r="S128" s="6" t="str"/>
      <x:c r="T128" s="6" t="str"/>
      <x:c r="U128" s="6" t="str"/>
      <x:c r="V128" s="6" t="str">
        <x:v>Unresolved</x:v>
      </x:c>
      <x:c r="W128" s="12" t="str"/>
      <x:c r="X128" s="12" t="str"/>
      <x:c r="Y128" s="6" t="str"/>
      <x:c r="Z128" s="6" t="str"/>
      <x:c r="AA128" s="6" t="str">
        <x:v>Pending</x:v>
      </x:c>
      <x:c r="AB128" s="6" t="str"/>
      <x:c r="AC128" s="6" t="str"/>
      <x:c r="AD128" s="12" t="str"/>
    </x:row>
    <x:row r="129">
      <x:c r="A129" s="6" t="str">
        <x:v>SIR-000128</x:v>
      </x:c>
      <x:c r="B129" s="6" t="str">
        <x:v>SVC000128</x:v>
      </x:c>
      <x:c r="C129" s="6" t="str">
        <x:v>SVC000203</x:v>
      </x:c>
      <x:c r="D129" s="6" t="str">
        <x:v>Galaxy S 5 Active Battery Replacement</x:v>
      </x:c>
      <x:c r="E129" s="6" t="str">
        <x:v>Galaxy S 5 Active Battery Replacement</x:v>
      </x:c>
      <x:c r="F129" s="6" t="str">
        <x:v>galaxy s 5 active battery replacement</x:v>
      </x:c>
      <x:c r="G129" s="6" t="str">
        <x:v>Repair</x:v>
      </x:c>
      <x:c r="H129" s="6" t="str">
        <x:v>Miscellaneous Repair</x:v>
      </x:c>
      <x:c r="I129" s="6" t="str">
        <x:v>Phone</x:v>
      </x:c>
      <x:c r="J129" s="6" t="str">
        <x:v>Galaxy S 5 Active Battery Replacement</x:v>
      </x:c>
      <x:c r="K129" s="6" t="str">
        <x:v>Nocturnix_Master_Services_Catalog_v1.xlsx</x:v>
      </x:c>
      <x:c r="L129" s="6" t="str">
        <x:v>01 - Master Services</x:v>
      </x:c>
      <x:c r="M129" s="6" t="n">
        <x:v>168</x:v>
      </x:c>
      <x:c r="N129" s="6" t="str">
        <x:v>CNF000128</x:v>
      </x:c>
      <x:c r="O129" s="6" t="str"/>
      <x:c r="P129" s="6" t="str">
        <x:v>Pending Verification</x:v>
      </x:c>
      <x:c r="Q129" s="6" t="str"/>
      <x:c r="R129" s="6" t="str"/>
      <x:c r="S129" s="6" t="str"/>
      <x:c r="T129" s="6" t="str"/>
      <x:c r="U129" s="6" t="str"/>
      <x:c r="V129" s="6" t="str">
        <x:v>Unresolved</x:v>
      </x:c>
      <x:c r="W129" s="12" t="str"/>
      <x:c r="X129" s="12" t="str"/>
      <x:c r="Y129" s="6" t="str"/>
      <x:c r="Z129" s="6" t="str"/>
      <x:c r="AA129" s="6" t="str">
        <x:v>Pending</x:v>
      </x:c>
      <x:c r="AB129" s="6" t="str"/>
      <x:c r="AC129" s="6" t="str"/>
      <x:c r="AD129" s="12" t="str"/>
    </x:row>
    <x:row r="130">
      <x:c r="A130" s="6" t="str">
        <x:v>SIR-000129</x:v>
      </x:c>
      <x:c r="B130" s="6" t="str">
        <x:v>SVC000129</x:v>
      </x:c>
      <x:c r="C130" s="6" t="str">
        <x:v>SVC000204</x:v>
      </x:c>
      <x:c r="D130" s="6" t="str">
        <x:v>Galaxy S 6 Edge Battery Replacement</x:v>
      </x:c>
      <x:c r="E130" s="6" t="str">
        <x:v>Galaxy S 6 Edge Battery Replacement</x:v>
      </x:c>
      <x:c r="F130" s="6" t="str">
        <x:v>galaxy s 6 edge battery replacement</x:v>
      </x:c>
      <x:c r="G130" s="6" t="str">
        <x:v>Repair</x:v>
      </x:c>
      <x:c r="H130" s="6" t="str">
        <x:v>Miscellaneous Repair</x:v>
      </x:c>
      <x:c r="I130" s="6" t="str">
        <x:v>Phone</x:v>
      </x:c>
      <x:c r="J130" s="6" t="str">
        <x:v>Galaxy S 6 Edge Battery Replacement</x:v>
      </x:c>
      <x:c r="K130" s="6" t="str">
        <x:v>Nocturnix_Master_Services_Catalog_v1.xlsx</x:v>
      </x:c>
      <x:c r="L130" s="6" t="str">
        <x:v>01 - Master Services</x:v>
      </x:c>
      <x:c r="M130" s="6" t="n">
        <x:v>169</x:v>
      </x:c>
      <x:c r="N130" s="6" t="str">
        <x:v>CNF000129</x:v>
      </x:c>
      <x:c r="O130" s="6" t="str"/>
      <x:c r="P130" s="6" t="str">
        <x:v>Pending Verification</x:v>
      </x:c>
      <x:c r="Q130" s="6" t="str"/>
      <x:c r="R130" s="6" t="str"/>
      <x:c r="S130" s="6" t="str"/>
      <x:c r="T130" s="6" t="str"/>
      <x:c r="U130" s="6" t="str"/>
      <x:c r="V130" s="6" t="str">
        <x:v>Unresolved</x:v>
      </x:c>
      <x:c r="W130" s="12" t="str"/>
      <x:c r="X130" s="12" t="str"/>
      <x:c r="Y130" s="6" t="str"/>
      <x:c r="Z130" s="6" t="str"/>
      <x:c r="AA130" s="6" t="str">
        <x:v>Pending</x:v>
      </x:c>
      <x:c r="AB130" s="6" t="str"/>
      <x:c r="AC130" s="6" t="str"/>
      <x:c r="AD130" s="12" t="str"/>
    </x:row>
    <x:row r="131">
      <x:c r="A131" s="6" t="str">
        <x:v>SIR-000130</x:v>
      </x:c>
      <x:c r="B131" s="6" t="str">
        <x:v>SVC000130</x:v>
      </x:c>
      <x:c r="C131" s="6" t="str">
        <x:v>SVC000205</x:v>
      </x:c>
      <x:c r="D131" s="6" t="str">
        <x:v>Galaxy S 8 Plus Battery Replacement</x:v>
      </x:c>
      <x:c r="E131" s="6" t="str">
        <x:v>Galaxy S 8 Plus Battery Replacement</x:v>
      </x:c>
      <x:c r="F131" s="6" t="str">
        <x:v>galaxy s 8 plus battery replacement</x:v>
      </x:c>
      <x:c r="G131" s="6" t="str">
        <x:v>Repair</x:v>
      </x:c>
      <x:c r="H131" s="6" t="str">
        <x:v>Miscellaneous Repair</x:v>
      </x:c>
      <x:c r="I131" s="6" t="str">
        <x:v>Phone</x:v>
      </x:c>
      <x:c r="J131" s="6" t="str">
        <x:v>Galaxy S 8 Plus Battery Replacement</x:v>
      </x:c>
      <x:c r="K131" s="6" t="str">
        <x:v>Nocturnix_Master_Services_Catalog_v1.xlsx</x:v>
      </x:c>
      <x:c r="L131" s="6" t="str">
        <x:v>01 - Master Services</x:v>
      </x:c>
      <x:c r="M131" s="6" t="n">
        <x:v>170</x:v>
      </x:c>
      <x:c r="N131" s="6" t="str">
        <x:v>CNF000130</x:v>
      </x:c>
      <x:c r="O131" s="6" t="str"/>
      <x:c r="P131" s="6" t="str">
        <x:v>Pending Verification</x:v>
      </x:c>
      <x:c r="Q131" s="6" t="str"/>
      <x:c r="R131" s="6" t="str"/>
      <x:c r="S131" s="6" t="str"/>
      <x:c r="T131" s="6" t="str"/>
      <x:c r="U131" s="6" t="str"/>
      <x:c r="V131" s="6" t="str">
        <x:v>Unresolved</x:v>
      </x:c>
      <x:c r="W131" s="12" t="str"/>
      <x:c r="X131" s="12" t="str"/>
      <x:c r="Y131" s="6" t="str"/>
      <x:c r="Z131" s="6" t="str"/>
      <x:c r="AA131" s="6" t="str">
        <x:v>Pending</x:v>
      </x:c>
      <x:c r="AB131" s="6" t="str"/>
      <x:c r="AC131" s="6" t="str"/>
      <x:c r="AD131" s="12" t="str"/>
    </x:row>
    <x:row r="132">
      <x:c r="A132" s="6" t="str">
        <x:v>SIR-000131</x:v>
      </x:c>
      <x:c r="B132" s="6" t="str">
        <x:v>SVC000131</x:v>
      </x:c>
      <x:c r="C132" s="6" t="str">
        <x:v>SVC000206</x:v>
      </x:c>
      <x:c r="D132" s="6" t="str">
        <x:v>Galaxy S 8 Active Battery Replacement</x:v>
      </x:c>
      <x:c r="E132" s="6" t="str">
        <x:v>Galaxy S 8 Active Battery Replacement</x:v>
      </x:c>
      <x:c r="F132" s="6" t="str">
        <x:v>galaxy s 8 active battery replacement</x:v>
      </x:c>
      <x:c r="G132" s="6" t="str">
        <x:v>Repair</x:v>
      </x:c>
      <x:c r="H132" s="6" t="str">
        <x:v>Miscellaneous Repair</x:v>
      </x:c>
      <x:c r="I132" s="6" t="str">
        <x:v>Phone</x:v>
      </x:c>
      <x:c r="J132" s="6" t="str">
        <x:v>Galaxy S 8 Active Battery Replacement</x:v>
      </x:c>
      <x:c r="K132" s="6" t="str">
        <x:v>Nocturnix_Master_Services_Catalog_v1.xlsx</x:v>
      </x:c>
      <x:c r="L132" s="6" t="str">
        <x:v>01 - Master Services</x:v>
      </x:c>
      <x:c r="M132" s="6" t="n">
        <x:v>171</x:v>
      </x:c>
      <x:c r="N132" s="6" t="str">
        <x:v>CNF000131</x:v>
      </x:c>
      <x:c r="O132" s="6" t="str"/>
      <x:c r="P132" s="6" t="str">
        <x:v>Pending Verification</x:v>
      </x:c>
      <x:c r="Q132" s="6" t="str"/>
      <x:c r="R132" s="6" t="str"/>
      <x:c r="S132" s="6" t="str"/>
      <x:c r="T132" s="6" t="str"/>
      <x:c r="U132" s="6" t="str"/>
      <x:c r="V132" s="6" t="str">
        <x:v>Unresolved</x:v>
      </x:c>
      <x:c r="W132" s="12" t="str"/>
      <x:c r="X132" s="12" t="str"/>
      <x:c r="Y132" s="6" t="str"/>
      <x:c r="Z132" s="6" t="str"/>
      <x:c r="AA132" s="6" t="str">
        <x:v>Pending</x:v>
      </x:c>
      <x:c r="AB132" s="6" t="str"/>
      <x:c r="AC132" s="6" t="str"/>
      <x:c r="AD132" s="12" t="str"/>
    </x:row>
    <x:row r="133">
      <x:c r="A133" s="6" t="str">
        <x:v>SIR-000132</x:v>
      </x:c>
      <x:c r="B133" s="6" t="str">
        <x:v>SVC000132</x:v>
      </x:c>
      <x:c r="C133" s="6" t="str">
        <x:v>SVC000207</x:v>
      </x:c>
      <x:c r="D133" s="6" t="str">
        <x:v>Galaxy S 9 Plus Battery Replacement</x:v>
      </x:c>
      <x:c r="E133" s="6" t="str">
        <x:v>Galaxy S 9 Plus Battery Replacement</x:v>
      </x:c>
      <x:c r="F133" s="6" t="str">
        <x:v>galaxy s 9 plus battery replacement</x:v>
      </x:c>
      <x:c r="G133" s="6" t="str">
        <x:v>Repair</x:v>
      </x:c>
      <x:c r="H133" s="6" t="str">
        <x:v>Miscellaneous Repair</x:v>
      </x:c>
      <x:c r="I133" s="6" t="str">
        <x:v>Phone</x:v>
      </x:c>
      <x:c r="J133" s="6" t="str">
        <x:v>Galaxy S 9 Plus Battery Replacement</x:v>
      </x:c>
      <x:c r="K133" s="6" t="str">
        <x:v>Nocturnix_Master_Services_Catalog_v1.xlsx</x:v>
      </x:c>
      <x:c r="L133" s="6" t="str">
        <x:v>01 - Master Services</x:v>
      </x:c>
      <x:c r="M133" s="6" t="n">
        <x:v>172</x:v>
      </x:c>
      <x:c r="N133" s="6" t="str">
        <x:v>CNF000132</x:v>
      </x:c>
      <x:c r="O133" s="6" t="str"/>
      <x:c r="P133" s="6" t="str">
        <x:v>Pending Verification</x:v>
      </x:c>
      <x:c r="Q133" s="6" t="str"/>
      <x:c r="R133" s="6" t="str"/>
      <x:c r="S133" s="6" t="str"/>
      <x:c r="T133" s="6" t="str"/>
      <x:c r="U133" s="6" t="str"/>
      <x:c r="V133" s="6" t="str">
        <x:v>Unresolved</x:v>
      </x:c>
      <x:c r="W133" s="12" t="str"/>
      <x:c r="X133" s="12" t="str"/>
      <x:c r="Y133" s="6" t="str"/>
      <x:c r="Z133" s="6" t="str"/>
      <x:c r="AA133" s="6" t="str">
        <x:v>Pending</x:v>
      </x:c>
      <x:c r="AB133" s="6" t="str"/>
      <x:c r="AC133" s="6" t="str"/>
      <x:c r="AD133" s="12" t="str"/>
    </x:row>
    <x:row r="134">
      <x:c r="A134" s="6" t="str">
        <x:v>SIR-000133</x:v>
      </x:c>
      <x:c r="B134" s="6" t="str">
        <x:v>SVC000133</x:v>
      </x:c>
      <x:c r="C134" s="6" t="str">
        <x:v>SVC000208</x:v>
      </x:c>
      <x:c r="D134" s="6" t="str">
        <x:v>Galaxy S 20 Ultra Battery Replacement</x:v>
      </x:c>
      <x:c r="E134" s="6" t="str">
        <x:v>Galaxy S 20 Ultra Battery Replacement</x:v>
      </x:c>
      <x:c r="F134" s="6" t="str">
        <x:v>galaxy s 20 ultra battery replacement</x:v>
      </x:c>
      <x:c r="G134" s="6" t="str">
        <x:v>Repair</x:v>
      </x:c>
      <x:c r="H134" s="6" t="str">
        <x:v>Miscellaneous Repair</x:v>
      </x:c>
      <x:c r="I134" s="6" t="str">
        <x:v>Phone</x:v>
      </x:c>
      <x:c r="J134" s="6" t="str">
        <x:v>Galaxy S 20 Ultra Battery Replacement</x:v>
      </x:c>
      <x:c r="K134" s="6" t="str">
        <x:v>Nocturnix_Master_Services_Catalog_v1.xlsx</x:v>
      </x:c>
      <x:c r="L134" s="6" t="str">
        <x:v>01 - Master Services</x:v>
      </x:c>
      <x:c r="M134" s="6" t="n">
        <x:v>173</x:v>
      </x:c>
      <x:c r="N134" s="6" t="str">
        <x:v>CNF000133</x:v>
      </x:c>
      <x:c r="O134" s="6" t="str"/>
      <x:c r="P134" s="6" t="str">
        <x:v>Pending Verification</x:v>
      </x:c>
      <x:c r="Q134" s="6" t="str"/>
      <x:c r="R134" s="6" t="str"/>
      <x:c r="S134" s="6" t="str"/>
      <x:c r="T134" s="6" t="str"/>
      <x:c r="U134" s="6" t="str"/>
      <x:c r="V134" s="6" t="str">
        <x:v>Unresolved</x:v>
      </x:c>
      <x:c r="W134" s="12" t="str"/>
      <x:c r="X134" s="12" t="str"/>
      <x:c r="Y134" s="6" t="str"/>
      <x:c r="Z134" s="6" t="str"/>
      <x:c r="AA134" s="6" t="str">
        <x:v>Pending</x:v>
      </x:c>
      <x:c r="AB134" s="6" t="str"/>
      <x:c r="AC134" s="6" t="str"/>
      <x:c r="AD134" s="12" t="str"/>
    </x:row>
    <x:row r="135">
      <x:c r="A135" s="6" t="str">
        <x:v>SIR-000134</x:v>
      </x:c>
      <x:c r="B135" s="6" t="str">
        <x:v>SVC000134</x:v>
      </x:c>
      <x:c r="C135" s="6" t="str">
        <x:v>SVC000209</x:v>
      </x:c>
      <x:c r="D135" s="6" t="str">
        <x:v>Galaxy S 5 Neo Battery Replacement</x:v>
      </x:c>
      <x:c r="E135" s="6" t="str">
        <x:v>Galaxy S 5 Neo Battery Replacement</x:v>
      </x:c>
      <x:c r="F135" s="6" t="str">
        <x:v>galaxy s 5 neo battery replacement</x:v>
      </x:c>
      <x:c r="G135" s="6" t="str">
        <x:v>Repair</x:v>
      </x:c>
      <x:c r="H135" s="6" t="str">
        <x:v>Miscellaneous Repair</x:v>
      </x:c>
      <x:c r="I135" s="6" t="str">
        <x:v>Phone</x:v>
      </x:c>
      <x:c r="J135" s="6" t="str">
        <x:v>Galaxy S 5 Neo Battery Replacement</x:v>
      </x:c>
      <x:c r="K135" s="6" t="str">
        <x:v>Nocturnix_Master_Services_Catalog_v1.xlsx</x:v>
      </x:c>
      <x:c r="L135" s="6" t="str">
        <x:v>01 - Master Services</x:v>
      </x:c>
      <x:c r="M135" s="6" t="n">
        <x:v>174</x:v>
      </x:c>
      <x:c r="N135" s="6" t="str">
        <x:v>CNF000134</x:v>
      </x:c>
      <x:c r="O135" s="6" t="str"/>
      <x:c r="P135" s="6" t="str">
        <x:v>Pending Verification</x:v>
      </x:c>
      <x:c r="Q135" s="6" t="str"/>
      <x:c r="R135" s="6" t="str"/>
      <x:c r="S135" s="6" t="str"/>
      <x:c r="T135" s="6" t="str"/>
      <x:c r="U135" s="6" t="str"/>
      <x:c r="V135" s="6" t="str">
        <x:v>Unresolved</x:v>
      </x:c>
      <x:c r="W135" s="12" t="str"/>
      <x:c r="X135" s="12" t="str"/>
      <x:c r="Y135" s="6" t="str"/>
      <x:c r="Z135" s="6" t="str"/>
      <x:c r="AA135" s="6" t="str">
        <x:v>Pending</x:v>
      </x:c>
      <x:c r="AB135" s="6" t="str"/>
      <x:c r="AC135" s="6" t="str"/>
      <x:c r="AD135" s="12" t="str"/>
    </x:row>
    <x:row r="136">
      <x:c r="A136" s="6" t="str">
        <x:v>SIR-000135</x:v>
      </x:c>
      <x:c r="B136" s="6" t="str">
        <x:v>SVC000135</x:v>
      </x:c>
      <x:c r="C136" s="6" t="str">
        <x:v>SVC000210</x:v>
      </x:c>
      <x:c r="D136" s="6" t="str">
        <x:v>Galaxy S 4 Mini Battery Replacement</x:v>
      </x:c>
      <x:c r="E136" s="6" t="str">
        <x:v>Galaxy S 4 Mini Battery Replacement</x:v>
      </x:c>
      <x:c r="F136" s="6" t="str">
        <x:v>galaxy s 4 mini battery replacement</x:v>
      </x:c>
      <x:c r="G136" s="6" t="str">
        <x:v>Repair</x:v>
      </x:c>
      <x:c r="H136" s="6" t="str">
        <x:v>Miscellaneous Repair</x:v>
      </x:c>
      <x:c r="I136" s="6" t="str">
        <x:v>Phone</x:v>
      </x:c>
      <x:c r="J136" s="6" t="str">
        <x:v>Galaxy S 4 Mini Battery Replacement</x:v>
      </x:c>
      <x:c r="K136" s="6" t="str">
        <x:v>Nocturnix_Master_Services_Catalog_v1.xlsx</x:v>
      </x:c>
      <x:c r="L136" s="6" t="str">
        <x:v>01 - Master Services</x:v>
      </x:c>
      <x:c r="M136" s="6" t="n">
        <x:v>175</x:v>
      </x:c>
      <x:c r="N136" s="6" t="str">
        <x:v>CNF000135</x:v>
      </x:c>
      <x:c r="O136" s="6" t="str"/>
      <x:c r="P136" s="6" t="str">
        <x:v>Pending Verification</x:v>
      </x:c>
      <x:c r="Q136" s="6" t="str"/>
      <x:c r="R136" s="6" t="str"/>
      <x:c r="S136" s="6" t="str"/>
      <x:c r="T136" s="6" t="str"/>
      <x:c r="U136" s="6" t="str"/>
      <x:c r="V136" s="6" t="str">
        <x:v>Unresolved</x:v>
      </x:c>
      <x:c r="W136" s="12" t="str"/>
      <x:c r="X136" s="12" t="str"/>
      <x:c r="Y136" s="6" t="str"/>
      <x:c r="Z136" s="6" t="str"/>
      <x:c r="AA136" s="6" t="str">
        <x:v>Pending</x:v>
      </x:c>
      <x:c r="AB136" s="6" t="str"/>
      <x:c r="AC136" s="6" t="str"/>
      <x:c r="AD136" s="12" t="str"/>
    </x:row>
    <x:row r="137">
      <x:c r="A137" s="6" t="str">
        <x:v>SIR-000136</x:v>
      </x:c>
      <x:c r="B137" s="6" t="str">
        <x:v>SVC000136</x:v>
      </x:c>
      <x:c r="C137" s="6" t="str">
        <x:v>SVC000211</x:v>
      </x:c>
      <x:c r="D137" s="6" t="str">
        <x:v>Galaxy S 23 Ultra Battery Replacement</x:v>
      </x:c>
      <x:c r="E137" s="6" t="str">
        <x:v>Galaxy S 23 Ultra Battery Replacement</x:v>
      </x:c>
      <x:c r="F137" s="6" t="str">
        <x:v>galaxy s 23 ultra battery replacement</x:v>
      </x:c>
      <x:c r="G137" s="6" t="str">
        <x:v>Repair</x:v>
      </x:c>
      <x:c r="H137" s="6" t="str">
        <x:v>Miscellaneous Repair</x:v>
      </x:c>
      <x:c r="I137" s="6" t="str">
        <x:v>Phone</x:v>
      </x:c>
      <x:c r="J137" s="6" t="str">
        <x:v>Galaxy S 23 Ultra Battery Replacement</x:v>
      </x:c>
      <x:c r="K137" s="6" t="str">
        <x:v>Nocturnix_Master_Services_Catalog_v1.xlsx</x:v>
      </x:c>
      <x:c r="L137" s="6" t="str">
        <x:v>01 - Master Services</x:v>
      </x:c>
      <x:c r="M137" s="6" t="n">
        <x:v>176</x:v>
      </x:c>
      <x:c r="N137" s="6" t="str">
        <x:v>CNF000136</x:v>
      </x:c>
      <x:c r="O137" s="6" t="str"/>
      <x:c r="P137" s="6" t="str">
        <x:v>Pending Verification</x:v>
      </x:c>
      <x:c r="Q137" s="6" t="str"/>
      <x:c r="R137" s="6" t="str"/>
      <x:c r="S137" s="6" t="str"/>
      <x:c r="T137" s="6" t="str"/>
      <x:c r="U137" s="6" t="str"/>
      <x:c r="V137" s="6" t="str">
        <x:v>Unresolved</x:v>
      </x:c>
      <x:c r="W137" s="12" t="str"/>
      <x:c r="X137" s="12" t="str"/>
      <x:c r="Y137" s="6" t="str"/>
      <x:c r="Z137" s="6" t="str"/>
      <x:c r="AA137" s="6" t="str">
        <x:v>Pending</x:v>
      </x:c>
      <x:c r="AB137" s="6" t="str"/>
      <x:c r="AC137" s="6" t="str"/>
      <x:c r="AD137" s="12" t="str"/>
    </x:row>
    <x:row r="138">
      <x:c r="A138" s="6" t="str">
        <x:v>SIR-000137</x:v>
      </x:c>
      <x:c r="B138" s="6" t="str">
        <x:v>SVC000137</x:v>
      </x:c>
      <x:c r="C138" s="6" t="str">
        <x:v>SVC000212</x:v>
      </x:c>
      <x:c r="D138" s="6" t="str">
        <x:v>Galaxy S 23 FE Battery Replacement</x:v>
      </x:c>
      <x:c r="E138" s="6" t="str">
        <x:v>Galaxy S 23 FE Battery Replacement</x:v>
      </x:c>
      <x:c r="F138" s="6" t="str">
        <x:v>galaxy s 23 fe battery replacement</x:v>
      </x:c>
      <x:c r="G138" s="6" t="str">
        <x:v>Repair</x:v>
      </x:c>
      <x:c r="H138" s="6" t="str">
        <x:v>Miscellaneous Repair</x:v>
      </x:c>
      <x:c r="I138" s="6" t="str">
        <x:v>Phone</x:v>
      </x:c>
      <x:c r="J138" s="6" t="str">
        <x:v>Galaxy S 23 FE Battery Replacement</x:v>
      </x:c>
      <x:c r="K138" s="6" t="str">
        <x:v>Nocturnix_Master_Services_Catalog_v1.xlsx</x:v>
      </x:c>
      <x:c r="L138" s="6" t="str">
        <x:v>01 - Master Services</x:v>
      </x:c>
      <x:c r="M138" s="6" t="n">
        <x:v>177</x:v>
      </x:c>
      <x:c r="N138" s="6" t="str">
        <x:v>CNF000137</x:v>
      </x:c>
      <x:c r="O138" s="6" t="str"/>
      <x:c r="P138" s="6" t="str">
        <x:v>Pending Verification</x:v>
      </x:c>
      <x:c r="Q138" s="6" t="str"/>
      <x:c r="R138" s="6" t="str"/>
      <x:c r="S138" s="6" t="str"/>
      <x:c r="T138" s="6" t="str"/>
      <x:c r="U138" s="6" t="str"/>
      <x:c r="V138" s="6" t="str">
        <x:v>Unresolved</x:v>
      </x:c>
      <x:c r="W138" s="12" t="str"/>
      <x:c r="X138" s="12" t="str"/>
      <x:c r="Y138" s="6" t="str"/>
      <x:c r="Z138" s="6" t="str"/>
      <x:c r="AA138" s="6" t="str">
        <x:v>Pending</x:v>
      </x:c>
      <x:c r="AB138" s="6" t="str"/>
      <x:c r="AC138" s="6" t="str"/>
      <x:c r="AD138" s="12" t="str"/>
    </x:row>
    <x:row r="139">
      <x:c r="A139" s="6" t="str">
        <x:v>SIR-000138</x:v>
      </x:c>
      <x:c r="B139" s="6" t="str">
        <x:v>SVC000138</x:v>
      </x:c>
      <x:c r="C139" s="6" t="str">
        <x:v>SVC000213</x:v>
      </x:c>
      <x:c r="D139" s="6" t="str">
        <x:v>Galaxy S 25 Battery Replacement</x:v>
      </x:c>
      <x:c r="E139" s="6" t="str">
        <x:v>Galaxy S 25 Battery Replacement</x:v>
      </x:c>
      <x:c r="F139" s="6" t="str">
        <x:v>galaxy s 25 battery replacement</x:v>
      </x:c>
      <x:c r="G139" s="6" t="str">
        <x:v>Repair</x:v>
      </x:c>
      <x:c r="H139" s="6" t="str">
        <x:v>Miscellaneous Repair</x:v>
      </x:c>
      <x:c r="I139" s="6" t="str">
        <x:v>Phone</x:v>
      </x:c>
      <x:c r="J139" s="6" t="str">
        <x:v>Galaxy S 25 Battery Replacement</x:v>
      </x:c>
      <x:c r="K139" s="6" t="str">
        <x:v>Nocturnix_Master_Services_Catalog_v1.xlsx</x:v>
      </x:c>
      <x:c r="L139" s="6" t="str">
        <x:v>01 - Master Services</x:v>
      </x:c>
      <x:c r="M139" s="6" t="n">
        <x:v>178</x:v>
      </x:c>
      <x:c r="N139" s="6" t="str">
        <x:v>CNF000138</x:v>
      </x:c>
      <x:c r="O139" s="6" t="str"/>
      <x:c r="P139" s="6" t="str">
        <x:v>Pending Verification</x:v>
      </x:c>
      <x:c r="Q139" s="6" t="str"/>
      <x:c r="R139" s="6" t="str"/>
      <x:c r="S139" s="6" t="str"/>
      <x:c r="T139" s="6" t="str"/>
      <x:c r="U139" s="6" t="str"/>
      <x:c r="V139" s="6" t="str">
        <x:v>Unresolved</x:v>
      </x:c>
      <x:c r="W139" s="12" t="str"/>
      <x:c r="X139" s="12" t="str"/>
      <x:c r="Y139" s="6" t="str"/>
      <x:c r="Z139" s="6" t="str"/>
      <x:c r="AA139" s="6" t="str">
        <x:v>Pending</x:v>
      </x:c>
      <x:c r="AB139" s="6" t="str"/>
      <x:c r="AC139" s="6" t="str"/>
      <x:c r="AD139" s="12" t="str"/>
    </x:row>
    <x:row r="140">
      <x:c r="A140" s="6" t="str">
        <x:v>SIR-000139</x:v>
      </x:c>
      <x:c r="B140" s="6" t="str">
        <x:v>SVC000139</x:v>
      </x:c>
      <x:c r="C140" s="6" t="str">
        <x:v>SVC000214</x:v>
      </x:c>
      <x:c r="D140" s="6" t="str">
        <x:v>Galaxy S 25 Edge Battery Replacement</x:v>
      </x:c>
      <x:c r="E140" s="6" t="str">
        <x:v>Galaxy S 25 Edge Battery Replacement</x:v>
      </x:c>
      <x:c r="F140" s="6" t="str">
        <x:v>galaxy s 25 edge battery replacement</x:v>
      </x:c>
      <x:c r="G140" s="6" t="str">
        <x:v>Repair</x:v>
      </x:c>
      <x:c r="H140" s="6" t="str">
        <x:v>Miscellaneous Repair</x:v>
      </x:c>
      <x:c r="I140" s="6" t="str">
        <x:v>Phone</x:v>
      </x:c>
      <x:c r="J140" s="6" t="str">
        <x:v>Galaxy S 25 Edge Battery Replacement</x:v>
      </x:c>
      <x:c r="K140" s="6" t="str">
        <x:v>Nocturnix_Master_Services_Catalog_v1.xlsx</x:v>
      </x:c>
      <x:c r="L140" s="6" t="str">
        <x:v>01 - Master Services</x:v>
      </x:c>
      <x:c r="M140" s="6" t="n">
        <x:v>179</x:v>
      </x:c>
      <x:c r="N140" s="6" t="str">
        <x:v>CNF000139</x:v>
      </x:c>
      <x:c r="O140" s="6" t="str"/>
      <x:c r="P140" s="6" t="str">
        <x:v>Pending Verification</x:v>
      </x:c>
      <x:c r="Q140" s="6" t="str"/>
      <x:c r="R140" s="6" t="str"/>
      <x:c r="S140" s="6" t="str"/>
      <x:c r="T140" s="6" t="str"/>
      <x:c r="U140" s="6" t="str"/>
      <x:c r="V140" s="6" t="str">
        <x:v>Unresolved</x:v>
      </x:c>
      <x:c r="W140" s="12" t="str"/>
      <x:c r="X140" s="12" t="str"/>
      <x:c r="Y140" s="6" t="str"/>
      <x:c r="Z140" s="6" t="str"/>
      <x:c r="AA140" s="6" t="str">
        <x:v>Pending</x:v>
      </x:c>
      <x:c r="AB140" s="6" t="str"/>
      <x:c r="AC140" s="6" t="str"/>
      <x:c r="AD140" s="12" t="str"/>
    </x:row>
    <x:row r="141">
      <x:c r="A141" s="6" t="str">
        <x:v>SIR-000140</x:v>
      </x:c>
      <x:c r="B141" s="6" t="str">
        <x:v>SVC000140</x:v>
      </x:c>
      <x:c r="C141" s="6" t="str">
        <x:v>SVC000215</x:v>
      </x:c>
      <x:c r="D141" s="6" t="str">
        <x:v>iPhone 14 Plus Battery Replacement</x:v>
      </x:c>
      <x:c r="E141" s="6" t="str">
        <x:v>iPhone 14 Plus Battery Replacement</x:v>
      </x:c>
      <x:c r="F141" s="6" t="str">
        <x:v>iphone 14 plus battery replacement</x:v>
      </x:c>
      <x:c r="G141" s="6" t="str">
        <x:v>Repair</x:v>
      </x:c>
      <x:c r="H141" s="6" t="str">
        <x:v>Miscellaneous Repair</x:v>
      </x:c>
      <x:c r="I141" s="6" t="str">
        <x:v>Phone</x:v>
      </x:c>
      <x:c r="J141" s="6" t="str">
        <x:v>iPhone 14 Plus Battery Replacement</x:v>
      </x:c>
      <x:c r="K141" s="6" t="str">
        <x:v>Nocturnix_Master_Services_Catalog_v1.xlsx</x:v>
      </x:c>
      <x:c r="L141" s="6" t="str">
        <x:v>01 - Master Services</x:v>
      </x:c>
      <x:c r="M141" s="6" t="n">
        <x:v>180</x:v>
      </x:c>
      <x:c r="N141" s="6" t="str">
        <x:v>CNF000140</x:v>
      </x:c>
      <x:c r="O141" s="6" t="str"/>
      <x:c r="P141" s="6" t="str">
        <x:v>Pending Verification</x:v>
      </x:c>
      <x:c r="Q141" s="6" t="str"/>
      <x:c r="R141" s="6" t="str"/>
      <x:c r="S141" s="6" t="str"/>
      <x:c r="T141" s="6" t="str"/>
      <x:c r="U141" s="6" t="str"/>
      <x:c r="V141" s="6" t="str">
        <x:v>Unresolved</x:v>
      </x:c>
      <x:c r="W141" s="12" t="str"/>
      <x:c r="X141" s="12" t="str"/>
      <x:c r="Y141" s="6" t="str"/>
      <x:c r="Z141" s="6" t="str"/>
      <x:c r="AA141" s="6" t="str">
        <x:v>Pending</x:v>
      </x:c>
      <x:c r="AB141" s="6" t="str"/>
      <x:c r="AC141" s="6" t="str"/>
      <x:c r="AD141" s="12" t="str"/>
    </x:row>
    <x:row r="142">
      <x:c r="A142" s="6" t="str">
        <x:v>SIR-000141</x:v>
      </x:c>
      <x:c r="B142" s="6" t="str">
        <x:v>SVC000141</x:v>
      </x:c>
      <x:c r="C142" s="6" t="str">
        <x:v>SVC000216</x:v>
      </x:c>
      <x:c r="D142" s="6" t="str">
        <x:v>iPhone 13 Pro Battery Replacement</x:v>
      </x:c>
      <x:c r="E142" s="6" t="str">
        <x:v>iPhone 13 Pro Battery Replacement</x:v>
      </x:c>
      <x:c r="F142" s="6" t="str">
        <x:v>iphone 13 pro battery replacement</x:v>
      </x:c>
      <x:c r="G142" s="6" t="str">
        <x:v>Repair</x:v>
      </x:c>
      <x:c r="H142" s="6" t="str">
        <x:v>Miscellaneous Repair</x:v>
      </x:c>
      <x:c r="I142" s="6" t="str">
        <x:v>Phone</x:v>
      </x:c>
      <x:c r="J142" s="6" t="str">
        <x:v>iPhone 13 Pro Battery Replacement</x:v>
      </x:c>
      <x:c r="K142" s="6" t="str">
        <x:v>Nocturnix_Master_Services_Catalog_v1.xlsx</x:v>
      </x:c>
      <x:c r="L142" s="6" t="str">
        <x:v>01 - Master Services</x:v>
      </x:c>
      <x:c r="M142" s="6" t="n">
        <x:v>181</x:v>
      </x:c>
      <x:c r="N142" s="6" t="str">
        <x:v>CNF000141</x:v>
      </x:c>
      <x:c r="O142" s="6" t="str"/>
      <x:c r="P142" s="6" t="str">
        <x:v>Pending Verification</x:v>
      </x:c>
      <x:c r="Q142" s="6" t="str"/>
      <x:c r="R142" s="6" t="str"/>
      <x:c r="S142" s="6" t="str"/>
      <x:c r="T142" s="6" t="str"/>
      <x:c r="U142" s="6" t="str"/>
      <x:c r="V142" s="6" t="str">
        <x:v>Unresolved</x:v>
      </x:c>
      <x:c r="W142" s="12" t="str"/>
      <x:c r="X142" s="12" t="str"/>
      <x:c r="Y142" s="6" t="str"/>
      <x:c r="Z142" s="6" t="str"/>
      <x:c r="AA142" s="6" t="str">
        <x:v>Pending</x:v>
      </x:c>
      <x:c r="AB142" s="6" t="str"/>
      <x:c r="AC142" s="6" t="str"/>
      <x:c r="AD142" s="12" t="str"/>
    </x:row>
    <x:row r="143">
      <x:c r="A143" s="6" t="str">
        <x:v>SIR-000142</x:v>
      </x:c>
      <x:c r="B143" s="6" t="str">
        <x:v>SVC000142</x:v>
      </x:c>
      <x:c r="C143" s="6" t="str">
        <x:v>SVC000217</x:v>
      </x:c>
      <x:c r="D143" s="6" t="str">
        <x:v>iPhone 13 Mini Battery Replacement</x:v>
      </x:c>
      <x:c r="E143" s="6" t="str">
        <x:v>iPhone 13 Mini Battery Replacement</x:v>
      </x:c>
      <x:c r="F143" s="6" t="str">
        <x:v>iphone 13 mini battery replacement</x:v>
      </x:c>
      <x:c r="G143" s="6" t="str">
        <x:v>Repair</x:v>
      </x:c>
      <x:c r="H143" s="6" t="str">
        <x:v>Miscellaneous Repair</x:v>
      </x:c>
      <x:c r="I143" s="6" t="str">
        <x:v>Phone</x:v>
      </x:c>
      <x:c r="J143" s="6" t="str">
        <x:v>iPhone 13 Mini Battery Replacement</x:v>
      </x:c>
      <x:c r="K143" s="6" t="str">
        <x:v>Nocturnix_Master_Services_Catalog_v1.xlsx</x:v>
      </x:c>
      <x:c r="L143" s="6" t="str">
        <x:v>01 - Master Services</x:v>
      </x:c>
      <x:c r="M143" s="6" t="n">
        <x:v>182</x:v>
      </x:c>
      <x:c r="N143" s="6" t="str">
        <x:v>CNF000142</x:v>
      </x:c>
      <x:c r="O143" s="6" t="str"/>
      <x:c r="P143" s="6" t="str">
        <x:v>Pending Verification</x:v>
      </x:c>
      <x:c r="Q143" s="6" t="str"/>
      <x:c r="R143" s="6" t="str"/>
      <x:c r="S143" s="6" t="str"/>
      <x:c r="T143" s="6" t="str"/>
      <x:c r="U143" s="6" t="str"/>
      <x:c r="V143" s="6" t="str">
        <x:v>Unresolved</x:v>
      </x:c>
      <x:c r="W143" s="12" t="str"/>
      <x:c r="X143" s="12" t="str"/>
      <x:c r="Y143" s="6" t="str"/>
      <x:c r="Z143" s="6" t="str"/>
      <x:c r="AA143" s="6" t="str">
        <x:v>Pending</x:v>
      </x:c>
      <x:c r="AB143" s="6" t="str"/>
      <x:c r="AC143" s="6" t="str"/>
      <x:c r="AD143" s="12" t="str"/>
    </x:row>
    <x:row r="144">
      <x:c r="A144" s="6" t="str">
        <x:v>SIR-000143</x:v>
      </x:c>
      <x:c r="B144" s="6" t="str">
        <x:v>SVC000143</x:v>
      </x:c>
      <x:c r="C144" s="6" t="str">
        <x:v>SVC000218</x:v>
      </x:c>
      <x:c r="D144" s="6" t="str">
        <x:v>iPhone 13 Battery Replacement</x:v>
      </x:c>
      <x:c r="E144" s="6" t="str">
        <x:v>iPhone 13 Battery Replacement</x:v>
      </x:c>
      <x:c r="F144" s="6" t="str">
        <x:v>iphone 13 battery replacement</x:v>
      </x:c>
      <x:c r="G144" s="6" t="str">
        <x:v>Repair</x:v>
      </x:c>
      <x:c r="H144" s="6" t="str">
        <x:v>Miscellaneous Repair</x:v>
      </x:c>
      <x:c r="I144" s="6" t="str">
        <x:v>Phone</x:v>
      </x:c>
      <x:c r="J144" s="6" t="str">
        <x:v>iPhone 13 Battery Replacement</x:v>
      </x:c>
      <x:c r="K144" s="6" t="str">
        <x:v>Nocturnix_Master_Services_Catalog_v1.xlsx</x:v>
      </x:c>
      <x:c r="L144" s="6" t="str">
        <x:v>01 - Master Services</x:v>
      </x:c>
      <x:c r="M144" s="6" t="n">
        <x:v>183</x:v>
      </x:c>
      <x:c r="N144" s="6" t="str">
        <x:v>CNF000143</x:v>
      </x:c>
      <x:c r="O144" s="6" t="str"/>
      <x:c r="P144" s="6" t="str">
        <x:v>Pending Verification</x:v>
      </x:c>
      <x:c r="Q144" s="6" t="str"/>
      <x:c r="R144" s="6" t="str"/>
      <x:c r="S144" s="6" t="str"/>
      <x:c r="T144" s="6" t="str"/>
      <x:c r="U144" s="6" t="str"/>
      <x:c r="V144" s="6" t="str">
        <x:v>Unresolved</x:v>
      </x:c>
      <x:c r="W144" s="12" t="str"/>
      <x:c r="X144" s="12" t="str"/>
      <x:c r="Y144" s="6" t="str"/>
      <x:c r="Z144" s="6" t="str"/>
      <x:c r="AA144" s="6" t="str">
        <x:v>Pending</x:v>
      </x:c>
      <x:c r="AB144" s="6" t="str"/>
      <x:c r="AC144" s="6" t="str"/>
      <x:c r="AD144" s="12" t="str"/>
    </x:row>
    <x:row r="145">
      <x:c r="A145" s="6" t="str">
        <x:v>SIR-000144</x:v>
      </x:c>
      <x:c r="B145" s="6" t="str">
        <x:v>SVC000144</x:v>
      </x:c>
      <x:c r="C145" s="6" t="str">
        <x:v>SVC000219</x:v>
      </x:c>
      <x:c r="D145" s="6" t="str">
        <x:v>iPhone 12 Battery Replacement</x:v>
      </x:c>
      <x:c r="E145" s="6" t="str">
        <x:v>iPhone 12 Battery Replacement</x:v>
      </x:c>
      <x:c r="F145" s="6" t="str">
        <x:v>iphone 12 battery replacement</x:v>
      </x:c>
      <x:c r="G145" s="6" t="str">
        <x:v>Repair</x:v>
      </x:c>
      <x:c r="H145" s="6" t="str">
        <x:v>Miscellaneous Repair</x:v>
      </x:c>
      <x:c r="I145" s="6" t="str">
        <x:v>Phone</x:v>
      </x:c>
      <x:c r="J145" s="6" t="str">
        <x:v>iPhone 12 Battery Replacement</x:v>
      </x:c>
      <x:c r="K145" s="6" t="str">
        <x:v>Nocturnix_Master_Services_Catalog_v1.xlsx</x:v>
      </x:c>
      <x:c r="L145" s="6" t="str">
        <x:v>01 - Master Services</x:v>
      </x:c>
      <x:c r="M145" s="6" t="n">
        <x:v>184</x:v>
      </x:c>
      <x:c r="N145" s="6" t="str">
        <x:v>CNF000144</x:v>
      </x:c>
      <x:c r="O145" s="6" t="str"/>
      <x:c r="P145" s="6" t="str">
        <x:v>Pending Verification</x:v>
      </x:c>
      <x:c r="Q145" s="6" t="str"/>
      <x:c r="R145" s="6" t="str"/>
      <x:c r="S145" s="6" t="str"/>
      <x:c r="T145" s="6" t="str"/>
      <x:c r="U145" s="6" t="str"/>
      <x:c r="V145" s="6" t="str">
        <x:v>Unresolved</x:v>
      </x:c>
      <x:c r="W145" s="12" t="str"/>
      <x:c r="X145" s="12" t="str"/>
      <x:c r="Y145" s="6" t="str"/>
      <x:c r="Z145" s="6" t="str"/>
      <x:c r="AA145" s="6" t="str">
        <x:v>Pending</x:v>
      </x:c>
      <x:c r="AB145" s="6" t="str"/>
      <x:c r="AC145" s="6" t="str"/>
      <x:c r="AD145" s="12" t="str"/>
    </x:row>
    <x:row r="146">
      <x:c r="A146" s="6" t="str">
        <x:v>SIR-000145</x:v>
      </x:c>
      <x:c r="B146" s="6" t="str">
        <x:v>SVC000145</x:v>
      </x:c>
      <x:c r="C146" s="6" t="str">
        <x:v>SVC000220</x:v>
      </x:c>
      <x:c r="D146" s="6" t="str">
        <x:v>iPhone 12 Pro Max Battery Replacement</x:v>
      </x:c>
      <x:c r="E146" s="6" t="str">
        <x:v>iPhone 12 Pro Max Battery Replacement</x:v>
      </x:c>
      <x:c r="F146" s="6" t="str">
        <x:v>iphone 12 pro max battery replacement</x:v>
      </x:c>
      <x:c r="G146" s="6" t="str">
        <x:v>Repair</x:v>
      </x:c>
      <x:c r="H146" s="6" t="str">
        <x:v>Miscellaneous Repair</x:v>
      </x:c>
      <x:c r="I146" s="6" t="str">
        <x:v>Phone</x:v>
      </x:c>
      <x:c r="J146" s="6" t="str">
        <x:v>iPhone 12 Pro Max Battery Replacement</x:v>
      </x:c>
      <x:c r="K146" s="6" t="str">
        <x:v>Nocturnix_Master_Services_Catalog_v1.xlsx</x:v>
      </x:c>
      <x:c r="L146" s="6" t="str">
        <x:v>01 - Master Services</x:v>
      </x:c>
      <x:c r="M146" s="6" t="n">
        <x:v>185</x:v>
      </x:c>
      <x:c r="N146" s="6" t="str">
        <x:v>CNF000145</x:v>
      </x:c>
      <x:c r="O146" s="6" t="str"/>
      <x:c r="P146" s="6" t="str">
        <x:v>Pending Verification</x:v>
      </x:c>
      <x:c r="Q146" s="6" t="str"/>
      <x:c r="R146" s="6" t="str"/>
      <x:c r="S146" s="6" t="str"/>
      <x:c r="T146" s="6" t="str"/>
      <x:c r="U146" s="6" t="str"/>
      <x:c r="V146" s="6" t="str">
        <x:v>Unresolved</x:v>
      </x:c>
      <x:c r="W146" s="12" t="str"/>
      <x:c r="X146" s="12" t="str"/>
      <x:c r="Y146" s="6" t="str"/>
      <x:c r="Z146" s="6" t="str"/>
      <x:c r="AA146" s="6" t="str">
        <x:v>Pending</x:v>
      </x:c>
      <x:c r="AB146" s="6" t="str"/>
      <x:c r="AC146" s="6" t="str"/>
      <x:c r="AD146" s="12" t="str"/>
    </x:row>
    <x:row r="147">
      <x:c r="A147" s="6" t="str">
        <x:v>SIR-000146</x:v>
      </x:c>
      <x:c r="B147" s="6" t="str">
        <x:v>SVC000146</x:v>
      </x:c>
      <x:c r="C147" s="6" t="str">
        <x:v>SVC000221</x:v>
      </x:c>
      <x:c r="D147" s="6" t="str">
        <x:v>iPhone 12 Pro Battery Replacement</x:v>
      </x:c>
      <x:c r="E147" s="6" t="str">
        <x:v>iPhone 12 Pro Battery Replacement</x:v>
      </x:c>
      <x:c r="F147" s="6" t="str">
        <x:v>iphone 12 pro battery replacement</x:v>
      </x:c>
      <x:c r="G147" s="6" t="str">
        <x:v>Repair</x:v>
      </x:c>
      <x:c r="H147" s="6" t="str">
        <x:v>Miscellaneous Repair</x:v>
      </x:c>
      <x:c r="I147" s="6" t="str">
        <x:v>Phone</x:v>
      </x:c>
      <x:c r="J147" s="6" t="str">
        <x:v>iPhone 12 Pro Battery Replacement</x:v>
      </x:c>
      <x:c r="K147" s="6" t="str">
        <x:v>Nocturnix_Master_Services_Catalog_v1.xlsx</x:v>
      </x:c>
      <x:c r="L147" s="6" t="str">
        <x:v>01 - Master Services</x:v>
      </x:c>
      <x:c r="M147" s="6" t="n">
        <x:v>186</x:v>
      </x:c>
      <x:c r="N147" s="6" t="str">
        <x:v>CNF000146</x:v>
      </x:c>
      <x:c r="O147" s="6" t="str"/>
      <x:c r="P147" s="6" t="str">
        <x:v>Pending Verification</x:v>
      </x:c>
      <x:c r="Q147" s="6" t="str"/>
      <x:c r="R147" s="6" t="str"/>
      <x:c r="S147" s="6" t="str"/>
      <x:c r="T147" s="6" t="str"/>
      <x:c r="U147" s="6" t="str"/>
      <x:c r="V147" s="6" t="str">
        <x:v>Unresolved</x:v>
      </x:c>
      <x:c r="W147" s="12" t="str"/>
      <x:c r="X147" s="12" t="str"/>
      <x:c r="Y147" s="6" t="str"/>
      <x:c r="Z147" s="6" t="str"/>
      <x:c r="AA147" s="6" t="str">
        <x:v>Pending</x:v>
      </x:c>
      <x:c r="AB147" s="6" t="str"/>
      <x:c r="AC147" s="6" t="str"/>
      <x:c r="AD147" s="12" t="str"/>
    </x:row>
    <x:row r="148">
      <x:c r="A148" s="6" t="str">
        <x:v>SIR-000147</x:v>
      </x:c>
      <x:c r="B148" s="6" t="str">
        <x:v>SVC000147</x:v>
      </x:c>
      <x:c r="C148" s="6" t="str">
        <x:v>SVC000222</x:v>
      </x:c>
      <x:c r="D148" s="6" t="str">
        <x:v>iPhone 13 Pro Max Battery Replacement</x:v>
      </x:c>
      <x:c r="E148" s="6" t="str">
        <x:v>iPhone 13 Pro Max Battery Replacement</x:v>
      </x:c>
      <x:c r="F148" s="6" t="str">
        <x:v>iphone 13 pro max battery replacement</x:v>
      </x:c>
      <x:c r="G148" s="6" t="str">
        <x:v>Repair</x:v>
      </x:c>
      <x:c r="H148" s="6" t="str">
        <x:v>Miscellaneous Repair</x:v>
      </x:c>
      <x:c r="I148" s="6" t="str">
        <x:v>Phone</x:v>
      </x:c>
      <x:c r="J148" s="6" t="str">
        <x:v>iPhone 13 Pro Max Battery Replacement</x:v>
      </x:c>
      <x:c r="K148" s="6" t="str">
        <x:v>Nocturnix_Master_Services_Catalog_v1.xlsx</x:v>
      </x:c>
      <x:c r="L148" s="6" t="str">
        <x:v>01 - Master Services</x:v>
      </x:c>
      <x:c r="M148" s="6" t="n">
        <x:v>187</x:v>
      </x:c>
      <x:c r="N148" s="6" t="str">
        <x:v>CNF000147</x:v>
      </x:c>
      <x:c r="O148" s="6" t="str"/>
      <x:c r="P148" s="6" t="str">
        <x:v>Pending Verification</x:v>
      </x:c>
      <x:c r="Q148" s="6" t="str"/>
      <x:c r="R148" s="6" t="str"/>
      <x:c r="S148" s="6" t="str"/>
      <x:c r="T148" s="6" t="str"/>
      <x:c r="U148" s="6" t="str"/>
      <x:c r="V148" s="6" t="str">
        <x:v>Unresolved</x:v>
      </x:c>
      <x:c r="W148" s="12" t="str"/>
      <x:c r="X148" s="12" t="str"/>
      <x:c r="Y148" s="6" t="str"/>
      <x:c r="Z148" s="6" t="str"/>
      <x:c r="AA148" s="6" t="str">
        <x:v>Pending</x:v>
      </x:c>
      <x:c r="AB148" s="6" t="str"/>
      <x:c r="AC148" s="6" t="str"/>
      <x:c r="AD148" s="12" t="str"/>
    </x:row>
    <x:row r="149">
      <x:c r="A149" s="6" t="str">
        <x:v>SIR-000148</x:v>
      </x:c>
      <x:c r="B149" s="6" t="str">
        <x:v>SVC000148</x:v>
      </x:c>
      <x:c r="C149" s="6" t="str">
        <x:v>SVC000223</x:v>
      </x:c>
      <x:c r="D149" s="6" t="str">
        <x:v>iPhone 12 Mini Battery Replacement</x:v>
      </x:c>
      <x:c r="E149" s="6" t="str">
        <x:v>iPhone 12 Mini Battery Replacement</x:v>
      </x:c>
      <x:c r="F149" s="6" t="str">
        <x:v>iphone 12 mini battery replacement</x:v>
      </x:c>
      <x:c r="G149" s="6" t="str">
        <x:v>Repair</x:v>
      </x:c>
      <x:c r="H149" s="6" t="str">
        <x:v>Miscellaneous Repair</x:v>
      </x:c>
      <x:c r="I149" s="6" t="str">
        <x:v>Phone</x:v>
      </x:c>
      <x:c r="J149" s="6" t="str">
        <x:v>iPhone 12 Mini Battery Replacement</x:v>
      </x:c>
      <x:c r="K149" s="6" t="str">
        <x:v>Nocturnix_Master_Services_Catalog_v1.xlsx</x:v>
      </x:c>
      <x:c r="L149" s="6" t="str">
        <x:v>01 - Master Services</x:v>
      </x:c>
      <x:c r="M149" s="6" t="n">
        <x:v>188</x:v>
      </x:c>
      <x:c r="N149" s="6" t="str">
        <x:v>CNF000148</x:v>
      </x:c>
      <x:c r="O149" s="6" t="str"/>
      <x:c r="P149" s="6" t="str">
        <x:v>Pending Verification</x:v>
      </x:c>
      <x:c r="Q149" s="6" t="str"/>
      <x:c r="R149" s="6" t="str"/>
      <x:c r="S149" s="6" t="str"/>
      <x:c r="T149" s="6" t="str"/>
      <x:c r="U149" s="6" t="str"/>
      <x:c r="V149" s="6" t="str">
        <x:v>Unresolved</x:v>
      </x:c>
      <x:c r="W149" s="12" t="str"/>
      <x:c r="X149" s="12" t="str"/>
      <x:c r="Y149" s="6" t="str"/>
      <x:c r="Z149" s="6" t="str"/>
      <x:c r="AA149" s="6" t="str">
        <x:v>Pending</x:v>
      </x:c>
      <x:c r="AB149" s="6" t="str"/>
      <x:c r="AC149" s="6" t="str"/>
      <x:c r="AD149" s="12" t="str"/>
    </x:row>
    <x:row r="150">
      <x:c r="A150" s="6" t="str">
        <x:v>SIR-000149</x:v>
      </x:c>
      <x:c r="B150" s="6" t="str">
        <x:v>SVC000149</x:v>
      </x:c>
      <x:c r="C150" s="6" t="str">
        <x:v>SVC000224</x:v>
      </x:c>
      <x:c r="D150" s="6" t="str">
        <x:v>iPhone 14 Pro Max Battery Replacement</x:v>
      </x:c>
      <x:c r="E150" s="6" t="str">
        <x:v>iPhone 14 Pro Max Battery Replacement</x:v>
      </x:c>
      <x:c r="F150" s="6" t="str">
        <x:v>iphone 14 pro max battery replacement</x:v>
      </x:c>
      <x:c r="G150" s="6" t="str">
        <x:v>Repair</x:v>
      </x:c>
      <x:c r="H150" s="6" t="str">
        <x:v>Miscellaneous Repair</x:v>
      </x:c>
      <x:c r="I150" s="6" t="str">
        <x:v>Phone</x:v>
      </x:c>
      <x:c r="J150" s="6" t="str">
        <x:v>iPhone 14 Pro Max Battery Replacement</x:v>
      </x:c>
      <x:c r="K150" s="6" t="str">
        <x:v>Nocturnix_Master_Services_Catalog_v1.xlsx</x:v>
      </x:c>
      <x:c r="L150" s="6" t="str">
        <x:v>01 - Master Services</x:v>
      </x:c>
      <x:c r="M150" s="6" t="n">
        <x:v>189</x:v>
      </x:c>
      <x:c r="N150" s="6" t="str">
        <x:v>CNF000149</x:v>
      </x:c>
      <x:c r="O150" s="6" t="str"/>
      <x:c r="P150" s="6" t="str">
        <x:v>Pending Verification</x:v>
      </x:c>
      <x:c r="Q150" s="6" t="str"/>
      <x:c r="R150" s="6" t="str"/>
      <x:c r="S150" s="6" t="str"/>
      <x:c r="T150" s="6" t="str"/>
      <x:c r="U150" s="6" t="str"/>
      <x:c r="V150" s="6" t="str">
        <x:v>Unresolved</x:v>
      </x:c>
      <x:c r="W150" s="12" t="str"/>
      <x:c r="X150" s="12" t="str"/>
      <x:c r="Y150" s="6" t="str"/>
      <x:c r="Z150" s="6" t="str"/>
      <x:c r="AA150" s="6" t="str">
        <x:v>Pending</x:v>
      </x:c>
      <x:c r="AB150" s="6" t="str"/>
      <x:c r="AC150" s="6" t="str"/>
      <x:c r="AD150" s="12" t="str"/>
    </x:row>
    <x:row r="151">
      <x:c r="A151" s="6" t="str">
        <x:v>SIR-000150</x:v>
      </x:c>
      <x:c r="B151" s="6" t="str">
        <x:v>SVC000150</x:v>
      </x:c>
      <x:c r="C151" s="6" t="str">
        <x:v>SVC000225</x:v>
      </x:c>
      <x:c r="D151" s="6" t="str">
        <x:v>Galaxy S 21 FE Battery Replacement</x:v>
      </x:c>
      <x:c r="E151" s="6" t="str">
        <x:v>Galaxy S 21 FE Battery Replacement</x:v>
      </x:c>
      <x:c r="F151" s="6" t="str">
        <x:v>galaxy s 21 fe battery replacement</x:v>
      </x:c>
      <x:c r="G151" s="6" t="str">
        <x:v>Repair</x:v>
      </x:c>
      <x:c r="H151" s="6" t="str">
        <x:v>Miscellaneous Repair</x:v>
      </x:c>
      <x:c r="I151" s="6" t="str">
        <x:v>Phone</x:v>
      </x:c>
      <x:c r="J151" s="6" t="str">
        <x:v>Galaxy S 21 FE Battery Replacement</x:v>
      </x:c>
      <x:c r="K151" s="6" t="str">
        <x:v>Nocturnix_Master_Services_Catalog_v1.xlsx</x:v>
      </x:c>
      <x:c r="L151" s="6" t="str">
        <x:v>01 - Master Services</x:v>
      </x:c>
      <x:c r="M151" s="6" t="n">
        <x:v>190</x:v>
      </x:c>
      <x:c r="N151" s="6" t="str">
        <x:v>CNF000150</x:v>
      </x:c>
      <x:c r="O151" s="6" t="str"/>
      <x:c r="P151" s="6" t="str">
        <x:v>Pending Verification</x:v>
      </x:c>
      <x:c r="Q151" s="6" t="str"/>
      <x:c r="R151" s="6" t="str"/>
      <x:c r="S151" s="6" t="str"/>
      <x:c r="T151" s="6" t="str"/>
      <x:c r="U151" s="6" t="str"/>
      <x:c r="V151" s="6" t="str">
        <x:v>Unresolved</x:v>
      </x:c>
      <x:c r="W151" s="12" t="str"/>
      <x:c r="X151" s="12" t="str"/>
      <x:c r="Y151" s="6" t="str"/>
      <x:c r="Z151" s="6" t="str"/>
      <x:c r="AA151" s="6" t="str">
        <x:v>Pending</x:v>
      </x:c>
      <x:c r="AB151" s="6" t="str"/>
      <x:c r="AC151" s="6" t="str"/>
      <x:c r="AD151" s="12" t="str"/>
    </x:row>
    <x:row r="152">
      <x:c r="A152" s="6" t="str">
        <x:v>SIR-000151</x:v>
      </x:c>
      <x:c r="B152" s="6" t="str">
        <x:v>SVC000151</x:v>
      </x:c>
      <x:c r="C152" s="6" t="str">
        <x:v>SVC000226</x:v>
      </x:c>
      <x:c r="D152" s="6" t="str">
        <x:v>Galaxy S 6 Active Battery Replacement</x:v>
      </x:c>
      <x:c r="E152" s="6" t="str">
        <x:v>Galaxy S 6 Active Battery Replacement</x:v>
      </x:c>
      <x:c r="F152" s="6" t="str">
        <x:v>galaxy s 6 active battery replacement</x:v>
      </x:c>
      <x:c r="G152" s="6" t="str">
        <x:v>Repair</x:v>
      </x:c>
      <x:c r="H152" s="6" t="str">
        <x:v>Miscellaneous Repair</x:v>
      </x:c>
      <x:c r="I152" s="6" t="str">
        <x:v>Phone</x:v>
      </x:c>
      <x:c r="J152" s="6" t="str">
        <x:v>Galaxy S 6 Active Battery Replacement</x:v>
      </x:c>
      <x:c r="K152" s="6" t="str">
        <x:v>Nocturnix_Master_Services_Catalog_v1.xlsx</x:v>
      </x:c>
      <x:c r="L152" s="6" t="str">
        <x:v>01 - Master Services</x:v>
      </x:c>
      <x:c r="M152" s="6" t="n">
        <x:v>191</x:v>
      </x:c>
      <x:c r="N152" s="6" t="str">
        <x:v>CNF000151</x:v>
      </x:c>
      <x:c r="O152" s="6" t="str"/>
      <x:c r="P152" s="6" t="str">
        <x:v>Pending Verification</x:v>
      </x:c>
      <x:c r="Q152" s="6" t="str"/>
      <x:c r="R152" s="6" t="str"/>
      <x:c r="S152" s="6" t="str"/>
      <x:c r="T152" s="6" t="str"/>
      <x:c r="U152" s="6" t="str"/>
      <x:c r="V152" s="6" t="str">
        <x:v>Unresolved</x:v>
      </x:c>
      <x:c r="W152" s="12" t="str"/>
      <x:c r="X152" s="12" t="str"/>
      <x:c r="Y152" s="6" t="str"/>
      <x:c r="Z152" s="6" t="str"/>
      <x:c r="AA152" s="6" t="str">
        <x:v>Pending</x:v>
      </x:c>
      <x:c r="AB152" s="6" t="str"/>
      <x:c r="AC152" s="6" t="str"/>
      <x:c r="AD152" s="12" t="str"/>
    </x:row>
    <x:row r="153">
      <x:c r="A153" s="6" t="str">
        <x:v>SIR-000152</x:v>
      </x:c>
      <x:c r="B153" s="6" t="str">
        <x:v>SVC000152</x:v>
      </x:c>
      <x:c r="C153" s="6" t="str">
        <x:v>SVC000227</x:v>
      </x:c>
      <x:c r="D153" s="6" t="str">
        <x:v>Galaxy S 21 Battery Replacement</x:v>
      </x:c>
      <x:c r="E153" s="6" t="str">
        <x:v>Galaxy S 21 Battery Replacement</x:v>
      </x:c>
      <x:c r="F153" s="6" t="str">
        <x:v>galaxy s 21 battery replacement</x:v>
      </x:c>
      <x:c r="G153" s="6" t="str">
        <x:v>Repair</x:v>
      </x:c>
      <x:c r="H153" s="6" t="str">
        <x:v>Miscellaneous Repair</x:v>
      </x:c>
      <x:c r="I153" s="6" t="str">
        <x:v>Phone</x:v>
      </x:c>
      <x:c r="J153" s="6" t="str">
        <x:v>Galaxy S 21 Battery Replacement</x:v>
      </x:c>
      <x:c r="K153" s="6" t="str">
        <x:v>Nocturnix_Master_Services_Catalog_v1.xlsx</x:v>
      </x:c>
      <x:c r="L153" s="6" t="str">
        <x:v>01 - Master Services</x:v>
      </x:c>
      <x:c r="M153" s="6" t="n">
        <x:v>192</x:v>
      </x:c>
      <x:c r="N153" s="6" t="str">
        <x:v>CNF000152</x:v>
      </x:c>
      <x:c r="O153" s="6" t="str"/>
      <x:c r="P153" s="6" t="str">
        <x:v>Pending Verification</x:v>
      </x:c>
      <x:c r="Q153" s="6" t="str"/>
      <x:c r="R153" s="6" t="str"/>
      <x:c r="S153" s="6" t="str"/>
      <x:c r="T153" s="6" t="str"/>
      <x:c r="U153" s="6" t="str"/>
      <x:c r="V153" s="6" t="str">
        <x:v>Unresolved</x:v>
      </x:c>
      <x:c r="W153" s="12" t="str"/>
      <x:c r="X153" s="12" t="str"/>
      <x:c r="Y153" s="6" t="str"/>
      <x:c r="Z153" s="6" t="str"/>
      <x:c r="AA153" s="6" t="str">
        <x:v>Pending</x:v>
      </x:c>
      <x:c r="AB153" s="6" t="str"/>
      <x:c r="AC153" s="6" t="str"/>
      <x:c r="AD153" s="12" t="str"/>
    </x:row>
    <x:row r="154">
      <x:c r="A154" s="6" t="str">
        <x:v>SIR-000153</x:v>
      </x:c>
      <x:c r="B154" s="6" t="str">
        <x:v>SVC000153</x:v>
      </x:c>
      <x:c r="C154" s="6" t="str">
        <x:v>SVC000228</x:v>
      </x:c>
      <x:c r="D154" s="6" t="str">
        <x:v>Galaxy S 6 Battery Replacement</x:v>
      </x:c>
      <x:c r="E154" s="6" t="str">
        <x:v>Galaxy S 6 Battery Replacement</x:v>
      </x:c>
      <x:c r="F154" s="6" t="str">
        <x:v>galaxy s 6 battery replacement</x:v>
      </x:c>
      <x:c r="G154" s="6" t="str">
        <x:v>Repair</x:v>
      </x:c>
      <x:c r="H154" s="6" t="str">
        <x:v>Miscellaneous Repair</x:v>
      </x:c>
      <x:c r="I154" s="6" t="str">
        <x:v>Phone</x:v>
      </x:c>
      <x:c r="J154" s="6" t="str">
        <x:v>Galaxy S 6 Battery Replacement</x:v>
      </x:c>
      <x:c r="K154" s="6" t="str">
        <x:v>Nocturnix_Master_Services_Catalog_v1.xlsx</x:v>
      </x:c>
      <x:c r="L154" s="6" t="str">
        <x:v>01 - Master Services</x:v>
      </x:c>
      <x:c r="M154" s="6" t="n">
        <x:v>193</x:v>
      </x:c>
      <x:c r="N154" s="6" t="str">
        <x:v>CNF000153</x:v>
      </x:c>
      <x:c r="O154" s="6" t="str"/>
      <x:c r="P154" s="6" t="str">
        <x:v>Pending Verification</x:v>
      </x:c>
      <x:c r="Q154" s="6" t="str"/>
      <x:c r="R154" s="6" t="str"/>
      <x:c r="S154" s="6" t="str"/>
      <x:c r="T154" s="6" t="str"/>
      <x:c r="U154" s="6" t="str"/>
      <x:c r="V154" s="6" t="str">
        <x:v>Unresolved</x:v>
      </x:c>
      <x:c r="W154" s="12" t="str"/>
      <x:c r="X154" s="12" t="str"/>
      <x:c r="Y154" s="6" t="str"/>
      <x:c r="Z154" s="6" t="str"/>
      <x:c r="AA154" s="6" t="str">
        <x:v>Pending</x:v>
      </x:c>
      <x:c r="AB154" s="6" t="str"/>
      <x:c r="AC154" s="6" t="str"/>
      <x:c r="AD154" s="12" t="str"/>
    </x:row>
    <x:row r="155">
      <x:c r="A155" s="6" t="str">
        <x:v>SIR-000154</x:v>
      </x:c>
      <x:c r="B155" s="6" t="str">
        <x:v>SVC000154</x:v>
      </x:c>
      <x:c r="C155" s="6" t="str">
        <x:v>SVC000229</x:v>
      </x:c>
      <x:c r="D155" s="6" t="str">
        <x:v>Galaxy S 6 Edge Plus Battery Replacement</x:v>
      </x:c>
      <x:c r="E155" s="6" t="str">
        <x:v>Galaxy S 6 Edge Plus Battery Replacement</x:v>
      </x:c>
      <x:c r="F155" s="6" t="str">
        <x:v>galaxy s 6 edge plus battery replacement</x:v>
      </x:c>
      <x:c r="G155" s="6" t="str">
        <x:v>Repair</x:v>
      </x:c>
      <x:c r="H155" s="6" t="str">
        <x:v>Miscellaneous Repair</x:v>
      </x:c>
      <x:c r="I155" s="6" t="str">
        <x:v>Phone</x:v>
      </x:c>
      <x:c r="J155" s="6" t="str">
        <x:v>Galaxy S 6 Edge Plus Battery Replacement</x:v>
      </x:c>
      <x:c r="K155" s="6" t="str">
        <x:v>Nocturnix_Master_Services_Catalog_v1.xlsx</x:v>
      </x:c>
      <x:c r="L155" s="6" t="str">
        <x:v>01 - Master Services</x:v>
      </x:c>
      <x:c r="M155" s="6" t="n">
        <x:v>194</x:v>
      </x:c>
      <x:c r="N155" s="6" t="str">
        <x:v>CNF000154</x:v>
      </x:c>
      <x:c r="O155" s="6" t="str"/>
      <x:c r="P155" s="6" t="str">
        <x:v>Pending Verification</x:v>
      </x:c>
      <x:c r="Q155" s="6" t="str"/>
      <x:c r="R155" s="6" t="str"/>
      <x:c r="S155" s="6" t="str"/>
      <x:c r="T155" s="6" t="str"/>
      <x:c r="U155" s="6" t="str"/>
      <x:c r="V155" s="6" t="str">
        <x:v>Unresolved</x:v>
      </x:c>
      <x:c r="W155" s="12" t="str"/>
      <x:c r="X155" s="12" t="str"/>
      <x:c r="Y155" s="6" t="str"/>
      <x:c r="Z155" s="6" t="str"/>
      <x:c r="AA155" s="6" t="str">
        <x:v>Pending</x:v>
      </x:c>
      <x:c r="AB155" s="6" t="str"/>
      <x:c r="AC155" s="6" t="str"/>
      <x:c r="AD155" s="12" t="str"/>
    </x:row>
    <x:row r="156">
      <x:c r="A156" s="6" t="str">
        <x:v>SIR-000155</x:v>
      </x:c>
      <x:c r="B156" s="6" t="str">
        <x:v>SVC000155</x:v>
      </x:c>
      <x:c r="C156" s="6" t="str">
        <x:v>SVC000230</x:v>
      </x:c>
      <x:c r="D156" s="6" t="str">
        <x:v>Galaxy S 7 Active Battery Replacement</x:v>
      </x:c>
      <x:c r="E156" s="6" t="str">
        <x:v>Galaxy S 7 Active Battery Replacement</x:v>
      </x:c>
      <x:c r="F156" s="6" t="str">
        <x:v>galaxy s 7 active battery replacement</x:v>
      </x:c>
      <x:c r="G156" s="6" t="str">
        <x:v>Repair</x:v>
      </x:c>
      <x:c r="H156" s="6" t="str">
        <x:v>Miscellaneous Repair</x:v>
      </x:c>
      <x:c r="I156" s="6" t="str">
        <x:v>Phone</x:v>
      </x:c>
      <x:c r="J156" s="6" t="str">
        <x:v>Galaxy S 7 Active Battery Replacement</x:v>
      </x:c>
      <x:c r="K156" s="6" t="str">
        <x:v>Nocturnix_Master_Services_Catalog_v1.xlsx</x:v>
      </x:c>
      <x:c r="L156" s="6" t="str">
        <x:v>01 - Master Services</x:v>
      </x:c>
      <x:c r="M156" s="6" t="n">
        <x:v>195</x:v>
      </x:c>
      <x:c r="N156" s="6" t="str">
        <x:v>CNF000155</x:v>
      </x:c>
      <x:c r="O156" s="6" t="str"/>
      <x:c r="P156" s="6" t="str">
        <x:v>Pending Verification</x:v>
      </x:c>
      <x:c r="Q156" s="6" t="str"/>
      <x:c r="R156" s="6" t="str"/>
      <x:c r="S156" s="6" t="str"/>
      <x:c r="T156" s="6" t="str"/>
      <x:c r="U156" s="6" t="str"/>
      <x:c r="V156" s="6" t="str">
        <x:v>Unresolved</x:v>
      </x:c>
      <x:c r="W156" s="12" t="str"/>
      <x:c r="X156" s="12" t="str"/>
      <x:c r="Y156" s="6" t="str"/>
      <x:c r="Z156" s="6" t="str"/>
      <x:c r="AA156" s="6" t="str">
        <x:v>Pending</x:v>
      </x:c>
      <x:c r="AB156" s="6" t="str"/>
      <x:c r="AC156" s="6" t="str"/>
      <x:c r="AD156" s="12" t="str"/>
    </x:row>
    <x:row r="157">
      <x:c r="A157" s="6" t="str">
        <x:v>SIR-000156</x:v>
      </x:c>
      <x:c r="B157" s="6" t="str">
        <x:v>SVC000156</x:v>
      </x:c>
      <x:c r="C157" s="6" t="str">
        <x:v>SVC000231</x:v>
      </x:c>
      <x:c r="D157" s="6" t="str">
        <x:v>Galaxy S 8 Battery Replacement</x:v>
      </x:c>
      <x:c r="E157" s="6" t="str">
        <x:v>Galaxy S 8 Battery Replacement</x:v>
      </x:c>
      <x:c r="F157" s="6" t="str">
        <x:v>galaxy s 8 battery replacement</x:v>
      </x:c>
      <x:c r="G157" s="6" t="str">
        <x:v>Repair</x:v>
      </x:c>
      <x:c r="H157" s="6" t="str">
        <x:v>Miscellaneous Repair</x:v>
      </x:c>
      <x:c r="I157" s="6" t="str">
        <x:v>Phone</x:v>
      </x:c>
      <x:c r="J157" s="6" t="str">
        <x:v>Galaxy S 8 Battery Replacement</x:v>
      </x:c>
      <x:c r="K157" s="6" t="str">
        <x:v>Nocturnix_Master_Services_Catalog_v1.xlsx</x:v>
      </x:c>
      <x:c r="L157" s="6" t="str">
        <x:v>01 - Master Services</x:v>
      </x:c>
      <x:c r="M157" s="6" t="n">
        <x:v>196</x:v>
      </x:c>
      <x:c r="N157" s="6" t="str">
        <x:v>CNF000156</x:v>
      </x:c>
      <x:c r="O157" s="6" t="str"/>
      <x:c r="P157" s="6" t="str">
        <x:v>Pending Verification</x:v>
      </x:c>
      <x:c r="Q157" s="6" t="str"/>
      <x:c r="R157" s="6" t="str"/>
      <x:c r="S157" s="6" t="str"/>
      <x:c r="T157" s="6" t="str"/>
      <x:c r="U157" s="6" t="str"/>
      <x:c r="V157" s="6" t="str">
        <x:v>Unresolved</x:v>
      </x:c>
      <x:c r="W157" s="12" t="str"/>
      <x:c r="X157" s="12" t="str"/>
      <x:c r="Y157" s="6" t="str"/>
      <x:c r="Z157" s="6" t="str"/>
      <x:c r="AA157" s="6" t="str">
        <x:v>Pending</x:v>
      </x:c>
      <x:c r="AB157" s="6" t="str"/>
      <x:c r="AC157" s="6" t="str"/>
      <x:c r="AD157" s="12" t="str"/>
    </x:row>
    <x:row r="158">
      <x:c r="A158" s="6" t="str">
        <x:v>SIR-000157</x:v>
      </x:c>
      <x:c r="B158" s="6" t="str">
        <x:v>SVC000157</x:v>
      </x:c>
      <x:c r="C158" s="6" t="str">
        <x:v>SVC000232</x:v>
      </x:c>
      <x:c r="D158" s="6" t="str">
        <x:v>Galaxy S 9 Battery Replacement</x:v>
      </x:c>
      <x:c r="E158" s="6" t="str">
        <x:v>Galaxy S 9 Battery Replacement</x:v>
      </x:c>
      <x:c r="F158" s="6" t="str">
        <x:v>galaxy s 9 battery replacement</x:v>
      </x:c>
      <x:c r="G158" s="6" t="str">
        <x:v>Repair</x:v>
      </x:c>
      <x:c r="H158" s="6" t="str">
        <x:v>Miscellaneous Repair</x:v>
      </x:c>
      <x:c r="I158" s="6" t="str">
        <x:v>Phone</x:v>
      </x:c>
      <x:c r="J158" s="6" t="str">
        <x:v>Galaxy S 9 Battery Replacement</x:v>
      </x:c>
      <x:c r="K158" s="6" t="str">
        <x:v>Nocturnix_Master_Services_Catalog_v1.xlsx</x:v>
      </x:c>
      <x:c r="L158" s="6" t="str">
        <x:v>01 - Master Services</x:v>
      </x:c>
      <x:c r="M158" s="6" t="n">
        <x:v>197</x:v>
      </x:c>
      <x:c r="N158" s="6" t="str">
        <x:v>CNF000157</x:v>
      </x:c>
      <x:c r="O158" s="6" t="str"/>
      <x:c r="P158" s="6" t="str">
        <x:v>Pending Verification</x:v>
      </x:c>
      <x:c r="Q158" s="6" t="str"/>
      <x:c r="R158" s="6" t="str"/>
      <x:c r="S158" s="6" t="str"/>
      <x:c r="T158" s="6" t="str"/>
      <x:c r="U158" s="6" t="str"/>
      <x:c r="V158" s="6" t="str">
        <x:v>Unresolved</x:v>
      </x:c>
      <x:c r="W158" s="12" t="str"/>
      <x:c r="X158" s="12" t="str"/>
      <x:c r="Y158" s="6" t="str"/>
      <x:c r="Z158" s="6" t="str"/>
      <x:c r="AA158" s="6" t="str">
        <x:v>Pending</x:v>
      </x:c>
      <x:c r="AB158" s="6" t="str"/>
      <x:c r="AC158" s="6" t="str"/>
      <x:c r="AD158" s="12" t="str"/>
    </x:row>
    <x:row r="159">
      <x:c r="A159" s="6" t="str">
        <x:v>SIR-000158</x:v>
      </x:c>
      <x:c r="B159" s="6" t="str">
        <x:v>SVC000158</x:v>
      </x:c>
      <x:c r="C159" s="6" t="str">
        <x:v>SVC000233</x:v>
      </x:c>
      <x:c r="D159" s="6" t="str">
        <x:v>Galaxy S 20 FE Battery Replacement</x:v>
      </x:c>
      <x:c r="E159" s="6" t="str">
        <x:v>Galaxy S 20 FE Battery Replacement</x:v>
      </x:c>
      <x:c r="F159" s="6" t="str">
        <x:v>galaxy s 20 fe battery replacement</x:v>
      </x:c>
      <x:c r="G159" s="6" t="str">
        <x:v>Repair</x:v>
      </x:c>
      <x:c r="H159" s="6" t="str">
        <x:v>Miscellaneous Repair</x:v>
      </x:c>
      <x:c r="I159" s="6" t="str">
        <x:v>Phone</x:v>
      </x:c>
      <x:c r="J159" s="6" t="str">
        <x:v>Galaxy S 20 FE Battery Replacement</x:v>
      </x:c>
      <x:c r="K159" s="6" t="str">
        <x:v>Nocturnix_Master_Services_Catalog_v1.xlsx</x:v>
      </x:c>
      <x:c r="L159" s="6" t="str">
        <x:v>01 - Master Services</x:v>
      </x:c>
      <x:c r="M159" s="6" t="n">
        <x:v>198</x:v>
      </x:c>
      <x:c r="N159" s="6" t="str">
        <x:v>CNF000158</x:v>
      </x:c>
      <x:c r="O159" s="6" t="str"/>
      <x:c r="P159" s="6" t="str">
        <x:v>Pending Verification</x:v>
      </x:c>
      <x:c r="Q159" s="6" t="str"/>
      <x:c r="R159" s="6" t="str"/>
      <x:c r="S159" s="6" t="str"/>
      <x:c r="T159" s="6" t="str"/>
      <x:c r="U159" s="6" t="str"/>
      <x:c r="V159" s="6" t="str">
        <x:v>Unresolved</x:v>
      </x:c>
      <x:c r="W159" s="12" t="str"/>
      <x:c r="X159" s="12" t="str"/>
      <x:c r="Y159" s="6" t="str"/>
      <x:c r="Z159" s="6" t="str"/>
      <x:c r="AA159" s="6" t="str">
        <x:v>Pending</x:v>
      </x:c>
      <x:c r="AB159" s="6" t="str"/>
      <x:c r="AC159" s="6" t="str"/>
      <x:c r="AD159" s="12" t="str"/>
    </x:row>
    <x:row r="160">
      <x:c r="A160" s="6" t="str">
        <x:v>SIR-000159</x:v>
      </x:c>
      <x:c r="B160" s="6" t="str">
        <x:v>SVC000159</x:v>
      </x:c>
      <x:c r="C160" s="6" t="str">
        <x:v>SVC000234</x:v>
      </x:c>
      <x:c r="D160" s="6" t="str">
        <x:v>Galaxy S Classic Battery Replacement</x:v>
      </x:c>
      <x:c r="E160" s="6" t="str">
        <x:v>Galaxy S Classic Battery Replacement</x:v>
      </x:c>
      <x:c r="F160" s="6" t="str">
        <x:v>galaxy s classic battery replacement</x:v>
      </x:c>
      <x:c r="G160" s="6" t="str">
        <x:v>Repair</x:v>
      </x:c>
      <x:c r="H160" s="6" t="str">
        <x:v>Miscellaneous Repair</x:v>
      </x:c>
      <x:c r="I160" s="6" t="str">
        <x:v>Phone</x:v>
      </x:c>
      <x:c r="J160" s="6" t="str">
        <x:v>Galaxy S Classic Battery Replacement</x:v>
      </x:c>
      <x:c r="K160" s="6" t="str">
        <x:v>Nocturnix_Master_Services_Catalog_v1.xlsx</x:v>
      </x:c>
      <x:c r="L160" s="6" t="str">
        <x:v>01 - Master Services</x:v>
      </x:c>
      <x:c r="M160" s="6" t="n">
        <x:v>199</x:v>
      </x:c>
      <x:c r="N160" s="6" t="str">
        <x:v>CNF000159</x:v>
      </x:c>
      <x:c r="O160" s="6" t="str"/>
      <x:c r="P160" s="6" t="str">
        <x:v>Pending Verification</x:v>
      </x:c>
      <x:c r="Q160" s="6" t="str"/>
      <x:c r="R160" s="6" t="str"/>
      <x:c r="S160" s="6" t="str"/>
      <x:c r="T160" s="6" t="str"/>
      <x:c r="U160" s="6" t="str"/>
      <x:c r="V160" s="6" t="str">
        <x:v>Unresolved</x:v>
      </x:c>
      <x:c r="W160" s="12" t="str"/>
      <x:c r="X160" s="12" t="str"/>
      <x:c r="Y160" s="6" t="str"/>
      <x:c r="Z160" s="6" t="str"/>
      <x:c r="AA160" s="6" t="str">
        <x:v>Pending</x:v>
      </x:c>
      <x:c r="AB160" s="6" t="str"/>
      <x:c r="AC160" s="6" t="str"/>
      <x:c r="AD160" s="12" t="str"/>
    </x:row>
    <x:row r="161">
      <x:c r="A161" s="6" t="str">
        <x:v>SIR-000160</x:v>
      </x:c>
      <x:c r="B161" s="6" t="str">
        <x:v>SVC000160</x:v>
      </x:c>
      <x:c r="C161" s="6" t="str">
        <x:v>SVC000235</x:v>
      </x:c>
      <x:c r="D161" s="6" t="str">
        <x:v>Galaxy S2 Battery Replacement</x:v>
      </x:c>
      <x:c r="E161" s="6" t="str">
        <x:v>Galaxy S2 Battery Replacement</x:v>
      </x:c>
      <x:c r="F161" s="6" t="str">
        <x:v>galaxy s2 battery replacement</x:v>
      </x:c>
      <x:c r="G161" s="6" t="str">
        <x:v>Repair</x:v>
      </x:c>
      <x:c r="H161" s="6" t="str">
        <x:v>Miscellaneous Repair</x:v>
      </x:c>
      <x:c r="I161" s="6" t="str">
        <x:v>Phone</x:v>
      </x:c>
      <x:c r="J161" s="6" t="str">
        <x:v>Galaxy S2 Battery Replacement</x:v>
      </x:c>
      <x:c r="K161" s="6" t="str">
        <x:v>Nocturnix_Master_Services_Catalog_v1.xlsx</x:v>
      </x:c>
      <x:c r="L161" s="6" t="str">
        <x:v>01 - Master Services</x:v>
      </x:c>
      <x:c r="M161" s="6" t="n">
        <x:v>200</x:v>
      </x:c>
      <x:c r="N161" s="6" t="str">
        <x:v>CNF000160</x:v>
      </x:c>
      <x:c r="O161" s="6" t="str"/>
      <x:c r="P161" s="6" t="str">
        <x:v>Pending Verification</x:v>
      </x:c>
      <x:c r="Q161" s="6" t="str"/>
      <x:c r="R161" s="6" t="str"/>
      <x:c r="S161" s="6" t="str"/>
      <x:c r="T161" s="6" t="str"/>
      <x:c r="U161" s="6" t="str"/>
      <x:c r="V161" s="6" t="str">
        <x:v>Unresolved</x:v>
      </x:c>
      <x:c r="W161" s="12" t="str"/>
      <x:c r="X161" s="12" t="str"/>
      <x:c r="Y161" s="6" t="str"/>
      <x:c r="Z161" s="6" t="str"/>
      <x:c r="AA161" s="6" t="str">
        <x:v>Pending</x:v>
      </x:c>
      <x:c r="AB161" s="6" t="str"/>
      <x:c r="AC161" s="6" t="str"/>
      <x:c r="AD161" s="12" t="str"/>
    </x:row>
    <x:row r="162">
      <x:c r="A162" s="6" t="str">
        <x:v>SIR-000161</x:v>
      </x:c>
      <x:c r="B162" s="6" t="str">
        <x:v>SVC000161</x:v>
      </x:c>
      <x:c r="C162" s="6" t="str">
        <x:v>SVC000236</x:v>
      </x:c>
      <x:c r="D162" s="6" t="str">
        <x:v>Galaxy S3 Battery Replacement</x:v>
      </x:c>
      <x:c r="E162" s="6" t="str">
        <x:v>Galaxy S3 Battery Replacement</x:v>
      </x:c>
      <x:c r="F162" s="6" t="str">
        <x:v>galaxy s3 battery replacement</x:v>
      </x:c>
      <x:c r="G162" s="6" t="str">
        <x:v>Repair</x:v>
      </x:c>
      <x:c r="H162" s="6" t="str">
        <x:v>Miscellaneous Repair</x:v>
      </x:c>
      <x:c r="I162" s="6" t="str">
        <x:v>Phone</x:v>
      </x:c>
      <x:c r="J162" s="6" t="str">
        <x:v>Galaxy S3 Battery Replacement</x:v>
      </x:c>
      <x:c r="K162" s="6" t="str">
        <x:v>Nocturnix_Master_Services_Catalog_v1.xlsx</x:v>
      </x:c>
      <x:c r="L162" s="6" t="str">
        <x:v>01 - Master Services</x:v>
      </x:c>
      <x:c r="M162" s="6" t="n">
        <x:v>201</x:v>
      </x:c>
      <x:c r="N162" s="6" t="str">
        <x:v>CNF000161</x:v>
      </x:c>
      <x:c r="O162" s="6" t="str"/>
      <x:c r="P162" s="6" t="str">
        <x:v>Pending Verification</x:v>
      </x:c>
      <x:c r="Q162" s="6" t="str"/>
      <x:c r="R162" s="6" t="str"/>
      <x:c r="S162" s="6" t="str"/>
      <x:c r="T162" s="6" t="str"/>
      <x:c r="U162" s="6" t="str"/>
      <x:c r="V162" s="6" t="str">
        <x:v>Unresolved</x:v>
      </x:c>
      <x:c r="W162" s="12" t="str"/>
      <x:c r="X162" s="12" t="str"/>
      <x:c r="Y162" s="6" t="str"/>
      <x:c r="Z162" s="6" t="str"/>
      <x:c r="AA162" s="6" t="str">
        <x:v>Pending</x:v>
      </x:c>
      <x:c r="AB162" s="6" t="str"/>
      <x:c r="AC162" s="6" t="str"/>
      <x:c r="AD162" s="12" t="str"/>
    </x:row>
    <x:row r="163">
      <x:c r="A163" s="6" t="str">
        <x:v>SIR-000162</x:v>
      </x:c>
      <x:c r="B163" s="6" t="str">
        <x:v>SVC000162</x:v>
      </x:c>
      <x:c r="C163" s="6" t="str">
        <x:v>SVC000237</x:v>
      </x:c>
      <x:c r="D163" s="6" t="str">
        <x:v>Galaxy S3 Mini Battery Replacement</x:v>
      </x:c>
      <x:c r="E163" s="6" t="str">
        <x:v>Galaxy S3 Mini Battery Replacement</x:v>
      </x:c>
      <x:c r="F163" s="6" t="str">
        <x:v>galaxy s3 mini battery replacement</x:v>
      </x:c>
      <x:c r="G163" s="6" t="str">
        <x:v>Repair</x:v>
      </x:c>
      <x:c r="H163" s="6" t="str">
        <x:v>Miscellaneous Repair</x:v>
      </x:c>
      <x:c r="I163" s="6" t="str">
        <x:v>Phone</x:v>
      </x:c>
      <x:c r="J163" s="6" t="str">
        <x:v>Galaxy S3 Mini Battery Replacement</x:v>
      </x:c>
      <x:c r="K163" s="6" t="str">
        <x:v>Nocturnix_Master_Services_Catalog_v1.xlsx</x:v>
      </x:c>
      <x:c r="L163" s="6" t="str">
        <x:v>01 - Master Services</x:v>
      </x:c>
      <x:c r="M163" s="6" t="n">
        <x:v>202</x:v>
      </x:c>
      <x:c r="N163" s="6" t="str">
        <x:v>CNF000162</x:v>
      </x:c>
      <x:c r="O163" s="6" t="str"/>
      <x:c r="P163" s="6" t="str">
        <x:v>Pending Verification</x:v>
      </x:c>
      <x:c r="Q163" s="6" t="str"/>
      <x:c r="R163" s="6" t="str"/>
      <x:c r="S163" s="6" t="str"/>
      <x:c r="T163" s="6" t="str"/>
      <x:c r="U163" s="6" t="str"/>
      <x:c r="V163" s="6" t="str">
        <x:v>Unresolved</x:v>
      </x:c>
      <x:c r="W163" s="12" t="str"/>
      <x:c r="X163" s="12" t="str"/>
      <x:c r="Y163" s="6" t="str"/>
      <x:c r="Z163" s="6" t="str"/>
      <x:c r="AA163" s="6" t="str">
        <x:v>Pending</x:v>
      </x:c>
      <x:c r="AB163" s="6" t="str"/>
      <x:c r="AC163" s="6" t="str"/>
      <x:c r="AD163" s="12" t="str"/>
    </x:row>
    <x:row r="164">
      <x:c r="A164" s="6" t="str">
        <x:v>SIR-000163</x:v>
      </x:c>
      <x:c r="B164" s="6" t="str">
        <x:v>SVC000163</x:v>
      </x:c>
      <x:c r="C164" s="6" t="str">
        <x:v>SVC000238</x:v>
      </x:c>
      <x:c r="D164" s="6" t="str">
        <x:v>Galaxy S3 Neo Battery Replacement</x:v>
      </x:c>
      <x:c r="E164" s="6" t="str">
        <x:v>Galaxy S3 Neo Battery Replacement</x:v>
      </x:c>
      <x:c r="F164" s="6" t="str">
        <x:v>galaxy s3 neo battery replacement</x:v>
      </x:c>
      <x:c r="G164" s="6" t="str">
        <x:v>Repair</x:v>
      </x:c>
      <x:c r="H164" s="6" t="str">
        <x:v>Miscellaneous Repair</x:v>
      </x:c>
      <x:c r="I164" s="6" t="str">
        <x:v>Phone</x:v>
      </x:c>
      <x:c r="J164" s="6" t="str">
        <x:v>Galaxy S3 Neo Battery Replacement</x:v>
      </x:c>
      <x:c r="K164" s="6" t="str">
        <x:v>Nocturnix_Master_Services_Catalog_v1.xlsx</x:v>
      </x:c>
      <x:c r="L164" s="6" t="str">
        <x:v>01 - Master Services</x:v>
      </x:c>
      <x:c r="M164" s="6" t="n">
        <x:v>203</x:v>
      </x:c>
      <x:c r="N164" s="6" t="str">
        <x:v>CNF000163</x:v>
      </x:c>
      <x:c r="O164" s="6" t="str"/>
      <x:c r="P164" s="6" t="str">
        <x:v>Pending Verification</x:v>
      </x:c>
      <x:c r="Q164" s="6" t="str"/>
      <x:c r="R164" s="6" t="str"/>
      <x:c r="S164" s="6" t="str"/>
      <x:c r="T164" s="6" t="str"/>
      <x:c r="U164" s="6" t="str"/>
      <x:c r="V164" s="6" t="str">
        <x:v>Unresolved</x:v>
      </x:c>
      <x:c r="W164" s="12" t="str"/>
      <x:c r="X164" s="12" t="str"/>
      <x:c r="Y164" s="6" t="str"/>
      <x:c r="Z164" s="6" t="str"/>
      <x:c r="AA164" s="6" t="str">
        <x:v>Pending</x:v>
      </x:c>
      <x:c r="AB164" s="6" t="str"/>
      <x:c r="AC164" s="6" t="str"/>
      <x:c r="AD164" s="12" t="str"/>
    </x:row>
    <x:row r="165">
      <x:c r="A165" s="6" t="str">
        <x:v>SIR-000164</x:v>
      </x:c>
      <x:c r="B165" s="6" t="str">
        <x:v>SVC000164</x:v>
      </x:c>
      <x:c r="C165" s="6" t="str">
        <x:v>SVC000239</x:v>
      </x:c>
      <x:c r="D165" s="6" t="str">
        <x:v>Galaxy S4 Battery Replacement</x:v>
      </x:c>
      <x:c r="E165" s="6" t="str">
        <x:v>Galaxy S4 Battery Replacement</x:v>
      </x:c>
      <x:c r="F165" s="6" t="str">
        <x:v>galaxy s4 battery replacement</x:v>
      </x:c>
      <x:c r="G165" s="6" t="str">
        <x:v>Repair</x:v>
      </x:c>
      <x:c r="H165" s="6" t="str">
        <x:v>Miscellaneous Repair</x:v>
      </x:c>
      <x:c r="I165" s="6" t="str">
        <x:v>Phone</x:v>
      </x:c>
      <x:c r="J165" s="6" t="str">
        <x:v>Galaxy S4 Battery Replacement</x:v>
      </x:c>
      <x:c r="K165" s="6" t="str">
        <x:v>Nocturnix_Master_Services_Catalog_v1.xlsx</x:v>
      </x:c>
      <x:c r="L165" s="6" t="str">
        <x:v>01 - Master Services</x:v>
      </x:c>
      <x:c r="M165" s="6" t="n">
        <x:v>204</x:v>
      </x:c>
      <x:c r="N165" s="6" t="str">
        <x:v>CNF000164</x:v>
      </x:c>
      <x:c r="O165" s="6" t="str"/>
      <x:c r="P165" s="6" t="str">
        <x:v>Pending Verification</x:v>
      </x:c>
      <x:c r="Q165" s="6" t="str"/>
      <x:c r="R165" s="6" t="str"/>
      <x:c r="S165" s="6" t="str"/>
      <x:c r="T165" s="6" t="str"/>
      <x:c r="U165" s="6" t="str"/>
      <x:c r="V165" s="6" t="str">
        <x:v>Unresolved</x:v>
      </x:c>
      <x:c r="W165" s="12" t="str"/>
      <x:c r="X165" s="12" t="str"/>
      <x:c r="Y165" s="6" t="str"/>
      <x:c r="Z165" s="6" t="str"/>
      <x:c r="AA165" s="6" t="str">
        <x:v>Pending</x:v>
      </x:c>
      <x:c r="AB165" s="6" t="str"/>
      <x:c r="AC165" s="6" t="str"/>
      <x:c r="AD165" s="12" t="str"/>
    </x:row>
    <x:row r="166">
      <x:c r="A166" s="6" t="str">
        <x:v>SIR-000165</x:v>
      </x:c>
      <x:c r="B166" s="6" t="str">
        <x:v>SVC000165</x:v>
      </x:c>
      <x:c r="C166" s="6" t="str">
        <x:v>SVC000240</x:v>
      </x:c>
      <x:c r="D166" s="6" t="str">
        <x:v>Galaxy S 4 Active Battery Replacement</x:v>
      </x:c>
      <x:c r="E166" s="6" t="str">
        <x:v>Galaxy S 4 Active Battery Replacement</x:v>
      </x:c>
      <x:c r="F166" s="6" t="str">
        <x:v>galaxy s 4 active battery replacement</x:v>
      </x:c>
      <x:c r="G166" s="6" t="str">
        <x:v>Repair</x:v>
      </x:c>
      <x:c r="H166" s="6" t="str">
        <x:v>Miscellaneous Repair</x:v>
      </x:c>
      <x:c r="I166" s="6" t="str">
        <x:v>Phone</x:v>
      </x:c>
      <x:c r="J166" s="6" t="str">
        <x:v>Galaxy S 4 Active Battery Replacement</x:v>
      </x:c>
      <x:c r="K166" s="6" t="str">
        <x:v>Nocturnix_Master_Services_Catalog_v1.xlsx</x:v>
      </x:c>
      <x:c r="L166" s="6" t="str">
        <x:v>01 - Master Services</x:v>
      </x:c>
      <x:c r="M166" s="6" t="n">
        <x:v>205</x:v>
      </x:c>
      <x:c r="N166" s="6" t="str">
        <x:v>CNF000165</x:v>
      </x:c>
      <x:c r="O166" s="6" t="str"/>
      <x:c r="P166" s="6" t="str">
        <x:v>Pending Verification</x:v>
      </x:c>
      <x:c r="Q166" s="6" t="str"/>
      <x:c r="R166" s="6" t="str"/>
      <x:c r="S166" s="6" t="str"/>
      <x:c r="T166" s="6" t="str"/>
      <x:c r="U166" s="6" t="str"/>
      <x:c r="V166" s="6" t="str">
        <x:v>Unresolved</x:v>
      </x:c>
      <x:c r="W166" s="12" t="str"/>
      <x:c r="X166" s="12" t="str"/>
      <x:c r="Y166" s="6" t="str"/>
      <x:c r="Z166" s="6" t="str"/>
      <x:c r="AA166" s="6" t="str">
        <x:v>Pending</x:v>
      </x:c>
      <x:c r="AB166" s="6" t="str"/>
      <x:c r="AC166" s="6" t="str"/>
      <x:c r="AD166" s="12" t="str"/>
    </x:row>
    <x:row r="167">
      <x:c r="A167" s="6" t="str">
        <x:v>SIR-000166</x:v>
      </x:c>
      <x:c r="B167" s="6" t="str">
        <x:v>SVC000166</x:v>
      </x:c>
      <x:c r="C167" s="6" t="str">
        <x:v>SVC000241</x:v>
      </x:c>
      <x:c r="D167" s="6" t="str">
        <x:v>Galaxy S 5 Battery Replacement</x:v>
      </x:c>
      <x:c r="E167" s="6" t="str">
        <x:v>Galaxy S 5 Battery Replacement</x:v>
      </x:c>
      <x:c r="F167" s="6" t="str">
        <x:v>galaxy s 5 battery replacement</x:v>
      </x:c>
      <x:c r="G167" s="6" t="str">
        <x:v>Repair</x:v>
      </x:c>
      <x:c r="H167" s="6" t="str">
        <x:v>Miscellaneous Repair</x:v>
      </x:c>
      <x:c r="I167" s="6" t="str">
        <x:v>Phone</x:v>
      </x:c>
      <x:c r="J167" s="6" t="str">
        <x:v>Galaxy S 5 Battery Replacement</x:v>
      </x:c>
      <x:c r="K167" s="6" t="str">
        <x:v>Nocturnix_Master_Services_Catalog_v1.xlsx</x:v>
      </x:c>
      <x:c r="L167" s="6" t="str">
        <x:v>01 - Master Services</x:v>
      </x:c>
      <x:c r="M167" s="6" t="n">
        <x:v>206</x:v>
      </x:c>
      <x:c r="N167" s="6" t="str">
        <x:v>CNF000166</x:v>
      </x:c>
      <x:c r="O167" s="6" t="str"/>
      <x:c r="P167" s="6" t="str">
        <x:v>Pending Verification</x:v>
      </x:c>
      <x:c r="Q167" s="6" t="str"/>
      <x:c r="R167" s="6" t="str"/>
      <x:c r="S167" s="6" t="str"/>
      <x:c r="T167" s="6" t="str"/>
      <x:c r="U167" s="6" t="str"/>
      <x:c r="V167" s="6" t="str">
        <x:v>Unresolved</x:v>
      </x:c>
      <x:c r="W167" s="12" t="str"/>
      <x:c r="X167" s="12" t="str"/>
      <x:c r="Y167" s="6" t="str"/>
      <x:c r="Z167" s="6" t="str"/>
      <x:c r="AA167" s="6" t="str">
        <x:v>Pending</x:v>
      </x:c>
      <x:c r="AB167" s="6" t="str"/>
      <x:c r="AC167" s="6" t="str"/>
      <x:c r="AD167" s="12" t="str"/>
    </x:row>
    <x:row r="168">
      <x:c r="A168" s="6" t="str">
        <x:v>SIR-000167</x:v>
      </x:c>
      <x:c r="B168" s="6" t="str">
        <x:v>SVC000167</x:v>
      </x:c>
      <x:c r="C168" s="6" t="str">
        <x:v>SVC000242</x:v>
      </x:c>
      <x:c r="D168" s="6" t="str">
        <x:v>iPhone 7+ Battery Replacement</x:v>
      </x:c>
      <x:c r="E168" s="6" t="str">
        <x:v>iPhone 7+ Battery Replacement</x:v>
      </x:c>
      <x:c r="F168" s="6" t="str">
        <x:v>iphone 7 battery replacement</x:v>
      </x:c>
      <x:c r="G168" s="6" t="str">
        <x:v>Repair</x:v>
      </x:c>
      <x:c r="H168" s="6" t="str">
        <x:v>Miscellaneous Repair</x:v>
      </x:c>
      <x:c r="I168" s="6" t="str">
        <x:v>Phone</x:v>
      </x:c>
      <x:c r="J168" s="6" t="str">
        <x:v>iPhone 7+ Battery Replacement</x:v>
      </x:c>
      <x:c r="K168" s="6" t="str">
        <x:v>Nocturnix_Master_Services_Catalog_v1.xlsx</x:v>
      </x:c>
      <x:c r="L168" s="6" t="str">
        <x:v>01 - Master Services</x:v>
      </x:c>
      <x:c r="M168" s="6" t="n">
        <x:v>207</x:v>
      </x:c>
      <x:c r="N168" s="6" t="str">
        <x:v>CNF000167</x:v>
      </x:c>
      <x:c r="O168" s="6" t="str">
        <x:v>DUP000006</x:v>
      </x:c>
      <x:c r="P168" s="6" t="str">
        <x:v>Pending Verification</x:v>
      </x:c>
      <x:c r="Q168" s="6" t="str"/>
      <x:c r="R168" s="6" t="str"/>
      <x:c r="S168" s="6" t="str"/>
      <x:c r="T168" s="6" t="str"/>
      <x:c r="U168" s="6" t="str"/>
      <x:c r="V168" s="6" t="str">
        <x:v>Unresolved</x:v>
      </x:c>
      <x:c r="W168" s="12" t="str"/>
      <x:c r="X168" s="12" t="str"/>
      <x:c r="Y168" s="6" t="str"/>
      <x:c r="Z168" s="6" t="str"/>
      <x:c r="AA168" s="6" t="str">
        <x:v>Pending</x:v>
      </x:c>
      <x:c r="AB168" s="6" t="str"/>
      <x:c r="AC168" s="6" t="str"/>
      <x:c r="AD168" s="12" t="str"/>
    </x:row>
    <x:row r="169">
      <x:c r="A169" s="6" t="str">
        <x:v>SIR-000168</x:v>
      </x:c>
      <x:c r="B169" s="6" t="str">
        <x:v>SVC000168</x:v>
      </x:c>
      <x:c r="C169" s="6" t="str">
        <x:v>SVC000243</x:v>
      </x:c>
      <x:c r="D169" s="6" t="str">
        <x:v>iPhone Battery Replacement</x:v>
      </x:c>
      <x:c r="E169" s="6" t="str">
        <x:v>iPhone Battery Replacement</x:v>
      </x:c>
      <x:c r="F169" s="6" t="str">
        <x:v>iphone battery replacement</x:v>
      </x:c>
      <x:c r="G169" s="6" t="str">
        <x:v>Repair</x:v>
      </x:c>
      <x:c r="H169" s="6" t="str">
        <x:v>Miscellaneous Repair</x:v>
      </x:c>
      <x:c r="I169" s="6" t="str">
        <x:v>Phone</x:v>
      </x:c>
      <x:c r="J169" s="6" t="str">
        <x:v>iPhone Battery Replacement</x:v>
      </x:c>
      <x:c r="K169" s="6" t="str">
        <x:v>Nocturnix_Master_Services_Catalog_v1.xlsx</x:v>
      </x:c>
      <x:c r="L169" s="6" t="str">
        <x:v>01 - Master Services</x:v>
      </x:c>
      <x:c r="M169" s="6" t="n">
        <x:v>208</x:v>
      </x:c>
      <x:c r="N169" s="6" t="str">
        <x:v>CNF000168</x:v>
      </x:c>
      <x:c r="O169" s="6" t="str"/>
      <x:c r="P169" s="6" t="str">
        <x:v>Pending Verification</x:v>
      </x:c>
      <x:c r="Q169" s="6" t="str"/>
      <x:c r="R169" s="6" t="str"/>
      <x:c r="S169" s="6" t="str"/>
      <x:c r="T169" s="6" t="str"/>
      <x:c r="U169" s="6" t="str"/>
      <x:c r="V169" s="6" t="str">
        <x:v>Unresolved</x:v>
      </x:c>
      <x:c r="W169" s="12" t="str"/>
      <x:c r="X169" s="12" t="str"/>
      <x:c r="Y169" s="6" t="str"/>
      <x:c r="Z169" s="6" t="str"/>
      <x:c r="AA169" s="6" t="str">
        <x:v>Pending</x:v>
      </x:c>
      <x:c r="AB169" s="6" t="str"/>
      <x:c r="AC169" s="6" t="str"/>
      <x:c r="AD169" s="12" t="str"/>
    </x:row>
    <x:row r="170">
      <x:c r="A170" s="6" t="str">
        <x:v>SIR-000169</x:v>
      </x:c>
      <x:c r="B170" s="6" t="str">
        <x:v>SVC000169</x:v>
      </x:c>
      <x:c r="C170" s="6" t="str">
        <x:v>SVC000244</x:v>
      </x:c>
      <x:c r="D170" s="6" t="str">
        <x:v>iPhone 3GS Battery Replacement</x:v>
      </x:c>
      <x:c r="E170" s="6" t="str">
        <x:v>iPhone 3GS Battery Replacement</x:v>
      </x:c>
      <x:c r="F170" s="6" t="str">
        <x:v>iphone 3gs battery replacement</x:v>
      </x:c>
      <x:c r="G170" s="6" t="str">
        <x:v>Repair</x:v>
      </x:c>
      <x:c r="H170" s="6" t="str">
        <x:v>Miscellaneous Repair</x:v>
      </x:c>
      <x:c r="I170" s="6" t="str">
        <x:v>Phone</x:v>
      </x:c>
      <x:c r="J170" s="6" t="str">
        <x:v>iPhone 3GS Battery Replacement</x:v>
      </x:c>
      <x:c r="K170" s="6" t="str">
        <x:v>Nocturnix_Master_Services_Catalog_v1.xlsx</x:v>
      </x:c>
      <x:c r="L170" s="6" t="str">
        <x:v>01 - Master Services</x:v>
      </x:c>
      <x:c r="M170" s="6" t="n">
        <x:v>209</x:v>
      </x:c>
      <x:c r="N170" s="6" t="str">
        <x:v>CNF000169</x:v>
      </x:c>
      <x:c r="O170" s="6" t="str"/>
      <x:c r="P170" s="6" t="str">
        <x:v>Pending Verification</x:v>
      </x:c>
      <x:c r="Q170" s="6" t="str"/>
      <x:c r="R170" s="6" t="str"/>
      <x:c r="S170" s="6" t="str"/>
      <x:c r="T170" s="6" t="str"/>
      <x:c r="U170" s="6" t="str"/>
      <x:c r="V170" s="6" t="str">
        <x:v>Unresolved</x:v>
      </x:c>
      <x:c r="W170" s="12" t="str"/>
      <x:c r="X170" s="12" t="str"/>
      <x:c r="Y170" s="6" t="str"/>
      <x:c r="Z170" s="6" t="str"/>
      <x:c r="AA170" s="6" t="str">
        <x:v>Pending</x:v>
      </x:c>
      <x:c r="AB170" s="6" t="str"/>
      <x:c r="AC170" s="6" t="str"/>
      <x:c r="AD170" s="12" t="str"/>
    </x:row>
    <x:row r="171">
      <x:c r="A171" s="6" t="str">
        <x:v>SIR-000170</x:v>
      </x:c>
      <x:c r="B171" s="6" t="str">
        <x:v>SVC000170</x:v>
      </x:c>
      <x:c r="C171" s="6" t="str">
        <x:v>SVC000245</x:v>
      </x:c>
      <x:c r="D171" s="6" t="str">
        <x:v>iPhone 4S Battery Replacement</x:v>
      </x:c>
      <x:c r="E171" s="6" t="str">
        <x:v>iPhone 4S Battery Replacement</x:v>
      </x:c>
      <x:c r="F171" s="6" t="str">
        <x:v>iphone 4s battery replacement</x:v>
      </x:c>
      <x:c r="G171" s="6" t="str">
        <x:v>Repair</x:v>
      </x:c>
      <x:c r="H171" s="6" t="str">
        <x:v>Miscellaneous Repair</x:v>
      </x:c>
      <x:c r="I171" s="6" t="str">
        <x:v>Phone</x:v>
      </x:c>
      <x:c r="J171" s="6" t="str">
        <x:v>iPhone 4S Battery Replacement</x:v>
      </x:c>
      <x:c r="K171" s="6" t="str">
        <x:v>Nocturnix_Master_Services_Catalog_v1.xlsx</x:v>
      </x:c>
      <x:c r="L171" s="6" t="str">
        <x:v>01 - Master Services</x:v>
      </x:c>
      <x:c r="M171" s="6" t="n">
        <x:v>210</x:v>
      </x:c>
      <x:c r="N171" s="6" t="str">
        <x:v>CNF000170</x:v>
      </x:c>
      <x:c r="O171" s="6" t="str">
        <x:v>DUP000007</x:v>
      </x:c>
      <x:c r="P171" s="6" t="str">
        <x:v>Pending Verification</x:v>
      </x:c>
      <x:c r="Q171" s="6" t="str"/>
      <x:c r="R171" s="6" t="str"/>
      <x:c r="S171" s="6" t="str"/>
      <x:c r="T171" s="6" t="str"/>
      <x:c r="U171" s="6" t="str"/>
      <x:c r="V171" s="6" t="str">
        <x:v>Unresolved</x:v>
      </x:c>
      <x:c r="W171" s="12" t="str"/>
      <x:c r="X171" s="12" t="str"/>
      <x:c r="Y171" s="6" t="str"/>
      <x:c r="Z171" s="6" t="str"/>
      <x:c r="AA171" s="6" t="str">
        <x:v>Pending</x:v>
      </x:c>
      <x:c r="AB171" s="6" t="str"/>
      <x:c r="AC171" s="6" t="str"/>
      <x:c r="AD171" s="12" t="str"/>
    </x:row>
    <x:row r="172">
      <x:c r="A172" s="6" t="str">
        <x:v>SIR-000171</x:v>
      </x:c>
      <x:c r="B172" s="6" t="str">
        <x:v>SVC000171</x:v>
      </x:c>
      <x:c r="C172" s="6" t="str">
        <x:v>SVC000246</x:v>
      </x:c>
      <x:c r="D172" s="6" t="str">
        <x:v>iPhone 5 Battery Replacement</x:v>
      </x:c>
      <x:c r="E172" s="6" t="str">
        <x:v>iPhone 5 Battery Replacement</x:v>
      </x:c>
      <x:c r="F172" s="6" t="str">
        <x:v>iphone 5 battery replacement</x:v>
      </x:c>
      <x:c r="G172" s="6" t="str">
        <x:v>Repair</x:v>
      </x:c>
      <x:c r="H172" s="6" t="str">
        <x:v>Miscellaneous Repair</x:v>
      </x:c>
      <x:c r="I172" s="6" t="str">
        <x:v>Phone</x:v>
      </x:c>
      <x:c r="J172" s="6" t="str">
        <x:v>iPhone 5 Battery Replacement</x:v>
      </x:c>
      <x:c r="K172" s="6" t="str">
        <x:v>Nocturnix_Master_Services_Catalog_v1.xlsx</x:v>
      </x:c>
      <x:c r="L172" s="6" t="str">
        <x:v>01 - Master Services</x:v>
      </x:c>
      <x:c r="M172" s="6" t="n">
        <x:v>211</x:v>
      </x:c>
      <x:c r="N172" s="6" t="str">
        <x:v>CNF000171</x:v>
      </x:c>
      <x:c r="O172" s="6" t="str"/>
      <x:c r="P172" s="6" t="str">
        <x:v>Pending Verification</x:v>
      </x:c>
      <x:c r="Q172" s="6" t="str"/>
      <x:c r="R172" s="6" t="str"/>
      <x:c r="S172" s="6" t="str"/>
      <x:c r="T172" s="6" t="str"/>
      <x:c r="U172" s="6" t="str"/>
      <x:c r="V172" s="6" t="str">
        <x:v>Unresolved</x:v>
      </x:c>
      <x:c r="W172" s="12" t="str"/>
      <x:c r="X172" s="12" t="str"/>
      <x:c r="Y172" s="6" t="str"/>
      <x:c r="Z172" s="6" t="str"/>
      <x:c r="AA172" s="6" t="str">
        <x:v>Pending</x:v>
      </x:c>
      <x:c r="AB172" s="6" t="str"/>
      <x:c r="AC172" s="6" t="str"/>
      <x:c r="AD172" s="12" t="str"/>
    </x:row>
    <x:row r="173">
      <x:c r="A173" s="6" t="str">
        <x:v>SIR-000172</x:v>
      </x:c>
      <x:c r="B173" s="6" t="str">
        <x:v>SVC000172</x:v>
      </x:c>
      <x:c r="C173" s="6" t="str">
        <x:v>SVC000247</x:v>
      </x:c>
      <x:c r="D173" s="6" t="str">
        <x:v>iPhone 5C Battery Replacement</x:v>
      </x:c>
      <x:c r="E173" s="6" t="str">
        <x:v>iPhone 5C Battery Replacement</x:v>
      </x:c>
      <x:c r="F173" s="6" t="str">
        <x:v>iphone 5c battery replacement</x:v>
      </x:c>
      <x:c r="G173" s="6" t="str">
        <x:v>Repair</x:v>
      </x:c>
      <x:c r="H173" s="6" t="str">
        <x:v>Miscellaneous Repair</x:v>
      </x:c>
      <x:c r="I173" s="6" t="str">
        <x:v>Phone</x:v>
      </x:c>
      <x:c r="J173" s="6" t="str">
        <x:v>iPhone 5C Battery Replacement</x:v>
      </x:c>
      <x:c r="K173" s="6" t="str">
        <x:v>Nocturnix_Master_Services_Catalog_v1.xlsx</x:v>
      </x:c>
      <x:c r="L173" s="6" t="str">
        <x:v>01 - Master Services</x:v>
      </x:c>
      <x:c r="M173" s="6" t="n">
        <x:v>212</x:v>
      </x:c>
      <x:c r="N173" s="6" t="str">
        <x:v>CNF000172</x:v>
      </x:c>
      <x:c r="O173" s="6" t="str"/>
      <x:c r="P173" s="6" t="str">
        <x:v>Pending Verification</x:v>
      </x:c>
      <x:c r="Q173" s="6" t="str"/>
      <x:c r="R173" s="6" t="str"/>
      <x:c r="S173" s="6" t="str"/>
      <x:c r="T173" s="6" t="str"/>
      <x:c r="U173" s="6" t="str"/>
      <x:c r="V173" s="6" t="str">
        <x:v>Unresolved</x:v>
      </x:c>
      <x:c r="W173" s="12" t="str"/>
      <x:c r="X173" s="12" t="str"/>
      <x:c r="Y173" s="6" t="str"/>
      <x:c r="Z173" s="6" t="str"/>
      <x:c r="AA173" s="6" t="str">
        <x:v>Pending</x:v>
      </x:c>
      <x:c r="AB173" s="6" t="str"/>
      <x:c r="AC173" s="6" t="str"/>
      <x:c r="AD173" s="12" t="str"/>
    </x:row>
    <x:row r="174">
      <x:c r="A174" s="6" t="str">
        <x:v>SIR-000173</x:v>
      </x:c>
      <x:c r="B174" s="6" t="str">
        <x:v>SVC000173</x:v>
      </x:c>
      <x:c r="C174" s="6" t="str">
        <x:v>SVC000248</x:v>
      </x:c>
      <x:c r="D174" s="6" t="str">
        <x:v>iPhone 8+ Battery Replacement</x:v>
      </x:c>
      <x:c r="E174" s="6" t="str">
        <x:v>iPhone 8+ Battery Replacement</x:v>
      </x:c>
      <x:c r="F174" s="6" t="str">
        <x:v>iphone 8 battery replacement</x:v>
      </x:c>
      <x:c r="G174" s="6" t="str">
        <x:v>Repair</x:v>
      </x:c>
      <x:c r="H174" s="6" t="str">
        <x:v>Miscellaneous Repair</x:v>
      </x:c>
      <x:c r="I174" s="6" t="str">
        <x:v>Phone</x:v>
      </x:c>
      <x:c r="J174" s="6" t="str">
        <x:v>iPhone 8+ Battery Replacement</x:v>
      </x:c>
      <x:c r="K174" s="6" t="str">
        <x:v>Nocturnix_Master_Services_Catalog_v1.xlsx</x:v>
      </x:c>
      <x:c r="L174" s="6" t="str">
        <x:v>01 - Master Services</x:v>
      </x:c>
      <x:c r="M174" s="6" t="n">
        <x:v>213</x:v>
      </x:c>
      <x:c r="N174" s="6" t="str">
        <x:v>CNF000173</x:v>
      </x:c>
      <x:c r="O174" s="6" t="str">
        <x:v>DUP000008</x:v>
      </x:c>
      <x:c r="P174" s="6" t="str">
        <x:v>Pending Verification</x:v>
      </x:c>
      <x:c r="Q174" s="6" t="str"/>
      <x:c r="R174" s="6" t="str"/>
      <x:c r="S174" s="6" t="str"/>
      <x:c r="T174" s="6" t="str"/>
      <x:c r="U174" s="6" t="str"/>
      <x:c r="V174" s="6" t="str">
        <x:v>Unresolved</x:v>
      </x:c>
      <x:c r="W174" s="12" t="str"/>
      <x:c r="X174" s="12" t="str"/>
      <x:c r="Y174" s="6" t="str"/>
      <x:c r="Z174" s="6" t="str"/>
      <x:c r="AA174" s="6" t="str">
        <x:v>Pending</x:v>
      </x:c>
      <x:c r="AB174" s="6" t="str"/>
      <x:c r="AC174" s="6" t="str"/>
      <x:c r="AD174" s="12" t="str"/>
    </x:row>
    <x:row r="175">
      <x:c r="A175" s="6" t="str">
        <x:v>SIR-000174</x:v>
      </x:c>
      <x:c r="B175" s="6" t="str">
        <x:v>SVC000174</x:v>
      </x:c>
      <x:c r="C175" s="6" t="str">
        <x:v>SVC000249</x:v>
      </x:c>
      <x:c r="D175" s="6" t="str">
        <x:v>iPhone 6S Battery Replacement</x:v>
      </x:c>
      <x:c r="E175" s="6" t="str">
        <x:v>iPhone 6S Battery Replacement</x:v>
      </x:c>
      <x:c r="F175" s="6" t="str">
        <x:v>iphone 6s battery replacement</x:v>
      </x:c>
      <x:c r="G175" s="6" t="str">
        <x:v>Repair</x:v>
      </x:c>
      <x:c r="H175" s="6" t="str">
        <x:v>Miscellaneous Repair</x:v>
      </x:c>
      <x:c r="I175" s="6" t="str">
        <x:v>Phone</x:v>
      </x:c>
      <x:c r="J175" s="6" t="str">
        <x:v>iPhone 6S Battery Replacement</x:v>
      </x:c>
      <x:c r="K175" s="6" t="str">
        <x:v>Nocturnix_Master_Services_Catalog_v1.xlsx</x:v>
      </x:c>
      <x:c r="L175" s="6" t="str">
        <x:v>01 - Master Services</x:v>
      </x:c>
      <x:c r="M175" s="6" t="n">
        <x:v>214</x:v>
      </x:c>
      <x:c r="N175" s="6" t="str">
        <x:v>CNF000174</x:v>
      </x:c>
      <x:c r="O175" s="6" t="str">
        <x:v>DUP000009</x:v>
      </x:c>
      <x:c r="P175" s="6" t="str">
        <x:v>Pending Verification</x:v>
      </x:c>
      <x:c r="Q175" s="6" t="str"/>
      <x:c r="R175" s="6" t="str"/>
      <x:c r="S175" s="6" t="str"/>
      <x:c r="T175" s="6" t="str"/>
      <x:c r="U175" s="6" t="str"/>
      <x:c r="V175" s="6" t="str">
        <x:v>Unresolved</x:v>
      </x:c>
      <x:c r="W175" s="12" t="str"/>
      <x:c r="X175" s="12" t="str"/>
      <x:c r="Y175" s="6" t="str"/>
      <x:c r="Z175" s="6" t="str"/>
      <x:c r="AA175" s="6" t="str">
        <x:v>Pending</x:v>
      </x:c>
      <x:c r="AB175" s="6" t="str"/>
      <x:c r="AC175" s="6" t="str"/>
      <x:c r="AD175" s="12" t="str"/>
    </x:row>
    <x:row r="176">
      <x:c r="A176" s="6" t="str">
        <x:v>SIR-000175</x:v>
      </x:c>
      <x:c r="B176" s="6" t="str">
        <x:v>SVC000175</x:v>
      </x:c>
      <x:c r="C176" s="6" t="str">
        <x:v>SVC000250</x:v>
      </x:c>
      <x:c r="D176" s="6" t="str">
        <x:v>iPhone 8 Battery Replacement</x:v>
      </x:c>
      <x:c r="E176" s="6" t="str">
        <x:v>iPhone 8 Battery Replacement</x:v>
      </x:c>
      <x:c r="F176" s="6" t="str">
        <x:v>iphone 8 battery replacement</x:v>
      </x:c>
      <x:c r="G176" s="6" t="str">
        <x:v>Repair</x:v>
      </x:c>
      <x:c r="H176" s="6" t="str">
        <x:v>Miscellaneous Repair</x:v>
      </x:c>
      <x:c r="I176" s="6" t="str">
        <x:v>Phone</x:v>
      </x:c>
      <x:c r="J176" s="6" t="str">
        <x:v>iPhone 8 Battery Replacement</x:v>
      </x:c>
      <x:c r="K176" s="6" t="str">
        <x:v>Nocturnix_Master_Services_Catalog_v1.xlsx</x:v>
      </x:c>
      <x:c r="L176" s="6" t="str">
        <x:v>01 - Master Services</x:v>
      </x:c>
      <x:c r="M176" s="6" t="n">
        <x:v>215</x:v>
      </x:c>
      <x:c r="N176" s="6" t="str">
        <x:v>CNF000175</x:v>
      </x:c>
      <x:c r="O176" s="6" t="str">
        <x:v>DUP000008</x:v>
      </x:c>
      <x:c r="P176" s="6" t="str">
        <x:v>Pending Verification</x:v>
      </x:c>
      <x:c r="Q176" s="6" t="str"/>
      <x:c r="R176" s="6" t="str"/>
      <x:c r="S176" s="6" t="str"/>
      <x:c r="T176" s="6" t="str"/>
      <x:c r="U176" s="6" t="str"/>
      <x:c r="V176" s="6" t="str">
        <x:v>Unresolved</x:v>
      </x:c>
      <x:c r="W176" s="12" t="str"/>
      <x:c r="X176" s="12" t="str"/>
      <x:c r="Y176" s="6" t="str"/>
      <x:c r="Z176" s="6" t="str"/>
      <x:c r="AA176" s="6" t="str">
        <x:v>Pending</x:v>
      </x:c>
      <x:c r="AB176" s="6" t="str"/>
      <x:c r="AC176" s="6" t="str"/>
      <x:c r="AD176" s="12" t="str"/>
    </x:row>
    <x:row r="177">
      <x:c r="A177" s="6" t="str">
        <x:v>SIR-000176</x:v>
      </x:c>
      <x:c r="B177" s="6" t="str">
        <x:v>SVC000176</x:v>
      </x:c>
      <x:c r="C177" s="6" t="str">
        <x:v>SVC000251</x:v>
      </x:c>
      <x:c r="D177" s="6" t="str">
        <x:v>iPhone 6S+ Battery Replacement</x:v>
      </x:c>
      <x:c r="E177" s="6" t="str">
        <x:v>iPhone 6S+ Battery Replacement</x:v>
      </x:c>
      <x:c r="F177" s="6" t="str">
        <x:v>iphone 6s battery replacement</x:v>
      </x:c>
      <x:c r="G177" s="6" t="str">
        <x:v>Repair</x:v>
      </x:c>
      <x:c r="H177" s="6" t="str">
        <x:v>Miscellaneous Repair</x:v>
      </x:c>
      <x:c r="I177" s="6" t="str">
        <x:v>Phone</x:v>
      </x:c>
      <x:c r="J177" s="6" t="str">
        <x:v>iPhone 6S+ Battery Replacement</x:v>
      </x:c>
      <x:c r="K177" s="6" t="str">
        <x:v>Nocturnix_Master_Services_Catalog_v1.xlsx</x:v>
      </x:c>
      <x:c r="L177" s="6" t="str">
        <x:v>01 - Master Services</x:v>
      </x:c>
      <x:c r="M177" s="6" t="n">
        <x:v>216</x:v>
      </x:c>
      <x:c r="N177" s="6" t="str">
        <x:v>CNF000176</x:v>
      </x:c>
      <x:c r="O177" s="6" t="str">
        <x:v>DUP000009</x:v>
      </x:c>
      <x:c r="P177" s="6" t="str">
        <x:v>Pending Verification</x:v>
      </x:c>
      <x:c r="Q177" s="6" t="str"/>
      <x:c r="R177" s="6" t="str"/>
      <x:c r="S177" s="6" t="str"/>
      <x:c r="T177" s="6" t="str"/>
      <x:c r="U177" s="6" t="str"/>
      <x:c r="V177" s="6" t="str">
        <x:v>Unresolved</x:v>
      </x:c>
      <x:c r="W177" s="12" t="str"/>
      <x:c r="X177" s="12" t="str"/>
      <x:c r="Y177" s="6" t="str"/>
      <x:c r="Z177" s="6" t="str"/>
      <x:c r="AA177" s="6" t="str">
        <x:v>Pending</x:v>
      </x:c>
      <x:c r="AB177" s="6" t="str"/>
      <x:c r="AC177" s="6" t="str"/>
      <x:c r="AD177" s="12" t="str"/>
    </x:row>
    <x:row r="178">
      <x:c r="A178" s="6" t="str">
        <x:v>SIR-000177</x:v>
      </x:c>
      <x:c r="B178" s="6" t="str">
        <x:v>SVC000177</x:v>
      </x:c>
      <x:c r="C178" s="6" t="str">
        <x:v>SVC000252</x:v>
      </x:c>
      <x:c r="D178" s="6" t="str">
        <x:v>iPhone 6S+ Battery Replacement</x:v>
      </x:c>
      <x:c r="E178" s="6" t="str">
        <x:v>iPhone 6S+ Battery Replacement</x:v>
      </x:c>
      <x:c r="F178" s="6" t="str">
        <x:v>iphone 6s battery replacement</x:v>
      </x:c>
      <x:c r="G178" s="6" t="str">
        <x:v>Repair</x:v>
      </x:c>
      <x:c r="H178" s="6" t="str">
        <x:v>Miscellaneous Repair</x:v>
      </x:c>
      <x:c r="I178" s="6" t="str">
        <x:v>Phone</x:v>
      </x:c>
      <x:c r="J178" s="6" t="str">
        <x:v>iPhone 6S+ Battery Replacement</x:v>
      </x:c>
      <x:c r="K178" s="6" t="str">
        <x:v>Nocturnix_Master_Services_Catalog_v1.xlsx</x:v>
      </x:c>
      <x:c r="L178" s="6" t="str">
        <x:v>01 - Master Services</x:v>
      </x:c>
      <x:c r="M178" s="6" t="n">
        <x:v>217</x:v>
      </x:c>
      <x:c r="N178" s="6" t="str">
        <x:v>CNF000177</x:v>
      </x:c>
      <x:c r="O178" s="6" t="str">
        <x:v>DUP000009</x:v>
      </x:c>
      <x:c r="P178" s="6" t="str">
        <x:v>Pending Verification</x:v>
      </x:c>
      <x:c r="Q178" s="6" t="str"/>
      <x:c r="R178" s="6" t="str"/>
      <x:c r="S178" s="6" t="str"/>
      <x:c r="T178" s="6" t="str"/>
      <x:c r="U178" s="6" t="str"/>
      <x:c r="V178" s="6" t="str">
        <x:v>Unresolved</x:v>
      </x:c>
      <x:c r="W178" s="12" t="str"/>
      <x:c r="X178" s="12" t="str"/>
      <x:c r="Y178" s="6" t="str"/>
      <x:c r="Z178" s="6" t="str"/>
      <x:c r="AA178" s="6" t="str">
        <x:v>Pending</x:v>
      </x:c>
      <x:c r="AB178" s="6" t="str"/>
      <x:c r="AC178" s="6" t="str"/>
      <x:c r="AD178" s="12" t="str"/>
    </x:row>
    <x:row r="179">
      <x:c r="A179" s="6" t="str">
        <x:v>SIR-000178</x:v>
      </x:c>
      <x:c r="B179" s="6" t="str">
        <x:v>SVC000178</x:v>
      </x:c>
      <x:c r="C179" s="6" t="str">
        <x:v>SVC000253</x:v>
      </x:c>
      <x:c r="D179" s="6" t="str">
        <x:v>iPhone 5S Battery Replacement</x:v>
      </x:c>
      <x:c r="E179" s="6" t="str">
        <x:v>iPhone 5S Battery Replacement</x:v>
      </x:c>
      <x:c r="F179" s="6" t="str">
        <x:v>iphone 5s battery replacement</x:v>
      </x:c>
      <x:c r="G179" s="6" t="str">
        <x:v>Repair</x:v>
      </x:c>
      <x:c r="H179" s="6" t="str">
        <x:v>Miscellaneous Repair</x:v>
      </x:c>
      <x:c r="I179" s="6" t="str">
        <x:v>Phone</x:v>
      </x:c>
      <x:c r="J179" s="6" t="str">
        <x:v>iPhone 5S Battery Replacement</x:v>
      </x:c>
      <x:c r="K179" s="6" t="str">
        <x:v>Nocturnix_Master_Services_Catalog_v1.xlsx</x:v>
      </x:c>
      <x:c r="L179" s="6" t="str">
        <x:v>01 - Master Services</x:v>
      </x:c>
      <x:c r="M179" s="6" t="n">
        <x:v>218</x:v>
      </x:c>
      <x:c r="N179" s="6" t="str">
        <x:v>CNF000178</x:v>
      </x:c>
      <x:c r="O179" s="6" t="str"/>
      <x:c r="P179" s="6" t="str">
        <x:v>Pending Verification</x:v>
      </x:c>
      <x:c r="Q179" s="6" t="str"/>
      <x:c r="R179" s="6" t="str"/>
      <x:c r="S179" s="6" t="str"/>
      <x:c r="T179" s="6" t="str"/>
      <x:c r="U179" s="6" t="str"/>
      <x:c r="V179" s="6" t="str">
        <x:v>Unresolved</x:v>
      </x:c>
      <x:c r="W179" s="12" t="str"/>
      <x:c r="X179" s="12" t="str"/>
      <x:c r="Y179" s="6" t="str"/>
      <x:c r="Z179" s="6" t="str"/>
      <x:c r="AA179" s="6" t="str">
        <x:v>Pending</x:v>
      </x:c>
      <x:c r="AB179" s="6" t="str"/>
      <x:c r="AC179" s="6" t="str"/>
      <x:c r="AD179" s="12" t="str"/>
    </x:row>
    <x:row r="180">
      <x:c r="A180" s="6" t="str">
        <x:v>SIR-000179</x:v>
      </x:c>
      <x:c r="B180" s="6" t="str">
        <x:v>SVC000179</x:v>
      </x:c>
      <x:c r="C180" s="6" t="str">
        <x:v>SVC000254</x:v>
      </x:c>
      <x:c r="D180" s="6" t="str">
        <x:v>iPhone 14 Battery Replacement</x:v>
      </x:c>
      <x:c r="E180" s="6" t="str">
        <x:v>iPhone 14 Battery Replacement</x:v>
      </x:c>
      <x:c r="F180" s="6" t="str">
        <x:v>iphone 14 battery replacement</x:v>
      </x:c>
      <x:c r="G180" s="6" t="str">
        <x:v>Repair</x:v>
      </x:c>
      <x:c r="H180" s="6" t="str">
        <x:v>Miscellaneous Repair</x:v>
      </x:c>
      <x:c r="I180" s="6" t="str">
        <x:v>Phone</x:v>
      </x:c>
      <x:c r="J180" s="6" t="str">
        <x:v>iPhone 14 Battery Replacement</x:v>
      </x:c>
      <x:c r="K180" s="6" t="str">
        <x:v>Nocturnix_Master_Services_Catalog_v1.xlsx</x:v>
      </x:c>
      <x:c r="L180" s="6" t="str">
        <x:v>01 - Master Services</x:v>
      </x:c>
      <x:c r="M180" s="6" t="n">
        <x:v>219</x:v>
      </x:c>
      <x:c r="N180" s="6" t="str">
        <x:v>CNF000179</x:v>
      </x:c>
      <x:c r="O180" s="6" t="str"/>
      <x:c r="P180" s="6" t="str">
        <x:v>Pending Verification</x:v>
      </x:c>
      <x:c r="Q180" s="6" t="str"/>
      <x:c r="R180" s="6" t="str"/>
      <x:c r="S180" s="6" t="str"/>
      <x:c r="T180" s="6" t="str"/>
      <x:c r="U180" s="6" t="str"/>
      <x:c r="V180" s="6" t="str">
        <x:v>Unresolved</x:v>
      </x:c>
      <x:c r="W180" s="12" t="str"/>
      <x:c r="X180" s="12" t="str"/>
      <x:c r="Y180" s="6" t="str"/>
      <x:c r="Z180" s="6" t="str"/>
      <x:c r="AA180" s="6" t="str">
        <x:v>Pending</x:v>
      </x:c>
      <x:c r="AB180" s="6" t="str"/>
      <x:c r="AC180" s="6" t="str"/>
      <x:c r="AD180" s="12" t="str"/>
    </x:row>
    <x:row r="181">
      <x:c r="A181" s="6" t="str">
        <x:v>SIR-000180</x:v>
      </x:c>
      <x:c r="B181" s="6" t="str">
        <x:v>SVC000180</x:v>
      </x:c>
      <x:c r="C181" s="6" t="str">
        <x:v>SVC000255</x:v>
      </x:c>
      <x:c r="D181" s="6" t="str">
        <x:v>iPhone 6+ Battery Replacement</x:v>
      </x:c>
      <x:c r="E181" s="6" t="str">
        <x:v>iPhone 6+ Battery Replacement</x:v>
      </x:c>
      <x:c r="F181" s="6" t="str">
        <x:v>iphone 6 battery replacement</x:v>
      </x:c>
      <x:c r="G181" s="6" t="str">
        <x:v>Repair</x:v>
      </x:c>
      <x:c r="H181" s="6" t="str">
        <x:v>Miscellaneous Repair</x:v>
      </x:c>
      <x:c r="I181" s="6" t="str">
        <x:v>Phone</x:v>
      </x:c>
      <x:c r="J181" s="6" t="str">
        <x:v>iPhone 6+ Battery Replacement</x:v>
      </x:c>
      <x:c r="K181" s="6" t="str">
        <x:v>Nocturnix_Master_Services_Catalog_v1.xlsx</x:v>
      </x:c>
      <x:c r="L181" s="6" t="str">
        <x:v>01 - Master Services</x:v>
      </x:c>
      <x:c r="M181" s="6" t="n">
        <x:v>220</x:v>
      </x:c>
      <x:c r="N181" s="6" t="str">
        <x:v>CNF000180</x:v>
      </x:c>
      <x:c r="O181" s="6" t="str">
        <x:v>DUP000010</x:v>
      </x:c>
      <x:c r="P181" s="6" t="str">
        <x:v>Pending Verification</x:v>
      </x:c>
      <x:c r="Q181" s="6" t="str"/>
      <x:c r="R181" s="6" t="str"/>
      <x:c r="S181" s="6" t="str"/>
      <x:c r="T181" s="6" t="str"/>
      <x:c r="U181" s="6" t="str"/>
      <x:c r="V181" s="6" t="str">
        <x:v>Unresolved</x:v>
      </x:c>
      <x:c r="W181" s="12" t="str"/>
      <x:c r="X181" s="12" t="str"/>
      <x:c r="Y181" s="6" t="str"/>
      <x:c r="Z181" s="6" t="str"/>
      <x:c r="AA181" s="6" t="str">
        <x:v>Pending</x:v>
      </x:c>
      <x:c r="AB181" s="6" t="str"/>
      <x:c r="AC181" s="6" t="str"/>
      <x:c r="AD181" s="12" t="str"/>
    </x:row>
    <x:row r="182">
      <x:c r="A182" s="6" t="str">
        <x:v>SIR-000181</x:v>
      </x:c>
      <x:c r="B182" s="6" t="str">
        <x:v>SVC000181</x:v>
      </x:c>
      <x:c r="C182" s="6" t="str">
        <x:v>SVC000256</x:v>
      </x:c>
      <x:c r="D182" s="6" t="str">
        <x:v>iPhone 16E Battery Replacement</x:v>
      </x:c>
      <x:c r="E182" s="6" t="str">
        <x:v>iPhone 16E Battery Replacement</x:v>
      </x:c>
      <x:c r="F182" s="6" t="str">
        <x:v>iphone 16e battery replacement</x:v>
      </x:c>
      <x:c r="G182" s="6" t="str">
        <x:v>Repair</x:v>
      </x:c>
      <x:c r="H182" s="6" t="str">
        <x:v>Miscellaneous Repair</x:v>
      </x:c>
      <x:c r="I182" s="6" t="str">
        <x:v>Phone</x:v>
      </x:c>
      <x:c r="J182" s="6" t="str">
        <x:v>iPhone 16E Battery Replacement</x:v>
      </x:c>
      <x:c r="K182" s="6" t="str">
        <x:v>Nocturnix_Master_Services_Catalog_v1.xlsx</x:v>
      </x:c>
      <x:c r="L182" s="6" t="str">
        <x:v>01 - Master Services</x:v>
      </x:c>
      <x:c r="M182" s="6" t="n">
        <x:v>221</x:v>
      </x:c>
      <x:c r="N182" s="6" t="str">
        <x:v>CNF000181</x:v>
      </x:c>
      <x:c r="O182" s="6" t="str"/>
      <x:c r="P182" s="6" t="str">
        <x:v>Pending Verification</x:v>
      </x:c>
      <x:c r="Q182" s="6" t="str"/>
      <x:c r="R182" s="6" t="str"/>
      <x:c r="S182" s="6" t="str"/>
      <x:c r="T182" s="6" t="str"/>
      <x:c r="U182" s="6" t="str"/>
      <x:c r="V182" s="6" t="str">
        <x:v>Unresolved</x:v>
      </x:c>
      <x:c r="W182" s="12" t="str"/>
      <x:c r="X182" s="12" t="str"/>
      <x:c r="Y182" s="6" t="str"/>
      <x:c r="Z182" s="6" t="str"/>
      <x:c r="AA182" s="6" t="str">
        <x:v>Pending</x:v>
      </x:c>
      <x:c r="AB182" s="6" t="str"/>
      <x:c r="AC182" s="6" t="str"/>
      <x:c r="AD182" s="12" t="str"/>
    </x:row>
    <x:row r="183">
      <x:c r="A183" s="6" t="str">
        <x:v>SIR-000182</x:v>
      </x:c>
      <x:c r="B183" s="6" t="str">
        <x:v>SVC000182</x:v>
      </x:c>
      <x:c r="C183" s="6" t="str">
        <x:v>SVC000257</x:v>
      </x:c>
      <x:c r="D183" s="6" t="str">
        <x:v>iPhone 17 Battery Replacement</x:v>
      </x:c>
      <x:c r="E183" s="6" t="str">
        <x:v>iPhone 17 Battery Replacement</x:v>
      </x:c>
      <x:c r="F183" s="6" t="str">
        <x:v>iphone 17 battery replacement</x:v>
      </x:c>
      <x:c r="G183" s="6" t="str">
        <x:v>Repair</x:v>
      </x:c>
      <x:c r="H183" s="6" t="str">
        <x:v>Miscellaneous Repair</x:v>
      </x:c>
      <x:c r="I183" s="6" t="str">
        <x:v>Phone</x:v>
      </x:c>
      <x:c r="J183" s="6" t="str">
        <x:v>iPhone 17 Battery Replacement</x:v>
      </x:c>
      <x:c r="K183" s="6" t="str">
        <x:v>Nocturnix_Master_Services_Catalog_v1.xlsx</x:v>
      </x:c>
      <x:c r="L183" s="6" t="str">
        <x:v>01 - Master Services</x:v>
      </x:c>
      <x:c r="M183" s="6" t="n">
        <x:v>222</x:v>
      </x:c>
      <x:c r="N183" s="6" t="str">
        <x:v>CNF000182</x:v>
      </x:c>
      <x:c r="O183" s="6" t="str"/>
      <x:c r="P183" s="6" t="str">
        <x:v>Pending Verification</x:v>
      </x:c>
      <x:c r="Q183" s="6" t="str"/>
      <x:c r="R183" s="6" t="str"/>
      <x:c r="S183" s="6" t="str"/>
      <x:c r="T183" s="6" t="str"/>
      <x:c r="U183" s="6" t="str"/>
      <x:c r="V183" s="6" t="str">
        <x:v>Unresolved</x:v>
      </x:c>
      <x:c r="W183" s="12" t="str"/>
      <x:c r="X183" s="12" t="str"/>
      <x:c r="Y183" s="6" t="str"/>
      <x:c r="Z183" s="6" t="str"/>
      <x:c r="AA183" s="6" t="str">
        <x:v>Pending</x:v>
      </x:c>
      <x:c r="AB183" s="6" t="str"/>
      <x:c r="AC183" s="6" t="str"/>
      <x:c r="AD183" s="12" t="str"/>
    </x:row>
    <x:row r="184">
      <x:c r="A184" s="6" t="str">
        <x:v>SIR-000183</x:v>
      </x:c>
      <x:c r="B184" s="6" t="str">
        <x:v>SVC000183</x:v>
      </x:c>
      <x:c r="C184" s="6" t="str">
        <x:v>SVC000258</x:v>
      </x:c>
      <x:c r="D184" s="6" t="str">
        <x:v>iPhone 16 Plus Battery Replacement</x:v>
      </x:c>
      <x:c r="E184" s="6" t="str">
        <x:v>iPhone 16 Plus Battery Replacement</x:v>
      </x:c>
      <x:c r="F184" s="6" t="str">
        <x:v>iphone 16 plus battery replacement</x:v>
      </x:c>
      <x:c r="G184" s="6" t="str">
        <x:v>Repair</x:v>
      </x:c>
      <x:c r="H184" s="6" t="str">
        <x:v>Miscellaneous Repair</x:v>
      </x:c>
      <x:c r="I184" s="6" t="str">
        <x:v>Phone</x:v>
      </x:c>
      <x:c r="J184" s="6" t="str">
        <x:v>iPhone 16 Plus Battery Replacement</x:v>
      </x:c>
      <x:c r="K184" s="6" t="str">
        <x:v>Nocturnix_Master_Services_Catalog_v1.xlsx</x:v>
      </x:c>
      <x:c r="L184" s="6" t="str">
        <x:v>01 - Master Services</x:v>
      </x:c>
      <x:c r="M184" s="6" t="n">
        <x:v>223</x:v>
      </x:c>
      <x:c r="N184" s="6" t="str">
        <x:v>CNF000183</x:v>
      </x:c>
      <x:c r="O184" s="6" t="str"/>
      <x:c r="P184" s="6" t="str">
        <x:v>Pending Verification</x:v>
      </x:c>
      <x:c r="Q184" s="6" t="str"/>
      <x:c r="R184" s="6" t="str"/>
      <x:c r="S184" s="6" t="str"/>
      <x:c r="T184" s="6" t="str"/>
      <x:c r="U184" s="6" t="str"/>
      <x:c r="V184" s="6" t="str">
        <x:v>Unresolved</x:v>
      </x:c>
      <x:c r="W184" s="12" t="str"/>
      <x:c r="X184" s="12" t="str"/>
      <x:c r="Y184" s="6" t="str"/>
      <x:c r="Z184" s="6" t="str"/>
      <x:c r="AA184" s="6" t="str">
        <x:v>Pending</x:v>
      </x:c>
      <x:c r="AB184" s="6" t="str"/>
      <x:c r="AC184" s="6" t="str"/>
      <x:c r="AD184" s="12" t="str"/>
    </x:row>
    <x:row r="185">
      <x:c r="A185" s="6" t="str">
        <x:v>SIR-000184</x:v>
      </x:c>
      <x:c r="B185" s="6" t="str">
        <x:v>SVC000184</x:v>
      </x:c>
      <x:c r="C185" s="6" t="str">
        <x:v>SVC000259</x:v>
      </x:c>
      <x:c r="D185" s="6" t="str">
        <x:v>iPhone 16 Pro Max Battery Replacement</x:v>
      </x:c>
      <x:c r="E185" s="6" t="str">
        <x:v>iPhone 16 Pro Max Battery Replacement</x:v>
      </x:c>
      <x:c r="F185" s="6" t="str">
        <x:v>iphone 16 pro max battery replacement</x:v>
      </x:c>
      <x:c r="G185" s="6" t="str">
        <x:v>Repair</x:v>
      </x:c>
      <x:c r="H185" s="6" t="str">
        <x:v>Miscellaneous Repair</x:v>
      </x:c>
      <x:c r="I185" s="6" t="str">
        <x:v>Phone</x:v>
      </x:c>
      <x:c r="J185" s="6" t="str">
        <x:v>iPhone 16 Pro Max Battery Replacement</x:v>
      </x:c>
      <x:c r="K185" s="6" t="str">
        <x:v>Nocturnix_Master_Services_Catalog_v1.xlsx</x:v>
      </x:c>
      <x:c r="L185" s="6" t="str">
        <x:v>01 - Master Services</x:v>
      </x:c>
      <x:c r="M185" s="6" t="n">
        <x:v>224</x:v>
      </x:c>
      <x:c r="N185" s="6" t="str">
        <x:v>CNF000184</x:v>
      </x:c>
      <x:c r="O185" s="6" t="str"/>
      <x:c r="P185" s="6" t="str">
        <x:v>Pending Verification</x:v>
      </x:c>
      <x:c r="Q185" s="6" t="str"/>
      <x:c r="R185" s="6" t="str"/>
      <x:c r="S185" s="6" t="str"/>
      <x:c r="T185" s="6" t="str"/>
      <x:c r="U185" s="6" t="str"/>
      <x:c r="V185" s="6" t="str">
        <x:v>Unresolved</x:v>
      </x:c>
      <x:c r="W185" s="12" t="str"/>
      <x:c r="X185" s="12" t="str"/>
      <x:c r="Y185" s="6" t="str"/>
      <x:c r="Z185" s="6" t="str"/>
      <x:c r="AA185" s="6" t="str">
        <x:v>Pending</x:v>
      </x:c>
      <x:c r="AB185" s="6" t="str"/>
      <x:c r="AC185" s="6" t="str"/>
      <x:c r="AD185" s="12" t="str"/>
    </x:row>
    <x:row r="186">
      <x:c r="A186" s="6" t="str">
        <x:v>SIR-000185</x:v>
      </x:c>
      <x:c r="B186" s="6" t="str">
        <x:v>SVC000185</x:v>
      </x:c>
      <x:c r="C186" s="6" t="str">
        <x:v>SVC000260</x:v>
      </x:c>
      <x:c r="D186" s="6" t="str">
        <x:v>iPhone 16 Battery Replacement</x:v>
      </x:c>
      <x:c r="E186" s="6" t="str">
        <x:v>iPhone 16 Battery Replacement</x:v>
      </x:c>
      <x:c r="F186" s="6" t="str">
        <x:v>iphone 16 battery replacement</x:v>
      </x:c>
      <x:c r="G186" s="6" t="str">
        <x:v>Repair</x:v>
      </x:c>
      <x:c r="H186" s="6" t="str">
        <x:v>Miscellaneous Repair</x:v>
      </x:c>
      <x:c r="I186" s="6" t="str">
        <x:v>Phone</x:v>
      </x:c>
      <x:c r="J186" s="6" t="str">
        <x:v>iPhone 16 Battery Replacement</x:v>
      </x:c>
      <x:c r="K186" s="6" t="str">
        <x:v>Nocturnix_Master_Services_Catalog_v1.xlsx</x:v>
      </x:c>
      <x:c r="L186" s="6" t="str">
        <x:v>01 - Master Services</x:v>
      </x:c>
      <x:c r="M186" s="6" t="n">
        <x:v>225</x:v>
      </x:c>
      <x:c r="N186" s="6" t="str">
        <x:v>CNF000185</x:v>
      </x:c>
      <x:c r="O186" s="6" t="str"/>
      <x:c r="P186" s="6" t="str">
        <x:v>Pending Verification</x:v>
      </x:c>
      <x:c r="Q186" s="6" t="str"/>
      <x:c r="R186" s="6" t="str"/>
      <x:c r="S186" s="6" t="str"/>
      <x:c r="T186" s="6" t="str"/>
      <x:c r="U186" s="6" t="str"/>
      <x:c r="V186" s="6" t="str">
        <x:v>Unresolved</x:v>
      </x:c>
      <x:c r="W186" s="12" t="str"/>
      <x:c r="X186" s="12" t="str"/>
      <x:c r="Y186" s="6" t="str"/>
      <x:c r="Z186" s="6" t="str"/>
      <x:c r="AA186" s="6" t="str">
        <x:v>Pending</x:v>
      </x:c>
      <x:c r="AB186" s="6" t="str"/>
      <x:c r="AC186" s="6" t="str"/>
      <x:c r="AD186" s="12" t="str"/>
    </x:row>
    <x:row r="187">
      <x:c r="A187" s="6" t="str">
        <x:v>SIR-000186</x:v>
      </x:c>
      <x:c r="B187" s="6" t="str">
        <x:v>SVC000186</x:v>
      </x:c>
      <x:c r="C187" s="6" t="str">
        <x:v>SVC000261</x:v>
      </x:c>
      <x:c r="D187" s="6" t="str">
        <x:v>iPhone 15 Pro Max Battery Replacement</x:v>
      </x:c>
      <x:c r="E187" s="6" t="str">
        <x:v>iPhone 15 Pro Max Battery Replacement</x:v>
      </x:c>
      <x:c r="F187" s="6" t="str">
        <x:v>iphone 15 pro max battery replacement</x:v>
      </x:c>
      <x:c r="G187" s="6" t="str">
        <x:v>Repair</x:v>
      </x:c>
      <x:c r="H187" s="6" t="str">
        <x:v>Miscellaneous Repair</x:v>
      </x:c>
      <x:c r="I187" s="6" t="str">
        <x:v>Phone</x:v>
      </x:c>
      <x:c r="J187" s="6" t="str">
        <x:v>iPhone 15 Pro Max Battery Replacement</x:v>
      </x:c>
      <x:c r="K187" s="6" t="str">
        <x:v>Nocturnix_Master_Services_Catalog_v1.xlsx</x:v>
      </x:c>
      <x:c r="L187" s="6" t="str">
        <x:v>01 - Master Services</x:v>
      </x:c>
      <x:c r="M187" s="6" t="n">
        <x:v>226</x:v>
      </x:c>
      <x:c r="N187" s="6" t="str">
        <x:v>CNF000186</x:v>
      </x:c>
      <x:c r="O187" s="6" t="str"/>
      <x:c r="P187" s="6" t="str">
        <x:v>Pending Verification</x:v>
      </x:c>
      <x:c r="Q187" s="6" t="str"/>
      <x:c r="R187" s="6" t="str"/>
      <x:c r="S187" s="6" t="str"/>
      <x:c r="T187" s="6" t="str"/>
      <x:c r="U187" s="6" t="str"/>
      <x:c r="V187" s="6" t="str">
        <x:v>Unresolved</x:v>
      </x:c>
      <x:c r="W187" s="12" t="str"/>
      <x:c r="X187" s="12" t="str"/>
      <x:c r="Y187" s="6" t="str"/>
      <x:c r="Z187" s="6" t="str"/>
      <x:c r="AA187" s="6" t="str">
        <x:v>Pending</x:v>
      </x:c>
      <x:c r="AB187" s="6" t="str"/>
      <x:c r="AC187" s="6" t="str"/>
      <x:c r="AD187" s="12" t="str"/>
    </x:row>
    <x:row r="188">
      <x:c r="A188" s="6" t="str">
        <x:v>SIR-000187</x:v>
      </x:c>
      <x:c r="B188" s="6" t="str">
        <x:v>SVC000187</x:v>
      </x:c>
      <x:c r="C188" s="6" t="str">
        <x:v>SVC000262</x:v>
      </x:c>
      <x:c r="D188" s="6" t="str">
        <x:v>iPhone 15 Pro Phone Battery Replacement</x:v>
      </x:c>
      <x:c r="E188" s="6" t="str">
        <x:v>iPhone 15 Pro Phone Battery Replacement</x:v>
      </x:c>
      <x:c r="F188" s="6" t="str">
        <x:v>iphone 15 pro phone battery replacement</x:v>
      </x:c>
      <x:c r="G188" s="6" t="str">
        <x:v>Repair</x:v>
      </x:c>
      <x:c r="H188" s="6" t="str">
        <x:v>Miscellaneous Repair</x:v>
      </x:c>
      <x:c r="I188" s="6" t="str">
        <x:v>Phone</x:v>
      </x:c>
      <x:c r="J188" s="6" t="str">
        <x:v>iPhone 15 Pro Phone Battery Replacement</x:v>
      </x:c>
      <x:c r="K188" s="6" t="str">
        <x:v>Nocturnix_Master_Services_Catalog_v1.xlsx</x:v>
      </x:c>
      <x:c r="L188" s="6" t="str">
        <x:v>01 - Master Services</x:v>
      </x:c>
      <x:c r="M188" s="6" t="n">
        <x:v>227</x:v>
      </x:c>
      <x:c r="N188" s="6" t="str">
        <x:v>CNF000187</x:v>
      </x:c>
      <x:c r="O188" s="6" t="str"/>
      <x:c r="P188" s="6" t="str">
        <x:v>Pending Verification</x:v>
      </x:c>
      <x:c r="Q188" s="6" t="str"/>
      <x:c r="R188" s="6" t="str"/>
      <x:c r="S188" s="6" t="str"/>
      <x:c r="T188" s="6" t="str"/>
      <x:c r="U188" s="6" t="str"/>
      <x:c r="V188" s="6" t="str">
        <x:v>Unresolved</x:v>
      </x:c>
      <x:c r="W188" s="12" t="str"/>
      <x:c r="X188" s="12" t="str"/>
      <x:c r="Y188" s="6" t="str"/>
      <x:c r="Z188" s="6" t="str"/>
      <x:c r="AA188" s="6" t="str">
        <x:v>Pending</x:v>
      </x:c>
      <x:c r="AB188" s="6" t="str"/>
      <x:c r="AC188" s="6" t="str"/>
      <x:c r="AD188" s="12" t="str"/>
    </x:row>
    <x:row r="189">
      <x:c r="A189" s="6" t="str">
        <x:v>SIR-000188</x:v>
      </x:c>
      <x:c r="B189" s="6" t="str">
        <x:v>SVC000188</x:v>
      </x:c>
      <x:c r="C189" s="6" t="str">
        <x:v>SVC000263</x:v>
      </x:c>
      <x:c r="D189" s="6" t="str">
        <x:v>iPhone 15 Plus Battery Replacement</x:v>
      </x:c>
      <x:c r="E189" s="6" t="str">
        <x:v>iPhone 15 Plus Battery Replacement</x:v>
      </x:c>
      <x:c r="F189" s="6" t="str">
        <x:v>iphone 15 plus battery replacement</x:v>
      </x:c>
      <x:c r="G189" s="6" t="str">
        <x:v>Repair</x:v>
      </x:c>
      <x:c r="H189" s="6" t="str">
        <x:v>Miscellaneous Repair</x:v>
      </x:c>
      <x:c r="I189" s="6" t="str">
        <x:v>Phone</x:v>
      </x:c>
      <x:c r="J189" s="6" t="str">
        <x:v>iPhone 15 Plus Battery Replacement</x:v>
      </x:c>
      <x:c r="K189" s="6" t="str">
        <x:v>Nocturnix_Master_Services_Catalog_v1.xlsx</x:v>
      </x:c>
      <x:c r="L189" s="6" t="str">
        <x:v>01 - Master Services</x:v>
      </x:c>
      <x:c r="M189" s="6" t="n">
        <x:v>228</x:v>
      </x:c>
      <x:c r="N189" s="6" t="str">
        <x:v>CNF000188</x:v>
      </x:c>
      <x:c r="O189" s="6" t="str"/>
      <x:c r="P189" s="6" t="str">
        <x:v>Pending Verification</x:v>
      </x:c>
      <x:c r="Q189" s="6" t="str"/>
      <x:c r="R189" s="6" t="str"/>
      <x:c r="S189" s="6" t="str"/>
      <x:c r="T189" s="6" t="str"/>
      <x:c r="U189" s="6" t="str"/>
      <x:c r="V189" s="6" t="str">
        <x:v>Unresolved</x:v>
      </x:c>
      <x:c r="W189" s="12" t="str"/>
      <x:c r="X189" s="12" t="str"/>
      <x:c r="Y189" s="6" t="str"/>
      <x:c r="Z189" s="6" t="str"/>
      <x:c r="AA189" s="6" t="str">
        <x:v>Pending</x:v>
      </x:c>
      <x:c r="AB189" s="6" t="str"/>
      <x:c r="AC189" s="6" t="str"/>
      <x:c r="AD189" s="12" t="str"/>
    </x:row>
    <x:row r="190">
      <x:c r="A190" s="6" t="str">
        <x:v>SIR-000189</x:v>
      </x:c>
      <x:c r="B190" s="6" t="str">
        <x:v>SVC000189</x:v>
      </x:c>
      <x:c r="C190" s="6" t="str">
        <x:v>SVC000264</x:v>
      </x:c>
      <x:c r="D190" s="6" t="str">
        <x:v>iPhone 16 Pro Battery Replacement</x:v>
      </x:c>
      <x:c r="E190" s="6" t="str">
        <x:v>iPhone 16 Pro Battery Replacement</x:v>
      </x:c>
      <x:c r="F190" s="6" t="str">
        <x:v>iphone 16 pro battery replacement</x:v>
      </x:c>
      <x:c r="G190" s="6" t="str">
        <x:v>Repair</x:v>
      </x:c>
      <x:c r="H190" s="6" t="str">
        <x:v>Miscellaneous Repair</x:v>
      </x:c>
      <x:c r="I190" s="6" t="str">
        <x:v>Phone</x:v>
      </x:c>
      <x:c r="J190" s="6" t="str">
        <x:v>iPhone 16 Pro Battery Replacement</x:v>
      </x:c>
      <x:c r="K190" s="6" t="str">
        <x:v>Nocturnix_Master_Services_Catalog_v1.xlsx</x:v>
      </x:c>
      <x:c r="L190" s="6" t="str">
        <x:v>01 - Master Services</x:v>
      </x:c>
      <x:c r="M190" s="6" t="n">
        <x:v>229</x:v>
      </x:c>
      <x:c r="N190" s="6" t="str">
        <x:v>CNF000189</x:v>
      </x:c>
      <x:c r="O190" s="6" t="str"/>
      <x:c r="P190" s="6" t="str">
        <x:v>Pending Verification</x:v>
      </x:c>
      <x:c r="Q190" s="6" t="str"/>
      <x:c r="R190" s="6" t="str"/>
      <x:c r="S190" s="6" t="str"/>
      <x:c r="T190" s="6" t="str"/>
      <x:c r="U190" s="6" t="str"/>
      <x:c r="V190" s="6" t="str">
        <x:v>Unresolved</x:v>
      </x:c>
      <x:c r="W190" s="12" t="str"/>
      <x:c r="X190" s="12" t="str"/>
      <x:c r="Y190" s="6" t="str"/>
      <x:c r="Z190" s="6" t="str"/>
      <x:c r="AA190" s="6" t="str">
        <x:v>Pending</x:v>
      </x:c>
      <x:c r="AB190" s="6" t="str"/>
      <x:c r="AC190" s="6" t="str"/>
      <x:c r="AD190" s="12" t="str"/>
    </x:row>
    <x:row r="191">
      <x:c r="A191" s="6" t="str">
        <x:v>SIR-000190</x:v>
      </x:c>
      <x:c r="B191" s="6" t="str">
        <x:v>SVC000190</x:v>
      </x:c>
      <x:c r="C191" s="6" t="str">
        <x:v>SVC000265</x:v>
      </x:c>
      <x:c r="D191" s="6" t="str">
        <x:v>iPhone 15 Battery Replacement</x:v>
      </x:c>
      <x:c r="E191" s="6" t="str">
        <x:v>iPhone 15 Battery Replacement</x:v>
      </x:c>
      <x:c r="F191" s="6" t="str">
        <x:v>iphone 15 battery replacement</x:v>
      </x:c>
      <x:c r="G191" s="6" t="str">
        <x:v>Repair</x:v>
      </x:c>
      <x:c r="H191" s="6" t="str">
        <x:v>Miscellaneous Repair</x:v>
      </x:c>
      <x:c r="I191" s="6" t="str">
        <x:v>Phone</x:v>
      </x:c>
      <x:c r="J191" s="6" t="str">
        <x:v>iPhone 15 Battery Replacement</x:v>
      </x:c>
      <x:c r="K191" s="6" t="str">
        <x:v>Nocturnix_Master_Services_Catalog_v1.xlsx</x:v>
      </x:c>
      <x:c r="L191" s="6" t="str">
        <x:v>01 - Master Services</x:v>
      </x:c>
      <x:c r="M191" s="6" t="n">
        <x:v>230</x:v>
      </x:c>
      <x:c r="N191" s="6" t="str">
        <x:v>CNF000190</x:v>
      </x:c>
      <x:c r="O191" s="6" t="str"/>
      <x:c r="P191" s="6" t="str">
        <x:v>Pending Verification</x:v>
      </x:c>
      <x:c r="Q191" s="6" t="str"/>
      <x:c r="R191" s="6" t="str"/>
      <x:c r="S191" s="6" t="str"/>
      <x:c r="T191" s="6" t="str"/>
      <x:c r="U191" s="6" t="str"/>
      <x:c r="V191" s="6" t="str">
        <x:v>Unresolved</x:v>
      </x:c>
      <x:c r="W191" s="12" t="str"/>
      <x:c r="X191" s="12" t="str"/>
      <x:c r="Y191" s="6" t="str"/>
      <x:c r="Z191" s="6" t="str"/>
      <x:c r="AA191" s="6" t="str">
        <x:v>Pending</x:v>
      </x:c>
      <x:c r="AB191" s="6" t="str"/>
      <x:c r="AC191" s="6" t="str"/>
      <x:c r="AD191" s="12" t="str"/>
    </x:row>
    <x:row r="192">
      <x:c r="A192" s="6" t="str">
        <x:v>SIR-000191</x:v>
      </x:c>
      <x:c r="B192" s="6" t="str">
        <x:v>SVC000191</x:v>
      </x:c>
      <x:c r="C192" s="6" t="str">
        <x:v>SVC000266</x:v>
      </x:c>
      <x:c r="D192" s="6" t="str">
        <x:v>iPhone 14 Pro Battery Replacement</x:v>
      </x:c>
      <x:c r="E192" s="6" t="str">
        <x:v>iPhone 14 Pro Battery Replacement</x:v>
      </x:c>
      <x:c r="F192" s="6" t="str">
        <x:v>iphone 14 pro battery replacement</x:v>
      </x:c>
      <x:c r="G192" s="6" t="str">
        <x:v>Repair</x:v>
      </x:c>
      <x:c r="H192" s="6" t="str">
        <x:v>Miscellaneous Repair</x:v>
      </x:c>
      <x:c r="I192" s="6" t="str">
        <x:v>Phone</x:v>
      </x:c>
      <x:c r="J192" s="6" t="str">
        <x:v>iPhone 14 Pro Battery Replacement</x:v>
      </x:c>
      <x:c r="K192" s="6" t="str">
        <x:v>Nocturnix_Master_Services_Catalog_v1.xlsx</x:v>
      </x:c>
      <x:c r="L192" s="6" t="str">
        <x:v>01 - Master Services</x:v>
      </x:c>
      <x:c r="M192" s="6" t="n">
        <x:v>231</x:v>
      </x:c>
      <x:c r="N192" s="6" t="str">
        <x:v>CNF000191</x:v>
      </x:c>
      <x:c r="O192" s="6" t="str"/>
      <x:c r="P192" s="6" t="str">
        <x:v>Pending Verification</x:v>
      </x:c>
      <x:c r="Q192" s="6" t="str"/>
      <x:c r="R192" s="6" t="str"/>
      <x:c r="S192" s="6" t="str"/>
      <x:c r="T192" s="6" t="str"/>
      <x:c r="U192" s="6" t="str"/>
      <x:c r="V192" s="6" t="str">
        <x:v>Unresolved</x:v>
      </x:c>
      <x:c r="W192" s="12" t="str"/>
      <x:c r="X192" s="12" t="str"/>
      <x:c r="Y192" s="6" t="str"/>
      <x:c r="Z192" s="6" t="str"/>
      <x:c r="AA192" s="6" t="str">
        <x:v>Pending</x:v>
      </x:c>
      <x:c r="AB192" s="6" t="str"/>
      <x:c r="AC192" s="6" t="str"/>
      <x:c r="AD192" s="12" t="str"/>
    </x:row>
    <x:row r="193">
      <x:c r="A193" s="6" t="str">
        <x:v>SIR-000192</x:v>
      </x:c>
      <x:c r="B193" s="6" t="str">
        <x:v>SVC000192</x:v>
      </x:c>
      <x:c r="C193" s="6" t="str">
        <x:v>SVC000267</x:v>
      </x:c>
      <x:c r="D193" s="6" t="str">
        <x:v>iPhone 17 Pro Battery Replacement</x:v>
      </x:c>
      <x:c r="E193" s="6" t="str">
        <x:v>iPhone 17 Pro Battery Replacement</x:v>
      </x:c>
      <x:c r="F193" s="6" t="str">
        <x:v>iphone 17 pro battery replacement</x:v>
      </x:c>
      <x:c r="G193" s="6" t="str">
        <x:v>Repair</x:v>
      </x:c>
      <x:c r="H193" s="6" t="str">
        <x:v>Miscellaneous Repair</x:v>
      </x:c>
      <x:c r="I193" s="6" t="str">
        <x:v>Phone</x:v>
      </x:c>
      <x:c r="J193" s="6" t="str">
        <x:v>iPhone 17 Pro Battery Replacement</x:v>
      </x:c>
      <x:c r="K193" s="6" t="str">
        <x:v>Nocturnix_Master_Services_Catalog_v1.xlsx</x:v>
      </x:c>
      <x:c r="L193" s="6" t="str">
        <x:v>01 - Master Services</x:v>
      </x:c>
      <x:c r="M193" s="6" t="n">
        <x:v>232</x:v>
      </x:c>
      <x:c r="N193" s="6" t="str">
        <x:v>CNF000192</x:v>
      </x:c>
      <x:c r="O193" s="6" t="str"/>
      <x:c r="P193" s="6" t="str">
        <x:v>Pending Verification</x:v>
      </x:c>
      <x:c r="Q193" s="6" t="str"/>
      <x:c r="R193" s="6" t="str"/>
      <x:c r="S193" s="6" t="str"/>
      <x:c r="T193" s="6" t="str"/>
      <x:c r="U193" s="6" t="str"/>
      <x:c r="V193" s="6" t="str">
        <x:v>Unresolved</x:v>
      </x:c>
      <x:c r="W193" s="12" t="str"/>
      <x:c r="X193" s="12" t="str"/>
      <x:c r="Y193" s="6" t="str"/>
      <x:c r="Z193" s="6" t="str"/>
      <x:c r="AA193" s="6" t="str">
        <x:v>Pending</x:v>
      </x:c>
      <x:c r="AB193" s="6" t="str"/>
      <x:c r="AC193" s="6" t="str"/>
      <x:c r="AD193" s="12" t="str"/>
    </x:row>
    <x:row r="194">
      <x:c r="A194" s="6" t="str">
        <x:v>SIR-000193</x:v>
      </x:c>
      <x:c r="B194" s="6" t="str">
        <x:v>SVC000193</x:v>
      </x:c>
      <x:c r="C194" s="6" t="str">
        <x:v>SVC000268</x:v>
      </x:c>
      <x:c r="D194" s="6" t="str">
        <x:v>iPhone 17 Pro Max Phone* Battery Replacement</x:v>
      </x:c>
      <x:c r="E194" s="6" t="str">
        <x:v>iPhone 17 Pro Max Phone* Battery Replacement</x:v>
      </x:c>
      <x:c r="F194" s="6" t="str">
        <x:v>iphone 17 pro max phone battery replacement</x:v>
      </x:c>
      <x:c r="G194" s="6" t="str">
        <x:v>Repair</x:v>
      </x:c>
      <x:c r="H194" s="6" t="str">
        <x:v>Miscellaneous Repair</x:v>
      </x:c>
      <x:c r="I194" s="6" t="str">
        <x:v>Phone</x:v>
      </x:c>
      <x:c r="J194" s="6" t="str">
        <x:v>iPhone 17 Pro Max Phone* Battery Replacement</x:v>
      </x:c>
      <x:c r="K194" s="6" t="str">
        <x:v>Nocturnix_Master_Services_Catalog_v1.xlsx</x:v>
      </x:c>
      <x:c r="L194" s="6" t="str">
        <x:v>01 - Master Services</x:v>
      </x:c>
      <x:c r="M194" s="6" t="n">
        <x:v>233</x:v>
      </x:c>
      <x:c r="N194" s="6" t="str">
        <x:v>CNF000193</x:v>
      </x:c>
      <x:c r="O194" s="6" t="str"/>
      <x:c r="P194" s="6" t="str">
        <x:v>Pending Verification</x:v>
      </x:c>
      <x:c r="Q194" s="6" t="str"/>
      <x:c r="R194" s="6" t="str"/>
      <x:c r="S194" s="6" t="str"/>
      <x:c r="T194" s="6" t="str"/>
      <x:c r="U194" s="6" t="str"/>
      <x:c r="V194" s="6" t="str">
        <x:v>Unresolved</x:v>
      </x:c>
      <x:c r="W194" s="12" t="str"/>
      <x:c r="X194" s="12" t="str"/>
      <x:c r="Y194" s="6" t="str"/>
      <x:c r="Z194" s="6" t="str"/>
      <x:c r="AA194" s="6" t="str">
        <x:v>Pending</x:v>
      </x:c>
      <x:c r="AB194" s="6" t="str"/>
      <x:c r="AC194" s="6" t="str"/>
      <x:c r="AD194" s="12" t="str"/>
    </x:row>
    <x:row r="195">
      <x:c r="A195" s="6" t="str">
        <x:v>SIR-000194</x:v>
      </x:c>
      <x:c r="B195" s="6" t="str">
        <x:v>SVC000194</x:v>
      </x:c>
      <x:c r="C195" s="6" t="str">
        <x:v>SVC000269</x:v>
      </x:c>
      <x:c r="D195" s="6" t="str">
        <x:v>iPhone Air Battery Replacement</x:v>
      </x:c>
      <x:c r="E195" s="6" t="str">
        <x:v>iPhone Air Battery Replacement</x:v>
      </x:c>
      <x:c r="F195" s="6" t="str">
        <x:v>iphone air battery replacement</x:v>
      </x:c>
      <x:c r="G195" s="6" t="str">
        <x:v>Repair</x:v>
      </x:c>
      <x:c r="H195" s="6" t="str">
        <x:v>Miscellaneous Repair</x:v>
      </x:c>
      <x:c r="I195" s="6" t="str">
        <x:v>Phone</x:v>
      </x:c>
      <x:c r="J195" s="6" t="str">
        <x:v>iPhone Air Battery Replacement</x:v>
      </x:c>
      <x:c r="K195" s="6" t="str">
        <x:v>Nocturnix_Master_Services_Catalog_v1.xlsx</x:v>
      </x:c>
      <x:c r="L195" s="6" t="str">
        <x:v>01 - Master Services</x:v>
      </x:c>
      <x:c r="M195" s="6" t="n">
        <x:v>234</x:v>
      </x:c>
      <x:c r="N195" s="6" t="str">
        <x:v>CNF000194</x:v>
      </x:c>
      <x:c r="O195" s="6" t="str"/>
      <x:c r="P195" s="6" t="str">
        <x:v>Pending Verification</x:v>
      </x:c>
      <x:c r="Q195" s="6" t="str"/>
      <x:c r="R195" s="6" t="str"/>
      <x:c r="S195" s="6" t="str"/>
      <x:c r="T195" s="6" t="str"/>
      <x:c r="U195" s="6" t="str"/>
      <x:c r="V195" s="6" t="str">
        <x:v>Unresolved</x:v>
      </x:c>
      <x:c r="W195" s="12" t="str"/>
      <x:c r="X195" s="12" t="str"/>
      <x:c r="Y195" s="6" t="str"/>
      <x:c r="Z195" s="6" t="str"/>
      <x:c r="AA195" s="6" t="str">
        <x:v>Pending</x:v>
      </x:c>
      <x:c r="AB195" s="6" t="str"/>
      <x:c r="AC195" s="6" t="str"/>
      <x:c r="AD195" s="12" t="str"/>
    </x:row>
    <x:row r="196">
      <x:c r="A196" s="6" t="str">
        <x:v>SIR-000195</x:v>
      </x:c>
      <x:c r="B196" s="6" t="str">
        <x:v>SVC000195</x:v>
      </x:c>
      <x:c r="C196" s="6" t="str">
        <x:v>SVC000270</x:v>
      </x:c>
      <x:c r="D196" s="6" t="str">
        <x:v>iPhone XR Battery Replacement</x:v>
      </x:c>
      <x:c r="E196" s="6" t="str">
        <x:v>iPhone XR Battery Replacement</x:v>
      </x:c>
      <x:c r="F196" s="6" t="str">
        <x:v>iphone xr battery replacement</x:v>
      </x:c>
      <x:c r="G196" s="6" t="str">
        <x:v>Repair</x:v>
      </x:c>
      <x:c r="H196" s="6" t="str">
        <x:v>Miscellaneous Repair</x:v>
      </x:c>
      <x:c r="I196" s="6" t="str">
        <x:v>Phone</x:v>
      </x:c>
      <x:c r="J196" s="6" t="str">
        <x:v>iPhone XR Battery Replacement</x:v>
      </x:c>
      <x:c r="K196" s="6" t="str">
        <x:v>Nocturnix_Master_Services_Catalog_v1.xlsx</x:v>
      </x:c>
      <x:c r="L196" s="6" t="str">
        <x:v>01 - Master Services</x:v>
      </x:c>
      <x:c r="M196" s="6" t="n">
        <x:v>235</x:v>
      </x:c>
      <x:c r="N196" s="6" t="str">
        <x:v>CNF000195</x:v>
      </x:c>
      <x:c r="O196" s="6" t="str"/>
      <x:c r="P196" s="6" t="str">
        <x:v>Pending Verification</x:v>
      </x:c>
      <x:c r="Q196" s="6" t="str"/>
      <x:c r="R196" s="6" t="str"/>
      <x:c r="S196" s="6" t="str"/>
      <x:c r="T196" s="6" t="str"/>
      <x:c r="U196" s="6" t="str"/>
      <x:c r="V196" s="6" t="str">
        <x:v>Unresolved</x:v>
      </x:c>
      <x:c r="W196" s="12" t="str"/>
      <x:c r="X196" s="12" t="str"/>
      <x:c r="Y196" s="6" t="str"/>
      <x:c r="Z196" s="6" t="str"/>
      <x:c r="AA196" s="6" t="str">
        <x:v>Pending</x:v>
      </x:c>
      <x:c r="AB196" s="6" t="str"/>
      <x:c r="AC196" s="6" t="str"/>
      <x:c r="AD196" s="12" t="str"/>
    </x:row>
    <x:row r="197">
      <x:c r="A197" s="6" t="str">
        <x:v>SIR-000196</x:v>
      </x:c>
      <x:c r="B197" s="6" t="str">
        <x:v>SVC000196</x:v>
      </x:c>
      <x:c r="C197" s="6" t="str">
        <x:v>SVC000271</x:v>
      </x:c>
      <x:c r="D197" s="6" t="str">
        <x:v>iPhone XS Max Battery Replacement</x:v>
      </x:c>
      <x:c r="E197" s="6" t="str">
        <x:v>iPhone XS Max Battery Replacement</x:v>
      </x:c>
      <x:c r="F197" s="6" t="str">
        <x:v>iphone xs max battery replacement</x:v>
      </x:c>
      <x:c r="G197" s="6" t="str">
        <x:v>Repair</x:v>
      </x:c>
      <x:c r="H197" s="6" t="str">
        <x:v>Miscellaneous Repair</x:v>
      </x:c>
      <x:c r="I197" s="6" t="str">
        <x:v>Phone</x:v>
      </x:c>
      <x:c r="J197" s="6" t="str">
        <x:v>iPhone XS Max Battery Replacement</x:v>
      </x:c>
      <x:c r="K197" s="6" t="str">
        <x:v>Nocturnix_Master_Services_Catalog_v1.xlsx</x:v>
      </x:c>
      <x:c r="L197" s="6" t="str">
        <x:v>01 - Master Services</x:v>
      </x:c>
      <x:c r="M197" s="6" t="n">
        <x:v>236</x:v>
      </x:c>
      <x:c r="N197" s="6" t="str">
        <x:v>CNF000196</x:v>
      </x:c>
      <x:c r="O197" s="6" t="str"/>
      <x:c r="P197" s="6" t="str">
        <x:v>Pending Verification</x:v>
      </x:c>
      <x:c r="Q197" s="6" t="str"/>
      <x:c r="R197" s="6" t="str"/>
      <x:c r="S197" s="6" t="str"/>
      <x:c r="T197" s="6" t="str"/>
      <x:c r="U197" s="6" t="str"/>
      <x:c r="V197" s="6" t="str">
        <x:v>Unresolved</x:v>
      </x:c>
      <x:c r="W197" s="12" t="str"/>
      <x:c r="X197" s="12" t="str"/>
      <x:c r="Y197" s="6" t="str"/>
      <x:c r="Z197" s="6" t="str"/>
      <x:c r="AA197" s="6" t="str">
        <x:v>Pending</x:v>
      </x:c>
      <x:c r="AB197" s="6" t="str"/>
      <x:c r="AC197" s="6" t="str"/>
      <x:c r="AD197" s="12" t="str"/>
    </x:row>
    <x:row r="198">
      <x:c r="A198" s="6" t="str">
        <x:v>SIR-000197</x:v>
      </x:c>
      <x:c r="B198" s="6" t="str">
        <x:v>SVC000197</x:v>
      </x:c>
      <x:c r="C198" s="6" t="str">
        <x:v>SVC000272</x:v>
      </x:c>
      <x:c r="D198" s="6" t="str">
        <x:v>iPhone X Battery Replacement</x:v>
      </x:c>
      <x:c r="E198" s="6" t="str">
        <x:v>iPhone X Battery Replacement</x:v>
      </x:c>
      <x:c r="F198" s="6" t="str">
        <x:v>iphone x battery replacement</x:v>
      </x:c>
      <x:c r="G198" s="6" t="str">
        <x:v>Repair</x:v>
      </x:c>
      <x:c r="H198" s="6" t="str">
        <x:v>Miscellaneous Repair</x:v>
      </x:c>
      <x:c r="I198" s="6" t="str">
        <x:v>Phone</x:v>
      </x:c>
      <x:c r="J198" s="6" t="str">
        <x:v>iPhone X Battery Replacement</x:v>
      </x:c>
      <x:c r="K198" s="6" t="str">
        <x:v>Nocturnix_Master_Services_Catalog_v1.xlsx</x:v>
      </x:c>
      <x:c r="L198" s="6" t="str">
        <x:v>01 - Master Services</x:v>
      </x:c>
      <x:c r="M198" s="6" t="n">
        <x:v>237</x:v>
      </x:c>
      <x:c r="N198" s="6" t="str">
        <x:v>CNF000197</x:v>
      </x:c>
      <x:c r="O198" s="6" t="str"/>
      <x:c r="P198" s="6" t="str">
        <x:v>Pending Verification</x:v>
      </x:c>
      <x:c r="Q198" s="6" t="str"/>
      <x:c r="R198" s="6" t="str"/>
      <x:c r="S198" s="6" t="str"/>
      <x:c r="T198" s="6" t="str"/>
      <x:c r="U198" s="6" t="str"/>
      <x:c r="V198" s="6" t="str">
        <x:v>Unresolved</x:v>
      </x:c>
      <x:c r="W198" s="12" t="str"/>
      <x:c r="X198" s="12" t="str"/>
      <x:c r="Y198" s="6" t="str"/>
      <x:c r="Z198" s="6" t="str"/>
      <x:c r="AA198" s="6" t="str">
        <x:v>Pending</x:v>
      </x:c>
      <x:c r="AB198" s="6" t="str"/>
      <x:c r="AC198" s="6" t="str"/>
      <x:c r="AD198" s="12" t="str"/>
    </x:row>
    <x:row r="199">
      <x:c r="A199" s="6" t="str">
        <x:v>SIR-000198</x:v>
      </x:c>
      <x:c r="B199" s="6" t="str">
        <x:v>SVC000198</x:v>
      </x:c>
      <x:c r="C199" s="6" t="str">
        <x:v>SVC000273</x:v>
      </x:c>
      <x:c r="D199" s="6" t="str">
        <x:v>iPhone SE(1ST GEN) Battery Replacement</x:v>
      </x:c>
      <x:c r="E199" s="6" t="str">
        <x:v>iPhone SE(1ST GEN) Battery Replacement</x:v>
      </x:c>
      <x:c r="F199" s="6" t="str">
        <x:v>iphone se 1st gen battery replacement</x:v>
      </x:c>
      <x:c r="G199" s="6" t="str">
        <x:v>Repair</x:v>
      </x:c>
      <x:c r="H199" s="6" t="str">
        <x:v>Miscellaneous Repair</x:v>
      </x:c>
      <x:c r="I199" s="6" t="str">
        <x:v>Phone</x:v>
      </x:c>
      <x:c r="J199" s="6" t="str">
        <x:v>iPhone SE(1ST GEN) Battery Replacement</x:v>
      </x:c>
      <x:c r="K199" s="6" t="str">
        <x:v>Nocturnix_Master_Services_Catalog_v1.xlsx</x:v>
      </x:c>
      <x:c r="L199" s="6" t="str">
        <x:v>01 - Master Services</x:v>
      </x:c>
      <x:c r="M199" s="6" t="n">
        <x:v>238</x:v>
      </x:c>
      <x:c r="N199" s="6" t="str">
        <x:v>CNF000198</x:v>
      </x:c>
      <x:c r="O199" s="6" t="str"/>
      <x:c r="P199" s="6" t="str">
        <x:v>Pending Verification</x:v>
      </x:c>
      <x:c r="Q199" s="6" t="str"/>
      <x:c r="R199" s="6" t="str"/>
      <x:c r="S199" s="6" t="str"/>
      <x:c r="T199" s="6" t="str"/>
      <x:c r="U199" s="6" t="str"/>
      <x:c r="V199" s="6" t="str">
        <x:v>Unresolved</x:v>
      </x:c>
      <x:c r="W199" s="12" t="str"/>
      <x:c r="X199" s="12" t="str"/>
      <x:c r="Y199" s="6" t="str"/>
      <x:c r="Z199" s="6" t="str"/>
      <x:c r="AA199" s="6" t="str">
        <x:v>Pending</x:v>
      </x:c>
      <x:c r="AB199" s="6" t="str"/>
      <x:c r="AC199" s="6" t="str"/>
      <x:c r="AD199" s="12" t="str"/>
    </x:row>
    <x:row r="200">
      <x:c r="A200" s="6" t="str">
        <x:v>SIR-000199</x:v>
      </x:c>
      <x:c r="B200" s="6" t="str">
        <x:v>SVC000199</x:v>
      </x:c>
      <x:c r="C200" s="6" t="str">
        <x:v>SVC000274</x:v>
      </x:c>
      <x:c r="D200" s="6" t="str">
        <x:v>iPhone XS Battery Replacement</x:v>
      </x:c>
      <x:c r="E200" s="6" t="str">
        <x:v>iPhone XS Battery Replacement</x:v>
      </x:c>
      <x:c r="F200" s="6" t="str">
        <x:v>iphone xs battery replacement</x:v>
      </x:c>
      <x:c r="G200" s="6" t="str">
        <x:v>Repair</x:v>
      </x:c>
      <x:c r="H200" s="6" t="str">
        <x:v>Miscellaneous Repair</x:v>
      </x:c>
      <x:c r="I200" s="6" t="str">
        <x:v>Phone</x:v>
      </x:c>
      <x:c r="J200" s="6" t="str">
        <x:v>iPhone XS Battery Replacement</x:v>
      </x:c>
      <x:c r="K200" s="6" t="str">
        <x:v>Nocturnix_Master_Services_Catalog_v1.xlsx</x:v>
      </x:c>
      <x:c r="L200" s="6" t="str">
        <x:v>01 - Master Services</x:v>
      </x:c>
      <x:c r="M200" s="6" t="n">
        <x:v>239</x:v>
      </x:c>
      <x:c r="N200" s="6" t="str">
        <x:v>CNF000199</x:v>
      </x:c>
      <x:c r="O200" s="6" t="str"/>
      <x:c r="P200" s="6" t="str">
        <x:v>Pending Verification</x:v>
      </x:c>
      <x:c r="Q200" s="6" t="str"/>
      <x:c r="R200" s="6" t="str"/>
      <x:c r="S200" s="6" t="str"/>
      <x:c r="T200" s="6" t="str"/>
      <x:c r="U200" s="6" t="str"/>
      <x:c r="V200" s="6" t="str">
        <x:v>Unresolved</x:v>
      </x:c>
      <x:c r="W200" s="12" t="str"/>
      <x:c r="X200" s="12" t="str"/>
      <x:c r="Y200" s="6" t="str"/>
      <x:c r="Z200" s="6" t="str"/>
      <x:c r="AA200" s="6" t="str">
        <x:v>Pending</x:v>
      </x:c>
      <x:c r="AB200" s="6" t="str"/>
      <x:c r="AC200" s="6" t="str"/>
      <x:c r="AD200" s="12" t="str"/>
    </x:row>
    <x:row r="201">
      <x:c r="A201" s="6" t="str">
        <x:v>SIR-000200</x:v>
      </x:c>
      <x:c r="B201" s="6" t="str">
        <x:v>SVC000200</x:v>
      </x:c>
      <x:c r="C201" s="6" t="str">
        <x:v>SVC000275</x:v>
      </x:c>
      <x:c r="D201" s="6" t="str">
        <x:v>iPhone SE (3RD GEN) Battery Replacement</x:v>
      </x:c>
      <x:c r="E201" s="6" t="str">
        <x:v>iPhone SE (3RD GEN) Battery Replacement</x:v>
      </x:c>
      <x:c r="F201" s="6" t="str">
        <x:v>iphone se 3rd gen battery replacement</x:v>
      </x:c>
      <x:c r="G201" s="6" t="str">
        <x:v>Repair</x:v>
      </x:c>
      <x:c r="H201" s="6" t="str">
        <x:v>Miscellaneous Repair</x:v>
      </x:c>
      <x:c r="I201" s="6" t="str">
        <x:v>Phone</x:v>
      </x:c>
      <x:c r="J201" s="6" t="str">
        <x:v>iPhone SE (3RD GEN) Battery Replacement</x:v>
      </x:c>
      <x:c r="K201" s="6" t="str">
        <x:v>Nocturnix_Master_Services_Catalog_v1.xlsx</x:v>
      </x:c>
      <x:c r="L201" s="6" t="str">
        <x:v>01 - Master Services</x:v>
      </x:c>
      <x:c r="M201" s="6" t="n">
        <x:v>240</x:v>
      </x:c>
      <x:c r="N201" s="6" t="str">
        <x:v>CNF000200</x:v>
      </x:c>
      <x:c r="O201" s="6" t="str"/>
      <x:c r="P201" s="6" t="str">
        <x:v>Pending Verification</x:v>
      </x:c>
      <x:c r="Q201" s="6" t="str"/>
      <x:c r="R201" s="6" t="str"/>
      <x:c r="S201" s="6" t="str"/>
      <x:c r="T201" s="6" t="str"/>
      <x:c r="U201" s="6" t="str"/>
      <x:c r="V201" s="6" t="str">
        <x:v>Unresolved</x:v>
      </x:c>
      <x:c r="W201" s="12" t="str"/>
      <x:c r="X201" s="12" t="str"/>
      <x:c r="Y201" s="6" t="str"/>
      <x:c r="Z201" s="6" t="str"/>
      <x:c r="AA201" s="6" t="str">
        <x:v>Pending</x:v>
      </x:c>
      <x:c r="AB201" s="6" t="str"/>
      <x:c r="AC201" s="6" t="str"/>
      <x:c r="AD201" s="12" t="str"/>
    </x:row>
    <x:row r="202">
      <x:c r="A202" s="6" t="str">
        <x:v>SIR-000201</x:v>
      </x:c>
      <x:c r="B202" s="6" t="str">
        <x:v>SVC000201</x:v>
      </x:c>
      <x:c r="C202" s="6" t="str">
        <x:v>SVC000276</x:v>
      </x:c>
      <x:c r="D202" s="6" t="str">
        <x:v>iPhone SE (2ND GEN) Battery Replacement</x:v>
      </x:c>
      <x:c r="E202" s="6" t="str">
        <x:v>iPhone SE (2ND GEN) Battery Replacement</x:v>
      </x:c>
      <x:c r="F202" s="6" t="str">
        <x:v>iphone se 2nd gen battery replacement</x:v>
      </x:c>
      <x:c r="G202" s="6" t="str">
        <x:v>Repair</x:v>
      </x:c>
      <x:c r="H202" s="6" t="str">
        <x:v>Miscellaneous Repair</x:v>
      </x:c>
      <x:c r="I202" s="6" t="str">
        <x:v>Phone</x:v>
      </x:c>
      <x:c r="J202" s="6" t="str">
        <x:v>iPhone SE (2ND GEN) Battery Replacement</x:v>
      </x:c>
      <x:c r="K202" s="6" t="str">
        <x:v>Nocturnix_Master_Services_Catalog_v1.xlsx</x:v>
      </x:c>
      <x:c r="L202" s="6" t="str">
        <x:v>01 - Master Services</x:v>
      </x:c>
      <x:c r="M202" s="6" t="n">
        <x:v>241</x:v>
      </x:c>
      <x:c r="N202" s="6" t="str">
        <x:v>CNF000201</x:v>
      </x:c>
      <x:c r="O202" s="6" t="str"/>
      <x:c r="P202" s="6" t="str">
        <x:v>Pending Verification</x:v>
      </x:c>
      <x:c r="Q202" s="6" t="str"/>
      <x:c r="R202" s="6" t="str"/>
      <x:c r="S202" s="6" t="str"/>
      <x:c r="T202" s="6" t="str"/>
      <x:c r="U202" s="6" t="str"/>
      <x:c r="V202" s="6" t="str">
        <x:v>Unresolved</x:v>
      </x:c>
      <x:c r="W202" s="12" t="str"/>
      <x:c r="X202" s="12" t="str"/>
      <x:c r="Y202" s="6" t="str"/>
      <x:c r="Z202" s="6" t="str"/>
      <x:c r="AA202" s="6" t="str">
        <x:v>Pending</x:v>
      </x:c>
      <x:c r="AB202" s="6" t="str"/>
      <x:c r="AC202" s="6" t="str"/>
      <x:c r="AD202" s="12" t="str"/>
    </x:row>
    <x:row r="203">
      <x:c r="A203" s="6" t="str">
        <x:v>SIR-000202</x:v>
      </x:c>
      <x:c r="B203" s="6" t="str">
        <x:v>SVC000202</x:v>
      </x:c>
      <x:c r="C203" s="6" t="str">
        <x:v>SVC000277</x:v>
      </x:c>
      <x:c r="D203" s="6" t="str">
        <x:v>iPhone 7 Battery Replacement</x:v>
      </x:c>
      <x:c r="E203" s="6" t="str">
        <x:v>iPhone 7 Battery Replacement</x:v>
      </x:c>
      <x:c r="F203" s="6" t="str">
        <x:v>iphone 7 battery replacement</x:v>
      </x:c>
      <x:c r="G203" s="6" t="str">
        <x:v>Repair</x:v>
      </x:c>
      <x:c r="H203" s="6" t="str">
        <x:v>Miscellaneous Repair</x:v>
      </x:c>
      <x:c r="I203" s="6" t="str">
        <x:v>Phone</x:v>
      </x:c>
      <x:c r="J203" s="6" t="str">
        <x:v>iPhone 7 Battery Replacement</x:v>
      </x:c>
      <x:c r="K203" s="6" t="str">
        <x:v>Nocturnix_Master_Services_Catalog_v1.xlsx</x:v>
      </x:c>
      <x:c r="L203" s="6" t="str">
        <x:v>01 - Master Services</x:v>
      </x:c>
      <x:c r="M203" s="6" t="n">
        <x:v>242</x:v>
      </x:c>
      <x:c r="N203" s="6" t="str">
        <x:v>CNF000202</x:v>
      </x:c>
      <x:c r="O203" s="6" t="str">
        <x:v>DUP000006</x:v>
      </x:c>
      <x:c r="P203" s="6" t="str">
        <x:v>Pending Verification</x:v>
      </x:c>
      <x:c r="Q203" s="6" t="str"/>
      <x:c r="R203" s="6" t="str"/>
      <x:c r="S203" s="6" t="str"/>
      <x:c r="T203" s="6" t="str"/>
      <x:c r="U203" s="6" t="str"/>
      <x:c r="V203" s="6" t="str">
        <x:v>Unresolved</x:v>
      </x:c>
      <x:c r="W203" s="12" t="str"/>
      <x:c r="X203" s="12" t="str"/>
      <x:c r="Y203" s="6" t="str"/>
      <x:c r="Z203" s="6" t="str"/>
      <x:c r="AA203" s="6" t="str">
        <x:v>Pending</x:v>
      </x:c>
      <x:c r="AB203" s="6" t="str"/>
      <x:c r="AC203" s="6" t="str"/>
      <x:c r="AD203" s="12" t="str"/>
    </x:row>
    <x:row r="204">
      <x:c r="A204" s="6" t="str">
        <x:v>SIR-000203</x:v>
      </x:c>
      <x:c r="B204" s="6" t="str">
        <x:v>SVC000203</x:v>
      </x:c>
      <x:c r="C204" s="6" t="str">
        <x:v>SVC000278</x:v>
      </x:c>
      <x:c r="D204" s="6" t="str">
        <x:v>iPhone 4S Battery Replacement</x:v>
      </x:c>
      <x:c r="E204" s="6" t="str">
        <x:v>iPhone 4S Battery Replacement</x:v>
      </x:c>
      <x:c r="F204" s="6" t="str">
        <x:v>iphone 4s battery replacement</x:v>
      </x:c>
      <x:c r="G204" s="6" t="str">
        <x:v>Repair</x:v>
      </x:c>
      <x:c r="H204" s="6" t="str">
        <x:v>Miscellaneous Repair</x:v>
      </x:c>
      <x:c r="I204" s="6" t="str">
        <x:v>Phone</x:v>
      </x:c>
      <x:c r="J204" s="6" t="str">
        <x:v>iPhone 4S Battery Replacement</x:v>
      </x:c>
      <x:c r="K204" s="6" t="str">
        <x:v>Nocturnix_Master_Services_Catalog_v1.xlsx</x:v>
      </x:c>
      <x:c r="L204" s="6" t="str">
        <x:v>01 - Master Services</x:v>
      </x:c>
      <x:c r="M204" s="6" t="n">
        <x:v>243</x:v>
      </x:c>
      <x:c r="N204" s="6" t="str">
        <x:v>CNF000203</x:v>
      </x:c>
      <x:c r="O204" s="6" t="str">
        <x:v>DUP000007</x:v>
      </x:c>
      <x:c r="P204" s="6" t="str">
        <x:v>Pending Verification</x:v>
      </x:c>
      <x:c r="Q204" s="6" t="str"/>
      <x:c r="R204" s="6" t="str"/>
      <x:c r="S204" s="6" t="str"/>
      <x:c r="T204" s="6" t="str"/>
      <x:c r="U204" s="6" t="str"/>
      <x:c r="V204" s="6" t="str">
        <x:v>Unresolved</x:v>
      </x:c>
      <x:c r="W204" s="12" t="str"/>
      <x:c r="X204" s="12" t="str"/>
      <x:c r="Y204" s="6" t="str"/>
      <x:c r="Z204" s="6" t="str"/>
      <x:c r="AA204" s="6" t="str">
        <x:v>Pending</x:v>
      </x:c>
      <x:c r="AB204" s="6" t="str"/>
      <x:c r="AC204" s="6" t="str"/>
      <x:c r="AD204" s="12" t="str"/>
    </x:row>
    <x:row r="205">
      <x:c r="A205" s="6" t="str">
        <x:v>SIR-000204</x:v>
      </x:c>
      <x:c r="B205" s="6" t="str">
        <x:v>SVC000204</x:v>
      </x:c>
      <x:c r="C205" s="6" t="str">
        <x:v>SVC000279</x:v>
      </x:c>
      <x:c r="D205" s="6" t="str">
        <x:v>iPhone 4S Battery Replacement</x:v>
      </x:c>
      <x:c r="E205" s="6" t="str">
        <x:v>iPhone 4S Battery Replacement</x:v>
      </x:c>
      <x:c r="F205" s="6" t="str">
        <x:v>iphone 4s battery replacement</x:v>
      </x:c>
      <x:c r="G205" s="6" t="str">
        <x:v>Repair</x:v>
      </x:c>
      <x:c r="H205" s="6" t="str">
        <x:v>Miscellaneous Repair</x:v>
      </x:c>
      <x:c r="I205" s="6" t="str">
        <x:v>Phone</x:v>
      </x:c>
      <x:c r="J205" s="6" t="str">
        <x:v>iPhone 4S Battery Replacement</x:v>
      </x:c>
      <x:c r="K205" s="6" t="str">
        <x:v>Nocturnix_Master_Services_Catalog_v1.xlsx</x:v>
      </x:c>
      <x:c r="L205" s="6" t="str">
        <x:v>01 - Master Services</x:v>
      </x:c>
      <x:c r="M205" s="6" t="n">
        <x:v>244</x:v>
      </x:c>
      <x:c r="N205" s="6" t="str">
        <x:v>CNF000204</x:v>
      </x:c>
      <x:c r="O205" s="6" t="str">
        <x:v>DUP000007</x:v>
      </x:c>
      <x:c r="P205" s="6" t="str">
        <x:v>Pending Verification</x:v>
      </x:c>
      <x:c r="Q205" s="6" t="str"/>
      <x:c r="R205" s="6" t="str"/>
      <x:c r="S205" s="6" t="str"/>
      <x:c r="T205" s="6" t="str"/>
      <x:c r="U205" s="6" t="str"/>
      <x:c r="V205" s="6" t="str">
        <x:v>Unresolved</x:v>
      </x:c>
      <x:c r="W205" s="12" t="str"/>
      <x:c r="X205" s="12" t="str"/>
      <x:c r="Y205" s="6" t="str"/>
      <x:c r="Z205" s="6" t="str"/>
      <x:c r="AA205" s="6" t="str">
        <x:v>Pending</x:v>
      </x:c>
      <x:c r="AB205" s="6" t="str"/>
      <x:c r="AC205" s="6" t="str"/>
      <x:c r="AD205" s="12" t="str"/>
    </x:row>
    <x:row r="206">
      <x:c r="A206" s="6" t="str">
        <x:v>SIR-000205</x:v>
      </x:c>
      <x:c r="B206" s="6" t="str">
        <x:v>SVC000205</x:v>
      </x:c>
      <x:c r="C206" s="6" t="str">
        <x:v>SVC000280</x:v>
      </x:c>
      <x:c r="D206" s="6" t="str">
        <x:v>Galaxy S 25 FE Battery Replacement</x:v>
      </x:c>
      <x:c r="E206" s="6" t="str">
        <x:v>Galaxy S 25 FE Battery Replacement</x:v>
      </x:c>
      <x:c r="F206" s="6" t="str">
        <x:v>galaxy s 25 fe battery replacement</x:v>
      </x:c>
      <x:c r="G206" s="6" t="str">
        <x:v>Repair</x:v>
      </x:c>
      <x:c r="H206" s="6" t="str">
        <x:v>Miscellaneous Repair</x:v>
      </x:c>
      <x:c r="I206" s="6" t="str">
        <x:v>Phone</x:v>
      </x:c>
      <x:c r="J206" s="6" t="str">
        <x:v>Galaxy S 25 FE Battery Replacement</x:v>
      </x:c>
      <x:c r="K206" s="6" t="str">
        <x:v>Nocturnix_Master_Services_Catalog_v1.xlsx</x:v>
      </x:c>
      <x:c r="L206" s="6" t="str">
        <x:v>01 - Master Services</x:v>
      </x:c>
      <x:c r="M206" s="6" t="n">
        <x:v>245</x:v>
      </x:c>
      <x:c r="N206" s="6" t="str">
        <x:v>CNF000205</x:v>
      </x:c>
      <x:c r="O206" s="6" t="str"/>
      <x:c r="P206" s="6" t="str">
        <x:v>Pending Verification</x:v>
      </x:c>
      <x:c r="Q206" s="6" t="str"/>
      <x:c r="R206" s="6" t="str"/>
      <x:c r="S206" s="6" t="str"/>
      <x:c r="T206" s="6" t="str"/>
      <x:c r="U206" s="6" t="str"/>
      <x:c r="V206" s="6" t="str">
        <x:v>Unresolved</x:v>
      </x:c>
      <x:c r="W206" s="12" t="str"/>
      <x:c r="X206" s="12" t="str"/>
      <x:c r="Y206" s="6" t="str"/>
      <x:c r="Z206" s="6" t="str"/>
      <x:c r="AA206" s="6" t="str">
        <x:v>Pending</x:v>
      </x:c>
      <x:c r="AB206" s="6" t="str"/>
      <x:c r="AC206" s="6" t="str"/>
      <x:c r="AD206" s="12" t="str"/>
    </x:row>
    <x:row r="207">
      <x:c r="A207" s="6" t="str">
        <x:v>SIR-000206</x:v>
      </x:c>
      <x:c r="B207" s="6" t="str">
        <x:v>SVC000206</x:v>
      </x:c>
      <x:c r="C207" s="6" t="str">
        <x:v>SVC000281</x:v>
      </x:c>
      <x:c r="D207" s="6" t="str">
        <x:v>iPhone 6 Battery Replacement</x:v>
      </x:c>
      <x:c r="E207" s="6" t="str">
        <x:v>iPhone 6 Battery Replacement</x:v>
      </x:c>
      <x:c r="F207" s="6" t="str">
        <x:v>iphone 6 battery replacement</x:v>
      </x:c>
      <x:c r="G207" s="6" t="str">
        <x:v>Repair</x:v>
      </x:c>
      <x:c r="H207" s="6" t="str">
        <x:v>Miscellaneous Repair</x:v>
      </x:c>
      <x:c r="I207" s="6" t="str">
        <x:v>Phone</x:v>
      </x:c>
      <x:c r="J207" s="6" t="str">
        <x:v>iPhone 6 Battery Replacement</x:v>
      </x:c>
      <x:c r="K207" s="6" t="str">
        <x:v>Nocturnix_Master_Services_Catalog_v1.xlsx</x:v>
      </x:c>
      <x:c r="L207" s="6" t="str">
        <x:v>01 - Master Services</x:v>
      </x:c>
      <x:c r="M207" s="6" t="n">
        <x:v>246</x:v>
      </x:c>
      <x:c r="N207" s="6" t="str">
        <x:v>CNF000206</x:v>
      </x:c>
      <x:c r="O207" s="6" t="str">
        <x:v>DUP000010</x:v>
      </x:c>
      <x:c r="P207" s="6" t="str">
        <x:v>Pending Verification</x:v>
      </x:c>
      <x:c r="Q207" s="6" t="str"/>
      <x:c r="R207" s="6" t="str"/>
      <x:c r="S207" s="6" t="str"/>
      <x:c r="T207" s="6" t="str"/>
      <x:c r="U207" s="6" t="str"/>
      <x:c r="V207" s="6" t="str">
        <x:v>Unresolved</x:v>
      </x:c>
      <x:c r="W207" s="12" t="str"/>
      <x:c r="X207" s="12" t="str"/>
      <x:c r="Y207" s="6" t="str"/>
      <x:c r="Z207" s="6" t="str"/>
      <x:c r="AA207" s="6" t="str">
        <x:v>Pending</x:v>
      </x:c>
      <x:c r="AB207" s="6" t="str"/>
      <x:c r="AC207" s="6" t="str"/>
      <x:c r="AD207" s="12" t="str"/>
    </x:row>
    <x:row r="208">
      <x:c r="A208" s="6" t="str">
        <x:v>SIR-000207</x:v>
      </x:c>
      <x:c r="B208" s="6" t="str">
        <x:v>SVC000207</x:v>
      </x:c>
      <x:c r="C208" s="6" t="str">
        <x:v>SVC000282</x:v>
      </x:c>
      <x:c r="D208" s="6" t="str">
        <x:v>iPhone 6 Battery Replacement</x:v>
      </x:c>
      <x:c r="E208" s="6" t="str">
        <x:v>iPhone 6 Battery Replacement</x:v>
      </x:c>
      <x:c r="F208" s="6" t="str">
        <x:v>iphone 6 battery replacement</x:v>
      </x:c>
      <x:c r="G208" s="6" t="str">
        <x:v>Repair</x:v>
      </x:c>
      <x:c r="H208" s="6" t="str">
        <x:v>Miscellaneous Repair</x:v>
      </x:c>
      <x:c r="I208" s="6" t="str">
        <x:v>Phone</x:v>
      </x:c>
      <x:c r="J208" s="6" t="str">
        <x:v>iPhone 6 Battery Replacement</x:v>
      </x:c>
      <x:c r="K208" s="6" t="str">
        <x:v>Nocturnix_Master_Services_Catalog_v1.xlsx</x:v>
      </x:c>
      <x:c r="L208" s="6" t="str">
        <x:v>01 - Master Services</x:v>
      </x:c>
      <x:c r="M208" s="6" t="n">
        <x:v>247</x:v>
      </x:c>
      <x:c r="N208" s="6" t="str">
        <x:v>CNF000207</x:v>
      </x:c>
      <x:c r="O208" s="6" t="str">
        <x:v>DUP000010</x:v>
      </x:c>
      <x:c r="P208" s="6" t="str">
        <x:v>Pending Verification</x:v>
      </x:c>
      <x:c r="Q208" s="6" t="str"/>
      <x:c r="R208" s="6" t="str"/>
      <x:c r="S208" s="6" t="str"/>
      <x:c r="T208" s="6" t="str"/>
      <x:c r="U208" s="6" t="str"/>
      <x:c r="V208" s="6" t="str">
        <x:v>Unresolved</x:v>
      </x:c>
      <x:c r="W208" s="12" t="str"/>
      <x:c r="X208" s="12" t="str"/>
      <x:c r="Y208" s="6" t="str"/>
      <x:c r="Z208" s="6" t="str"/>
      <x:c r="AA208" s="6" t="str">
        <x:v>Pending</x:v>
      </x:c>
      <x:c r="AB208" s="6" t="str"/>
      <x:c r="AC208" s="6" t="str"/>
      <x:c r="AD208" s="12" t="str"/>
    </x:row>
    <x:row r="209">
      <x:c r="A209" s="6" t="str">
        <x:v>SIR-000208</x:v>
      </x:c>
      <x:c r="B209" s="6" t="str">
        <x:v>SVC000208</x:v>
      </x:c>
      <x:c r="C209" s="6" t="str">
        <x:v>SVC000283</x:v>
      </x:c>
      <x:c r="D209" s="6" t="str">
        <x:v>Galaxy Note 8 Battery Replacement</x:v>
      </x:c>
      <x:c r="E209" s="6" t="str">
        <x:v>Galaxy Note 8 Battery Replacement</x:v>
      </x:c>
      <x:c r="F209" s="6" t="str">
        <x:v>galaxy note 8 battery replacement</x:v>
      </x:c>
      <x:c r="G209" s="6" t="str">
        <x:v>Repair</x:v>
      </x:c>
      <x:c r="H209" s="6" t="str">
        <x:v>Miscellaneous Repair</x:v>
      </x:c>
      <x:c r="I209" s="6" t="str">
        <x:v>Phone</x:v>
      </x:c>
      <x:c r="J209" s="6" t="str">
        <x:v>Galaxy Note 8 Battery Replacement</x:v>
      </x:c>
      <x:c r="K209" s="6" t="str">
        <x:v>Nocturnix_Master_Services_Catalog_v1.xlsx</x:v>
      </x:c>
      <x:c r="L209" s="6" t="str">
        <x:v>01 - Master Services</x:v>
      </x:c>
      <x:c r="M209" s="6" t="n">
        <x:v>248</x:v>
      </x:c>
      <x:c r="N209" s="6" t="str">
        <x:v>CNF000208</x:v>
      </x:c>
      <x:c r="O209" s="6" t="str"/>
      <x:c r="P209" s="6" t="str">
        <x:v>Pending Verification</x:v>
      </x:c>
      <x:c r="Q209" s="6" t="str"/>
      <x:c r="R209" s="6" t="str"/>
      <x:c r="S209" s="6" t="str"/>
      <x:c r="T209" s="6" t="str"/>
      <x:c r="U209" s="6" t="str"/>
      <x:c r="V209" s="6" t="str">
        <x:v>Unresolved</x:v>
      </x:c>
      <x:c r="W209" s="12" t="str"/>
      <x:c r="X209" s="12" t="str"/>
      <x:c r="Y209" s="6" t="str"/>
      <x:c r="Z209" s="6" t="str"/>
      <x:c r="AA209" s="6" t="str">
        <x:v>Pending</x:v>
      </x:c>
      <x:c r="AB209" s="6" t="str"/>
      <x:c r="AC209" s="6" t="str"/>
      <x:c r="AD209" s="12" t="str"/>
    </x:row>
    <x:row r="210">
      <x:c r="A210" s="6" t="str">
        <x:v>SIR-000209</x:v>
      </x:c>
      <x:c r="B210" s="6" t="str">
        <x:v>SVC000209</x:v>
      </x:c>
      <x:c r="C210" s="6" t="str">
        <x:v>SVC000284</x:v>
      </x:c>
      <x:c r="D210" s="6" t="str">
        <x:v>Galaxy S 22 Battery Replacement</x:v>
      </x:c>
      <x:c r="E210" s="6" t="str">
        <x:v>Galaxy S 22 Battery Replacement</x:v>
      </x:c>
      <x:c r="F210" s="6" t="str">
        <x:v>galaxy s 22 battery replacement</x:v>
      </x:c>
      <x:c r="G210" s="6" t="str">
        <x:v>Repair</x:v>
      </x:c>
      <x:c r="H210" s="6" t="str">
        <x:v>Miscellaneous Repair</x:v>
      </x:c>
      <x:c r="I210" s="6" t="str">
        <x:v>Phone</x:v>
      </x:c>
      <x:c r="J210" s="6" t="str">
        <x:v>Galaxy S 22 Battery Replacement</x:v>
      </x:c>
      <x:c r="K210" s="6" t="str">
        <x:v>Nocturnix_Master_Services_Catalog_v1.xlsx</x:v>
      </x:c>
      <x:c r="L210" s="6" t="str">
        <x:v>01 - Master Services</x:v>
      </x:c>
      <x:c r="M210" s="6" t="n">
        <x:v>249</x:v>
      </x:c>
      <x:c r="N210" s="6" t="str">
        <x:v>CNF000209</x:v>
      </x:c>
      <x:c r="O210" s="6" t="str"/>
      <x:c r="P210" s="6" t="str">
        <x:v>Pending Verification</x:v>
      </x:c>
      <x:c r="Q210" s="6" t="str"/>
      <x:c r="R210" s="6" t="str"/>
      <x:c r="S210" s="6" t="str"/>
      <x:c r="T210" s="6" t="str"/>
      <x:c r="U210" s="6" t="str"/>
      <x:c r="V210" s="6" t="str">
        <x:v>Unresolved</x:v>
      </x:c>
      <x:c r="W210" s="12" t="str"/>
      <x:c r="X210" s="12" t="str"/>
      <x:c r="Y210" s="6" t="str"/>
      <x:c r="Z210" s="6" t="str"/>
      <x:c r="AA210" s="6" t="str">
        <x:v>Pending</x:v>
      </x:c>
      <x:c r="AB210" s="6" t="str"/>
      <x:c r="AC210" s="6" t="str"/>
      <x:c r="AD210" s="12" t="str"/>
    </x:row>
    <x:row r="211">
      <x:c r="A211" s="6" t="str">
        <x:v>SIR-000210</x:v>
      </x:c>
      <x:c r="B211" s="6" t="str">
        <x:v>SVC000210</x:v>
      </x:c>
      <x:c r="C211" s="6" t="str">
        <x:v>SVC000285</x:v>
      </x:c>
      <x:c r="D211" s="6" t="str">
        <x:v>iPhone 3G Battery Replacement</x:v>
      </x:c>
      <x:c r="E211" s="6" t="str">
        <x:v>iPhone 3G Battery Replacement</x:v>
      </x:c>
      <x:c r="F211" s="6" t="str">
        <x:v>iphone 3g battery replacement</x:v>
      </x:c>
      <x:c r="G211" s="6" t="str">
        <x:v>Repair</x:v>
      </x:c>
      <x:c r="H211" s="6" t="str">
        <x:v>Miscellaneous Repair</x:v>
      </x:c>
      <x:c r="I211" s="6" t="str">
        <x:v>Phone</x:v>
      </x:c>
      <x:c r="J211" s="6" t="str">
        <x:v>iPhone 3G Battery Replacement</x:v>
      </x:c>
      <x:c r="K211" s="6" t="str">
        <x:v>Nocturnix_Master_Services_Catalog_v1.xlsx</x:v>
      </x:c>
      <x:c r="L211" s="6" t="str">
        <x:v>01 - Master Services</x:v>
      </x:c>
      <x:c r="M211" s="6" t="n">
        <x:v>250</x:v>
      </x:c>
      <x:c r="N211" s="6" t="str">
        <x:v>CNF000210</x:v>
      </x:c>
      <x:c r="O211" s="6" t="str"/>
      <x:c r="P211" s="6" t="str">
        <x:v>Pending Verification</x:v>
      </x:c>
      <x:c r="Q211" s="6" t="str"/>
      <x:c r="R211" s="6" t="str"/>
      <x:c r="S211" s="6" t="str"/>
      <x:c r="T211" s="6" t="str"/>
      <x:c r="U211" s="6" t="str"/>
      <x:c r="V211" s="6" t="str">
        <x:v>Unresolved</x:v>
      </x:c>
      <x:c r="W211" s="12" t="str"/>
      <x:c r="X211" s="12" t="str"/>
      <x:c r="Y211" s="6" t="str"/>
      <x:c r="Z211" s="6" t="str"/>
      <x:c r="AA211" s="6" t="str">
        <x:v>Pending</x:v>
      </x:c>
      <x:c r="AB211" s="6" t="str"/>
      <x:c r="AC211" s="6" t="str"/>
      <x:c r="AD211" s="12" t="str"/>
    </x:row>
    <x:row r="212">
      <x:c r="A212" s="6" t="str">
        <x:v>SIR-000211</x:v>
      </x:c>
      <x:c r="B212" s="6" t="str">
        <x:v>SVC000211</x:v>
      </x:c>
      <x:c r="C212" s="6" t="str">
        <x:v>SVC000286</x:v>
      </x:c>
      <x:c r="D212" s="6" t="str">
        <x:v>iPhone 11 Battery Replacement</x:v>
      </x:c>
      <x:c r="E212" s="6" t="str">
        <x:v>iPhone 11 Battery Replacement</x:v>
      </x:c>
      <x:c r="F212" s="6" t="str">
        <x:v>iphone 11 battery replacement</x:v>
      </x:c>
      <x:c r="G212" s="6" t="str">
        <x:v>Repair</x:v>
      </x:c>
      <x:c r="H212" s="6" t="str">
        <x:v>Miscellaneous Repair</x:v>
      </x:c>
      <x:c r="I212" s="6" t="str">
        <x:v>Phone</x:v>
      </x:c>
      <x:c r="J212" s="6" t="str">
        <x:v>iPhone 11 Battery Replacement</x:v>
      </x:c>
      <x:c r="K212" s="6" t="str">
        <x:v>Nocturnix_Master_Services_Catalog_v1.xlsx</x:v>
      </x:c>
      <x:c r="L212" s="6" t="str">
        <x:v>01 - Master Services</x:v>
      </x:c>
      <x:c r="M212" s="6" t="n">
        <x:v>251</x:v>
      </x:c>
      <x:c r="N212" s="6" t="str">
        <x:v>CNF000211</x:v>
      </x:c>
      <x:c r="O212" s="6" t="str"/>
      <x:c r="P212" s="6" t="str">
        <x:v>Pending Verification</x:v>
      </x:c>
      <x:c r="Q212" s="6" t="str"/>
      <x:c r="R212" s="6" t="str"/>
      <x:c r="S212" s="6" t="str"/>
      <x:c r="T212" s="6" t="str"/>
      <x:c r="U212" s="6" t="str"/>
      <x:c r="V212" s="6" t="str">
        <x:v>Unresolved</x:v>
      </x:c>
      <x:c r="W212" s="12" t="str"/>
      <x:c r="X212" s="12" t="str"/>
      <x:c r="Y212" s="6" t="str"/>
      <x:c r="Z212" s="6" t="str"/>
      <x:c r="AA212" s="6" t="str">
        <x:v>Pending</x:v>
      </x:c>
      <x:c r="AB212" s="6" t="str"/>
      <x:c r="AC212" s="6" t="str"/>
      <x:c r="AD212" s="12" t="str"/>
    </x:row>
    <x:row r="213">
      <x:c r="A213" s="6" t="str">
        <x:v>SIR-000212</x:v>
      </x:c>
      <x:c r="B213" s="6" t="str">
        <x:v>SVC000212</x:v>
      </x:c>
      <x:c r="C213" s="6" t="str">
        <x:v>SVC000287</x:v>
      </x:c>
      <x:c r="D213" s="6" t="str">
        <x:v>iPhone 11 Pro Battery Replacement</x:v>
      </x:c>
      <x:c r="E213" s="6" t="str">
        <x:v>iPhone 11 Pro Battery Replacement</x:v>
      </x:c>
      <x:c r="F213" s="6" t="str">
        <x:v>iphone 11 pro battery replacement</x:v>
      </x:c>
      <x:c r="G213" s="6" t="str">
        <x:v>Repair</x:v>
      </x:c>
      <x:c r="H213" s="6" t="str">
        <x:v>Miscellaneous Repair</x:v>
      </x:c>
      <x:c r="I213" s="6" t="str">
        <x:v>Phone</x:v>
      </x:c>
      <x:c r="J213" s="6" t="str">
        <x:v>iPhone 11 Pro Battery Replacement</x:v>
      </x:c>
      <x:c r="K213" s="6" t="str">
        <x:v>Nocturnix_Master_Services_Catalog_v1.xlsx</x:v>
      </x:c>
      <x:c r="L213" s="6" t="str">
        <x:v>01 - Master Services</x:v>
      </x:c>
      <x:c r="M213" s="6" t="n">
        <x:v>252</x:v>
      </x:c>
      <x:c r="N213" s="6" t="str">
        <x:v>CNF000212</x:v>
      </x:c>
      <x:c r="O213" s="6" t="str"/>
      <x:c r="P213" s="6" t="str">
        <x:v>Pending Verification</x:v>
      </x:c>
      <x:c r="Q213" s="6" t="str"/>
      <x:c r="R213" s="6" t="str"/>
      <x:c r="S213" s="6" t="str"/>
      <x:c r="T213" s="6" t="str"/>
      <x:c r="U213" s="6" t="str"/>
      <x:c r="V213" s="6" t="str">
        <x:v>Unresolved</x:v>
      </x:c>
      <x:c r="W213" s="12" t="str"/>
      <x:c r="X213" s="12" t="str"/>
      <x:c r="Y213" s="6" t="str"/>
      <x:c r="Z213" s="6" t="str"/>
      <x:c r="AA213" s="6" t="str">
        <x:v>Pending</x:v>
      </x:c>
      <x:c r="AB213" s="6" t="str"/>
      <x:c r="AC213" s="6" t="str"/>
      <x:c r="AD213" s="12" t="str"/>
    </x:row>
    <x:row r="214">
      <x:c r="A214" s="6" t="str">
        <x:v>SIR-000213</x:v>
      </x:c>
      <x:c r="B214" s="6" t="str">
        <x:v>SVC000213</x:v>
      </x:c>
      <x:c r="C214" s="6" t="str">
        <x:v>SVC000288</x:v>
      </x:c>
      <x:c r="D214" s="6" t="str">
        <x:v>iPhone 11 Pro Max Battery Replacement</x:v>
      </x:c>
      <x:c r="E214" s="6" t="str">
        <x:v>iPhone 11 Pro Max Battery Replacement</x:v>
      </x:c>
      <x:c r="F214" s="6" t="str">
        <x:v>iphone 11 pro max battery replacement</x:v>
      </x:c>
      <x:c r="G214" s="6" t="str">
        <x:v>Repair</x:v>
      </x:c>
      <x:c r="H214" s="6" t="str">
        <x:v>Miscellaneous Repair</x:v>
      </x:c>
      <x:c r="I214" s="6" t="str">
        <x:v>Phone</x:v>
      </x:c>
      <x:c r="J214" s="6" t="str">
        <x:v>iPhone 11 Pro Max Battery Replacement</x:v>
      </x:c>
      <x:c r="K214" s="6" t="str">
        <x:v>Nocturnix_Master_Services_Catalog_v1.xlsx</x:v>
      </x:c>
      <x:c r="L214" s="6" t="str">
        <x:v>01 - Master Services</x:v>
      </x:c>
      <x:c r="M214" s="6" t="n">
        <x:v>253</x:v>
      </x:c>
      <x:c r="N214" s="6" t="str">
        <x:v>CNF000213</x:v>
      </x:c>
      <x:c r="O214" s="6" t="str"/>
      <x:c r="P214" s="6" t="str">
        <x:v>Pending Verification</x:v>
      </x:c>
      <x:c r="Q214" s="6" t="str"/>
      <x:c r="R214" s="6" t="str"/>
      <x:c r="S214" s="6" t="str"/>
      <x:c r="T214" s="6" t="str"/>
      <x:c r="U214" s="6" t="str"/>
      <x:c r="V214" s="6" t="str">
        <x:v>Unresolved</x:v>
      </x:c>
      <x:c r="W214" s="12" t="str"/>
      <x:c r="X214" s="12" t="str"/>
      <x:c r="Y214" s="6" t="str"/>
      <x:c r="Z214" s="6" t="str"/>
      <x:c r="AA214" s="6" t="str">
        <x:v>Pending</x:v>
      </x:c>
      <x:c r="AB214" s="6" t="str"/>
      <x:c r="AC214" s="6" t="str"/>
      <x:c r="AD214" s="12" t="str"/>
    </x:row>
    <x:row r="215">
      <x:c r="A215" s="6" t="str">
        <x:v>SIR-000214</x:v>
      </x:c>
      <x:c r="B215" s="6" t="str">
        <x:v>SVC000214</x:v>
      </x:c>
      <x:c r="C215" s="6" t="str">
        <x:v>SVC000289</x:v>
      </x:c>
      <x:c r="D215" s="6" t="str">
        <x:v>iPhone Charge Port Replacement</x:v>
      </x:c>
      <x:c r="E215" s="6" t="str">
        <x:v>iPhone Charge Port Replacement</x:v>
      </x:c>
      <x:c r="F215" s="6" t="str">
        <x:v>iphone charge port replacement</x:v>
      </x:c>
      <x:c r="G215" s="6" t="str">
        <x:v>Repair</x:v>
      </x:c>
      <x:c r="H215" s="6" t="str">
        <x:v>Miscellaneous Repair</x:v>
      </x:c>
      <x:c r="I215" s="6" t="str">
        <x:v>Phone</x:v>
      </x:c>
      <x:c r="J215" s="6" t="str">
        <x:v>iPhone Charge Port Replacement</x:v>
      </x:c>
      <x:c r="K215" s="6" t="str">
        <x:v>Nocturnix_Master_Services_Catalog_v1.xlsx</x:v>
      </x:c>
      <x:c r="L215" s="6" t="str">
        <x:v>01 - Master Services</x:v>
      </x:c>
      <x:c r="M215" s="6" t="n">
        <x:v>254</x:v>
      </x:c>
      <x:c r="N215" s="6" t="str">
        <x:v>CNF000214</x:v>
      </x:c>
      <x:c r="O215" s="6" t="str"/>
      <x:c r="P215" s="6" t="str">
        <x:v>Pending Verification</x:v>
      </x:c>
      <x:c r="Q215" s="6" t="str"/>
      <x:c r="R215" s="6" t="str"/>
      <x:c r="S215" s="6" t="str"/>
      <x:c r="T215" s="6" t="str"/>
      <x:c r="U215" s="6" t="str"/>
      <x:c r="V215" s="6" t="str">
        <x:v>Unresolved</x:v>
      </x:c>
      <x:c r="W215" s="12" t="str"/>
      <x:c r="X215" s="12" t="str"/>
      <x:c r="Y215" s="6" t="str"/>
      <x:c r="Z215" s="6" t="str"/>
      <x:c r="AA215" s="6" t="str">
        <x:v>Pending</x:v>
      </x:c>
      <x:c r="AB215" s="6" t="str"/>
      <x:c r="AC215" s="6" t="str"/>
      <x:c r="AD215" s="12" t="str"/>
    </x:row>
    <x:row r="216">
      <x:c r="A216" s="6" t="str">
        <x:v>SIR-000215</x:v>
      </x:c>
      <x:c r="B216" s="6" t="str">
        <x:v>SVC000215</x:v>
      </x:c>
      <x:c r="C216" s="6" t="str">
        <x:v>SVC000290</x:v>
      </x:c>
      <x:c r="D216" s="6" t="str">
        <x:v>iPhone 3G Charge Port Replacement</x:v>
      </x:c>
      <x:c r="E216" s="6" t="str">
        <x:v>iPhone 3G Charge Port Replacement</x:v>
      </x:c>
      <x:c r="F216" s="6" t="str">
        <x:v>iphone 3g charge port replacement</x:v>
      </x:c>
      <x:c r="G216" s="6" t="str">
        <x:v>Repair</x:v>
      </x:c>
      <x:c r="H216" s="6" t="str">
        <x:v>Miscellaneous Repair</x:v>
      </x:c>
      <x:c r="I216" s="6" t="str">
        <x:v>Phone</x:v>
      </x:c>
      <x:c r="J216" s="6" t="str">
        <x:v>iPhone 3G Charge Port Replacement</x:v>
      </x:c>
      <x:c r="K216" s="6" t="str">
        <x:v>Nocturnix_Master_Services_Catalog_v1.xlsx</x:v>
      </x:c>
      <x:c r="L216" s="6" t="str">
        <x:v>01 - Master Services</x:v>
      </x:c>
      <x:c r="M216" s="6" t="n">
        <x:v>255</x:v>
      </x:c>
      <x:c r="N216" s="6" t="str">
        <x:v>CNF000215</x:v>
      </x:c>
      <x:c r="O216" s="6" t="str"/>
      <x:c r="P216" s="6" t="str">
        <x:v>Pending Verification</x:v>
      </x:c>
      <x:c r="Q216" s="6" t="str"/>
      <x:c r="R216" s="6" t="str"/>
      <x:c r="S216" s="6" t="str"/>
      <x:c r="T216" s="6" t="str"/>
      <x:c r="U216" s="6" t="str"/>
      <x:c r="V216" s="6" t="str">
        <x:v>Unresolved</x:v>
      </x:c>
      <x:c r="W216" s="12" t="str"/>
      <x:c r="X216" s="12" t="str"/>
      <x:c r="Y216" s="6" t="str"/>
      <x:c r="Z216" s="6" t="str"/>
      <x:c r="AA216" s="6" t="str">
        <x:v>Pending</x:v>
      </x:c>
      <x:c r="AB216" s="6" t="str"/>
      <x:c r="AC216" s="6" t="str"/>
      <x:c r="AD216" s="12" t="str"/>
    </x:row>
    <x:row r="217">
      <x:c r="A217" s="6" t="str">
        <x:v>SIR-000216</x:v>
      </x:c>
      <x:c r="B217" s="6" t="str">
        <x:v>SVC000216</x:v>
      </x:c>
      <x:c r="C217" s="6" t="str">
        <x:v>SVC000291</x:v>
      </x:c>
      <x:c r="D217" s="6" t="str">
        <x:v>iPhone 3GS Charge Port Replacement</x:v>
      </x:c>
      <x:c r="E217" s="6" t="str">
        <x:v>iPhone 3GS Charge Port Replacement</x:v>
      </x:c>
      <x:c r="F217" s="6" t="str">
        <x:v>iphone 3gs charge port replacement</x:v>
      </x:c>
      <x:c r="G217" s="6" t="str">
        <x:v>Repair</x:v>
      </x:c>
      <x:c r="H217" s="6" t="str">
        <x:v>Miscellaneous Repair</x:v>
      </x:c>
      <x:c r="I217" s="6" t="str">
        <x:v>Phone</x:v>
      </x:c>
      <x:c r="J217" s="6" t="str">
        <x:v>iPhone 3GS Charge Port Replacement</x:v>
      </x:c>
      <x:c r="K217" s="6" t="str">
        <x:v>Nocturnix_Master_Services_Catalog_v1.xlsx</x:v>
      </x:c>
      <x:c r="L217" s="6" t="str">
        <x:v>01 - Master Services</x:v>
      </x:c>
      <x:c r="M217" s="6" t="n">
        <x:v>256</x:v>
      </x:c>
      <x:c r="N217" s="6" t="str">
        <x:v>CNF000216</x:v>
      </x:c>
      <x:c r="O217" s="6" t="str"/>
      <x:c r="P217" s="6" t="str">
        <x:v>Pending Verification</x:v>
      </x:c>
      <x:c r="Q217" s="6" t="str"/>
      <x:c r="R217" s="6" t="str"/>
      <x:c r="S217" s="6" t="str"/>
      <x:c r="T217" s="6" t="str"/>
      <x:c r="U217" s="6" t="str"/>
      <x:c r="V217" s="6" t="str">
        <x:v>Unresolved</x:v>
      </x:c>
      <x:c r="W217" s="12" t="str"/>
      <x:c r="X217" s="12" t="str"/>
      <x:c r="Y217" s="6" t="str"/>
      <x:c r="Z217" s="6" t="str"/>
      <x:c r="AA217" s="6" t="str">
        <x:v>Pending</x:v>
      </x:c>
      <x:c r="AB217" s="6" t="str"/>
      <x:c r="AC217" s="6" t="str"/>
      <x:c r="AD217" s="12" t="str"/>
    </x:row>
    <x:row r="218">
      <x:c r="A218" s="6" t="str">
        <x:v>SIR-000217</x:v>
      </x:c>
      <x:c r="B218" s="6" t="str">
        <x:v>SVC000217</x:v>
      </x:c>
      <x:c r="C218" s="6" t="str">
        <x:v>SVC000292</x:v>
      </x:c>
      <x:c r="D218" s="6" t="str">
        <x:v>iPhone 4S Charge Port Replacement</x:v>
      </x:c>
      <x:c r="E218" s="6" t="str">
        <x:v>iPhone 4S Charge Port Replacement</x:v>
      </x:c>
      <x:c r="F218" s="6" t="str">
        <x:v>iphone 4s charge port replacement</x:v>
      </x:c>
      <x:c r="G218" s="6" t="str">
        <x:v>Repair</x:v>
      </x:c>
      <x:c r="H218" s="6" t="str">
        <x:v>Miscellaneous Repair</x:v>
      </x:c>
      <x:c r="I218" s="6" t="str">
        <x:v>Phone</x:v>
      </x:c>
      <x:c r="J218" s="6" t="str">
        <x:v>iPhone 4S Charge Port Replacement</x:v>
      </x:c>
      <x:c r="K218" s="6" t="str">
        <x:v>Nocturnix_Master_Services_Catalog_v1.xlsx</x:v>
      </x:c>
      <x:c r="L218" s="6" t="str">
        <x:v>01 - Master Services</x:v>
      </x:c>
      <x:c r="M218" s="6" t="n">
        <x:v>257</x:v>
      </x:c>
      <x:c r="N218" s="6" t="str">
        <x:v>CNF000217</x:v>
      </x:c>
      <x:c r="O218" s="6" t="str">
        <x:v>DUP000011</x:v>
      </x:c>
      <x:c r="P218" s="6" t="str">
        <x:v>Pending Verification</x:v>
      </x:c>
      <x:c r="Q218" s="6" t="str"/>
      <x:c r="R218" s="6" t="str"/>
      <x:c r="S218" s="6" t="str"/>
      <x:c r="T218" s="6" t="str"/>
      <x:c r="U218" s="6" t="str"/>
      <x:c r="V218" s="6" t="str">
        <x:v>Unresolved</x:v>
      </x:c>
      <x:c r="W218" s="12" t="str"/>
      <x:c r="X218" s="12" t="str"/>
      <x:c r="Y218" s="6" t="str"/>
      <x:c r="Z218" s="6" t="str"/>
      <x:c r="AA218" s="6" t="str">
        <x:v>Pending</x:v>
      </x:c>
      <x:c r="AB218" s="6" t="str"/>
      <x:c r="AC218" s="6" t="str"/>
      <x:c r="AD218" s="12" t="str"/>
    </x:row>
    <x:row r="219">
      <x:c r="A219" s="6" t="str">
        <x:v>SIR-000218</x:v>
      </x:c>
      <x:c r="B219" s="6" t="str">
        <x:v>SVC000218</x:v>
      </x:c>
      <x:c r="C219" s="6" t="str">
        <x:v>SVC000293</x:v>
      </x:c>
      <x:c r="D219" s="6" t="str">
        <x:v>iPhone 4S Charge Port Replacement</x:v>
      </x:c>
      <x:c r="E219" s="6" t="str">
        <x:v>iPhone 4S Charge Port Replacement</x:v>
      </x:c>
      <x:c r="F219" s="6" t="str">
        <x:v>iphone 4s charge port replacement</x:v>
      </x:c>
      <x:c r="G219" s="6" t="str">
        <x:v>Repair</x:v>
      </x:c>
      <x:c r="H219" s="6" t="str">
        <x:v>Miscellaneous Repair</x:v>
      </x:c>
      <x:c r="I219" s="6" t="str">
        <x:v>Phone</x:v>
      </x:c>
      <x:c r="J219" s="6" t="str">
        <x:v>iPhone 4S Charge Port Replacement</x:v>
      </x:c>
      <x:c r="K219" s="6" t="str">
        <x:v>Nocturnix_Master_Services_Catalog_v1.xlsx</x:v>
      </x:c>
      <x:c r="L219" s="6" t="str">
        <x:v>01 - Master Services</x:v>
      </x:c>
      <x:c r="M219" s="6" t="n">
        <x:v>258</x:v>
      </x:c>
      <x:c r="N219" s="6" t="str">
        <x:v>CNF000218</x:v>
      </x:c>
      <x:c r="O219" s="6" t="str">
        <x:v>DUP000011</x:v>
      </x:c>
      <x:c r="P219" s="6" t="str">
        <x:v>Pending Verification</x:v>
      </x:c>
      <x:c r="Q219" s="6" t="str"/>
      <x:c r="R219" s="6" t="str"/>
      <x:c r="S219" s="6" t="str"/>
      <x:c r="T219" s="6" t="str"/>
      <x:c r="U219" s="6" t="str"/>
      <x:c r="V219" s="6" t="str">
        <x:v>Unresolved</x:v>
      </x:c>
      <x:c r="W219" s="12" t="str"/>
      <x:c r="X219" s="12" t="str"/>
      <x:c r="Y219" s="6" t="str"/>
      <x:c r="Z219" s="6" t="str"/>
      <x:c r="AA219" s="6" t="str">
        <x:v>Pending</x:v>
      </x:c>
      <x:c r="AB219" s="6" t="str"/>
      <x:c r="AC219" s="6" t="str"/>
      <x:c r="AD219" s="12" t="str"/>
    </x:row>
    <x:row r="220">
      <x:c r="A220" s="6" t="str">
        <x:v>SIR-000219</x:v>
      </x:c>
      <x:c r="B220" s="6" t="str">
        <x:v>SVC000219</x:v>
      </x:c>
      <x:c r="C220" s="6" t="str">
        <x:v>SVC000294</x:v>
      </x:c>
      <x:c r="D220" s="6" t="str">
        <x:v>iPhone 4S Charge Port Replacement</x:v>
      </x:c>
      <x:c r="E220" s="6" t="str">
        <x:v>iPhone 4S Charge Port Replacement</x:v>
      </x:c>
      <x:c r="F220" s="6" t="str">
        <x:v>iphone 4s charge port replacement</x:v>
      </x:c>
      <x:c r="G220" s="6" t="str">
        <x:v>Repair</x:v>
      </x:c>
      <x:c r="H220" s="6" t="str">
        <x:v>Miscellaneous Repair</x:v>
      </x:c>
      <x:c r="I220" s="6" t="str">
        <x:v>Phone</x:v>
      </x:c>
      <x:c r="J220" s="6" t="str">
        <x:v>iPhone 4S Charge Port Replacement</x:v>
      </x:c>
      <x:c r="K220" s="6" t="str">
        <x:v>Nocturnix_Master_Services_Catalog_v1.xlsx</x:v>
      </x:c>
      <x:c r="L220" s="6" t="str">
        <x:v>01 - Master Services</x:v>
      </x:c>
      <x:c r="M220" s="6" t="n">
        <x:v>259</x:v>
      </x:c>
      <x:c r="N220" s="6" t="str">
        <x:v>CNF000219</x:v>
      </x:c>
      <x:c r="O220" s="6" t="str">
        <x:v>DUP000011</x:v>
      </x:c>
      <x:c r="P220" s="6" t="str">
        <x:v>Pending Verification</x:v>
      </x:c>
      <x:c r="Q220" s="6" t="str"/>
      <x:c r="R220" s="6" t="str"/>
      <x:c r="S220" s="6" t="str"/>
      <x:c r="T220" s="6" t="str"/>
      <x:c r="U220" s="6" t="str"/>
      <x:c r="V220" s="6" t="str">
        <x:v>Unresolved</x:v>
      </x:c>
      <x:c r="W220" s="12" t="str"/>
      <x:c r="X220" s="12" t="str"/>
      <x:c r="Y220" s="6" t="str"/>
      <x:c r="Z220" s="6" t="str"/>
      <x:c r="AA220" s="6" t="str">
        <x:v>Pending</x:v>
      </x:c>
      <x:c r="AB220" s="6" t="str"/>
      <x:c r="AC220" s="6" t="str"/>
      <x:c r="AD220" s="12" t="str"/>
    </x:row>
    <x:row r="221">
      <x:c r="A221" s="6" t="str">
        <x:v>SIR-000220</x:v>
      </x:c>
      <x:c r="B221" s="6" t="str">
        <x:v>SVC000220</x:v>
      </x:c>
      <x:c r="C221" s="6" t="str">
        <x:v>SVC000295</x:v>
      </x:c>
      <x:c r="D221" s="6" t="str">
        <x:v>iPhone 5 Charge Port Replacement</x:v>
      </x:c>
      <x:c r="E221" s="6" t="str">
        <x:v>iPhone 5 Charge Port Replacement</x:v>
      </x:c>
      <x:c r="F221" s="6" t="str">
        <x:v>iphone 5 charge port replacement</x:v>
      </x:c>
      <x:c r="G221" s="6" t="str">
        <x:v>Repair</x:v>
      </x:c>
      <x:c r="H221" s="6" t="str">
        <x:v>Miscellaneous Repair</x:v>
      </x:c>
      <x:c r="I221" s="6" t="str">
        <x:v>Phone</x:v>
      </x:c>
      <x:c r="J221" s="6" t="str">
        <x:v>iPhone 5 Charge Port Replacement</x:v>
      </x:c>
      <x:c r="K221" s="6" t="str">
        <x:v>Nocturnix_Master_Services_Catalog_v1.xlsx</x:v>
      </x:c>
      <x:c r="L221" s="6" t="str">
        <x:v>01 - Master Services</x:v>
      </x:c>
      <x:c r="M221" s="6" t="n">
        <x:v>260</x:v>
      </x:c>
      <x:c r="N221" s="6" t="str">
        <x:v>CNF000220</x:v>
      </x:c>
      <x:c r="O221" s="6" t="str"/>
      <x:c r="P221" s="6" t="str">
        <x:v>Pending Verification</x:v>
      </x:c>
      <x:c r="Q221" s="6" t="str"/>
      <x:c r="R221" s="6" t="str"/>
      <x:c r="S221" s="6" t="str"/>
      <x:c r="T221" s="6" t="str"/>
      <x:c r="U221" s="6" t="str"/>
      <x:c r="V221" s="6" t="str">
        <x:v>Unresolved</x:v>
      </x:c>
      <x:c r="W221" s="12" t="str"/>
      <x:c r="X221" s="12" t="str"/>
      <x:c r="Y221" s="6" t="str"/>
      <x:c r="Z221" s="6" t="str"/>
      <x:c r="AA221" s="6" t="str">
        <x:v>Pending</x:v>
      </x:c>
      <x:c r="AB221" s="6" t="str"/>
      <x:c r="AC221" s="6" t="str"/>
      <x:c r="AD221" s="12" t="str"/>
    </x:row>
    <x:row r="222">
      <x:c r="A222" s="6" t="str">
        <x:v>SIR-000221</x:v>
      </x:c>
      <x:c r="B222" s="6" t="str">
        <x:v>SVC000221</x:v>
      </x:c>
      <x:c r="C222" s="6" t="str">
        <x:v>SVC000296</x:v>
      </x:c>
      <x:c r="D222" s="6" t="str">
        <x:v>iPhone 5C Charge Port Replacement</x:v>
      </x:c>
      <x:c r="E222" s="6" t="str">
        <x:v>iPhone 5C Charge Port Replacement</x:v>
      </x:c>
      <x:c r="F222" s="6" t="str">
        <x:v>iphone 5c charge port replacement</x:v>
      </x:c>
      <x:c r="G222" s="6" t="str">
        <x:v>Repair</x:v>
      </x:c>
      <x:c r="H222" s="6" t="str">
        <x:v>Miscellaneous Repair</x:v>
      </x:c>
      <x:c r="I222" s="6" t="str">
        <x:v>Phone</x:v>
      </x:c>
      <x:c r="J222" s="6" t="str">
        <x:v>iPhone 5C Charge Port Replacement</x:v>
      </x:c>
      <x:c r="K222" s="6" t="str">
        <x:v>Nocturnix_Master_Services_Catalog_v1.xlsx</x:v>
      </x:c>
      <x:c r="L222" s="6" t="str">
        <x:v>01 - Master Services</x:v>
      </x:c>
      <x:c r="M222" s="6" t="n">
        <x:v>261</x:v>
      </x:c>
      <x:c r="N222" s="6" t="str">
        <x:v>CNF000221</x:v>
      </x:c>
      <x:c r="O222" s="6" t="str"/>
      <x:c r="P222" s="6" t="str">
        <x:v>Pending Verification</x:v>
      </x:c>
      <x:c r="Q222" s="6" t="str"/>
      <x:c r="R222" s="6" t="str"/>
      <x:c r="S222" s="6" t="str"/>
      <x:c r="T222" s="6" t="str"/>
      <x:c r="U222" s="6" t="str"/>
      <x:c r="V222" s="6" t="str">
        <x:v>Unresolved</x:v>
      </x:c>
      <x:c r="W222" s="12" t="str"/>
      <x:c r="X222" s="12" t="str"/>
      <x:c r="Y222" s="6" t="str"/>
      <x:c r="Z222" s="6" t="str"/>
      <x:c r="AA222" s="6" t="str">
        <x:v>Pending</x:v>
      </x:c>
      <x:c r="AB222" s="6" t="str"/>
      <x:c r="AC222" s="6" t="str"/>
      <x:c r="AD222" s="12" t="str"/>
    </x:row>
    <x:row r="223">
      <x:c r="A223" s="6" t="str">
        <x:v>SIR-000222</x:v>
      </x:c>
      <x:c r="B223" s="6" t="str">
        <x:v>SVC000222</x:v>
      </x:c>
      <x:c r="C223" s="6" t="str">
        <x:v>SVC000297</x:v>
      </x:c>
      <x:c r="D223" s="6" t="str">
        <x:v>iPhone 5S Charge Port Replacement</x:v>
      </x:c>
      <x:c r="E223" s="6" t="str">
        <x:v>iPhone 5S Charge Port Replacement</x:v>
      </x:c>
      <x:c r="F223" s="6" t="str">
        <x:v>iphone 5s charge port replacement</x:v>
      </x:c>
      <x:c r="G223" s="6" t="str">
        <x:v>Repair</x:v>
      </x:c>
      <x:c r="H223" s="6" t="str">
        <x:v>Miscellaneous Repair</x:v>
      </x:c>
      <x:c r="I223" s="6" t="str">
        <x:v>Phone</x:v>
      </x:c>
      <x:c r="J223" s="6" t="str">
        <x:v>iPhone 5S Charge Port Replacement</x:v>
      </x:c>
      <x:c r="K223" s="6" t="str">
        <x:v>Nocturnix_Master_Services_Catalog_v1.xlsx</x:v>
      </x:c>
      <x:c r="L223" s="6" t="str">
        <x:v>01 - Master Services</x:v>
      </x:c>
      <x:c r="M223" s="6" t="n">
        <x:v>262</x:v>
      </x:c>
      <x:c r="N223" s="6" t="str">
        <x:v>CNF000222</x:v>
      </x:c>
      <x:c r="O223" s="6" t="str"/>
      <x:c r="P223" s="6" t="str">
        <x:v>Pending Verification</x:v>
      </x:c>
      <x:c r="Q223" s="6" t="str"/>
      <x:c r="R223" s="6" t="str"/>
      <x:c r="S223" s="6" t="str"/>
      <x:c r="T223" s="6" t="str"/>
      <x:c r="U223" s="6" t="str"/>
      <x:c r="V223" s="6" t="str">
        <x:v>Unresolved</x:v>
      </x:c>
      <x:c r="W223" s="12" t="str"/>
      <x:c r="X223" s="12" t="str"/>
      <x:c r="Y223" s="6" t="str"/>
      <x:c r="Z223" s="6" t="str"/>
      <x:c r="AA223" s="6" t="str">
        <x:v>Pending</x:v>
      </x:c>
      <x:c r="AB223" s="6" t="str"/>
      <x:c r="AC223" s="6" t="str"/>
      <x:c r="AD223" s="12" t="str"/>
    </x:row>
    <x:row r="224">
      <x:c r="A224" s="6" t="str">
        <x:v>SIR-000223</x:v>
      </x:c>
      <x:c r="B224" s="6" t="str">
        <x:v>SVC000223</x:v>
      </x:c>
      <x:c r="C224" s="6" t="str">
        <x:v>SVC000298</x:v>
      </x:c>
      <x:c r="D224" s="6" t="str">
        <x:v>iPhone 6 Charge Port Replacement</x:v>
      </x:c>
      <x:c r="E224" s="6" t="str">
        <x:v>iPhone 6 Charge Port Replacement</x:v>
      </x:c>
      <x:c r="F224" s="6" t="str">
        <x:v>iphone 6 charge port replacement</x:v>
      </x:c>
      <x:c r="G224" s="6" t="str">
        <x:v>Repair</x:v>
      </x:c>
      <x:c r="H224" s="6" t="str">
        <x:v>Miscellaneous Repair</x:v>
      </x:c>
      <x:c r="I224" s="6" t="str">
        <x:v>Phone</x:v>
      </x:c>
      <x:c r="J224" s="6" t="str">
        <x:v>iPhone 6 Charge Port Replacement</x:v>
      </x:c>
      <x:c r="K224" s="6" t="str">
        <x:v>Nocturnix_Master_Services_Catalog_v1.xlsx</x:v>
      </x:c>
      <x:c r="L224" s="6" t="str">
        <x:v>01 - Master Services</x:v>
      </x:c>
      <x:c r="M224" s="6" t="n">
        <x:v>263</x:v>
      </x:c>
      <x:c r="N224" s="6" t="str">
        <x:v>CNF000223</x:v>
      </x:c>
      <x:c r="O224" s="6" t="str">
        <x:v>DUP000012</x:v>
      </x:c>
      <x:c r="P224" s="6" t="str">
        <x:v>Pending Verification</x:v>
      </x:c>
      <x:c r="Q224" s="6" t="str"/>
      <x:c r="R224" s="6" t="str"/>
      <x:c r="S224" s="6" t="str"/>
      <x:c r="T224" s="6" t="str"/>
      <x:c r="U224" s="6" t="str"/>
      <x:c r="V224" s="6" t="str">
        <x:v>Unresolved</x:v>
      </x:c>
      <x:c r="W224" s="12" t="str"/>
      <x:c r="X224" s="12" t="str"/>
      <x:c r="Y224" s="6" t="str"/>
      <x:c r="Z224" s="6" t="str"/>
      <x:c r="AA224" s="6" t="str">
        <x:v>Pending</x:v>
      </x:c>
      <x:c r="AB224" s="6" t="str"/>
      <x:c r="AC224" s="6" t="str"/>
      <x:c r="AD224" s="12" t="str"/>
    </x:row>
    <x:row r="225">
      <x:c r="A225" s="6" t="str">
        <x:v>SIR-000224</x:v>
      </x:c>
      <x:c r="B225" s="6" t="str">
        <x:v>SVC000224</x:v>
      </x:c>
      <x:c r="C225" s="6" t="str">
        <x:v>SVC000299</x:v>
      </x:c>
      <x:c r="D225" s="6" t="str">
        <x:v>iPhone 6+ Charge Port Replacement</x:v>
      </x:c>
      <x:c r="E225" s="6" t="str">
        <x:v>iPhone 6+ Charge Port Replacement</x:v>
      </x:c>
      <x:c r="F225" s="6" t="str">
        <x:v>iphone 6 charge port replacement</x:v>
      </x:c>
      <x:c r="G225" s="6" t="str">
        <x:v>Repair</x:v>
      </x:c>
      <x:c r="H225" s="6" t="str">
        <x:v>Miscellaneous Repair</x:v>
      </x:c>
      <x:c r="I225" s="6" t="str">
        <x:v>Phone</x:v>
      </x:c>
      <x:c r="J225" s="6" t="str">
        <x:v>iPhone 6+ Charge Port Replacement</x:v>
      </x:c>
      <x:c r="K225" s="6" t="str">
        <x:v>Nocturnix_Master_Services_Catalog_v1.xlsx</x:v>
      </x:c>
      <x:c r="L225" s="6" t="str">
        <x:v>01 - Master Services</x:v>
      </x:c>
      <x:c r="M225" s="6" t="n">
        <x:v>264</x:v>
      </x:c>
      <x:c r="N225" s="6" t="str">
        <x:v>CNF000224</x:v>
      </x:c>
      <x:c r="O225" s="6" t="str">
        <x:v>DUP000012</x:v>
      </x:c>
      <x:c r="P225" s="6" t="str">
        <x:v>Pending Verification</x:v>
      </x:c>
      <x:c r="Q225" s="6" t="str"/>
      <x:c r="R225" s="6" t="str"/>
      <x:c r="S225" s="6" t="str"/>
      <x:c r="T225" s="6" t="str"/>
      <x:c r="U225" s="6" t="str"/>
      <x:c r="V225" s="6" t="str">
        <x:v>Unresolved</x:v>
      </x:c>
      <x:c r="W225" s="12" t="str"/>
      <x:c r="X225" s="12" t="str"/>
      <x:c r="Y225" s="6" t="str"/>
      <x:c r="Z225" s="6" t="str"/>
      <x:c r="AA225" s="6" t="str">
        <x:v>Pending</x:v>
      </x:c>
      <x:c r="AB225" s="6" t="str"/>
      <x:c r="AC225" s="6" t="str"/>
      <x:c r="AD225" s="12" t="str"/>
    </x:row>
    <x:row r="226">
      <x:c r="A226" s="6" t="str">
        <x:v>SIR-000225</x:v>
      </x:c>
      <x:c r="B226" s="6" t="str">
        <x:v>SVC000225</x:v>
      </x:c>
      <x:c r="C226" s="6" t="str">
        <x:v>SVC000300</x:v>
      </x:c>
      <x:c r="D226" s="6" t="str">
        <x:v>iPhone 6S Charge Port Replacement</x:v>
      </x:c>
      <x:c r="E226" s="6" t="str">
        <x:v>iPhone 6S Charge Port Replacement</x:v>
      </x:c>
      <x:c r="F226" s="6" t="str">
        <x:v>iphone 6s charge port replacement</x:v>
      </x:c>
      <x:c r="G226" s="6" t="str">
        <x:v>Repair</x:v>
      </x:c>
      <x:c r="H226" s="6" t="str">
        <x:v>Miscellaneous Repair</x:v>
      </x:c>
      <x:c r="I226" s="6" t="str">
        <x:v>Phone</x:v>
      </x:c>
      <x:c r="J226" s="6" t="str">
        <x:v>iPhone 6S Charge Port Replacement</x:v>
      </x:c>
      <x:c r="K226" s="6" t="str">
        <x:v>Nocturnix_Master_Services_Catalog_v1.xlsx</x:v>
      </x:c>
      <x:c r="L226" s="6" t="str">
        <x:v>01 - Master Services</x:v>
      </x:c>
      <x:c r="M226" s="6" t="n">
        <x:v>265</x:v>
      </x:c>
      <x:c r="N226" s="6" t="str">
        <x:v>CNF000225</x:v>
      </x:c>
      <x:c r="O226" s="6" t="str">
        <x:v>DUP000013</x:v>
      </x:c>
      <x:c r="P226" s="6" t="str">
        <x:v>Pending Verification</x:v>
      </x:c>
      <x:c r="Q226" s="6" t="str"/>
      <x:c r="R226" s="6" t="str"/>
      <x:c r="S226" s="6" t="str"/>
      <x:c r="T226" s="6" t="str"/>
      <x:c r="U226" s="6" t="str"/>
      <x:c r="V226" s="6" t="str">
        <x:v>Unresolved</x:v>
      </x:c>
      <x:c r="W226" s="12" t="str"/>
      <x:c r="X226" s="12" t="str"/>
      <x:c r="Y226" s="6" t="str"/>
      <x:c r="Z226" s="6" t="str"/>
      <x:c r="AA226" s="6" t="str">
        <x:v>Pending</x:v>
      </x:c>
      <x:c r="AB226" s="6" t="str"/>
      <x:c r="AC226" s="6" t="str"/>
      <x:c r="AD226" s="12" t="str"/>
    </x:row>
    <x:row r="227">
      <x:c r="A227" s="6" t="str">
        <x:v>SIR-000226</x:v>
      </x:c>
      <x:c r="B227" s="6" t="str">
        <x:v>SVC000226</x:v>
      </x:c>
      <x:c r="C227" s="6" t="str">
        <x:v>SVC000301</x:v>
      </x:c>
      <x:c r="D227" s="6" t="str">
        <x:v>iPhone 6S+ Charge Port Replacement</x:v>
      </x:c>
      <x:c r="E227" s="6" t="str">
        <x:v>iPhone 6S+ Charge Port Replacement</x:v>
      </x:c>
      <x:c r="F227" s="6" t="str">
        <x:v>iphone 6s charge port replacement</x:v>
      </x:c>
      <x:c r="G227" s="6" t="str">
        <x:v>Repair</x:v>
      </x:c>
      <x:c r="H227" s="6" t="str">
        <x:v>Miscellaneous Repair</x:v>
      </x:c>
      <x:c r="I227" s="6" t="str">
        <x:v>Phone</x:v>
      </x:c>
      <x:c r="J227" s="6" t="str">
        <x:v>iPhone 6S+ Charge Port Replacement</x:v>
      </x:c>
      <x:c r="K227" s="6" t="str">
        <x:v>Nocturnix_Master_Services_Catalog_v1.xlsx</x:v>
      </x:c>
      <x:c r="L227" s="6" t="str">
        <x:v>01 - Master Services</x:v>
      </x:c>
      <x:c r="M227" s="6" t="n">
        <x:v>266</x:v>
      </x:c>
      <x:c r="N227" s="6" t="str">
        <x:v>CNF000226</x:v>
      </x:c>
      <x:c r="O227" s="6" t="str">
        <x:v>DUP000013</x:v>
      </x:c>
      <x:c r="P227" s="6" t="str">
        <x:v>Pending Verification</x:v>
      </x:c>
      <x:c r="Q227" s="6" t="str"/>
      <x:c r="R227" s="6" t="str"/>
      <x:c r="S227" s="6" t="str"/>
      <x:c r="T227" s="6" t="str"/>
      <x:c r="U227" s="6" t="str"/>
      <x:c r="V227" s="6" t="str">
        <x:v>Unresolved</x:v>
      </x:c>
      <x:c r="W227" s="12" t="str"/>
      <x:c r="X227" s="12" t="str"/>
      <x:c r="Y227" s="6" t="str"/>
      <x:c r="Z227" s="6" t="str"/>
      <x:c r="AA227" s="6" t="str">
        <x:v>Pending</x:v>
      </x:c>
      <x:c r="AB227" s="6" t="str"/>
      <x:c r="AC227" s="6" t="str"/>
      <x:c r="AD227" s="12" t="str"/>
    </x:row>
    <x:row r="228">
      <x:c r="A228" s="6" t="str">
        <x:v>SIR-000227</x:v>
      </x:c>
      <x:c r="B228" s="6" t="str">
        <x:v>SVC000227</x:v>
      </x:c>
      <x:c r="C228" s="6" t="str">
        <x:v>SVC000302</x:v>
      </x:c>
      <x:c r="D228" s="6" t="str">
        <x:v>iPhone 6S+ Charge Port Replacement</x:v>
      </x:c>
      <x:c r="E228" s="6" t="str">
        <x:v>iPhone 6S+ Charge Port Replacement</x:v>
      </x:c>
      <x:c r="F228" s="6" t="str">
        <x:v>iphone 6s charge port replacement</x:v>
      </x:c>
      <x:c r="G228" s="6" t="str">
        <x:v>Repair</x:v>
      </x:c>
      <x:c r="H228" s="6" t="str">
        <x:v>Miscellaneous Repair</x:v>
      </x:c>
      <x:c r="I228" s="6" t="str">
        <x:v>Phone</x:v>
      </x:c>
      <x:c r="J228" s="6" t="str">
        <x:v>iPhone 6S+ Charge Port Replacement</x:v>
      </x:c>
      <x:c r="K228" s="6" t="str">
        <x:v>Nocturnix_Master_Services_Catalog_v1.xlsx</x:v>
      </x:c>
      <x:c r="L228" s="6" t="str">
        <x:v>01 - Master Services</x:v>
      </x:c>
      <x:c r="M228" s="6" t="n">
        <x:v>267</x:v>
      </x:c>
      <x:c r="N228" s="6" t="str">
        <x:v>CNF000227</x:v>
      </x:c>
      <x:c r="O228" s="6" t="str">
        <x:v>DUP000013</x:v>
      </x:c>
      <x:c r="P228" s="6" t="str">
        <x:v>Pending Verification</x:v>
      </x:c>
      <x:c r="Q228" s="6" t="str"/>
      <x:c r="R228" s="6" t="str"/>
      <x:c r="S228" s="6" t="str"/>
      <x:c r="T228" s="6" t="str"/>
      <x:c r="U228" s="6" t="str"/>
      <x:c r="V228" s="6" t="str">
        <x:v>Unresolved</x:v>
      </x:c>
      <x:c r="W228" s="12" t="str"/>
      <x:c r="X228" s="12" t="str"/>
      <x:c r="Y228" s="6" t="str"/>
      <x:c r="Z228" s="6" t="str"/>
      <x:c r="AA228" s="6" t="str">
        <x:v>Pending</x:v>
      </x:c>
      <x:c r="AB228" s="6" t="str"/>
      <x:c r="AC228" s="6" t="str"/>
      <x:c r="AD228" s="12" t="str"/>
    </x:row>
    <x:row r="229">
      <x:c r="A229" s="6" t="str">
        <x:v>SIR-000228</x:v>
      </x:c>
      <x:c r="B229" s="6" t="str">
        <x:v>SVC000228</x:v>
      </x:c>
      <x:c r="C229" s="6" t="str">
        <x:v>SVC000303</x:v>
      </x:c>
      <x:c r="D229" s="6" t="str">
        <x:v>iPhone SE(1ST GEN) Charge Port Replacement</x:v>
      </x:c>
      <x:c r="E229" s="6" t="str">
        <x:v>iPhone SE(1ST GEN) Charge Port Replacement</x:v>
      </x:c>
      <x:c r="F229" s="6" t="str">
        <x:v>iphone se 1st gen charge port replacement</x:v>
      </x:c>
      <x:c r="G229" s="6" t="str">
        <x:v>Repair</x:v>
      </x:c>
      <x:c r="H229" s="6" t="str">
        <x:v>Miscellaneous Repair</x:v>
      </x:c>
      <x:c r="I229" s="6" t="str">
        <x:v>Phone</x:v>
      </x:c>
      <x:c r="J229" s="6" t="str">
        <x:v>iPhone SE(1ST GEN) Charge Port Replacement</x:v>
      </x:c>
      <x:c r="K229" s="6" t="str">
        <x:v>Nocturnix_Master_Services_Catalog_v1.xlsx</x:v>
      </x:c>
      <x:c r="L229" s="6" t="str">
        <x:v>01 - Master Services</x:v>
      </x:c>
      <x:c r="M229" s="6" t="n">
        <x:v>268</x:v>
      </x:c>
      <x:c r="N229" s="6" t="str">
        <x:v>CNF000228</x:v>
      </x:c>
      <x:c r="O229" s="6" t="str"/>
      <x:c r="P229" s="6" t="str">
        <x:v>Pending Verification</x:v>
      </x:c>
      <x:c r="Q229" s="6" t="str"/>
      <x:c r="R229" s="6" t="str"/>
      <x:c r="S229" s="6" t="str"/>
      <x:c r="T229" s="6" t="str"/>
      <x:c r="U229" s="6" t="str"/>
      <x:c r="V229" s="6" t="str">
        <x:v>Unresolved</x:v>
      </x:c>
      <x:c r="W229" s="12" t="str"/>
      <x:c r="X229" s="12" t="str"/>
      <x:c r="Y229" s="6" t="str"/>
      <x:c r="Z229" s="6" t="str"/>
      <x:c r="AA229" s="6" t="str">
        <x:v>Pending</x:v>
      </x:c>
      <x:c r="AB229" s="6" t="str"/>
      <x:c r="AC229" s="6" t="str"/>
      <x:c r="AD229" s="12" t="str"/>
    </x:row>
    <x:row r="230">
      <x:c r="A230" s="6" t="str">
        <x:v>SIR-000229</x:v>
      </x:c>
      <x:c r="B230" s="6" t="str">
        <x:v>SVC000229</x:v>
      </x:c>
      <x:c r="C230" s="6" t="str">
        <x:v>SVC000304</x:v>
      </x:c>
      <x:c r="D230" s="6" t="str">
        <x:v>iPhone 7 Charge Port Replacement</x:v>
      </x:c>
      <x:c r="E230" s="6" t="str">
        <x:v>iPhone 7 Charge Port Replacement</x:v>
      </x:c>
      <x:c r="F230" s="6" t="str">
        <x:v>iphone 7 charge port replacement</x:v>
      </x:c>
      <x:c r="G230" s="6" t="str">
        <x:v>Repair</x:v>
      </x:c>
      <x:c r="H230" s="6" t="str">
        <x:v>Miscellaneous Repair</x:v>
      </x:c>
      <x:c r="I230" s="6" t="str">
        <x:v>Phone</x:v>
      </x:c>
      <x:c r="J230" s="6" t="str">
        <x:v>iPhone 7 Charge Port Replacement</x:v>
      </x:c>
      <x:c r="K230" s="6" t="str">
        <x:v>Nocturnix_Master_Services_Catalog_v1.xlsx</x:v>
      </x:c>
      <x:c r="L230" s="6" t="str">
        <x:v>01 - Master Services</x:v>
      </x:c>
      <x:c r="M230" s="6" t="n">
        <x:v>269</x:v>
      </x:c>
      <x:c r="N230" s="6" t="str">
        <x:v>CNF000229</x:v>
      </x:c>
      <x:c r="O230" s="6" t="str">
        <x:v>DUP000014</x:v>
      </x:c>
      <x:c r="P230" s="6" t="str">
        <x:v>Pending Verification</x:v>
      </x:c>
      <x:c r="Q230" s="6" t="str"/>
      <x:c r="R230" s="6" t="str"/>
      <x:c r="S230" s="6" t="str"/>
      <x:c r="T230" s="6" t="str"/>
      <x:c r="U230" s="6" t="str"/>
      <x:c r="V230" s="6" t="str">
        <x:v>Unresolved</x:v>
      </x:c>
      <x:c r="W230" s="12" t="str"/>
      <x:c r="X230" s="12" t="str"/>
      <x:c r="Y230" s="6" t="str"/>
      <x:c r="Z230" s="6" t="str"/>
      <x:c r="AA230" s="6" t="str">
        <x:v>Pending</x:v>
      </x:c>
      <x:c r="AB230" s="6" t="str"/>
      <x:c r="AC230" s="6" t="str"/>
      <x:c r="AD230" s="12" t="str"/>
    </x:row>
    <x:row r="231">
      <x:c r="A231" s="6" t="str">
        <x:v>SIR-000230</x:v>
      </x:c>
      <x:c r="B231" s="6" t="str">
        <x:v>SVC000230</x:v>
      </x:c>
      <x:c r="C231" s="6" t="str">
        <x:v>SVC000305</x:v>
      </x:c>
      <x:c r="D231" s="6" t="str">
        <x:v>iPhone 7+ Charge Port Replacement</x:v>
      </x:c>
      <x:c r="E231" s="6" t="str">
        <x:v>iPhone 7+ Charge Port Replacement</x:v>
      </x:c>
      <x:c r="F231" s="6" t="str">
        <x:v>iphone 7 charge port replacement</x:v>
      </x:c>
      <x:c r="G231" s="6" t="str">
        <x:v>Repair</x:v>
      </x:c>
      <x:c r="H231" s="6" t="str">
        <x:v>Miscellaneous Repair</x:v>
      </x:c>
      <x:c r="I231" s="6" t="str">
        <x:v>Phone</x:v>
      </x:c>
      <x:c r="J231" s="6" t="str">
        <x:v>iPhone 7+ Charge Port Replacement</x:v>
      </x:c>
      <x:c r="K231" s="6" t="str">
        <x:v>Nocturnix_Master_Services_Catalog_v1.xlsx</x:v>
      </x:c>
      <x:c r="L231" s="6" t="str">
        <x:v>01 - Master Services</x:v>
      </x:c>
      <x:c r="M231" s="6" t="n">
        <x:v>270</x:v>
      </x:c>
      <x:c r="N231" s="6" t="str">
        <x:v>CNF000230</x:v>
      </x:c>
      <x:c r="O231" s="6" t="str">
        <x:v>DUP000014</x:v>
      </x:c>
      <x:c r="P231" s="6" t="str">
        <x:v>Pending Verification</x:v>
      </x:c>
      <x:c r="Q231" s="6" t="str"/>
      <x:c r="R231" s="6" t="str"/>
      <x:c r="S231" s="6" t="str"/>
      <x:c r="T231" s="6" t="str"/>
      <x:c r="U231" s="6" t="str"/>
      <x:c r="V231" s="6" t="str">
        <x:v>Unresolved</x:v>
      </x:c>
      <x:c r="W231" s="12" t="str"/>
      <x:c r="X231" s="12" t="str"/>
      <x:c r="Y231" s="6" t="str"/>
      <x:c r="Z231" s="6" t="str"/>
      <x:c r="AA231" s="6" t="str">
        <x:v>Pending</x:v>
      </x:c>
      <x:c r="AB231" s="6" t="str"/>
      <x:c r="AC231" s="6" t="str"/>
      <x:c r="AD231" s="12" t="str"/>
    </x:row>
    <x:row r="232">
      <x:c r="A232" s="6" t="str">
        <x:v>SIR-000231</x:v>
      </x:c>
      <x:c r="B232" s="6" t="str">
        <x:v>SVC000231</x:v>
      </x:c>
      <x:c r="C232" s="6" t="str">
        <x:v>SVC000306</x:v>
      </x:c>
      <x:c r="D232" s="6" t="str">
        <x:v>iPhone 8 Charge Port Replacement</x:v>
      </x:c>
      <x:c r="E232" s="6" t="str">
        <x:v>iPhone 8 Charge Port Replacement</x:v>
      </x:c>
      <x:c r="F232" s="6" t="str">
        <x:v>iphone 8 charge port replacement</x:v>
      </x:c>
      <x:c r="G232" s="6" t="str">
        <x:v>Repair</x:v>
      </x:c>
      <x:c r="H232" s="6" t="str">
        <x:v>Miscellaneous Repair</x:v>
      </x:c>
      <x:c r="I232" s="6" t="str">
        <x:v>Phone</x:v>
      </x:c>
      <x:c r="J232" s="6" t="str">
        <x:v>iPhone 8 Charge Port Replacement</x:v>
      </x:c>
      <x:c r="K232" s="6" t="str">
        <x:v>Nocturnix_Master_Services_Catalog_v1.xlsx</x:v>
      </x:c>
      <x:c r="L232" s="6" t="str">
        <x:v>01 - Master Services</x:v>
      </x:c>
      <x:c r="M232" s="6" t="n">
        <x:v>271</x:v>
      </x:c>
      <x:c r="N232" s="6" t="str">
        <x:v>CNF000231</x:v>
      </x:c>
      <x:c r="O232" s="6" t="str">
        <x:v>DUP000015</x:v>
      </x:c>
      <x:c r="P232" s="6" t="str">
        <x:v>Pending Verification</x:v>
      </x:c>
      <x:c r="Q232" s="6" t="str"/>
      <x:c r="R232" s="6" t="str"/>
      <x:c r="S232" s="6" t="str"/>
      <x:c r="T232" s="6" t="str"/>
      <x:c r="U232" s="6" t="str"/>
      <x:c r="V232" s="6" t="str">
        <x:v>Unresolved</x:v>
      </x:c>
      <x:c r="W232" s="12" t="str"/>
      <x:c r="X232" s="12" t="str"/>
      <x:c r="Y232" s="6" t="str"/>
      <x:c r="Z232" s="6" t="str"/>
      <x:c r="AA232" s="6" t="str">
        <x:v>Pending</x:v>
      </x:c>
      <x:c r="AB232" s="6" t="str"/>
      <x:c r="AC232" s="6" t="str"/>
      <x:c r="AD232" s="12" t="str"/>
    </x:row>
    <x:row r="233">
      <x:c r="A233" s="6" t="str">
        <x:v>SIR-000232</x:v>
      </x:c>
      <x:c r="B233" s="6" t="str">
        <x:v>SVC000232</x:v>
      </x:c>
      <x:c r="C233" s="6" t="str">
        <x:v>SVC000307</x:v>
      </x:c>
      <x:c r="D233" s="6" t="str">
        <x:v>iPhone 8+ Charge Port Replacement</x:v>
      </x:c>
      <x:c r="E233" s="6" t="str">
        <x:v>iPhone 8+ Charge Port Replacement</x:v>
      </x:c>
      <x:c r="F233" s="6" t="str">
        <x:v>iphone 8 charge port replacement</x:v>
      </x:c>
      <x:c r="G233" s="6" t="str">
        <x:v>Repair</x:v>
      </x:c>
      <x:c r="H233" s="6" t="str">
        <x:v>Miscellaneous Repair</x:v>
      </x:c>
      <x:c r="I233" s="6" t="str">
        <x:v>Phone</x:v>
      </x:c>
      <x:c r="J233" s="6" t="str">
        <x:v>iPhone 8+ Charge Port Replacement</x:v>
      </x:c>
      <x:c r="K233" s="6" t="str">
        <x:v>Nocturnix_Master_Services_Catalog_v1.xlsx</x:v>
      </x:c>
      <x:c r="L233" s="6" t="str">
        <x:v>01 - Master Services</x:v>
      </x:c>
      <x:c r="M233" s="6" t="n">
        <x:v>272</x:v>
      </x:c>
      <x:c r="N233" s="6" t="str">
        <x:v>CNF000232</x:v>
      </x:c>
      <x:c r="O233" s="6" t="str">
        <x:v>DUP000015</x:v>
      </x:c>
      <x:c r="P233" s="6" t="str">
        <x:v>Pending Verification</x:v>
      </x:c>
      <x:c r="Q233" s="6" t="str"/>
      <x:c r="R233" s="6" t="str"/>
      <x:c r="S233" s="6" t="str"/>
      <x:c r="T233" s="6" t="str"/>
      <x:c r="U233" s="6" t="str"/>
      <x:c r="V233" s="6" t="str">
        <x:v>Unresolved</x:v>
      </x:c>
      <x:c r="W233" s="12" t="str"/>
      <x:c r="X233" s="12" t="str"/>
      <x:c r="Y233" s="6" t="str"/>
      <x:c r="Z233" s="6" t="str"/>
      <x:c r="AA233" s="6" t="str">
        <x:v>Pending</x:v>
      </x:c>
      <x:c r="AB233" s="6" t="str"/>
      <x:c r="AC233" s="6" t="str"/>
      <x:c r="AD233" s="12" t="str"/>
    </x:row>
    <x:row r="234">
      <x:c r="A234" s="6" t="str">
        <x:v>SIR-000233</x:v>
      </x:c>
      <x:c r="B234" s="6" t="str">
        <x:v>SVC000233</x:v>
      </x:c>
      <x:c r="C234" s="6" t="str">
        <x:v>SVC000308</x:v>
      </x:c>
      <x:c r="D234" s="6" t="str">
        <x:v>iPhone X Charge Port Replacement</x:v>
      </x:c>
      <x:c r="E234" s="6" t="str">
        <x:v>iPhone X Charge Port Replacement</x:v>
      </x:c>
      <x:c r="F234" s="6" t="str">
        <x:v>iphone x charge port replacement</x:v>
      </x:c>
      <x:c r="G234" s="6" t="str">
        <x:v>Repair</x:v>
      </x:c>
      <x:c r="H234" s="6" t="str">
        <x:v>Miscellaneous Repair</x:v>
      </x:c>
      <x:c r="I234" s="6" t="str">
        <x:v>Phone</x:v>
      </x:c>
      <x:c r="J234" s="6" t="str">
        <x:v>iPhone X Charge Port Replacement</x:v>
      </x:c>
      <x:c r="K234" s="6" t="str">
        <x:v>Nocturnix_Master_Services_Catalog_v1.xlsx</x:v>
      </x:c>
      <x:c r="L234" s="6" t="str">
        <x:v>01 - Master Services</x:v>
      </x:c>
      <x:c r="M234" s="6" t="n">
        <x:v>273</x:v>
      </x:c>
      <x:c r="N234" s="6" t="str">
        <x:v>CNF000233</x:v>
      </x:c>
      <x:c r="O234" s="6" t="str"/>
      <x:c r="P234" s="6" t="str">
        <x:v>Pending Verification</x:v>
      </x:c>
      <x:c r="Q234" s="6" t="str"/>
      <x:c r="R234" s="6" t="str"/>
      <x:c r="S234" s="6" t="str"/>
      <x:c r="T234" s="6" t="str"/>
      <x:c r="U234" s="6" t="str"/>
      <x:c r="V234" s="6" t="str">
        <x:v>Unresolved</x:v>
      </x:c>
      <x:c r="W234" s="12" t="str"/>
      <x:c r="X234" s="12" t="str"/>
      <x:c r="Y234" s="6" t="str"/>
      <x:c r="Z234" s="6" t="str"/>
      <x:c r="AA234" s="6" t="str">
        <x:v>Pending</x:v>
      </x:c>
      <x:c r="AB234" s="6" t="str"/>
      <x:c r="AC234" s="6" t="str"/>
      <x:c r="AD234" s="12" t="str"/>
    </x:row>
    <x:row r="235">
      <x:c r="A235" s="6" t="str">
        <x:v>SIR-000234</x:v>
      </x:c>
      <x:c r="B235" s="6" t="str">
        <x:v>SVC000234</x:v>
      </x:c>
      <x:c r="C235" s="6" t="str">
        <x:v>SVC000309</x:v>
      </x:c>
      <x:c r="D235" s="6" t="str">
        <x:v>iPhone XR Charge Port Replacement</x:v>
      </x:c>
      <x:c r="E235" s="6" t="str">
        <x:v>iPhone XR Charge Port Replacement</x:v>
      </x:c>
      <x:c r="F235" s="6" t="str">
        <x:v>iphone xr charge port replacement</x:v>
      </x:c>
      <x:c r="G235" s="6" t="str">
        <x:v>Repair</x:v>
      </x:c>
      <x:c r="H235" s="6" t="str">
        <x:v>Miscellaneous Repair</x:v>
      </x:c>
      <x:c r="I235" s="6" t="str">
        <x:v>Phone</x:v>
      </x:c>
      <x:c r="J235" s="6" t="str">
        <x:v>iPhone XR Charge Port Replacement</x:v>
      </x:c>
      <x:c r="K235" s="6" t="str">
        <x:v>Nocturnix_Master_Services_Catalog_v1.xlsx</x:v>
      </x:c>
      <x:c r="L235" s="6" t="str">
        <x:v>01 - Master Services</x:v>
      </x:c>
      <x:c r="M235" s="6" t="n">
        <x:v>274</x:v>
      </x:c>
      <x:c r="N235" s="6" t="str">
        <x:v>CNF000234</x:v>
      </x:c>
      <x:c r="O235" s="6" t="str"/>
      <x:c r="P235" s="6" t="str">
        <x:v>Pending Verification</x:v>
      </x:c>
      <x:c r="Q235" s="6" t="str"/>
      <x:c r="R235" s="6" t="str"/>
      <x:c r="S235" s="6" t="str"/>
      <x:c r="T235" s="6" t="str"/>
      <x:c r="U235" s="6" t="str"/>
      <x:c r="V235" s="6" t="str">
        <x:v>Unresolved</x:v>
      </x:c>
      <x:c r="W235" s="12" t="str"/>
      <x:c r="X235" s="12" t="str"/>
      <x:c r="Y235" s="6" t="str"/>
      <x:c r="Z235" s="6" t="str"/>
      <x:c r="AA235" s="6" t="str">
        <x:v>Pending</x:v>
      </x:c>
      <x:c r="AB235" s="6" t="str"/>
      <x:c r="AC235" s="6" t="str"/>
      <x:c r="AD235" s="12" t="str"/>
    </x:row>
    <x:row r="236">
      <x:c r="A236" s="6" t="str">
        <x:v>SIR-000235</x:v>
      </x:c>
      <x:c r="B236" s="6" t="str">
        <x:v>SVC000235</x:v>
      </x:c>
      <x:c r="C236" s="6" t="str">
        <x:v>SVC000310</x:v>
      </x:c>
      <x:c r="D236" s="6" t="str">
        <x:v>Galaxy S 23 Battery Replacement</x:v>
      </x:c>
      <x:c r="E236" s="6" t="str">
        <x:v>Galaxy S 23 Battery Replacement</x:v>
      </x:c>
      <x:c r="F236" s="6" t="str">
        <x:v>galaxy s 23 battery replacement</x:v>
      </x:c>
      <x:c r="G236" s="6" t="str">
        <x:v>Repair</x:v>
      </x:c>
      <x:c r="H236" s="6" t="str">
        <x:v>Miscellaneous Repair</x:v>
      </x:c>
      <x:c r="I236" s="6" t="str">
        <x:v>Phone</x:v>
      </x:c>
      <x:c r="J236" s="6" t="str">
        <x:v>Galaxy S 23 Battery Replacement</x:v>
      </x:c>
      <x:c r="K236" s="6" t="str">
        <x:v>Nocturnix_Master_Services_Catalog_v1.xlsx</x:v>
      </x:c>
      <x:c r="L236" s="6" t="str">
        <x:v>01 - Master Services</x:v>
      </x:c>
      <x:c r="M236" s="6" t="n">
        <x:v>275</x:v>
      </x:c>
      <x:c r="N236" s="6" t="str">
        <x:v>CNF000235</x:v>
      </x:c>
      <x:c r="O236" s="6" t="str"/>
      <x:c r="P236" s="6" t="str">
        <x:v>Pending Verification</x:v>
      </x:c>
      <x:c r="Q236" s="6" t="str"/>
      <x:c r="R236" s="6" t="str"/>
      <x:c r="S236" s="6" t="str"/>
      <x:c r="T236" s="6" t="str"/>
      <x:c r="U236" s="6" t="str"/>
      <x:c r="V236" s="6" t="str">
        <x:v>Unresolved</x:v>
      </x:c>
      <x:c r="W236" s="12" t="str"/>
      <x:c r="X236" s="12" t="str"/>
      <x:c r="Y236" s="6" t="str"/>
      <x:c r="Z236" s="6" t="str"/>
      <x:c r="AA236" s="6" t="str">
        <x:v>Pending</x:v>
      </x:c>
      <x:c r="AB236" s="6" t="str"/>
      <x:c r="AC236" s="6" t="str"/>
      <x:c r="AD236" s="12" t="str"/>
    </x:row>
    <x:row r="237">
      <x:c r="A237" s="6" t="str">
        <x:v>SIR-000236</x:v>
      </x:c>
      <x:c r="B237" s="6" t="str">
        <x:v>SVC000236</x:v>
      </x:c>
      <x:c r="C237" s="6" t="str">
        <x:v>SVC000311</x:v>
      </x:c>
      <x:c r="D237" s="6" t="str">
        <x:v>iPhone XS Charge Port Replacement</x:v>
      </x:c>
      <x:c r="E237" s="6" t="str">
        <x:v>iPhone XS Charge Port Replacement</x:v>
      </x:c>
      <x:c r="F237" s="6" t="str">
        <x:v>iphone xs charge port replacement</x:v>
      </x:c>
      <x:c r="G237" s="6" t="str">
        <x:v>Repair</x:v>
      </x:c>
      <x:c r="H237" s="6" t="str">
        <x:v>Miscellaneous Repair</x:v>
      </x:c>
      <x:c r="I237" s="6" t="str">
        <x:v>Phone</x:v>
      </x:c>
      <x:c r="J237" s="6" t="str">
        <x:v>iPhone XS Charge Port Replacement</x:v>
      </x:c>
      <x:c r="K237" s="6" t="str">
        <x:v>Nocturnix_Master_Services_Catalog_v1.xlsx</x:v>
      </x:c>
      <x:c r="L237" s="6" t="str">
        <x:v>01 - Master Services</x:v>
      </x:c>
      <x:c r="M237" s="6" t="n">
        <x:v>276</x:v>
      </x:c>
      <x:c r="N237" s="6" t="str">
        <x:v>CNF000236</x:v>
      </x:c>
      <x:c r="O237" s="6" t="str"/>
      <x:c r="P237" s="6" t="str">
        <x:v>Pending Verification</x:v>
      </x:c>
      <x:c r="Q237" s="6" t="str"/>
      <x:c r="R237" s="6" t="str"/>
      <x:c r="S237" s="6" t="str"/>
      <x:c r="T237" s="6" t="str"/>
      <x:c r="U237" s="6" t="str"/>
      <x:c r="V237" s="6" t="str">
        <x:v>Unresolved</x:v>
      </x:c>
      <x:c r="W237" s="12" t="str"/>
      <x:c r="X237" s="12" t="str"/>
      <x:c r="Y237" s="6" t="str"/>
      <x:c r="Z237" s="6" t="str"/>
      <x:c r="AA237" s="6" t="str">
        <x:v>Pending</x:v>
      </x:c>
      <x:c r="AB237" s="6" t="str"/>
      <x:c r="AC237" s="6" t="str"/>
      <x:c r="AD237" s="12" t="str"/>
    </x:row>
    <x:row r="238">
      <x:c r="A238" s="6" t="str">
        <x:v>SIR-000237</x:v>
      </x:c>
      <x:c r="B238" s="6" t="str">
        <x:v>SVC000237</x:v>
      </x:c>
      <x:c r="C238" s="6" t="str">
        <x:v>SVC000312</x:v>
      </x:c>
      <x:c r="D238" s="6" t="str">
        <x:v>iPhone XS Max Charge Port Replacement</x:v>
      </x:c>
      <x:c r="E238" s="6" t="str">
        <x:v>iPhone XS Max Charge Port Replacement</x:v>
      </x:c>
      <x:c r="F238" s="6" t="str">
        <x:v>iphone xs max charge port replacement</x:v>
      </x:c>
      <x:c r="G238" s="6" t="str">
        <x:v>Repair</x:v>
      </x:c>
      <x:c r="H238" s="6" t="str">
        <x:v>Miscellaneous Repair</x:v>
      </x:c>
      <x:c r="I238" s="6" t="str">
        <x:v>Phone</x:v>
      </x:c>
      <x:c r="J238" s="6" t="str">
        <x:v>iPhone XS Max Charge Port Replacement</x:v>
      </x:c>
      <x:c r="K238" s="6" t="str">
        <x:v>Nocturnix_Master_Services_Catalog_v1.xlsx</x:v>
      </x:c>
      <x:c r="L238" s="6" t="str">
        <x:v>01 - Master Services</x:v>
      </x:c>
      <x:c r="M238" s="6" t="n">
        <x:v>277</x:v>
      </x:c>
      <x:c r="N238" s="6" t="str">
        <x:v>CNF000237</x:v>
      </x:c>
      <x:c r="O238" s="6" t="str"/>
      <x:c r="P238" s="6" t="str">
        <x:v>Pending Verification</x:v>
      </x:c>
      <x:c r="Q238" s="6" t="str"/>
      <x:c r="R238" s="6" t="str"/>
      <x:c r="S238" s="6" t="str"/>
      <x:c r="T238" s="6" t="str"/>
      <x:c r="U238" s="6" t="str"/>
      <x:c r="V238" s="6" t="str">
        <x:v>Unresolved</x:v>
      </x:c>
      <x:c r="W238" s="12" t="str"/>
      <x:c r="X238" s="12" t="str"/>
      <x:c r="Y238" s="6" t="str"/>
      <x:c r="Z238" s="6" t="str"/>
      <x:c r="AA238" s="6" t="str">
        <x:v>Pending</x:v>
      </x:c>
      <x:c r="AB238" s="6" t="str"/>
      <x:c r="AC238" s="6" t="str"/>
      <x:c r="AD238" s="12" t="str"/>
    </x:row>
    <x:row r="239">
      <x:c r="A239" s="6" t="str">
        <x:v>SIR-000238</x:v>
      </x:c>
      <x:c r="B239" s="6" t="str">
        <x:v>SVC000238</x:v>
      </x:c>
      <x:c r="C239" s="6" t="str">
        <x:v>SVC000313</x:v>
      </x:c>
      <x:c r="D239" s="6" t="str">
        <x:v>iPhone 11 Charge Port Replacement</x:v>
      </x:c>
      <x:c r="E239" s="6" t="str">
        <x:v>iPhone 11 Charge Port Replacement</x:v>
      </x:c>
      <x:c r="F239" s="6" t="str">
        <x:v>iphone 11 charge port replacement</x:v>
      </x:c>
      <x:c r="G239" s="6" t="str">
        <x:v>Repair</x:v>
      </x:c>
      <x:c r="H239" s="6" t="str">
        <x:v>Miscellaneous Repair</x:v>
      </x:c>
      <x:c r="I239" s="6" t="str">
        <x:v>Phone</x:v>
      </x:c>
      <x:c r="J239" s="6" t="str">
        <x:v>iPhone 11 Charge Port Replacement</x:v>
      </x:c>
      <x:c r="K239" s="6" t="str">
        <x:v>Nocturnix_Master_Services_Catalog_v1.xlsx</x:v>
      </x:c>
      <x:c r="L239" s="6" t="str">
        <x:v>01 - Master Services</x:v>
      </x:c>
      <x:c r="M239" s="6" t="n">
        <x:v>278</x:v>
      </x:c>
      <x:c r="N239" s="6" t="str">
        <x:v>CNF000238</x:v>
      </x:c>
      <x:c r="O239" s="6" t="str"/>
      <x:c r="P239" s="6" t="str">
        <x:v>Pending Verification</x:v>
      </x:c>
      <x:c r="Q239" s="6" t="str"/>
      <x:c r="R239" s="6" t="str"/>
      <x:c r="S239" s="6" t="str"/>
      <x:c r="T239" s="6" t="str"/>
      <x:c r="U239" s="6" t="str"/>
      <x:c r="V239" s="6" t="str">
        <x:v>Unresolved</x:v>
      </x:c>
      <x:c r="W239" s="12" t="str"/>
      <x:c r="X239" s="12" t="str"/>
      <x:c r="Y239" s="6" t="str"/>
      <x:c r="Z239" s="6" t="str"/>
      <x:c r="AA239" s="6" t="str">
        <x:v>Pending</x:v>
      </x:c>
      <x:c r="AB239" s="6" t="str"/>
      <x:c r="AC239" s="6" t="str"/>
      <x:c r="AD239" s="12" t="str"/>
    </x:row>
    <x:row r="240">
      <x:c r="A240" s="6" t="str">
        <x:v>SIR-000239</x:v>
      </x:c>
      <x:c r="B240" s="6" t="str">
        <x:v>SVC000239</x:v>
      </x:c>
      <x:c r="C240" s="6" t="str">
        <x:v>SVC000314</x:v>
      </x:c>
      <x:c r="D240" s="6" t="str">
        <x:v>iPhone 11 Pro Charge Port Replacement</x:v>
      </x:c>
      <x:c r="E240" s="6" t="str">
        <x:v>iPhone 11 Pro Charge Port Replacement</x:v>
      </x:c>
      <x:c r="F240" s="6" t="str">
        <x:v>iphone 11 pro charge port replacement</x:v>
      </x:c>
      <x:c r="G240" s="6" t="str">
        <x:v>Repair</x:v>
      </x:c>
      <x:c r="H240" s="6" t="str">
        <x:v>Miscellaneous Repair</x:v>
      </x:c>
      <x:c r="I240" s="6" t="str">
        <x:v>Phone</x:v>
      </x:c>
      <x:c r="J240" s="6" t="str">
        <x:v>iPhone 11 Pro Charge Port Replacement</x:v>
      </x:c>
      <x:c r="K240" s="6" t="str">
        <x:v>Nocturnix_Master_Services_Catalog_v1.xlsx</x:v>
      </x:c>
      <x:c r="L240" s="6" t="str">
        <x:v>01 - Master Services</x:v>
      </x:c>
      <x:c r="M240" s="6" t="n">
        <x:v>279</x:v>
      </x:c>
      <x:c r="N240" s="6" t="str">
        <x:v>CNF000239</x:v>
      </x:c>
      <x:c r="O240" s="6" t="str"/>
      <x:c r="P240" s="6" t="str">
        <x:v>Pending Verification</x:v>
      </x:c>
      <x:c r="Q240" s="6" t="str"/>
      <x:c r="R240" s="6" t="str"/>
      <x:c r="S240" s="6" t="str"/>
      <x:c r="T240" s="6" t="str"/>
      <x:c r="U240" s="6" t="str"/>
      <x:c r="V240" s="6" t="str">
        <x:v>Unresolved</x:v>
      </x:c>
      <x:c r="W240" s="12" t="str"/>
      <x:c r="X240" s="12" t="str"/>
      <x:c r="Y240" s="6" t="str"/>
      <x:c r="Z240" s="6" t="str"/>
      <x:c r="AA240" s="6" t="str">
        <x:v>Pending</x:v>
      </x:c>
      <x:c r="AB240" s="6" t="str"/>
      <x:c r="AC240" s="6" t="str"/>
      <x:c r="AD240" s="12" t="str"/>
    </x:row>
    <x:row r="241">
      <x:c r="A241" s="6" t="str">
        <x:v>SIR-000240</x:v>
      </x:c>
      <x:c r="B241" s="6" t="str">
        <x:v>SVC000240</x:v>
      </x:c>
      <x:c r="C241" s="6" t="str">
        <x:v>SVC000315</x:v>
      </x:c>
      <x:c r="D241" s="6" t="str">
        <x:v>iPhone 11 Pro Max Charge Port Replacement</x:v>
      </x:c>
      <x:c r="E241" s="6" t="str">
        <x:v>iPhone 11 Pro Max Charge Port Replacement</x:v>
      </x:c>
      <x:c r="F241" s="6" t="str">
        <x:v>iphone 11 pro max charge port replacement</x:v>
      </x:c>
      <x:c r="G241" s="6" t="str">
        <x:v>Repair</x:v>
      </x:c>
      <x:c r="H241" s="6" t="str">
        <x:v>Miscellaneous Repair</x:v>
      </x:c>
      <x:c r="I241" s="6" t="str">
        <x:v>Phone</x:v>
      </x:c>
      <x:c r="J241" s="6" t="str">
        <x:v>iPhone 11 Pro Max Charge Port Replacement</x:v>
      </x:c>
      <x:c r="K241" s="6" t="str">
        <x:v>Nocturnix_Master_Services_Catalog_v1.xlsx</x:v>
      </x:c>
      <x:c r="L241" s="6" t="str">
        <x:v>01 - Master Services</x:v>
      </x:c>
      <x:c r="M241" s="6" t="n">
        <x:v>280</x:v>
      </x:c>
      <x:c r="N241" s="6" t="str">
        <x:v>CNF000240</x:v>
      </x:c>
      <x:c r="O241" s="6" t="str"/>
      <x:c r="P241" s="6" t="str">
        <x:v>Pending Verification</x:v>
      </x:c>
      <x:c r="Q241" s="6" t="str"/>
      <x:c r="R241" s="6" t="str"/>
      <x:c r="S241" s="6" t="str"/>
      <x:c r="T241" s="6" t="str"/>
      <x:c r="U241" s="6" t="str"/>
      <x:c r="V241" s="6" t="str">
        <x:v>Unresolved</x:v>
      </x:c>
      <x:c r="W241" s="12" t="str"/>
      <x:c r="X241" s="12" t="str"/>
      <x:c r="Y241" s="6" t="str"/>
      <x:c r="Z241" s="6" t="str"/>
      <x:c r="AA241" s="6" t="str">
        <x:v>Pending</x:v>
      </x:c>
      <x:c r="AB241" s="6" t="str"/>
      <x:c r="AC241" s="6" t="str"/>
      <x:c r="AD241" s="12" t="str"/>
    </x:row>
    <x:row r="242">
      <x:c r="A242" s="6" t="str">
        <x:v>SIR-000241</x:v>
      </x:c>
      <x:c r="B242" s="6" t="str">
        <x:v>SVC000241</x:v>
      </x:c>
      <x:c r="C242" s="6" t="str">
        <x:v>SVC000316</x:v>
      </x:c>
      <x:c r="D242" s="6" t="str">
        <x:v>iPhone SE (2ND GEN) Charge Port Replacement</x:v>
      </x:c>
      <x:c r="E242" s="6" t="str">
        <x:v>iPhone SE (2ND GEN) Charge Port Replacement</x:v>
      </x:c>
      <x:c r="F242" s="6" t="str">
        <x:v>iphone se 2nd gen charge port replacement</x:v>
      </x:c>
      <x:c r="G242" s="6" t="str">
        <x:v>Repair</x:v>
      </x:c>
      <x:c r="H242" s="6" t="str">
        <x:v>Miscellaneous Repair</x:v>
      </x:c>
      <x:c r="I242" s="6" t="str">
        <x:v>Phone</x:v>
      </x:c>
      <x:c r="J242" s="6" t="str">
        <x:v>iPhone SE (2ND GEN) Charge Port Replacement</x:v>
      </x:c>
      <x:c r="K242" s="6" t="str">
        <x:v>Nocturnix_Master_Services_Catalog_v1.xlsx</x:v>
      </x:c>
      <x:c r="L242" s="6" t="str">
        <x:v>01 - Master Services</x:v>
      </x:c>
      <x:c r="M242" s="6" t="n">
        <x:v>281</x:v>
      </x:c>
      <x:c r="N242" s="6" t="str">
        <x:v>CNF000241</x:v>
      </x:c>
      <x:c r="O242" s="6" t="str"/>
      <x:c r="P242" s="6" t="str">
        <x:v>Pending Verification</x:v>
      </x:c>
      <x:c r="Q242" s="6" t="str"/>
      <x:c r="R242" s="6" t="str"/>
      <x:c r="S242" s="6" t="str"/>
      <x:c r="T242" s="6" t="str"/>
      <x:c r="U242" s="6" t="str"/>
      <x:c r="V242" s="6" t="str">
        <x:v>Unresolved</x:v>
      </x:c>
      <x:c r="W242" s="12" t="str"/>
      <x:c r="X242" s="12" t="str"/>
      <x:c r="Y242" s="6" t="str"/>
      <x:c r="Z242" s="6" t="str"/>
      <x:c r="AA242" s="6" t="str">
        <x:v>Pending</x:v>
      </x:c>
      <x:c r="AB242" s="6" t="str"/>
      <x:c r="AC242" s="6" t="str"/>
      <x:c r="AD242" s="12" t="str"/>
    </x:row>
    <x:row r="243">
      <x:c r="A243" s="6" t="str">
        <x:v>SIR-000242</x:v>
      </x:c>
      <x:c r="B243" s="6" t="str">
        <x:v>SVC000242</x:v>
      </x:c>
      <x:c r="C243" s="6" t="str">
        <x:v>SVC000317</x:v>
      </x:c>
      <x:c r="D243" s="6" t="str">
        <x:v>iPhone 12 Charge Port Replacement</x:v>
      </x:c>
      <x:c r="E243" s="6" t="str">
        <x:v>iPhone 12 Charge Port Replacement</x:v>
      </x:c>
      <x:c r="F243" s="6" t="str">
        <x:v>iphone 12 charge port replacement</x:v>
      </x:c>
      <x:c r="G243" s="6" t="str">
        <x:v>Repair</x:v>
      </x:c>
      <x:c r="H243" s="6" t="str">
        <x:v>Miscellaneous Repair</x:v>
      </x:c>
      <x:c r="I243" s="6" t="str">
        <x:v>Phone</x:v>
      </x:c>
      <x:c r="J243" s="6" t="str">
        <x:v>iPhone 12 Charge Port Replacement</x:v>
      </x:c>
      <x:c r="K243" s="6" t="str">
        <x:v>Nocturnix_Master_Services_Catalog_v1.xlsx</x:v>
      </x:c>
      <x:c r="L243" s="6" t="str">
        <x:v>01 - Master Services</x:v>
      </x:c>
      <x:c r="M243" s="6" t="n">
        <x:v>282</x:v>
      </x:c>
      <x:c r="N243" s="6" t="str">
        <x:v>CNF000242</x:v>
      </x:c>
      <x:c r="O243" s="6" t="str"/>
      <x:c r="P243" s="6" t="str">
        <x:v>Pending Verification</x:v>
      </x:c>
      <x:c r="Q243" s="6" t="str"/>
      <x:c r="R243" s="6" t="str"/>
      <x:c r="S243" s="6" t="str"/>
      <x:c r="T243" s="6" t="str"/>
      <x:c r="U243" s="6" t="str"/>
      <x:c r="V243" s="6" t="str">
        <x:v>Unresolved</x:v>
      </x:c>
      <x:c r="W243" s="12" t="str"/>
      <x:c r="X243" s="12" t="str"/>
      <x:c r="Y243" s="6" t="str"/>
      <x:c r="Z243" s="6" t="str"/>
      <x:c r="AA243" s="6" t="str">
        <x:v>Pending</x:v>
      </x:c>
      <x:c r="AB243" s="6" t="str"/>
      <x:c r="AC243" s="6" t="str"/>
      <x:c r="AD243" s="12" t="str"/>
    </x:row>
    <x:row r="244">
      <x:c r="A244" s="6" t="str">
        <x:v>SIR-000243</x:v>
      </x:c>
      <x:c r="B244" s="6" t="str">
        <x:v>SVC000243</x:v>
      </x:c>
      <x:c r="C244" s="6" t="str">
        <x:v>SVC000318</x:v>
      </x:c>
      <x:c r="D244" s="6" t="str">
        <x:v>iPhone 12 Mini Charge Port Replacement</x:v>
      </x:c>
      <x:c r="E244" s="6" t="str">
        <x:v>iPhone 12 Mini Charge Port Replacement</x:v>
      </x:c>
      <x:c r="F244" s="6" t="str">
        <x:v>iphone 12 mini charge port replacement</x:v>
      </x:c>
      <x:c r="G244" s="6" t="str">
        <x:v>Repair</x:v>
      </x:c>
      <x:c r="H244" s="6" t="str">
        <x:v>Miscellaneous Repair</x:v>
      </x:c>
      <x:c r="I244" s="6" t="str">
        <x:v>Phone</x:v>
      </x:c>
      <x:c r="J244" s="6" t="str">
        <x:v>iPhone 12 Mini Charge Port Replacement</x:v>
      </x:c>
      <x:c r="K244" s="6" t="str">
        <x:v>Nocturnix_Master_Services_Catalog_v1.xlsx</x:v>
      </x:c>
      <x:c r="L244" s="6" t="str">
        <x:v>01 - Master Services</x:v>
      </x:c>
      <x:c r="M244" s="6" t="n">
        <x:v>283</x:v>
      </x:c>
      <x:c r="N244" s="6" t="str">
        <x:v>CNF000243</x:v>
      </x:c>
      <x:c r="O244" s="6" t="str"/>
      <x:c r="P244" s="6" t="str">
        <x:v>Pending Verification</x:v>
      </x:c>
      <x:c r="Q244" s="6" t="str"/>
      <x:c r="R244" s="6" t="str"/>
      <x:c r="S244" s="6" t="str"/>
      <x:c r="T244" s="6" t="str"/>
      <x:c r="U244" s="6" t="str"/>
      <x:c r="V244" s="6" t="str">
        <x:v>Unresolved</x:v>
      </x:c>
      <x:c r="W244" s="12" t="str"/>
      <x:c r="X244" s="12" t="str"/>
      <x:c r="Y244" s="6" t="str"/>
      <x:c r="Z244" s="6" t="str"/>
      <x:c r="AA244" s="6" t="str">
        <x:v>Pending</x:v>
      </x:c>
      <x:c r="AB244" s="6" t="str"/>
      <x:c r="AC244" s="6" t="str"/>
      <x:c r="AD244" s="12" t="str"/>
    </x:row>
    <x:row r="245">
      <x:c r="A245" s="6" t="str">
        <x:v>SIR-000244</x:v>
      </x:c>
      <x:c r="B245" s="6" t="str">
        <x:v>SVC000244</x:v>
      </x:c>
      <x:c r="C245" s="6" t="str">
        <x:v>SVC000319</x:v>
      </x:c>
      <x:c r="D245" s="6" t="str">
        <x:v>iPhone 12 Pro Charge Port Replacement</x:v>
      </x:c>
      <x:c r="E245" s="6" t="str">
        <x:v>iPhone 12 Pro Charge Port Replacement</x:v>
      </x:c>
      <x:c r="F245" s="6" t="str">
        <x:v>iphone 12 pro charge port replacement</x:v>
      </x:c>
      <x:c r="G245" s="6" t="str">
        <x:v>Repair</x:v>
      </x:c>
      <x:c r="H245" s="6" t="str">
        <x:v>Miscellaneous Repair</x:v>
      </x:c>
      <x:c r="I245" s="6" t="str">
        <x:v>Phone</x:v>
      </x:c>
      <x:c r="J245" s="6" t="str">
        <x:v>iPhone 12 Pro Charge Port Replacement</x:v>
      </x:c>
      <x:c r="K245" s="6" t="str">
        <x:v>Nocturnix_Master_Services_Catalog_v1.xlsx</x:v>
      </x:c>
      <x:c r="L245" s="6" t="str">
        <x:v>01 - Master Services</x:v>
      </x:c>
      <x:c r="M245" s="6" t="n">
        <x:v>284</x:v>
      </x:c>
      <x:c r="N245" s="6" t="str">
        <x:v>CNF000244</x:v>
      </x:c>
      <x:c r="O245" s="6" t="str"/>
      <x:c r="P245" s="6" t="str">
        <x:v>Pending Verification</x:v>
      </x:c>
      <x:c r="Q245" s="6" t="str"/>
      <x:c r="R245" s="6" t="str"/>
      <x:c r="S245" s="6" t="str"/>
      <x:c r="T245" s="6" t="str"/>
      <x:c r="U245" s="6" t="str"/>
      <x:c r="V245" s="6" t="str">
        <x:v>Unresolved</x:v>
      </x:c>
      <x:c r="W245" s="12" t="str"/>
      <x:c r="X245" s="12" t="str"/>
      <x:c r="Y245" s="6" t="str"/>
      <x:c r="Z245" s="6" t="str"/>
      <x:c r="AA245" s="6" t="str">
        <x:v>Pending</x:v>
      </x:c>
      <x:c r="AB245" s="6" t="str"/>
      <x:c r="AC245" s="6" t="str"/>
      <x:c r="AD245" s="12" t="str"/>
    </x:row>
    <x:row r="246">
      <x:c r="A246" s="6" t="str">
        <x:v>SIR-000245</x:v>
      </x:c>
      <x:c r="B246" s="6" t="str">
        <x:v>SVC000245</x:v>
      </x:c>
      <x:c r="C246" s="6" t="str">
        <x:v>SVC000320</x:v>
      </x:c>
      <x:c r="D246" s="6" t="str">
        <x:v>iPhone 12 Pro Max Charge Port Replacement</x:v>
      </x:c>
      <x:c r="E246" s="6" t="str">
        <x:v>iPhone 12 Pro Max Charge Port Replacement</x:v>
      </x:c>
      <x:c r="F246" s="6" t="str">
        <x:v>iphone 12 pro max charge port replacement</x:v>
      </x:c>
      <x:c r="G246" s="6" t="str">
        <x:v>Repair</x:v>
      </x:c>
      <x:c r="H246" s="6" t="str">
        <x:v>Miscellaneous Repair</x:v>
      </x:c>
      <x:c r="I246" s="6" t="str">
        <x:v>Phone</x:v>
      </x:c>
      <x:c r="J246" s="6" t="str">
        <x:v>iPhone 12 Pro Max Charge Port Replacement</x:v>
      </x:c>
      <x:c r="K246" s="6" t="str">
        <x:v>Nocturnix_Master_Services_Catalog_v1.xlsx</x:v>
      </x:c>
      <x:c r="L246" s="6" t="str">
        <x:v>01 - Master Services</x:v>
      </x:c>
      <x:c r="M246" s="6" t="n">
        <x:v>285</x:v>
      </x:c>
      <x:c r="N246" s="6" t="str">
        <x:v>CNF000245</x:v>
      </x:c>
      <x:c r="O246" s="6" t="str"/>
      <x:c r="P246" s="6" t="str">
        <x:v>Pending Verification</x:v>
      </x:c>
      <x:c r="Q246" s="6" t="str"/>
      <x:c r="R246" s="6" t="str"/>
      <x:c r="S246" s="6" t="str"/>
      <x:c r="T246" s="6" t="str"/>
      <x:c r="U246" s="6" t="str"/>
      <x:c r="V246" s="6" t="str">
        <x:v>Unresolved</x:v>
      </x:c>
      <x:c r="W246" s="12" t="str"/>
      <x:c r="X246" s="12" t="str"/>
      <x:c r="Y246" s="6" t="str"/>
      <x:c r="Z246" s="6" t="str"/>
      <x:c r="AA246" s="6" t="str">
        <x:v>Pending</x:v>
      </x:c>
      <x:c r="AB246" s="6" t="str"/>
      <x:c r="AC246" s="6" t="str"/>
      <x:c r="AD246" s="12" t="str"/>
    </x:row>
    <x:row r="247">
      <x:c r="A247" s="6" t="str">
        <x:v>SIR-000246</x:v>
      </x:c>
      <x:c r="B247" s="6" t="str">
        <x:v>SVC000246</x:v>
      </x:c>
      <x:c r="C247" s="6" t="str">
        <x:v>SVC000321</x:v>
      </x:c>
      <x:c r="D247" s="6" t="str">
        <x:v>iPhone 13 Charge Port Replacement</x:v>
      </x:c>
      <x:c r="E247" s="6" t="str">
        <x:v>iPhone 13 Charge Port Replacement</x:v>
      </x:c>
      <x:c r="F247" s="6" t="str">
        <x:v>iphone 13 charge port replacement</x:v>
      </x:c>
      <x:c r="G247" s="6" t="str">
        <x:v>Repair</x:v>
      </x:c>
      <x:c r="H247" s="6" t="str">
        <x:v>Miscellaneous Repair</x:v>
      </x:c>
      <x:c r="I247" s="6" t="str">
        <x:v>Phone</x:v>
      </x:c>
      <x:c r="J247" s="6" t="str">
        <x:v>iPhone 13 Charge Port Replacement</x:v>
      </x:c>
      <x:c r="K247" s="6" t="str">
        <x:v>Nocturnix_Master_Services_Catalog_v1.xlsx</x:v>
      </x:c>
      <x:c r="L247" s="6" t="str">
        <x:v>01 - Master Services</x:v>
      </x:c>
      <x:c r="M247" s="6" t="n">
        <x:v>286</x:v>
      </x:c>
      <x:c r="N247" s="6" t="str">
        <x:v>CNF000246</x:v>
      </x:c>
      <x:c r="O247" s="6" t="str"/>
      <x:c r="P247" s="6" t="str">
        <x:v>Pending Verification</x:v>
      </x:c>
      <x:c r="Q247" s="6" t="str"/>
      <x:c r="R247" s="6" t="str"/>
      <x:c r="S247" s="6" t="str"/>
      <x:c r="T247" s="6" t="str"/>
      <x:c r="U247" s="6" t="str"/>
      <x:c r="V247" s="6" t="str">
        <x:v>Unresolved</x:v>
      </x:c>
      <x:c r="W247" s="12" t="str"/>
      <x:c r="X247" s="12" t="str"/>
      <x:c r="Y247" s="6" t="str"/>
      <x:c r="Z247" s="6" t="str"/>
      <x:c r="AA247" s="6" t="str">
        <x:v>Pending</x:v>
      </x:c>
      <x:c r="AB247" s="6" t="str"/>
      <x:c r="AC247" s="6" t="str"/>
      <x:c r="AD247" s="12" t="str"/>
    </x:row>
    <x:row r="248">
      <x:c r="A248" s="6" t="str">
        <x:v>SIR-000247</x:v>
      </x:c>
      <x:c r="B248" s="6" t="str">
        <x:v>SVC000247</x:v>
      </x:c>
      <x:c r="C248" s="6" t="str">
        <x:v>SVC000322</x:v>
      </x:c>
      <x:c r="D248" s="6" t="str">
        <x:v>iPhone 13 Mini Charge Port Replacement</x:v>
      </x:c>
      <x:c r="E248" s="6" t="str">
        <x:v>iPhone 13 Mini Charge Port Replacement</x:v>
      </x:c>
      <x:c r="F248" s="6" t="str">
        <x:v>iphone 13 mini charge port replacement</x:v>
      </x:c>
      <x:c r="G248" s="6" t="str">
        <x:v>Repair</x:v>
      </x:c>
      <x:c r="H248" s="6" t="str">
        <x:v>Miscellaneous Repair</x:v>
      </x:c>
      <x:c r="I248" s="6" t="str">
        <x:v>Phone</x:v>
      </x:c>
      <x:c r="J248" s="6" t="str">
        <x:v>iPhone 13 Mini Charge Port Replacement</x:v>
      </x:c>
      <x:c r="K248" s="6" t="str">
        <x:v>Nocturnix_Master_Services_Catalog_v1.xlsx</x:v>
      </x:c>
      <x:c r="L248" s="6" t="str">
        <x:v>01 - Master Services</x:v>
      </x:c>
      <x:c r="M248" s="6" t="n">
        <x:v>287</x:v>
      </x:c>
      <x:c r="N248" s="6" t="str">
        <x:v>CNF000247</x:v>
      </x:c>
      <x:c r="O248" s="6" t="str"/>
      <x:c r="P248" s="6" t="str">
        <x:v>Pending Verification</x:v>
      </x:c>
      <x:c r="Q248" s="6" t="str"/>
      <x:c r="R248" s="6" t="str"/>
      <x:c r="S248" s="6" t="str"/>
      <x:c r="T248" s="6" t="str"/>
      <x:c r="U248" s="6" t="str"/>
      <x:c r="V248" s="6" t="str">
        <x:v>Unresolved</x:v>
      </x:c>
      <x:c r="W248" s="12" t="str"/>
      <x:c r="X248" s="12" t="str"/>
      <x:c r="Y248" s="6" t="str"/>
      <x:c r="Z248" s="6" t="str"/>
      <x:c r="AA248" s="6" t="str">
        <x:v>Pending</x:v>
      </x:c>
      <x:c r="AB248" s="6" t="str"/>
      <x:c r="AC248" s="6" t="str"/>
      <x:c r="AD248" s="12" t="str"/>
    </x:row>
    <x:row r="249">
      <x:c r="A249" s="6" t="str">
        <x:v>SIR-000248</x:v>
      </x:c>
      <x:c r="B249" s="6" t="str">
        <x:v>SVC000248</x:v>
      </x:c>
      <x:c r="C249" s="6" t="str">
        <x:v>SVC000323</x:v>
      </x:c>
      <x:c r="D249" s="6" t="str">
        <x:v>iPhone 13 Pro Charge Port Replacement</x:v>
      </x:c>
      <x:c r="E249" s="6" t="str">
        <x:v>iPhone 13 Pro Charge Port Replacement</x:v>
      </x:c>
      <x:c r="F249" s="6" t="str">
        <x:v>iphone 13 pro charge port replacement</x:v>
      </x:c>
      <x:c r="G249" s="6" t="str">
        <x:v>Repair</x:v>
      </x:c>
      <x:c r="H249" s="6" t="str">
        <x:v>Miscellaneous Repair</x:v>
      </x:c>
      <x:c r="I249" s="6" t="str">
        <x:v>Phone</x:v>
      </x:c>
      <x:c r="J249" s="6" t="str">
        <x:v>iPhone 13 Pro Charge Port Replacement</x:v>
      </x:c>
      <x:c r="K249" s="6" t="str">
        <x:v>Nocturnix_Master_Services_Catalog_v1.xlsx</x:v>
      </x:c>
      <x:c r="L249" s="6" t="str">
        <x:v>01 - Master Services</x:v>
      </x:c>
      <x:c r="M249" s="6" t="n">
        <x:v>288</x:v>
      </x:c>
      <x:c r="N249" s="6" t="str">
        <x:v>CNF000248</x:v>
      </x:c>
      <x:c r="O249" s="6" t="str"/>
      <x:c r="P249" s="6" t="str">
        <x:v>Pending Verification</x:v>
      </x:c>
      <x:c r="Q249" s="6" t="str"/>
      <x:c r="R249" s="6" t="str"/>
      <x:c r="S249" s="6" t="str"/>
      <x:c r="T249" s="6" t="str"/>
      <x:c r="U249" s="6" t="str"/>
      <x:c r="V249" s="6" t="str">
        <x:v>Unresolved</x:v>
      </x:c>
      <x:c r="W249" s="12" t="str"/>
      <x:c r="X249" s="12" t="str"/>
      <x:c r="Y249" s="6" t="str"/>
      <x:c r="Z249" s="6" t="str"/>
      <x:c r="AA249" s="6" t="str">
        <x:v>Pending</x:v>
      </x:c>
      <x:c r="AB249" s="6" t="str"/>
      <x:c r="AC249" s="6" t="str"/>
      <x:c r="AD249" s="12" t="str"/>
    </x:row>
    <x:row r="250">
      <x:c r="A250" s="6" t="str">
        <x:v>SIR-000249</x:v>
      </x:c>
      <x:c r="B250" s="6" t="str">
        <x:v>SVC000249</x:v>
      </x:c>
      <x:c r="C250" s="6" t="str">
        <x:v>SVC000324</x:v>
      </x:c>
      <x:c r="D250" s="6" t="str">
        <x:v>iPhone 13 Pro Max Charge Port Replacement</x:v>
      </x:c>
      <x:c r="E250" s="6" t="str">
        <x:v>iPhone 13 Pro Max Charge Port Replacement</x:v>
      </x:c>
      <x:c r="F250" s="6" t="str">
        <x:v>iphone 13 pro max charge port replacement</x:v>
      </x:c>
      <x:c r="G250" s="6" t="str">
        <x:v>Repair</x:v>
      </x:c>
      <x:c r="H250" s="6" t="str">
        <x:v>Miscellaneous Repair</x:v>
      </x:c>
      <x:c r="I250" s="6" t="str">
        <x:v>Phone</x:v>
      </x:c>
      <x:c r="J250" s="6" t="str">
        <x:v>iPhone 13 Pro Max Charge Port Replacement</x:v>
      </x:c>
      <x:c r="K250" s="6" t="str">
        <x:v>Nocturnix_Master_Services_Catalog_v1.xlsx</x:v>
      </x:c>
      <x:c r="L250" s="6" t="str">
        <x:v>01 - Master Services</x:v>
      </x:c>
      <x:c r="M250" s="6" t="n">
        <x:v>289</x:v>
      </x:c>
      <x:c r="N250" s="6" t="str">
        <x:v>CNF000249</x:v>
      </x:c>
      <x:c r="O250" s="6" t="str"/>
      <x:c r="P250" s="6" t="str">
        <x:v>Pending Verification</x:v>
      </x:c>
      <x:c r="Q250" s="6" t="str"/>
      <x:c r="R250" s="6" t="str"/>
      <x:c r="S250" s="6" t="str"/>
      <x:c r="T250" s="6" t="str"/>
      <x:c r="U250" s="6" t="str"/>
      <x:c r="V250" s="6" t="str">
        <x:v>Unresolved</x:v>
      </x:c>
      <x:c r="W250" s="12" t="str"/>
      <x:c r="X250" s="12" t="str"/>
      <x:c r="Y250" s="6" t="str"/>
      <x:c r="Z250" s="6" t="str"/>
      <x:c r="AA250" s="6" t="str">
        <x:v>Pending</x:v>
      </x:c>
      <x:c r="AB250" s="6" t="str"/>
      <x:c r="AC250" s="6" t="str"/>
      <x:c r="AD250" s="12" t="str"/>
    </x:row>
    <x:row r="251">
      <x:c r="A251" s="6" t="str">
        <x:v>SIR-000250</x:v>
      </x:c>
      <x:c r="B251" s="6" t="str">
        <x:v>SVC000250</x:v>
      </x:c>
      <x:c r="C251" s="6" t="str">
        <x:v>SVC000325</x:v>
      </x:c>
      <x:c r="D251" s="6" t="str">
        <x:v>iPhone SE (3RD GEN) Charge Port Replacement</x:v>
      </x:c>
      <x:c r="E251" s="6" t="str">
        <x:v>iPhone SE (3RD GEN) Charge Port Replacement</x:v>
      </x:c>
      <x:c r="F251" s="6" t="str">
        <x:v>iphone se 3rd gen charge port replacement</x:v>
      </x:c>
      <x:c r="G251" s="6" t="str">
        <x:v>Repair</x:v>
      </x:c>
      <x:c r="H251" s="6" t="str">
        <x:v>Miscellaneous Repair</x:v>
      </x:c>
      <x:c r="I251" s="6" t="str">
        <x:v>Phone</x:v>
      </x:c>
      <x:c r="J251" s="6" t="str">
        <x:v>iPhone SE (3RD GEN) Charge Port Replacement</x:v>
      </x:c>
      <x:c r="K251" s="6" t="str">
        <x:v>Nocturnix_Master_Services_Catalog_v1.xlsx</x:v>
      </x:c>
      <x:c r="L251" s="6" t="str">
        <x:v>01 - Master Services</x:v>
      </x:c>
      <x:c r="M251" s="6" t="n">
        <x:v>290</x:v>
      </x:c>
      <x:c r="N251" s="6" t="str">
        <x:v>CNF000250</x:v>
      </x:c>
      <x:c r="O251" s="6" t="str"/>
      <x:c r="P251" s="6" t="str">
        <x:v>Pending Verification</x:v>
      </x:c>
      <x:c r="Q251" s="6" t="str"/>
      <x:c r="R251" s="6" t="str"/>
      <x:c r="S251" s="6" t="str"/>
      <x:c r="T251" s="6" t="str"/>
      <x:c r="U251" s="6" t="str"/>
      <x:c r="V251" s="6" t="str">
        <x:v>Unresolved</x:v>
      </x:c>
      <x:c r="W251" s="12" t="str"/>
      <x:c r="X251" s="12" t="str"/>
      <x:c r="Y251" s="6" t="str"/>
      <x:c r="Z251" s="6" t="str"/>
      <x:c r="AA251" s="6" t="str">
        <x:v>Pending</x:v>
      </x:c>
      <x:c r="AB251" s="6" t="str"/>
      <x:c r="AC251" s="6" t="str"/>
      <x:c r="AD251" s="12" t="str"/>
    </x:row>
    <x:row r="252">
      <x:c r="A252" s="6" t="str">
        <x:v>SIR-000251</x:v>
      </x:c>
      <x:c r="B252" s="6" t="str">
        <x:v>SVC000251</x:v>
      </x:c>
      <x:c r="C252" s="6" t="str">
        <x:v>SVC000326</x:v>
      </x:c>
      <x:c r="D252" s="6" t="str">
        <x:v>iPhone 14 Charge Port Replacement</x:v>
      </x:c>
      <x:c r="E252" s="6" t="str">
        <x:v>iPhone 14 Charge Port Replacement</x:v>
      </x:c>
      <x:c r="F252" s="6" t="str">
        <x:v>iphone 14 charge port replacement</x:v>
      </x:c>
      <x:c r="G252" s="6" t="str">
        <x:v>Repair</x:v>
      </x:c>
      <x:c r="H252" s="6" t="str">
        <x:v>Miscellaneous Repair</x:v>
      </x:c>
      <x:c r="I252" s="6" t="str">
        <x:v>Phone</x:v>
      </x:c>
      <x:c r="J252" s="6" t="str">
        <x:v>iPhone 14 Charge Port Replacement</x:v>
      </x:c>
      <x:c r="K252" s="6" t="str">
        <x:v>Nocturnix_Master_Services_Catalog_v1.xlsx</x:v>
      </x:c>
      <x:c r="L252" s="6" t="str">
        <x:v>01 - Master Services</x:v>
      </x:c>
      <x:c r="M252" s="6" t="n">
        <x:v>291</x:v>
      </x:c>
      <x:c r="N252" s="6" t="str">
        <x:v>CNF000251</x:v>
      </x:c>
      <x:c r="O252" s="6" t="str"/>
      <x:c r="P252" s="6" t="str">
        <x:v>Pending Verification</x:v>
      </x:c>
      <x:c r="Q252" s="6" t="str"/>
      <x:c r="R252" s="6" t="str"/>
      <x:c r="S252" s="6" t="str"/>
      <x:c r="T252" s="6" t="str"/>
      <x:c r="U252" s="6" t="str"/>
      <x:c r="V252" s="6" t="str">
        <x:v>Unresolved</x:v>
      </x:c>
      <x:c r="W252" s="12" t="str"/>
      <x:c r="X252" s="12" t="str"/>
      <x:c r="Y252" s="6" t="str"/>
      <x:c r="Z252" s="6" t="str"/>
      <x:c r="AA252" s="6" t="str">
        <x:v>Pending</x:v>
      </x:c>
      <x:c r="AB252" s="6" t="str"/>
      <x:c r="AC252" s="6" t="str"/>
      <x:c r="AD252" s="12" t="str"/>
    </x:row>
    <x:row r="253">
      <x:c r="A253" s="6" t="str">
        <x:v>SIR-000252</x:v>
      </x:c>
      <x:c r="B253" s="6" t="str">
        <x:v>SVC000252</x:v>
      </x:c>
      <x:c r="C253" s="6" t="str">
        <x:v>SVC000327</x:v>
      </x:c>
      <x:c r="D253" s="6" t="str">
        <x:v>iPhone 14 Plus Charge Port Replacement</x:v>
      </x:c>
      <x:c r="E253" s="6" t="str">
        <x:v>iPhone 14 Plus Charge Port Replacement</x:v>
      </x:c>
      <x:c r="F253" s="6" t="str">
        <x:v>iphone 14 plus charge port replacement</x:v>
      </x:c>
      <x:c r="G253" s="6" t="str">
        <x:v>Repair</x:v>
      </x:c>
      <x:c r="H253" s="6" t="str">
        <x:v>Miscellaneous Repair</x:v>
      </x:c>
      <x:c r="I253" s="6" t="str">
        <x:v>Phone</x:v>
      </x:c>
      <x:c r="J253" s="6" t="str">
        <x:v>iPhone 14 Plus Charge Port Replacement</x:v>
      </x:c>
      <x:c r="K253" s="6" t="str">
        <x:v>Nocturnix_Master_Services_Catalog_v1.xlsx</x:v>
      </x:c>
      <x:c r="L253" s="6" t="str">
        <x:v>01 - Master Services</x:v>
      </x:c>
      <x:c r="M253" s="6" t="n">
        <x:v>292</x:v>
      </x:c>
      <x:c r="N253" s="6" t="str">
        <x:v>CNF000252</x:v>
      </x:c>
      <x:c r="O253" s="6" t="str"/>
      <x:c r="P253" s="6" t="str">
        <x:v>Pending Verification</x:v>
      </x:c>
      <x:c r="Q253" s="6" t="str"/>
      <x:c r="R253" s="6" t="str"/>
      <x:c r="S253" s="6" t="str"/>
      <x:c r="T253" s="6" t="str"/>
      <x:c r="U253" s="6" t="str"/>
      <x:c r="V253" s="6" t="str">
        <x:v>Unresolved</x:v>
      </x:c>
      <x:c r="W253" s="12" t="str"/>
      <x:c r="X253" s="12" t="str"/>
      <x:c r="Y253" s="6" t="str"/>
      <x:c r="Z253" s="6" t="str"/>
      <x:c r="AA253" s="6" t="str">
        <x:v>Pending</x:v>
      </x:c>
      <x:c r="AB253" s="6" t="str"/>
      <x:c r="AC253" s="6" t="str"/>
      <x:c r="AD253" s="12" t="str"/>
    </x:row>
    <x:row r="254">
      <x:c r="A254" s="6" t="str">
        <x:v>SIR-000253</x:v>
      </x:c>
      <x:c r="B254" s="6" t="str">
        <x:v>SVC000253</x:v>
      </x:c>
      <x:c r="C254" s="6" t="str">
        <x:v>SVC000328</x:v>
      </x:c>
      <x:c r="D254" s="6" t="str">
        <x:v>iPhone 14 Pro Charge Port Replacement</x:v>
      </x:c>
      <x:c r="E254" s="6" t="str">
        <x:v>iPhone 14 Pro Charge Port Replacement</x:v>
      </x:c>
      <x:c r="F254" s="6" t="str">
        <x:v>iphone 14 pro charge port replacement</x:v>
      </x:c>
      <x:c r="G254" s="6" t="str">
        <x:v>Repair</x:v>
      </x:c>
      <x:c r="H254" s="6" t="str">
        <x:v>Miscellaneous Repair</x:v>
      </x:c>
      <x:c r="I254" s="6" t="str">
        <x:v>Phone</x:v>
      </x:c>
      <x:c r="J254" s="6" t="str">
        <x:v>iPhone 14 Pro Charge Port Replacement</x:v>
      </x:c>
      <x:c r="K254" s="6" t="str">
        <x:v>Nocturnix_Master_Services_Catalog_v1.xlsx</x:v>
      </x:c>
      <x:c r="L254" s="6" t="str">
        <x:v>01 - Master Services</x:v>
      </x:c>
      <x:c r="M254" s="6" t="n">
        <x:v>293</x:v>
      </x:c>
      <x:c r="N254" s="6" t="str">
        <x:v>CNF000253</x:v>
      </x:c>
      <x:c r="O254" s="6" t="str"/>
      <x:c r="P254" s="6" t="str">
        <x:v>Pending Verification</x:v>
      </x:c>
      <x:c r="Q254" s="6" t="str"/>
      <x:c r="R254" s="6" t="str"/>
      <x:c r="S254" s="6" t="str"/>
      <x:c r="T254" s="6" t="str"/>
      <x:c r="U254" s="6" t="str"/>
      <x:c r="V254" s="6" t="str">
        <x:v>Unresolved</x:v>
      </x:c>
      <x:c r="W254" s="12" t="str"/>
      <x:c r="X254" s="12" t="str"/>
      <x:c r="Y254" s="6" t="str"/>
      <x:c r="Z254" s="6" t="str"/>
      <x:c r="AA254" s="6" t="str">
        <x:v>Pending</x:v>
      </x:c>
      <x:c r="AB254" s="6" t="str"/>
      <x:c r="AC254" s="6" t="str"/>
      <x:c r="AD254" s="12" t="str"/>
    </x:row>
    <x:row r="255">
      <x:c r="A255" s="6" t="str">
        <x:v>SIR-000254</x:v>
      </x:c>
      <x:c r="B255" s="6" t="str">
        <x:v>SVC000254</x:v>
      </x:c>
      <x:c r="C255" s="6" t="str">
        <x:v>SVC000329</x:v>
      </x:c>
      <x:c r="D255" s="6" t="str">
        <x:v>iPhone 14 Pro Max Charge Port Replacement</x:v>
      </x:c>
      <x:c r="E255" s="6" t="str">
        <x:v>iPhone 14 Pro Max Charge Port Replacement</x:v>
      </x:c>
      <x:c r="F255" s="6" t="str">
        <x:v>iphone 14 pro max charge port replacement</x:v>
      </x:c>
      <x:c r="G255" s="6" t="str">
        <x:v>Repair</x:v>
      </x:c>
      <x:c r="H255" s="6" t="str">
        <x:v>Miscellaneous Repair</x:v>
      </x:c>
      <x:c r="I255" s="6" t="str">
        <x:v>Phone</x:v>
      </x:c>
      <x:c r="J255" s="6" t="str">
        <x:v>iPhone 14 Pro Max Charge Port Replacement</x:v>
      </x:c>
      <x:c r="K255" s="6" t="str">
        <x:v>Nocturnix_Master_Services_Catalog_v1.xlsx</x:v>
      </x:c>
      <x:c r="L255" s="6" t="str">
        <x:v>01 - Master Services</x:v>
      </x:c>
      <x:c r="M255" s="6" t="n">
        <x:v>294</x:v>
      </x:c>
      <x:c r="N255" s="6" t="str">
        <x:v>CNF000254</x:v>
      </x:c>
      <x:c r="O255" s="6" t="str"/>
      <x:c r="P255" s="6" t="str">
        <x:v>Pending Verification</x:v>
      </x:c>
      <x:c r="Q255" s="6" t="str"/>
      <x:c r="R255" s="6" t="str"/>
      <x:c r="S255" s="6" t="str"/>
      <x:c r="T255" s="6" t="str"/>
      <x:c r="U255" s="6" t="str"/>
      <x:c r="V255" s="6" t="str">
        <x:v>Unresolved</x:v>
      </x:c>
      <x:c r="W255" s="12" t="str"/>
      <x:c r="X255" s="12" t="str"/>
      <x:c r="Y255" s="6" t="str"/>
      <x:c r="Z255" s="6" t="str"/>
      <x:c r="AA255" s="6" t="str">
        <x:v>Pending</x:v>
      </x:c>
      <x:c r="AB255" s="6" t="str"/>
      <x:c r="AC255" s="6" t="str"/>
      <x:c r="AD255" s="12" t="str"/>
    </x:row>
    <x:row r="256">
      <x:c r="A256" s="6" t="str">
        <x:v>SIR-000255</x:v>
      </x:c>
      <x:c r="B256" s="6" t="str">
        <x:v>SVC000255</x:v>
      </x:c>
      <x:c r="C256" s="6" t="str">
        <x:v>SVC000330</x:v>
      </x:c>
      <x:c r="D256" s="6" t="str">
        <x:v>iPhone 15 Charge Port Replacement</x:v>
      </x:c>
      <x:c r="E256" s="6" t="str">
        <x:v>iPhone 15 Charge Port Replacement</x:v>
      </x:c>
      <x:c r="F256" s="6" t="str">
        <x:v>iphone 15 charge port replacement</x:v>
      </x:c>
      <x:c r="G256" s="6" t="str">
        <x:v>Repair</x:v>
      </x:c>
      <x:c r="H256" s="6" t="str">
        <x:v>Miscellaneous Repair</x:v>
      </x:c>
      <x:c r="I256" s="6" t="str">
        <x:v>Phone</x:v>
      </x:c>
      <x:c r="J256" s="6" t="str">
        <x:v>iPhone 15 Charge Port Replacement</x:v>
      </x:c>
      <x:c r="K256" s="6" t="str">
        <x:v>Nocturnix_Master_Services_Catalog_v1.xlsx</x:v>
      </x:c>
      <x:c r="L256" s="6" t="str">
        <x:v>01 - Master Services</x:v>
      </x:c>
      <x:c r="M256" s="6" t="n">
        <x:v>295</x:v>
      </x:c>
      <x:c r="N256" s="6" t="str">
        <x:v>CNF000255</x:v>
      </x:c>
      <x:c r="O256" s="6" t="str"/>
      <x:c r="P256" s="6" t="str">
        <x:v>Pending Verification</x:v>
      </x:c>
      <x:c r="Q256" s="6" t="str"/>
      <x:c r="R256" s="6" t="str"/>
      <x:c r="S256" s="6" t="str"/>
      <x:c r="T256" s="6" t="str"/>
      <x:c r="U256" s="6" t="str"/>
      <x:c r="V256" s="6" t="str">
        <x:v>Unresolved</x:v>
      </x:c>
      <x:c r="W256" s="12" t="str"/>
      <x:c r="X256" s="12" t="str"/>
      <x:c r="Y256" s="6" t="str"/>
      <x:c r="Z256" s="6" t="str"/>
      <x:c r="AA256" s="6" t="str">
        <x:v>Pending</x:v>
      </x:c>
      <x:c r="AB256" s="6" t="str"/>
      <x:c r="AC256" s="6" t="str"/>
      <x:c r="AD256" s="12" t="str"/>
    </x:row>
    <x:row r="257">
      <x:c r="A257" s="6" t="str">
        <x:v>SIR-000256</x:v>
      </x:c>
      <x:c r="B257" s="6" t="str">
        <x:v>SVC000256</x:v>
      </x:c>
      <x:c r="C257" s="6" t="str">
        <x:v>SVC000331</x:v>
      </x:c>
      <x:c r="D257" s="6" t="str">
        <x:v>iPhone 15 Plus Charge Port Replacement</x:v>
      </x:c>
      <x:c r="E257" s="6" t="str">
        <x:v>iPhone 15 Plus Charge Port Replacement</x:v>
      </x:c>
      <x:c r="F257" s="6" t="str">
        <x:v>iphone 15 plus charge port replacement</x:v>
      </x:c>
      <x:c r="G257" s="6" t="str">
        <x:v>Repair</x:v>
      </x:c>
      <x:c r="H257" s="6" t="str">
        <x:v>Miscellaneous Repair</x:v>
      </x:c>
      <x:c r="I257" s="6" t="str">
        <x:v>Phone</x:v>
      </x:c>
      <x:c r="J257" s="6" t="str">
        <x:v>iPhone 15 Plus Charge Port Replacement</x:v>
      </x:c>
      <x:c r="K257" s="6" t="str">
        <x:v>Nocturnix_Master_Services_Catalog_v1.xlsx</x:v>
      </x:c>
      <x:c r="L257" s="6" t="str">
        <x:v>01 - Master Services</x:v>
      </x:c>
      <x:c r="M257" s="6" t="n">
        <x:v>296</x:v>
      </x:c>
      <x:c r="N257" s="6" t="str">
        <x:v>CNF000256</x:v>
      </x:c>
      <x:c r="O257" s="6" t="str"/>
      <x:c r="P257" s="6" t="str">
        <x:v>Pending Verification</x:v>
      </x:c>
      <x:c r="Q257" s="6" t="str"/>
      <x:c r="R257" s="6" t="str"/>
      <x:c r="S257" s="6" t="str"/>
      <x:c r="T257" s="6" t="str"/>
      <x:c r="U257" s="6" t="str"/>
      <x:c r="V257" s="6" t="str">
        <x:v>Unresolved</x:v>
      </x:c>
      <x:c r="W257" s="12" t="str"/>
      <x:c r="X257" s="12" t="str"/>
      <x:c r="Y257" s="6" t="str"/>
      <x:c r="Z257" s="6" t="str"/>
      <x:c r="AA257" s="6" t="str">
        <x:v>Pending</x:v>
      </x:c>
      <x:c r="AB257" s="6" t="str"/>
      <x:c r="AC257" s="6" t="str"/>
      <x:c r="AD257" s="12" t="str"/>
    </x:row>
    <x:row r="258">
      <x:c r="A258" s="6" t="str">
        <x:v>SIR-000257</x:v>
      </x:c>
      <x:c r="B258" s="6" t="str">
        <x:v>SVC000257</x:v>
      </x:c>
      <x:c r="C258" s="6" t="str">
        <x:v>SVC000332</x:v>
      </x:c>
      <x:c r="D258" s="6" t="str">
        <x:v>iPhone 15 Pro Phone Charge Port Replacement</x:v>
      </x:c>
      <x:c r="E258" s="6" t="str">
        <x:v>iPhone 15 Pro Phone Charge Port Replacement</x:v>
      </x:c>
      <x:c r="F258" s="6" t="str">
        <x:v>iphone 15 pro phone charge port replacement</x:v>
      </x:c>
      <x:c r="G258" s="6" t="str">
        <x:v>Repair</x:v>
      </x:c>
      <x:c r="H258" s="6" t="str">
        <x:v>Miscellaneous Repair</x:v>
      </x:c>
      <x:c r="I258" s="6" t="str">
        <x:v>Phone</x:v>
      </x:c>
      <x:c r="J258" s="6" t="str">
        <x:v>iPhone 15 Pro Phone Charge Port Replacement</x:v>
      </x:c>
      <x:c r="K258" s="6" t="str">
        <x:v>Nocturnix_Master_Services_Catalog_v1.xlsx</x:v>
      </x:c>
      <x:c r="L258" s="6" t="str">
        <x:v>01 - Master Services</x:v>
      </x:c>
      <x:c r="M258" s="6" t="n">
        <x:v>297</x:v>
      </x:c>
      <x:c r="N258" s="6" t="str">
        <x:v>CNF000257</x:v>
      </x:c>
      <x:c r="O258" s="6" t="str"/>
      <x:c r="P258" s="6" t="str">
        <x:v>Pending Verification</x:v>
      </x:c>
      <x:c r="Q258" s="6" t="str"/>
      <x:c r="R258" s="6" t="str"/>
      <x:c r="S258" s="6" t="str"/>
      <x:c r="T258" s="6" t="str"/>
      <x:c r="U258" s="6" t="str"/>
      <x:c r="V258" s="6" t="str">
        <x:v>Unresolved</x:v>
      </x:c>
      <x:c r="W258" s="12" t="str"/>
      <x:c r="X258" s="12" t="str"/>
      <x:c r="Y258" s="6" t="str"/>
      <x:c r="Z258" s="6" t="str"/>
      <x:c r="AA258" s="6" t="str">
        <x:v>Pending</x:v>
      </x:c>
      <x:c r="AB258" s="6" t="str"/>
      <x:c r="AC258" s="6" t="str"/>
      <x:c r="AD258" s="12" t="str"/>
    </x:row>
    <x:row r="259">
      <x:c r="A259" s="6" t="str">
        <x:v>SIR-000258</x:v>
      </x:c>
      <x:c r="B259" s="6" t="str">
        <x:v>SVC000258</x:v>
      </x:c>
      <x:c r="C259" s="6" t="str">
        <x:v>SVC000333</x:v>
      </x:c>
      <x:c r="D259" s="6" t="str">
        <x:v>iPhone 15 Pro Max Charge Port Replacement</x:v>
      </x:c>
      <x:c r="E259" s="6" t="str">
        <x:v>iPhone 15 Pro Max Charge Port Replacement</x:v>
      </x:c>
      <x:c r="F259" s="6" t="str">
        <x:v>iphone 15 pro max charge port replacement</x:v>
      </x:c>
      <x:c r="G259" s="6" t="str">
        <x:v>Repair</x:v>
      </x:c>
      <x:c r="H259" s="6" t="str">
        <x:v>Miscellaneous Repair</x:v>
      </x:c>
      <x:c r="I259" s="6" t="str">
        <x:v>Phone</x:v>
      </x:c>
      <x:c r="J259" s="6" t="str">
        <x:v>iPhone 15 Pro Max Charge Port Replacement</x:v>
      </x:c>
      <x:c r="K259" s="6" t="str">
        <x:v>Nocturnix_Master_Services_Catalog_v1.xlsx</x:v>
      </x:c>
      <x:c r="L259" s="6" t="str">
        <x:v>01 - Master Services</x:v>
      </x:c>
      <x:c r="M259" s="6" t="n">
        <x:v>298</x:v>
      </x:c>
      <x:c r="N259" s="6" t="str">
        <x:v>CNF000258</x:v>
      </x:c>
      <x:c r="O259" s="6" t="str"/>
      <x:c r="P259" s="6" t="str">
        <x:v>Pending Verification</x:v>
      </x:c>
      <x:c r="Q259" s="6" t="str"/>
      <x:c r="R259" s="6" t="str"/>
      <x:c r="S259" s="6" t="str"/>
      <x:c r="T259" s="6" t="str"/>
      <x:c r="U259" s="6" t="str"/>
      <x:c r="V259" s="6" t="str">
        <x:v>Unresolved</x:v>
      </x:c>
      <x:c r="W259" s="12" t="str"/>
      <x:c r="X259" s="12" t="str"/>
      <x:c r="Y259" s="6" t="str"/>
      <x:c r="Z259" s="6" t="str"/>
      <x:c r="AA259" s="6" t="str">
        <x:v>Pending</x:v>
      </x:c>
      <x:c r="AB259" s="6" t="str"/>
      <x:c r="AC259" s="6" t="str"/>
      <x:c r="AD259" s="12" t="str"/>
    </x:row>
    <x:row r="260">
      <x:c r="A260" s="6" t="str">
        <x:v>SIR-000259</x:v>
      </x:c>
      <x:c r="B260" s="6" t="str">
        <x:v>SVC000259</x:v>
      </x:c>
      <x:c r="C260" s="6" t="str">
        <x:v>SVC000334</x:v>
      </x:c>
      <x:c r="D260" s="6" t="str">
        <x:v>iPhone 16 Charge Port Replacement</x:v>
      </x:c>
      <x:c r="E260" s="6" t="str">
        <x:v>iPhone 16 Charge Port Replacement</x:v>
      </x:c>
      <x:c r="F260" s="6" t="str">
        <x:v>iphone 16 charge port replacement</x:v>
      </x:c>
      <x:c r="G260" s="6" t="str">
        <x:v>Repair</x:v>
      </x:c>
      <x:c r="H260" s="6" t="str">
        <x:v>Miscellaneous Repair</x:v>
      </x:c>
      <x:c r="I260" s="6" t="str">
        <x:v>Phone</x:v>
      </x:c>
      <x:c r="J260" s="6" t="str">
        <x:v>iPhone 16 Charge Port Replacement</x:v>
      </x:c>
      <x:c r="K260" s="6" t="str">
        <x:v>Nocturnix_Master_Services_Catalog_v1.xlsx</x:v>
      </x:c>
      <x:c r="L260" s="6" t="str">
        <x:v>01 - Master Services</x:v>
      </x:c>
      <x:c r="M260" s="6" t="n">
        <x:v>299</x:v>
      </x:c>
      <x:c r="N260" s="6" t="str">
        <x:v>CNF000259</x:v>
      </x:c>
      <x:c r="O260" s="6" t="str"/>
      <x:c r="P260" s="6" t="str">
        <x:v>Pending Verification</x:v>
      </x:c>
      <x:c r="Q260" s="6" t="str"/>
      <x:c r="R260" s="6" t="str"/>
      <x:c r="S260" s="6" t="str"/>
      <x:c r="T260" s="6" t="str"/>
      <x:c r="U260" s="6" t="str"/>
      <x:c r="V260" s="6" t="str">
        <x:v>Unresolved</x:v>
      </x:c>
      <x:c r="W260" s="12" t="str"/>
      <x:c r="X260" s="12" t="str"/>
      <x:c r="Y260" s="6" t="str"/>
      <x:c r="Z260" s="6" t="str"/>
      <x:c r="AA260" s="6" t="str">
        <x:v>Pending</x:v>
      </x:c>
      <x:c r="AB260" s="6" t="str"/>
      <x:c r="AC260" s="6" t="str"/>
      <x:c r="AD260" s="12" t="str"/>
    </x:row>
    <x:row r="261">
      <x:c r="A261" s="6" t="str">
        <x:v>SIR-000260</x:v>
      </x:c>
      <x:c r="B261" s="6" t="str">
        <x:v>SVC000260</x:v>
      </x:c>
      <x:c r="C261" s="6" t="str">
        <x:v>SVC000335</x:v>
      </x:c>
      <x:c r="D261" s="6" t="str">
        <x:v>iPhone 16 Plus Charge Port Replacement</x:v>
      </x:c>
      <x:c r="E261" s="6" t="str">
        <x:v>iPhone 16 Plus Charge Port Replacement</x:v>
      </x:c>
      <x:c r="F261" s="6" t="str">
        <x:v>iphone 16 plus charge port replacement</x:v>
      </x:c>
      <x:c r="G261" s="6" t="str">
        <x:v>Repair</x:v>
      </x:c>
      <x:c r="H261" s="6" t="str">
        <x:v>Miscellaneous Repair</x:v>
      </x:c>
      <x:c r="I261" s="6" t="str">
        <x:v>Phone</x:v>
      </x:c>
      <x:c r="J261" s="6" t="str">
        <x:v>iPhone 16 Plus Charge Port Replacement</x:v>
      </x:c>
      <x:c r="K261" s="6" t="str">
        <x:v>Nocturnix_Master_Services_Catalog_v1.xlsx</x:v>
      </x:c>
      <x:c r="L261" s="6" t="str">
        <x:v>01 - Master Services</x:v>
      </x:c>
      <x:c r="M261" s="6" t="n">
        <x:v>300</x:v>
      </x:c>
      <x:c r="N261" s="6" t="str">
        <x:v>CNF000260</x:v>
      </x:c>
      <x:c r="O261" s="6" t="str"/>
      <x:c r="P261" s="6" t="str">
        <x:v>Pending Verification</x:v>
      </x:c>
      <x:c r="Q261" s="6" t="str"/>
      <x:c r="R261" s="6" t="str"/>
      <x:c r="S261" s="6" t="str"/>
      <x:c r="T261" s="6" t="str"/>
      <x:c r="U261" s="6" t="str"/>
      <x:c r="V261" s="6" t="str">
        <x:v>Unresolved</x:v>
      </x:c>
      <x:c r="W261" s="12" t="str"/>
      <x:c r="X261" s="12" t="str"/>
      <x:c r="Y261" s="6" t="str"/>
      <x:c r="Z261" s="6" t="str"/>
      <x:c r="AA261" s="6" t="str">
        <x:v>Pending</x:v>
      </x:c>
      <x:c r="AB261" s="6" t="str"/>
      <x:c r="AC261" s="6" t="str"/>
      <x:c r="AD261" s="12" t="str"/>
    </x:row>
    <x:row r="262">
      <x:c r="A262" s="6" t="str">
        <x:v>SIR-000261</x:v>
      </x:c>
      <x:c r="B262" s="6" t="str">
        <x:v>SVC000261</x:v>
      </x:c>
      <x:c r="C262" s="6" t="str">
        <x:v>SVC000336</x:v>
      </x:c>
      <x:c r="D262" s="6" t="str">
        <x:v>iPhone 16 Pro Charge Port Replacement</x:v>
      </x:c>
      <x:c r="E262" s="6" t="str">
        <x:v>iPhone 16 Pro Charge Port Replacement</x:v>
      </x:c>
      <x:c r="F262" s="6" t="str">
        <x:v>iphone 16 pro charge port replacement</x:v>
      </x:c>
      <x:c r="G262" s="6" t="str">
        <x:v>Repair</x:v>
      </x:c>
      <x:c r="H262" s="6" t="str">
        <x:v>Miscellaneous Repair</x:v>
      </x:c>
      <x:c r="I262" s="6" t="str">
        <x:v>Phone</x:v>
      </x:c>
      <x:c r="J262" s="6" t="str">
        <x:v>iPhone 16 Pro Charge Port Replacement</x:v>
      </x:c>
      <x:c r="K262" s="6" t="str">
        <x:v>Nocturnix_Master_Services_Catalog_v1.xlsx</x:v>
      </x:c>
      <x:c r="L262" s="6" t="str">
        <x:v>01 - Master Services</x:v>
      </x:c>
      <x:c r="M262" s="6" t="n">
        <x:v>301</x:v>
      </x:c>
      <x:c r="N262" s="6" t="str">
        <x:v>CNF000261</x:v>
      </x:c>
      <x:c r="O262" s="6" t="str"/>
      <x:c r="P262" s="6" t="str">
        <x:v>Pending Verification</x:v>
      </x:c>
      <x:c r="Q262" s="6" t="str"/>
      <x:c r="R262" s="6" t="str"/>
      <x:c r="S262" s="6" t="str"/>
      <x:c r="T262" s="6" t="str"/>
      <x:c r="U262" s="6" t="str"/>
      <x:c r="V262" s="6" t="str">
        <x:v>Unresolved</x:v>
      </x:c>
      <x:c r="W262" s="12" t="str"/>
      <x:c r="X262" s="12" t="str"/>
      <x:c r="Y262" s="6" t="str"/>
      <x:c r="Z262" s="6" t="str"/>
      <x:c r="AA262" s="6" t="str">
        <x:v>Pending</x:v>
      </x:c>
      <x:c r="AB262" s="6" t="str"/>
      <x:c r="AC262" s="6" t="str"/>
      <x:c r="AD262" s="12" t="str"/>
    </x:row>
    <x:row r="263">
      <x:c r="A263" s="6" t="str">
        <x:v>SIR-000262</x:v>
      </x:c>
      <x:c r="B263" s="6" t="str">
        <x:v>SVC000262</x:v>
      </x:c>
      <x:c r="C263" s="6" t="str">
        <x:v>SVC000337</x:v>
      </x:c>
      <x:c r="D263" s="6" t="str">
        <x:v>iPhone 16 Pro Max Charge Port Replacement</x:v>
      </x:c>
      <x:c r="E263" s="6" t="str">
        <x:v>iPhone 16 Pro Max Charge Port Replacement</x:v>
      </x:c>
      <x:c r="F263" s="6" t="str">
        <x:v>iphone 16 pro max charge port replacement</x:v>
      </x:c>
      <x:c r="G263" s="6" t="str">
        <x:v>Repair</x:v>
      </x:c>
      <x:c r="H263" s="6" t="str">
        <x:v>Miscellaneous Repair</x:v>
      </x:c>
      <x:c r="I263" s="6" t="str">
        <x:v>Phone</x:v>
      </x:c>
      <x:c r="J263" s="6" t="str">
        <x:v>iPhone 16 Pro Max Charge Port Replacement</x:v>
      </x:c>
      <x:c r="K263" s="6" t="str">
        <x:v>Nocturnix_Master_Services_Catalog_v1.xlsx</x:v>
      </x:c>
      <x:c r="L263" s="6" t="str">
        <x:v>01 - Master Services</x:v>
      </x:c>
      <x:c r="M263" s="6" t="n">
        <x:v>302</x:v>
      </x:c>
      <x:c r="N263" s="6" t="str">
        <x:v>CNF000262</x:v>
      </x:c>
      <x:c r="O263" s="6" t="str"/>
      <x:c r="P263" s="6" t="str">
        <x:v>Pending Verification</x:v>
      </x:c>
      <x:c r="Q263" s="6" t="str"/>
      <x:c r="R263" s="6" t="str"/>
      <x:c r="S263" s="6" t="str"/>
      <x:c r="T263" s="6" t="str"/>
      <x:c r="U263" s="6" t="str"/>
      <x:c r="V263" s="6" t="str">
        <x:v>Unresolved</x:v>
      </x:c>
      <x:c r="W263" s="12" t="str"/>
      <x:c r="X263" s="12" t="str"/>
      <x:c r="Y263" s="6" t="str"/>
      <x:c r="Z263" s="6" t="str"/>
      <x:c r="AA263" s="6" t="str">
        <x:v>Pending</x:v>
      </x:c>
      <x:c r="AB263" s="6" t="str"/>
      <x:c r="AC263" s="6" t="str"/>
      <x:c r="AD263" s="12" t="str"/>
    </x:row>
    <x:row r="264">
      <x:c r="A264" s="6" t="str">
        <x:v>SIR-000263</x:v>
      </x:c>
      <x:c r="B264" s="6" t="str">
        <x:v>SVC000263</x:v>
      </x:c>
      <x:c r="C264" s="6" t="str">
        <x:v>SVC000338</x:v>
      </x:c>
      <x:c r="D264" s="6" t="str">
        <x:v>iPhone 16E Charge Port Replacement</x:v>
      </x:c>
      <x:c r="E264" s="6" t="str">
        <x:v>iPhone 16E Charge Port Replacement</x:v>
      </x:c>
      <x:c r="F264" s="6" t="str">
        <x:v>iphone 16e charge port replacement</x:v>
      </x:c>
      <x:c r="G264" s="6" t="str">
        <x:v>Repair</x:v>
      </x:c>
      <x:c r="H264" s="6" t="str">
        <x:v>Miscellaneous Repair</x:v>
      </x:c>
      <x:c r="I264" s="6" t="str">
        <x:v>Phone</x:v>
      </x:c>
      <x:c r="J264" s="6" t="str">
        <x:v>iPhone 16E Charge Port Replacement</x:v>
      </x:c>
      <x:c r="K264" s="6" t="str">
        <x:v>Nocturnix_Master_Services_Catalog_v1.xlsx</x:v>
      </x:c>
      <x:c r="L264" s="6" t="str">
        <x:v>01 - Master Services</x:v>
      </x:c>
      <x:c r="M264" s="6" t="n">
        <x:v>303</x:v>
      </x:c>
      <x:c r="N264" s="6" t="str">
        <x:v>CNF000263</x:v>
      </x:c>
      <x:c r="O264" s="6" t="str"/>
      <x:c r="P264" s="6" t="str">
        <x:v>Pending Verification</x:v>
      </x:c>
      <x:c r="Q264" s="6" t="str"/>
      <x:c r="R264" s="6" t="str"/>
      <x:c r="S264" s="6" t="str"/>
      <x:c r="T264" s="6" t="str"/>
      <x:c r="U264" s="6" t="str"/>
      <x:c r="V264" s="6" t="str">
        <x:v>Unresolved</x:v>
      </x:c>
      <x:c r="W264" s="12" t="str"/>
      <x:c r="X264" s="12" t="str"/>
      <x:c r="Y264" s="6" t="str"/>
      <x:c r="Z264" s="6" t="str"/>
      <x:c r="AA264" s="6" t="str">
        <x:v>Pending</x:v>
      </x:c>
      <x:c r="AB264" s="6" t="str"/>
      <x:c r="AC264" s="6" t="str"/>
      <x:c r="AD264" s="12" t="str"/>
    </x:row>
    <x:row r="265">
      <x:c r="A265" s="6" t="str">
        <x:v>SIR-000264</x:v>
      </x:c>
      <x:c r="B265" s="6" t="str">
        <x:v>SVC000264</x:v>
      </x:c>
      <x:c r="C265" s="6" t="str">
        <x:v>SVC000339</x:v>
      </x:c>
      <x:c r="D265" s="6" t="str">
        <x:v>iPhone 17 Charge Port Replacement</x:v>
      </x:c>
      <x:c r="E265" s="6" t="str">
        <x:v>iPhone 17 Charge Port Replacement</x:v>
      </x:c>
      <x:c r="F265" s="6" t="str">
        <x:v>iphone 17 charge port replacement</x:v>
      </x:c>
      <x:c r="G265" s="6" t="str">
        <x:v>Repair</x:v>
      </x:c>
      <x:c r="H265" s="6" t="str">
        <x:v>Miscellaneous Repair</x:v>
      </x:c>
      <x:c r="I265" s="6" t="str">
        <x:v>Phone</x:v>
      </x:c>
      <x:c r="J265" s="6" t="str">
        <x:v>iPhone 17 Charge Port Replacement</x:v>
      </x:c>
      <x:c r="K265" s="6" t="str">
        <x:v>Nocturnix_Master_Services_Catalog_v1.xlsx</x:v>
      </x:c>
      <x:c r="L265" s="6" t="str">
        <x:v>01 - Master Services</x:v>
      </x:c>
      <x:c r="M265" s="6" t="n">
        <x:v>304</x:v>
      </x:c>
      <x:c r="N265" s="6" t="str">
        <x:v>CNF000264</x:v>
      </x:c>
      <x:c r="O265" s="6" t="str"/>
      <x:c r="P265" s="6" t="str">
        <x:v>Pending Verification</x:v>
      </x:c>
      <x:c r="Q265" s="6" t="str"/>
      <x:c r="R265" s="6" t="str"/>
      <x:c r="S265" s="6" t="str"/>
      <x:c r="T265" s="6" t="str"/>
      <x:c r="U265" s="6" t="str"/>
      <x:c r="V265" s="6" t="str">
        <x:v>Unresolved</x:v>
      </x:c>
      <x:c r="W265" s="12" t="str"/>
      <x:c r="X265" s="12" t="str"/>
      <x:c r="Y265" s="6" t="str"/>
      <x:c r="Z265" s="6" t="str"/>
      <x:c r="AA265" s="6" t="str">
        <x:v>Pending</x:v>
      </x:c>
      <x:c r="AB265" s="6" t="str"/>
      <x:c r="AC265" s="6" t="str"/>
      <x:c r="AD265" s="12" t="str"/>
    </x:row>
    <x:row r="266">
      <x:c r="A266" s="6" t="str">
        <x:v>SIR-000265</x:v>
      </x:c>
      <x:c r="B266" s="6" t="str">
        <x:v>SVC000265</x:v>
      </x:c>
      <x:c r="C266" s="6" t="str">
        <x:v>SVC000340</x:v>
      </x:c>
      <x:c r="D266" s="6" t="str">
        <x:v>iPhone 17 Pro Charge Port Replacement</x:v>
      </x:c>
      <x:c r="E266" s="6" t="str">
        <x:v>iPhone 17 Pro Charge Port Replacement</x:v>
      </x:c>
      <x:c r="F266" s="6" t="str">
        <x:v>iphone 17 pro charge port replacement</x:v>
      </x:c>
      <x:c r="G266" s="6" t="str">
        <x:v>Repair</x:v>
      </x:c>
      <x:c r="H266" s="6" t="str">
        <x:v>Miscellaneous Repair</x:v>
      </x:c>
      <x:c r="I266" s="6" t="str">
        <x:v>Phone</x:v>
      </x:c>
      <x:c r="J266" s="6" t="str">
        <x:v>iPhone 17 Pro Charge Port Replacement</x:v>
      </x:c>
      <x:c r="K266" s="6" t="str">
        <x:v>Nocturnix_Master_Services_Catalog_v1.xlsx</x:v>
      </x:c>
      <x:c r="L266" s="6" t="str">
        <x:v>01 - Master Services</x:v>
      </x:c>
      <x:c r="M266" s="6" t="n">
        <x:v>305</x:v>
      </x:c>
      <x:c r="N266" s="6" t="str">
        <x:v>CNF000265</x:v>
      </x:c>
      <x:c r="O266" s="6" t="str"/>
      <x:c r="P266" s="6" t="str">
        <x:v>Pending Verification</x:v>
      </x:c>
      <x:c r="Q266" s="6" t="str"/>
      <x:c r="R266" s="6" t="str"/>
      <x:c r="S266" s="6" t="str"/>
      <x:c r="T266" s="6" t="str"/>
      <x:c r="U266" s="6" t="str"/>
      <x:c r="V266" s="6" t="str">
        <x:v>Unresolved</x:v>
      </x:c>
      <x:c r="W266" s="12" t="str"/>
      <x:c r="X266" s="12" t="str"/>
      <x:c r="Y266" s="6" t="str"/>
      <x:c r="Z266" s="6" t="str"/>
      <x:c r="AA266" s="6" t="str">
        <x:v>Pending</x:v>
      </x:c>
      <x:c r="AB266" s="6" t="str"/>
      <x:c r="AC266" s="6" t="str"/>
      <x:c r="AD266" s="12" t="str"/>
    </x:row>
    <x:row r="267">
      <x:c r="A267" s="6" t="str">
        <x:v>SIR-000266</x:v>
      </x:c>
      <x:c r="B267" s="6" t="str">
        <x:v>SVC000266</x:v>
      </x:c>
      <x:c r="C267" s="6" t="str">
        <x:v>SVC000341</x:v>
      </x:c>
      <x:c r="D267" s="6" t="str">
        <x:v>iPhone 17 Pro Max Phone* Charge Port Replacement</x:v>
      </x:c>
      <x:c r="E267" s="6" t="str">
        <x:v>iPhone 17 Pro Max Phone* Charge Port Replacement</x:v>
      </x:c>
      <x:c r="F267" s="6" t="str">
        <x:v>iphone 17 pro max phone charge port replacement</x:v>
      </x:c>
      <x:c r="G267" s="6" t="str">
        <x:v>Repair</x:v>
      </x:c>
      <x:c r="H267" s="6" t="str">
        <x:v>Miscellaneous Repair</x:v>
      </x:c>
      <x:c r="I267" s="6" t="str">
        <x:v>Phone</x:v>
      </x:c>
      <x:c r="J267" s="6" t="str">
        <x:v>iPhone 17 Pro Max Phone* Charge Port Replacement</x:v>
      </x:c>
      <x:c r="K267" s="6" t="str">
        <x:v>Nocturnix_Master_Services_Catalog_v1.xlsx</x:v>
      </x:c>
      <x:c r="L267" s="6" t="str">
        <x:v>01 - Master Services</x:v>
      </x:c>
      <x:c r="M267" s="6" t="n">
        <x:v>306</x:v>
      </x:c>
      <x:c r="N267" s="6" t="str">
        <x:v>CNF000266</x:v>
      </x:c>
      <x:c r="O267" s="6" t="str"/>
      <x:c r="P267" s="6" t="str">
        <x:v>Pending Verification</x:v>
      </x:c>
      <x:c r="Q267" s="6" t="str"/>
      <x:c r="R267" s="6" t="str"/>
      <x:c r="S267" s="6" t="str"/>
      <x:c r="T267" s="6" t="str"/>
      <x:c r="U267" s="6" t="str"/>
      <x:c r="V267" s="6" t="str">
        <x:v>Unresolved</x:v>
      </x:c>
      <x:c r="W267" s="12" t="str"/>
      <x:c r="X267" s="12" t="str"/>
      <x:c r="Y267" s="6" t="str"/>
      <x:c r="Z267" s="6" t="str"/>
      <x:c r="AA267" s="6" t="str">
        <x:v>Pending</x:v>
      </x:c>
      <x:c r="AB267" s="6" t="str"/>
      <x:c r="AC267" s="6" t="str"/>
      <x:c r="AD267" s="12" t="str"/>
    </x:row>
    <x:row r="268">
      <x:c r="A268" s="6" t="str">
        <x:v>SIR-000267</x:v>
      </x:c>
      <x:c r="B268" s="6" t="str">
        <x:v>SVC000267</x:v>
      </x:c>
      <x:c r="C268" s="6" t="str">
        <x:v>SVC000342</x:v>
      </x:c>
      <x:c r="D268" s="6" t="str">
        <x:v>iPhone Air Charge Port Replacement</x:v>
      </x:c>
      <x:c r="E268" s="6" t="str">
        <x:v>iPhone Air Charge Port Replacement</x:v>
      </x:c>
      <x:c r="F268" s="6" t="str">
        <x:v>iphone air charge port replacement</x:v>
      </x:c>
      <x:c r="G268" s="6" t="str">
        <x:v>Repair</x:v>
      </x:c>
      <x:c r="H268" s="6" t="str">
        <x:v>Miscellaneous Repair</x:v>
      </x:c>
      <x:c r="I268" s="6" t="str">
        <x:v>Phone</x:v>
      </x:c>
      <x:c r="J268" s="6" t="str">
        <x:v>iPhone Air Charge Port Replacement</x:v>
      </x:c>
      <x:c r="K268" s="6" t="str">
        <x:v>Nocturnix_Master_Services_Catalog_v1.xlsx</x:v>
      </x:c>
      <x:c r="L268" s="6" t="str">
        <x:v>01 - Master Services</x:v>
      </x:c>
      <x:c r="M268" s="6" t="n">
        <x:v>307</x:v>
      </x:c>
      <x:c r="N268" s="6" t="str">
        <x:v>CNF000267</x:v>
      </x:c>
      <x:c r="O268" s="6" t="str"/>
      <x:c r="P268" s="6" t="str">
        <x:v>Pending Verification</x:v>
      </x:c>
      <x:c r="Q268" s="6" t="str"/>
      <x:c r="R268" s="6" t="str"/>
      <x:c r="S268" s="6" t="str"/>
      <x:c r="T268" s="6" t="str"/>
      <x:c r="U268" s="6" t="str"/>
      <x:c r="V268" s="6" t="str">
        <x:v>Unresolved</x:v>
      </x:c>
      <x:c r="W268" s="12" t="str"/>
      <x:c r="X268" s="12" t="str"/>
      <x:c r="Y268" s="6" t="str"/>
      <x:c r="Z268" s="6" t="str"/>
      <x:c r="AA268" s="6" t="str">
        <x:v>Pending</x:v>
      </x:c>
      <x:c r="AB268" s="6" t="str"/>
      <x:c r="AC268" s="6" t="str"/>
      <x:c r="AD268" s="12" t="str"/>
    </x:row>
    <x:row r="269">
      <x:c r="A269" s="6" t="str">
        <x:v>SIR-000268</x:v>
      </x:c>
      <x:c r="B269" s="6" t="str">
        <x:v>SVC000268</x:v>
      </x:c>
      <x:c r="C269" s="6" t="str">
        <x:v>SVC000343</x:v>
      </x:c>
      <x:c r="D269" s="6" t="str">
        <x:v>nan Charge Port Replacement</x:v>
      </x:c>
      <x:c r="E269" s="6" t="str">
        <x:v>nan Charge Port Replacement</x:v>
      </x:c>
      <x:c r="F269" s="6" t="str">
        <x:v>nan charge port replacement</x:v>
      </x:c>
      <x:c r="G269" s="6" t="str">
        <x:v>Repair</x:v>
      </x:c>
      <x:c r="H269" s="6" t="str">
        <x:v>Miscellaneous Repair</x:v>
      </x:c>
      <x:c r="I269" s="6" t="str">
        <x:v>Phone</x:v>
      </x:c>
      <x:c r="J269" s="6" t="str">
        <x:v>nan Charge Port Replacement</x:v>
      </x:c>
      <x:c r="K269" s="6" t="str">
        <x:v>Nocturnix_Master_Services_Catalog_v1.xlsx</x:v>
      </x:c>
      <x:c r="L269" s="6" t="str">
        <x:v>01 - Master Services</x:v>
      </x:c>
      <x:c r="M269" s="6" t="n">
        <x:v>308</x:v>
      </x:c>
      <x:c r="N269" s="6" t="str">
        <x:v>CNF000268</x:v>
      </x:c>
      <x:c r="O269" s="6" t="str"/>
      <x:c r="P269" s="6" t="str">
        <x:v>Pending Verification</x:v>
      </x:c>
      <x:c r="Q269" s="6" t="str"/>
      <x:c r="R269" s="6" t="str"/>
      <x:c r="S269" s="6" t="str"/>
      <x:c r="T269" s="6" t="str"/>
      <x:c r="U269" s="6" t="str"/>
      <x:c r="V269" s="6" t="str">
        <x:v>Unresolved</x:v>
      </x:c>
      <x:c r="W269" s="12" t="str"/>
      <x:c r="X269" s="12" t="str"/>
      <x:c r="Y269" s="6" t="str"/>
      <x:c r="Z269" s="6" t="str"/>
      <x:c r="AA269" s="6" t="str">
        <x:v>Pending</x:v>
      </x:c>
      <x:c r="AB269" s="6" t="str"/>
      <x:c r="AC269" s="6" t="str"/>
      <x:c r="AD269" s="12" t="str"/>
    </x:row>
    <x:row r="270">
      <x:c r="A270" s="6" t="str">
        <x:v>SIR-000269</x:v>
      </x:c>
      <x:c r="B270" s="6" t="str">
        <x:v>SVC000269</x:v>
      </x:c>
      <x:c r="C270" s="6" t="str">
        <x:v>SVC000344</x:v>
      </x:c>
      <x:c r="D270" s="6" t="str">
        <x:v>Galaxy S Classic Charge Port Replacement</x:v>
      </x:c>
      <x:c r="E270" s="6" t="str">
        <x:v>Galaxy S Classic Charge Port Replacement</x:v>
      </x:c>
      <x:c r="F270" s="6" t="str">
        <x:v>galaxy s classic charge port replacement</x:v>
      </x:c>
      <x:c r="G270" s="6" t="str">
        <x:v>Repair</x:v>
      </x:c>
      <x:c r="H270" s="6" t="str">
        <x:v>Miscellaneous Repair</x:v>
      </x:c>
      <x:c r="I270" s="6" t="str">
        <x:v>Phone</x:v>
      </x:c>
      <x:c r="J270" s="6" t="str">
        <x:v>Galaxy S Classic Charge Port Replacement</x:v>
      </x:c>
      <x:c r="K270" s="6" t="str">
        <x:v>Nocturnix_Master_Services_Catalog_v1.xlsx</x:v>
      </x:c>
      <x:c r="L270" s="6" t="str">
        <x:v>01 - Master Services</x:v>
      </x:c>
      <x:c r="M270" s="6" t="n">
        <x:v>309</x:v>
      </x:c>
      <x:c r="N270" s="6" t="str">
        <x:v>CNF000269</x:v>
      </x:c>
      <x:c r="O270" s="6" t="str"/>
      <x:c r="P270" s="6" t="str">
        <x:v>Pending Verification</x:v>
      </x:c>
      <x:c r="Q270" s="6" t="str"/>
      <x:c r="R270" s="6" t="str"/>
      <x:c r="S270" s="6" t="str"/>
      <x:c r="T270" s="6" t="str"/>
      <x:c r="U270" s="6" t="str"/>
      <x:c r="V270" s="6" t="str">
        <x:v>Unresolved</x:v>
      </x:c>
      <x:c r="W270" s="12" t="str"/>
      <x:c r="X270" s="12" t="str"/>
      <x:c r="Y270" s="6" t="str"/>
      <x:c r="Z270" s="6" t="str"/>
      <x:c r="AA270" s="6" t="str">
        <x:v>Pending</x:v>
      </x:c>
      <x:c r="AB270" s="6" t="str"/>
      <x:c r="AC270" s="6" t="str"/>
      <x:c r="AD270" s="12" t="str"/>
    </x:row>
    <x:row r="271">
      <x:c r="A271" s="6" t="str">
        <x:v>SIR-000270</x:v>
      </x:c>
      <x:c r="B271" s="6" t="str">
        <x:v>SVC000270</x:v>
      </x:c>
      <x:c r="C271" s="6" t="str">
        <x:v>SVC000345</x:v>
      </x:c>
      <x:c r="D271" s="6" t="str">
        <x:v>Galaxy S2 Charge Port Replacement</x:v>
      </x:c>
      <x:c r="E271" s="6" t="str">
        <x:v>Galaxy S2 Charge Port Replacement</x:v>
      </x:c>
      <x:c r="F271" s="6" t="str">
        <x:v>galaxy s2 charge port replacement</x:v>
      </x:c>
      <x:c r="G271" s="6" t="str">
        <x:v>Repair</x:v>
      </x:c>
      <x:c r="H271" s="6" t="str">
        <x:v>Miscellaneous Repair</x:v>
      </x:c>
      <x:c r="I271" s="6" t="str">
        <x:v>Phone</x:v>
      </x:c>
      <x:c r="J271" s="6" t="str">
        <x:v>Galaxy S2 Charge Port Replacement</x:v>
      </x:c>
      <x:c r="K271" s="6" t="str">
        <x:v>Nocturnix_Master_Services_Catalog_v1.xlsx</x:v>
      </x:c>
      <x:c r="L271" s="6" t="str">
        <x:v>01 - Master Services</x:v>
      </x:c>
      <x:c r="M271" s="6" t="n">
        <x:v>310</x:v>
      </x:c>
      <x:c r="N271" s="6" t="str">
        <x:v>CNF000270</x:v>
      </x:c>
      <x:c r="O271" s="6" t="str"/>
      <x:c r="P271" s="6" t="str">
        <x:v>Pending Verification</x:v>
      </x:c>
      <x:c r="Q271" s="6" t="str"/>
      <x:c r="R271" s="6" t="str"/>
      <x:c r="S271" s="6" t="str"/>
      <x:c r="T271" s="6" t="str"/>
      <x:c r="U271" s="6" t="str"/>
      <x:c r="V271" s="6" t="str">
        <x:v>Unresolved</x:v>
      </x:c>
      <x:c r="W271" s="12" t="str"/>
      <x:c r="X271" s="12" t="str"/>
      <x:c r="Y271" s="6" t="str"/>
      <x:c r="Z271" s="6" t="str"/>
      <x:c r="AA271" s="6" t="str">
        <x:v>Pending</x:v>
      </x:c>
      <x:c r="AB271" s="6" t="str"/>
      <x:c r="AC271" s="6" t="str"/>
      <x:c r="AD271" s="12" t="str"/>
    </x:row>
    <x:row r="272">
      <x:c r="A272" s="6" t="str">
        <x:v>SIR-000271</x:v>
      </x:c>
      <x:c r="B272" s="6" t="str">
        <x:v>SVC000271</x:v>
      </x:c>
      <x:c r="C272" s="6" t="str">
        <x:v>SVC000346</x:v>
      </x:c>
      <x:c r="D272" s="6" t="str">
        <x:v>Galaxy S3 Charge Port Replacement</x:v>
      </x:c>
      <x:c r="E272" s="6" t="str">
        <x:v>Galaxy S3 Charge Port Replacement</x:v>
      </x:c>
      <x:c r="F272" s="6" t="str">
        <x:v>galaxy s3 charge port replacement</x:v>
      </x:c>
      <x:c r="G272" s="6" t="str">
        <x:v>Repair</x:v>
      </x:c>
      <x:c r="H272" s="6" t="str">
        <x:v>Miscellaneous Repair</x:v>
      </x:c>
      <x:c r="I272" s="6" t="str">
        <x:v>Phone</x:v>
      </x:c>
      <x:c r="J272" s="6" t="str">
        <x:v>Galaxy S3 Charge Port Replacement</x:v>
      </x:c>
      <x:c r="K272" s="6" t="str">
        <x:v>Nocturnix_Master_Services_Catalog_v1.xlsx</x:v>
      </x:c>
      <x:c r="L272" s="6" t="str">
        <x:v>01 - Master Services</x:v>
      </x:c>
      <x:c r="M272" s="6" t="n">
        <x:v>311</x:v>
      </x:c>
      <x:c r="N272" s="6" t="str">
        <x:v>CNF000271</x:v>
      </x:c>
      <x:c r="O272" s="6" t="str"/>
      <x:c r="P272" s="6" t="str">
        <x:v>Pending Verification</x:v>
      </x:c>
      <x:c r="Q272" s="6" t="str"/>
      <x:c r="R272" s="6" t="str"/>
      <x:c r="S272" s="6" t="str"/>
      <x:c r="T272" s="6" t="str"/>
      <x:c r="U272" s="6" t="str"/>
      <x:c r="V272" s="6" t="str">
        <x:v>Unresolved</x:v>
      </x:c>
      <x:c r="W272" s="12" t="str"/>
      <x:c r="X272" s="12" t="str"/>
      <x:c r="Y272" s="6" t="str"/>
      <x:c r="Z272" s="6" t="str"/>
      <x:c r="AA272" s="6" t="str">
        <x:v>Pending</x:v>
      </x:c>
      <x:c r="AB272" s="6" t="str"/>
      <x:c r="AC272" s="6" t="str"/>
      <x:c r="AD272" s="12" t="str"/>
    </x:row>
    <x:row r="273">
      <x:c r="A273" s="6" t="str">
        <x:v>SIR-000272</x:v>
      </x:c>
      <x:c r="B273" s="6" t="str">
        <x:v>SVC000272</x:v>
      </x:c>
      <x:c r="C273" s="6" t="str">
        <x:v>SVC000347</x:v>
      </x:c>
      <x:c r="D273" s="6" t="str">
        <x:v>Galaxy S3 Mini Charge Port Replacement</x:v>
      </x:c>
      <x:c r="E273" s="6" t="str">
        <x:v>Galaxy S3 Mini Charge Port Replacement</x:v>
      </x:c>
      <x:c r="F273" s="6" t="str">
        <x:v>galaxy s3 mini charge port replacement</x:v>
      </x:c>
      <x:c r="G273" s="6" t="str">
        <x:v>Repair</x:v>
      </x:c>
      <x:c r="H273" s="6" t="str">
        <x:v>Miscellaneous Repair</x:v>
      </x:c>
      <x:c r="I273" s="6" t="str">
        <x:v>Phone</x:v>
      </x:c>
      <x:c r="J273" s="6" t="str">
        <x:v>Galaxy S3 Mini Charge Port Replacement</x:v>
      </x:c>
      <x:c r="K273" s="6" t="str">
        <x:v>Nocturnix_Master_Services_Catalog_v1.xlsx</x:v>
      </x:c>
      <x:c r="L273" s="6" t="str">
        <x:v>01 - Master Services</x:v>
      </x:c>
      <x:c r="M273" s="6" t="n">
        <x:v>312</x:v>
      </x:c>
      <x:c r="N273" s="6" t="str">
        <x:v>CNF000272</x:v>
      </x:c>
      <x:c r="O273" s="6" t="str"/>
      <x:c r="P273" s="6" t="str">
        <x:v>Pending Verification</x:v>
      </x:c>
      <x:c r="Q273" s="6" t="str"/>
      <x:c r="R273" s="6" t="str"/>
      <x:c r="S273" s="6" t="str"/>
      <x:c r="T273" s="6" t="str"/>
      <x:c r="U273" s="6" t="str"/>
      <x:c r="V273" s="6" t="str">
        <x:v>Unresolved</x:v>
      </x:c>
      <x:c r="W273" s="12" t="str"/>
      <x:c r="X273" s="12" t="str"/>
      <x:c r="Y273" s="6" t="str"/>
      <x:c r="Z273" s="6" t="str"/>
      <x:c r="AA273" s="6" t="str">
        <x:v>Pending</x:v>
      </x:c>
      <x:c r="AB273" s="6" t="str"/>
      <x:c r="AC273" s="6" t="str"/>
      <x:c r="AD273" s="12" t="str"/>
    </x:row>
    <x:row r="274">
      <x:c r="A274" s="6" t="str">
        <x:v>SIR-000273</x:v>
      </x:c>
      <x:c r="B274" s="6" t="str">
        <x:v>SVC000273</x:v>
      </x:c>
      <x:c r="C274" s="6" t="str">
        <x:v>SVC000348</x:v>
      </x:c>
      <x:c r="D274" s="6" t="str">
        <x:v>Galaxy S3 Neo Charge Port Replacement</x:v>
      </x:c>
      <x:c r="E274" s="6" t="str">
        <x:v>Galaxy S3 Neo Charge Port Replacement</x:v>
      </x:c>
      <x:c r="F274" s="6" t="str">
        <x:v>galaxy s3 neo charge port replacement</x:v>
      </x:c>
      <x:c r="G274" s="6" t="str">
        <x:v>Repair</x:v>
      </x:c>
      <x:c r="H274" s="6" t="str">
        <x:v>Miscellaneous Repair</x:v>
      </x:c>
      <x:c r="I274" s="6" t="str">
        <x:v>Phone</x:v>
      </x:c>
      <x:c r="J274" s="6" t="str">
        <x:v>Galaxy S3 Neo Charge Port Replacement</x:v>
      </x:c>
      <x:c r="K274" s="6" t="str">
        <x:v>Nocturnix_Master_Services_Catalog_v1.xlsx</x:v>
      </x:c>
      <x:c r="L274" s="6" t="str">
        <x:v>01 - Master Services</x:v>
      </x:c>
      <x:c r="M274" s="6" t="n">
        <x:v>313</x:v>
      </x:c>
      <x:c r="N274" s="6" t="str">
        <x:v>CNF000273</x:v>
      </x:c>
      <x:c r="O274" s="6" t="str"/>
      <x:c r="P274" s="6" t="str">
        <x:v>Pending Verification</x:v>
      </x:c>
      <x:c r="Q274" s="6" t="str"/>
      <x:c r="R274" s="6" t="str"/>
      <x:c r="S274" s="6" t="str"/>
      <x:c r="T274" s="6" t="str"/>
      <x:c r="U274" s="6" t="str"/>
      <x:c r="V274" s="6" t="str">
        <x:v>Unresolved</x:v>
      </x:c>
      <x:c r="W274" s="12" t="str"/>
      <x:c r="X274" s="12" t="str"/>
      <x:c r="Y274" s="6" t="str"/>
      <x:c r="Z274" s="6" t="str"/>
      <x:c r="AA274" s="6" t="str">
        <x:v>Pending</x:v>
      </x:c>
      <x:c r="AB274" s="6" t="str"/>
      <x:c r="AC274" s="6" t="str"/>
      <x:c r="AD274" s="12" t="str"/>
    </x:row>
    <x:row r="275">
      <x:c r="A275" s="6" t="str">
        <x:v>SIR-000274</x:v>
      </x:c>
      <x:c r="B275" s="6" t="str">
        <x:v>SVC000274</x:v>
      </x:c>
      <x:c r="C275" s="6" t="str">
        <x:v>SVC000349</x:v>
      </x:c>
      <x:c r="D275" s="6" t="str">
        <x:v>Galaxy S4 Charge Port Replacement</x:v>
      </x:c>
      <x:c r="E275" s="6" t="str">
        <x:v>Galaxy S4 Charge Port Replacement</x:v>
      </x:c>
      <x:c r="F275" s="6" t="str">
        <x:v>galaxy s4 charge port replacement</x:v>
      </x:c>
      <x:c r="G275" s="6" t="str">
        <x:v>Repair</x:v>
      </x:c>
      <x:c r="H275" s="6" t="str">
        <x:v>Miscellaneous Repair</x:v>
      </x:c>
      <x:c r="I275" s="6" t="str">
        <x:v>Phone</x:v>
      </x:c>
      <x:c r="J275" s="6" t="str">
        <x:v>Galaxy S4 Charge Port Replacement</x:v>
      </x:c>
      <x:c r="K275" s="6" t="str">
        <x:v>Nocturnix_Master_Services_Catalog_v1.xlsx</x:v>
      </x:c>
      <x:c r="L275" s="6" t="str">
        <x:v>01 - Master Services</x:v>
      </x:c>
      <x:c r="M275" s="6" t="n">
        <x:v>314</x:v>
      </x:c>
      <x:c r="N275" s="6" t="str">
        <x:v>CNF000274</x:v>
      </x:c>
      <x:c r="O275" s="6" t="str"/>
      <x:c r="P275" s="6" t="str">
        <x:v>Pending Verification</x:v>
      </x:c>
      <x:c r="Q275" s="6" t="str"/>
      <x:c r="R275" s="6" t="str"/>
      <x:c r="S275" s="6" t="str"/>
      <x:c r="T275" s="6" t="str"/>
      <x:c r="U275" s="6" t="str"/>
      <x:c r="V275" s="6" t="str">
        <x:v>Unresolved</x:v>
      </x:c>
      <x:c r="W275" s="12" t="str"/>
      <x:c r="X275" s="12" t="str"/>
      <x:c r="Y275" s="6" t="str"/>
      <x:c r="Z275" s="6" t="str"/>
      <x:c r="AA275" s="6" t="str">
        <x:v>Pending</x:v>
      </x:c>
      <x:c r="AB275" s="6" t="str"/>
      <x:c r="AC275" s="6" t="str"/>
      <x:c r="AD275" s="12" t="str"/>
    </x:row>
    <x:row r="276">
      <x:c r="A276" s="6" t="str">
        <x:v>SIR-000275</x:v>
      </x:c>
      <x:c r="B276" s="6" t="str">
        <x:v>SVC000275</x:v>
      </x:c>
      <x:c r="C276" s="6" t="str">
        <x:v>SVC000350</x:v>
      </x:c>
      <x:c r="D276" s="6" t="str">
        <x:v>Galaxy S 4 Mini Charge Port Replacement</x:v>
      </x:c>
      <x:c r="E276" s="6" t="str">
        <x:v>Galaxy S 4 Mini Charge Port Replacement</x:v>
      </x:c>
      <x:c r="F276" s="6" t="str">
        <x:v>galaxy s 4 mini charge port replacement</x:v>
      </x:c>
      <x:c r="G276" s="6" t="str">
        <x:v>Repair</x:v>
      </x:c>
      <x:c r="H276" s="6" t="str">
        <x:v>Miscellaneous Repair</x:v>
      </x:c>
      <x:c r="I276" s="6" t="str">
        <x:v>Phone</x:v>
      </x:c>
      <x:c r="J276" s="6" t="str">
        <x:v>Galaxy S 4 Mini Charge Port Replacement</x:v>
      </x:c>
      <x:c r="K276" s="6" t="str">
        <x:v>Nocturnix_Master_Services_Catalog_v1.xlsx</x:v>
      </x:c>
      <x:c r="L276" s="6" t="str">
        <x:v>01 - Master Services</x:v>
      </x:c>
      <x:c r="M276" s="6" t="n">
        <x:v>315</x:v>
      </x:c>
      <x:c r="N276" s="6" t="str">
        <x:v>CNF000275</x:v>
      </x:c>
      <x:c r="O276" s="6" t="str"/>
      <x:c r="P276" s="6" t="str">
        <x:v>Pending Verification</x:v>
      </x:c>
      <x:c r="Q276" s="6" t="str"/>
      <x:c r="R276" s="6" t="str"/>
      <x:c r="S276" s="6" t="str"/>
      <x:c r="T276" s="6" t="str"/>
      <x:c r="U276" s="6" t="str"/>
      <x:c r="V276" s="6" t="str">
        <x:v>Unresolved</x:v>
      </x:c>
      <x:c r="W276" s="12" t="str"/>
      <x:c r="X276" s="12" t="str"/>
      <x:c r="Y276" s="6" t="str"/>
      <x:c r="Z276" s="6" t="str"/>
      <x:c r="AA276" s="6" t="str">
        <x:v>Pending</x:v>
      </x:c>
      <x:c r="AB276" s="6" t="str"/>
      <x:c r="AC276" s="6" t="str"/>
      <x:c r="AD276" s="12" t="str"/>
    </x:row>
    <x:row r="277">
      <x:c r="A277" s="6" t="str">
        <x:v>SIR-000276</x:v>
      </x:c>
      <x:c r="B277" s="6" t="str">
        <x:v>SVC000276</x:v>
      </x:c>
      <x:c r="C277" s="6" t="str">
        <x:v>SVC000351</x:v>
      </x:c>
      <x:c r="D277" s="6" t="str">
        <x:v>Galaxy S 4 Active Charge Port Replacement</x:v>
      </x:c>
      <x:c r="E277" s="6" t="str">
        <x:v>Galaxy S 4 Active Charge Port Replacement</x:v>
      </x:c>
      <x:c r="F277" s="6" t="str">
        <x:v>galaxy s 4 active charge port replacement</x:v>
      </x:c>
      <x:c r="G277" s="6" t="str">
        <x:v>Repair</x:v>
      </x:c>
      <x:c r="H277" s="6" t="str">
        <x:v>Miscellaneous Repair</x:v>
      </x:c>
      <x:c r="I277" s="6" t="str">
        <x:v>Phone</x:v>
      </x:c>
      <x:c r="J277" s="6" t="str">
        <x:v>Galaxy S 4 Active Charge Port Replacement</x:v>
      </x:c>
      <x:c r="K277" s="6" t="str">
        <x:v>Nocturnix_Master_Services_Catalog_v1.xlsx</x:v>
      </x:c>
      <x:c r="L277" s="6" t="str">
        <x:v>01 - Master Services</x:v>
      </x:c>
      <x:c r="M277" s="6" t="n">
        <x:v>316</x:v>
      </x:c>
      <x:c r="N277" s="6" t="str">
        <x:v>CNF000276</x:v>
      </x:c>
      <x:c r="O277" s="6" t="str"/>
      <x:c r="P277" s="6" t="str">
        <x:v>Pending Verification</x:v>
      </x:c>
      <x:c r="Q277" s="6" t="str"/>
      <x:c r="R277" s="6" t="str"/>
      <x:c r="S277" s="6" t="str"/>
      <x:c r="T277" s="6" t="str"/>
      <x:c r="U277" s="6" t="str"/>
      <x:c r="V277" s="6" t="str">
        <x:v>Unresolved</x:v>
      </x:c>
      <x:c r="W277" s="12" t="str"/>
      <x:c r="X277" s="12" t="str"/>
      <x:c r="Y277" s="6" t="str"/>
      <x:c r="Z277" s="6" t="str"/>
      <x:c r="AA277" s="6" t="str">
        <x:v>Pending</x:v>
      </x:c>
      <x:c r="AB277" s="6" t="str"/>
      <x:c r="AC277" s="6" t="str"/>
      <x:c r="AD277" s="12" t="str"/>
    </x:row>
    <x:row r="278">
      <x:c r="A278" s="6" t="str">
        <x:v>SIR-000277</x:v>
      </x:c>
      <x:c r="B278" s="6" t="str">
        <x:v>SVC000277</x:v>
      </x:c>
      <x:c r="C278" s="6" t="str">
        <x:v>SVC000352</x:v>
      </x:c>
      <x:c r="D278" s="6" t="str">
        <x:v>Galaxy S 5 Charge Port Replacement</x:v>
      </x:c>
      <x:c r="E278" s="6" t="str">
        <x:v>Galaxy S 5 Charge Port Replacement</x:v>
      </x:c>
      <x:c r="F278" s="6" t="str">
        <x:v>galaxy s 5 charge port replacement</x:v>
      </x:c>
      <x:c r="G278" s="6" t="str">
        <x:v>Repair</x:v>
      </x:c>
      <x:c r="H278" s="6" t="str">
        <x:v>Miscellaneous Repair</x:v>
      </x:c>
      <x:c r="I278" s="6" t="str">
        <x:v>Phone</x:v>
      </x:c>
      <x:c r="J278" s="6" t="str">
        <x:v>Galaxy S 5 Charge Port Replacement</x:v>
      </x:c>
      <x:c r="K278" s="6" t="str">
        <x:v>Nocturnix_Master_Services_Catalog_v1.xlsx</x:v>
      </x:c>
      <x:c r="L278" s="6" t="str">
        <x:v>01 - Master Services</x:v>
      </x:c>
      <x:c r="M278" s="6" t="n">
        <x:v>317</x:v>
      </x:c>
      <x:c r="N278" s="6" t="str">
        <x:v>CNF000277</x:v>
      </x:c>
      <x:c r="O278" s="6" t="str"/>
      <x:c r="P278" s="6" t="str">
        <x:v>Pending Verification</x:v>
      </x:c>
      <x:c r="Q278" s="6" t="str"/>
      <x:c r="R278" s="6" t="str"/>
      <x:c r="S278" s="6" t="str"/>
      <x:c r="T278" s="6" t="str"/>
      <x:c r="U278" s="6" t="str"/>
      <x:c r="V278" s="6" t="str">
        <x:v>Unresolved</x:v>
      </x:c>
      <x:c r="W278" s="12" t="str"/>
      <x:c r="X278" s="12" t="str"/>
      <x:c r="Y278" s="6" t="str"/>
      <x:c r="Z278" s="6" t="str"/>
      <x:c r="AA278" s="6" t="str">
        <x:v>Pending</x:v>
      </x:c>
      <x:c r="AB278" s="6" t="str"/>
      <x:c r="AC278" s="6" t="str"/>
      <x:c r="AD278" s="12" t="str"/>
    </x:row>
    <x:row r="279">
      <x:c r="A279" s="6" t="str">
        <x:v>SIR-000278</x:v>
      </x:c>
      <x:c r="B279" s="6" t="str">
        <x:v>SVC000278</x:v>
      </x:c>
      <x:c r="C279" s="6" t="str">
        <x:v>SVC000353</x:v>
      </x:c>
      <x:c r="D279" s="6" t="str">
        <x:v>Galaxy S 5 Neo Charge Port Replacement</x:v>
      </x:c>
      <x:c r="E279" s="6" t="str">
        <x:v>Galaxy S 5 Neo Charge Port Replacement</x:v>
      </x:c>
      <x:c r="F279" s="6" t="str">
        <x:v>galaxy s 5 neo charge port replacement</x:v>
      </x:c>
      <x:c r="G279" s="6" t="str">
        <x:v>Repair</x:v>
      </x:c>
      <x:c r="H279" s="6" t="str">
        <x:v>Miscellaneous Repair</x:v>
      </x:c>
      <x:c r="I279" s="6" t="str">
        <x:v>Phone</x:v>
      </x:c>
      <x:c r="J279" s="6" t="str">
        <x:v>Galaxy S 5 Neo Charge Port Replacement</x:v>
      </x:c>
      <x:c r="K279" s="6" t="str">
        <x:v>Nocturnix_Master_Services_Catalog_v1.xlsx</x:v>
      </x:c>
      <x:c r="L279" s="6" t="str">
        <x:v>01 - Master Services</x:v>
      </x:c>
      <x:c r="M279" s="6" t="n">
        <x:v>318</x:v>
      </x:c>
      <x:c r="N279" s="6" t="str">
        <x:v>CNF000278</x:v>
      </x:c>
      <x:c r="O279" s="6" t="str"/>
      <x:c r="P279" s="6" t="str">
        <x:v>Pending Verification</x:v>
      </x:c>
      <x:c r="Q279" s="6" t="str"/>
      <x:c r="R279" s="6" t="str"/>
      <x:c r="S279" s="6" t="str"/>
      <x:c r="T279" s="6" t="str"/>
      <x:c r="U279" s="6" t="str"/>
      <x:c r="V279" s="6" t="str">
        <x:v>Unresolved</x:v>
      </x:c>
      <x:c r="W279" s="12" t="str"/>
      <x:c r="X279" s="12" t="str"/>
      <x:c r="Y279" s="6" t="str"/>
      <x:c r="Z279" s="6" t="str"/>
      <x:c r="AA279" s="6" t="str">
        <x:v>Pending</x:v>
      </x:c>
      <x:c r="AB279" s="6" t="str"/>
      <x:c r="AC279" s="6" t="str"/>
      <x:c r="AD279" s="12" t="str"/>
    </x:row>
    <x:row r="280">
      <x:c r="A280" s="6" t="str">
        <x:v>SIR-000279</x:v>
      </x:c>
      <x:c r="B280" s="6" t="str">
        <x:v>SVC000279</x:v>
      </x:c>
      <x:c r="C280" s="6" t="str">
        <x:v>SVC000354</x:v>
      </x:c>
      <x:c r="D280" s="6" t="str">
        <x:v>Galaxy S 5 Active Charge Port Replacement</x:v>
      </x:c>
      <x:c r="E280" s="6" t="str">
        <x:v>Galaxy S 5 Active Charge Port Replacement</x:v>
      </x:c>
      <x:c r="F280" s="6" t="str">
        <x:v>galaxy s 5 active charge port replacement</x:v>
      </x:c>
      <x:c r="G280" s="6" t="str">
        <x:v>Repair</x:v>
      </x:c>
      <x:c r="H280" s="6" t="str">
        <x:v>Miscellaneous Repair</x:v>
      </x:c>
      <x:c r="I280" s="6" t="str">
        <x:v>Phone</x:v>
      </x:c>
      <x:c r="J280" s="6" t="str">
        <x:v>Galaxy S 5 Active Charge Port Replacement</x:v>
      </x:c>
      <x:c r="K280" s="6" t="str">
        <x:v>Nocturnix_Master_Services_Catalog_v1.xlsx</x:v>
      </x:c>
      <x:c r="L280" s="6" t="str">
        <x:v>01 - Master Services</x:v>
      </x:c>
      <x:c r="M280" s="6" t="n">
        <x:v>319</x:v>
      </x:c>
      <x:c r="N280" s="6" t="str">
        <x:v>CNF000279</x:v>
      </x:c>
      <x:c r="O280" s="6" t="str"/>
      <x:c r="P280" s="6" t="str">
        <x:v>Pending Verification</x:v>
      </x:c>
      <x:c r="Q280" s="6" t="str"/>
      <x:c r="R280" s="6" t="str"/>
      <x:c r="S280" s="6" t="str"/>
      <x:c r="T280" s="6" t="str"/>
      <x:c r="U280" s="6" t="str"/>
      <x:c r="V280" s="6" t="str">
        <x:v>Unresolved</x:v>
      </x:c>
      <x:c r="W280" s="12" t="str"/>
      <x:c r="X280" s="12" t="str"/>
      <x:c r="Y280" s="6" t="str"/>
      <x:c r="Z280" s="6" t="str"/>
      <x:c r="AA280" s="6" t="str">
        <x:v>Pending</x:v>
      </x:c>
      <x:c r="AB280" s="6" t="str"/>
      <x:c r="AC280" s="6" t="str"/>
      <x:c r="AD280" s="12" t="str"/>
    </x:row>
    <x:row r="281">
      <x:c r="A281" s="6" t="str">
        <x:v>SIR-000280</x:v>
      </x:c>
      <x:c r="B281" s="6" t="str">
        <x:v>SVC000280</x:v>
      </x:c>
      <x:c r="C281" s="6" t="str">
        <x:v>SVC000355</x:v>
      </x:c>
      <x:c r="D281" s="6" t="str">
        <x:v>Galaxy S 6 Charge Port Replacement</x:v>
      </x:c>
      <x:c r="E281" s="6" t="str">
        <x:v>Galaxy S 6 Charge Port Replacement</x:v>
      </x:c>
      <x:c r="F281" s="6" t="str">
        <x:v>galaxy s 6 charge port replacement</x:v>
      </x:c>
      <x:c r="G281" s="6" t="str">
        <x:v>Repair</x:v>
      </x:c>
      <x:c r="H281" s="6" t="str">
        <x:v>Miscellaneous Repair</x:v>
      </x:c>
      <x:c r="I281" s="6" t="str">
        <x:v>Phone</x:v>
      </x:c>
      <x:c r="J281" s="6" t="str">
        <x:v>Galaxy S 6 Charge Port Replacement</x:v>
      </x:c>
      <x:c r="K281" s="6" t="str">
        <x:v>Nocturnix_Master_Services_Catalog_v1.xlsx</x:v>
      </x:c>
      <x:c r="L281" s="6" t="str">
        <x:v>01 - Master Services</x:v>
      </x:c>
      <x:c r="M281" s="6" t="n">
        <x:v>320</x:v>
      </x:c>
      <x:c r="N281" s="6" t="str">
        <x:v>CNF000280</x:v>
      </x:c>
      <x:c r="O281" s="6" t="str"/>
      <x:c r="P281" s="6" t="str">
        <x:v>Pending Verification</x:v>
      </x:c>
      <x:c r="Q281" s="6" t="str"/>
      <x:c r="R281" s="6" t="str"/>
      <x:c r="S281" s="6" t="str"/>
      <x:c r="T281" s="6" t="str"/>
      <x:c r="U281" s="6" t="str"/>
      <x:c r="V281" s="6" t="str">
        <x:v>Unresolved</x:v>
      </x:c>
      <x:c r="W281" s="12" t="str"/>
      <x:c r="X281" s="12" t="str"/>
      <x:c r="Y281" s="6" t="str"/>
      <x:c r="Z281" s="6" t="str"/>
      <x:c r="AA281" s="6" t="str">
        <x:v>Pending</x:v>
      </x:c>
      <x:c r="AB281" s="6" t="str"/>
      <x:c r="AC281" s="6" t="str"/>
      <x:c r="AD281" s="12" t="str"/>
    </x:row>
    <x:row r="282">
      <x:c r="A282" s="6" t="str">
        <x:v>SIR-000281</x:v>
      </x:c>
      <x:c r="B282" s="6" t="str">
        <x:v>SVC000281</x:v>
      </x:c>
      <x:c r="C282" s="6" t="str">
        <x:v>SVC000356</x:v>
      </x:c>
      <x:c r="D282" s="6" t="str">
        <x:v>Galaxy S 6 Edge Charge Port Replacement</x:v>
      </x:c>
      <x:c r="E282" s="6" t="str">
        <x:v>Galaxy S 6 Edge Charge Port Replacement</x:v>
      </x:c>
      <x:c r="F282" s="6" t="str">
        <x:v>galaxy s 6 edge charge port replacement</x:v>
      </x:c>
      <x:c r="G282" s="6" t="str">
        <x:v>Repair</x:v>
      </x:c>
      <x:c r="H282" s="6" t="str">
        <x:v>Miscellaneous Repair</x:v>
      </x:c>
      <x:c r="I282" s="6" t="str">
        <x:v>Phone</x:v>
      </x:c>
      <x:c r="J282" s="6" t="str">
        <x:v>Galaxy S 6 Edge Charge Port Replacement</x:v>
      </x:c>
      <x:c r="K282" s="6" t="str">
        <x:v>Nocturnix_Master_Services_Catalog_v1.xlsx</x:v>
      </x:c>
      <x:c r="L282" s="6" t="str">
        <x:v>01 - Master Services</x:v>
      </x:c>
      <x:c r="M282" s="6" t="n">
        <x:v>321</x:v>
      </x:c>
      <x:c r="N282" s="6" t="str">
        <x:v>CNF000281</x:v>
      </x:c>
      <x:c r="O282" s="6" t="str"/>
      <x:c r="P282" s="6" t="str">
        <x:v>Pending Verification</x:v>
      </x:c>
      <x:c r="Q282" s="6" t="str"/>
      <x:c r="R282" s="6" t="str"/>
      <x:c r="S282" s="6" t="str"/>
      <x:c r="T282" s="6" t="str"/>
      <x:c r="U282" s="6" t="str"/>
      <x:c r="V282" s="6" t="str">
        <x:v>Unresolved</x:v>
      </x:c>
      <x:c r="W282" s="12" t="str"/>
      <x:c r="X282" s="12" t="str"/>
      <x:c r="Y282" s="6" t="str"/>
      <x:c r="Z282" s="6" t="str"/>
      <x:c r="AA282" s="6" t="str">
        <x:v>Pending</x:v>
      </x:c>
      <x:c r="AB282" s="6" t="str"/>
      <x:c r="AC282" s="6" t="str"/>
      <x:c r="AD282" s="12" t="str"/>
    </x:row>
    <x:row r="283">
      <x:c r="A283" s="6" t="str">
        <x:v>SIR-000282</x:v>
      </x:c>
      <x:c r="B283" s="6" t="str">
        <x:v>SVC000282</x:v>
      </x:c>
      <x:c r="C283" s="6" t="str">
        <x:v>SVC000357</x:v>
      </x:c>
      <x:c r="D283" s="6" t="str">
        <x:v>Galaxy S 6 Edge Plus Charge Port Replacement</x:v>
      </x:c>
      <x:c r="E283" s="6" t="str">
        <x:v>Galaxy S 6 Edge Plus Charge Port Replacement</x:v>
      </x:c>
      <x:c r="F283" s="6" t="str">
        <x:v>galaxy s 6 edge plus charge port replacement</x:v>
      </x:c>
      <x:c r="G283" s="6" t="str">
        <x:v>Repair</x:v>
      </x:c>
      <x:c r="H283" s="6" t="str">
        <x:v>Miscellaneous Repair</x:v>
      </x:c>
      <x:c r="I283" s="6" t="str">
        <x:v>Phone</x:v>
      </x:c>
      <x:c r="J283" s="6" t="str">
        <x:v>Galaxy S 6 Edge Plus Charge Port Replacement</x:v>
      </x:c>
      <x:c r="K283" s="6" t="str">
        <x:v>Nocturnix_Master_Services_Catalog_v1.xlsx</x:v>
      </x:c>
      <x:c r="L283" s="6" t="str">
        <x:v>01 - Master Services</x:v>
      </x:c>
      <x:c r="M283" s="6" t="n">
        <x:v>322</x:v>
      </x:c>
      <x:c r="N283" s="6" t="str">
        <x:v>CNF000282</x:v>
      </x:c>
      <x:c r="O283" s="6" t="str"/>
      <x:c r="P283" s="6" t="str">
        <x:v>Pending Verification</x:v>
      </x:c>
      <x:c r="Q283" s="6" t="str"/>
      <x:c r="R283" s="6" t="str"/>
      <x:c r="S283" s="6" t="str"/>
      <x:c r="T283" s="6" t="str"/>
      <x:c r="U283" s="6" t="str"/>
      <x:c r="V283" s="6" t="str">
        <x:v>Unresolved</x:v>
      </x:c>
      <x:c r="W283" s="12" t="str"/>
      <x:c r="X283" s="12" t="str"/>
      <x:c r="Y283" s="6" t="str"/>
      <x:c r="Z283" s="6" t="str"/>
      <x:c r="AA283" s="6" t="str">
        <x:v>Pending</x:v>
      </x:c>
      <x:c r="AB283" s="6" t="str"/>
      <x:c r="AC283" s="6" t="str"/>
      <x:c r="AD283" s="12" t="str"/>
    </x:row>
    <x:row r="284">
      <x:c r="A284" s="6" t="str">
        <x:v>SIR-000283</x:v>
      </x:c>
      <x:c r="B284" s="6" t="str">
        <x:v>SVC000283</x:v>
      </x:c>
      <x:c r="C284" s="6" t="str">
        <x:v>SVC000358</x:v>
      </x:c>
      <x:c r="D284" s="6" t="str">
        <x:v>Galaxy S 6 Active Charge Port Replacement</x:v>
      </x:c>
      <x:c r="E284" s="6" t="str">
        <x:v>Galaxy S 6 Active Charge Port Replacement</x:v>
      </x:c>
      <x:c r="F284" s="6" t="str">
        <x:v>galaxy s 6 active charge port replacement</x:v>
      </x:c>
      <x:c r="G284" s="6" t="str">
        <x:v>Repair</x:v>
      </x:c>
      <x:c r="H284" s="6" t="str">
        <x:v>Miscellaneous Repair</x:v>
      </x:c>
      <x:c r="I284" s="6" t="str">
        <x:v>Phone</x:v>
      </x:c>
      <x:c r="J284" s="6" t="str">
        <x:v>Galaxy S 6 Active Charge Port Replacement</x:v>
      </x:c>
      <x:c r="K284" s="6" t="str">
        <x:v>Nocturnix_Master_Services_Catalog_v1.xlsx</x:v>
      </x:c>
      <x:c r="L284" s="6" t="str">
        <x:v>01 - Master Services</x:v>
      </x:c>
      <x:c r="M284" s="6" t="n">
        <x:v>323</x:v>
      </x:c>
      <x:c r="N284" s="6" t="str">
        <x:v>CNF000283</x:v>
      </x:c>
      <x:c r="O284" s="6" t="str"/>
      <x:c r="P284" s="6" t="str">
        <x:v>Pending Verification</x:v>
      </x:c>
      <x:c r="Q284" s="6" t="str"/>
      <x:c r="R284" s="6" t="str"/>
      <x:c r="S284" s="6" t="str"/>
      <x:c r="T284" s="6" t="str"/>
      <x:c r="U284" s="6" t="str"/>
      <x:c r="V284" s="6" t="str">
        <x:v>Unresolved</x:v>
      </x:c>
      <x:c r="W284" s="12" t="str"/>
      <x:c r="X284" s="12" t="str"/>
      <x:c r="Y284" s="6" t="str"/>
      <x:c r="Z284" s="6" t="str"/>
      <x:c r="AA284" s="6" t="str">
        <x:v>Pending</x:v>
      </x:c>
      <x:c r="AB284" s="6" t="str"/>
      <x:c r="AC284" s="6" t="str"/>
      <x:c r="AD284" s="12" t="str"/>
    </x:row>
    <x:row r="285">
      <x:c r="A285" s="6" t="str">
        <x:v>SIR-000284</x:v>
      </x:c>
      <x:c r="B285" s="6" t="str">
        <x:v>SVC000284</x:v>
      </x:c>
      <x:c r="C285" s="6" t="str">
        <x:v>SVC000359</x:v>
      </x:c>
      <x:c r="D285" s="6" t="str">
        <x:v>Galaxy S 7 Charge Port Replacement</x:v>
      </x:c>
      <x:c r="E285" s="6" t="str">
        <x:v>Galaxy S 7 Charge Port Replacement</x:v>
      </x:c>
      <x:c r="F285" s="6" t="str">
        <x:v>galaxy s 7 charge port replacement</x:v>
      </x:c>
      <x:c r="G285" s="6" t="str">
        <x:v>Repair</x:v>
      </x:c>
      <x:c r="H285" s="6" t="str">
        <x:v>Miscellaneous Repair</x:v>
      </x:c>
      <x:c r="I285" s="6" t="str">
        <x:v>Phone</x:v>
      </x:c>
      <x:c r="J285" s="6" t="str">
        <x:v>Galaxy S 7 Charge Port Replacement</x:v>
      </x:c>
      <x:c r="K285" s="6" t="str">
        <x:v>Nocturnix_Master_Services_Catalog_v1.xlsx</x:v>
      </x:c>
      <x:c r="L285" s="6" t="str">
        <x:v>01 - Master Services</x:v>
      </x:c>
      <x:c r="M285" s="6" t="n">
        <x:v>324</x:v>
      </x:c>
      <x:c r="N285" s="6" t="str">
        <x:v>CNF000284</x:v>
      </x:c>
      <x:c r="O285" s="6" t="str"/>
      <x:c r="P285" s="6" t="str">
        <x:v>Pending Verification</x:v>
      </x:c>
      <x:c r="Q285" s="6" t="str"/>
      <x:c r="R285" s="6" t="str"/>
      <x:c r="S285" s="6" t="str"/>
      <x:c r="T285" s="6" t="str"/>
      <x:c r="U285" s="6" t="str"/>
      <x:c r="V285" s="6" t="str">
        <x:v>Unresolved</x:v>
      </x:c>
      <x:c r="W285" s="12" t="str"/>
      <x:c r="X285" s="12" t="str"/>
      <x:c r="Y285" s="6" t="str"/>
      <x:c r="Z285" s="6" t="str"/>
      <x:c r="AA285" s="6" t="str">
        <x:v>Pending</x:v>
      </x:c>
      <x:c r="AB285" s="6" t="str"/>
      <x:c r="AC285" s="6" t="str"/>
      <x:c r="AD285" s="12" t="str"/>
    </x:row>
    <x:row r="286">
      <x:c r="A286" s="6" t="str">
        <x:v>SIR-000285</x:v>
      </x:c>
      <x:c r="B286" s="6" t="str">
        <x:v>SVC000285</x:v>
      </x:c>
      <x:c r="C286" s="6" t="str">
        <x:v>SVC000360</x:v>
      </x:c>
      <x:c r="D286" s="6" t="str">
        <x:v>Galaxy S 7 Edge Charge Port Replacement</x:v>
      </x:c>
      <x:c r="E286" s="6" t="str">
        <x:v>Galaxy S 7 Edge Charge Port Replacement</x:v>
      </x:c>
      <x:c r="F286" s="6" t="str">
        <x:v>galaxy s 7 edge charge port replacement</x:v>
      </x:c>
      <x:c r="G286" s="6" t="str">
        <x:v>Repair</x:v>
      </x:c>
      <x:c r="H286" s="6" t="str">
        <x:v>Miscellaneous Repair</x:v>
      </x:c>
      <x:c r="I286" s="6" t="str">
        <x:v>Phone</x:v>
      </x:c>
      <x:c r="J286" s="6" t="str">
        <x:v>Galaxy S 7 Edge Charge Port Replacement</x:v>
      </x:c>
      <x:c r="K286" s="6" t="str">
        <x:v>Nocturnix_Master_Services_Catalog_v1.xlsx</x:v>
      </x:c>
      <x:c r="L286" s="6" t="str">
        <x:v>01 - Master Services</x:v>
      </x:c>
      <x:c r="M286" s="6" t="n">
        <x:v>325</x:v>
      </x:c>
      <x:c r="N286" s="6" t="str">
        <x:v>CNF000285</x:v>
      </x:c>
      <x:c r="O286" s="6" t="str"/>
      <x:c r="P286" s="6" t="str">
        <x:v>Pending Verification</x:v>
      </x:c>
      <x:c r="Q286" s="6" t="str"/>
      <x:c r="R286" s="6" t="str"/>
      <x:c r="S286" s="6" t="str"/>
      <x:c r="T286" s="6" t="str"/>
      <x:c r="U286" s="6" t="str"/>
      <x:c r="V286" s="6" t="str">
        <x:v>Unresolved</x:v>
      </x:c>
      <x:c r="W286" s="12" t="str"/>
      <x:c r="X286" s="12" t="str"/>
      <x:c r="Y286" s="6" t="str"/>
      <x:c r="Z286" s="6" t="str"/>
      <x:c r="AA286" s="6" t="str">
        <x:v>Pending</x:v>
      </x:c>
      <x:c r="AB286" s="6" t="str"/>
      <x:c r="AC286" s="6" t="str"/>
      <x:c r="AD286" s="12" t="str"/>
    </x:row>
    <x:row r="287">
      <x:c r="A287" s="6" t="str">
        <x:v>SIR-000286</x:v>
      </x:c>
      <x:c r="B287" s="6" t="str">
        <x:v>SVC000286</x:v>
      </x:c>
      <x:c r="C287" s="6" t="str">
        <x:v>SVC000361</x:v>
      </x:c>
      <x:c r="D287" s="6" t="str">
        <x:v>Galaxy S 7 Active Charge Port Replacement</x:v>
      </x:c>
      <x:c r="E287" s="6" t="str">
        <x:v>Galaxy S 7 Active Charge Port Replacement</x:v>
      </x:c>
      <x:c r="F287" s="6" t="str">
        <x:v>galaxy s 7 active charge port replacement</x:v>
      </x:c>
      <x:c r="G287" s="6" t="str">
        <x:v>Repair</x:v>
      </x:c>
      <x:c r="H287" s="6" t="str">
        <x:v>Miscellaneous Repair</x:v>
      </x:c>
      <x:c r="I287" s="6" t="str">
        <x:v>Phone</x:v>
      </x:c>
      <x:c r="J287" s="6" t="str">
        <x:v>Galaxy S 7 Active Charge Port Replacement</x:v>
      </x:c>
      <x:c r="K287" s="6" t="str">
        <x:v>Nocturnix_Master_Services_Catalog_v1.xlsx</x:v>
      </x:c>
      <x:c r="L287" s="6" t="str">
        <x:v>01 - Master Services</x:v>
      </x:c>
      <x:c r="M287" s="6" t="n">
        <x:v>326</x:v>
      </x:c>
      <x:c r="N287" s="6" t="str">
        <x:v>CNF000286</x:v>
      </x:c>
      <x:c r="O287" s="6" t="str"/>
      <x:c r="P287" s="6" t="str">
        <x:v>Pending Verification</x:v>
      </x:c>
      <x:c r="Q287" s="6" t="str"/>
      <x:c r="R287" s="6" t="str"/>
      <x:c r="S287" s="6" t="str"/>
      <x:c r="T287" s="6" t="str"/>
      <x:c r="U287" s="6" t="str"/>
      <x:c r="V287" s="6" t="str">
        <x:v>Unresolved</x:v>
      </x:c>
      <x:c r="W287" s="12" t="str"/>
      <x:c r="X287" s="12" t="str"/>
      <x:c r="Y287" s="6" t="str"/>
      <x:c r="Z287" s="6" t="str"/>
      <x:c r="AA287" s="6" t="str">
        <x:v>Pending</x:v>
      </x:c>
      <x:c r="AB287" s="6" t="str"/>
      <x:c r="AC287" s="6" t="str"/>
      <x:c r="AD287" s="12" t="str"/>
    </x:row>
    <x:row r="288">
      <x:c r="A288" s="6" t="str">
        <x:v>SIR-000287</x:v>
      </x:c>
      <x:c r="B288" s="6" t="str">
        <x:v>SVC000287</x:v>
      </x:c>
      <x:c r="C288" s="6" t="str">
        <x:v>SVC000362</x:v>
      </x:c>
      <x:c r="D288" s="6" t="str">
        <x:v>Galaxy S 8 Charge Port Replacement</x:v>
      </x:c>
      <x:c r="E288" s="6" t="str">
        <x:v>Galaxy S 8 Charge Port Replacement</x:v>
      </x:c>
      <x:c r="F288" s="6" t="str">
        <x:v>galaxy s 8 charge port replacement</x:v>
      </x:c>
      <x:c r="G288" s="6" t="str">
        <x:v>Repair</x:v>
      </x:c>
      <x:c r="H288" s="6" t="str">
        <x:v>Miscellaneous Repair</x:v>
      </x:c>
      <x:c r="I288" s="6" t="str">
        <x:v>Phone</x:v>
      </x:c>
      <x:c r="J288" s="6" t="str">
        <x:v>Galaxy S 8 Charge Port Replacement</x:v>
      </x:c>
      <x:c r="K288" s="6" t="str">
        <x:v>Nocturnix_Master_Services_Catalog_v1.xlsx</x:v>
      </x:c>
      <x:c r="L288" s="6" t="str">
        <x:v>01 - Master Services</x:v>
      </x:c>
      <x:c r="M288" s="6" t="n">
        <x:v>327</x:v>
      </x:c>
      <x:c r="N288" s="6" t="str">
        <x:v>CNF000287</x:v>
      </x:c>
      <x:c r="O288" s="6" t="str"/>
      <x:c r="P288" s="6" t="str">
        <x:v>Pending Verification</x:v>
      </x:c>
      <x:c r="Q288" s="6" t="str"/>
      <x:c r="R288" s="6" t="str"/>
      <x:c r="S288" s="6" t="str"/>
      <x:c r="T288" s="6" t="str"/>
      <x:c r="U288" s="6" t="str"/>
      <x:c r="V288" s="6" t="str">
        <x:v>Unresolved</x:v>
      </x:c>
      <x:c r="W288" s="12" t="str"/>
      <x:c r="X288" s="12" t="str"/>
      <x:c r="Y288" s="6" t="str"/>
      <x:c r="Z288" s="6" t="str"/>
      <x:c r="AA288" s="6" t="str">
        <x:v>Pending</x:v>
      </x:c>
      <x:c r="AB288" s="6" t="str"/>
      <x:c r="AC288" s="6" t="str"/>
      <x:c r="AD288" s="12" t="str"/>
    </x:row>
    <x:row r="289">
      <x:c r="A289" s="6" t="str">
        <x:v>SIR-000288</x:v>
      </x:c>
      <x:c r="B289" s="6" t="str">
        <x:v>SVC000288</x:v>
      </x:c>
      <x:c r="C289" s="6" t="str">
        <x:v>SVC000363</x:v>
      </x:c>
      <x:c r="D289" s="6" t="str">
        <x:v>Galaxy S 8 Plus Charge Port Replacement</x:v>
      </x:c>
      <x:c r="E289" s="6" t="str">
        <x:v>Galaxy S 8 Plus Charge Port Replacement</x:v>
      </x:c>
      <x:c r="F289" s="6" t="str">
        <x:v>galaxy s 8 plus charge port replacement</x:v>
      </x:c>
      <x:c r="G289" s="6" t="str">
        <x:v>Repair</x:v>
      </x:c>
      <x:c r="H289" s="6" t="str">
        <x:v>Miscellaneous Repair</x:v>
      </x:c>
      <x:c r="I289" s="6" t="str">
        <x:v>Phone</x:v>
      </x:c>
      <x:c r="J289" s="6" t="str">
        <x:v>Galaxy S 8 Plus Charge Port Replacement</x:v>
      </x:c>
      <x:c r="K289" s="6" t="str">
        <x:v>Nocturnix_Master_Services_Catalog_v1.xlsx</x:v>
      </x:c>
      <x:c r="L289" s="6" t="str">
        <x:v>01 - Master Services</x:v>
      </x:c>
      <x:c r="M289" s="6" t="n">
        <x:v>328</x:v>
      </x:c>
      <x:c r="N289" s="6" t="str">
        <x:v>CNF000288</x:v>
      </x:c>
      <x:c r="O289" s="6" t="str"/>
      <x:c r="P289" s="6" t="str">
        <x:v>Pending Verification</x:v>
      </x:c>
      <x:c r="Q289" s="6" t="str"/>
      <x:c r="R289" s="6" t="str"/>
      <x:c r="S289" s="6" t="str"/>
      <x:c r="T289" s="6" t="str"/>
      <x:c r="U289" s="6" t="str"/>
      <x:c r="V289" s="6" t="str">
        <x:v>Unresolved</x:v>
      </x:c>
      <x:c r="W289" s="12" t="str"/>
      <x:c r="X289" s="12" t="str"/>
      <x:c r="Y289" s="6" t="str"/>
      <x:c r="Z289" s="6" t="str"/>
      <x:c r="AA289" s="6" t="str">
        <x:v>Pending</x:v>
      </x:c>
      <x:c r="AB289" s="6" t="str"/>
      <x:c r="AC289" s="6" t="str"/>
      <x:c r="AD289" s="12" t="str"/>
    </x:row>
    <x:row r="290">
      <x:c r="A290" s="6" t="str">
        <x:v>SIR-000289</x:v>
      </x:c>
      <x:c r="B290" s="6" t="str">
        <x:v>SVC000289</x:v>
      </x:c>
      <x:c r="C290" s="6" t="str">
        <x:v>SVC000364</x:v>
      </x:c>
      <x:c r="D290" s="6" t="str">
        <x:v>Galaxy S 8 Active Charge Port Replacement</x:v>
      </x:c>
      <x:c r="E290" s="6" t="str">
        <x:v>Galaxy S 8 Active Charge Port Replacement</x:v>
      </x:c>
      <x:c r="F290" s="6" t="str">
        <x:v>galaxy s 8 active charge port replacement</x:v>
      </x:c>
      <x:c r="G290" s="6" t="str">
        <x:v>Repair</x:v>
      </x:c>
      <x:c r="H290" s="6" t="str">
        <x:v>Miscellaneous Repair</x:v>
      </x:c>
      <x:c r="I290" s="6" t="str">
        <x:v>Phone</x:v>
      </x:c>
      <x:c r="J290" s="6" t="str">
        <x:v>Galaxy S 8 Active Charge Port Replacement</x:v>
      </x:c>
      <x:c r="K290" s="6" t="str">
        <x:v>Nocturnix_Master_Services_Catalog_v1.xlsx</x:v>
      </x:c>
      <x:c r="L290" s="6" t="str">
        <x:v>01 - Master Services</x:v>
      </x:c>
      <x:c r="M290" s="6" t="n">
        <x:v>329</x:v>
      </x:c>
      <x:c r="N290" s="6" t="str">
        <x:v>CNF000289</x:v>
      </x:c>
      <x:c r="O290" s="6" t="str"/>
      <x:c r="P290" s="6" t="str">
        <x:v>Pending Verification</x:v>
      </x:c>
      <x:c r="Q290" s="6" t="str"/>
      <x:c r="R290" s="6" t="str"/>
      <x:c r="S290" s="6" t="str"/>
      <x:c r="T290" s="6" t="str"/>
      <x:c r="U290" s="6" t="str"/>
      <x:c r="V290" s="6" t="str">
        <x:v>Unresolved</x:v>
      </x:c>
      <x:c r="W290" s="12" t="str"/>
      <x:c r="X290" s="12" t="str"/>
      <x:c r="Y290" s="6" t="str"/>
      <x:c r="Z290" s="6" t="str"/>
      <x:c r="AA290" s="6" t="str">
        <x:v>Pending</x:v>
      </x:c>
      <x:c r="AB290" s="6" t="str"/>
      <x:c r="AC290" s="6" t="str"/>
      <x:c r="AD290" s="12" t="str"/>
    </x:row>
    <x:row r="291">
      <x:c r="A291" s="6" t="str">
        <x:v>SIR-000290</x:v>
      </x:c>
      <x:c r="B291" s="6" t="str">
        <x:v>SVC000290</x:v>
      </x:c>
      <x:c r="C291" s="6" t="str">
        <x:v>SVC000365</x:v>
      </x:c>
      <x:c r="D291" s="6" t="str">
        <x:v>Galaxy S 9 Charge Port Replacement</x:v>
      </x:c>
      <x:c r="E291" s="6" t="str">
        <x:v>Galaxy S 9 Charge Port Replacement</x:v>
      </x:c>
      <x:c r="F291" s="6" t="str">
        <x:v>galaxy s 9 charge port replacement</x:v>
      </x:c>
      <x:c r="G291" s="6" t="str">
        <x:v>Repair</x:v>
      </x:c>
      <x:c r="H291" s="6" t="str">
        <x:v>Miscellaneous Repair</x:v>
      </x:c>
      <x:c r="I291" s="6" t="str">
        <x:v>Phone</x:v>
      </x:c>
      <x:c r="J291" s="6" t="str">
        <x:v>Galaxy S 9 Charge Port Replacement</x:v>
      </x:c>
      <x:c r="K291" s="6" t="str">
        <x:v>Nocturnix_Master_Services_Catalog_v1.xlsx</x:v>
      </x:c>
      <x:c r="L291" s="6" t="str">
        <x:v>01 - Master Services</x:v>
      </x:c>
      <x:c r="M291" s="6" t="n">
        <x:v>330</x:v>
      </x:c>
      <x:c r="N291" s="6" t="str">
        <x:v>CNF000290</x:v>
      </x:c>
      <x:c r="O291" s="6" t="str"/>
      <x:c r="P291" s="6" t="str">
        <x:v>Pending Verification</x:v>
      </x:c>
      <x:c r="Q291" s="6" t="str"/>
      <x:c r="R291" s="6" t="str"/>
      <x:c r="S291" s="6" t="str"/>
      <x:c r="T291" s="6" t="str"/>
      <x:c r="U291" s="6" t="str"/>
      <x:c r="V291" s="6" t="str">
        <x:v>Unresolved</x:v>
      </x:c>
      <x:c r="W291" s="12" t="str"/>
      <x:c r="X291" s="12" t="str"/>
      <x:c r="Y291" s="6" t="str"/>
      <x:c r="Z291" s="6" t="str"/>
      <x:c r="AA291" s="6" t="str">
        <x:v>Pending</x:v>
      </x:c>
      <x:c r="AB291" s="6" t="str"/>
      <x:c r="AC291" s="6" t="str"/>
      <x:c r="AD291" s="12" t="str"/>
    </x:row>
    <x:row r="292">
      <x:c r="A292" s="6" t="str">
        <x:v>SIR-000291</x:v>
      </x:c>
      <x:c r="B292" s="6" t="str">
        <x:v>SVC000291</x:v>
      </x:c>
      <x:c r="C292" s="6" t="str">
        <x:v>SVC000366</x:v>
      </x:c>
      <x:c r="D292" s="6" t="str">
        <x:v>Galaxy S 9 Plus Charge Port Replacement</x:v>
      </x:c>
      <x:c r="E292" s="6" t="str">
        <x:v>Galaxy S 9 Plus Charge Port Replacement</x:v>
      </x:c>
      <x:c r="F292" s="6" t="str">
        <x:v>galaxy s 9 plus charge port replacement</x:v>
      </x:c>
      <x:c r="G292" s="6" t="str">
        <x:v>Repair</x:v>
      </x:c>
      <x:c r="H292" s="6" t="str">
        <x:v>Miscellaneous Repair</x:v>
      </x:c>
      <x:c r="I292" s="6" t="str">
        <x:v>Phone</x:v>
      </x:c>
      <x:c r="J292" s="6" t="str">
        <x:v>Galaxy S 9 Plus Charge Port Replacement</x:v>
      </x:c>
      <x:c r="K292" s="6" t="str">
        <x:v>Nocturnix_Master_Services_Catalog_v1.xlsx</x:v>
      </x:c>
      <x:c r="L292" s="6" t="str">
        <x:v>01 - Master Services</x:v>
      </x:c>
      <x:c r="M292" s="6" t="n">
        <x:v>331</x:v>
      </x:c>
      <x:c r="N292" s="6" t="str">
        <x:v>CNF000291</x:v>
      </x:c>
      <x:c r="O292" s="6" t="str"/>
      <x:c r="P292" s="6" t="str">
        <x:v>Pending Verification</x:v>
      </x:c>
      <x:c r="Q292" s="6" t="str"/>
      <x:c r="R292" s="6" t="str"/>
      <x:c r="S292" s="6" t="str"/>
      <x:c r="T292" s="6" t="str"/>
      <x:c r="U292" s="6" t="str"/>
      <x:c r="V292" s="6" t="str">
        <x:v>Unresolved</x:v>
      </x:c>
      <x:c r="W292" s="12" t="str"/>
      <x:c r="X292" s="12" t="str"/>
      <x:c r="Y292" s="6" t="str"/>
      <x:c r="Z292" s="6" t="str"/>
      <x:c r="AA292" s="6" t="str">
        <x:v>Pending</x:v>
      </x:c>
      <x:c r="AB292" s="6" t="str"/>
      <x:c r="AC292" s="6" t="str"/>
      <x:c r="AD292" s="12" t="str"/>
    </x:row>
    <x:row r="293">
      <x:c r="A293" s="6" t="str">
        <x:v>SIR-000292</x:v>
      </x:c>
      <x:c r="B293" s="6" t="str">
        <x:v>SVC000292</x:v>
      </x:c>
      <x:c r="C293" s="6" t="str">
        <x:v>SVC000367</x:v>
      </x:c>
      <x:c r="D293" s="6" t="str">
        <x:v>Galaxy S 10 Charge Port Replacement</x:v>
      </x:c>
      <x:c r="E293" s="6" t="str">
        <x:v>Galaxy S 10 Charge Port Replacement</x:v>
      </x:c>
      <x:c r="F293" s="6" t="str">
        <x:v>galaxy s 10 charge port replacement</x:v>
      </x:c>
      <x:c r="G293" s="6" t="str">
        <x:v>Repair</x:v>
      </x:c>
      <x:c r="H293" s="6" t="str">
        <x:v>Miscellaneous Repair</x:v>
      </x:c>
      <x:c r="I293" s="6" t="str">
        <x:v>Phone</x:v>
      </x:c>
      <x:c r="J293" s="6" t="str">
        <x:v>Galaxy S 10 Charge Port Replacement</x:v>
      </x:c>
      <x:c r="K293" s="6" t="str">
        <x:v>Nocturnix_Master_Services_Catalog_v1.xlsx</x:v>
      </x:c>
      <x:c r="L293" s="6" t="str">
        <x:v>01 - Master Services</x:v>
      </x:c>
      <x:c r="M293" s="6" t="n">
        <x:v>332</x:v>
      </x:c>
      <x:c r="N293" s="6" t="str">
        <x:v>CNF000292</x:v>
      </x:c>
      <x:c r="O293" s="6" t="str"/>
      <x:c r="P293" s="6" t="str">
        <x:v>Pending Verification</x:v>
      </x:c>
      <x:c r="Q293" s="6" t="str"/>
      <x:c r="R293" s="6" t="str"/>
      <x:c r="S293" s="6" t="str"/>
      <x:c r="T293" s="6" t="str"/>
      <x:c r="U293" s="6" t="str"/>
      <x:c r="V293" s="6" t="str">
        <x:v>Unresolved</x:v>
      </x:c>
      <x:c r="W293" s="12" t="str"/>
      <x:c r="X293" s="12" t="str"/>
      <x:c r="Y293" s="6" t="str"/>
      <x:c r="Z293" s="6" t="str"/>
      <x:c r="AA293" s="6" t="str">
        <x:v>Pending</x:v>
      </x:c>
      <x:c r="AB293" s="6" t="str"/>
      <x:c r="AC293" s="6" t="str"/>
      <x:c r="AD293" s="12" t="str"/>
    </x:row>
    <x:row r="294">
      <x:c r="A294" s="6" t="str">
        <x:v>SIR-000293</x:v>
      </x:c>
      <x:c r="B294" s="6" t="str">
        <x:v>SVC000293</x:v>
      </x:c>
      <x:c r="C294" s="6" t="str">
        <x:v>SVC000368</x:v>
      </x:c>
      <x:c r="D294" s="6" t="str">
        <x:v>Galaxy S 10 Plus Charge Port Replacement</x:v>
      </x:c>
      <x:c r="E294" s="6" t="str">
        <x:v>Galaxy S 10 Plus Charge Port Replacement</x:v>
      </x:c>
      <x:c r="F294" s="6" t="str">
        <x:v>galaxy s 10 plus charge port replacement</x:v>
      </x:c>
      <x:c r="G294" s="6" t="str">
        <x:v>Repair</x:v>
      </x:c>
      <x:c r="H294" s="6" t="str">
        <x:v>Miscellaneous Repair</x:v>
      </x:c>
      <x:c r="I294" s="6" t="str">
        <x:v>Phone</x:v>
      </x:c>
      <x:c r="J294" s="6" t="str">
        <x:v>Galaxy S 10 Plus Charge Port Replacement</x:v>
      </x:c>
      <x:c r="K294" s="6" t="str">
        <x:v>Nocturnix_Master_Services_Catalog_v1.xlsx</x:v>
      </x:c>
      <x:c r="L294" s="6" t="str">
        <x:v>01 - Master Services</x:v>
      </x:c>
      <x:c r="M294" s="6" t="n">
        <x:v>333</x:v>
      </x:c>
      <x:c r="N294" s="6" t="str">
        <x:v>CNF000293</x:v>
      </x:c>
      <x:c r="O294" s="6" t="str"/>
      <x:c r="P294" s="6" t="str">
        <x:v>Pending Verification</x:v>
      </x:c>
      <x:c r="Q294" s="6" t="str"/>
      <x:c r="R294" s="6" t="str"/>
      <x:c r="S294" s="6" t="str"/>
      <x:c r="T294" s="6" t="str"/>
      <x:c r="U294" s="6" t="str"/>
      <x:c r="V294" s="6" t="str">
        <x:v>Unresolved</x:v>
      </x:c>
      <x:c r="W294" s="12" t="str"/>
      <x:c r="X294" s="12" t="str"/>
      <x:c r="Y294" s="6" t="str"/>
      <x:c r="Z294" s="6" t="str"/>
      <x:c r="AA294" s="6" t="str">
        <x:v>Pending</x:v>
      </x:c>
      <x:c r="AB294" s="6" t="str"/>
      <x:c r="AC294" s="6" t="str"/>
      <x:c r="AD294" s="12" t="str"/>
    </x:row>
    <x:row r="295">
      <x:c r="A295" s="6" t="str">
        <x:v>SIR-000294</x:v>
      </x:c>
      <x:c r="B295" s="6" t="str">
        <x:v>SVC000294</x:v>
      </x:c>
      <x:c r="C295" s="6" t="str">
        <x:v>SVC000369</x:v>
      </x:c>
      <x:c r="D295" s="6" t="str">
        <x:v>Galaxy S 10 E Charge Port Replacement</x:v>
      </x:c>
      <x:c r="E295" s="6" t="str">
        <x:v>Galaxy S 10 E Charge Port Replacement</x:v>
      </x:c>
      <x:c r="F295" s="6" t="str">
        <x:v>galaxy s 10 e charge port replacement</x:v>
      </x:c>
      <x:c r="G295" s="6" t="str">
        <x:v>Repair</x:v>
      </x:c>
      <x:c r="H295" s="6" t="str">
        <x:v>Miscellaneous Repair</x:v>
      </x:c>
      <x:c r="I295" s="6" t="str">
        <x:v>Phone</x:v>
      </x:c>
      <x:c r="J295" s="6" t="str">
        <x:v>Galaxy S 10 E Charge Port Replacement</x:v>
      </x:c>
      <x:c r="K295" s="6" t="str">
        <x:v>Nocturnix_Master_Services_Catalog_v1.xlsx</x:v>
      </x:c>
      <x:c r="L295" s="6" t="str">
        <x:v>01 - Master Services</x:v>
      </x:c>
      <x:c r="M295" s="6" t="n">
        <x:v>334</x:v>
      </x:c>
      <x:c r="N295" s="6" t="str">
        <x:v>CNF000294</x:v>
      </x:c>
      <x:c r="O295" s="6" t="str"/>
      <x:c r="P295" s="6" t="str">
        <x:v>Pending Verification</x:v>
      </x:c>
      <x:c r="Q295" s="6" t="str"/>
      <x:c r="R295" s="6" t="str"/>
      <x:c r="S295" s="6" t="str"/>
      <x:c r="T295" s="6" t="str"/>
      <x:c r="U295" s="6" t="str"/>
      <x:c r="V295" s="6" t="str">
        <x:v>Unresolved</x:v>
      </x:c>
      <x:c r="W295" s="12" t="str"/>
      <x:c r="X295" s="12" t="str"/>
      <x:c r="Y295" s="6" t="str"/>
      <x:c r="Z295" s="6" t="str"/>
      <x:c r="AA295" s="6" t="str">
        <x:v>Pending</x:v>
      </x:c>
      <x:c r="AB295" s="6" t="str"/>
      <x:c r="AC295" s="6" t="str"/>
      <x:c r="AD295" s="12" t="str"/>
    </x:row>
    <x:row r="296">
      <x:c r="A296" s="6" t="str">
        <x:v>SIR-000295</x:v>
      </x:c>
      <x:c r="B296" s="6" t="str">
        <x:v>SVC000295</x:v>
      </x:c>
      <x:c r="C296" s="6" t="str">
        <x:v>SVC000370</x:v>
      </x:c>
      <x:c r="D296" s="6" t="str">
        <x:v>Galaxy Note 8 Charge Port Replacement</x:v>
      </x:c>
      <x:c r="E296" s="6" t="str">
        <x:v>Galaxy Note 8 Charge Port Replacement</x:v>
      </x:c>
      <x:c r="F296" s="6" t="str">
        <x:v>galaxy note 8 charge port replacement</x:v>
      </x:c>
      <x:c r="G296" s="6" t="str">
        <x:v>Repair</x:v>
      </x:c>
      <x:c r="H296" s="6" t="str">
        <x:v>Miscellaneous Repair</x:v>
      </x:c>
      <x:c r="I296" s="6" t="str">
        <x:v>Phone</x:v>
      </x:c>
      <x:c r="J296" s="6" t="str">
        <x:v>Galaxy Note 8 Charge Port Replacement</x:v>
      </x:c>
      <x:c r="K296" s="6" t="str">
        <x:v>Nocturnix_Master_Services_Catalog_v1.xlsx</x:v>
      </x:c>
      <x:c r="L296" s="6" t="str">
        <x:v>01 - Master Services</x:v>
      </x:c>
      <x:c r="M296" s="6" t="n">
        <x:v>335</x:v>
      </x:c>
      <x:c r="N296" s="6" t="str">
        <x:v>CNF000295</x:v>
      </x:c>
      <x:c r="O296" s="6" t="str"/>
      <x:c r="P296" s="6" t="str">
        <x:v>Pending Verification</x:v>
      </x:c>
      <x:c r="Q296" s="6" t="str"/>
      <x:c r="R296" s="6" t="str"/>
      <x:c r="S296" s="6" t="str"/>
      <x:c r="T296" s="6" t="str"/>
      <x:c r="U296" s="6" t="str"/>
      <x:c r="V296" s="6" t="str">
        <x:v>Unresolved</x:v>
      </x:c>
      <x:c r="W296" s="12" t="str"/>
      <x:c r="X296" s="12" t="str"/>
      <x:c r="Y296" s="6" t="str"/>
      <x:c r="Z296" s="6" t="str"/>
      <x:c r="AA296" s="6" t="str">
        <x:v>Pending</x:v>
      </x:c>
      <x:c r="AB296" s="6" t="str"/>
      <x:c r="AC296" s="6" t="str"/>
      <x:c r="AD296" s="12" t="str"/>
    </x:row>
    <x:row r="297">
      <x:c r="A297" s="6" t="str">
        <x:v>SIR-000296</x:v>
      </x:c>
      <x:c r="B297" s="6" t="str">
        <x:v>SVC000296</x:v>
      </x:c>
      <x:c r="C297" s="6" t="str">
        <x:v>SVC000371</x:v>
      </x:c>
      <x:c r="D297" s="6" t="str">
        <x:v>Galaxy Note 9 Charge Port Replacement</x:v>
      </x:c>
      <x:c r="E297" s="6" t="str">
        <x:v>Galaxy Note 9 Charge Port Replacement</x:v>
      </x:c>
      <x:c r="F297" s="6" t="str">
        <x:v>galaxy note 9 charge port replacement</x:v>
      </x:c>
      <x:c r="G297" s="6" t="str">
        <x:v>Repair</x:v>
      </x:c>
      <x:c r="H297" s="6" t="str">
        <x:v>Miscellaneous Repair</x:v>
      </x:c>
      <x:c r="I297" s="6" t="str">
        <x:v>Phone</x:v>
      </x:c>
      <x:c r="J297" s="6" t="str">
        <x:v>Galaxy Note 9 Charge Port Replacement</x:v>
      </x:c>
      <x:c r="K297" s="6" t="str">
        <x:v>Nocturnix_Master_Services_Catalog_v1.xlsx</x:v>
      </x:c>
      <x:c r="L297" s="6" t="str">
        <x:v>01 - Master Services</x:v>
      </x:c>
      <x:c r="M297" s="6" t="n">
        <x:v>336</x:v>
      </x:c>
      <x:c r="N297" s="6" t="str">
        <x:v>CNF000296</x:v>
      </x:c>
      <x:c r="O297" s="6" t="str"/>
      <x:c r="P297" s="6" t="str">
        <x:v>Pending Verification</x:v>
      </x:c>
      <x:c r="Q297" s="6" t="str"/>
      <x:c r="R297" s="6" t="str"/>
      <x:c r="S297" s="6" t="str"/>
      <x:c r="T297" s="6" t="str"/>
      <x:c r="U297" s="6" t="str"/>
      <x:c r="V297" s="6" t="str">
        <x:v>Unresolved</x:v>
      </x:c>
      <x:c r="W297" s="12" t="str"/>
      <x:c r="X297" s="12" t="str"/>
      <x:c r="Y297" s="6" t="str"/>
      <x:c r="Z297" s="6" t="str"/>
      <x:c r="AA297" s="6" t="str">
        <x:v>Pending</x:v>
      </x:c>
      <x:c r="AB297" s="6" t="str"/>
      <x:c r="AC297" s="6" t="str"/>
      <x:c r="AD297" s="12" t="str"/>
    </x:row>
    <x:row r="298">
      <x:c r="A298" s="6" t="str">
        <x:v>SIR-000297</x:v>
      </x:c>
      <x:c r="B298" s="6" t="str">
        <x:v>SVC000297</x:v>
      </x:c>
      <x:c r="C298" s="6" t="str">
        <x:v>SVC000372</x:v>
      </x:c>
      <x:c r="D298" s="6" t="str">
        <x:v>Galaxy Note 10 Plus Charge Port Replacement</x:v>
      </x:c>
      <x:c r="E298" s="6" t="str">
        <x:v>Galaxy Note 10 Plus Charge Port Replacement</x:v>
      </x:c>
      <x:c r="F298" s="6" t="str">
        <x:v>galaxy note 10 plus charge port replacement</x:v>
      </x:c>
      <x:c r="G298" s="6" t="str">
        <x:v>Repair</x:v>
      </x:c>
      <x:c r="H298" s="6" t="str">
        <x:v>Miscellaneous Repair</x:v>
      </x:c>
      <x:c r="I298" s="6" t="str">
        <x:v>Phone</x:v>
      </x:c>
      <x:c r="J298" s="6" t="str">
        <x:v>Galaxy Note 10 Plus Charge Port Replacement</x:v>
      </x:c>
      <x:c r="K298" s="6" t="str">
        <x:v>Nocturnix_Master_Services_Catalog_v1.xlsx</x:v>
      </x:c>
      <x:c r="L298" s="6" t="str">
        <x:v>01 - Master Services</x:v>
      </x:c>
      <x:c r="M298" s="6" t="n">
        <x:v>337</x:v>
      </x:c>
      <x:c r="N298" s="6" t="str">
        <x:v>CNF000297</x:v>
      </x:c>
      <x:c r="O298" s="6" t="str"/>
      <x:c r="P298" s="6" t="str">
        <x:v>Pending Verification</x:v>
      </x:c>
      <x:c r="Q298" s="6" t="str"/>
      <x:c r="R298" s="6" t="str"/>
      <x:c r="S298" s="6" t="str"/>
      <x:c r="T298" s="6" t="str"/>
      <x:c r="U298" s="6" t="str"/>
      <x:c r="V298" s="6" t="str">
        <x:v>Unresolved</x:v>
      </x:c>
      <x:c r="W298" s="12" t="str"/>
      <x:c r="X298" s="12" t="str"/>
      <x:c r="Y298" s="6" t="str"/>
      <x:c r="Z298" s="6" t="str"/>
      <x:c r="AA298" s="6" t="str">
        <x:v>Pending</x:v>
      </x:c>
      <x:c r="AB298" s="6" t="str"/>
      <x:c r="AC298" s="6" t="str"/>
      <x:c r="AD298" s="12" t="str"/>
    </x:row>
    <x:row r="299">
      <x:c r="A299" s="6" t="str">
        <x:v>SIR-000298</x:v>
      </x:c>
      <x:c r="B299" s="6" t="str">
        <x:v>SVC000298</x:v>
      </x:c>
      <x:c r="C299" s="6" t="str">
        <x:v>SVC000373</x:v>
      </x:c>
      <x:c r="D299" s="6" t="str">
        <x:v>Galaxy S 20 Charge Port Replacement</x:v>
      </x:c>
      <x:c r="E299" s="6" t="str">
        <x:v>Galaxy S 20 Charge Port Replacement</x:v>
      </x:c>
      <x:c r="F299" s="6" t="str">
        <x:v>galaxy s 20 charge port replacement</x:v>
      </x:c>
      <x:c r="G299" s="6" t="str">
        <x:v>Repair</x:v>
      </x:c>
      <x:c r="H299" s="6" t="str">
        <x:v>Miscellaneous Repair</x:v>
      </x:c>
      <x:c r="I299" s="6" t="str">
        <x:v>Phone</x:v>
      </x:c>
      <x:c r="J299" s="6" t="str">
        <x:v>Galaxy S 20 Charge Port Replacement</x:v>
      </x:c>
      <x:c r="K299" s="6" t="str">
        <x:v>Nocturnix_Master_Services_Catalog_v1.xlsx</x:v>
      </x:c>
      <x:c r="L299" s="6" t="str">
        <x:v>01 - Master Services</x:v>
      </x:c>
      <x:c r="M299" s="6" t="n">
        <x:v>338</x:v>
      </x:c>
      <x:c r="N299" s="6" t="str">
        <x:v>CNF000298</x:v>
      </x:c>
      <x:c r="O299" s="6" t="str"/>
      <x:c r="P299" s="6" t="str">
        <x:v>Pending Verification</x:v>
      </x:c>
      <x:c r="Q299" s="6" t="str"/>
      <x:c r="R299" s="6" t="str"/>
      <x:c r="S299" s="6" t="str"/>
      <x:c r="T299" s="6" t="str"/>
      <x:c r="U299" s="6" t="str"/>
      <x:c r="V299" s="6" t="str">
        <x:v>Unresolved</x:v>
      </x:c>
      <x:c r="W299" s="12" t="str"/>
      <x:c r="X299" s="12" t="str"/>
      <x:c r="Y299" s="6" t="str"/>
      <x:c r="Z299" s="6" t="str"/>
      <x:c r="AA299" s="6" t="str">
        <x:v>Pending</x:v>
      </x:c>
      <x:c r="AB299" s="6" t="str"/>
      <x:c r="AC299" s="6" t="str"/>
      <x:c r="AD299" s="12" t="str"/>
    </x:row>
    <x:row r="300">
      <x:c r="A300" s="6" t="str">
        <x:v>SIR-000299</x:v>
      </x:c>
      <x:c r="B300" s="6" t="str">
        <x:v>SVC000299</x:v>
      </x:c>
      <x:c r="C300" s="6" t="str">
        <x:v>SVC000374</x:v>
      </x:c>
      <x:c r="D300" s="6" t="str">
        <x:v>Galaxy S 20 Plus Charge Port Replacement</x:v>
      </x:c>
      <x:c r="E300" s="6" t="str">
        <x:v>Galaxy S 20 Plus Charge Port Replacement</x:v>
      </x:c>
      <x:c r="F300" s="6" t="str">
        <x:v>galaxy s 20 plus charge port replacement</x:v>
      </x:c>
      <x:c r="G300" s="6" t="str">
        <x:v>Repair</x:v>
      </x:c>
      <x:c r="H300" s="6" t="str">
        <x:v>Miscellaneous Repair</x:v>
      </x:c>
      <x:c r="I300" s="6" t="str">
        <x:v>Phone</x:v>
      </x:c>
      <x:c r="J300" s="6" t="str">
        <x:v>Galaxy S 20 Plus Charge Port Replacement</x:v>
      </x:c>
      <x:c r="K300" s="6" t="str">
        <x:v>Nocturnix_Master_Services_Catalog_v1.xlsx</x:v>
      </x:c>
      <x:c r="L300" s="6" t="str">
        <x:v>01 - Master Services</x:v>
      </x:c>
      <x:c r="M300" s="6" t="n">
        <x:v>339</x:v>
      </x:c>
      <x:c r="N300" s="6" t="str">
        <x:v>CNF000299</x:v>
      </x:c>
      <x:c r="O300" s="6" t="str"/>
      <x:c r="P300" s="6" t="str">
        <x:v>Pending Verification</x:v>
      </x:c>
      <x:c r="Q300" s="6" t="str"/>
      <x:c r="R300" s="6" t="str"/>
      <x:c r="S300" s="6" t="str"/>
      <x:c r="T300" s="6" t="str"/>
      <x:c r="U300" s="6" t="str"/>
      <x:c r="V300" s="6" t="str">
        <x:v>Unresolved</x:v>
      </x:c>
      <x:c r="W300" s="12" t="str"/>
      <x:c r="X300" s="12" t="str"/>
      <x:c r="Y300" s="6" t="str"/>
      <x:c r="Z300" s="6" t="str"/>
      <x:c r="AA300" s="6" t="str">
        <x:v>Pending</x:v>
      </x:c>
      <x:c r="AB300" s="6" t="str"/>
      <x:c r="AC300" s="6" t="str"/>
      <x:c r="AD300" s="12" t="str"/>
    </x:row>
    <x:row r="301">
      <x:c r="A301" s="6" t="str">
        <x:v>SIR-000300</x:v>
      </x:c>
      <x:c r="B301" s="6" t="str">
        <x:v>SVC000300</x:v>
      </x:c>
      <x:c r="C301" s="6" t="str">
        <x:v>SVC000375</x:v>
      </x:c>
      <x:c r="D301" s="6" t="str">
        <x:v>Galaxy S 20 Ultra Charge Port Replacement</x:v>
      </x:c>
      <x:c r="E301" s="6" t="str">
        <x:v>Galaxy S 20 Ultra Charge Port Replacement</x:v>
      </x:c>
      <x:c r="F301" s="6" t="str">
        <x:v>galaxy s 20 ultra charge port replacement</x:v>
      </x:c>
      <x:c r="G301" s="6" t="str">
        <x:v>Repair</x:v>
      </x:c>
      <x:c r="H301" s="6" t="str">
        <x:v>Miscellaneous Repair</x:v>
      </x:c>
      <x:c r="I301" s="6" t="str">
        <x:v>Phone</x:v>
      </x:c>
      <x:c r="J301" s="6" t="str">
        <x:v>Galaxy S 20 Ultra Charge Port Replacement</x:v>
      </x:c>
      <x:c r="K301" s="6" t="str">
        <x:v>Nocturnix_Master_Services_Catalog_v1.xlsx</x:v>
      </x:c>
      <x:c r="L301" s="6" t="str">
        <x:v>01 - Master Services</x:v>
      </x:c>
      <x:c r="M301" s="6" t="n">
        <x:v>340</x:v>
      </x:c>
      <x:c r="N301" s="6" t="str">
        <x:v>CNF000300</x:v>
      </x:c>
      <x:c r="O301" s="6" t="str"/>
      <x:c r="P301" s="6" t="str">
        <x:v>Pending Verification</x:v>
      </x:c>
      <x:c r="Q301" s="6" t="str"/>
      <x:c r="R301" s="6" t="str"/>
      <x:c r="S301" s="6" t="str"/>
      <x:c r="T301" s="6" t="str"/>
      <x:c r="U301" s="6" t="str"/>
      <x:c r="V301" s="6" t="str">
        <x:v>Unresolved</x:v>
      </x:c>
      <x:c r="W301" s="12" t="str"/>
      <x:c r="X301" s="12" t="str"/>
      <x:c r="Y301" s="6" t="str"/>
      <x:c r="Z301" s="6" t="str"/>
      <x:c r="AA301" s="6" t="str">
        <x:v>Pending</x:v>
      </x:c>
      <x:c r="AB301" s="6" t="str"/>
      <x:c r="AC301" s="6" t="str"/>
      <x:c r="AD301" s="12" t="str"/>
    </x:row>
    <x:row r="302">
      <x:c r="A302" s="6" t="str">
        <x:v>SIR-000301</x:v>
      </x:c>
      <x:c r="B302" s="6" t="str">
        <x:v>SVC000301</x:v>
      </x:c>
      <x:c r="C302" s="6" t="str">
        <x:v>SVC000376</x:v>
      </x:c>
      <x:c r="D302" s="6" t="str">
        <x:v>Galaxy S 20 FE Charge Port Replacement</x:v>
      </x:c>
      <x:c r="E302" s="6" t="str">
        <x:v>Galaxy S 20 FE Charge Port Replacement</x:v>
      </x:c>
      <x:c r="F302" s="6" t="str">
        <x:v>galaxy s 20 fe charge port replacement</x:v>
      </x:c>
      <x:c r="G302" s="6" t="str">
        <x:v>Repair</x:v>
      </x:c>
      <x:c r="H302" s="6" t="str">
        <x:v>Miscellaneous Repair</x:v>
      </x:c>
      <x:c r="I302" s="6" t="str">
        <x:v>Phone</x:v>
      </x:c>
      <x:c r="J302" s="6" t="str">
        <x:v>Galaxy S 20 FE Charge Port Replacement</x:v>
      </x:c>
      <x:c r="K302" s="6" t="str">
        <x:v>Nocturnix_Master_Services_Catalog_v1.xlsx</x:v>
      </x:c>
      <x:c r="L302" s="6" t="str">
        <x:v>01 - Master Services</x:v>
      </x:c>
      <x:c r="M302" s="6" t="n">
        <x:v>341</x:v>
      </x:c>
      <x:c r="N302" s="6" t="str">
        <x:v>CNF000301</x:v>
      </x:c>
      <x:c r="O302" s="6" t="str"/>
      <x:c r="P302" s="6" t="str">
        <x:v>Pending Verification</x:v>
      </x:c>
      <x:c r="Q302" s="6" t="str"/>
      <x:c r="R302" s="6" t="str"/>
      <x:c r="S302" s="6" t="str"/>
      <x:c r="T302" s="6" t="str"/>
      <x:c r="U302" s="6" t="str"/>
      <x:c r="V302" s="6" t="str">
        <x:v>Unresolved</x:v>
      </x:c>
      <x:c r="W302" s="12" t="str"/>
      <x:c r="X302" s="12" t="str"/>
      <x:c r="Y302" s="6" t="str"/>
      <x:c r="Z302" s="6" t="str"/>
      <x:c r="AA302" s="6" t="str">
        <x:v>Pending</x:v>
      </x:c>
      <x:c r="AB302" s="6" t="str"/>
      <x:c r="AC302" s="6" t="str"/>
      <x:c r="AD302" s="12" t="str"/>
    </x:row>
    <x:row r="303">
      <x:c r="A303" s="6" t="str">
        <x:v>SIR-000302</x:v>
      </x:c>
      <x:c r="B303" s="6" t="str">
        <x:v>SVC000302</x:v>
      </x:c>
      <x:c r="C303" s="6" t="str">
        <x:v>SVC000377</x:v>
      </x:c>
      <x:c r="D303" s="6" t="str">
        <x:v>Galaxy S 21 Charge Port Replacement</x:v>
      </x:c>
      <x:c r="E303" s="6" t="str">
        <x:v>Galaxy S 21 Charge Port Replacement</x:v>
      </x:c>
      <x:c r="F303" s="6" t="str">
        <x:v>galaxy s 21 charge port replacement</x:v>
      </x:c>
      <x:c r="G303" s="6" t="str">
        <x:v>Repair</x:v>
      </x:c>
      <x:c r="H303" s="6" t="str">
        <x:v>Miscellaneous Repair</x:v>
      </x:c>
      <x:c r="I303" s="6" t="str">
        <x:v>Phone</x:v>
      </x:c>
      <x:c r="J303" s="6" t="str">
        <x:v>Galaxy S 21 Charge Port Replacement</x:v>
      </x:c>
      <x:c r="K303" s="6" t="str">
        <x:v>Nocturnix_Master_Services_Catalog_v1.xlsx</x:v>
      </x:c>
      <x:c r="L303" s="6" t="str">
        <x:v>01 - Master Services</x:v>
      </x:c>
      <x:c r="M303" s="6" t="n">
        <x:v>342</x:v>
      </x:c>
      <x:c r="N303" s="6" t="str">
        <x:v>CNF000302</x:v>
      </x:c>
      <x:c r="O303" s="6" t="str"/>
      <x:c r="P303" s="6" t="str">
        <x:v>Pending Verification</x:v>
      </x:c>
      <x:c r="Q303" s="6" t="str"/>
      <x:c r="R303" s="6" t="str"/>
      <x:c r="S303" s="6" t="str"/>
      <x:c r="T303" s="6" t="str"/>
      <x:c r="U303" s="6" t="str"/>
      <x:c r="V303" s="6" t="str">
        <x:v>Unresolved</x:v>
      </x:c>
      <x:c r="W303" s="12" t="str"/>
      <x:c r="X303" s="12" t="str"/>
      <x:c r="Y303" s="6" t="str"/>
      <x:c r="Z303" s="6" t="str"/>
      <x:c r="AA303" s="6" t="str">
        <x:v>Pending</x:v>
      </x:c>
      <x:c r="AB303" s="6" t="str"/>
      <x:c r="AC303" s="6" t="str"/>
      <x:c r="AD303" s="12" t="str"/>
    </x:row>
    <x:row r="304">
      <x:c r="A304" s="6" t="str">
        <x:v>SIR-000303</x:v>
      </x:c>
      <x:c r="B304" s="6" t="str">
        <x:v>SVC000303</x:v>
      </x:c>
      <x:c r="C304" s="6" t="str">
        <x:v>SVC000378</x:v>
      </x:c>
      <x:c r="D304" s="6" t="str">
        <x:v>Galaxy S 21 Plus Charge Port Replacement</x:v>
      </x:c>
      <x:c r="E304" s="6" t="str">
        <x:v>Galaxy S 21 Plus Charge Port Replacement</x:v>
      </x:c>
      <x:c r="F304" s="6" t="str">
        <x:v>galaxy s 21 plus charge port replacement</x:v>
      </x:c>
      <x:c r="G304" s="6" t="str">
        <x:v>Repair</x:v>
      </x:c>
      <x:c r="H304" s="6" t="str">
        <x:v>Miscellaneous Repair</x:v>
      </x:c>
      <x:c r="I304" s="6" t="str">
        <x:v>Phone</x:v>
      </x:c>
      <x:c r="J304" s="6" t="str">
        <x:v>Galaxy S 21 Plus Charge Port Replacement</x:v>
      </x:c>
      <x:c r="K304" s="6" t="str">
        <x:v>Nocturnix_Master_Services_Catalog_v1.xlsx</x:v>
      </x:c>
      <x:c r="L304" s="6" t="str">
        <x:v>01 - Master Services</x:v>
      </x:c>
      <x:c r="M304" s="6" t="n">
        <x:v>343</x:v>
      </x:c>
      <x:c r="N304" s="6" t="str">
        <x:v>CNF000303</x:v>
      </x:c>
      <x:c r="O304" s="6" t="str"/>
      <x:c r="P304" s="6" t="str">
        <x:v>Pending Verification</x:v>
      </x:c>
      <x:c r="Q304" s="6" t="str"/>
      <x:c r="R304" s="6" t="str"/>
      <x:c r="S304" s="6" t="str"/>
      <x:c r="T304" s="6" t="str"/>
      <x:c r="U304" s="6" t="str"/>
      <x:c r="V304" s="6" t="str">
        <x:v>Unresolved</x:v>
      </x:c>
      <x:c r="W304" s="12" t="str"/>
      <x:c r="X304" s="12" t="str"/>
      <x:c r="Y304" s="6" t="str"/>
      <x:c r="Z304" s="6" t="str"/>
      <x:c r="AA304" s="6" t="str">
        <x:v>Pending</x:v>
      </x:c>
      <x:c r="AB304" s="6" t="str"/>
      <x:c r="AC304" s="6" t="str"/>
      <x:c r="AD304" s="12" t="str"/>
    </x:row>
    <x:row r="305">
      <x:c r="A305" s="6" t="str">
        <x:v>SIR-000304</x:v>
      </x:c>
      <x:c r="B305" s="6" t="str">
        <x:v>SVC000304</x:v>
      </x:c>
      <x:c r="C305" s="6" t="str">
        <x:v>SVC000379</x:v>
      </x:c>
      <x:c r="D305" s="6" t="str">
        <x:v>Galaxy S 21 FE Charge Port Replacement</x:v>
      </x:c>
      <x:c r="E305" s="6" t="str">
        <x:v>Galaxy S 21 FE Charge Port Replacement</x:v>
      </x:c>
      <x:c r="F305" s="6" t="str">
        <x:v>galaxy s 21 fe charge port replacement</x:v>
      </x:c>
      <x:c r="G305" s="6" t="str">
        <x:v>Repair</x:v>
      </x:c>
      <x:c r="H305" s="6" t="str">
        <x:v>Miscellaneous Repair</x:v>
      </x:c>
      <x:c r="I305" s="6" t="str">
        <x:v>Phone</x:v>
      </x:c>
      <x:c r="J305" s="6" t="str">
        <x:v>Galaxy S 21 FE Charge Port Replacement</x:v>
      </x:c>
      <x:c r="K305" s="6" t="str">
        <x:v>Nocturnix_Master_Services_Catalog_v1.xlsx</x:v>
      </x:c>
      <x:c r="L305" s="6" t="str">
        <x:v>01 - Master Services</x:v>
      </x:c>
      <x:c r="M305" s="6" t="n">
        <x:v>344</x:v>
      </x:c>
      <x:c r="N305" s="6" t="str">
        <x:v>CNF000304</x:v>
      </x:c>
      <x:c r="O305" s="6" t="str"/>
      <x:c r="P305" s="6" t="str">
        <x:v>Pending Verification</x:v>
      </x:c>
      <x:c r="Q305" s="6" t="str"/>
      <x:c r="R305" s="6" t="str"/>
      <x:c r="S305" s="6" t="str"/>
      <x:c r="T305" s="6" t="str"/>
      <x:c r="U305" s="6" t="str"/>
      <x:c r="V305" s="6" t="str">
        <x:v>Unresolved</x:v>
      </x:c>
      <x:c r="W305" s="12" t="str"/>
      <x:c r="X305" s="12" t="str"/>
      <x:c r="Y305" s="6" t="str"/>
      <x:c r="Z305" s="6" t="str"/>
      <x:c r="AA305" s="6" t="str">
        <x:v>Pending</x:v>
      </x:c>
      <x:c r="AB305" s="6" t="str"/>
      <x:c r="AC305" s="6" t="str"/>
      <x:c r="AD305" s="12" t="str"/>
    </x:row>
    <x:row r="306">
      <x:c r="A306" s="6" t="str">
        <x:v>SIR-000305</x:v>
      </x:c>
      <x:c r="B306" s="6" t="str">
        <x:v>SVC000305</x:v>
      </x:c>
      <x:c r="C306" s="6" t="str">
        <x:v>SVC000380</x:v>
      </x:c>
      <x:c r="D306" s="6" t="str">
        <x:v>Galaxy S 22 Charge Port Replacement</x:v>
      </x:c>
      <x:c r="E306" s="6" t="str">
        <x:v>Galaxy S 22 Charge Port Replacement</x:v>
      </x:c>
      <x:c r="F306" s="6" t="str">
        <x:v>galaxy s 22 charge port replacement</x:v>
      </x:c>
      <x:c r="G306" s="6" t="str">
        <x:v>Repair</x:v>
      </x:c>
      <x:c r="H306" s="6" t="str">
        <x:v>Miscellaneous Repair</x:v>
      </x:c>
      <x:c r="I306" s="6" t="str">
        <x:v>Phone</x:v>
      </x:c>
      <x:c r="J306" s="6" t="str">
        <x:v>Galaxy S 22 Charge Port Replacement</x:v>
      </x:c>
      <x:c r="K306" s="6" t="str">
        <x:v>Nocturnix_Master_Services_Catalog_v1.xlsx</x:v>
      </x:c>
      <x:c r="L306" s="6" t="str">
        <x:v>01 - Master Services</x:v>
      </x:c>
      <x:c r="M306" s="6" t="n">
        <x:v>345</x:v>
      </x:c>
      <x:c r="N306" s="6" t="str">
        <x:v>CNF000305</x:v>
      </x:c>
      <x:c r="O306" s="6" t="str"/>
      <x:c r="P306" s="6" t="str">
        <x:v>Pending Verification</x:v>
      </x:c>
      <x:c r="Q306" s="6" t="str"/>
      <x:c r="R306" s="6" t="str"/>
      <x:c r="S306" s="6" t="str"/>
      <x:c r="T306" s="6" t="str"/>
      <x:c r="U306" s="6" t="str"/>
      <x:c r="V306" s="6" t="str">
        <x:v>Unresolved</x:v>
      </x:c>
      <x:c r="W306" s="12" t="str"/>
      <x:c r="X306" s="12" t="str"/>
      <x:c r="Y306" s="6" t="str"/>
      <x:c r="Z306" s="6" t="str"/>
      <x:c r="AA306" s="6" t="str">
        <x:v>Pending</x:v>
      </x:c>
      <x:c r="AB306" s="6" t="str"/>
      <x:c r="AC306" s="6" t="str"/>
      <x:c r="AD306" s="12" t="str"/>
    </x:row>
    <x:row r="307">
      <x:c r="A307" s="6" t="str">
        <x:v>SIR-000306</x:v>
      </x:c>
      <x:c r="B307" s="6" t="str">
        <x:v>SVC000306</x:v>
      </x:c>
      <x:c r="C307" s="6" t="str">
        <x:v>SVC000381</x:v>
      </x:c>
      <x:c r="D307" s="6" t="str">
        <x:v>Galaxy S 22 Plus Charge Port Replacement</x:v>
      </x:c>
      <x:c r="E307" s="6" t="str">
        <x:v>Galaxy S 22 Plus Charge Port Replacement</x:v>
      </x:c>
      <x:c r="F307" s="6" t="str">
        <x:v>galaxy s 22 plus charge port replacement</x:v>
      </x:c>
      <x:c r="G307" s="6" t="str">
        <x:v>Repair</x:v>
      </x:c>
      <x:c r="H307" s="6" t="str">
        <x:v>Miscellaneous Repair</x:v>
      </x:c>
      <x:c r="I307" s="6" t="str">
        <x:v>Phone</x:v>
      </x:c>
      <x:c r="J307" s="6" t="str">
        <x:v>Galaxy S 22 Plus Charge Port Replacement</x:v>
      </x:c>
      <x:c r="K307" s="6" t="str">
        <x:v>Nocturnix_Master_Services_Catalog_v1.xlsx</x:v>
      </x:c>
      <x:c r="L307" s="6" t="str">
        <x:v>01 - Master Services</x:v>
      </x:c>
      <x:c r="M307" s="6" t="n">
        <x:v>346</x:v>
      </x:c>
      <x:c r="N307" s="6" t="str">
        <x:v>CNF000306</x:v>
      </x:c>
      <x:c r="O307" s="6" t="str"/>
      <x:c r="P307" s="6" t="str">
        <x:v>Pending Verification</x:v>
      </x:c>
      <x:c r="Q307" s="6" t="str"/>
      <x:c r="R307" s="6" t="str"/>
      <x:c r="S307" s="6" t="str"/>
      <x:c r="T307" s="6" t="str"/>
      <x:c r="U307" s="6" t="str"/>
      <x:c r="V307" s="6" t="str">
        <x:v>Unresolved</x:v>
      </x:c>
      <x:c r="W307" s="12" t="str"/>
      <x:c r="X307" s="12" t="str"/>
      <x:c r="Y307" s="6" t="str"/>
      <x:c r="Z307" s="6" t="str"/>
      <x:c r="AA307" s="6" t="str">
        <x:v>Pending</x:v>
      </x:c>
      <x:c r="AB307" s="6" t="str"/>
      <x:c r="AC307" s="6" t="str"/>
      <x:c r="AD307" s="12" t="str"/>
    </x:row>
    <x:row r="308">
      <x:c r="A308" s="6" t="str">
        <x:v>SIR-000307</x:v>
      </x:c>
      <x:c r="B308" s="6" t="str">
        <x:v>SVC000307</x:v>
      </x:c>
      <x:c r="C308" s="6" t="str">
        <x:v>SVC000382</x:v>
      </x:c>
      <x:c r="D308" s="6" t="str">
        <x:v>Galaxy S 22 Ultra Charge Port Replacement</x:v>
      </x:c>
      <x:c r="E308" s="6" t="str">
        <x:v>Galaxy S 22 Ultra Charge Port Replacement</x:v>
      </x:c>
      <x:c r="F308" s="6" t="str">
        <x:v>galaxy s 22 ultra charge port replacement</x:v>
      </x:c>
      <x:c r="G308" s="6" t="str">
        <x:v>Repair</x:v>
      </x:c>
      <x:c r="H308" s="6" t="str">
        <x:v>Miscellaneous Repair</x:v>
      </x:c>
      <x:c r="I308" s="6" t="str">
        <x:v>Phone</x:v>
      </x:c>
      <x:c r="J308" s="6" t="str">
        <x:v>Galaxy S 22 Ultra Charge Port Replacement</x:v>
      </x:c>
      <x:c r="K308" s="6" t="str">
        <x:v>Nocturnix_Master_Services_Catalog_v1.xlsx</x:v>
      </x:c>
      <x:c r="L308" s="6" t="str">
        <x:v>01 - Master Services</x:v>
      </x:c>
      <x:c r="M308" s="6" t="n">
        <x:v>347</x:v>
      </x:c>
      <x:c r="N308" s="6" t="str">
        <x:v>CNF000307</x:v>
      </x:c>
      <x:c r="O308" s="6" t="str"/>
      <x:c r="P308" s="6" t="str">
        <x:v>Pending Verification</x:v>
      </x:c>
      <x:c r="Q308" s="6" t="str"/>
      <x:c r="R308" s="6" t="str"/>
      <x:c r="S308" s="6" t="str"/>
      <x:c r="T308" s="6" t="str"/>
      <x:c r="U308" s="6" t="str"/>
      <x:c r="V308" s="6" t="str">
        <x:v>Unresolved</x:v>
      </x:c>
      <x:c r="W308" s="12" t="str"/>
      <x:c r="X308" s="12" t="str"/>
      <x:c r="Y308" s="6" t="str"/>
      <x:c r="Z308" s="6" t="str"/>
      <x:c r="AA308" s="6" t="str">
        <x:v>Pending</x:v>
      </x:c>
      <x:c r="AB308" s="6" t="str"/>
      <x:c r="AC308" s="6" t="str"/>
      <x:c r="AD308" s="12" t="str"/>
    </x:row>
    <x:row r="309">
      <x:c r="A309" s="6" t="str">
        <x:v>SIR-000308</x:v>
      </x:c>
      <x:c r="B309" s="6" t="str">
        <x:v>SVC000308</x:v>
      </x:c>
      <x:c r="C309" s="6" t="str">
        <x:v>SVC000383</x:v>
      </x:c>
      <x:c r="D309" s="6" t="str">
        <x:v>Galaxy S 23 Charge Port Replacement</x:v>
      </x:c>
      <x:c r="E309" s="6" t="str">
        <x:v>Galaxy S 23 Charge Port Replacement</x:v>
      </x:c>
      <x:c r="F309" s="6" t="str">
        <x:v>galaxy s 23 charge port replacement</x:v>
      </x:c>
      <x:c r="G309" s="6" t="str">
        <x:v>Repair</x:v>
      </x:c>
      <x:c r="H309" s="6" t="str">
        <x:v>Miscellaneous Repair</x:v>
      </x:c>
      <x:c r="I309" s="6" t="str">
        <x:v>Phone</x:v>
      </x:c>
      <x:c r="J309" s="6" t="str">
        <x:v>Galaxy S 23 Charge Port Replacement</x:v>
      </x:c>
      <x:c r="K309" s="6" t="str">
        <x:v>Nocturnix_Master_Services_Catalog_v1.xlsx</x:v>
      </x:c>
      <x:c r="L309" s="6" t="str">
        <x:v>01 - Master Services</x:v>
      </x:c>
      <x:c r="M309" s="6" t="n">
        <x:v>348</x:v>
      </x:c>
      <x:c r="N309" s="6" t="str">
        <x:v>CNF000308</x:v>
      </x:c>
      <x:c r="O309" s="6" t="str"/>
      <x:c r="P309" s="6" t="str">
        <x:v>Pending Verification</x:v>
      </x:c>
      <x:c r="Q309" s="6" t="str"/>
      <x:c r="R309" s="6" t="str"/>
      <x:c r="S309" s="6" t="str"/>
      <x:c r="T309" s="6" t="str"/>
      <x:c r="U309" s="6" t="str"/>
      <x:c r="V309" s="6" t="str">
        <x:v>Unresolved</x:v>
      </x:c>
      <x:c r="W309" s="12" t="str"/>
      <x:c r="X309" s="12" t="str"/>
      <x:c r="Y309" s="6" t="str"/>
      <x:c r="Z309" s="6" t="str"/>
      <x:c r="AA309" s="6" t="str">
        <x:v>Pending</x:v>
      </x:c>
      <x:c r="AB309" s="6" t="str"/>
      <x:c r="AC309" s="6" t="str"/>
      <x:c r="AD309" s="12" t="str"/>
    </x:row>
    <x:row r="310">
      <x:c r="A310" s="6" t="str">
        <x:v>SIR-000309</x:v>
      </x:c>
      <x:c r="B310" s="6" t="str">
        <x:v>SVC000309</x:v>
      </x:c>
      <x:c r="C310" s="6" t="str">
        <x:v>SVC000384</x:v>
      </x:c>
      <x:c r="D310" s="6" t="str">
        <x:v>Galaxy S 23 Plus Charge Port Replacement</x:v>
      </x:c>
      <x:c r="E310" s="6" t="str">
        <x:v>Galaxy S 23 Plus Charge Port Replacement</x:v>
      </x:c>
      <x:c r="F310" s="6" t="str">
        <x:v>galaxy s 23 plus charge port replacement</x:v>
      </x:c>
      <x:c r="G310" s="6" t="str">
        <x:v>Repair</x:v>
      </x:c>
      <x:c r="H310" s="6" t="str">
        <x:v>Miscellaneous Repair</x:v>
      </x:c>
      <x:c r="I310" s="6" t="str">
        <x:v>Phone</x:v>
      </x:c>
      <x:c r="J310" s="6" t="str">
        <x:v>Galaxy S 23 Plus Charge Port Replacement</x:v>
      </x:c>
      <x:c r="K310" s="6" t="str">
        <x:v>Nocturnix_Master_Services_Catalog_v1.xlsx</x:v>
      </x:c>
      <x:c r="L310" s="6" t="str">
        <x:v>01 - Master Services</x:v>
      </x:c>
      <x:c r="M310" s="6" t="n">
        <x:v>349</x:v>
      </x:c>
      <x:c r="N310" s="6" t="str">
        <x:v>CNF000309</x:v>
      </x:c>
      <x:c r="O310" s="6" t="str"/>
      <x:c r="P310" s="6" t="str">
        <x:v>Pending Verification</x:v>
      </x:c>
      <x:c r="Q310" s="6" t="str"/>
      <x:c r="R310" s="6" t="str"/>
      <x:c r="S310" s="6" t="str"/>
      <x:c r="T310" s="6" t="str"/>
      <x:c r="U310" s="6" t="str"/>
      <x:c r="V310" s="6" t="str">
        <x:v>Unresolved</x:v>
      </x:c>
      <x:c r="W310" s="12" t="str"/>
      <x:c r="X310" s="12" t="str"/>
      <x:c r="Y310" s="6" t="str"/>
      <x:c r="Z310" s="6" t="str"/>
      <x:c r="AA310" s="6" t="str">
        <x:v>Pending</x:v>
      </x:c>
      <x:c r="AB310" s="6" t="str"/>
      <x:c r="AC310" s="6" t="str"/>
      <x:c r="AD310" s="12" t="str"/>
    </x:row>
    <x:row r="311">
      <x:c r="A311" s="6" t="str">
        <x:v>SIR-000310</x:v>
      </x:c>
      <x:c r="B311" s="6" t="str">
        <x:v>SVC000310</x:v>
      </x:c>
      <x:c r="C311" s="6" t="str">
        <x:v>SVC000385</x:v>
      </x:c>
      <x:c r="D311" s="6" t="str">
        <x:v>Galaxy S 23 Ultra Charge Port Replacement</x:v>
      </x:c>
      <x:c r="E311" s="6" t="str">
        <x:v>Galaxy S 23 Ultra Charge Port Replacement</x:v>
      </x:c>
      <x:c r="F311" s="6" t="str">
        <x:v>galaxy s 23 ultra charge port replacement</x:v>
      </x:c>
      <x:c r="G311" s="6" t="str">
        <x:v>Repair</x:v>
      </x:c>
      <x:c r="H311" s="6" t="str">
        <x:v>Miscellaneous Repair</x:v>
      </x:c>
      <x:c r="I311" s="6" t="str">
        <x:v>Phone</x:v>
      </x:c>
      <x:c r="J311" s="6" t="str">
        <x:v>Galaxy S 23 Ultra Charge Port Replacement</x:v>
      </x:c>
      <x:c r="K311" s="6" t="str">
        <x:v>Nocturnix_Master_Services_Catalog_v1.xlsx</x:v>
      </x:c>
      <x:c r="L311" s="6" t="str">
        <x:v>01 - Master Services</x:v>
      </x:c>
      <x:c r="M311" s="6" t="n">
        <x:v>350</x:v>
      </x:c>
      <x:c r="N311" s="6" t="str">
        <x:v>CNF000310</x:v>
      </x:c>
      <x:c r="O311" s="6" t="str"/>
      <x:c r="P311" s="6" t="str">
        <x:v>Pending Verification</x:v>
      </x:c>
      <x:c r="Q311" s="6" t="str"/>
      <x:c r="R311" s="6" t="str"/>
      <x:c r="S311" s="6" t="str"/>
      <x:c r="T311" s="6" t="str"/>
      <x:c r="U311" s="6" t="str"/>
      <x:c r="V311" s="6" t="str">
        <x:v>Unresolved</x:v>
      </x:c>
      <x:c r="W311" s="12" t="str"/>
      <x:c r="X311" s="12" t="str"/>
      <x:c r="Y311" s="6" t="str"/>
      <x:c r="Z311" s="6" t="str"/>
      <x:c r="AA311" s="6" t="str">
        <x:v>Pending</x:v>
      </x:c>
      <x:c r="AB311" s="6" t="str"/>
      <x:c r="AC311" s="6" t="str"/>
      <x:c r="AD311" s="12" t="str"/>
    </x:row>
    <x:row r="312">
      <x:c r="A312" s="6" t="str">
        <x:v>SIR-000311</x:v>
      </x:c>
      <x:c r="B312" s="6" t="str">
        <x:v>SVC000311</x:v>
      </x:c>
      <x:c r="C312" s="6" t="str">
        <x:v>SVC000386</x:v>
      </x:c>
      <x:c r="D312" s="6" t="str">
        <x:v>Galaxy S 23 FE Charge Port Replacement</x:v>
      </x:c>
      <x:c r="E312" s="6" t="str">
        <x:v>Galaxy S 23 FE Charge Port Replacement</x:v>
      </x:c>
      <x:c r="F312" s="6" t="str">
        <x:v>galaxy s 23 fe charge port replacement</x:v>
      </x:c>
      <x:c r="G312" s="6" t="str">
        <x:v>Repair</x:v>
      </x:c>
      <x:c r="H312" s="6" t="str">
        <x:v>Miscellaneous Repair</x:v>
      </x:c>
      <x:c r="I312" s="6" t="str">
        <x:v>Phone</x:v>
      </x:c>
      <x:c r="J312" s="6" t="str">
        <x:v>Galaxy S 23 FE Charge Port Replacement</x:v>
      </x:c>
      <x:c r="K312" s="6" t="str">
        <x:v>Nocturnix_Master_Services_Catalog_v1.xlsx</x:v>
      </x:c>
      <x:c r="L312" s="6" t="str">
        <x:v>01 - Master Services</x:v>
      </x:c>
      <x:c r="M312" s="6" t="n">
        <x:v>351</x:v>
      </x:c>
      <x:c r="N312" s="6" t="str">
        <x:v>CNF000311</x:v>
      </x:c>
      <x:c r="O312" s="6" t="str"/>
      <x:c r="P312" s="6" t="str">
        <x:v>Pending Verification</x:v>
      </x:c>
      <x:c r="Q312" s="6" t="str"/>
      <x:c r="R312" s="6" t="str"/>
      <x:c r="S312" s="6" t="str"/>
      <x:c r="T312" s="6" t="str"/>
      <x:c r="U312" s="6" t="str"/>
      <x:c r="V312" s="6" t="str">
        <x:v>Unresolved</x:v>
      </x:c>
      <x:c r="W312" s="12" t="str"/>
      <x:c r="X312" s="12" t="str"/>
      <x:c r="Y312" s="6" t="str"/>
      <x:c r="Z312" s="6" t="str"/>
      <x:c r="AA312" s="6" t="str">
        <x:v>Pending</x:v>
      </x:c>
      <x:c r="AB312" s="6" t="str"/>
      <x:c r="AC312" s="6" t="str"/>
      <x:c r="AD312" s="12" t="str"/>
    </x:row>
    <x:row r="313">
      <x:c r="A313" s="6" t="str">
        <x:v>SIR-000312</x:v>
      </x:c>
      <x:c r="B313" s="6" t="str">
        <x:v>SVC000312</x:v>
      </x:c>
      <x:c r="C313" s="6" t="str">
        <x:v>SVC000387</x:v>
      </x:c>
      <x:c r="D313" s="6" t="str">
        <x:v>Galaxy S 24 Charge Port Replacement</x:v>
      </x:c>
      <x:c r="E313" s="6" t="str">
        <x:v>Galaxy S 24 Charge Port Replacement</x:v>
      </x:c>
      <x:c r="F313" s="6" t="str">
        <x:v>galaxy s 24 charge port replacement</x:v>
      </x:c>
      <x:c r="G313" s="6" t="str">
        <x:v>Repair</x:v>
      </x:c>
      <x:c r="H313" s="6" t="str">
        <x:v>Miscellaneous Repair</x:v>
      </x:c>
      <x:c r="I313" s="6" t="str">
        <x:v>Phone</x:v>
      </x:c>
      <x:c r="J313" s="6" t="str">
        <x:v>Galaxy S 24 Charge Port Replacement</x:v>
      </x:c>
      <x:c r="K313" s="6" t="str">
        <x:v>Nocturnix_Master_Services_Catalog_v1.xlsx</x:v>
      </x:c>
      <x:c r="L313" s="6" t="str">
        <x:v>01 - Master Services</x:v>
      </x:c>
      <x:c r="M313" s="6" t="n">
        <x:v>352</x:v>
      </x:c>
      <x:c r="N313" s="6" t="str">
        <x:v>CNF000312</x:v>
      </x:c>
      <x:c r="O313" s="6" t="str"/>
      <x:c r="P313" s="6" t="str">
        <x:v>Pending Verification</x:v>
      </x:c>
      <x:c r="Q313" s="6" t="str"/>
      <x:c r="R313" s="6" t="str"/>
      <x:c r="S313" s="6" t="str"/>
      <x:c r="T313" s="6" t="str"/>
      <x:c r="U313" s="6" t="str"/>
      <x:c r="V313" s="6" t="str">
        <x:v>Unresolved</x:v>
      </x:c>
      <x:c r="W313" s="12" t="str"/>
      <x:c r="X313" s="12" t="str"/>
      <x:c r="Y313" s="6" t="str"/>
      <x:c r="Z313" s="6" t="str"/>
      <x:c r="AA313" s="6" t="str">
        <x:v>Pending</x:v>
      </x:c>
      <x:c r="AB313" s="6" t="str"/>
      <x:c r="AC313" s="6" t="str"/>
      <x:c r="AD313" s="12" t="str"/>
    </x:row>
    <x:row r="314">
      <x:c r="A314" s="6" t="str">
        <x:v>SIR-000313</x:v>
      </x:c>
      <x:c r="B314" s="6" t="str">
        <x:v>SVC000313</x:v>
      </x:c>
      <x:c r="C314" s="6" t="str">
        <x:v>SVC000388</x:v>
      </x:c>
      <x:c r="D314" s="6" t="str">
        <x:v>Galaxy S 24 Plus Charge Port Replacement</x:v>
      </x:c>
      <x:c r="E314" s="6" t="str">
        <x:v>Galaxy S 24 Plus Charge Port Replacement</x:v>
      </x:c>
      <x:c r="F314" s="6" t="str">
        <x:v>galaxy s 24 plus charge port replacement</x:v>
      </x:c>
      <x:c r="G314" s="6" t="str">
        <x:v>Repair</x:v>
      </x:c>
      <x:c r="H314" s="6" t="str">
        <x:v>Miscellaneous Repair</x:v>
      </x:c>
      <x:c r="I314" s="6" t="str">
        <x:v>Phone</x:v>
      </x:c>
      <x:c r="J314" s="6" t="str">
        <x:v>Galaxy S 24 Plus Charge Port Replacement</x:v>
      </x:c>
      <x:c r="K314" s="6" t="str">
        <x:v>Nocturnix_Master_Services_Catalog_v1.xlsx</x:v>
      </x:c>
      <x:c r="L314" s="6" t="str">
        <x:v>01 - Master Services</x:v>
      </x:c>
      <x:c r="M314" s="6" t="n">
        <x:v>353</x:v>
      </x:c>
      <x:c r="N314" s="6" t="str">
        <x:v>CNF000313</x:v>
      </x:c>
      <x:c r="O314" s="6" t="str"/>
      <x:c r="P314" s="6" t="str">
        <x:v>Pending Verification</x:v>
      </x:c>
      <x:c r="Q314" s="6" t="str"/>
      <x:c r="R314" s="6" t="str"/>
      <x:c r="S314" s="6" t="str"/>
      <x:c r="T314" s="6" t="str"/>
      <x:c r="U314" s="6" t="str"/>
      <x:c r="V314" s="6" t="str">
        <x:v>Unresolved</x:v>
      </x:c>
      <x:c r="W314" s="12" t="str"/>
      <x:c r="X314" s="12" t="str"/>
      <x:c r="Y314" s="6" t="str"/>
      <x:c r="Z314" s="6" t="str"/>
      <x:c r="AA314" s="6" t="str">
        <x:v>Pending</x:v>
      </x:c>
      <x:c r="AB314" s="6" t="str"/>
      <x:c r="AC314" s="6" t="str"/>
      <x:c r="AD314" s="12" t="str"/>
    </x:row>
    <x:row r="315">
      <x:c r="A315" s="6" t="str">
        <x:v>SIR-000314</x:v>
      </x:c>
      <x:c r="B315" s="6" t="str">
        <x:v>SVC000314</x:v>
      </x:c>
      <x:c r="C315" s="6" t="str">
        <x:v>SVC000389</x:v>
      </x:c>
      <x:c r="D315" s="6" t="str">
        <x:v>Galaxy S 24 Ultra Charge Port Replacement</x:v>
      </x:c>
      <x:c r="E315" s="6" t="str">
        <x:v>Galaxy S 24 Ultra Charge Port Replacement</x:v>
      </x:c>
      <x:c r="F315" s="6" t="str">
        <x:v>galaxy s 24 ultra charge port replacement</x:v>
      </x:c>
      <x:c r="G315" s="6" t="str">
        <x:v>Repair</x:v>
      </x:c>
      <x:c r="H315" s="6" t="str">
        <x:v>Miscellaneous Repair</x:v>
      </x:c>
      <x:c r="I315" s="6" t="str">
        <x:v>Phone</x:v>
      </x:c>
      <x:c r="J315" s="6" t="str">
        <x:v>Galaxy S 24 Ultra Charge Port Replacement</x:v>
      </x:c>
      <x:c r="K315" s="6" t="str">
        <x:v>Nocturnix_Master_Services_Catalog_v1.xlsx</x:v>
      </x:c>
      <x:c r="L315" s="6" t="str">
        <x:v>01 - Master Services</x:v>
      </x:c>
      <x:c r="M315" s="6" t="n">
        <x:v>354</x:v>
      </x:c>
      <x:c r="N315" s="6" t="str">
        <x:v>CNF000314</x:v>
      </x:c>
      <x:c r="O315" s="6" t="str"/>
      <x:c r="P315" s="6" t="str">
        <x:v>Pending Verification</x:v>
      </x:c>
      <x:c r="Q315" s="6" t="str"/>
      <x:c r="R315" s="6" t="str"/>
      <x:c r="S315" s="6" t="str"/>
      <x:c r="T315" s="6" t="str"/>
      <x:c r="U315" s="6" t="str"/>
      <x:c r="V315" s="6" t="str">
        <x:v>Unresolved</x:v>
      </x:c>
      <x:c r="W315" s="12" t="str"/>
      <x:c r="X315" s="12" t="str"/>
      <x:c r="Y315" s="6" t="str"/>
      <x:c r="Z315" s="6" t="str"/>
      <x:c r="AA315" s="6" t="str">
        <x:v>Pending</x:v>
      </x:c>
      <x:c r="AB315" s="6" t="str"/>
      <x:c r="AC315" s="6" t="str"/>
      <x:c r="AD315" s="12" t="str"/>
    </x:row>
  </x:sheetData>
  <x:dataValidations count="3">
    <x:dataValidation type="list" sqref="V2:V315">
      <x:formula1>"Confirm Current Identity,Propose Identity Change,Keep Separate,Suspected Duplicate,Reject Source Record,Escalate,Unresolved"</x:formula1>
    </x:dataValidation>
    <x:dataValidation type="list" sqref="AA2:AA315">
      <x:formula1>"Pending,Approved,Rejected,Escalated,Not Approved"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86c408044e48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299991607666" hidden="0" customWidth="1"/>
    <x:col min="2" max="2" width="10.75" hidden="0" customWidth="1"/>
    <x:col min="3" max="3" width="38.130001068115234" hidden="0" customWidth="1"/>
    <x:col min="4" max="4" width="25.6299991607666" hidden="0" customWidth="1"/>
    <x:col min="5" max="5" width="21.5" hidden="0" customWidth="1"/>
    <x:col min="6" max="6" width="24.3799991607666" hidden="0" customWidth="1"/>
    <x:col min="7" max="7" width="29.8799991607666" hidden="0" customWidth="1"/>
    <x:col min="8" max="8" width="22.8799991607666" hidden="0" customWidth="1"/>
    <x:col min="9" max="9" width="25.75" hidden="0" customWidth="1"/>
    <x:col min="10" max="10" width="26" hidden="0" customWidth="1"/>
    <x:col min="11" max="11" width="20.1299991607666" hidden="0" customWidth="1"/>
    <x:col min="12" max="12" width="19.1299991607666" hidden="0" customWidth="1"/>
    <x:col min="13" max="13" width="54.630001068115234" hidden="0" customWidth="1"/>
    <x:col min="14" max="14" width="17" hidden="0" customWidth="1"/>
    <x:col min="15" max="15" width="14.880000114440918" hidden="0" customWidth="1"/>
    <x:col min="16" max="16" width="12.380000114440918" hidden="0" customWidth="1"/>
    <x:col min="17" max="17" width="25.75" hidden="0" customWidth="1"/>
    <x:col min="18" max="18" width="7.630000114440918" hidden="0" customWidth="1"/>
  </x:cols>
  <x:sheetData>
    <x:row r="1">
      <x:c r="A1" s="5" t="str">
        <x:v>Manufacturer Review ID</x:v>
      </x:c>
      <x:c r="B1" s="5" t="str">
        <x:v>Service ID</x:v>
      </x:c>
      <x:c r="C1" s="5" t="str">
        <x:v>Canonical Service Name</x:v>
      </x:c>
      <x:c r="D1" s="5" t="str">
        <x:v>Observed Manufacturer Value</x:v>
      </x:c>
      <x:c r="E1" s="5" t="str">
        <x:v>Current Manufacturer ID</x:v>
      </x:c>
      <x:c r="F1" s="5" t="str">
        <x:v>Current Manufacturer Name</x:v>
      </x:c>
      <x:c r="G1" s="5" t="str">
        <x:v>Proposed Manufacturer Scope Type</x:v>
      </x:c>
      <x:c r="H1" s="5" t="str">
        <x:v>Proposed Manufacturer ID</x:v>
      </x:c>
      <x:c r="I1" s="5" t="str">
        <x:v>Proposed Manufacturer Name</x:v>
      </x:c>
      <x:c r="J1" s="5" t="str">
        <x:v>Generic Across Manufacturers</x:v>
      </x:c>
      <x:c r="K1" s="5" t="str">
        <x:v>Manufacturer-Specific</x:v>
      </x:c>
      <x:c r="L1" s="5" t="str">
        <x:v>Evidence Type</x:v>
      </x:c>
      <x:c r="M1" s="5" t="str">
        <x:v>Evidence Reference</x:v>
      </x:c>
      <x:c r="N1" s="5" t="str">
        <x:v>Reviewer Decision</x:v>
      </x:c>
      <x:c r="O1" s="5" t="str">
        <x:v>Reviewer Name</x:v>
      </x:c>
      <x:c r="P1" s="5" t="str">
        <x:v>Review Date</x:v>
      </x:c>
      <x:c r="Q1" s="5" t="str">
        <x:v>Second-Level Approval Status</x:v>
      </x:c>
      <x:c r="R1" s="5" t="str">
        <x:v>Notes</x:v>
      </x:c>
    </x:row>
    <x:row r="2">
      <x:c r="A2" s="6" t="str">
        <x:v>MFRR-000001</x:v>
      </x:c>
      <x:c r="B2" s="6" t="str">
        <x:v>SVC000001</x:v>
      </x:c>
      <x:c r="C2" s="6" t="str">
        <x:v>Galaxy Note 9 Screen replacement</x:v>
      </x:c>
      <x:c r="D2" s="6" t="str">
        <x:v>MFR-LEGACY-001</x:v>
      </x:c>
      <x:c r="E2" s="6"/>
      <x:c r="F2" s="6"/>
      <x:c r="G2" s="6" t="str">
        <x:v>Unknown</x:v>
      </x:c>
      <x:c r="H2" s="6" t="str"/>
      <x:c r="I2" s="6" t="str"/>
      <x:c r="J2" s="6" t="str">
        <x:v>Unknown</x:v>
      </x:c>
      <x:c r="K2" s="6" t="str">
        <x:v>Unknown</x:v>
      </x:c>
      <x:c r="L2" s="12" t="str">
        <x:v>Unsupported Observation</x:v>
      </x:c>
      <x:c r="M2" s="12" t="str">
        <x:v>Nocturnix_Master_Services_Catalog_v1.xlsx | 01 - Master Services | row 41</x:v>
      </x:c>
      <x:c r="N2" s="6" t="str">
        <x:v>Unresolved</x:v>
      </x:c>
      <x:c r="O2" s="6" t="str"/>
      <x:c r="P2" s="6" t="str"/>
      <x:c r="Q2" s="6" t="str">
        <x:v>Pending</x:v>
      </x:c>
      <x:c r="R2" s="12" t="str"/>
    </x:row>
    <x:row r="3">
      <x:c r="A3" s="6" t="str">
        <x:v>MFRR-000002</x:v>
      </x:c>
      <x:c r="B3" s="6" t="str">
        <x:v>SVC000002</x:v>
      </x:c>
      <x:c r="C3" s="6" t="str">
        <x:v>Galaxy S 8 Active Screen replacement</x:v>
      </x:c>
      <x:c r="D3" s="6" t="str">
        <x:v>MFR-LEGACY-001</x:v>
      </x:c>
      <x:c r="E3" s="6"/>
      <x:c r="F3" s="6"/>
      <x:c r="G3" s="6" t="str">
        <x:v>Unknown</x:v>
      </x:c>
      <x:c r="H3" s="6" t="str"/>
      <x:c r="I3" s="6" t="str"/>
      <x:c r="J3" s="6" t="str">
        <x:v>Unknown</x:v>
      </x:c>
      <x:c r="K3" s="6" t="str">
        <x:v>Unknown</x:v>
      </x:c>
      <x:c r="L3" s="12" t="str">
        <x:v>Unsupported Observation</x:v>
      </x:c>
      <x:c r="M3" s="12" t="str">
        <x:v>Nocturnix_Master_Services_Catalog_v1.xlsx | 01 - Master Services | row 42</x:v>
      </x:c>
      <x:c r="N3" s="6" t="str">
        <x:v>Unresolved</x:v>
      </x:c>
      <x:c r="O3" s="6" t="str"/>
      <x:c r="P3" s="6" t="str"/>
      <x:c r="Q3" s="6" t="str">
        <x:v>Pending</x:v>
      </x:c>
      <x:c r="R3" s="12" t="str"/>
    </x:row>
    <x:row r="4">
      <x:c r="A4" s="6" t="str">
        <x:v>MFRR-000003</x:v>
      </x:c>
      <x:c r="B4" s="6" t="str">
        <x:v>SVC000003</x:v>
      </x:c>
      <x:c r="C4" s="6" t="str">
        <x:v>Galaxy S 24 Screen replacement</x:v>
      </x:c>
      <x:c r="D4" s="6" t="str">
        <x:v>MFR-LEGACY-001</x:v>
      </x:c>
      <x:c r="E4" s="6"/>
      <x:c r="F4" s="6"/>
      <x:c r="G4" s="6" t="str">
        <x:v>Unknown</x:v>
      </x:c>
      <x:c r="H4" s="6" t="str"/>
      <x:c r="I4" s="6" t="str"/>
      <x:c r="J4" s="6" t="str">
        <x:v>Unknown</x:v>
      </x:c>
      <x:c r="K4" s="6" t="str">
        <x:v>Unknown</x:v>
      </x:c>
      <x:c r="L4" s="12" t="str">
        <x:v>Unsupported Observation</x:v>
      </x:c>
      <x:c r="M4" s="12" t="str">
        <x:v>Nocturnix_Master_Services_Catalog_v1.xlsx | 01 - Master Services | row 43</x:v>
      </x:c>
      <x:c r="N4" s="6" t="str">
        <x:v>Unresolved</x:v>
      </x:c>
      <x:c r="O4" s="6" t="str"/>
      <x:c r="P4" s="6" t="str"/>
      <x:c r="Q4" s="6" t="str">
        <x:v>Pending</x:v>
      </x:c>
      <x:c r="R4" s="12" t="str"/>
    </x:row>
    <x:row r="5">
      <x:c r="A5" s="6" t="str">
        <x:v>MFRR-000004</x:v>
      </x:c>
      <x:c r="B5" s="6" t="str">
        <x:v>SVC000004</x:v>
      </x:c>
      <x:c r="C5" s="6" t="str">
        <x:v>Galaxy Note 10 Plus Screen replacement</x:v>
      </x:c>
      <x:c r="D5" s="6" t="str">
        <x:v>MFR-LEGACY-001</x:v>
      </x:c>
      <x:c r="E5" s="6"/>
      <x:c r="F5" s="6"/>
      <x:c r="G5" s="6" t="str">
        <x:v>Unknown</x:v>
      </x:c>
      <x:c r="H5" s="6" t="str"/>
      <x:c r="I5" s="6" t="str"/>
      <x:c r="J5" s="6" t="str">
        <x:v>Unknown</x:v>
      </x:c>
      <x:c r="K5" s="6" t="str">
        <x:v>Unknown</x:v>
      </x:c>
      <x:c r="L5" s="12" t="str">
        <x:v>Unsupported Observation</x:v>
      </x:c>
      <x:c r="M5" s="12" t="str">
        <x:v>Nocturnix_Master_Services_Catalog_v1.xlsx | 01 - Master Services | row 44</x:v>
      </x:c>
      <x:c r="N5" s="6" t="str">
        <x:v>Unresolved</x:v>
      </x:c>
      <x:c r="O5" s="6" t="str"/>
      <x:c r="P5" s="6" t="str"/>
      <x:c r="Q5" s="6" t="str">
        <x:v>Pending</x:v>
      </x:c>
      <x:c r="R5" s="12" t="str"/>
    </x:row>
    <x:row r="6">
      <x:c r="A6" s="6" t="str">
        <x:v>MFRR-000005</x:v>
      </x:c>
      <x:c r="B6" s="6" t="str">
        <x:v>SVC000005</x:v>
      </x:c>
      <x:c r="C6" s="6" t="str">
        <x:v>Galaxy Note 8 Screen replacement</x:v>
      </x:c>
      <x:c r="D6" s="6" t="str">
        <x:v>MFR-LEGACY-001</x:v>
      </x:c>
      <x:c r="E6" s="6"/>
      <x:c r="F6" s="6"/>
      <x:c r="G6" s="6" t="str">
        <x:v>Unknown</x:v>
      </x:c>
      <x:c r="H6" s="6" t="str"/>
      <x:c r="I6" s="6" t="str"/>
      <x:c r="J6" s="6" t="str">
        <x:v>Unknown</x:v>
      </x:c>
      <x:c r="K6" s="6" t="str">
        <x:v>Unknown</x:v>
      </x:c>
      <x:c r="L6" s="12" t="str">
        <x:v>Unsupported Observation</x:v>
      </x:c>
      <x:c r="M6" s="12" t="str">
        <x:v>Nocturnix_Master_Services_Catalog_v1.xlsx | 01 - Master Services | row 45</x:v>
      </x:c>
      <x:c r="N6" s="6" t="str">
        <x:v>Unresolved</x:v>
      </x:c>
      <x:c r="O6" s="6" t="str"/>
      <x:c r="P6" s="6" t="str"/>
      <x:c r="Q6" s="6" t="str">
        <x:v>Pending</x:v>
      </x:c>
      <x:c r="R6" s="12" t="str"/>
    </x:row>
    <x:row r="7">
      <x:c r="A7" s="6" t="str">
        <x:v>MFRR-000006</x:v>
      </x:c>
      <x:c r="B7" s="6" t="str">
        <x:v>SVC000006</x:v>
      </x:c>
      <x:c r="C7" s="6" t="str">
        <x:v>Galaxy S 25 Edge Screen replacement</x:v>
      </x:c>
      <x:c r="D7" s="6" t="str">
        <x:v>MFR-LEGACY-001</x:v>
      </x:c>
      <x:c r="E7" s="6"/>
      <x:c r="F7" s="6"/>
      <x:c r="G7" s="6" t="str">
        <x:v>Unknown</x:v>
      </x:c>
      <x:c r="H7" s="6" t="str"/>
      <x:c r="I7" s="6" t="str"/>
      <x:c r="J7" s="6" t="str">
        <x:v>Unknown</x:v>
      </x:c>
      <x:c r="K7" s="6" t="str">
        <x:v>Unknown</x:v>
      </x:c>
      <x:c r="L7" s="12" t="str">
        <x:v>Unsupported Observation</x:v>
      </x:c>
      <x:c r="M7" s="12" t="str">
        <x:v>Nocturnix_Master_Services_Catalog_v1.xlsx | 01 - Master Services | row 46</x:v>
      </x:c>
      <x:c r="N7" s="6" t="str">
        <x:v>Unresolved</x:v>
      </x:c>
      <x:c r="O7" s="6" t="str"/>
      <x:c r="P7" s="6" t="str"/>
      <x:c r="Q7" s="6" t="str">
        <x:v>Pending</x:v>
      </x:c>
      <x:c r="R7" s="12" t="str"/>
    </x:row>
    <x:row r="8">
      <x:c r="A8" s="6" t="str">
        <x:v>MFRR-000007</x:v>
      </x:c>
      <x:c r="B8" s="6" t="str">
        <x:v>SVC000007</x:v>
      </x:c>
      <x:c r="C8" s="6" t="str">
        <x:v>Galaxy S 25 FE Screen replacement</x:v>
      </x:c>
      <x:c r="D8" s="6" t="str">
        <x:v>MFR-LEGACY-001</x:v>
      </x:c>
      <x:c r="E8" s="6"/>
      <x:c r="F8" s="6"/>
      <x:c r="G8" s="6" t="str">
        <x:v>Unknown</x:v>
      </x:c>
      <x:c r="H8" s="6" t="str"/>
      <x:c r="I8" s="6" t="str"/>
      <x:c r="J8" s="6" t="str">
        <x:v>Unknown</x:v>
      </x:c>
      <x:c r="K8" s="6" t="str">
        <x:v>Unknown</x:v>
      </x:c>
      <x:c r="L8" s="12" t="str">
        <x:v>Unsupported Observation</x:v>
      </x:c>
      <x:c r="M8" s="12" t="str">
        <x:v>Nocturnix_Master_Services_Catalog_v1.xlsx | 01 - Master Services | row 47</x:v>
      </x:c>
      <x:c r="N8" s="6" t="str">
        <x:v>Unresolved</x:v>
      </x:c>
      <x:c r="O8" s="6" t="str"/>
      <x:c r="P8" s="6" t="str"/>
      <x:c r="Q8" s="6" t="str">
        <x:v>Pending</x:v>
      </x:c>
      <x:c r="R8" s="12" t="str"/>
    </x:row>
    <x:row r="9">
      <x:c r="A9" s="6" t="str">
        <x:v>MFRR-000008</x:v>
      </x:c>
      <x:c r="B9" s="6" t="str">
        <x:v>SVC000008</x:v>
      </x:c>
      <x:c r="C9" s="6" t="str">
        <x:v>iPhone 6 Screen replacement</x:v>
      </x:c>
      <x:c r="D9" s="6" t="str">
        <x:v>MFR-LEGACY-001</x:v>
      </x:c>
      <x:c r="E9" s="6"/>
      <x:c r="F9" s="6"/>
      <x:c r="G9" s="6" t="str">
        <x:v>Unknown</x:v>
      </x:c>
      <x:c r="H9" s="6" t="str"/>
      <x:c r="I9" s="6" t="str"/>
      <x:c r="J9" s="6" t="str">
        <x:v>Unknown</x:v>
      </x:c>
      <x:c r="K9" s="6" t="str">
        <x:v>Unknown</x:v>
      </x:c>
      <x:c r="L9" s="12" t="str">
        <x:v>Unsupported Observation</x:v>
      </x:c>
      <x:c r="M9" s="12" t="str">
        <x:v>Nocturnix_Master_Services_Catalog_v1.xlsx | 01 - Master Services | row 48</x:v>
      </x:c>
      <x:c r="N9" s="6" t="str">
        <x:v>Unresolved</x:v>
      </x:c>
      <x:c r="O9" s="6" t="str"/>
      <x:c r="P9" s="6" t="str"/>
      <x:c r="Q9" s="6" t="str">
        <x:v>Pending</x:v>
      </x:c>
      <x:c r="R9" s="12" t="str"/>
    </x:row>
    <x:row r="10">
      <x:c r="A10" s="6" t="str">
        <x:v>MFRR-000009</x:v>
      </x:c>
      <x:c r="B10" s="6" t="str">
        <x:v>SVC000009</x:v>
      </x:c>
      <x:c r="C10" s="6" t="str">
        <x:v>iPhone 6S+ Screen replacement</x:v>
      </x:c>
      <x:c r="D10" s="6" t="str">
        <x:v>MFR-LEGACY-001</x:v>
      </x:c>
      <x:c r="E10" s="6"/>
      <x:c r="F10" s="6"/>
      <x:c r="G10" s="6" t="str">
        <x:v>Unknown</x:v>
      </x:c>
      <x:c r="H10" s="6" t="str"/>
      <x:c r="I10" s="6" t="str"/>
      <x:c r="J10" s="6" t="str">
        <x:v>Unknown</x:v>
      </x:c>
      <x:c r="K10" s="6" t="str">
        <x:v>Unknown</x:v>
      </x:c>
      <x:c r="L10" s="12" t="str">
        <x:v>Unsupported Observation</x:v>
      </x:c>
      <x:c r="M10" s="12" t="str">
        <x:v>Nocturnix_Master_Services_Catalog_v1.xlsx | 01 - Master Services | row 49</x:v>
      </x:c>
      <x:c r="N10" s="6" t="str">
        <x:v>Unresolved</x:v>
      </x:c>
      <x:c r="O10" s="6" t="str"/>
      <x:c r="P10" s="6" t="str"/>
      <x:c r="Q10" s="6" t="str">
        <x:v>Pending</x:v>
      </x:c>
      <x:c r="R10" s="12" t="str"/>
    </x:row>
    <x:row r="11">
      <x:c r="A11" s="6" t="str">
        <x:v>MFRR-000010</x:v>
      </x:c>
      <x:c r="B11" s="6" t="str">
        <x:v>SVC000010</x:v>
      </x:c>
      <x:c r="C11" s="6" t="str">
        <x:v>Galaxy S 22 Screen replacement</x:v>
      </x:c>
      <x:c r="D11" s="6" t="str">
        <x:v>MFR-LEGACY-001</x:v>
      </x:c>
      <x:c r="E11" s="6"/>
      <x:c r="F11" s="6"/>
      <x:c r="G11" s="6" t="str">
        <x:v>Unknown</x:v>
      </x:c>
      <x:c r="H11" s="6" t="str"/>
      <x:c r="I11" s="6" t="str"/>
      <x:c r="J11" s="6" t="str">
        <x:v>Unknown</x:v>
      </x:c>
      <x:c r="K11" s="6" t="str">
        <x:v>Unknown</x:v>
      </x:c>
      <x:c r="L11" s="12" t="str">
        <x:v>Unsupported Observation</x:v>
      </x:c>
      <x:c r="M11" s="12" t="str">
        <x:v>Nocturnix_Master_Services_Catalog_v1.xlsx | 01 - Master Services | row 50</x:v>
      </x:c>
      <x:c r="N11" s="6" t="str">
        <x:v>Unresolved</x:v>
      </x:c>
      <x:c r="O11" s="6" t="str"/>
      <x:c r="P11" s="6" t="str"/>
      <x:c r="Q11" s="6" t="str">
        <x:v>Pending</x:v>
      </x:c>
      <x:c r="R11" s="12" t="str"/>
    </x:row>
    <x:row r="12">
      <x:c r="A12" s="6" t="str">
        <x:v>MFRR-000011</x:v>
      </x:c>
      <x:c r="B12" s="6" t="str">
        <x:v>SVC000011</x:v>
      </x:c>
      <x:c r="C12" s="6" t="str">
        <x:v>Galaxy S 20 Plus Screen replacement</x:v>
      </x:c>
      <x:c r="D12" s="6" t="str">
        <x:v>MFR-LEGACY-001</x:v>
      </x:c>
      <x:c r="E12" s="6"/>
      <x:c r="F12" s="6"/>
      <x:c r="G12" s="6" t="str">
        <x:v>Unknown</x:v>
      </x:c>
      <x:c r="H12" s="6" t="str"/>
      <x:c r="I12" s="6" t="str"/>
      <x:c r="J12" s="6" t="str">
        <x:v>Unknown</x:v>
      </x:c>
      <x:c r="K12" s="6" t="str">
        <x:v>Unknown</x:v>
      </x:c>
      <x:c r="L12" s="12" t="str">
        <x:v>Unsupported Observation</x:v>
      </x:c>
      <x:c r="M12" s="12" t="str">
        <x:v>Nocturnix_Master_Services_Catalog_v1.xlsx | 01 - Master Services | row 51</x:v>
      </x:c>
      <x:c r="N12" s="6" t="str">
        <x:v>Unresolved</x:v>
      </x:c>
      <x:c r="O12" s="6" t="str"/>
      <x:c r="P12" s="6" t="str"/>
      <x:c r="Q12" s="6" t="str">
        <x:v>Pending</x:v>
      </x:c>
      <x:c r="R12" s="12" t="str"/>
    </x:row>
    <x:row r="13">
      <x:c r="A13" s="6" t="str">
        <x:v>MFRR-000012</x:v>
      </x:c>
      <x:c r="B13" s="6" t="str">
        <x:v>SVC000012</x:v>
      </x:c>
      <x:c r="C13" s="6" t="str">
        <x:v>Galaxy S 23 Ultra Screen replacement</x:v>
      </x:c>
      <x:c r="D13" s="6" t="str">
        <x:v>MFR-LEGACY-001</x:v>
      </x:c>
      <x:c r="E13" s="6"/>
      <x:c r="F13" s="6"/>
      <x:c r="G13" s="6" t="str">
        <x:v>Unknown</x:v>
      </x:c>
      <x:c r="H13" s="6" t="str"/>
      <x:c r="I13" s="6" t="str"/>
      <x:c r="J13" s="6" t="str">
        <x:v>Unknown</x:v>
      </x:c>
      <x:c r="K13" s="6" t="str">
        <x:v>Unknown</x:v>
      </x:c>
      <x:c r="L13" s="12" t="str">
        <x:v>Unsupported Observation</x:v>
      </x:c>
      <x:c r="M13" s="12" t="str">
        <x:v>Nocturnix_Master_Services_Catalog_v1.xlsx | 01 - Master Services | row 52</x:v>
      </x:c>
      <x:c r="N13" s="6" t="str">
        <x:v>Unresolved</x:v>
      </x:c>
      <x:c r="O13" s="6" t="str"/>
      <x:c r="P13" s="6" t="str"/>
      <x:c r="Q13" s="6" t="str">
        <x:v>Pending</x:v>
      </x:c>
      <x:c r="R13" s="12" t="str"/>
    </x:row>
    <x:row r="14">
      <x:c r="A14" s="6" t="str">
        <x:v>MFRR-000013</x:v>
      </x:c>
      <x:c r="B14" s="6" t="str">
        <x:v>SVC000013</x:v>
      </x:c>
      <x:c r="C14" s="6" t="str">
        <x:v>Galaxy S 24 Ultra Screen replacement</x:v>
      </x:c>
      <x:c r="D14" s="6" t="str">
        <x:v>MFR-LEGACY-001</x:v>
      </x:c>
      <x:c r="E14" s="6"/>
      <x:c r="F14" s="6"/>
      <x:c r="G14" s="6" t="str">
        <x:v>Unknown</x:v>
      </x:c>
      <x:c r="H14" s="6" t="str"/>
      <x:c r="I14" s="6" t="str"/>
      <x:c r="J14" s="6" t="str">
        <x:v>Unknown</x:v>
      </x:c>
      <x:c r="K14" s="6" t="str">
        <x:v>Unknown</x:v>
      </x:c>
      <x:c r="L14" s="12" t="str">
        <x:v>Unsupported Observation</x:v>
      </x:c>
      <x:c r="M14" s="12" t="str">
        <x:v>Nocturnix_Master_Services_Catalog_v1.xlsx | 01 - Master Services | row 53</x:v>
      </x:c>
      <x:c r="N14" s="6" t="str">
        <x:v>Unresolved</x:v>
      </x:c>
      <x:c r="O14" s="6" t="str"/>
      <x:c r="P14" s="6" t="str"/>
      <x:c r="Q14" s="6" t="str">
        <x:v>Pending</x:v>
      </x:c>
      <x:c r="R14" s="12" t="str"/>
    </x:row>
    <x:row r="15">
      <x:c r="A15" s="6" t="str">
        <x:v>MFRR-000014</x:v>
      </x:c>
      <x:c r="B15" s="6" t="str">
        <x:v>SVC000014</x:v>
      </x:c>
      <x:c r="C15" s="6" t="str">
        <x:v>Galaxy S 20 FE Screen replacement</x:v>
      </x:c>
      <x:c r="D15" s="6" t="str">
        <x:v>MFR-LEGACY-001</x:v>
      </x:c>
      <x:c r="E15" s="6"/>
      <x:c r="F15" s="6"/>
      <x:c r="G15" s="6" t="str">
        <x:v>Unknown</x:v>
      </x:c>
      <x:c r="H15" s="6" t="str"/>
      <x:c r="I15" s="6" t="str"/>
      <x:c r="J15" s="6" t="str">
        <x:v>Unknown</x:v>
      </x:c>
      <x:c r="K15" s="6" t="str">
        <x:v>Unknown</x:v>
      </x:c>
      <x:c r="L15" s="12" t="str">
        <x:v>Unsupported Observation</x:v>
      </x:c>
      <x:c r="M15" s="12" t="str">
        <x:v>Nocturnix_Master_Services_Catalog_v1.xlsx | 01 - Master Services | row 54</x:v>
      </x:c>
      <x:c r="N15" s="6" t="str">
        <x:v>Unresolved</x:v>
      </x:c>
      <x:c r="O15" s="6" t="str"/>
      <x:c r="P15" s="6" t="str"/>
      <x:c r="Q15" s="6" t="str">
        <x:v>Pending</x:v>
      </x:c>
      <x:c r="R15" s="12" t="str"/>
    </x:row>
    <x:row r="16">
      <x:c r="A16" s="6" t="str">
        <x:v>MFRR-000015</x:v>
      </x:c>
      <x:c r="B16" s="6" t="str">
        <x:v>SVC000015</x:v>
      </x:c>
      <x:c r="C16" s="6" t="str">
        <x:v>Galaxy S 9 Plus Screen replacement</x:v>
      </x:c>
      <x:c r="D16" s="6" t="str">
        <x:v>MFR-LEGACY-001</x:v>
      </x:c>
      <x:c r="E16" s="6"/>
      <x:c r="F16" s="6"/>
      <x:c r="G16" s="6" t="str">
        <x:v>Unknown</x:v>
      </x:c>
      <x:c r="H16" s="6" t="str"/>
      <x:c r="I16" s="6" t="str"/>
      <x:c r="J16" s="6" t="str">
        <x:v>Unknown</x:v>
      </x:c>
      <x:c r="K16" s="6" t="str">
        <x:v>Unknown</x:v>
      </x:c>
      <x:c r="L16" s="12" t="str">
        <x:v>Unsupported Observation</x:v>
      </x:c>
      <x:c r="M16" s="12" t="str">
        <x:v>Nocturnix_Master_Services_Catalog_v1.xlsx | 01 - Master Services | row 55</x:v>
      </x:c>
      <x:c r="N16" s="6" t="str">
        <x:v>Unresolved</x:v>
      </x:c>
      <x:c r="O16" s="6" t="str"/>
      <x:c r="P16" s="6" t="str"/>
      <x:c r="Q16" s="6" t="str">
        <x:v>Pending</x:v>
      </x:c>
      <x:c r="R16" s="12" t="str"/>
    </x:row>
    <x:row r="17">
      <x:c r="A17" s="6" t="str">
        <x:v>MFRR-000016</x:v>
      </x:c>
      <x:c r="B17" s="6" t="str">
        <x:v>SVC000016</x:v>
      </x:c>
      <x:c r="C17" s="6" t="str">
        <x:v>Galaxy S 24 FE Screen replacement</x:v>
      </x:c>
      <x:c r="D17" s="6" t="str">
        <x:v>MFR-LEGACY-001</x:v>
      </x:c>
      <x:c r="E17" s="6"/>
      <x:c r="F17" s="6"/>
      <x:c r="G17" s="6" t="str">
        <x:v>Unknown</x:v>
      </x:c>
      <x:c r="H17" s="6" t="str"/>
      <x:c r="I17" s="6" t="str"/>
      <x:c r="J17" s="6" t="str">
        <x:v>Unknown</x:v>
      </x:c>
      <x:c r="K17" s="6" t="str">
        <x:v>Unknown</x:v>
      </x:c>
      <x:c r="L17" s="12" t="str">
        <x:v>Unsupported Observation</x:v>
      </x:c>
      <x:c r="M17" s="12" t="str">
        <x:v>Nocturnix_Master_Services_Catalog_v1.xlsx | 01 - Master Services | row 56</x:v>
      </x:c>
      <x:c r="N17" s="6" t="str">
        <x:v>Unresolved</x:v>
      </x:c>
      <x:c r="O17" s="6" t="str"/>
      <x:c r="P17" s="6" t="str"/>
      <x:c r="Q17" s="6" t="str">
        <x:v>Pending</x:v>
      </x:c>
      <x:c r="R17" s="12" t="str"/>
    </x:row>
    <x:row r="18">
      <x:c r="A18" s="6" t="str">
        <x:v>MFRR-000017</x:v>
      </x:c>
      <x:c r="B18" s="6" t="str">
        <x:v>SVC000017</x:v>
      </x:c>
      <x:c r="C18" s="6" t="str">
        <x:v>Galaxy S 8 Plus Screen replacement</x:v>
      </x:c>
      <x:c r="D18" s="6" t="str">
        <x:v>MFR-LEGACY-001</x:v>
      </x:c>
      <x:c r="E18" s="6"/>
      <x:c r="F18" s="6"/>
      <x:c r="G18" s="6" t="str">
        <x:v>Unknown</x:v>
      </x:c>
      <x:c r="H18" s="6" t="str"/>
      <x:c r="I18" s="6" t="str"/>
      <x:c r="J18" s="6" t="str">
        <x:v>Unknown</x:v>
      </x:c>
      <x:c r="K18" s="6" t="str">
        <x:v>Unknown</x:v>
      </x:c>
      <x:c r="L18" s="12" t="str">
        <x:v>Unsupported Observation</x:v>
      </x:c>
      <x:c r="M18" s="12" t="str">
        <x:v>Nocturnix_Master_Services_Catalog_v1.xlsx | 01 - Master Services | row 57</x:v>
      </x:c>
      <x:c r="N18" s="6" t="str">
        <x:v>Unresolved</x:v>
      </x:c>
      <x:c r="O18" s="6" t="str"/>
      <x:c r="P18" s="6" t="str"/>
      <x:c r="Q18" s="6" t="str">
        <x:v>Pending</x:v>
      </x:c>
      <x:c r="R18" s="12" t="str"/>
    </x:row>
    <x:row r="19">
      <x:c r="A19" s="6" t="str">
        <x:v>MFRR-000018</x:v>
      </x:c>
      <x:c r="B19" s="6" t="str">
        <x:v>SVC000018</x:v>
      </x:c>
      <x:c r="C19" s="6" t="str">
        <x:v>Galaxy S 25 Plus Screen replacement</x:v>
      </x:c>
      <x:c r="D19" s="6" t="str">
        <x:v>MFR-LEGACY-001</x:v>
      </x:c>
      <x:c r="E19" s="6"/>
      <x:c r="F19" s="6"/>
      <x:c r="G19" s="6" t="str">
        <x:v>Unknown</x:v>
      </x:c>
      <x:c r="H19" s="6" t="str"/>
      <x:c r="I19" s="6" t="str"/>
      <x:c r="J19" s="6" t="str">
        <x:v>Unknown</x:v>
      </x:c>
      <x:c r="K19" s="6" t="str">
        <x:v>Unknown</x:v>
      </x:c>
      <x:c r="L19" s="12" t="str">
        <x:v>Unsupported Observation</x:v>
      </x:c>
      <x:c r="M19" s="12" t="str">
        <x:v>Nocturnix_Master_Services_Catalog_v1.xlsx | 01 - Master Services | row 58</x:v>
      </x:c>
      <x:c r="N19" s="6" t="str">
        <x:v>Unresolved</x:v>
      </x:c>
      <x:c r="O19" s="6" t="str"/>
      <x:c r="P19" s="6" t="str"/>
      <x:c r="Q19" s="6" t="str">
        <x:v>Pending</x:v>
      </x:c>
      <x:c r="R19" s="12" t="str"/>
    </x:row>
    <x:row r="20">
      <x:c r="A20" s="6" t="str">
        <x:v>MFRR-000019</x:v>
      </x:c>
      <x:c r="B20" s="6" t="str">
        <x:v>SVC000019</x:v>
      </x:c>
      <x:c r="C20" s="6" t="str">
        <x:v>Galaxy S 21 Screen replacement</x:v>
      </x:c>
      <x:c r="D20" s="6" t="str">
        <x:v>MFR-LEGACY-001</x:v>
      </x:c>
      <x:c r="E20" s="6"/>
      <x:c r="F20" s="6"/>
      <x:c r="G20" s="6" t="str">
        <x:v>Unknown</x:v>
      </x:c>
      <x:c r="H20" s="6" t="str"/>
      <x:c r="I20" s="6" t="str"/>
      <x:c r="J20" s="6" t="str">
        <x:v>Unknown</x:v>
      </x:c>
      <x:c r="K20" s="6" t="str">
        <x:v>Unknown</x:v>
      </x:c>
      <x:c r="L20" s="12" t="str">
        <x:v>Unsupported Observation</x:v>
      </x:c>
      <x:c r="M20" s="12" t="str">
        <x:v>Nocturnix_Master_Services_Catalog_v1.xlsx | 01 - Master Services | row 59</x:v>
      </x:c>
      <x:c r="N20" s="6" t="str">
        <x:v>Unresolved</x:v>
      </x:c>
      <x:c r="O20" s="6" t="str"/>
      <x:c r="P20" s="6" t="str"/>
      <x:c r="Q20" s="6" t="str">
        <x:v>Pending</x:v>
      </x:c>
      <x:c r="R20" s="12" t="str"/>
    </x:row>
    <x:row r="21">
      <x:c r="A21" s="6" t="str">
        <x:v>MFRR-000020</x:v>
      </x:c>
      <x:c r="B21" s="6" t="str">
        <x:v>SVC000020</x:v>
      </x:c>
      <x:c r="C21" s="6" t="str">
        <x:v>Galaxy S 22 Plus Screen replacement</x:v>
      </x:c>
      <x:c r="D21" s="6" t="str">
        <x:v>MFR-LEGACY-001</x:v>
      </x:c>
      <x:c r="E21" s="6"/>
      <x:c r="F21" s="6"/>
      <x:c r="G21" s="6" t="str">
        <x:v>Unknown</x:v>
      </x:c>
      <x:c r="H21" s="6" t="str"/>
      <x:c r="I21" s="6" t="str"/>
      <x:c r="J21" s="6" t="str">
        <x:v>Unknown</x:v>
      </x:c>
      <x:c r="K21" s="6" t="str">
        <x:v>Unknown</x:v>
      </x:c>
      <x:c r="L21" s="12" t="str">
        <x:v>Unsupported Observation</x:v>
      </x:c>
      <x:c r="M21" s="12" t="str">
        <x:v>Nocturnix_Master_Services_Catalog_v1.xlsx | 01 - Master Services | row 60</x:v>
      </x:c>
      <x:c r="N21" s="6" t="str">
        <x:v>Unresolved</x:v>
      </x:c>
      <x:c r="O21" s="6" t="str"/>
      <x:c r="P21" s="6" t="str"/>
      <x:c r="Q21" s="6" t="str">
        <x:v>Pending</x:v>
      </x:c>
      <x:c r="R21" s="12" t="str"/>
    </x:row>
    <x:row r="22">
      <x:c r="A22" s="6" t="str">
        <x:v>MFRR-000021</x:v>
      </x:c>
      <x:c r="B22" s="6" t="str">
        <x:v>SVC000021</x:v>
      </x:c>
      <x:c r="C22" s="6" t="str">
        <x:v>Galaxy S 22 Ultra Screen replacement</x:v>
      </x:c>
      <x:c r="D22" s="6" t="str">
        <x:v>MFR-LEGACY-001</x:v>
      </x:c>
      <x:c r="E22" s="6"/>
      <x:c r="F22" s="6"/>
      <x:c r="G22" s="6" t="str">
        <x:v>Unknown</x:v>
      </x:c>
      <x:c r="H22" s="6" t="str"/>
      <x:c r="I22" s="6" t="str"/>
      <x:c r="J22" s="6" t="str">
        <x:v>Unknown</x:v>
      </x:c>
      <x:c r="K22" s="6" t="str">
        <x:v>Unknown</x:v>
      </x:c>
      <x:c r="L22" s="12" t="str">
        <x:v>Unsupported Observation</x:v>
      </x:c>
      <x:c r="M22" s="12" t="str">
        <x:v>Nocturnix_Master_Services_Catalog_v1.xlsx | 01 - Master Services | row 61</x:v>
      </x:c>
      <x:c r="N22" s="6" t="str">
        <x:v>Unresolved</x:v>
      </x:c>
      <x:c r="O22" s="6" t="str"/>
      <x:c r="P22" s="6" t="str"/>
      <x:c r="Q22" s="6" t="str">
        <x:v>Pending</x:v>
      </x:c>
      <x:c r="R22" s="12" t="str"/>
    </x:row>
    <x:row r="23">
      <x:c r="A23" s="6" t="str">
        <x:v>MFRR-000022</x:v>
      </x:c>
      <x:c r="B23" s="6" t="str">
        <x:v>SVC000022</x:v>
      </x:c>
      <x:c r="C23" s="6" t="str">
        <x:v>Galaxy S 24 FE Battery Replacement</x:v>
      </x:c>
      <x:c r="D23" s="6" t="str">
        <x:v>MFR-LEGACY-001</x:v>
      </x:c>
      <x:c r="E23" s="6"/>
      <x:c r="F23" s="6"/>
      <x:c r="G23" s="6" t="str">
        <x:v>Unknown</x:v>
      </x:c>
      <x:c r="H23" s="6" t="str"/>
      <x:c r="I23" s="6" t="str"/>
      <x:c r="J23" s="6" t="str">
        <x:v>Unknown</x:v>
      </x:c>
      <x:c r="K23" s="6" t="str">
        <x:v>Unknown</x:v>
      </x:c>
      <x:c r="L23" s="12" t="str">
        <x:v>Unsupported Observation</x:v>
      </x:c>
      <x:c r="M23" s="12" t="str">
        <x:v>Nocturnix_Master_Services_Catalog_v1.xlsx | 01 - Master Services | row 62</x:v>
      </x:c>
      <x:c r="N23" s="6" t="str">
        <x:v>Unresolved</x:v>
      </x:c>
      <x:c r="O23" s="6" t="str"/>
      <x:c r="P23" s="6" t="str"/>
      <x:c r="Q23" s="6" t="str">
        <x:v>Pending</x:v>
      </x:c>
      <x:c r="R23" s="12" t="str"/>
    </x:row>
    <x:row r="24">
      <x:c r="A24" s="6" t="str">
        <x:v>MFRR-000023</x:v>
      </x:c>
      <x:c r="B24" s="6" t="str">
        <x:v>SVC000023</x:v>
      </x:c>
      <x:c r="C24" s="6" t="str">
        <x:v>Galaxy S 7 Active Screen replacement</x:v>
      </x:c>
      <x:c r="D24" s="6" t="str">
        <x:v>MFR-LEGACY-001</x:v>
      </x:c>
      <x:c r="E24" s="6"/>
      <x:c r="F24" s="6"/>
      <x:c r="G24" s="6" t="str">
        <x:v>Unknown</x:v>
      </x:c>
      <x:c r="H24" s="6" t="str"/>
      <x:c r="I24" s="6" t="str"/>
      <x:c r="J24" s="6" t="str">
        <x:v>Unknown</x:v>
      </x:c>
      <x:c r="K24" s="6" t="str">
        <x:v>Unknown</x:v>
      </x:c>
      <x:c r="L24" s="12" t="str">
        <x:v>Unsupported Observation</x:v>
      </x:c>
      <x:c r="M24" s="12" t="str">
        <x:v>Nocturnix_Master_Services_Catalog_v1.xlsx | 01 - Master Services | row 63</x:v>
      </x:c>
      <x:c r="N24" s="6" t="str">
        <x:v>Unresolved</x:v>
      </x:c>
      <x:c r="O24" s="6" t="str"/>
      <x:c r="P24" s="6" t="str"/>
      <x:c r="Q24" s="6" t="str">
        <x:v>Pending</x:v>
      </x:c>
      <x:c r="R24" s="12" t="str"/>
    </x:row>
    <x:row r="25">
      <x:c r="A25" s="6" t="str">
        <x:v>MFRR-000024</x:v>
      </x:c>
      <x:c r="B25" s="6" t="str">
        <x:v>SVC000024</x:v>
      </x:c>
      <x:c r="C25" s="6" t="str">
        <x:v>Galaxy S 10 Plus Screen replacement</x:v>
      </x:c>
      <x:c r="D25" s="6" t="str">
        <x:v>MFR-LEGACY-001</x:v>
      </x:c>
      <x:c r="E25" s="6"/>
      <x:c r="F25" s="6"/>
      <x:c r="G25" s="6" t="str">
        <x:v>Unknown</x:v>
      </x:c>
      <x:c r="H25" s="6" t="str"/>
      <x:c r="I25" s="6" t="str"/>
      <x:c r="J25" s="6" t="str">
        <x:v>Unknown</x:v>
      </x:c>
      <x:c r="K25" s="6" t="str">
        <x:v>Unknown</x:v>
      </x:c>
      <x:c r="L25" s="12" t="str">
        <x:v>Unsupported Observation</x:v>
      </x:c>
      <x:c r="M25" s="12" t="str">
        <x:v>Nocturnix_Master_Services_Catalog_v1.xlsx | 01 - Master Services | row 64</x:v>
      </x:c>
      <x:c r="N25" s="6" t="str">
        <x:v>Unresolved</x:v>
      </x:c>
      <x:c r="O25" s="6" t="str"/>
      <x:c r="P25" s="6" t="str"/>
      <x:c r="Q25" s="6" t="str">
        <x:v>Pending</x:v>
      </x:c>
      <x:c r="R25" s="12" t="str"/>
    </x:row>
    <x:row r="26">
      <x:c r="A26" s="6" t="str">
        <x:v>MFRR-000025</x:v>
      </x:c>
      <x:c r="B26" s="6" t="str">
        <x:v>SVC000025</x:v>
      </x:c>
      <x:c r="C26" s="6" t="str">
        <x:v>Galaxy S 6 Active Screen replacement</x:v>
      </x:c>
      <x:c r="D26" s="6" t="str">
        <x:v>MFR-LEGACY-001</x:v>
      </x:c>
      <x:c r="E26" s="6"/>
      <x:c r="F26" s="6"/>
      <x:c r="G26" s="6" t="str">
        <x:v>Unknown</x:v>
      </x:c>
      <x:c r="H26" s="6" t="str"/>
      <x:c r="I26" s="6" t="str"/>
      <x:c r="J26" s="6" t="str">
        <x:v>Unknown</x:v>
      </x:c>
      <x:c r="K26" s="6" t="str">
        <x:v>Unknown</x:v>
      </x:c>
      <x:c r="L26" s="12" t="str">
        <x:v>Unsupported Observation</x:v>
      </x:c>
      <x:c r="M26" s="12" t="str">
        <x:v>Nocturnix_Master_Services_Catalog_v1.xlsx | 01 - Master Services | row 65</x:v>
      </x:c>
      <x:c r="N26" s="6" t="str">
        <x:v>Unresolved</x:v>
      </x:c>
      <x:c r="O26" s="6" t="str"/>
      <x:c r="P26" s="6" t="str"/>
      <x:c r="Q26" s="6" t="str">
        <x:v>Pending</x:v>
      </x:c>
      <x:c r="R26" s="12" t="str"/>
    </x:row>
    <x:row r="27">
      <x:c r="A27" s="6" t="str">
        <x:v>MFRR-000026</x:v>
      </x:c>
      <x:c r="B27" s="6" t="str">
        <x:v>SVC000026</x:v>
      </x:c>
      <x:c r="C27" s="6" t="str">
        <x:v>Galaxy S 6 Screen replacement</x:v>
      </x:c>
      <x:c r="D27" s="6" t="str">
        <x:v>MFR-LEGACY-001</x:v>
      </x:c>
      <x:c r="E27" s="6"/>
      <x:c r="F27" s="6"/>
      <x:c r="G27" s="6" t="str">
        <x:v>Unknown</x:v>
      </x:c>
      <x:c r="H27" s="6" t="str"/>
      <x:c r="I27" s="6" t="str"/>
      <x:c r="J27" s="6" t="str">
        <x:v>Unknown</x:v>
      </x:c>
      <x:c r="K27" s="6" t="str">
        <x:v>Unknown</x:v>
      </x:c>
      <x:c r="L27" s="12" t="str">
        <x:v>Unsupported Observation</x:v>
      </x:c>
      <x:c r="M27" s="12" t="str">
        <x:v>Nocturnix_Master_Services_Catalog_v1.xlsx | 01 - Master Services | row 66</x:v>
      </x:c>
      <x:c r="N27" s="6" t="str">
        <x:v>Unresolved</x:v>
      </x:c>
      <x:c r="O27" s="6" t="str"/>
      <x:c r="P27" s="6" t="str"/>
      <x:c r="Q27" s="6" t="str">
        <x:v>Pending</x:v>
      </x:c>
      <x:c r="R27" s="12" t="str"/>
    </x:row>
    <x:row r="28">
      <x:c r="A28" s="6" t="str">
        <x:v>MFRR-000027</x:v>
      </x:c>
      <x:c r="B28" s="6" t="str">
        <x:v>SVC000027</x:v>
      </x:c>
      <x:c r="C28" s="6" t="str">
        <x:v>Galaxy S 21 FE Screen replacement</x:v>
      </x:c>
      <x:c r="D28" s="6" t="str">
        <x:v>MFR-LEGACY-001</x:v>
      </x:c>
      <x:c r="E28" s="6"/>
      <x:c r="F28" s="6"/>
      <x:c r="G28" s="6" t="str">
        <x:v>Unknown</x:v>
      </x:c>
      <x:c r="H28" s="6" t="str"/>
      <x:c r="I28" s="6" t="str"/>
      <x:c r="J28" s="6" t="str">
        <x:v>Unknown</x:v>
      </x:c>
      <x:c r="K28" s="6" t="str">
        <x:v>Unknown</x:v>
      </x:c>
      <x:c r="L28" s="12" t="str">
        <x:v>Unsupported Observation</x:v>
      </x:c>
      <x:c r="M28" s="12" t="str">
        <x:v>Nocturnix_Master_Services_Catalog_v1.xlsx | 01 - Master Services | row 67</x:v>
      </x:c>
      <x:c r="N28" s="6" t="str">
        <x:v>Unresolved</x:v>
      </x:c>
      <x:c r="O28" s="6" t="str"/>
      <x:c r="P28" s="6" t="str"/>
      <x:c r="Q28" s="6" t="str">
        <x:v>Pending</x:v>
      </x:c>
      <x:c r="R28" s="12" t="str"/>
    </x:row>
    <x:row r="29">
      <x:c r="A29" s="6" t="str">
        <x:v>MFRR-000028</x:v>
      </x:c>
      <x:c r="B29" s="6" t="str">
        <x:v>SVC000028</x:v>
      </x:c>
      <x:c r="C29" s="6" t="str">
        <x:v>Galaxy S 6 Edge Screen replacement</x:v>
      </x:c>
      <x:c r="D29" s="6" t="str">
        <x:v>MFR-LEGACY-001</x:v>
      </x:c>
      <x:c r="E29" s="6"/>
      <x:c r="F29" s="6"/>
      <x:c r="G29" s="6" t="str">
        <x:v>Unknown</x:v>
      </x:c>
      <x:c r="H29" s="6" t="str"/>
      <x:c r="I29" s="6" t="str"/>
      <x:c r="J29" s="6" t="str">
        <x:v>Unknown</x:v>
      </x:c>
      <x:c r="K29" s="6" t="str">
        <x:v>Unknown</x:v>
      </x:c>
      <x:c r="L29" s="12" t="str">
        <x:v>Unsupported Observation</x:v>
      </x:c>
      <x:c r="M29" s="12" t="str">
        <x:v>Nocturnix_Master_Services_Catalog_v1.xlsx | 01 - Master Services | row 68</x:v>
      </x:c>
      <x:c r="N29" s="6" t="str">
        <x:v>Unresolved</x:v>
      </x:c>
      <x:c r="O29" s="6" t="str"/>
      <x:c r="P29" s="6" t="str"/>
      <x:c r="Q29" s="6" t="str">
        <x:v>Pending</x:v>
      </x:c>
      <x:c r="R29" s="12" t="str"/>
    </x:row>
    <x:row r="30">
      <x:c r="A30" s="6" t="str">
        <x:v>MFRR-000029</x:v>
      </x:c>
      <x:c r="B30" s="6" t="str">
        <x:v>SVC000029</x:v>
      </x:c>
      <x:c r="C30" s="6" t="str">
        <x:v>Galaxy S 21 Plus Screen replacement</x:v>
      </x:c>
      <x:c r="D30" s="6" t="str">
        <x:v>MFR-LEGACY-001</x:v>
      </x:c>
      <x:c r="E30" s="6"/>
      <x:c r="F30" s="6"/>
      <x:c r="G30" s="6" t="str">
        <x:v>Unknown</x:v>
      </x:c>
      <x:c r="H30" s="6" t="str"/>
      <x:c r="I30" s="6" t="str"/>
      <x:c r="J30" s="6" t="str">
        <x:v>Unknown</x:v>
      </x:c>
      <x:c r="K30" s="6" t="str">
        <x:v>Unknown</x:v>
      </x:c>
      <x:c r="L30" s="12" t="str">
        <x:v>Unsupported Observation</x:v>
      </x:c>
      <x:c r="M30" s="12" t="str">
        <x:v>Nocturnix_Master_Services_Catalog_v1.xlsx | 01 - Master Services | row 69</x:v>
      </x:c>
      <x:c r="N30" s="6" t="str">
        <x:v>Unresolved</x:v>
      </x:c>
      <x:c r="O30" s="6" t="str"/>
      <x:c r="P30" s="6" t="str"/>
      <x:c r="Q30" s="6" t="str">
        <x:v>Pending</x:v>
      </x:c>
      <x:c r="R30" s="12" t="str"/>
    </x:row>
    <x:row r="31">
      <x:c r="A31" s="6" t="str">
        <x:v>MFRR-000030</x:v>
      </x:c>
      <x:c r="B31" s="6" t="str">
        <x:v>SVC000030</x:v>
      </x:c>
      <x:c r="C31" s="6" t="str">
        <x:v>Galaxy S 6 Edge Plus Screen replacement</x:v>
      </x:c>
      <x:c r="D31" s="6" t="str">
        <x:v>MFR-LEGACY-001</x:v>
      </x:c>
      <x:c r="E31" s="6"/>
      <x:c r="F31" s="6"/>
      <x:c r="G31" s="6" t="str">
        <x:v>Unknown</x:v>
      </x:c>
      <x:c r="H31" s="6" t="str"/>
      <x:c r="I31" s="6" t="str"/>
      <x:c r="J31" s="6" t="str">
        <x:v>Unknown</x:v>
      </x:c>
      <x:c r="K31" s="6" t="str">
        <x:v>Unknown</x:v>
      </x:c>
      <x:c r="L31" s="12" t="str">
        <x:v>Unsupported Observation</x:v>
      </x:c>
      <x:c r="M31" s="12" t="str">
        <x:v>Nocturnix_Master_Services_Catalog_v1.xlsx | 01 - Master Services | row 70</x:v>
      </x:c>
      <x:c r="N31" s="6" t="str">
        <x:v>Unresolved</x:v>
      </x:c>
      <x:c r="O31" s="6" t="str"/>
      <x:c r="P31" s="6" t="str"/>
      <x:c r="Q31" s="6" t="str">
        <x:v>Pending</x:v>
      </x:c>
      <x:c r="R31" s="12" t="str"/>
    </x:row>
    <x:row r="32">
      <x:c r="A32" s="6" t="str">
        <x:v>MFRR-000031</x:v>
      </x:c>
      <x:c r="B32" s="6" t="str">
        <x:v>SVC000031</x:v>
      </x:c>
      <x:c r="C32" s="6" t="str">
        <x:v>Galaxy S 25 Screen replacement</x:v>
      </x:c>
      <x:c r="D32" s="6" t="str">
        <x:v>MFR-LEGACY-001</x:v>
      </x:c>
      <x:c r="E32" s="6"/>
      <x:c r="F32" s="6"/>
      <x:c r="G32" s="6" t="str">
        <x:v>Unknown</x:v>
      </x:c>
      <x:c r="H32" s="6" t="str"/>
      <x:c r="I32" s="6" t="str"/>
      <x:c r="J32" s="6" t="str">
        <x:v>Unknown</x:v>
      </x:c>
      <x:c r="K32" s="6" t="str">
        <x:v>Unknown</x:v>
      </x:c>
      <x:c r="L32" s="12" t="str">
        <x:v>Unsupported Observation</x:v>
      </x:c>
      <x:c r="M32" s="12" t="str">
        <x:v>Nocturnix_Master_Services_Catalog_v1.xlsx | 01 - Master Services | row 71</x:v>
      </x:c>
      <x:c r="N32" s="6" t="str">
        <x:v>Unresolved</x:v>
      </x:c>
      <x:c r="O32" s="6" t="str"/>
      <x:c r="P32" s="6" t="str"/>
      <x:c r="Q32" s="6" t="str">
        <x:v>Pending</x:v>
      </x:c>
      <x:c r="R32" s="12" t="str"/>
    </x:row>
    <x:row r="33">
      <x:c r="A33" s="6" t="str">
        <x:v>MFRR-000032</x:v>
      </x:c>
      <x:c r="B33" s="6" t="str">
        <x:v>SVC000032</x:v>
      </x:c>
      <x:c r="C33" s="6" t="str">
        <x:v>Galaxy S 10 E Screen replacement</x:v>
      </x:c>
      <x:c r="D33" s="6" t="str">
        <x:v>MFR-LEGACY-001</x:v>
      </x:c>
      <x:c r="E33" s="6"/>
      <x:c r="F33" s="6"/>
      <x:c r="G33" s="6" t="str">
        <x:v>Unknown</x:v>
      </x:c>
      <x:c r="H33" s="6" t="str"/>
      <x:c r="I33" s="6" t="str"/>
      <x:c r="J33" s="6" t="str">
        <x:v>Unknown</x:v>
      </x:c>
      <x:c r="K33" s="6" t="str">
        <x:v>Unknown</x:v>
      </x:c>
      <x:c r="L33" s="12" t="str">
        <x:v>Unsupported Observation</x:v>
      </x:c>
      <x:c r="M33" s="12" t="str">
        <x:v>Nocturnix_Master_Services_Catalog_v1.xlsx | 01 - Master Services | row 72</x:v>
      </x:c>
      <x:c r="N33" s="6" t="str">
        <x:v>Unresolved</x:v>
      </x:c>
      <x:c r="O33" s="6" t="str"/>
      <x:c r="P33" s="6" t="str"/>
      <x:c r="Q33" s="6" t="str">
        <x:v>Pending</x:v>
      </x:c>
      <x:c r="R33" s="12" t="str"/>
    </x:row>
    <x:row r="34">
      <x:c r="A34" s="6" t="str">
        <x:v>MFRR-000033</x:v>
      </x:c>
      <x:c r="B34" s="6" t="str">
        <x:v>SVC000033</x:v>
      </x:c>
      <x:c r="C34" s="6" t="str">
        <x:v>Galaxy S 23 Plus Screen replacement</x:v>
      </x:c>
      <x:c r="D34" s="6" t="str">
        <x:v>MFR-LEGACY-001</x:v>
      </x:c>
      <x:c r="E34" s="6"/>
      <x:c r="F34" s="6"/>
      <x:c r="G34" s="6" t="str">
        <x:v>Unknown</x:v>
      </x:c>
      <x:c r="H34" s="6" t="str"/>
      <x:c r="I34" s="6" t="str"/>
      <x:c r="J34" s="6" t="str">
        <x:v>Unknown</x:v>
      </x:c>
      <x:c r="K34" s="6" t="str">
        <x:v>Unknown</x:v>
      </x:c>
      <x:c r="L34" s="12" t="str">
        <x:v>Unsupported Observation</x:v>
      </x:c>
      <x:c r="M34" s="12" t="str">
        <x:v>Nocturnix_Master_Services_Catalog_v1.xlsx | 01 - Master Services | row 73</x:v>
      </x:c>
      <x:c r="N34" s="6" t="str">
        <x:v>Unresolved</x:v>
      </x:c>
      <x:c r="O34" s="6" t="str"/>
      <x:c r="P34" s="6" t="str"/>
      <x:c r="Q34" s="6" t="str">
        <x:v>Pending</x:v>
      </x:c>
      <x:c r="R34" s="12" t="str"/>
    </x:row>
    <x:row r="35">
      <x:c r="A35" s="6" t="str">
        <x:v>MFRR-000034</x:v>
      </x:c>
      <x:c r="B35" s="6" t="str">
        <x:v>SVC000034</x:v>
      </x:c>
      <x:c r="C35" s="6" t="str">
        <x:v>Galaxy S 8 Screen replacement</x:v>
      </x:c>
      <x:c r="D35" s="6" t="str">
        <x:v>MFR-LEGACY-001</x:v>
      </x:c>
      <x:c r="E35" s="6"/>
      <x:c r="F35" s="6"/>
      <x:c r="G35" s="6" t="str">
        <x:v>Unknown</x:v>
      </x:c>
      <x:c r="H35" s="6" t="str"/>
      <x:c r="I35" s="6" t="str"/>
      <x:c r="J35" s="6" t="str">
        <x:v>Unknown</x:v>
      </x:c>
      <x:c r="K35" s="6" t="str">
        <x:v>Unknown</x:v>
      </x:c>
      <x:c r="L35" s="12" t="str">
        <x:v>Unsupported Observation</x:v>
      </x:c>
      <x:c r="M35" s="12" t="str">
        <x:v>Nocturnix_Master_Services_Catalog_v1.xlsx | 01 - Master Services | row 74</x:v>
      </x:c>
      <x:c r="N35" s="6" t="str">
        <x:v>Unresolved</x:v>
      </x:c>
      <x:c r="O35" s="6" t="str"/>
      <x:c r="P35" s="6" t="str"/>
      <x:c r="Q35" s="6" t="str">
        <x:v>Pending</x:v>
      </x:c>
      <x:c r="R35" s="12" t="str"/>
    </x:row>
    <x:row r="36">
      <x:c r="A36" s="6" t="str">
        <x:v>MFRR-000035</x:v>
      </x:c>
      <x:c r="B36" s="6" t="str">
        <x:v>SVC000035</x:v>
      </x:c>
      <x:c r="C36" s="6" t="str">
        <x:v>Galaxy S 20 Screen replacement</x:v>
      </x:c>
      <x:c r="D36" s="6" t="str">
        <x:v>MFR-LEGACY-001</x:v>
      </x:c>
      <x:c r="E36" s="6"/>
      <x:c r="F36" s="6"/>
      <x:c r="G36" s="6" t="str">
        <x:v>Unknown</x:v>
      </x:c>
      <x:c r="H36" s="6" t="str"/>
      <x:c r="I36" s="6" t="str"/>
      <x:c r="J36" s="6" t="str">
        <x:v>Unknown</x:v>
      </x:c>
      <x:c r="K36" s="6" t="str">
        <x:v>Unknown</x:v>
      </x:c>
      <x:c r="L36" s="12" t="str">
        <x:v>Unsupported Observation</x:v>
      </x:c>
      <x:c r="M36" s="12" t="str">
        <x:v>Nocturnix_Master_Services_Catalog_v1.xlsx | 01 - Master Services | row 75</x:v>
      </x:c>
      <x:c r="N36" s="6" t="str">
        <x:v>Unresolved</x:v>
      </x:c>
      <x:c r="O36" s="6" t="str"/>
      <x:c r="P36" s="6" t="str"/>
      <x:c r="Q36" s="6" t="str">
        <x:v>Pending</x:v>
      </x:c>
      <x:c r="R36" s="12" t="str"/>
    </x:row>
    <x:row r="37">
      <x:c r="A37" s="6" t="str">
        <x:v>MFRR-000036</x:v>
      </x:c>
      <x:c r="B37" s="6" t="str">
        <x:v>SVC000036</x:v>
      </x:c>
      <x:c r="C37" s="6" t="str">
        <x:v>Galaxy S 20 Ultra Screen replacement</x:v>
      </x:c>
      <x:c r="D37" s="6" t="str">
        <x:v>MFR-LEGACY-001</x:v>
      </x:c>
      <x:c r="E37" s="6"/>
      <x:c r="F37" s="6"/>
      <x:c r="G37" s="6" t="str">
        <x:v>Unknown</x:v>
      </x:c>
      <x:c r="H37" s="6" t="str"/>
      <x:c r="I37" s="6" t="str"/>
      <x:c r="J37" s="6" t="str">
        <x:v>Unknown</x:v>
      </x:c>
      <x:c r="K37" s="6" t="str">
        <x:v>Unknown</x:v>
      </x:c>
      <x:c r="L37" s="12" t="str">
        <x:v>Unsupported Observation</x:v>
      </x:c>
      <x:c r="M37" s="12" t="str">
        <x:v>Nocturnix_Master_Services_Catalog_v1.xlsx | 01 - Master Services | row 76</x:v>
      </x:c>
      <x:c r="N37" s="6" t="str">
        <x:v>Unresolved</x:v>
      </x:c>
      <x:c r="O37" s="6" t="str"/>
      <x:c r="P37" s="6" t="str"/>
      <x:c r="Q37" s="6" t="str">
        <x:v>Pending</x:v>
      </x:c>
      <x:c r="R37" s="12" t="str"/>
    </x:row>
    <x:row r="38">
      <x:c r="A38" s="6" t="str">
        <x:v>MFRR-000037</x:v>
      </x:c>
      <x:c r="B38" s="6" t="str">
        <x:v>SVC000037</x:v>
      </x:c>
      <x:c r="C38" s="6" t="str">
        <x:v>Galaxy S 24 Plus Screen replacement</x:v>
      </x:c>
      <x:c r="D38" s="6" t="str">
        <x:v>MFR-LEGACY-001</x:v>
      </x:c>
      <x:c r="E38" s="6"/>
      <x:c r="F38" s="6"/>
      <x:c r="G38" s="6" t="str">
        <x:v>Unknown</x:v>
      </x:c>
      <x:c r="H38" s="6" t="str"/>
      <x:c r="I38" s="6" t="str"/>
      <x:c r="J38" s="6" t="str">
        <x:v>Unknown</x:v>
      </x:c>
      <x:c r="K38" s="6" t="str">
        <x:v>Unknown</x:v>
      </x:c>
      <x:c r="L38" s="12" t="str">
        <x:v>Unsupported Observation</x:v>
      </x:c>
      <x:c r="M38" s="12" t="str">
        <x:v>Nocturnix_Master_Services_Catalog_v1.xlsx | 01 - Master Services | row 77</x:v>
      </x:c>
      <x:c r="N38" s="6" t="str">
        <x:v>Unresolved</x:v>
      </x:c>
      <x:c r="O38" s="6" t="str"/>
      <x:c r="P38" s="6" t="str"/>
      <x:c r="Q38" s="6" t="str">
        <x:v>Pending</x:v>
      </x:c>
      <x:c r="R38" s="12" t="str"/>
    </x:row>
    <x:row r="39">
      <x:c r="A39" s="6" t="str">
        <x:v>MFRR-000038</x:v>
      </x:c>
      <x:c r="B39" s="6" t="str">
        <x:v>SVC000038</x:v>
      </x:c>
      <x:c r="C39" s="6" t="str">
        <x:v>Galaxy S 7 Screen replacement</x:v>
      </x:c>
      <x:c r="D39" s="6" t="str">
        <x:v>MFR-LEGACY-001</x:v>
      </x:c>
      <x:c r="E39" s="6"/>
      <x:c r="F39" s="6"/>
      <x:c r="G39" s="6" t="str">
        <x:v>Unknown</x:v>
      </x:c>
      <x:c r="H39" s="6" t="str"/>
      <x:c r="I39" s="6" t="str"/>
      <x:c r="J39" s="6" t="str">
        <x:v>Unknown</x:v>
      </x:c>
      <x:c r="K39" s="6" t="str">
        <x:v>Unknown</x:v>
      </x:c>
      <x:c r="L39" s="12" t="str">
        <x:v>Unsupported Observation</x:v>
      </x:c>
      <x:c r="M39" s="12" t="str">
        <x:v>Nocturnix_Master_Services_Catalog_v1.xlsx | 01 - Master Services | row 78</x:v>
      </x:c>
      <x:c r="N39" s="6" t="str">
        <x:v>Unresolved</x:v>
      </x:c>
      <x:c r="O39" s="6" t="str"/>
      <x:c r="P39" s="6" t="str"/>
      <x:c r="Q39" s="6" t="str">
        <x:v>Pending</x:v>
      </x:c>
      <x:c r="R39" s="12" t="str"/>
    </x:row>
    <x:row r="40">
      <x:c r="A40" s="6" t="str">
        <x:v>MFRR-000039</x:v>
      </x:c>
      <x:c r="B40" s="6" t="str">
        <x:v>SVC000039</x:v>
      </x:c>
      <x:c r="C40" s="6" t="str">
        <x:v>Galaxy S 10 Screen replacement</x:v>
      </x:c>
      <x:c r="D40" s="6" t="str">
        <x:v>MFR-LEGACY-001</x:v>
      </x:c>
      <x:c r="E40" s="6"/>
      <x:c r="F40" s="6"/>
      <x:c r="G40" s="6" t="str">
        <x:v>Unknown</x:v>
      </x:c>
      <x:c r="H40" s="6" t="str"/>
      <x:c r="I40" s="6" t="str"/>
      <x:c r="J40" s="6" t="str">
        <x:v>Unknown</x:v>
      </x:c>
      <x:c r="K40" s="6" t="str">
        <x:v>Unknown</x:v>
      </x:c>
      <x:c r="L40" s="12" t="str">
        <x:v>Unsupported Observation</x:v>
      </x:c>
      <x:c r="M40" s="12" t="str">
        <x:v>Nocturnix_Master_Services_Catalog_v1.xlsx | 01 - Master Services | row 79</x:v>
      </x:c>
      <x:c r="N40" s="6" t="str">
        <x:v>Unresolved</x:v>
      </x:c>
      <x:c r="O40" s="6" t="str"/>
      <x:c r="P40" s="6" t="str"/>
      <x:c r="Q40" s="6" t="str">
        <x:v>Pending</x:v>
      </x:c>
      <x:c r="R40" s="12" t="str"/>
    </x:row>
    <x:row r="41">
      <x:c r="A41" s="6" t="str">
        <x:v>MFRR-000040</x:v>
      </x:c>
      <x:c r="B41" s="6" t="str">
        <x:v>SVC000040</x:v>
      </x:c>
      <x:c r="C41" s="6" t="str">
        <x:v>Galaxy S 7 Edge Screen replacement</x:v>
      </x:c>
      <x:c r="D41" s="6" t="str">
        <x:v>MFR-LEGACY-001</x:v>
      </x:c>
      <x:c r="E41" s="6"/>
      <x:c r="F41" s="6"/>
      <x:c r="G41" s="6" t="str">
        <x:v>Unknown</x:v>
      </x:c>
      <x:c r="H41" s="6" t="str"/>
      <x:c r="I41" s="6" t="str"/>
      <x:c r="J41" s="6" t="str">
        <x:v>Unknown</x:v>
      </x:c>
      <x:c r="K41" s="6" t="str">
        <x:v>Unknown</x:v>
      </x:c>
      <x:c r="L41" s="12" t="str">
        <x:v>Unsupported Observation</x:v>
      </x:c>
      <x:c r="M41" s="12" t="str">
        <x:v>Nocturnix_Master_Services_Catalog_v1.xlsx | 01 - Master Services | row 80</x:v>
      </x:c>
      <x:c r="N41" s="6" t="str">
        <x:v>Unresolved</x:v>
      </x:c>
      <x:c r="O41" s="6" t="str"/>
      <x:c r="P41" s="6" t="str"/>
      <x:c r="Q41" s="6" t="str">
        <x:v>Pending</x:v>
      </x:c>
      <x:c r="R41" s="12" t="str"/>
    </x:row>
    <x:row r="42">
      <x:c r="A42" s="6" t="str">
        <x:v>MFRR-000041</x:v>
      </x:c>
      <x:c r="B42" s="6" t="str">
        <x:v>SVC000041</x:v>
      </x:c>
      <x:c r="C42" s="6" t="str">
        <x:v>Galaxy S 9 Screen replacement</x:v>
      </x:c>
      <x:c r="D42" s="6" t="str">
        <x:v>MFR-LEGACY-001</x:v>
      </x:c>
      <x:c r="E42" s="6"/>
      <x:c r="F42" s="6"/>
      <x:c r="G42" s="6" t="str">
        <x:v>Unknown</x:v>
      </x:c>
      <x:c r="H42" s="6" t="str"/>
      <x:c r="I42" s="6" t="str"/>
      <x:c r="J42" s="6" t="str">
        <x:v>Unknown</x:v>
      </x:c>
      <x:c r="K42" s="6" t="str">
        <x:v>Unknown</x:v>
      </x:c>
      <x:c r="L42" s="12" t="str">
        <x:v>Unsupported Observation</x:v>
      </x:c>
      <x:c r="M42" s="12" t="str">
        <x:v>Nocturnix_Master_Services_Catalog_v1.xlsx | 01 - Master Services | row 81</x:v>
      </x:c>
      <x:c r="N42" s="6" t="str">
        <x:v>Unresolved</x:v>
      </x:c>
      <x:c r="O42" s="6" t="str"/>
      <x:c r="P42" s="6" t="str"/>
      <x:c r="Q42" s="6" t="str">
        <x:v>Pending</x:v>
      </x:c>
      <x:c r="R42" s="12" t="str"/>
    </x:row>
    <x:row r="43">
      <x:c r="A43" s="6" t="str">
        <x:v>MFRR-000042</x:v>
      </x:c>
      <x:c r="B43" s="6" t="str">
        <x:v>SVC000042</x:v>
      </x:c>
      <x:c r="C43" s="6" t="str">
        <x:v>Galaxy S 23 Screen replacement</x:v>
      </x:c>
      <x:c r="D43" s="6" t="str">
        <x:v>MFR-LEGACY-001</x:v>
      </x:c>
      <x:c r="E43" s="6"/>
      <x:c r="F43" s="6"/>
      <x:c r="G43" s="6" t="str">
        <x:v>Unknown</x:v>
      </x:c>
      <x:c r="H43" s="6" t="str"/>
      <x:c r="I43" s="6" t="str"/>
      <x:c r="J43" s="6" t="str">
        <x:v>Unknown</x:v>
      </x:c>
      <x:c r="K43" s="6" t="str">
        <x:v>Unknown</x:v>
      </x:c>
      <x:c r="L43" s="12" t="str">
        <x:v>Unsupported Observation</x:v>
      </x:c>
      <x:c r="M43" s="12" t="str">
        <x:v>Nocturnix_Master_Services_Catalog_v1.xlsx | 01 - Master Services | row 82</x:v>
      </x:c>
      <x:c r="N43" s="6" t="str">
        <x:v>Unresolved</x:v>
      </x:c>
      <x:c r="O43" s="6" t="str"/>
      <x:c r="P43" s="6" t="str"/>
      <x:c r="Q43" s="6" t="str">
        <x:v>Pending</x:v>
      </x:c>
      <x:c r="R43" s="12" t="str"/>
    </x:row>
    <x:row r="44">
      <x:c r="A44" s="6" t="str">
        <x:v>MFRR-000043</x:v>
      </x:c>
      <x:c r="B44" s="6" t="str">
        <x:v>SVC000043</x:v>
      </x:c>
      <x:c r="C44" s="6" t="str">
        <x:v>Galaxy S 23 FE Screen replacement</x:v>
      </x:c>
      <x:c r="D44" s="6" t="str">
        <x:v>MFR-LEGACY-001</x:v>
      </x:c>
      <x:c r="E44" s="6"/>
      <x:c r="F44" s="6"/>
      <x:c r="G44" s="6" t="str">
        <x:v>Unknown</x:v>
      </x:c>
      <x:c r="H44" s="6" t="str"/>
      <x:c r="I44" s="6" t="str"/>
      <x:c r="J44" s="6" t="str">
        <x:v>Unknown</x:v>
      </x:c>
      <x:c r="K44" s="6" t="str">
        <x:v>Unknown</x:v>
      </x:c>
      <x:c r="L44" s="12" t="str">
        <x:v>Unsupported Observation</x:v>
      </x:c>
      <x:c r="M44" s="12" t="str">
        <x:v>Nocturnix_Master_Services_Catalog_v1.xlsx | 01 - Master Services | row 83</x:v>
      </x:c>
      <x:c r="N44" s="6" t="str">
        <x:v>Unresolved</x:v>
      </x:c>
      <x:c r="O44" s="6" t="str"/>
      <x:c r="P44" s="6" t="str"/>
      <x:c r="Q44" s="6" t="str">
        <x:v>Pending</x:v>
      </x:c>
      <x:c r="R44" s="12" t="str"/>
    </x:row>
    <x:row r="45">
      <x:c r="A45" s="6" t="str">
        <x:v>MFRR-000044</x:v>
      </x:c>
      <x:c r="B45" s="6" t="str">
        <x:v>SVC000044</x:v>
      </x:c>
      <x:c r="C45" s="6" t="str">
        <x:v>Galaxy S3 Mini Screen replacement</x:v>
      </x:c>
      <x:c r="D45" s="6" t="str">
        <x:v>MFR-LEGACY-001</x:v>
      </x:c>
      <x:c r="E45" s="6"/>
      <x:c r="F45" s="6"/>
      <x:c r="G45" s="6" t="str">
        <x:v>Unknown</x:v>
      </x:c>
      <x:c r="H45" s="6" t="str"/>
      <x:c r="I45" s="6" t="str"/>
      <x:c r="J45" s="6" t="str">
        <x:v>Unknown</x:v>
      </x:c>
      <x:c r="K45" s="6" t="str">
        <x:v>Unknown</x:v>
      </x:c>
      <x:c r="L45" s="12" t="str">
        <x:v>Unsupported Observation</x:v>
      </x:c>
      <x:c r="M45" s="12" t="str">
        <x:v>Nocturnix_Master_Services_Catalog_v1.xlsx | 01 - Master Services | row 84</x:v>
      </x:c>
      <x:c r="N45" s="6" t="str">
        <x:v>Unresolved</x:v>
      </x:c>
      <x:c r="O45" s="6" t="str"/>
      <x:c r="P45" s="6" t="str"/>
      <x:c r="Q45" s="6" t="str">
        <x:v>Pending</x:v>
      </x:c>
      <x:c r="R45" s="12" t="str"/>
    </x:row>
    <x:row r="46">
      <x:c r="A46" s="6" t="str">
        <x:v>MFRR-000045</x:v>
      </x:c>
      <x:c r="B46" s="6" t="str">
        <x:v>SVC000045</x:v>
      </x:c>
      <x:c r="C46" s="6" t="str">
        <x:v>Galaxy S 4 Mini Screen replacement</x:v>
      </x:c>
      <x:c r="D46" s="6" t="str">
        <x:v>MFR-LEGACY-001</x:v>
      </x:c>
      <x:c r="E46" s="6"/>
      <x:c r="F46" s="6"/>
      <x:c r="G46" s="6" t="str">
        <x:v>Unknown</x:v>
      </x:c>
      <x:c r="H46" s="6" t="str"/>
      <x:c r="I46" s="6" t="str"/>
      <x:c r="J46" s="6" t="str">
        <x:v>Unknown</x:v>
      </x:c>
      <x:c r="K46" s="6" t="str">
        <x:v>Unknown</x:v>
      </x:c>
      <x:c r="L46" s="12" t="str">
        <x:v>Unsupported Observation</x:v>
      </x:c>
      <x:c r="M46" s="12" t="str">
        <x:v>Nocturnix_Master_Services_Catalog_v1.xlsx | 01 - Master Services | row 85</x:v>
      </x:c>
      <x:c r="N46" s="6" t="str">
        <x:v>Unresolved</x:v>
      </x:c>
      <x:c r="O46" s="6" t="str"/>
      <x:c r="P46" s="6" t="str"/>
      <x:c r="Q46" s="6" t="str">
        <x:v>Pending</x:v>
      </x:c>
      <x:c r="R46" s="12" t="str"/>
    </x:row>
    <x:row r="47">
      <x:c r="A47" s="6" t="str">
        <x:v>MFRR-000046</x:v>
      </x:c>
      <x:c r="B47" s="6" t="str">
        <x:v>SVC000046</x:v>
      </x:c>
      <x:c r="C47" s="6" t="str">
        <x:v>Galaxy S Classic Screen replacement</x:v>
      </x:c>
      <x:c r="D47" s="6" t="str">
        <x:v>MFR-LEGACY-001</x:v>
      </x:c>
      <x:c r="E47" s="6"/>
      <x:c r="F47" s="6"/>
      <x:c r="G47" s="6" t="str">
        <x:v>Unknown</x:v>
      </x:c>
      <x:c r="H47" s="6" t="str"/>
      <x:c r="I47" s="6" t="str"/>
      <x:c r="J47" s="6" t="str">
        <x:v>Unknown</x:v>
      </x:c>
      <x:c r="K47" s="6" t="str">
        <x:v>Unknown</x:v>
      </x:c>
      <x:c r="L47" s="12" t="str">
        <x:v>Unsupported Observation</x:v>
      </x:c>
      <x:c r="M47" s="12" t="str">
        <x:v>Nocturnix_Master_Services_Catalog_v1.xlsx | 01 - Master Services | row 86</x:v>
      </x:c>
      <x:c r="N47" s="6" t="str">
        <x:v>Unresolved</x:v>
      </x:c>
      <x:c r="O47" s="6" t="str"/>
      <x:c r="P47" s="6" t="str"/>
      <x:c r="Q47" s="6" t="str">
        <x:v>Pending</x:v>
      </x:c>
      <x:c r="R47" s="12" t="str"/>
    </x:row>
    <x:row r="48">
      <x:c r="A48" s="6" t="str">
        <x:v>MFRR-000047</x:v>
      </x:c>
      <x:c r="B48" s="6" t="str">
        <x:v>SVC000047</x:v>
      </x:c>
      <x:c r="C48" s="6" t="str">
        <x:v>Galaxy S 5 Active Screen replacement</x:v>
      </x:c>
      <x:c r="D48" s="6" t="str">
        <x:v>MFR-LEGACY-001</x:v>
      </x:c>
      <x:c r="E48" s="6"/>
      <x:c r="F48" s="6"/>
      <x:c r="G48" s="6" t="str">
        <x:v>Unknown</x:v>
      </x:c>
      <x:c r="H48" s="6" t="str"/>
      <x:c r="I48" s="6" t="str"/>
      <x:c r="J48" s="6" t="str">
        <x:v>Unknown</x:v>
      </x:c>
      <x:c r="K48" s="6" t="str">
        <x:v>Unknown</x:v>
      </x:c>
      <x:c r="L48" s="12" t="str">
        <x:v>Unsupported Observation</x:v>
      </x:c>
      <x:c r="M48" s="12" t="str">
        <x:v>Nocturnix_Master_Services_Catalog_v1.xlsx | 01 - Master Services | row 87</x:v>
      </x:c>
      <x:c r="N48" s="6" t="str">
        <x:v>Unresolved</x:v>
      </x:c>
      <x:c r="O48" s="6" t="str"/>
      <x:c r="P48" s="6" t="str"/>
      <x:c r="Q48" s="6" t="str">
        <x:v>Pending</x:v>
      </x:c>
      <x:c r="R48" s="12" t="str"/>
    </x:row>
    <x:row r="49">
      <x:c r="A49" s="6" t="str">
        <x:v>MFRR-000048</x:v>
      </x:c>
      <x:c r="B49" s="6" t="str">
        <x:v>SVC000048</x:v>
      </x:c>
      <x:c r="C49" s="6" t="str">
        <x:v>Galaxy S 5 Neo Screen replacement</x:v>
      </x:c>
      <x:c r="D49" s="6" t="str">
        <x:v>MFR-LEGACY-001</x:v>
      </x:c>
      <x:c r="E49" s="6"/>
      <x:c r="F49" s="6"/>
      <x:c r="G49" s="6" t="str">
        <x:v>Unknown</x:v>
      </x:c>
      <x:c r="H49" s="6" t="str"/>
      <x:c r="I49" s="6" t="str"/>
      <x:c r="J49" s="6" t="str">
        <x:v>Unknown</x:v>
      </x:c>
      <x:c r="K49" s="6" t="str">
        <x:v>Unknown</x:v>
      </x:c>
      <x:c r="L49" s="12" t="str">
        <x:v>Unsupported Observation</x:v>
      </x:c>
      <x:c r="M49" s="12" t="str">
        <x:v>Nocturnix_Master_Services_Catalog_v1.xlsx | 01 - Master Services | row 88</x:v>
      </x:c>
      <x:c r="N49" s="6" t="str">
        <x:v>Unresolved</x:v>
      </x:c>
      <x:c r="O49" s="6" t="str"/>
      <x:c r="P49" s="6" t="str"/>
      <x:c r="Q49" s="6" t="str">
        <x:v>Pending</x:v>
      </x:c>
      <x:c r="R49" s="12" t="str"/>
    </x:row>
    <x:row r="50">
      <x:c r="A50" s="6" t="str">
        <x:v>MFRR-000049</x:v>
      </x:c>
      <x:c r="B50" s="6" t="str">
        <x:v>SVC000049</x:v>
      </x:c>
      <x:c r="C50" s="6" t="str">
        <x:v>Galaxy S2 Screen replacement</x:v>
      </x:c>
      <x:c r="D50" s="6" t="str">
        <x:v>MFR-LEGACY-001</x:v>
      </x:c>
      <x:c r="E50" s="6"/>
      <x:c r="F50" s="6"/>
      <x:c r="G50" s="6" t="str">
        <x:v>Unknown</x:v>
      </x:c>
      <x:c r="H50" s="6" t="str"/>
      <x:c r="I50" s="6" t="str"/>
      <x:c r="J50" s="6" t="str">
        <x:v>Unknown</x:v>
      </x:c>
      <x:c r="K50" s="6" t="str">
        <x:v>Unknown</x:v>
      </x:c>
      <x:c r="L50" s="12" t="str">
        <x:v>Unsupported Observation</x:v>
      </x:c>
      <x:c r="M50" s="12" t="str">
        <x:v>Nocturnix_Master_Services_Catalog_v1.xlsx | 01 - Master Services | row 89</x:v>
      </x:c>
      <x:c r="N50" s="6" t="str">
        <x:v>Unresolved</x:v>
      </x:c>
      <x:c r="O50" s="6" t="str"/>
      <x:c r="P50" s="6" t="str"/>
      <x:c r="Q50" s="6" t="str">
        <x:v>Pending</x:v>
      </x:c>
      <x:c r="R50" s="12" t="str"/>
    </x:row>
    <x:row r="51">
      <x:c r="A51" s="6" t="str">
        <x:v>MFRR-000050</x:v>
      </x:c>
      <x:c r="B51" s="6" t="str">
        <x:v>SVC000050</x:v>
      </x:c>
      <x:c r="C51" s="6" t="str">
        <x:v>Galaxy S3 Neo Screen replacement</x:v>
      </x:c>
      <x:c r="D51" s="6" t="str">
        <x:v>MFR-LEGACY-001</x:v>
      </x:c>
      <x:c r="E51" s="6"/>
      <x:c r="F51" s="6"/>
      <x:c r="G51" s="6" t="str">
        <x:v>Unknown</x:v>
      </x:c>
      <x:c r="H51" s="6" t="str"/>
      <x:c r="I51" s="6" t="str"/>
      <x:c r="J51" s="6" t="str">
        <x:v>Unknown</x:v>
      </x:c>
      <x:c r="K51" s="6" t="str">
        <x:v>Unknown</x:v>
      </x:c>
      <x:c r="L51" s="12" t="str">
        <x:v>Unsupported Observation</x:v>
      </x:c>
      <x:c r="M51" s="12" t="str">
        <x:v>Nocturnix_Master_Services_Catalog_v1.xlsx | 01 - Master Services | row 90</x:v>
      </x:c>
      <x:c r="N51" s="6" t="str">
        <x:v>Unresolved</x:v>
      </x:c>
      <x:c r="O51" s="6" t="str"/>
      <x:c r="P51" s="6" t="str"/>
      <x:c r="Q51" s="6" t="str">
        <x:v>Pending</x:v>
      </x:c>
      <x:c r="R51" s="12" t="str"/>
    </x:row>
    <x:row r="52">
      <x:c r="A52" s="6" t="str">
        <x:v>MFRR-000051</x:v>
      </x:c>
      <x:c r="B52" s="6" t="str">
        <x:v>SVC000051</x:v>
      </x:c>
      <x:c r="C52" s="6" t="str">
        <x:v>Galaxy S3 Screen replacement</x:v>
      </x:c>
      <x:c r="D52" s="6" t="str">
        <x:v>MFR-LEGACY-001</x:v>
      </x:c>
      <x:c r="E52" s="6"/>
      <x:c r="F52" s="6"/>
      <x:c r="G52" s="6" t="str">
        <x:v>Unknown</x:v>
      </x:c>
      <x:c r="H52" s="6" t="str"/>
      <x:c r="I52" s="6" t="str"/>
      <x:c r="J52" s="6" t="str">
        <x:v>Unknown</x:v>
      </x:c>
      <x:c r="K52" s="6" t="str">
        <x:v>Unknown</x:v>
      </x:c>
      <x:c r="L52" s="12" t="str">
        <x:v>Unsupported Observation</x:v>
      </x:c>
      <x:c r="M52" s="12" t="str">
        <x:v>Nocturnix_Master_Services_Catalog_v1.xlsx | 01 - Master Services | row 91</x:v>
      </x:c>
      <x:c r="N52" s="6" t="str">
        <x:v>Unresolved</x:v>
      </x:c>
      <x:c r="O52" s="6" t="str"/>
      <x:c r="P52" s="6" t="str"/>
      <x:c r="Q52" s="6" t="str">
        <x:v>Pending</x:v>
      </x:c>
      <x:c r="R52" s="12" t="str"/>
    </x:row>
    <x:row r="53">
      <x:c r="A53" s="6" t="str">
        <x:v>MFRR-000052</x:v>
      </x:c>
      <x:c r="B53" s="6" t="str">
        <x:v>SVC000052</x:v>
      </x:c>
      <x:c r="C53" s="6" t="str">
        <x:v>Galaxy S4 Screen replacement</x:v>
      </x:c>
      <x:c r="D53" s="6" t="str">
        <x:v>MFR-LEGACY-001</x:v>
      </x:c>
      <x:c r="E53" s="6"/>
      <x:c r="F53" s="6"/>
      <x:c r="G53" s="6" t="str">
        <x:v>Unknown</x:v>
      </x:c>
      <x:c r="H53" s="6" t="str"/>
      <x:c r="I53" s="6" t="str"/>
      <x:c r="J53" s="6" t="str">
        <x:v>Unknown</x:v>
      </x:c>
      <x:c r="K53" s="6" t="str">
        <x:v>Unknown</x:v>
      </x:c>
      <x:c r="L53" s="12" t="str">
        <x:v>Unsupported Observation</x:v>
      </x:c>
      <x:c r="M53" s="12" t="str">
        <x:v>Nocturnix_Master_Services_Catalog_v1.xlsx | 01 - Master Services | row 92</x:v>
      </x:c>
      <x:c r="N53" s="6" t="str">
        <x:v>Unresolved</x:v>
      </x:c>
      <x:c r="O53" s="6" t="str"/>
      <x:c r="P53" s="6" t="str"/>
      <x:c r="Q53" s="6" t="str">
        <x:v>Pending</x:v>
      </x:c>
      <x:c r="R53" s="12" t="str"/>
    </x:row>
    <x:row r="54">
      <x:c r="A54" s="6" t="str">
        <x:v>MFRR-000053</x:v>
      </x:c>
      <x:c r="B54" s="6" t="str">
        <x:v>SVC000053</x:v>
      </x:c>
      <x:c r="C54" s="6" t="str">
        <x:v>Galaxy S 4 Active Screen replacement</x:v>
      </x:c>
      <x:c r="D54" s="6" t="str">
        <x:v>MFR-LEGACY-001</x:v>
      </x:c>
      <x:c r="E54" s="6"/>
      <x:c r="F54" s="6"/>
      <x:c r="G54" s="6" t="str">
        <x:v>Unknown</x:v>
      </x:c>
      <x:c r="H54" s="6" t="str"/>
      <x:c r="I54" s="6" t="str"/>
      <x:c r="J54" s="6" t="str">
        <x:v>Unknown</x:v>
      </x:c>
      <x:c r="K54" s="6" t="str">
        <x:v>Unknown</x:v>
      </x:c>
      <x:c r="L54" s="12" t="str">
        <x:v>Unsupported Observation</x:v>
      </x:c>
      <x:c r="M54" s="12" t="str">
        <x:v>Nocturnix_Master_Services_Catalog_v1.xlsx | 01 - Master Services | row 93</x:v>
      </x:c>
      <x:c r="N54" s="6" t="str">
        <x:v>Unresolved</x:v>
      </x:c>
      <x:c r="O54" s="6" t="str"/>
      <x:c r="P54" s="6" t="str"/>
      <x:c r="Q54" s="6" t="str">
        <x:v>Pending</x:v>
      </x:c>
      <x:c r="R54" s="12" t="str"/>
    </x:row>
    <x:row r="55">
      <x:c r="A55" s="6" t="str">
        <x:v>MFRR-000054</x:v>
      </x:c>
      <x:c r="B55" s="6" t="str">
        <x:v>SVC000054</x:v>
      </x:c>
      <x:c r="C55" s="6" t="str">
        <x:v>Galaxy S 5 Screen replacement</x:v>
      </x:c>
      <x:c r="D55" s="6" t="str">
        <x:v>MFR-LEGACY-001</x:v>
      </x:c>
      <x:c r="E55" s="6"/>
      <x:c r="F55" s="6"/>
      <x:c r="G55" s="6" t="str">
        <x:v>Unknown</x:v>
      </x:c>
      <x:c r="H55" s="6" t="str"/>
      <x:c r="I55" s="6" t="str"/>
      <x:c r="J55" s="6" t="str">
        <x:v>Unknown</x:v>
      </x:c>
      <x:c r="K55" s="6" t="str">
        <x:v>Unknown</x:v>
      </x:c>
      <x:c r="L55" s="12" t="str">
        <x:v>Unsupported Observation</x:v>
      </x:c>
      <x:c r="M55" s="12" t="str">
        <x:v>Nocturnix_Master_Services_Catalog_v1.xlsx | 01 - Master Services | row 94</x:v>
      </x:c>
      <x:c r="N55" s="6" t="str">
        <x:v>Unresolved</x:v>
      </x:c>
      <x:c r="O55" s="6" t="str"/>
      <x:c r="P55" s="6" t="str"/>
      <x:c r="Q55" s="6" t="str">
        <x:v>Pending</x:v>
      </x:c>
      <x:c r="R55" s="12" t="str"/>
    </x:row>
    <x:row r="56">
      <x:c r="A56" s="6" t="str">
        <x:v>MFRR-000055</x:v>
      </x:c>
      <x:c r="B56" s="6" t="str">
        <x:v>SVC000055</x:v>
      </x:c>
      <x:c r="C56" s="6" t="str">
        <x:v>iPhone X Screen replacement</x:v>
      </x:c>
      <x:c r="D56" s="6" t="str">
        <x:v>MFR-LEGACY-001</x:v>
      </x:c>
      <x:c r="E56" s="6"/>
      <x:c r="F56" s="6"/>
      <x:c r="G56" s="6" t="str">
        <x:v>Unknown</x:v>
      </x:c>
      <x:c r="H56" s="6" t="str"/>
      <x:c r="I56" s="6" t="str"/>
      <x:c r="J56" s="6" t="str">
        <x:v>Unknown</x:v>
      </x:c>
      <x:c r="K56" s="6" t="str">
        <x:v>Unknown</x:v>
      </x:c>
      <x:c r="L56" s="12" t="str">
        <x:v>Unsupported Observation</x:v>
      </x:c>
      <x:c r="M56" s="12" t="str">
        <x:v>Nocturnix_Master_Services_Catalog_v1.xlsx | 01 - Master Services | row 95</x:v>
      </x:c>
      <x:c r="N56" s="6" t="str">
        <x:v>Unresolved</x:v>
      </x:c>
      <x:c r="O56" s="6" t="str"/>
      <x:c r="P56" s="6" t="str"/>
      <x:c r="Q56" s="6" t="str">
        <x:v>Pending</x:v>
      </x:c>
      <x:c r="R56" s="12" t="str"/>
    </x:row>
    <x:row r="57">
      <x:c r="A57" s="6" t="str">
        <x:v>MFRR-000056</x:v>
      </x:c>
      <x:c r="B57" s="6" t="str">
        <x:v>SVC000056</x:v>
      </x:c>
      <x:c r="C57" s="6" t="str">
        <x:v>iPhone XS Max Screen replacement</x:v>
      </x:c>
      <x:c r="D57" s="6" t="str">
        <x:v>MFR-LEGACY-001</x:v>
      </x:c>
      <x:c r="E57" s="6"/>
      <x:c r="F57" s="6"/>
      <x:c r="G57" s="6" t="str">
        <x:v>Unknown</x:v>
      </x:c>
      <x:c r="H57" s="6" t="str"/>
      <x:c r="I57" s="6" t="str"/>
      <x:c r="J57" s="6" t="str">
        <x:v>Unknown</x:v>
      </x:c>
      <x:c r="K57" s="6" t="str">
        <x:v>Unknown</x:v>
      </x:c>
      <x:c r="L57" s="12" t="str">
        <x:v>Unsupported Observation</x:v>
      </x:c>
      <x:c r="M57" s="12" t="str">
        <x:v>Nocturnix_Master_Services_Catalog_v1.xlsx | 01 - Master Services | row 96</x:v>
      </x:c>
      <x:c r="N57" s="6" t="str">
        <x:v>Unresolved</x:v>
      </x:c>
      <x:c r="O57" s="6" t="str"/>
      <x:c r="P57" s="6" t="str"/>
      <x:c r="Q57" s="6" t="str">
        <x:v>Pending</x:v>
      </x:c>
      <x:c r="R57" s="12" t="str"/>
    </x:row>
    <x:row r="58">
      <x:c r="A58" s="6" t="str">
        <x:v>MFRR-000057</x:v>
      </x:c>
      <x:c r="B58" s="6" t="str">
        <x:v>SVC000057</x:v>
      </x:c>
      <x:c r="C58" s="6" t="str">
        <x:v>iPhone 12 Screen replacement</x:v>
      </x:c>
      <x:c r="D58" s="6" t="str">
        <x:v>MFR-LEGACY-001</x:v>
      </x:c>
      <x:c r="E58" s="6"/>
      <x:c r="F58" s="6"/>
      <x:c r="G58" s="6" t="str">
        <x:v>Unknown</x:v>
      </x:c>
      <x:c r="H58" s="6" t="str"/>
      <x:c r="I58" s="6" t="str"/>
      <x:c r="J58" s="6" t="str">
        <x:v>Unknown</x:v>
      </x:c>
      <x:c r="K58" s="6" t="str">
        <x:v>Unknown</x:v>
      </x:c>
      <x:c r="L58" s="12" t="str">
        <x:v>Unsupported Observation</x:v>
      </x:c>
      <x:c r="M58" s="12" t="str">
        <x:v>Nocturnix_Master_Services_Catalog_v1.xlsx | 01 - Master Services | row 97</x:v>
      </x:c>
      <x:c r="N58" s="6" t="str">
        <x:v>Unresolved</x:v>
      </x:c>
      <x:c r="O58" s="6" t="str"/>
      <x:c r="P58" s="6" t="str"/>
      <x:c r="Q58" s="6" t="str">
        <x:v>Pending</x:v>
      </x:c>
      <x:c r="R58" s="12" t="str"/>
    </x:row>
    <x:row r="59">
      <x:c r="A59" s="6" t="str">
        <x:v>MFRR-000058</x:v>
      </x:c>
      <x:c r="B59" s="6" t="str">
        <x:v>SVC000058</x:v>
      </x:c>
      <x:c r="C59" s="6" t="str">
        <x:v>iPhone 12 Pro Max Screen replacement</x:v>
      </x:c>
      <x:c r="D59" s="6" t="str">
        <x:v>MFR-LEGACY-001</x:v>
      </x:c>
      <x:c r="E59" s="6"/>
      <x:c r="F59" s="6"/>
      <x:c r="G59" s="6" t="str">
        <x:v>Unknown</x:v>
      </x:c>
      <x:c r="H59" s="6" t="str"/>
      <x:c r="I59" s="6" t="str"/>
      <x:c r="J59" s="6" t="str">
        <x:v>Unknown</x:v>
      </x:c>
      <x:c r="K59" s="6" t="str">
        <x:v>Unknown</x:v>
      </x:c>
      <x:c r="L59" s="12" t="str">
        <x:v>Unsupported Observation</x:v>
      </x:c>
      <x:c r="M59" s="12" t="str">
        <x:v>Nocturnix_Master_Services_Catalog_v1.xlsx | 01 - Master Services | row 98</x:v>
      </x:c>
      <x:c r="N59" s="6" t="str">
        <x:v>Unresolved</x:v>
      </x:c>
      <x:c r="O59" s="6" t="str"/>
      <x:c r="P59" s="6" t="str"/>
      <x:c r="Q59" s="6" t="str">
        <x:v>Pending</x:v>
      </x:c>
      <x:c r="R59" s="12" t="str"/>
    </x:row>
    <x:row r="60">
      <x:c r="A60" s="6" t="str">
        <x:v>MFRR-000059</x:v>
      </x:c>
      <x:c r="B60" s="6" t="str">
        <x:v>SVC000059</x:v>
      </x:c>
      <x:c r="C60" s="6" t="str">
        <x:v>iPhone 12 Mini Screen replacement</x:v>
      </x:c>
      <x:c r="D60" s="6" t="str">
        <x:v>MFR-LEGACY-001</x:v>
      </x:c>
      <x:c r="E60" s="6"/>
      <x:c r="F60" s="6"/>
      <x:c r="G60" s="6" t="str">
        <x:v>Unknown</x:v>
      </x:c>
      <x:c r="H60" s="6" t="str"/>
      <x:c r="I60" s="6" t="str"/>
      <x:c r="J60" s="6" t="str">
        <x:v>Unknown</x:v>
      </x:c>
      <x:c r="K60" s="6" t="str">
        <x:v>Unknown</x:v>
      </x:c>
      <x:c r="L60" s="12" t="str">
        <x:v>Unsupported Observation</x:v>
      </x:c>
      <x:c r="M60" s="12" t="str">
        <x:v>Nocturnix_Master_Services_Catalog_v1.xlsx | 01 - Master Services | row 99</x:v>
      </x:c>
      <x:c r="N60" s="6" t="str">
        <x:v>Unresolved</x:v>
      </x:c>
      <x:c r="O60" s="6" t="str"/>
      <x:c r="P60" s="6" t="str"/>
      <x:c r="Q60" s="6" t="str">
        <x:v>Pending</x:v>
      </x:c>
      <x:c r="R60" s="12" t="str"/>
    </x:row>
    <x:row r="61">
      <x:c r="A61" s="6" t="str">
        <x:v>MFRR-000060</x:v>
      </x:c>
      <x:c r="B61" s="6" t="str">
        <x:v>SVC000060</x:v>
      </x:c>
      <x:c r="C61" s="6" t="str">
        <x:v>iPhone 11 Pro Screen replacement</x:v>
      </x:c>
      <x:c r="D61" s="6" t="str">
        <x:v>MFR-LEGACY-001</x:v>
      </x:c>
      <x:c r="E61" s="6"/>
      <x:c r="F61" s="6"/>
      <x:c r="G61" s="6" t="str">
        <x:v>Unknown</x:v>
      </x:c>
      <x:c r="H61" s="6" t="str"/>
      <x:c r="I61" s="6" t="str"/>
      <x:c r="J61" s="6" t="str">
        <x:v>Unknown</x:v>
      </x:c>
      <x:c r="K61" s="6" t="str">
        <x:v>Unknown</x:v>
      </x:c>
      <x:c r="L61" s="12" t="str">
        <x:v>Unsupported Observation</x:v>
      </x:c>
      <x:c r="M61" s="12" t="str">
        <x:v>Nocturnix_Master_Services_Catalog_v1.xlsx | 01 - Master Services | row 100</x:v>
      </x:c>
      <x:c r="N61" s="6" t="str">
        <x:v>Unresolved</x:v>
      </x:c>
      <x:c r="O61" s="6" t="str"/>
      <x:c r="P61" s="6" t="str"/>
      <x:c r="Q61" s="6" t="str">
        <x:v>Pending</x:v>
      </x:c>
      <x:c r="R61" s="12" t="str"/>
    </x:row>
    <x:row r="62">
      <x:c r="A62" s="6" t="str">
        <x:v>MFRR-000061</x:v>
      </x:c>
      <x:c r="B62" s="6" t="str">
        <x:v>SVC000061</x:v>
      </x:c>
      <x:c r="C62" s="6" t="str">
        <x:v>iPhone 11 Screen replacement</x:v>
      </x:c>
      <x:c r="D62" s="6" t="str">
        <x:v>MFR-LEGACY-001</x:v>
      </x:c>
      <x:c r="E62" s="6"/>
      <x:c r="F62" s="6"/>
      <x:c r="G62" s="6" t="str">
        <x:v>Unknown</x:v>
      </x:c>
      <x:c r="H62" s="6" t="str"/>
      <x:c r="I62" s="6" t="str"/>
      <x:c r="J62" s="6" t="str">
        <x:v>Unknown</x:v>
      </x:c>
      <x:c r="K62" s="6" t="str">
        <x:v>Unknown</x:v>
      </x:c>
      <x:c r="L62" s="12" t="str">
        <x:v>Unsupported Observation</x:v>
      </x:c>
      <x:c r="M62" s="12" t="str">
        <x:v>Nocturnix_Master_Services_Catalog_v1.xlsx | 01 - Master Services | row 101</x:v>
      </x:c>
      <x:c r="N62" s="6" t="str">
        <x:v>Unresolved</x:v>
      </x:c>
      <x:c r="O62" s="6" t="str"/>
      <x:c r="P62" s="6" t="str"/>
      <x:c r="Q62" s="6" t="str">
        <x:v>Pending</x:v>
      </x:c>
      <x:c r="R62" s="12" t="str"/>
    </x:row>
    <x:row r="63">
      <x:c r="A63" s="6" t="str">
        <x:v>MFRR-000062</x:v>
      </x:c>
      <x:c r="B63" s="6" t="str">
        <x:v>SVC000062</x:v>
      </x:c>
      <x:c r="C63" s="6" t="str">
        <x:v>iPhone 11 Pro Max Screen replacement</x:v>
      </x:c>
      <x:c r="D63" s="6" t="str">
        <x:v>MFR-LEGACY-001</x:v>
      </x:c>
      <x:c r="E63" s="6"/>
      <x:c r="F63" s="6"/>
      <x:c r="G63" s="6" t="str">
        <x:v>Unknown</x:v>
      </x:c>
      <x:c r="H63" s="6" t="str"/>
      <x:c r="I63" s="6" t="str"/>
      <x:c r="J63" s="6" t="str">
        <x:v>Unknown</x:v>
      </x:c>
      <x:c r="K63" s="6" t="str">
        <x:v>Unknown</x:v>
      </x:c>
      <x:c r="L63" s="12" t="str">
        <x:v>Unsupported Observation</x:v>
      </x:c>
      <x:c r="M63" s="12" t="str">
        <x:v>Nocturnix_Master_Services_Catalog_v1.xlsx | 01 - Master Services | row 102</x:v>
      </x:c>
      <x:c r="N63" s="6" t="str">
        <x:v>Unresolved</x:v>
      </x:c>
      <x:c r="O63" s="6" t="str"/>
      <x:c r="P63" s="6" t="str"/>
      <x:c r="Q63" s="6" t="str">
        <x:v>Pending</x:v>
      </x:c>
      <x:c r="R63" s="12" t="str"/>
    </x:row>
    <x:row r="64">
      <x:c r="A64" s="6" t="str">
        <x:v>MFRR-000063</x:v>
      </x:c>
      <x:c r="B64" s="6" t="str">
        <x:v>SVC000063</x:v>
      </x:c>
      <x:c r="C64" s="6" t="str">
        <x:v>iPhone 12 Pro Screen replacement</x:v>
      </x:c>
      <x:c r="D64" s="6" t="str">
        <x:v>MFR-LEGACY-001</x:v>
      </x:c>
      <x:c r="E64" s="6"/>
      <x:c r="F64" s="6"/>
      <x:c r="G64" s="6" t="str">
        <x:v>Unknown</x:v>
      </x:c>
      <x:c r="H64" s="6" t="str"/>
      <x:c r="I64" s="6" t="str"/>
      <x:c r="J64" s="6" t="str">
        <x:v>Unknown</x:v>
      </x:c>
      <x:c r="K64" s="6" t="str">
        <x:v>Unknown</x:v>
      </x:c>
      <x:c r="L64" s="12" t="str">
        <x:v>Unsupported Observation</x:v>
      </x:c>
      <x:c r="M64" s="12" t="str">
        <x:v>Nocturnix_Master_Services_Catalog_v1.xlsx | 01 - Master Services | row 103</x:v>
      </x:c>
      <x:c r="N64" s="6" t="str">
        <x:v>Unresolved</x:v>
      </x:c>
      <x:c r="O64" s="6" t="str"/>
      <x:c r="P64" s="6" t="str"/>
      <x:c r="Q64" s="6" t="str">
        <x:v>Pending</x:v>
      </x:c>
      <x:c r="R64" s="12" t="str"/>
    </x:row>
    <x:row r="65">
      <x:c r="A65" s="6" t="str">
        <x:v>MFRR-000064</x:v>
      </x:c>
      <x:c r="B65" s="6" t="str">
        <x:v>SVC000064</x:v>
      </x:c>
      <x:c r="C65" s="6" t="str">
        <x:v>iPhone 13 Pro Screen replacement</x:v>
      </x:c>
      <x:c r="D65" s="6" t="str">
        <x:v>MFR-LEGACY-001</x:v>
      </x:c>
      <x:c r="E65" s="6"/>
      <x:c r="F65" s="6"/>
      <x:c r="G65" s="6" t="str">
        <x:v>Unknown</x:v>
      </x:c>
      <x:c r="H65" s="6" t="str"/>
      <x:c r="I65" s="6" t="str"/>
      <x:c r="J65" s="6" t="str">
        <x:v>Unknown</x:v>
      </x:c>
      <x:c r="K65" s="6" t="str">
        <x:v>Unknown</x:v>
      </x:c>
      <x:c r="L65" s="12" t="str">
        <x:v>Unsupported Observation</x:v>
      </x:c>
      <x:c r="M65" s="12" t="str">
        <x:v>Nocturnix_Master_Services_Catalog_v1.xlsx | 01 - Master Services | row 104</x:v>
      </x:c>
      <x:c r="N65" s="6" t="str">
        <x:v>Unresolved</x:v>
      </x:c>
      <x:c r="O65" s="6" t="str"/>
      <x:c r="P65" s="6" t="str"/>
      <x:c r="Q65" s="6" t="str">
        <x:v>Pending</x:v>
      </x:c>
      <x:c r="R65" s="12" t="str"/>
    </x:row>
    <x:row r="66">
      <x:c r="A66" s="6" t="str">
        <x:v>MFRR-000065</x:v>
      </x:c>
      <x:c r="B66" s="6" t="str">
        <x:v>SVC000065</x:v>
      </x:c>
      <x:c r="C66" s="6" t="str">
        <x:v>iPhone 13 Screen replacement</x:v>
      </x:c>
      <x:c r="D66" s="6" t="str">
        <x:v>MFR-LEGACY-001</x:v>
      </x:c>
      <x:c r="E66" s="6"/>
      <x:c r="F66" s="6"/>
      <x:c r="G66" s="6" t="str">
        <x:v>Unknown</x:v>
      </x:c>
      <x:c r="H66" s="6" t="str"/>
      <x:c r="I66" s="6" t="str"/>
      <x:c r="J66" s="6" t="str">
        <x:v>Unknown</x:v>
      </x:c>
      <x:c r="K66" s="6" t="str">
        <x:v>Unknown</x:v>
      </x:c>
      <x:c r="L66" s="12" t="str">
        <x:v>Unsupported Observation</x:v>
      </x:c>
      <x:c r="M66" s="12" t="str">
        <x:v>Nocturnix_Master_Services_Catalog_v1.xlsx | 01 - Master Services | row 105</x:v>
      </x:c>
      <x:c r="N66" s="6" t="str">
        <x:v>Unresolved</x:v>
      </x:c>
      <x:c r="O66" s="6" t="str"/>
      <x:c r="P66" s="6" t="str"/>
      <x:c r="Q66" s="6" t="str">
        <x:v>Pending</x:v>
      </x:c>
      <x:c r="R66" s="12" t="str"/>
    </x:row>
    <x:row r="67">
      <x:c r="A67" s="6" t="str">
        <x:v>MFRR-000066</x:v>
      </x:c>
      <x:c r="B67" s="6" t="str">
        <x:v>SVC000066</x:v>
      </x:c>
      <x:c r="C67" s="6" t="str">
        <x:v>iPhone 13 Pro Max Screen replacement</x:v>
      </x:c>
      <x:c r="D67" s="6" t="str">
        <x:v>MFR-LEGACY-001</x:v>
      </x:c>
      <x:c r="E67" s="6"/>
      <x:c r="F67" s="6"/>
      <x:c r="G67" s="6" t="str">
        <x:v>Unknown</x:v>
      </x:c>
      <x:c r="H67" s="6" t="str"/>
      <x:c r="I67" s="6" t="str"/>
      <x:c r="J67" s="6" t="str">
        <x:v>Unknown</x:v>
      </x:c>
      <x:c r="K67" s="6" t="str">
        <x:v>Unknown</x:v>
      </x:c>
      <x:c r="L67" s="12" t="str">
        <x:v>Unsupported Observation</x:v>
      </x:c>
      <x:c r="M67" s="12" t="str">
        <x:v>Nocturnix_Master_Services_Catalog_v1.xlsx | 01 - Master Services | row 106</x:v>
      </x:c>
      <x:c r="N67" s="6" t="str">
        <x:v>Unresolved</x:v>
      </x:c>
      <x:c r="O67" s="6" t="str"/>
      <x:c r="P67" s="6" t="str"/>
      <x:c r="Q67" s="6" t="str">
        <x:v>Pending</x:v>
      </x:c>
      <x:c r="R67" s="12" t="str"/>
    </x:row>
    <x:row r="68">
      <x:c r="A68" s="6" t="str">
        <x:v>MFRR-000067</x:v>
      </x:c>
      <x:c r="B68" s="6" t="str">
        <x:v>SVC000067</x:v>
      </x:c>
      <x:c r="C68" s="6" t="str">
        <x:v>iPhone 13 Mini Screen replacement</x:v>
      </x:c>
      <x:c r="D68" s="6" t="str">
        <x:v>MFR-LEGACY-001</x:v>
      </x:c>
      <x:c r="E68" s="6"/>
      <x:c r="F68" s="6"/>
      <x:c r="G68" s="6" t="str">
        <x:v>Unknown</x:v>
      </x:c>
      <x:c r="H68" s="6" t="str"/>
      <x:c r="I68" s="6" t="str"/>
      <x:c r="J68" s="6" t="str">
        <x:v>Unknown</x:v>
      </x:c>
      <x:c r="K68" s="6" t="str">
        <x:v>Unknown</x:v>
      </x:c>
      <x:c r="L68" s="12" t="str">
        <x:v>Unsupported Observation</x:v>
      </x:c>
      <x:c r="M68" s="12" t="str">
        <x:v>Nocturnix_Master_Services_Catalog_v1.xlsx | 01 - Master Services | row 107</x:v>
      </x:c>
      <x:c r="N68" s="6" t="str">
        <x:v>Unresolved</x:v>
      </x:c>
      <x:c r="O68" s="6" t="str"/>
      <x:c r="P68" s="6" t="str"/>
      <x:c r="Q68" s="6" t="str">
        <x:v>Pending</x:v>
      </x:c>
      <x:c r="R68" s="12" t="str"/>
    </x:row>
    <x:row r="69">
      <x:c r="A69" s="6" t="str">
        <x:v>MFRR-000068</x:v>
      </x:c>
      <x:c r="B69" s="6" t="str">
        <x:v>SVC000068</x:v>
      </x:c>
      <x:c r="C69" s="6" t="str">
        <x:v>iPhone 14 Screen replacement</x:v>
      </x:c>
      <x:c r="D69" s="6" t="str">
        <x:v>MFR-LEGACY-001</x:v>
      </x:c>
      <x:c r="E69" s="6"/>
      <x:c r="F69" s="6"/>
      <x:c r="G69" s="6" t="str">
        <x:v>Unknown</x:v>
      </x:c>
      <x:c r="H69" s="6" t="str"/>
      <x:c r="I69" s="6" t="str"/>
      <x:c r="J69" s="6" t="str">
        <x:v>Unknown</x:v>
      </x:c>
      <x:c r="K69" s="6" t="str">
        <x:v>Unknown</x:v>
      </x:c>
      <x:c r="L69" s="12" t="str">
        <x:v>Unsupported Observation</x:v>
      </x:c>
      <x:c r="M69" s="12" t="str">
        <x:v>Nocturnix_Master_Services_Catalog_v1.xlsx | 01 - Master Services | row 108</x:v>
      </x:c>
      <x:c r="N69" s="6" t="str">
        <x:v>Unresolved</x:v>
      </x:c>
      <x:c r="O69" s="6" t="str"/>
      <x:c r="P69" s="6" t="str"/>
      <x:c r="Q69" s="6" t="str">
        <x:v>Pending</x:v>
      </x:c>
      <x:c r="R69" s="12" t="str"/>
    </x:row>
    <x:row r="70">
      <x:c r="A70" s="6" t="str">
        <x:v>MFRR-000069</x:v>
      </x:c>
      <x:c r="B70" s="6" t="str">
        <x:v>SVC000069</x:v>
      </x:c>
      <x:c r="C70" s="6" t="str">
        <x:v>iPhone 14 Pro Max Screen replacement</x:v>
      </x:c>
      <x:c r="D70" s="6" t="str">
        <x:v>MFR-LEGACY-001</x:v>
      </x:c>
      <x:c r="E70" s="6"/>
      <x:c r="F70" s="6"/>
      <x:c r="G70" s="6" t="str">
        <x:v>Unknown</x:v>
      </x:c>
      <x:c r="H70" s="6" t="str"/>
      <x:c r="I70" s="6" t="str"/>
      <x:c r="J70" s="6" t="str">
        <x:v>Unknown</x:v>
      </x:c>
      <x:c r="K70" s="6" t="str">
        <x:v>Unknown</x:v>
      </x:c>
      <x:c r="L70" s="12" t="str">
        <x:v>Unsupported Observation</x:v>
      </x:c>
      <x:c r="M70" s="12" t="str">
        <x:v>Nocturnix_Master_Services_Catalog_v1.xlsx | 01 - Master Services | row 109</x:v>
      </x:c>
      <x:c r="N70" s="6" t="str">
        <x:v>Unresolved</x:v>
      </x:c>
      <x:c r="O70" s="6" t="str"/>
      <x:c r="P70" s="6" t="str"/>
      <x:c r="Q70" s="6" t="str">
        <x:v>Pending</x:v>
      </x:c>
      <x:c r="R70" s="12" t="str"/>
    </x:row>
    <x:row r="71">
      <x:c r="A71" s="6" t="str">
        <x:v>MFRR-000070</x:v>
      </x:c>
      <x:c r="B71" s="6" t="str">
        <x:v>SVC000070</x:v>
      </x:c>
      <x:c r="C71" s="6" t="str">
        <x:v>iPhone 14 Plus Screen replacement</x:v>
      </x:c>
      <x:c r="D71" s="6" t="str">
        <x:v>MFR-LEGACY-001</x:v>
      </x:c>
      <x:c r="E71" s="6"/>
      <x:c r="F71" s="6"/>
      <x:c r="G71" s="6" t="str">
        <x:v>Unknown</x:v>
      </x:c>
      <x:c r="H71" s="6" t="str"/>
      <x:c r="I71" s="6" t="str"/>
      <x:c r="J71" s="6" t="str">
        <x:v>Unknown</x:v>
      </x:c>
      <x:c r="K71" s="6" t="str">
        <x:v>Unknown</x:v>
      </x:c>
      <x:c r="L71" s="12" t="str">
        <x:v>Unsupported Observation</x:v>
      </x:c>
      <x:c r="M71" s="12" t="str">
        <x:v>Nocturnix_Master_Services_Catalog_v1.xlsx | 01 - Master Services | row 110</x:v>
      </x:c>
      <x:c r="N71" s="6" t="str">
        <x:v>Unresolved</x:v>
      </x:c>
      <x:c r="O71" s="6" t="str"/>
      <x:c r="P71" s="6" t="str"/>
      <x:c r="Q71" s="6" t="str">
        <x:v>Pending</x:v>
      </x:c>
      <x:c r="R71" s="12" t="str"/>
    </x:row>
    <x:row r="72">
      <x:c r="A72" s="6" t="str">
        <x:v>MFRR-000071</x:v>
      </x:c>
      <x:c r="B72" s="6" t="str">
        <x:v>SVC000071</x:v>
      </x:c>
      <x:c r="C72" s="6" t="str">
        <x:v>iPhone 14 Pro Screen replacement</x:v>
      </x:c>
      <x:c r="D72" s="6" t="str">
        <x:v>MFR-LEGACY-001</x:v>
      </x:c>
      <x:c r="E72" s="6"/>
      <x:c r="F72" s="6"/>
      <x:c r="G72" s="6" t="str">
        <x:v>Unknown</x:v>
      </x:c>
      <x:c r="H72" s="6" t="str"/>
      <x:c r="I72" s="6" t="str"/>
      <x:c r="J72" s="6" t="str">
        <x:v>Unknown</x:v>
      </x:c>
      <x:c r="K72" s="6" t="str">
        <x:v>Unknown</x:v>
      </x:c>
      <x:c r="L72" s="12" t="str">
        <x:v>Unsupported Observation</x:v>
      </x:c>
      <x:c r="M72" s="12" t="str">
        <x:v>Nocturnix_Master_Services_Catalog_v1.xlsx | 01 - Master Services | row 111</x:v>
      </x:c>
      <x:c r="N72" s="6" t="str">
        <x:v>Unresolved</x:v>
      </x:c>
      <x:c r="O72" s="6" t="str"/>
      <x:c r="P72" s="6" t="str"/>
      <x:c r="Q72" s="6" t="str">
        <x:v>Pending</x:v>
      </x:c>
      <x:c r="R72" s="12" t="str"/>
    </x:row>
    <x:row r="73">
      <x:c r="A73" s="6" t="str">
        <x:v>MFRR-000072</x:v>
      </x:c>
      <x:c r="B73" s="6" t="str">
        <x:v>SVC000072</x:v>
      </x:c>
      <x:c r="C73" s="6" t="str">
        <x:v>iPhone 15 Pro Screen replacement</x:v>
      </x:c>
      <x:c r="D73" s="6" t="str">
        <x:v>MFR-LEGACY-001</x:v>
      </x:c>
      <x:c r="E73" s="6"/>
      <x:c r="F73" s="6"/>
      <x:c r="G73" s="6" t="str">
        <x:v>Unknown</x:v>
      </x:c>
      <x:c r="H73" s="6" t="str"/>
      <x:c r="I73" s="6" t="str"/>
      <x:c r="J73" s="6" t="str">
        <x:v>Unknown</x:v>
      </x:c>
      <x:c r="K73" s="6" t="str">
        <x:v>Unknown</x:v>
      </x:c>
      <x:c r="L73" s="12" t="str">
        <x:v>Unsupported Observation</x:v>
      </x:c>
      <x:c r="M73" s="12" t="str">
        <x:v>Nocturnix_Master_Services_Catalog_v1.xlsx | 01 - Master Services | row 112</x:v>
      </x:c>
      <x:c r="N73" s="6" t="str">
        <x:v>Unresolved</x:v>
      </x:c>
      <x:c r="O73" s="6" t="str"/>
      <x:c r="P73" s="6" t="str"/>
      <x:c r="Q73" s="6" t="str">
        <x:v>Pending</x:v>
      </x:c>
      <x:c r="R73" s="12" t="str"/>
    </x:row>
    <x:row r="74">
      <x:c r="A74" s="6" t="str">
        <x:v>MFRR-000073</x:v>
      </x:c>
      <x:c r="B74" s="6" t="str">
        <x:v>SVC000073</x:v>
      </x:c>
      <x:c r="C74" s="6" t="str">
        <x:v>iPhone 15 Pro Max Screen replacement</x:v>
      </x:c>
      <x:c r="D74" s="6" t="str">
        <x:v>MFR-LEGACY-001</x:v>
      </x:c>
      <x:c r="E74" s="6"/>
      <x:c r="F74" s="6"/>
      <x:c r="G74" s="6" t="str">
        <x:v>Unknown</x:v>
      </x:c>
      <x:c r="H74" s="6" t="str"/>
      <x:c r="I74" s="6" t="str"/>
      <x:c r="J74" s="6" t="str">
        <x:v>Unknown</x:v>
      </x:c>
      <x:c r="K74" s="6" t="str">
        <x:v>Unknown</x:v>
      </x:c>
      <x:c r="L74" s="12" t="str">
        <x:v>Unsupported Observation</x:v>
      </x:c>
      <x:c r="M74" s="12" t="str">
        <x:v>Nocturnix_Master_Services_Catalog_v1.xlsx | 01 - Master Services | row 113</x:v>
      </x:c>
      <x:c r="N74" s="6" t="str">
        <x:v>Unresolved</x:v>
      </x:c>
      <x:c r="O74" s="6" t="str"/>
      <x:c r="P74" s="6" t="str"/>
      <x:c r="Q74" s="6" t="str">
        <x:v>Pending</x:v>
      </x:c>
      <x:c r="R74" s="12" t="str"/>
    </x:row>
    <x:row r="75">
      <x:c r="A75" s="6" t="str">
        <x:v>MFRR-000074</x:v>
      </x:c>
      <x:c r="B75" s="6" t="str">
        <x:v>SVC000074</x:v>
      </x:c>
      <x:c r="C75" s="6" t="str">
        <x:v>iPhone 15 Screen replacement</x:v>
      </x:c>
      <x:c r="D75" s="6" t="str">
        <x:v>MFR-LEGACY-001</x:v>
      </x:c>
      <x:c r="E75" s="6"/>
      <x:c r="F75" s="6"/>
      <x:c r="G75" s="6" t="str">
        <x:v>Unknown</x:v>
      </x:c>
      <x:c r="H75" s="6" t="str"/>
      <x:c r="I75" s="6" t="str"/>
      <x:c r="J75" s="6" t="str">
        <x:v>Unknown</x:v>
      </x:c>
      <x:c r="K75" s="6" t="str">
        <x:v>Unknown</x:v>
      </x:c>
      <x:c r="L75" s="12" t="str">
        <x:v>Unsupported Observation</x:v>
      </x:c>
      <x:c r="M75" s="12" t="str">
        <x:v>Nocturnix_Master_Services_Catalog_v1.xlsx | 01 - Master Services | row 114</x:v>
      </x:c>
      <x:c r="N75" s="6" t="str">
        <x:v>Unresolved</x:v>
      </x:c>
      <x:c r="O75" s="6" t="str"/>
      <x:c r="P75" s="6" t="str"/>
      <x:c r="Q75" s="6" t="str">
        <x:v>Pending</x:v>
      </x:c>
      <x:c r="R75" s="12" t="str"/>
    </x:row>
    <x:row r="76">
      <x:c r="A76" s="6" t="str">
        <x:v>MFRR-000075</x:v>
      </x:c>
      <x:c r="B76" s="6" t="str">
        <x:v>SVC000075</x:v>
      </x:c>
      <x:c r="C76" s="6" t="str">
        <x:v>iPhone 15 Plus Screen replacement</x:v>
      </x:c>
      <x:c r="D76" s="6" t="str">
        <x:v>MFR-LEGACY-001</x:v>
      </x:c>
      <x:c r="E76" s="6"/>
      <x:c r="F76" s="6"/>
      <x:c r="G76" s="6" t="str">
        <x:v>Unknown</x:v>
      </x:c>
      <x:c r="H76" s="6" t="str"/>
      <x:c r="I76" s="6" t="str"/>
      <x:c r="J76" s="6" t="str">
        <x:v>Unknown</x:v>
      </x:c>
      <x:c r="K76" s="6" t="str">
        <x:v>Unknown</x:v>
      </x:c>
      <x:c r="L76" s="12" t="str">
        <x:v>Unsupported Observation</x:v>
      </x:c>
      <x:c r="M76" s="12" t="str">
        <x:v>Nocturnix_Master_Services_Catalog_v1.xlsx | 01 - Master Services | row 115</x:v>
      </x:c>
      <x:c r="N76" s="6" t="str">
        <x:v>Unresolved</x:v>
      </x:c>
      <x:c r="O76" s="6" t="str"/>
      <x:c r="P76" s="6" t="str"/>
      <x:c r="Q76" s="6" t="str">
        <x:v>Pending</x:v>
      </x:c>
      <x:c r="R76" s="12" t="str"/>
    </x:row>
    <x:row r="77">
      <x:c r="A77" s="6" t="str">
        <x:v>MFRR-000076</x:v>
      </x:c>
      <x:c r="B77" s="6" t="str">
        <x:v>SVC000076</x:v>
      </x:c>
      <x:c r="C77" s="6" t="str">
        <x:v>iPhone 16 Plus Screen replacement</x:v>
      </x:c>
      <x:c r="D77" s="6" t="str">
        <x:v>MFR-LEGACY-001</x:v>
      </x:c>
      <x:c r="E77" s="6"/>
      <x:c r="F77" s="6"/>
      <x:c r="G77" s="6" t="str">
        <x:v>Unknown</x:v>
      </x:c>
      <x:c r="H77" s="6" t="str"/>
      <x:c r="I77" s="6" t="str"/>
      <x:c r="J77" s="6" t="str">
        <x:v>Unknown</x:v>
      </x:c>
      <x:c r="K77" s="6" t="str">
        <x:v>Unknown</x:v>
      </x:c>
      <x:c r="L77" s="12" t="str">
        <x:v>Unsupported Observation</x:v>
      </x:c>
      <x:c r="M77" s="12" t="str">
        <x:v>Nocturnix_Master_Services_Catalog_v1.xlsx | 01 - Master Services | row 116</x:v>
      </x:c>
      <x:c r="N77" s="6" t="str">
        <x:v>Unresolved</x:v>
      </x:c>
      <x:c r="O77" s="6" t="str"/>
      <x:c r="P77" s="6" t="str"/>
      <x:c r="Q77" s="6" t="str">
        <x:v>Pending</x:v>
      </x:c>
      <x:c r="R77" s="12" t="str"/>
    </x:row>
    <x:row r="78">
      <x:c r="A78" s="6" t="str">
        <x:v>MFRR-000077</x:v>
      </x:c>
      <x:c r="B78" s="6" t="str">
        <x:v>SVC000077</x:v>
      </x:c>
      <x:c r="C78" s="6" t="str">
        <x:v>iPhone 16 Pro Max Screen replacement</x:v>
      </x:c>
      <x:c r="D78" s="6" t="str">
        <x:v>MFR-LEGACY-001</x:v>
      </x:c>
      <x:c r="E78" s="6"/>
      <x:c r="F78" s="6"/>
      <x:c r="G78" s="6" t="str">
        <x:v>Unknown</x:v>
      </x:c>
      <x:c r="H78" s="6" t="str"/>
      <x:c r="I78" s="6" t="str"/>
      <x:c r="J78" s="6" t="str">
        <x:v>Unknown</x:v>
      </x:c>
      <x:c r="K78" s="6" t="str">
        <x:v>Unknown</x:v>
      </x:c>
      <x:c r="L78" s="12" t="str">
        <x:v>Unsupported Observation</x:v>
      </x:c>
      <x:c r="M78" s="12" t="str">
        <x:v>Nocturnix_Master_Services_Catalog_v1.xlsx | 01 - Master Services | row 117</x:v>
      </x:c>
      <x:c r="N78" s="6" t="str">
        <x:v>Unresolved</x:v>
      </x:c>
      <x:c r="O78" s="6" t="str"/>
      <x:c r="P78" s="6" t="str"/>
      <x:c r="Q78" s="6" t="str">
        <x:v>Pending</x:v>
      </x:c>
      <x:c r="R78" s="12" t="str"/>
    </x:row>
    <x:row r="79">
      <x:c r="A79" s="6" t="str">
        <x:v>MFRR-000078</x:v>
      </x:c>
      <x:c r="B79" s="6" t="str">
        <x:v>SVC000078</x:v>
      </x:c>
      <x:c r="C79" s="6" t="str">
        <x:v>iPhone 16 Screen replacement</x:v>
      </x:c>
      <x:c r="D79" s="6" t="str">
        <x:v>MFR-LEGACY-001</x:v>
      </x:c>
      <x:c r="E79" s="6"/>
      <x:c r="F79" s="6"/>
      <x:c r="G79" s="6" t="str">
        <x:v>Unknown</x:v>
      </x:c>
      <x:c r="H79" s="6" t="str"/>
      <x:c r="I79" s="6" t="str"/>
      <x:c r="J79" s="6" t="str">
        <x:v>Unknown</x:v>
      </x:c>
      <x:c r="K79" s="6" t="str">
        <x:v>Unknown</x:v>
      </x:c>
      <x:c r="L79" s="12" t="str">
        <x:v>Unsupported Observation</x:v>
      </x:c>
      <x:c r="M79" s="12" t="str">
        <x:v>Nocturnix_Master_Services_Catalog_v1.xlsx | 01 - Master Services | row 118</x:v>
      </x:c>
      <x:c r="N79" s="6" t="str">
        <x:v>Unresolved</x:v>
      </x:c>
      <x:c r="O79" s="6" t="str"/>
      <x:c r="P79" s="6" t="str"/>
      <x:c r="Q79" s="6" t="str">
        <x:v>Pending</x:v>
      </x:c>
      <x:c r="R79" s="12" t="str"/>
    </x:row>
    <x:row r="80">
      <x:c r="A80" s="6" t="str">
        <x:v>MFRR-000079</x:v>
      </x:c>
      <x:c r="B80" s="6" t="str">
        <x:v>SVC000079</x:v>
      </x:c>
      <x:c r="C80" s="6" t="str">
        <x:v>iPhone 16 Pro Screen replacement</x:v>
      </x:c>
      <x:c r="D80" s="6" t="str">
        <x:v>MFR-LEGACY-001</x:v>
      </x:c>
      <x:c r="E80" s="6"/>
      <x:c r="F80" s="6"/>
      <x:c r="G80" s="6" t="str">
        <x:v>Unknown</x:v>
      </x:c>
      <x:c r="H80" s="6" t="str"/>
      <x:c r="I80" s="6" t="str"/>
      <x:c r="J80" s="6" t="str">
        <x:v>Unknown</x:v>
      </x:c>
      <x:c r="K80" s="6" t="str">
        <x:v>Unknown</x:v>
      </x:c>
      <x:c r="L80" s="12" t="str">
        <x:v>Unsupported Observation</x:v>
      </x:c>
      <x:c r="M80" s="12" t="str">
        <x:v>Nocturnix_Master_Services_Catalog_v1.xlsx | 01 - Master Services | row 119</x:v>
      </x:c>
      <x:c r="N80" s="6" t="str">
        <x:v>Unresolved</x:v>
      </x:c>
      <x:c r="O80" s="6" t="str"/>
      <x:c r="P80" s="6" t="str"/>
      <x:c r="Q80" s="6" t="str">
        <x:v>Pending</x:v>
      </x:c>
      <x:c r="R80" s="12" t="str"/>
    </x:row>
    <x:row r="81">
      <x:c r="A81" s="6" t="str">
        <x:v>MFRR-000080</x:v>
      </x:c>
      <x:c r="B81" s="6" t="str">
        <x:v>SVC000080</x:v>
      </x:c>
      <x:c r="C81" s="6" t="str">
        <x:v>iPhone 16E Screen replacement</x:v>
      </x:c>
      <x:c r="D81" s="6" t="str">
        <x:v>MFR-LEGACY-001</x:v>
      </x:c>
      <x:c r="E81" s="6"/>
      <x:c r="F81" s="6"/>
      <x:c r="G81" s="6" t="str">
        <x:v>Unknown</x:v>
      </x:c>
      <x:c r="H81" s="6" t="str"/>
      <x:c r="I81" s="6" t="str"/>
      <x:c r="J81" s="6" t="str">
        <x:v>Unknown</x:v>
      </x:c>
      <x:c r="K81" s="6" t="str">
        <x:v>Unknown</x:v>
      </x:c>
      <x:c r="L81" s="12" t="str">
        <x:v>Unsupported Observation</x:v>
      </x:c>
      <x:c r="M81" s="12" t="str">
        <x:v>Nocturnix_Master_Services_Catalog_v1.xlsx | 01 - Master Services | row 120</x:v>
      </x:c>
      <x:c r="N81" s="6" t="str">
        <x:v>Unresolved</x:v>
      </x:c>
      <x:c r="O81" s="6" t="str"/>
      <x:c r="P81" s="6" t="str"/>
      <x:c r="Q81" s="6" t="str">
        <x:v>Pending</x:v>
      </x:c>
      <x:c r="R81" s="12" t="str"/>
    </x:row>
    <x:row r="82">
      <x:c r="A82" s="6" t="str">
        <x:v>MFRR-000081</x:v>
      </x:c>
      <x:c r="B82" s="6" t="str">
        <x:v>SVC000081</x:v>
      </x:c>
      <x:c r="C82" s="6" t="str">
        <x:v>iPhone 17 Pro Max Phone* Screen replacement</x:v>
      </x:c>
      <x:c r="D82" s="6" t="str">
        <x:v>MFR-LEGACY-001</x:v>
      </x:c>
      <x:c r="E82" s="6"/>
      <x:c r="F82" s="6"/>
      <x:c r="G82" s="6" t="str">
        <x:v>Unknown</x:v>
      </x:c>
      <x:c r="H82" s="6" t="str"/>
      <x:c r="I82" s="6" t="str"/>
      <x:c r="J82" s="6" t="str">
        <x:v>Unknown</x:v>
      </x:c>
      <x:c r="K82" s="6" t="str">
        <x:v>Unknown</x:v>
      </x:c>
      <x:c r="L82" s="12" t="str">
        <x:v>Unsupported Observation</x:v>
      </x:c>
      <x:c r="M82" s="12" t="str">
        <x:v>Nocturnix_Master_Services_Catalog_v1.xlsx | 01 - Master Services | row 121</x:v>
      </x:c>
      <x:c r="N82" s="6" t="str">
        <x:v>Unresolved</x:v>
      </x:c>
      <x:c r="O82" s="6" t="str"/>
      <x:c r="P82" s="6" t="str"/>
      <x:c r="Q82" s="6" t="str">
        <x:v>Pending</x:v>
      </x:c>
      <x:c r="R82" s="12" t="str"/>
    </x:row>
    <x:row r="83">
      <x:c r="A83" s="6" t="str">
        <x:v>MFRR-000082</x:v>
      </x:c>
      <x:c r="B83" s="6" t="str">
        <x:v>SVC000082</x:v>
      </x:c>
      <x:c r="C83" s="6" t="str">
        <x:v>iPhone 17 Pro Screen replacement</x:v>
      </x:c>
      <x:c r="D83" s="6" t="str">
        <x:v>MFR-LEGACY-001</x:v>
      </x:c>
      <x:c r="E83" s="6"/>
      <x:c r="F83" s="6"/>
      <x:c r="G83" s="6" t="str">
        <x:v>Unknown</x:v>
      </x:c>
      <x:c r="H83" s="6" t="str"/>
      <x:c r="I83" s="6" t="str"/>
      <x:c r="J83" s="6" t="str">
        <x:v>Unknown</x:v>
      </x:c>
      <x:c r="K83" s="6" t="str">
        <x:v>Unknown</x:v>
      </x:c>
      <x:c r="L83" s="12" t="str">
        <x:v>Unsupported Observation</x:v>
      </x:c>
      <x:c r="M83" s="12" t="str">
        <x:v>Nocturnix_Master_Services_Catalog_v1.xlsx | 01 - Master Services | row 122</x:v>
      </x:c>
      <x:c r="N83" s="6" t="str">
        <x:v>Unresolved</x:v>
      </x:c>
      <x:c r="O83" s="6" t="str"/>
      <x:c r="P83" s="6" t="str"/>
      <x:c r="Q83" s="6" t="str">
        <x:v>Pending</x:v>
      </x:c>
      <x:c r="R83" s="12" t="str"/>
    </x:row>
    <x:row r="84">
      <x:c r="A84" s="6" t="str">
        <x:v>MFRR-000083</x:v>
      </x:c>
      <x:c r="B84" s="6" t="str">
        <x:v>SVC000083</x:v>
      </x:c>
      <x:c r="C84" s="6" t="str">
        <x:v>iPhone 17 Screen replacement</x:v>
      </x:c>
      <x:c r="D84" s="6" t="str">
        <x:v>MFR-LEGACY-001</x:v>
      </x:c>
      <x:c r="E84" s="6"/>
      <x:c r="F84" s="6"/>
      <x:c r="G84" s="6" t="str">
        <x:v>Unknown</x:v>
      </x:c>
      <x:c r="H84" s="6" t="str"/>
      <x:c r="I84" s="6" t="str"/>
      <x:c r="J84" s="6" t="str">
        <x:v>Unknown</x:v>
      </x:c>
      <x:c r="K84" s="6" t="str">
        <x:v>Unknown</x:v>
      </x:c>
      <x:c r="L84" s="12" t="str">
        <x:v>Unsupported Observation</x:v>
      </x:c>
      <x:c r="M84" s="12" t="str">
        <x:v>Nocturnix_Master_Services_Catalog_v1.xlsx | 01 - Master Services | row 123</x:v>
      </x:c>
      <x:c r="N84" s="6" t="str">
        <x:v>Unresolved</x:v>
      </x:c>
      <x:c r="O84" s="6" t="str"/>
      <x:c r="P84" s="6" t="str"/>
      <x:c r="Q84" s="6" t="str">
        <x:v>Pending</x:v>
      </x:c>
      <x:c r="R84" s="12" t="str"/>
    </x:row>
    <x:row r="85">
      <x:c r="A85" s="6" t="str">
        <x:v>MFRR-000084</x:v>
      </x:c>
      <x:c r="B85" s="6" t="str">
        <x:v>SVC000084</x:v>
      </x:c>
      <x:c r="C85" s="6" t="str">
        <x:v>iPhone 5C Screen replacement</x:v>
      </x:c>
      <x:c r="D85" s="6" t="str">
        <x:v>MFR-LEGACY-001</x:v>
      </x:c>
      <x:c r="E85" s="6"/>
      <x:c r="F85" s="6"/>
      <x:c r="G85" s="6" t="str">
        <x:v>Unknown</x:v>
      </x:c>
      <x:c r="H85" s="6" t="str"/>
      <x:c r="I85" s="6" t="str"/>
      <x:c r="J85" s="6" t="str">
        <x:v>Unknown</x:v>
      </x:c>
      <x:c r="K85" s="6" t="str">
        <x:v>Unknown</x:v>
      </x:c>
      <x:c r="L85" s="12" t="str">
        <x:v>Unsupported Observation</x:v>
      </x:c>
      <x:c r="M85" s="12" t="str">
        <x:v>Nocturnix_Master_Services_Catalog_v1.xlsx | 01 - Master Services | row 124</x:v>
      </x:c>
      <x:c r="N85" s="6" t="str">
        <x:v>Unresolved</x:v>
      </x:c>
      <x:c r="O85" s="6" t="str"/>
      <x:c r="P85" s="6" t="str"/>
      <x:c r="Q85" s="6" t="str">
        <x:v>Pending</x:v>
      </x:c>
      <x:c r="R85" s="12" t="str"/>
    </x:row>
    <x:row r="86">
      <x:c r="A86" s="6" t="str">
        <x:v>MFRR-000085</x:v>
      </x:c>
      <x:c r="B86" s="6" t="str">
        <x:v>SVC000085</x:v>
      </x:c>
      <x:c r="C86" s="6" t="str">
        <x:v>iPhone 5S Screen replacement</x:v>
      </x:c>
      <x:c r="D86" s="6" t="str">
        <x:v>MFR-LEGACY-001</x:v>
      </x:c>
      <x:c r="E86" s="6"/>
      <x:c r="F86" s="6"/>
      <x:c r="G86" s="6" t="str">
        <x:v>Unknown</x:v>
      </x:c>
      <x:c r="H86" s="6" t="str"/>
      <x:c r="I86" s="6" t="str"/>
      <x:c r="J86" s="6" t="str">
        <x:v>Unknown</x:v>
      </x:c>
      <x:c r="K86" s="6" t="str">
        <x:v>Unknown</x:v>
      </x:c>
      <x:c r="L86" s="12" t="str">
        <x:v>Unsupported Observation</x:v>
      </x:c>
      <x:c r="M86" s="12" t="str">
        <x:v>Nocturnix_Master_Services_Catalog_v1.xlsx | 01 - Master Services | row 125</x:v>
      </x:c>
      <x:c r="N86" s="6" t="str">
        <x:v>Unresolved</x:v>
      </x:c>
      <x:c r="O86" s="6" t="str"/>
      <x:c r="P86" s="6" t="str"/>
      <x:c r="Q86" s="6" t="str">
        <x:v>Pending</x:v>
      </x:c>
      <x:c r="R86" s="12" t="str"/>
    </x:row>
    <x:row r="87">
      <x:c r="A87" s="6" t="str">
        <x:v>MFRR-000086</x:v>
      </x:c>
      <x:c r="B87" s="6" t="str">
        <x:v>SVC000086</x:v>
      </x:c>
      <x:c r="C87" s="6" t="str">
        <x:v>iPhone 6+ Screen replacement</x:v>
      </x:c>
      <x:c r="D87" s="6" t="str">
        <x:v>MFR-LEGACY-001</x:v>
      </x:c>
      <x:c r="E87" s="6"/>
      <x:c r="F87" s="6"/>
      <x:c r="G87" s="6" t="str">
        <x:v>Unknown</x:v>
      </x:c>
      <x:c r="H87" s="6" t="str"/>
      <x:c r="I87" s="6" t="str"/>
      <x:c r="J87" s="6" t="str">
        <x:v>Unknown</x:v>
      </x:c>
      <x:c r="K87" s="6" t="str">
        <x:v>Unknown</x:v>
      </x:c>
      <x:c r="L87" s="12" t="str">
        <x:v>Unsupported Observation</x:v>
      </x:c>
      <x:c r="M87" s="12" t="str">
        <x:v>Nocturnix_Master_Services_Catalog_v1.xlsx | 01 - Master Services | row 126</x:v>
      </x:c>
      <x:c r="N87" s="6" t="str">
        <x:v>Unresolved</x:v>
      </x:c>
      <x:c r="O87" s="6" t="str"/>
      <x:c r="P87" s="6" t="str"/>
      <x:c r="Q87" s="6" t="str">
        <x:v>Pending</x:v>
      </x:c>
      <x:c r="R87" s="12" t="str"/>
    </x:row>
    <x:row r="88">
      <x:c r="A88" s="6" t="str">
        <x:v>MFRR-000087</x:v>
      </x:c>
      <x:c r="B88" s="6" t="str">
        <x:v>SVC000087</x:v>
      </x:c>
      <x:c r="C88" s="6" t="str">
        <x:v>iPhone 6 Screen replacement</x:v>
      </x:c>
      <x:c r="D88" s="6" t="str">
        <x:v>MFR-LEGACY-001</x:v>
      </x:c>
      <x:c r="E88" s="6"/>
      <x:c r="F88" s="6"/>
      <x:c r="G88" s="6" t="str">
        <x:v>Unknown</x:v>
      </x:c>
      <x:c r="H88" s="6" t="str"/>
      <x:c r="I88" s="6" t="str"/>
      <x:c r="J88" s="6" t="str">
        <x:v>Unknown</x:v>
      </x:c>
      <x:c r="K88" s="6" t="str">
        <x:v>Unknown</x:v>
      </x:c>
      <x:c r="L88" s="12" t="str">
        <x:v>Unsupported Observation</x:v>
      </x:c>
      <x:c r="M88" s="12" t="str">
        <x:v>Nocturnix_Master_Services_Catalog_v1.xlsx | 01 - Master Services | row 127</x:v>
      </x:c>
      <x:c r="N88" s="6" t="str">
        <x:v>Unresolved</x:v>
      </x:c>
      <x:c r="O88" s="6" t="str"/>
      <x:c r="P88" s="6" t="str"/>
      <x:c r="Q88" s="6" t="str">
        <x:v>Pending</x:v>
      </x:c>
      <x:c r="R88" s="12" t="str"/>
    </x:row>
    <x:row r="89">
      <x:c r="A89" s="6" t="str">
        <x:v>MFRR-000088</x:v>
      </x:c>
      <x:c r="B89" s="6" t="str">
        <x:v>SVC000088</x:v>
      </x:c>
      <x:c r="C89" s="6" t="str">
        <x:v>iPhone 6S+ Screen replacement</x:v>
      </x:c>
      <x:c r="D89" s="6" t="str">
        <x:v>MFR-LEGACY-001</x:v>
      </x:c>
      <x:c r="E89" s="6"/>
      <x:c r="F89" s="6"/>
      <x:c r="G89" s="6" t="str">
        <x:v>Unknown</x:v>
      </x:c>
      <x:c r="H89" s="6" t="str"/>
      <x:c r="I89" s="6" t="str"/>
      <x:c r="J89" s="6" t="str">
        <x:v>Unknown</x:v>
      </x:c>
      <x:c r="K89" s="6" t="str">
        <x:v>Unknown</x:v>
      </x:c>
      <x:c r="L89" s="12" t="str">
        <x:v>Unsupported Observation</x:v>
      </x:c>
      <x:c r="M89" s="12" t="str">
        <x:v>Nocturnix_Master_Services_Catalog_v1.xlsx | 01 - Master Services | row 128</x:v>
      </x:c>
      <x:c r="N89" s="6" t="str">
        <x:v>Unresolved</x:v>
      </x:c>
      <x:c r="O89" s="6" t="str"/>
      <x:c r="P89" s="6" t="str"/>
      <x:c r="Q89" s="6" t="str">
        <x:v>Pending</x:v>
      </x:c>
      <x:c r="R89" s="12" t="str"/>
    </x:row>
    <x:row r="90">
      <x:c r="A90" s="6" t="str">
        <x:v>MFRR-000089</x:v>
      </x:c>
      <x:c r="B90" s="6" t="str">
        <x:v>SVC000089</x:v>
      </x:c>
      <x:c r="C90" s="6" t="str">
        <x:v>iPhone 6S Screen replacement</x:v>
      </x:c>
      <x:c r="D90" s="6" t="str">
        <x:v>MFR-LEGACY-001</x:v>
      </x:c>
      <x:c r="E90" s="6"/>
      <x:c r="F90" s="6"/>
      <x:c r="G90" s="6" t="str">
        <x:v>Unknown</x:v>
      </x:c>
      <x:c r="H90" s="6" t="str"/>
      <x:c r="I90" s="6" t="str"/>
      <x:c r="J90" s="6" t="str">
        <x:v>Unknown</x:v>
      </x:c>
      <x:c r="K90" s="6" t="str">
        <x:v>Unknown</x:v>
      </x:c>
      <x:c r="L90" s="12" t="str">
        <x:v>Unsupported Observation</x:v>
      </x:c>
      <x:c r="M90" s="12" t="str">
        <x:v>Nocturnix_Master_Services_Catalog_v1.xlsx | 01 - Master Services | row 129</x:v>
      </x:c>
      <x:c r="N90" s="6" t="str">
        <x:v>Unresolved</x:v>
      </x:c>
      <x:c r="O90" s="6" t="str"/>
      <x:c r="P90" s="6" t="str"/>
      <x:c r="Q90" s="6" t="str">
        <x:v>Pending</x:v>
      </x:c>
      <x:c r="R90" s="12" t="str"/>
    </x:row>
    <x:row r="91">
      <x:c r="A91" s="6" t="str">
        <x:v>MFRR-000090</x:v>
      </x:c>
      <x:c r="B91" s="6" t="str">
        <x:v>SVC000090</x:v>
      </x:c>
      <x:c r="C91" s="6" t="str">
        <x:v>iPhone 7+ Screen replacement</x:v>
      </x:c>
      <x:c r="D91" s="6" t="str">
        <x:v>MFR-LEGACY-001</x:v>
      </x:c>
      <x:c r="E91" s="6"/>
      <x:c r="F91" s="6"/>
      <x:c r="G91" s="6" t="str">
        <x:v>Unknown</x:v>
      </x:c>
      <x:c r="H91" s="6" t="str"/>
      <x:c r="I91" s="6" t="str"/>
      <x:c r="J91" s="6" t="str">
        <x:v>Unknown</x:v>
      </x:c>
      <x:c r="K91" s="6" t="str">
        <x:v>Unknown</x:v>
      </x:c>
      <x:c r="L91" s="12" t="str">
        <x:v>Unsupported Observation</x:v>
      </x:c>
      <x:c r="M91" s="12" t="str">
        <x:v>Nocturnix_Master_Services_Catalog_v1.xlsx | 01 - Master Services | row 130</x:v>
      </x:c>
      <x:c r="N91" s="6" t="str">
        <x:v>Unresolved</x:v>
      </x:c>
      <x:c r="O91" s="6" t="str"/>
      <x:c r="P91" s="6" t="str"/>
      <x:c r="Q91" s="6" t="str">
        <x:v>Pending</x:v>
      </x:c>
      <x:c r="R91" s="12" t="str"/>
    </x:row>
    <x:row r="92">
      <x:c r="A92" s="6" t="str">
        <x:v>MFRR-000091</x:v>
      </x:c>
      <x:c r="B92" s="6" t="str">
        <x:v>SVC000091</x:v>
      </x:c>
      <x:c r="C92" s="6" t="str">
        <x:v>iPhone 7 Screen replacement</x:v>
      </x:c>
      <x:c r="D92" s="6" t="str">
        <x:v>MFR-LEGACY-001</x:v>
      </x:c>
      <x:c r="E92" s="6"/>
      <x:c r="F92" s="6"/>
      <x:c r="G92" s="6" t="str">
        <x:v>Unknown</x:v>
      </x:c>
      <x:c r="H92" s="6" t="str"/>
      <x:c r="I92" s="6" t="str"/>
      <x:c r="J92" s="6" t="str">
        <x:v>Unknown</x:v>
      </x:c>
      <x:c r="K92" s="6" t="str">
        <x:v>Unknown</x:v>
      </x:c>
      <x:c r="L92" s="12" t="str">
        <x:v>Unsupported Observation</x:v>
      </x:c>
      <x:c r="M92" s="12" t="str">
        <x:v>Nocturnix_Master_Services_Catalog_v1.xlsx | 01 - Master Services | row 131</x:v>
      </x:c>
      <x:c r="N92" s="6" t="str">
        <x:v>Unresolved</x:v>
      </x:c>
      <x:c r="O92" s="6" t="str"/>
      <x:c r="P92" s="6" t="str"/>
      <x:c r="Q92" s="6" t="str">
        <x:v>Pending</x:v>
      </x:c>
      <x:c r="R92" s="12" t="str"/>
    </x:row>
    <x:row r="93">
      <x:c r="A93" s="6" t="str">
        <x:v>MFRR-000092</x:v>
      </x:c>
      <x:c r="B93" s="6" t="str">
        <x:v>SVC000092</x:v>
      </x:c>
      <x:c r="C93" s="6" t="str">
        <x:v>iPhone 8+ Screen replacement</x:v>
      </x:c>
      <x:c r="D93" s="6" t="str">
        <x:v>MFR-LEGACY-001</x:v>
      </x:c>
      <x:c r="E93" s="6"/>
      <x:c r="F93" s="6"/>
      <x:c r="G93" s="6" t="str">
        <x:v>Unknown</x:v>
      </x:c>
      <x:c r="H93" s="6" t="str"/>
      <x:c r="I93" s="6" t="str"/>
      <x:c r="J93" s="6" t="str">
        <x:v>Unknown</x:v>
      </x:c>
      <x:c r="K93" s="6" t="str">
        <x:v>Unknown</x:v>
      </x:c>
      <x:c r="L93" s="12" t="str">
        <x:v>Unsupported Observation</x:v>
      </x:c>
      <x:c r="M93" s="12" t="str">
        <x:v>Nocturnix_Master_Services_Catalog_v1.xlsx | 01 - Master Services | row 132</x:v>
      </x:c>
      <x:c r="N93" s="6" t="str">
        <x:v>Unresolved</x:v>
      </x:c>
      <x:c r="O93" s="6" t="str"/>
      <x:c r="P93" s="6" t="str"/>
      <x:c r="Q93" s="6" t="str">
        <x:v>Pending</x:v>
      </x:c>
      <x:c r="R93" s="12" t="str"/>
    </x:row>
    <x:row r="94">
      <x:c r="A94" s="6" t="str">
        <x:v>MFRR-000093</x:v>
      </x:c>
      <x:c r="B94" s="6" t="str">
        <x:v>SVC000093</x:v>
      </x:c>
      <x:c r="C94" s="6" t="str">
        <x:v>iPhone 8 Screen replacement</x:v>
      </x:c>
      <x:c r="D94" s="6" t="str">
        <x:v>MFR-LEGACY-001</x:v>
      </x:c>
      <x:c r="E94" s="6"/>
      <x:c r="F94" s="6"/>
      <x:c r="G94" s="6" t="str">
        <x:v>Unknown</x:v>
      </x:c>
      <x:c r="H94" s="6" t="str"/>
      <x:c r="I94" s="6" t="str"/>
      <x:c r="J94" s="6" t="str">
        <x:v>Unknown</x:v>
      </x:c>
      <x:c r="K94" s="6" t="str">
        <x:v>Unknown</x:v>
      </x:c>
      <x:c r="L94" s="12" t="str">
        <x:v>Unsupported Observation</x:v>
      </x:c>
      <x:c r="M94" s="12" t="str">
        <x:v>Nocturnix_Master_Services_Catalog_v1.xlsx | 01 - Master Services | row 133</x:v>
      </x:c>
      <x:c r="N94" s="6" t="str">
        <x:v>Unresolved</x:v>
      </x:c>
      <x:c r="O94" s="6" t="str"/>
      <x:c r="P94" s="6" t="str"/>
      <x:c r="Q94" s="6" t="str">
        <x:v>Pending</x:v>
      </x:c>
      <x:c r="R94" s="12" t="str"/>
    </x:row>
    <x:row r="95">
      <x:c r="A95" s="6" t="str">
        <x:v>MFRR-000094</x:v>
      </x:c>
      <x:c r="B95" s="6" t="str">
        <x:v>SVC000094</x:v>
      </x:c>
      <x:c r="C95" s="6" t="str">
        <x:v>iPhone Air Screen replacement</x:v>
      </x:c>
      <x:c r="D95" s="6" t="str">
        <x:v>MFR-LEGACY-001</x:v>
      </x:c>
      <x:c r="E95" s="6"/>
      <x:c r="F95" s="6"/>
      <x:c r="G95" s="6" t="str">
        <x:v>Unknown</x:v>
      </x:c>
      <x:c r="H95" s="6" t="str"/>
      <x:c r="I95" s="6" t="str"/>
      <x:c r="J95" s="6" t="str">
        <x:v>Unknown</x:v>
      </x:c>
      <x:c r="K95" s="6" t="str">
        <x:v>Unknown</x:v>
      </x:c>
      <x:c r="L95" s="12" t="str">
        <x:v>Unsupported Observation</x:v>
      </x:c>
      <x:c r="M95" s="12" t="str">
        <x:v>Nocturnix_Master_Services_Catalog_v1.xlsx | 01 - Master Services | row 134</x:v>
      </x:c>
      <x:c r="N95" s="6" t="str">
        <x:v>Unresolved</x:v>
      </x:c>
      <x:c r="O95" s="6" t="str"/>
      <x:c r="P95" s="6" t="str"/>
      <x:c r="Q95" s="6" t="str">
        <x:v>Pending</x:v>
      </x:c>
      <x:c r="R95" s="12" t="str"/>
    </x:row>
    <x:row r="96">
      <x:c r="A96" s="6" t="str">
        <x:v>MFRR-000095</x:v>
      </x:c>
      <x:c r="B96" s="6" t="str">
        <x:v>SVC000095</x:v>
      </x:c>
      <x:c r="C96" s="6" t="str">
        <x:v>iPhone SE(1ST GEN) Screen replacement</x:v>
      </x:c>
      <x:c r="D96" s="6" t="str">
        <x:v>MFR-LEGACY-001</x:v>
      </x:c>
      <x:c r="E96" s="6"/>
      <x:c r="F96" s="6"/>
      <x:c r="G96" s="6" t="str">
        <x:v>Unknown</x:v>
      </x:c>
      <x:c r="H96" s="6" t="str"/>
      <x:c r="I96" s="6" t="str"/>
      <x:c r="J96" s="6" t="str">
        <x:v>Unknown</x:v>
      </x:c>
      <x:c r="K96" s="6" t="str">
        <x:v>Unknown</x:v>
      </x:c>
      <x:c r="L96" s="12" t="str">
        <x:v>Unsupported Observation</x:v>
      </x:c>
      <x:c r="M96" s="12" t="str">
        <x:v>Nocturnix_Master_Services_Catalog_v1.xlsx | 01 - Master Services | row 135</x:v>
      </x:c>
      <x:c r="N96" s="6" t="str">
        <x:v>Unresolved</x:v>
      </x:c>
      <x:c r="O96" s="6" t="str"/>
      <x:c r="P96" s="6" t="str"/>
      <x:c r="Q96" s="6" t="str">
        <x:v>Pending</x:v>
      </x:c>
      <x:c r="R96" s="12" t="str"/>
    </x:row>
    <x:row r="97">
      <x:c r="A97" s="6" t="str">
        <x:v>MFRR-000096</x:v>
      </x:c>
      <x:c r="B97" s="6" t="str">
        <x:v>SVC000096</x:v>
      </x:c>
      <x:c r="C97" s="6" t="str">
        <x:v>iPhone SE (2ND GEN) Screen replacement</x:v>
      </x:c>
      <x:c r="D97" s="6" t="str">
        <x:v>MFR-LEGACY-001</x:v>
      </x:c>
      <x:c r="E97" s="6"/>
      <x:c r="F97" s="6"/>
      <x:c r="G97" s="6" t="str">
        <x:v>Unknown</x:v>
      </x:c>
      <x:c r="H97" s="6" t="str"/>
      <x:c r="I97" s="6" t="str"/>
      <x:c r="J97" s="6" t="str">
        <x:v>Unknown</x:v>
      </x:c>
      <x:c r="K97" s="6" t="str">
        <x:v>Unknown</x:v>
      </x:c>
      <x:c r="L97" s="12" t="str">
        <x:v>Unsupported Observation</x:v>
      </x:c>
      <x:c r="M97" s="12" t="str">
        <x:v>Nocturnix_Master_Services_Catalog_v1.xlsx | 01 - Master Services | row 136</x:v>
      </x:c>
      <x:c r="N97" s="6" t="str">
        <x:v>Unresolved</x:v>
      </x:c>
      <x:c r="O97" s="6" t="str"/>
      <x:c r="P97" s="6" t="str"/>
      <x:c r="Q97" s="6" t="str">
        <x:v>Pending</x:v>
      </x:c>
      <x:c r="R97" s="12" t="str"/>
    </x:row>
    <x:row r="98">
      <x:c r="A98" s="6" t="str">
        <x:v>MFRR-000097</x:v>
      </x:c>
      <x:c r="B98" s="6" t="str">
        <x:v>SVC000097</x:v>
      </x:c>
      <x:c r="C98" s="6" t="str">
        <x:v>iPhone SE (3RD GEN) Screen replacement</x:v>
      </x:c>
      <x:c r="D98" s="6" t="str">
        <x:v>MFR-LEGACY-001</x:v>
      </x:c>
      <x:c r="E98" s="6"/>
      <x:c r="F98" s="6"/>
      <x:c r="G98" s="6" t="str">
        <x:v>Unknown</x:v>
      </x:c>
      <x:c r="H98" s="6" t="str"/>
      <x:c r="I98" s="6" t="str"/>
      <x:c r="J98" s="6" t="str">
        <x:v>Unknown</x:v>
      </x:c>
      <x:c r="K98" s="6" t="str">
        <x:v>Unknown</x:v>
      </x:c>
      <x:c r="L98" s="12" t="str">
        <x:v>Unsupported Observation</x:v>
      </x:c>
      <x:c r="M98" s="12" t="str">
        <x:v>Nocturnix_Master_Services_Catalog_v1.xlsx | 01 - Master Services | row 137</x:v>
      </x:c>
      <x:c r="N98" s="6" t="str">
        <x:v>Unresolved</x:v>
      </x:c>
      <x:c r="O98" s="6" t="str"/>
      <x:c r="P98" s="6" t="str"/>
      <x:c r="Q98" s="6" t="str">
        <x:v>Pending</x:v>
      </x:c>
      <x:c r="R98" s="12" t="str"/>
    </x:row>
    <x:row r="99">
      <x:c r="A99" s="6" t="str">
        <x:v>MFRR-000098</x:v>
      </x:c>
      <x:c r="B99" s="6" t="str">
        <x:v>SVC000098</x:v>
      </x:c>
      <x:c r="C99" s="6" t="str">
        <x:v>iPhone XR Screen replacement</x:v>
      </x:c>
      <x:c r="D99" s="6" t="str">
        <x:v>MFR-LEGACY-001</x:v>
      </x:c>
      <x:c r="E99" s="6"/>
      <x:c r="F99" s="6"/>
      <x:c r="G99" s="6" t="str">
        <x:v>Unknown</x:v>
      </x:c>
      <x:c r="H99" s="6" t="str"/>
      <x:c r="I99" s="6" t="str"/>
      <x:c r="J99" s="6" t="str">
        <x:v>Unknown</x:v>
      </x:c>
      <x:c r="K99" s="6" t="str">
        <x:v>Unknown</x:v>
      </x:c>
      <x:c r="L99" s="12" t="str">
        <x:v>Unsupported Observation</x:v>
      </x:c>
      <x:c r="M99" s="12" t="str">
        <x:v>Nocturnix_Master_Services_Catalog_v1.xlsx | 01 - Master Services | row 138</x:v>
      </x:c>
      <x:c r="N99" s="6" t="str">
        <x:v>Unresolved</x:v>
      </x:c>
      <x:c r="O99" s="6" t="str"/>
      <x:c r="P99" s="6" t="str"/>
      <x:c r="Q99" s="6" t="str">
        <x:v>Pending</x:v>
      </x:c>
      <x:c r="R99" s="12" t="str"/>
    </x:row>
    <x:row r="100">
      <x:c r="A100" s="6" t="str">
        <x:v>MFRR-000099</x:v>
      </x:c>
      <x:c r="B100" s="6" t="str">
        <x:v>SVC000099</x:v>
      </x:c>
      <x:c r="C100" s="6" t="str">
        <x:v>iPhone XS Screen replacement</x:v>
      </x:c>
      <x:c r="D100" s="6" t="str">
        <x:v>MFR-LEGACY-001</x:v>
      </x:c>
      <x:c r="E100" s="6"/>
      <x:c r="F100" s="6"/>
      <x:c r="G100" s="6" t="str">
        <x:v>Unknown</x:v>
      </x:c>
      <x:c r="H100" s="6" t="str"/>
      <x:c r="I100" s="6" t="str"/>
      <x:c r="J100" s="6" t="str">
        <x:v>Unknown</x:v>
      </x:c>
      <x:c r="K100" s="6" t="str">
        <x:v>Unknown</x:v>
      </x:c>
      <x:c r="L100" s="12" t="str">
        <x:v>Unsupported Observation</x:v>
      </x:c>
      <x:c r="M100" s="12" t="str">
        <x:v>Nocturnix_Master_Services_Catalog_v1.xlsx | 01 - Master Services | row 139</x:v>
      </x:c>
      <x:c r="N100" s="6" t="str">
        <x:v>Unresolved</x:v>
      </x:c>
      <x:c r="O100" s="6" t="str"/>
      <x:c r="P100" s="6" t="str"/>
      <x:c r="Q100" s="6" t="str">
        <x:v>Pending</x:v>
      </x:c>
      <x:c r="R100" s="12" t="str"/>
    </x:row>
    <x:row r="101">
      <x:c r="A101" s="6" t="str">
        <x:v>MFRR-000100</x:v>
      </x:c>
      <x:c r="B101" s="6" t="str">
        <x:v>SVC000100</x:v>
      </x:c>
      <x:c r="C101" s="6" t="str">
        <x:v>iPhone 5 Screen replacement</x:v>
      </x:c>
      <x:c r="D101" s="6" t="str">
        <x:v>MFR-LEGACY-001</x:v>
      </x:c>
      <x:c r="E101" s="6"/>
      <x:c r="F101" s="6"/>
      <x:c r="G101" s="6" t="str">
        <x:v>Unknown</x:v>
      </x:c>
      <x:c r="H101" s="6" t="str"/>
      <x:c r="I101" s="6" t="str"/>
      <x:c r="J101" s="6" t="str">
        <x:v>Unknown</x:v>
      </x:c>
      <x:c r="K101" s="6" t="str">
        <x:v>Unknown</x:v>
      </x:c>
      <x:c r="L101" s="12" t="str">
        <x:v>Unsupported Observation</x:v>
      </x:c>
      <x:c r="M101" s="12" t="str">
        <x:v>Nocturnix_Master_Services_Catalog_v1.xlsx | 01 - Master Services | row 140</x:v>
      </x:c>
      <x:c r="N101" s="6" t="str">
        <x:v>Unresolved</x:v>
      </x:c>
      <x:c r="O101" s="6" t="str"/>
      <x:c r="P101" s="6" t="str"/>
      <x:c r="Q101" s="6" t="str">
        <x:v>Pending</x:v>
      </x:c>
      <x:c r="R101" s="12" t="str"/>
    </x:row>
    <x:row r="102">
      <x:c r="A102" s="6" t="str">
        <x:v>MFRR-000101</x:v>
      </x:c>
      <x:c r="B102" s="6" t="str">
        <x:v>SVC000101</x:v>
      </x:c>
      <x:c r="C102" s="6" t="str">
        <x:v>iPhone 4S Screen replacement</x:v>
      </x:c>
      <x:c r="D102" s="6" t="str">
        <x:v>MFR-LEGACY-001</x:v>
      </x:c>
      <x:c r="E102" s="6"/>
      <x:c r="F102" s="6"/>
      <x:c r="G102" s="6" t="str">
        <x:v>Unknown</x:v>
      </x:c>
      <x:c r="H102" s="6" t="str"/>
      <x:c r="I102" s="6" t="str"/>
      <x:c r="J102" s="6" t="str">
        <x:v>Unknown</x:v>
      </x:c>
      <x:c r="K102" s="6" t="str">
        <x:v>Unknown</x:v>
      </x:c>
      <x:c r="L102" s="12" t="str">
        <x:v>Unsupported Observation</x:v>
      </x:c>
      <x:c r="M102" s="12" t="str">
        <x:v>Nocturnix_Master_Services_Catalog_v1.xlsx | 01 - Master Services | row 141</x:v>
      </x:c>
      <x:c r="N102" s="6" t="str">
        <x:v>Unresolved</x:v>
      </x:c>
      <x:c r="O102" s="6" t="str"/>
      <x:c r="P102" s="6" t="str"/>
      <x:c r="Q102" s="6" t="str">
        <x:v>Pending</x:v>
      </x:c>
      <x:c r="R102" s="12" t="str"/>
    </x:row>
    <x:row r="103">
      <x:c r="A103" s="6" t="str">
        <x:v>MFRR-000102</x:v>
      </x:c>
      <x:c r="B103" s="6" t="str">
        <x:v>SVC000102</x:v>
      </x:c>
      <x:c r="C103" s="6" t="str">
        <x:v>iPhone 4S Screen replacement</x:v>
      </x:c>
      <x:c r="D103" s="6" t="str">
        <x:v>MFR-LEGACY-001</x:v>
      </x:c>
      <x:c r="E103" s="6"/>
      <x:c r="F103" s="6"/>
      <x:c r="G103" s="6" t="str">
        <x:v>Unknown</x:v>
      </x:c>
      <x:c r="H103" s="6" t="str"/>
      <x:c r="I103" s="6" t="str"/>
      <x:c r="J103" s="6" t="str">
        <x:v>Unknown</x:v>
      </x:c>
      <x:c r="K103" s="6" t="str">
        <x:v>Unknown</x:v>
      </x:c>
      <x:c r="L103" s="12" t="str">
        <x:v>Unsupported Observation</x:v>
      </x:c>
      <x:c r="M103" s="12" t="str">
        <x:v>Nocturnix_Master_Services_Catalog_v1.xlsx | 01 - Master Services | row 142</x:v>
      </x:c>
      <x:c r="N103" s="6" t="str">
        <x:v>Unresolved</x:v>
      </x:c>
      <x:c r="O103" s="6" t="str"/>
      <x:c r="P103" s="6" t="str"/>
      <x:c r="Q103" s="6" t="str">
        <x:v>Pending</x:v>
      </x:c>
      <x:c r="R103" s="12" t="str"/>
    </x:row>
    <x:row r="104">
      <x:c r="A104" s="6" t="str">
        <x:v>MFRR-000103</x:v>
      </x:c>
      <x:c r="B104" s="6" t="str">
        <x:v>SVC000103</x:v>
      </x:c>
      <x:c r="C104" s="6" t="str">
        <x:v>iPhone 4S Screen replacement</x:v>
      </x:c>
      <x:c r="D104" s="6" t="str">
        <x:v>MFR-LEGACY-001</x:v>
      </x:c>
      <x:c r="E104" s="6"/>
      <x:c r="F104" s="6"/>
      <x:c r="G104" s="6" t="str">
        <x:v>Unknown</x:v>
      </x:c>
      <x:c r="H104" s="6" t="str"/>
      <x:c r="I104" s="6" t="str"/>
      <x:c r="J104" s="6" t="str">
        <x:v>Unknown</x:v>
      </x:c>
      <x:c r="K104" s="6" t="str">
        <x:v>Unknown</x:v>
      </x:c>
      <x:c r="L104" s="12" t="str">
        <x:v>Unsupported Observation</x:v>
      </x:c>
      <x:c r="M104" s="12" t="str">
        <x:v>Nocturnix_Master_Services_Catalog_v1.xlsx | 01 - Master Services | row 143</x:v>
      </x:c>
      <x:c r="N104" s="6" t="str">
        <x:v>Unresolved</x:v>
      </x:c>
      <x:c r="O104" s="6" t="str"/>
      <x:c r="P104" s="6" t="str"/>
      <x:c r="Q104" s="6" t="str">
        <x:v>Pending</x:v>
      </x:c>
      <x:c r="R104" s="12" t="str"/>
    </x:row>
    <x:row r="105">
      <x:c r="A105" s="6" t="str">
        <x:v>MFRR-000104</x:v>
      </x:c>
      <x:c r="B105" s="6" t="str">
        <x:v>SVC000104</x:v>
      </x:c>
      <x:c r="C105" s="6" t="str">
        <x:v>iPhone 3GS Screen replacement</x:v>
      </x:c>
      <x:c r="D105" s="6" t="str">
        <x:v>MFR-LEGACY-001</x:v>
      </x:c>
      <x:c r="E105" s="6"/>
      <x:c r="F105" s="6"/>
      <x:c r="G105" s="6" t="str">
        <x:v>Unknown</x:v>
      </x:c>
      <x:c r="H105" s="6" t="str"/>
      <x:c r="I105" s="6" t="str"/>
      <x:c r="J105" s="6" t="str">
        <x:v>Unknown</x:v>
      </x:c>
      <x:c r="K105" s="6" t="str">
        <x:v>Unknown</x:v>
      </x:c>
      <x:c r="L105" s="12" t="str">
        <x:v>Unsupported Observation</x:v>
      </x:c>
      <x:c r="M105" s="12" t="str">
        <x:v>Nocturnix_Master_Services_Catalog_v1.xlsx | 01 - Master Services | row 144</x:v>
      </x:c>
      <x:c r="N105" s="6" t="str">
        <x:v>Unresolved</x:v>
      </x:c>
      <x:c r="O105" s="6" t="str"/>
      <x:c r="P105" s="6" t="str"/>
      <x:c r="Q105" s="6" t="str">
        <x:v>Pending</x:v>
      </x:c>
      <x:c r="R105" s="12" t="str"/>
    </x:row>
    <x:row r="106">
      <x:c r="A106" s="6" t="str">
        <x:v>MFRR-000105</x:v>
      </x:c>
      <x:c r="B106" s="6" t="str">
        <x:v>SVC000105</x:v>
      </x:c>
      <x:c r="C106" s="6" t="str">
        <x:v>iPhone 3G Screen replacement</x:v>
      </x:c>
      <x:c r="D106" s="6" t="str">
        <x:v>MFR-LEGACY-001</x:v>
      </x:c>
      <x:c r="E106" s="6"/>
      <x:c r="F106" s="6"/>
      <x:c r="G106" s="6" t="str">
        <x:v>Unknown</x:v>
      </x:c>
      <x:c r="H106" s="6" t="str"/>
      <x:c r="I106" s="6" t="str"/>
      <x:c r="J106" s="6" t="str">
        <x:v>Unknown</x:v>
      </x:c>
      <x:c r="K106" s="6" t="str">
        <x:v>Unknown</x:v>
      </x:c>
      <x:c r="L106" s="12" t="str">
        <x:v>Unsupported Observation</x:v>
      </x:c>
      <x:c r="M106" s="12" t="str">
        <x:v>Nocturnix_Master_Services_Catalog_v1.xlsx | 01 - Master Services | row 145</x:v>
      </x:c>
      <x:c r="N106" s="6" t="str">
        <x:v>Unresolved</x:v>
      </x:c>
      <x:c r="O106" s="6" t="str"/>
      <x:c r="P106" s="6" t="str"/>
      <x:c r="Q106" s="6" t="str">
        <x:v>Pending</x:v>
      </x:c>
      <x:c r="R106" s="12" t="str"/>
    </x:row>
    <x:row r="107">
      <x:c r="A107" s="6" t="str">
        <x:v>MFRR-000106</x:v>
      </x:c>
      <x:c r="B107" s="6" t="str">
        <x:v>SVC000106</x:v>
      </x:c>
      <x:c r="C107" s="6" t="str">
        <x:v>iPhone Screen replacement</x:v>
      </x:c>
      <x:c r="D107" s="6" t="str">
        <x:v>MFR-LEGACY-001</x:v>
      </x:c>
      <x:c r="E107" s="6"/>
      <x:c r="F107" s="6"/>
      <x:c r="G107" s="6" t="str">
        <x:v>Unknown</x:v>
      </x:c>
      <x:c r="H107" s="6" t="str"/>
      <x:c r="I107" s="6" t="str"/>
      <x:c r="J107" s="6" t="str">
        <x:v>Unknown</x:v>
      </x:c>
      <x:c r="K107" s="6" t="str">
        <x:v>Unknown</x:v>
      </x:c>
      <x:c r="L107" s="12" t="str">
        <x:v>Unsupported Observation</x:v>
      </x:c>
      <x:c r="M107" s="12" t="str">
        <x:v>Nocturnix_Master_Services_Catalog_v1.xlsx | 01 - Master Services | row 146</x:v>
      </x:c>
      <x:c r="N107" s="6" t="str">
        <x:v>Unresolved</x:v>
      </x:c>
      <x:c r="O107" s="6" t="str"/>
      <x:c r="P107" s="6" t="str"/>
      <x:c r="Q107" s="6" t="str">
        <x:v>Pending</x:v>
      </x:c>
      <x:c r="R107" s="12" t="str"/>
    </x:row>
    <x:row r="108">
      <x:c r="A108" s="6" t="str">
        <x:v>MFRR-000107</x:v>
      </x:c>
      <x:c r="B108" s="6" t="str">
        <x:v>SVC000107</x:v>
      </x:c>
      <x:c r="C108" s="6" t="str">
        <x:v>Galaxy S 24 FE Charge Port Replacement</x:v>
      </x:c>
      <x:c r="D108" s="6" t="str">
        <x:v>MFR-LEGACY-001</x:v>
      </x:c>
      <x:c r="E108" s="6"/>
      <x:c r="F108" s="6"/>
      <x:c r="G108" s="6" t="str">
        <x:v>Unknown</x:v>
      </x:c>
      <x:c r="H108" s="6" t="str"/>
      <x:c r="I108" s="6" t="str"/>
      <x:c r="J108" s="6" t="str">
        <x:v>Unknown</x:v>
      </x:c>
      <x:c r="K108" s="6" t="str">
        <x:v>Unknown</x:v>
      </x:c>
      <x:c r="L108" s="12" t="str">
        <x:v>Unsupported Observation</x:v>
      </x:c>
      <x:c r="M108" s="12" t="str">
        <x:v>Nocturnix_Master_Services_Catalog_v1.xlsx | 01 - Master Services | row 147</x:v>
      </x:c>
      <x:c r="N108" s="6" t="str">
        <x:v>Unresolved</x:v>
      </x:c>
      <x:c r="O108" s="6" t="str"/>
      <x:c r="P108" s="6" t="str"/>
      <x:c r="Q108" s="6" t="str">
        <x:v>Pending</x:v>
      </x:c>
      <x:c r="R108" s="12" t="str"/>
    </x:row>
    <x:row r="109">
      <x:c r="A109" s="6" t="str">
        <x:v>MFRR-000108</x:v>
      </x:c>
      <x:c r="B109" s="6" t="str">
        <x:v>SVC000108</x:v>
      </x:c>
      <x:c r="C109" s="6" t="str">
        <x:v>Galaxy S 25 Charge Port Replacement</x:v>
      </x:c>
      <x:c r="D109" s="6" t="str">
        <x:v>MFR-LEGACY-001</x:v>
      </x:c>
      <x:c r="E109" s="6"/>
      <x:c r="F109" s="6"/>
      <x:c r="G109" s="6" t="str">
        <x:v>Unknown</x:v>
      </x:c>
      <x:c r="H109" s="6" t="str"/>
      <x:c r="I109" s="6" t="str"/>
      <x:c r="J109" s="6" t="str">
        <x:v>Unknown</x:v>
      </x:c>
      <x:c r="K109" s="6" t="str">
        <x:v>Unknown</x:v>
      </x:c>
      <x:c r="L109" s="12" t="str">
        <x:v>Unsupported Observation</x:v>
      </x:c>
      <x:c r="M109" s="12" t="str">
        <x:v>Nocturnix_Master_Services_Catalog_v1.xlsx | 01 - Master Services | row 148</x:v>
      </x:c>
      <x:c r="N109" s="6" t="str">
        <x:v>Unresolved</x:v>
      </x:c>
      <x:c r="O109" s="6" t="str"/>
      <x:c r="P109" s="6" t="str"/>
      <x:c r="Q109" s="6" t="str">
        <x:v>Pending</x:v>
      </x:c>
      <x:c r="R109" s="12" t="str"/>
    </x:row>
    <x:row r="110">
      <x:c r="A110" s="6" t="str">
        <x:v>MFRR-000109</x:v>
      </x:c>
      <x:c r="B110" s="6" t="str">
        <x:v>SVC000109</x:v>
      </x:c>
      <x:c r="C110" s="6" t="str">
        <x:v>Galaxy S 25 Plus Charge Port Replacement</x:v>
      </x:c>
      <x:c r="D110" s="6" t="str">
        <x:v>MFR-LEGACY-001</x:v>
      </x:c>
      <x:c r="E110" s="6"/>
      <x:c r="F110" s="6"/>
      <x:c r="G110" s="6" t="str">
        <x:v>Unknown</x:v>
      </x:c>
      <x:c r="H110" s="6" t="str"/>
      <x:c r="I110" s="6" t="str"/>
      <x:c r="J110" s="6" t="str">
        <x:v>Unknown</x:v>
      </x:c>
      <x:c r="K110" s="6" t="str">
        <x:v>Unknown</x:v>
      </x:c>
      <x:c r="L110" s="12" t="str">
        <x:v>Unsupported Observation</x:v>
      </x:c>
      <x:c r="M110" s="12" t="str">
        <x:v>Nocturnix_Master_Services_Catalog_v1.xlsx | 01 - Master Services | row 149</x:v>
      </x:c>
      <x:c r="N110" s="6" t="str">
        <x:v>Unresolved</x:v>
      </x:c>
      <x:c r="O110" s="6" t="str"/>
      <x:c r="P110" s="6" t="str"/>
      <x:c r="Q110" s="6" t="str">
        <x:v>Pending</x:v>
      </x:c>
      <x:c r="R110" s="12" t="str"/>
    </x:row>
    <x:row r="111">
      <x:c r="A111" s="6" t="str">
        <x:v>MFRR-000110</x:v>
      </x:c>
      <x:c r="B111" s="6" t="str">
        <x:v>SVC000110</x:v>
      </x:c>
      <x:c r="C111" s="6" t="str">
        <x:v>Galaxy S 25 Edge Charge Port Replacement</x:v>
      </x:c>
      <x:c r="D111" s="6" t="str">
        <x:v>MFR-LEGACY-001</x:v>
      </x:c>
      <x:c r="E111" s="6"/>
      <x:c r="F111" s="6"/>
      <x:c r="G111" s="6" t="str">
        <x:v>Unknown</x:v>
      </x:c>
      <x:c r="H111" s="6" t="str"/>
      <x:c r="I111" s="6" t="str"/>
      <x:c r="J111" s="6" t="str">
        <x:v>Unknown</x:v>
      </x:c>
      <x:c r="K111" s="6" t="str">
        <x:v>Unknown</x:v>
      </x:c>
      <x:c r="L111" s="12" t="str">
        <x:v>Unsupported Observation</x:v>
      </x:c>
      <x:c r="M111" s="12" t="str">
        <x:v>Nocturnix_Master_Services_Catalog_v1.xlsx | 01 - Master Services | row 150</x:v>
      </x:c>
      <x:c r="N111" s="6" t="str">
        <x:v>Unresolved</x:v>
      </x:c>
      <x:c r="O111" s="6" t="str"/>
      <x:c r="P111" s="6" t="str"/>
      <x:c r="Q111" s="6" t="str">
        <x:v>Pending</x:v>
      </x:c>
      <x:c r="R111" s="12" t="str"/>
    </x:row>
    <x:row r="112">
      <x:c r="A112" s="6" t="str">
        <x:v>MFRR-000111</x:v>
      </x:c>
      <x:c r="B112" s="6" t="str">
        <x:v>SVC000111</x:v>
      </x:c>
      <x:c r="C112" s="6" t="str">
        <x:v>Galaxy S 22 Plus Battery Replacement</x:v>
      </x:c>
      <x:c r="D112" s="6" t="str">
        <x:v>MFR-LEGACY-001</x:v>
      </x:c>
      <x:c r="E112" s="6"/>
      <x:c r="F112" s="6"/>
      <x:c r="G112" s="6" t="str">
        <x:v>Unknown</x:v>
      </x:c>
      <x:c r="H112" s="6" t="str"/>
      <x:c r="I112" s="6" t="str"/>
      <x:c r="J112" s="6" t="str">
        <x:v>Unknown</x:v>
      </x:c>
      <x:c r="K112" s="6" t="str">
        <x:v>Unknown</x:v>
      </x:c>
      <x:c r="L112" s="12" t="str">
        <x:v>Unsupported Observation</x:v>
      </x:c>
      <x:c r="M112" s="12" t="str">
        <x:v>Nocturnix_Master_Services_Catalog_v1.xlsx | 01 - Master Services | row 151</x:v>
      </x:c>
      <x:c r="N112" s="6" t="str">
        <x:v>Unresolved</x:v>
      </x:c>
      <x:c r="O112" s="6" t="str"/>
      <x:c r="P112" s="6" t="str"/>
      <x:c r="Q112" s="6" t="str">
        <x:v>Pending</x:v>
      </x:c>
      <x:c r="R112" s="12" t="str"/>
    </x:row>
    <x:row r="113">
      <x:c r="A113" s="6" t="str">
        <x:v>MFRR-000112</x:v>
      </x:c>
      <x:c r="B113" s="6" t="str">
        <x:v>SVC000112</x:v>
      </x:c>
      <x:c r="C113" s="6" t="str">
        <x:v>Galaxy S 22 Ultra Battery Replacement</x:v>
      </x:c>
      <x:c r="D113" s="6" t="str">
        <x:v>MFR-LEGACY-001</x:v>
      </x:c>
      <x:c r="E113" s="6"/>
      <x:c r="F113" s="6"/>
      <x:c r="G113" s="6" t="str">
        <x:v>Unknown</x:v>
      </x:c>
      <x:c r="H113" s="6" t="str"/>
      <x:c r="I113" s="6" t="str"/>
      <x:c r="J113" s="6" t="str">
        <x:v>Unknown</x:v>
      </x:c>
      <x:c r="K113" s="6" t="str">
        <x:v>Unknown</x:v>
      </x:c>
      <x:c r="L113" s="12" t="str">
        <x:v>Unsupported Observation</x:v>
      </x:c>
      <x:c r="M113" s="12" t="str">
        <x:v>Nocturnix_Master_Services_Catalog_v1.xlsx | 01 - Master Services | row 152</x:v>
      </x:c>
      <x:c r="N113" s="6" t="str">
        <x:v>Unresolved</x:v>
      </x:c>
      <x:c r="O113" s="6" t="str"/>
      <x:c r="P113" s="6" t="str"/>
      <x:c r="Q113" s="6" t="str">
        <x:v>Pending</x:v>
      </x:c>
      <x:c r="R113" s="12" t="str"/>
    </x:row>
    <x:row r="114">
      <x:c r="A114" s="6" t="str">
        <x:v>MFRR-000113</x:v>
      </x:c>
      <x:c r="B114" s="6" t="str">
        <x:v>SVC000113</x:v>
      </x:c>
      <x:c r="C114" s="6" t="str">
        <x:v>Galaxy S 23 Plus Battery Replacement</x:v>
      </x:c>
      <x:c r="D114" s="6" t="str">
        <x:v>MFR-LEGACY-001</x:v>
      </x:c>
      <x:c r="E114" s="6"/>
      <x:c r="F114" s="6"/>
      <x:c r="G114" s="6" t="str">
        <x:v>Unknown</x:v>
      </x:c>
      <x:c r="H114" s="6" t="str"/>
      <x:c r="I114" s="6" t="str"/>
      <x:c r="J114" s="6" t="str">
        <x:v>Unknown</x:v>
      </x:c>
      <x:c r="K114" s="6" t="str">
        <x:v>Unknown</x:v>
      </x:c>
      <x:c r="L114" s="12" t="str">
        <x:v>Unsupported Observation</x:v>
      </x:c>
      <x:c r="M114" s="12" t="str">
        <x:v>Nocturnix_Master_Services_Catalog_v1.xlsx | 01 - Master Services | row 153</x:v>
      </x:c>
      <x:c r="N114" s="6" t="str">
        <x:v>Unresolved</x:v>
      </x:c>
      <x:c r="O114" s="6" t="str"/>
      <x:c r="P114" s="6" t="str"/>
      <x:c r="Q114" s="6" t="str">
        <x:v>Pending</x:v>
      </x:c>
      <x:c r="R114" s="12" t="str"/>
    </x:row>
    <x:row r="115">
      <x:c r="A115" s="6" t="str">
        <x:v>MFRR-000114</x:v>
      </x:c>
      <x:c r="B115" s="6" t="str">
        <x:v>SVC000114</x:v>
      </x:c>
      <x:c r="C115" s="6" t="str">
        <x:v>Galaxy S 24 Battery Replacement</x:v>
      </x:c>
      <x:c r="D115" s="6" t="str">
        <x:v>MFR-LEGACY-001</x:v>
      </x:c>
      <x:c r="E115" s="6"/>
      <x:c r="F115" s="6"/>
      <x:c r="G115" s="6" t="str">
        <x:v>Unknown</x:v>
      </x:c>
      <x:c r="H115" s="6" t="str"/>
      <x:c r="I115" s="6" t="str"/>
      <x:c r="J115" s="6" t="str">
        <x:v>Unknown</x:v>
      </x:c>
      <x:c r="K115" s="6" t="str">
        <x:v>Unknown</x:v>
      </x:c>
      <x:c r="L115" s="12" t="str">
        <x:v>Unsupported Observation</x:v>
      </x:c>
      <x:c r="M115" s="12" t="str">
        <x:v>Nocturnix_Master_Services_Catalog_v1.xlsx | 01 - Master Services | row 154</x:v>
      </x:c>
      <x:c r="N115" s="6" t="str">
        <x:v>Unresolved</x:v>
      </x:c>
      <x:c r="O115" s="6" t="str"/>
      <x:c r="P115" s="6" t="str"/>
      <x:c r="Q115" s="6" t="str">
        <x:v>Pending</x:v>
      </x:c>
      <x:c r="R115" s="12" t="str"/>
    </x:row>
    <x:row r="116">
      <x:c r="A116" s="6" t="str">
        <x:v>MFRR-000115</x:v>
      </x:c>
      <x:c r="B116" s="6" t="str">
        <x:v>SVC000115</x:v>
      </x:c>
      <x:c r="C116" s="6" t="str">
        <x:v>Galaxy S 24 Plus Battery Replacement</x:v>
      </x:c>
      <x:c r="D116" s="6" t="str">
        <x:v>MFR-LEGACY-001</x:v>
      </x:c>
      <x:c r="E116" s="6"/>
      <x:c r="F116" s="6"/>
      <x:c r="G116" s="6" t="str">
        <x:v>Unknown</x:v>
      </x:c>
      <x:c r="H116" s="6" t="str"/>
      <x:c r="I116" s="6" t="str"/>
      <x:c r="J116" s="6" t="str">
        <x:v>Unknown</x:v>
      </x:c>
      <x:c r="K116" s="6" t="str">
        <x:v>Unknown</x:v>
      </x:c>
      <x:c r="L116" s="12" t="str">
        <x:v>Unsupported Observation</x:v>
      </x:c>
      <x:c r="M116" s="12" t="str">
        <x:v>Nocturnix_Master_Services_Catalog_v1.xlsx | 01 - Master Services | row 155</x:v>
      </x:c>
      <x:c r="N116" s="6" t="str">
        <x:v>Unresolved</x:v>
      </x:c>
      <x:c r="O116" s="6" t="str"/>
      <x:c r="P116" s="6" t="str"/>
      <x:c r="Q116" s="6" t="str">
        <x:v>Pending</x:v>
      </x:c>
      <x:c r="R116" s="12" t="str"/>
    </x:row>
    <x:row r="117">
      <x:c r="A117" s="6" t="str">
        <x:v>MFRR-000116</x:v>
      </x:c>
      <x:c r="B117" s="6" t="str">
        <x:v>SVC000116</x:v>
      </x:c>
      <x:c r="C117" s="6" t="str">
        <x:v>Galaxy S 24 Ultra Battery Replacement</x:v>
      </x:c>
      <x:c r="D117" s="6" t="str">
        <x:v>MFR-LEGACY-001</x:v>
      </x:c>
      <x:c r="E117" s="6"/>
      <x:c r="F117" s="6"/>
      <x:c r="G117" s="6" t="str">
        <x:v>Unknown</x:v>
      </x:c>
      <x:c r="H117" s="6" t="str"/>
      <x:c r="I117" s="6" t="str"/>
      <x:c r="J117" s="6" t="str">
        <x:v>Unknown</x:v>
      </x:c>
      <x:c r="K117" s="6" t="str">
        <x:v>Unknown</x:v>
      </x:c>
      <x:c r="L117" s="12" t="str">
        <x:v>Unsupported Observation</x:v>
      </x:c>
      <x:c r="M117" s="12" t="str">
        <x:v>Nocturnix_Master_Services_Catalog_v1.xlsx | 01 - Master Services | row 156</x:v>
      </x:c>
      <x:c r="N117" s="6" t="str">
        <x:v>Unresolved</x:v>
      </x:c>
      <x:c r="O117" s="6" t="str"/>
      <x:c r="P117" s="6" t="str"/>
      <x:c r="Q117" s="6" t="str">
        <x:v>Pending</x:v>
      </x:c>
      <x:c r="R117" s="12" t="str"/>
    </x:row>
    <x:row r="118">
      <x:c r="A118" s="6" t="str">
        <x:v>MFRR-000117</x:v>
      </x:c>
      <x:c r="B118" s="6" t="str">
        <x:v>SVC000117</x:v>
      </x:c>
      <x:c r="C118" s="6" t="str">
        <x:v>Galaxy S 25 Plus Battery Replacement</x:v>
      </x:c>
      <x:c r="D118" s="6" t="str">
        <x:v>MFR-LEGACY-001</x:v>
      </x:c>
      <x:c r="E118" s="6"/>
      <x:c r="F118" s="6"/>
      <x:c r="G118" s="6" t="str">
        <x:v>Unknown</x:v>
      </x:c>
      <x:c r="H118" s="6" t="str"/>
      <x:c r="I118" s="6" t="str"/>
      <x:c r="J118" s="6" t="str">
        <x:v>Unknown</x:v>
      </x:c>
      <x:c r="K118" s="6" t="str">
        <x:v>Unknown</x:v>
      </x:c>
      <x:c r="L118" s="12" t="str">
        <x:v>Unsupported Observation</x:v>
      </x:c>
      <x:c r="M118" s="12" t="str">
        <x:v>Nocturnix_Master_Services_Catalog_v1.xlsx | 01 - Master Services | row 157</x:v>
      </x:c>
      <x:c r="N118" s="6" t="str">
        <x:v>Unresolved</x:v>
      </x:c>
      <x:c r="O118" s="6" t="str"/>
      <x:c r="P118" s="6" t="str"/>
      <x:c r="Q118" s="6" t="str">
        <x:v>Pending</x:v>
      </x:c>
      <x:c r="R118" s="12" t="str"/>
    </x:row>
    <x:row r="119">
      <x:c r="A119" s="6" t="str">
        <x:v>MFRR-000118</x:v>
      </x:c>
      <x:c r="B119" s="6" t="str">
        <x:v>SVC000118</x:v>
      </x:c>
      <x:c r="C119" s="6" t="str">
        <x:v>Galaxy S 10 Battery Replacement</x:v>
      </x:c>
      <x:c r="D119" s="6" t="str">
        <x:v>MFR-LEGACY-001</x:v>
      </x:c>
      <x:c r="E119" s="6"/>
      <x:c r="F119" s="6"/>
      <x:c r="G119" s="6" t="str">
        <x:v>Unknown</x:v>
      </x:c>
      <x:c r="H119" s="6" t="str"/>
      <x:c r="I119" s="6" t="str"/>
      <x:c r="J119" s="6" t="str">
        <x:v>Unknown</x:v>
      </x:c>
      <x:c r="K119" s="6" t="str">
        <x:v>Unknown</x:v>
      </x:c>
      <x:c r="L119" s="12" t="str">
        <x:v>Unsupported Observation</x:v>
      </x:c>
      <x:c r="M119" s="12" t="str">
        <x:v>Nocturnix_Master_Services_Catalog_v1.xlsx | 01 - Master Services | row 158</x:v>
      </x:c>
      <x:c r="N119" s="6" t="str">
        <x:v>Unresolved</x:v>
      </x:c>
      <x:c r="O119" s="6" t="str"/>
      <x:c r="P119" s="6" t="str"/>
      <x:c r="Q119" s="6" t="str">
        <x:v>Pending</x:v>
      </x:c>
      <x:c r="R119" s="12" t="str"/>
    </x:row>
    <x:row r="120">
      <x:c r="A120" s="6" t="str">
        <x:v>MFRR-000119</x:v>
      </x:c>
      <x:c r="B120" s="6" t="str">
        <x:v>SVC000119</x:v>
      </x:c>
      <x:c r="C120" s="6" t="str">
        <x:v>Galaxy S 10 Plus Battery Replacement</x:v>
      </x:c>
      <x:c r="D120" s="6" t="str">
        <x:v>MFR-LEGACY-001</x:v>
      </x:c>
      <x:c r="E120" s="6"/>
      <x:c r="F120" s="6"/>
      <x:c r="G120" s="6" t="str">
        <x:v>Unknown</x:v>
      </x:c>
      <x:c r="H120" s="6" t="str"/>
      <x:c r="I120" s="6" t="str"/>
      <x:c r="J120" s="6" t="str">
        <x:v>Unknown</x:v>
      </x:c>
      <x:c r="K120" s="6" t="str">
        <x:v>Unknown</x:v>
      </x:c>
      <x:c r="L120" s="12" t="str">
        <x:v>Unsupported Observation</x:v>
      </x:c>
      <x:c r="M120" s="12" t="str">
        <x:v>Nocturnix_Master_Services_Catalog_v1.xlsx | 01 - Master Services | row 159</x:v>
      </x:c>
      <x:c r="N120" s="6" t="str">
        <x:v>Unresolved</x:v>
      </x:c>
      <x:c r="O120" s="6" t="str"/>
      <x:c r="P120" s="6" t="str"/>
      <x:c r="Q120" s="6" t="str">
        <x:v>Pending</x:v>
      </x:c>
      <x:c r="R120" s="12" t="str"/>
    </x:row>
    <x:row r="121">
      <x:c r="A121" s="6" t="str">
        <x:v>MFRR-000120</x:v>
      </x:c>
      <x:c r="B121" s="6" t="str">
        <x:v>SVC000120</x:v>
      </x:c>
      <x:c r="C121" s="6" t="str">
        <x:v>Galaxy S 10 E Battery Replacement</x:v>
      </x:c>
      <x:c r="D121" s="6" t="str">
        <x:v>MFR-LEGACY-001</x:v>
      </x:c>
      <x:c r="E121" s="6"/>
      <x:c r="F121" s="6"/>
      <x:c r="G121" s="6" t="str">
        <x:v>Unknown</x:v>
      </x:c>
      <x:c r="H121" s="6" t="str"/>
      <x:c r="I121" s="6" t="str"/>
      <x:c r="J121" s="6" t="str">
        <x:v>Unknown</x:v>
      </x:c>
      <x:c r="K121" s="6" t="str">
        <x:v>Unknown</x:v>
      </x:c>
      <x:c r="L121" s="12" t="str">
        <x:v>Unsupported Observation</x:v>
      </x:c>
      <x:c r="M121" s="12" t="str">
        <x:v>Nocturnix_Master_Services_Catalog_v1.xlsx | 01 - Master Services | row 160</x:v>
      </x:c>
      <x:c r="N121" s="6" t="str">
        <x:v>Unresolved</x:v>
      </x:c>
      <x:c r="O121" s="6" t="str"/>
      <x:c r="P121" s="6" t="str"/>
      <x:c r="Q121" s="6" t="str">
        <x:v>Pending</x:v>
      </x:c>
      <x:c r="R121" s="12" t="str"/>
    </x:row>
    <x:row r="122">
      <x:c r="A122" s="6" t="str">
        <x:v>MFRR-000121</x:v>
      </x:c>
      <x:c r="B122" s="6" t="str">
        <x:v>SVC000121</x:v>
      </x:c>
      <x:c r="C122" s="6" t="str">
        <x:v>Galaxy Note 9 Battery Replacement</x:v>
      </x:c>
      <x:c r="D122" s="6" t="str">
        <x:v>MFR-LEGACY-001</x:v>
      </x:c>
      <x:c r="E122" s="6"/>
      <x:c r="F122" s="6"/>
      <x:c r="G122" s="6" t="str">
        <x:v>Unknown</x:v>
      </x:c>
      <x:c r="H122" s="6" t="str"/>
      <x:c r="I122" s="6" t="str"/>
      <x:c r="J122" s="6" t="str">
        <x:v>Unknown</x:v>
      </x:c>
      <x:c r="K122" s="6" t="str">
        <x:v>Unknown</x:v>
      </x:c>
      <x:c r="L122" s="12" t="str">
        <x:v>Unsupported Observation</x:v>
      </x:c>
      <x:c r="M122" s="12" t="str">
        <x:v>Nocturnix_Master_Services_Catalog_v1.xlsx | 01 - Master Services | row 161</x:v>
      </x:c>
      <x:c r="N122" s="6" t="str">
        <x:v>Unresolved</x:v>
      </x:c>
      <x:c r="O122" s="6" t="str"/>
      <x:c r="P122" s="6" t="str"/>
      <x:c r="Q122" s="6" t="str">
        <x:v>Pending</x:v>
      </x:c>
      <x:c r="R122" s="12" t="str"/>
    </x:row>
    <x:row r="123">
      <x:c r="A123" s="6" t="str">
        <x:v>MFRR-000122</x:v>
      </x:c>
      <x:c r="B123" s="6" t="str">
        <x:v>SVC000122</x:v>
      </x:c>
      <x:c r="C123" s="6" t="str">
        <x:v>Galaxy Note 10 Plus Battery Replacement</x:v>
      </x:c>
      <x:c r="D123" s="6" t="str">
        <x:v>MFR-LEGACY-001</x:v>
      </x:c>
      <x:c r="E123" s="6"/>
      <x:c r="F123" s="6"/>
      <x:c r="G123" s="6" t="str">
        <x:v>Unknown</x:v>
      </x:c>
      <x:c r="H123" s="6" t="str"/>
      <x:c r="I123" s="6" t="str"/>
      <x:c r="J123" s="6" t="str">
        <x:v>Unknown</x:v>
      </x:c>
      <x:c r="K123" s="6" t="str">
        <x:v>Unknown</x:v>
      </x:c>
      <x:c r="L123" s="12" t="str">
        <x:v>Unsupported Observation</x:v>
      </x:c>
      <x:c r="M123" s="12" t="str">
        <x:v>Nocturnix_Master_Services_Catalog_v1.xlsx | 01 - Master Services | row 162</x:v>
      </x:c>
      <x:c r="N123" s="6" t="str">
        <x:v>Unresolved</x:v>
      </x:c>
      <x:c r="O123" s="6" t="str"/>
      <x:c r="P123" s="6" t="str"/>
      <x:c r="Q123" s="6" t="str">
        <x:v>Pending</x:v>
      </x:c>
      <x:c r="R123" s="12" t="str"/>
    </x:row>
    <x:row r="124">
      <x:c r="A124" s="6" t="str">
        <x:v>MFRR-000123</x:v>
      </x:c>
      <x:c r="B124" s="6" t="str">
        <x:v>SVC000123</x:v>
      </x:c>
      <x:c r="C124" s="6" t="str">
        <x:v>Galaxy S 20 Battery Replacement</x:v>
      </x:c>
      <x:c r="D124" s="6" t="str">
        <x:v>MFR-LEGACY-001</x:v>
      </x:c>
      <x:c r="E124" s="6"/>
      <x:c r="F124" s="6"/>
      <x:c r="G124" s="6" t="str">
        <x:v>Unknown</x:v>
      </x:c>
      <x:c r="H124" s="6" t="str"/>
      <x:c r="I124" s="6" t="str"/>
      <x:c r="J124" s="6" t="str">
        <x:v>Unknown</x:v>
      </x:c>
      <x:c r="K124" s="6" t="str">
        <x:v>Unknown</x:v>
      </x:c>
      <x:c r="L124" s="12" t="str">
        <x:v>Unsupported Observation</x:v>
      </x:c>
      <x:c r="M124" s="12" t="str">
        <x:v>Nocturnix_Master_Services_Catalog_v1.xlsx | 01 - Master Services | row 163</x:v>
      </x:c>
      <x:c r="N124" s="6" t="str">
        <x:v>Unresolved</x:v>
      </x:c>
      <x:c r="O124" s="6" t="str"/>
      <x:c r="P124" s="6" t="str"/>
      <x:c r="Q124" s="6" t="str">
        <x:v>Pending</x:v>
      </x:c>
      <x:c r="R124" s="12" t="str"/>
    </x:row>
    <x:row r="125">
      <x:c r="A125" s="6" t="str">
        <x:v>MFRR-000124</x:v>
      </x:c>
      <x:c r="B125" s="6" t="str">
        <x:v>SVC000124</x:v>
      </x:c>
      <x:c r="C125" s="6" t="str">
        <x:v>Galaxy S 20 Plus Battery Replacement</x:v>
      </x:c>
      <x:c r="D125" s="6" t="str">
        <x:v>MFR-LEGACY-001</x:v>
      </x:c>
      <x:c r="E125" s="6"/>
      <x:c r="F125" s="6"/>
      <x:c r="G125" s="6" t="str">
        <x:v>Unknown</x:v>
      </x:c>
      <x:c r="H125" s="6" t="str"/>
      <x:c r="I125" s="6" t="str"/>
      <x:c r="J125" s="6" t="str">
        <x:v>Unknown</x:v>
      </x:c>
      <x:c r="K125" s="6" t="str">
        <x:v>Unknown</x:v>
      </x:c>
      <x:c r="L125" s="12" t="str">
        <x:v>Unsupported Observation</x:v>
      </x:c>
      <x:c r="M125" s="12" t="str">
        <x:v>Nocturnix_Master_Services_Catalog_v1.xlsx | 01 - Master Services | row 164</x:v>
      </x:c>
      <x:c r="N125" s="6" t="str">
        <x:v>Unresolved</x:v>
      </x:c>
      <x:c r="O125" s="6" t="str"/>
      <x:c r="P125" s="6" t="str"/>
      <x:c r="Q125" s="6" t="str">
        <x:v>Pending</x:v>
      </x:c>
      <x:c r="R125" s="12" t="str"/>
    </x:row>
    <x:row r="126">
      <x:c r="A126" s="6" t="str">
        <x:v>MFRR-000125</x:v>
      </x:c>
      <x:c r="B126" s="6" t="str">
        <x:v>SVC000125</x:v>
      </x:c>
      <x:c r="C126" s="6" t="str">
        <x:v>Galaxy S 21 Plus Battery Replacement</x:v>
      </x:c>
      <x:c r="D126" s="6" t="str">
        <x:v>MFR-LEGACY-001</x:v>
      </x:c>
      <x:c r="E126" s="6"/>
      <x:c r="F126" s="6"/>
      <x:c r="G126" s="6" t="str">
        <x:v>Unknown</x:v>
      </x:c>
      <x:c r="H126" s="6" t="str"/>
      <x:c r="I126" s="6" t="str"/>
      <x:c r="J126" s="6" t="str">
        <x:v>Unknown</x:v>
      </x:c>
      <x:c r="K126" s="6" t="str">
        <x:v>Unknown</x:v>
      </x:c>
      <x:c r="L126" s="12" t="str">
        <x:v>Unsupported Observation</x:v>
      </x:c>
      <x:c r="M126" s="12" t="str">
        <x:v>Nocturnix_Master_Services_Catalog_v1.xlsx | 01 - Master Services | row 165</x:v>
      </x:c>
      <x:c r="N126" s="6" t="str">
        <x:v>Unresolved</x:v>
      </x:c>
      <x:c r="O126" s="6" t="str"/>
      <x:c r="P126" s="6" t="str"/>
      <x:c r="Q126" s="6" t="str">
        <x:v>Pending</x:v>
      </x:c>
      <x:c r="R126" s="12" t="str"/>
    </x:row>
    <x:row r="127">
      <x:c r="A127" s="6" t="str">
        <x:v>MFRR-000126</x:v>
      </x:c>
      <x:c r="B127" s="6" t="str">
        <x:v>SVC000126</x:v>
      </x:c>
      <x:c r="C127" s="6" t="str">
        <x:v>Galaxy S 7 Battery Replacement</x:v>
      </x:c>
      <x:c r="D127" s="6" t="str">
        <x:v>MFR-LEGACY-001</x:v>
      </x:c>
      <x:c r="E127" s="6"/>
      <x:c r="F127" s="6"/>
      <x:c r="G127" s="6" t="str">
        <x:v>Unknown</x:v>
      </x:c>
      <x:c r="H127" s="6" t="str"/>
      <x:c r="I127" s="6" t="str"/>
      <x:c r="J127" s="6" t="str">
        <x:v>Unknown</x:v>
      </x:c>
      <x:c r="K127" s="6" t="str">
        <x:v>Unknown</x:v>
      </x:c>
      <x:c r="L127" s="12" t="str">
        <x:v>Unsupported Observation</x:v>
      </x:c>
      <x:c r="M127" s="12" t="str">
        <x:v>Nocturnix_Master_Services_Catalog_v1.xlsx | 01 - Master Services | row 166</x:v>
      </x:c>
      <x:c r="N127" s="6" t="str">
        <x:v>Unresolved</x:v>
      </x:c>
      <x:c r="O127" s="6" t="str"/>
      <x:c r="P127" s="6" t="str"/>
      <x:c r="Q127" s="6" t="str">
        <x:v>Pending</x:v>
      </x:c>
      <x:c r="R127" s="12" t="str"/>
    </x:row>
    <x:row r="128">
      <x:c r="A128" s="6" t="str">
        <x:v>MFRR-000127</x:v>
      </x:c>
      <x:c r="B128" s="6" t="str">
        <x:v>SVC000127</x:v>
      </x:c>
      <x:c r="C128" s="6" t="str">
        <x:v>Galaxy S 7 Edge Battery Replacement</x:v>
      </x:c>
      <x:c r="D128" s="6" t="str">
        <x:v>MFR-LEGACY-001</x:v>
      </x:c>
      <x:c r="E128" s="6"/>
      <x:c r="F128" s="6"/>
      <x:c r="G128" s="6" t="str">
        <x:v>Unknown</x:v>
      </x:c>
      <x:c r="H128" s="6" t="str"/>
      <x:c r="I128" s="6" t="str"/>
      <x:c r="J128" s="6" t="str">
        <x:v>Unknown</x:v>
      </x:c>
      <x:c r="K128" s="6" t="str">
        <x:v>Unknown</x:v>
      </x:c>
      <x:c r="L128" s="12" t="str">
        <x:v>Unsupported Observation</x:v>
      </x:c>
      <x:c r="M128" s="12" t="str">
        <x:v>Nocturnix_Master_Services_Catalog_v1.xlsx | 01 - Master Services | row 167</x:v>
      </x:c>
      <x:c r="N128" s="6" t="str">
        <x:v>Unresolved</x:v>
      </x:c>
      <x:c r="O128" s="6" t="str"/>
      <x:c r="P128" s="6" t="str"/>
      <x:c r="Q128" s="6" t="str">
        <x:v>Pending</x:v>
      </x:c>
      <x:c r="R128" s="12" t="str"/>
    </x:row>
    <x:row r="129">
      <x:c r="A129" s="6" t="str">
        <x:v>MFRR-000128</x:v>
      </x:c>
      <x:c r="B129" s="6" t="str">
        <x:v>SVC000128</x:v>
      </x:c>
      <x:c r="C129" s="6" t="str">
        <x:v>Galaxy S 5 Active Battery Replacement</x:v>
      </x:c>
      <x:c r="D129" s="6" t="str">
        <x:v>MFR-LEGACY-001</x:v>
      </x:c>
      <x:c r="E129" s="6"/>
      <x:c r="F129" s="6"/>
      <x:c r="G129" s="6" t="str">
        <x:v>Unknown</x:v>
      </x:c>
      <x:c r="H129" s="6" t="str"/>
      <x:c r="I129" s="6" t="str"/>
      <x:c r="J129" s="6" t="str">
        <x:v>Unknown</x:v>
      </x:c>
      <x:c r="K129" s="6" t="str">
        <x:v>Unknown</x:v>
      </x:c>
      <x:c r="L129" s="12" t="str">
        <x:v>Unsupported Observation</x:v>
      </x:c>
      <x:c r="M129" s="12" t="str">
        <x:v>Nocturnix_Master_Services_Catalog_v1.xlsx | 01 - Master Services | row 168</x:v>
      </x:c>
      <x:c r="N129" s="6" t="str">
        <x:v>Unresolved</x:v>
      </x:c>
      <x:c r="O129" s="6" t="str"/>
      <x:c r="P129" s="6" t="str"/>
      <x:c r="Q129" s="6" t="str">
        <x:v>Pending</x:v>
      </x:c>
      <x:c r="R129" s="12" t="str"/>
    </x:row>
    <x:row r="130">
      <x:c r="A130" s="6" t="str">
        <x:v>MFRR-000129</x:v>
      </x:c>
      <x:c r="B130" s="6" t="str">
        <x:v>SVC000129</x:v>
      </x:c>
      <x:c r="C130" s="6" t="str">
        <x:v>Galaxy S 6 Edge Battery Replacement</x:v>
      </x:c>
      <x:c r="D130" s="6" t="str">
        <x:v>MFR-LEGACY-001</x:v>
      </x:c>
      <x:c r="E130" s="6"/>
      <x:c r="F130" s="6"/>
      <x:c r="G130" s="6" t="str">
        <x:v>Unknown</x:v>
      </x:c>
      <x:c r="H130" s="6" t="str"/>
      <x:c r="I130" s="6" t="str"/>
      <x:c r="J130" s="6" t="str">
        <x:v>Unknown</x:v>
      </x:c>
      <x:c r="K130" s="6" t="str">
        <x:v>Unknown</x:v>
      </x:c>
      <x:c r="L130" s="12" t="str">
        <x:v>Unsupported Observation</x:v>
      </x:c>
      <x:c r="M130" s="12" t="str">
        <x:v>Nocturnix_Master_Services_Catalog_v1.xlsx | 01 - Master Services | row 169</x:v>
      </x:c>
      <x:c r="N130" s="6" t="str">
        <x:v>Unresolved</x:v>
      </x:c>
      <x:c r="O130" s="6" t="str"/>
      <x:c r="P130" s="6" t="str"/>
      <x:c r="Q130" s="6" t="str">
        <x:v>Pending</x:v>
      </x:c>
      <x:c r="R130" s="12" t="str"/>
    </x:row>
    <x:row r="131">
      <x:c r="A131" s="6" t="str">
        <x:v>MFRR-000130</x:v>
      </x:c>
      <x:c r="B131" s="6" t="str">
        <x:v>SVC000130</x:v>
      </x:c>
      <x:c r="C131" s="6" t="str">
        <x:v>Galaxy S 8 Plus Battery Replacement</x:v>
      </x:c>
      <x:c r="D131" s="6" t="str">
        <x:v>MFR-LEGACY-001</x:v>
      </x:c>
      <x:c r="E131" s="6"/>
      <x:c r="F131" s="6"/>
      <x:c r="G131" s="6" t="str">
        <x:v>Unknown</x:v>
      </x:c>
      <x:c r="H131" s="6" t="str"/>
      <x:c r="I131" s="6" t="str"/>
      <x:c r="J131" s="6" t="str">
        <x:v>Unknown</x:v>
      </x:c>
      <x:c r="K131" s="6" t="str">
        <x:v>Unknown</x:v>
      </x:c>
      <x:c r="L131" s="12" t="str">
        <x:v>Unsupported Observation</x:v>
      </x:c>
      <x:c r="M131" s="12" t="str">
        <x:v>Nocturnix_Master_Services_Catalog_v1.xlsx | 01 - Master Services | row 170</x:v>
      </x:c>
      <x:c r="N131" s="6" t="str">
        <x:v>Unresolved</x:v>
      </x:c>
      <x:c r="O131" s="6" t="str"/>
      <x:c r="P131" s="6" t="str"/>
      <x:c r="Q131" s="6" t="str">
        <x:v>Pending</x:v>
      </x:c>
      <x:c r="R131" s="12" t="str"/>
    </x:row>
    <x:row r="132">
      <x:c r="A132" s="6" t="str">
        <x:v>MFRR-000131</x:v>
      </x:c>
      <x:c r="B132" s="6" t="str">
        <x:v>SVC000131</x:v>
      </x:c>
      <x:c r="C132" s="6" t="str">
        <x:v>Galaxy S 8 Active Battery Replacement</x:v>
      </x:c>
      <x:c r="D132" s="6" t="str">
        <x:v>MFR-LEGACY-001</x:v>
      </x:c>
      <x:c r="E132" s="6"/>
      <x:c r="F132" s="6"/>
      <x:c r="G132" s="6" t="str">
        <x:v>Unknown</x:v>
      </x:c>
      <x:c r="H132" s="6" t="str"/>
      <x:c r="I132" s="6" t="str"/>
      <x:c r="J132" s="6" t="str">
        <x:v>Unknown</x:v>
      </x:c>
      <x:c r="K132" s="6" t="str">
        <x:v>Unknown</x:v>
      </x:c>
      <x:c r="L132" s="12" t="str">
        <x:v>Unsupported Observation</x:v>
      </x:c>
      <x:c r="M132" s="12" t="str">
        <x:v>Nocturnix_Master_Services_Catalog_v1.xlsx | 01 - Master Services | row 171</x:v>
      </x:c>
      <x:c r="N132" s="6" t="str">
        <x:v>Unresolved</x:v>
      </x:c>
      <x:c r="O132" s="6" t="str"/>
      <x:c r="P132" s="6" t="str"/>
      <x:c r="Q132" s="6" t="str">
        <x:v>Pending</x:v>
      </x:c>
      <x:c r="R132" s="12" t="str"/>
    </x:row>
    <x:row r="133">
      <x:c r="A133" s="6" t="str">
        <x:v>MFRR-000132</x:v>
      </x:c>
      <x:c r="B133" s="6" t="str">
        <x:v>SVC000132</x:v>
      </x:c>
      <x:c r="C133" s="6" t="str">
        <x:v>Galaxy S 9 Plus Battery Replacement</x:v>
      </x:c>
      <x:c r="D133" s="6" t="str">
        <x:v>MFR-LEGACY-001</x:v>
      </x:c>
      <x:c r="E133" s="6"/>
      <x:c r="F133" s="6"/>
      <x:c r="G133" s="6" t="str">
        <x:v>Unknown</x:v>
      </x:c>
      <x:c r="H133" s="6" t="str"/>
      <x:c r="I133" s="6" t="str"/>
      <x:c r="J133" s="6" t="str">
        <x:v>Unknown</x:v>
      </x:c>
      <x:c r="K133" s="6" t="str">
        <x:v>Unknown</x:v>
      </x:c>
      <x:c r="L133" s="12" t="str">
        <x:v>Unsupported Observation</x:v>
      </x:c>
      <x:c r="M133" s="12" t="str">
        <x:v>Nocturnix_Master_Services_Catalog_v1.xlsx | 01 - Master Services | row 172</x:v>
      </x:c>
      <x:c r="N133" s="6" t="str">
        <x:v>Unresolved</x:v>
      </x:c>
      <x:c r="O133" s="6" t="str"/>
      <x:c r="P133" s="6" t="str"/>
      <x:c r="Q133" s="6" t="str">
        <x:v>Pending</x:v>
      </x:c>
      <x:c r="R133" s="12" t="str"/>
    </x:row>
    <x:row r="134">
      <x:c r="A134" s="6" t="str">
        <x:v>MFRR-000133</x:v>
      </x:c>
      <x:c r="B134" s="6" t="str">
        <x:v>SVC000133</x:v>
      </x:c>
      <x:c r="C134" s="6" t="str">
        <x:v>Galaxy S 20 Ultra Battery Replacement</x:v>
      </x:c>
      <x:c r="D134" s="6" t="str">
        <x:v>MFR-LEGACY-001</x:v>
      </x:c>
      <x:c r="E134" s="6"/>
      <x:c r="F134" s="6"/>
      <x:c r="G134" s="6" t="str">
        <x:v>Unknown</x:v>
      </x:c>
      <x:c r="H134" s="6" t="str"/>
      <x:c r="I134" s="6" t="str"/>
      <x:c r="J134" s="6" t="str">
        <x:v>Unknown</x:v>
      </x:c>
      <x:c r="K134" s="6" t="str">
        <x:v>Unknown</x:v>
      </x:c>
      <x:c r="L134" s="12" t="str">
        <x:v>Unsupported Observation</x:v>
      </x:c>
      <x:c r="M134" s="12" t="str">
        <x:v>Nocturnix_Master_Services_Catalog_v1.xlsx | 01 - Master Services | row 173</x:v>
      </x:c>
      <x:c r="N134" s="6" t="str">
        <x:v>Unresolved</x:v>
      </x:c>
      <x:c r="O134" s="6" t="str"/>
      <x:c r="P134" s="6" t="str"/>
      <x:c r="Q134" s="6" t="str">
        <x:v>Pending</x:v>
      </x:c>
      <x:c r="R134" s="12" t="str"/>
    </x:row>
    <x:row r="135">
      <x:c r="A135" s="6" t="str">
        <x:v>MFRR-000134</x:v>
      </x:c>
      <x:c r="B135" s="6" t="str">
        <x:v>SVC000134</x:v>
      </x:c>
      <x:c r="C135" s="6" t="str">
        <x:v>Galaxy S 5 Neo Battery Replacement</x:v>
      </x:c>
      <x:c r="D135" s="6" t="str">
        <x:v>MFR-LEGACY-001</x:v>
      </x:c>
      <x:c r="E135" s="6"/>
      <x:c r="F135" s="6"/>
      <x:c r="G135" s="6" t="str">
        <x:v>Unknown</x:v>
      </x:c>
      <x:c r="H135" s="6" t="str"/>
      <x:c r="I135" s="6" t="str"/>
      <x:c r="J135" s="6" t="str">
        <x:v>Unknown</x:v>
      </x:c>
      <x:c r="K135" s="6" t="str">
        <x:v>Unknown</x:v>
      </x:c>
      <x:c r="L135" s="12" t="str">
        <x:v>Unsupported Observation</x:v>
      </x:c>
      <x:c r="M135" s="12" t="str">
        <x:v>Nocturnix_Master_Services_Catalog_v1.xlsx | 01 - Master Services | row 174</x:v>
      </x:c>
      <x:c r="N135" s="6" t="str">
        <x:v>Unresolved</x:v>
      </x:c>
      <x:c r="O135" s="6" t="str"/>
      <x:c r="P135" s="6" t="str"/>
      <x:c r="Q135" s="6" t="str">
        <x:v>Pending</x:v>
      </x:c>
      <x:c r="R135" s="12" t="str"/>
    </x:row>
    <x:row r="136">
      <x:c r="A136" s="6" t="str">
        <x:v>MFRR-000135</x:v>
      </x:c>
      <x:c r="B136" s="6" t="str">
        <x:v>SVC000135</x:v>
      </x:c>
      <x:c r="C136" s="6" t="str">
        <x:v>Galaxy S 4 Mini Battery Replacement</x:v>
      </x:c>
      <x:c r="D136" s="6" t="str">
        <x:v>MFR-LEGACY-001</x:v>
      </x:c>
      <x:c r="E136" s="6"/>
      <x:c r="F136" s="6"/>
      <x:c r="G136" s="6" t="str">
        <x:v>Unknown</x:v>
      </x:c>
      <x:c r="H136" s="6" t="str"/>
      <x:c r="I136" s="6" t="str"/>
      <x:c r="J136" s="6" t="str">
        <x:v>Unknown</x:v>
      </x:c>
      <x:c r="K136" s="6" t="str">
        <x:v>Unknown</x:v>
      </x:c>
      <x:c r="L136" s="12" t="str">
        <x:v>Unsupported Observation</x:v>
      </x:c>
      <x:c r="M136" s="12" t="str">
        <x:v>Nocturnix_Master_Services_Catalog_v1.xlsx | 01 - Master Services | row 175</x:v>
      </x:c>
      <x:c r="N136" s="6" t="str">
        <x:v>Unresolved</x:v>
      </x:c>
      <x:c r="O136" s="6" t="str"/>
      <x:c r="P136" s="6" t="str"/>
      <x:c r="Q136" s="6" t="str">
        <x:v>Pending</x:v>
      </x:c>
      <x:c r="R136" s="12" t="str"/>
    </x:row>
    <x:row r="137">
      <x:c r="A137" s="6" t="str">
        <x:v>MFRR-000136</x:v>
      </x:c>
      <x:c r="B137" s="6" t="str">
        <x:v>SVC000136</x:v>
      </x:c>
      <x:c r="C137" s="6" t="str">
        <x:v>Galaxy S 23 Ultra Battery Replacement</x:v>
      </x:c>
      <x:c r="D137" s="6" t="str">
        <x:v>MFR-LEGACY-001</x:v>
      </x:c>
      <x:c r="E137" s="6"/>
      <x:c r="F137" s="6"/>
      <x:c r="G137" s="6" t="str">
        <x:v>Unknown</x:v>
      </x:c>
      <x:c r="H137" s="6" t="str"/>
      <x:c r="I137" s="6" t="str"/>
      <x:c r="J137" s="6" t="str">
        <x:v>Unknown</x:v>
      </x:c>
      <x:c r="K137" s="6" t="str">
        <x:v>Unknown</x:v>
      </x:c>
      <x:c r="L137" s="12" t="str">
        <x:v>Unsupported Observation</x:v>
      </x:c>
      <x:c r="M137" s="12" t="str">
        <x:v>Nocturnix_Master_Services_Catalog_v1.xlsx | 01 - Master Services | row 176</x:v>
      </x:c>
      <x:c r="N137" s="6" t="str">
        <x:v>Unresolved</x:v>
      </x:c>
      <x:c r="O137" s="6" t="str"/>
      <x:c r="P137" s="6" t="str"/>
      <x:c r="Q137" s="6" t="str">
        <x:v>Pending</x:v>
      </x:c>
      <x:c r="R137" s="12" t="str"/>
    </x:row>
    <x:row r="138">
      <x:c r="A138" s="6" t="str">
        <x:v>MFRR-000137</x:v>
      </x:c>
      <x:c r="B138" s="6" t="str">
        <x:v>SVC000137</x:v>
      </x:c>
      <x:c r="C138" s="6" t="str">
        <x:v>Galaxy S 23 FE Battery Replacement</x:v>
      </x:c>
      <x:c r="D138" s="6" t="str">
        <x:v>MFR-LEGACY-001</x:v>
      </x:c>
      <x:c r="E138" s="6"/>
      <x:c r="F138" s="6"/>
      <x:c r="G138" s="6" t="str">
        <x:v>Unknown</x:v>
      </x:c>
      <x:c r="H138" s="6" t="str"/>
      <x:c r="I138" s="6" t="str"/>
      <x:c r="J138" s="6" t="str">
        <x:v>Unknown</x:v>
      </x:c>
      <x:c r="K138" s="6" t="str">
        <x:v>Unknown</x:v>
      </x:c>
      <x:c r="L138" s="12" t="str">
        <x:v>Unsupported Observation</x:v>
      </x:c>
      <x:c r="M138" s="12" t="str">
        <x:v>Nocturnix_Master_Services_Catalog_v1.xlsx | 01 - Master Services | row 177</x:v>
      </x:c>
      <x:c r="N138" s="6" t="str">
        <x:v>Unresolved</x:v>
      </x:c>
      <x:c r="O138" s="6" t="str"/>
      <x:c r="P138" s="6" t="str"/>
      <x:c r="Q138" s="6" t="str">
        <x:v>Pending</x:v>
      </x:c>
      <x:c r="R138" s="12" t="str"/>
    </x:row>
    <x:row r="139">
      <x:c r="A139" s="6" t="str">
        <x:v>MFRR-000138</x:v>
      </x:c>
      <x:c r="B139" s="6" t="str">
        <x:v>SVC000138</x:v>
      </x:c>
      <x:c r="C139" s="6" t="str">
        <x:v>Galaxy S 25 Battery Replacement</x:v>
      </x:c>
      <x:c r="D139" s="6" t="str">
        <x:v>MFR-LEGACY-001</x:v>
      </x:c>
      <x:c r="E139" s="6"/>
      <x:c r="F139" s="6"/>
      <x:c r="G139" s="6" t="str">
        <x:v>Unknown</x:v>
      </x:c>
      <x:c r="H139" s="6" t="str"/>
      <x:c r="I139" s="6" t="str"/>
      <x:c r="J139" s="6" t="str">
        <x:v>Unknown</x:v>
      </x:c>
      <x:c r="K139" s="6" t="str">
        <x:v>Unknown</x:v>
      </x:c>
      <x:c r="L139" s="12" t="str">
        <x:v>Unsupported Observation</x:v>
      </x:c>
      <x:c r="M139" s="12" t="str">
        <x:v>Nocturnix_Master_Services_Catalog_v1.xlsx | 01 - Master Services | row 178</x:v>
      </x:c>
      <x:c r="N139" s="6" t="str">
        <x:v>Unresolved</x:v>
      </x:c>
      <x:c r="O139" s="6" t="str"/>
      <x:c r="P139" s="6" t="str"/>
      <x:c r="Q139" s="6" t="str">
        <x:v>Pending</x:v>
      </x:c>
      <x:c r="R139" s="12" t="str"/>
    </x:row>
    <x:row r="140">
      <x:c r="A140" s="6" t="str">
        <x:v>MFRR-000139</x:v>
      </x:c>
      <x:c r="B140" s="6" t="str">
        <x:v>SVC000139</x:v>
      </x:c>
      <x:c r="C140" s="6" t="str">
        <x:v>Galaxy S 25 Edge Battery Replacement</x:v>
      </x:c>
      <x:c r="D140" s="6" t="str">
        <x:v>MFR-LEGACY-001</x:v>
      </x:c>
      <x:c r="E140" s="6"/>
      <x:c r="F140" s="6"/>
      <x:c r="G140" s="6" t="str">
        <x:v>Unknown</x:v>
      </x:c>
      <x:c r="H140" s="6" t="str"/>
      <x:c r="I140" s="6" t="str"/>
      <x:c r="J140" s="6" t="str">
        <x:v>Unknown</x:v>
      </x:c>
      <x:c r="K140" s="6" t="str">
        <x:v>Unknown</x:v>
      </x:c>
      <x:c r="L140" s="12" t="str">
        <x:v>Unsupported Observation</x:v>
      </x:c>
      <x:c r="M140" s="12" t="str">
        <x:v>Nocturnix_Master_Services_Catalog_v1.xlsx | 01 - Master Services | row 179</x:v>
      </x:c>
      <x:c r="N140" s="6" t="str">
        <x:v>Unresolved</x:v>
      </x:c>
      <x:c r="O140" s="6" t="str"/>
      <x:c r="P140" s="6" t="str"/>
      <x:c r="Q140" s="6" t="str">
        <x:v>Pending</x:v>
      </x:c>
      <x:c r="R140" s="12" t="str"/>
    </x:row>
    <x:row r="141">
      <x:c r="A141" s="6" t="str">
        <x:v>MFRR-000140</x:v>
      </x:c>
      <x:c r="B141" s="6" t="str">
        <x:v>SVC000140</x:v>
      </x:c>
      <x:c r="C141" s="6" t="str">
        <x:v>iPhone 14 Plus Battery Replacement</x:v>
      </x:c>
      <x:c r="D141" s="6" t="str">
        <x:v>MFR-LEGACY-001</x:v>
      </x:c>
      <x:c r="E141" s="6"/>
      <x:c r="F141" s="6"/>
      <x:c r="G141" s="6" t="str">
        <x:v>Unknown</x:v>
      </x:c>
      <x:c r="H141" s="6" t="str"/>
      <x:c r="I141" s="6" t="str"/>
      <x:c r="J141" s="6" t="str">
        <x:v>Unknown</x:v>
      </x:c>
      <x:c r="K141" s="6" t="str">
        <x:v>Unknown</x:v>
      </x:c>
      <x:c r="L141" s="12" t="str">
        <x:v>Unsupported Observation</x:v>
      </x:c>
      <x:c r="M141" s="12" t="str">
        <x:v>Nocturnix_Master_Services_Catalog_v1.xlsx | 01 - Master Services | row 180</x:v>
      </x:c>
      <x:c r="N141" s="6" t="str">
        <x:v>Unresolved</x:v>
      </x:c>
      <x:c r="O141" s="6" t="str"/>
      <x:c r="P141" s="6" t="str"/>
      <x:c r="Q141" s="6" t="str">
        <x:v>Pending</x:v>
      </x:c>
      <x:c r="R141" s="12" t="str"/>
    </x:row>
    <x:row r="142">
      <x:c r="A142" s="6" t="str">
        <x:v>MFRR-000141</x:v>
      </x:c>
      <x:c r="B142" s="6" t="str">
        <x:v>SVC000141</x:v>
      </x:c>
      <x:c r="C142" s="6" t="str">
        <x:v>iPhone 13 Pro Battery Replacement</x:v>
      </x:c>
      <x:c r="D142" s="6" t="str">
        <x:v>MFR-LEGACY-001</x:v>
      </x:c>
      <x:c r="E142" s="6"/>
      <x:c r="F142" s="6"/>
      <x:c r="G142" s="6" t="str">
        <x:v>Unknown</x:v>
      </x:c>
      <x:c r="H142" s="6" t="str"/>
      <x:c r="I142" s="6" t="str"/>
      <x:c r="J142" s="6" t="str">
        <x:v>Unknown</x:v>
      </x:c>
      <x:c r="K142" s="6" t="str">
        <x:v>Unknown</x:v>
      </x:c>
      <x:c r="L142" s="12" t="str">
        <x:v>Unsupported Observation</x:v>
      </x:c>
      <x:c r="M142" s="12" t="str">
        <x:v>Nocturnix_Master_Services_Catalog_v1.xlsx | 01 - Master Services | row 181</x:v>
      </x:c>
      <x:c r="N142" s="6" t="str">
        <x:v>Unresolved</x:v>
      </x:c>
      <x:c r="O142" s="6" t="str"/>
      <x:c r="P142" s="6" t="str"/>
      <x:c r="Q142" s="6" t="str">
        <x:v>Pending</x:v>
      </x:c>
      <x:c r="R142" s="12" t="str"/>
    </x:row>
    <x:row r="143">
      <x:c r="A143" s="6" t="str">
        <x:v>MFRR-000142</x:v>
      </x:c>
      <x:c r="B143" s="6" t="str">
        <x:v>SVC000142</x:v>
      </x:c>
      <x:c r="C143" s="6" t="str">
        <x:v>iPhone 13 Mini Battery Replacement</x:v>
      </x:c>
      <x:c r="D143" s="6" t="str">
        <x:v>MFR-LEGACY-001</x:v>
      </x:c>
      <x:c r="E143" s="6"/>
      <x:c r="F143" s="6"/>
      <x:c r="G143" s="6" t="str">
        <x:v>Unknown</x:v>
      </x:c>
      <x:c r="H143" s="6" t="str"/>
      <x:c r="I143" s="6" t="str"/>
      <x:c r="J143" s="6" t="str">
        <x:v>Unknown</x:v>
      </x:c>
      <x:c r="K143" s="6" t="str">
        <x:v>Unknown</x:v>
      </x:c>
      <x:c r="L143" s="12" t="str">
        <x:v>Unsupported Observation</x:v>
      </x:c>
      <x:c r="M143" s="12" t="str">
        <x:v>Nocturnix_Master_Services_Catalog_v1.xlsx | 01 - Master Services | row 182</x:v>
      </x:c>
      <x:c r="N143" s="6" t="str">
        <x:v>Unresolved</x:v>
      </x:c>
      <x:c r="O143" s="6" t="str"/>
      <x:c r="P143" s="6" t="str"/>
      <x:c r="Q143" s="6" t="str">
        <x:v>Pending</x:v>
      </x:c>
      <x:c r="R143" s="12" t="str"/>
    </x:row>
    <x:row r="144">
      <x:c r="A144" s="6" t="str">
        <x:v>MFRR-000143</x:v>
      </x:c>
      <x:c r="B144" s="6" t="str">
        <x:v>SVC000143</x:v>
      </x:c>
      <x:c r="C144" s="6" t="str">
        <x:v>iPhone 13 Battery Replacement</x:v>
      </x:c>
      <x:c r="D144" s="6" t="str">
        <x:v>MFR-LEGACY-001</x:v>
      </x:c>
      <x:c r="E144" s="6"/>
      <x:c r="F144" s="6"/>
      <x:c r="G144" s="6" t="str">
        <x:v>Unknown</x:v>
      </x:c>
      <x:c r="H144" s="6" t="str"/>
      <x:c r="I144" s="6" t="str"/>
      <x:c r="J144" s="6" t="str">
        <x:v>Unknown</x:v>
      </x:c>
      <x:c r="K144" s="6" t="str">
        <x:v>Unknown</x:v>
      </x:c>
      <x:c r="L144" s="12" t="str">
        <x:v>Unsupported Observation</x:v>
      </x:c>
      <x:c r="M144" s="12" t="str">
        <x:v>Nocturnix_Master_Services_Catalog_v1.xlsx | 01 - Master Services | row 183</x:v>
      </x:c>
      <x:c r="N144" s="6" t="str">
        <x:v>Unresolved</x:v>
      </x:c>
      <x:c r="O144" s="6" t="str"/>
      <x:c r="P144" s="6" t="str"/>
      <x:c r="Q144" s="6" t="str">
        <x:v>Pending</x:v>
      </x:c>
      <x:c r="R144" s="12" t="str"/>
    </x:row>
    <x:row r="145">
      <x:c r="A145" s="6" t="str">
        <x:v>MFRR-000144</x:v>
      </x:c>
      <x:c r="B145" s="6" t="str">
        <x:v>SVC000144</x:v>
      </x:c>
      <x:c r="C145" s="6" t="str">
        <x:v>iPhone 12 Battery Replacement</x:v>
      </x:c>
      <x:c r="D145" s="6" t="str">
        <x:v>MFR-LEGACY-001</x:v>
      </x:c>
      <x:c r="E145" s="6"/>
      <x:c r="F145" s="6"/>
      <x:c r="G145" s="6" t="str">
        <x:v>Unknown</x:v>
      </x:c>
      <x:c r="H145" s="6" t="str"/>
      <x:c r="I145" s="6" t="str"/>
      <x:c r="J145" s="6" t="str">
        <x:v>Unknown</x:v>
      </x:c>
      <x:c r="K145" s="6" t="str">
        <x:v>Unknown</x:v>
      </x:c>
      <x:c r="L145" s="12" t="str">
        <x:v>Unsupported Observation</x:v>
      </x:c>
      <x:c r="M145" s="12" t="str">
        <x:v>Nocturnix_Master_Services_Catalog_v1.xlsx | 01 - Master Services | row 184</x:v>
      </x:c>
      <x:c r="N145" s="6" t="str">
        <x:v>Unresolved</x:v>
      </x:c>
      <x:c r="O145" s="6" t="str"/>
      <x:c r="P145" s="6" t="str"/>
      <x:c r="Q145" s="6" t="str">
        <x:v>Pending</x:v>
      </x:c>
      <x:c r="R145" s="12" t="str"/>
    </x:row>
    <x:row r="146">
      <x:c r="A146" s="6" t="str">
        <x:v>MFRR-000145</x:v>
      </x:c>
      <x:c r="B146" s="6" t="str">
        <x:v>SVC000145</x:v>
      </x:c>
      <x:c r="C146" s="6" t="str">
        <x:v>iPhone 12 Pro Max Battery Replacement</x:v>
      </x:c>
      <x:c r="D146" s="6" t="str">
        <x:v>MFR-LEGACY-001</x:v>
      </x:c>
      <x:c r="E146" s="6"/>
      <x:c r="F146" s="6"/>
      <x:c r="G146" s="6" t="str">
        <x:v>Unknown</x:v>
      </x:c>
      <x:c r="H146" s="6" t="str"/>
      <x:c r="I146" s="6" t="str"/>
      <x:c r="J146" s="6" t="str">
        <x:v>Unknown</x:v>
      </x:c>
      <x:c r="K146" s="6" t="str">
        <x:v>Unknown</x:v>
      </x:c>
      <x:c r="L146" s="12" t="str">
        <x:v>Unsupported Observation</x:v>
      </x:c>
      <x:c r="M146" s="12" t="str">
        <x:v>Nocturnix_Master_Services_Catalog_v1.xlsx | 01 - Master Services | row 185</x:v>
      </x:c>
      <x:c r="N146" s="6" t="str">
        <x:v>Unresolved</x:v>
      </x:c>
      <x:c r="O146" s="6" t="str"/>
      <x:c r="P146" s="6" t="str"/>
      <x:c r="Q146" s="6" t="str">
        <x:v>Pending</x:v>
      </x:c>
      <x:c r="R146" s="12" t="str"/>
    </x:row>
    <x:row r="147">
      <x:c r="A147" s="6" t="str">
        <x:v>MFRR-000146</x:v>
      </x:c>
      <x:c r="B147" s="6" t="str">
        <x:v>SVC000146</x:v>
      </x:c>
      <x:c r="C147" s="6" t="str">
        <x:v>iPhone 12 Pro Battery Replacement</x:v>
      </x:c>
      <x:c r="D147" s="6" t="str">
        <x:v>MFR-LEGACY-001</x:v>
      </x:c>
      <x:c r="E147" s="6"/>
      <x:c r="F147" s="6"/>
      <x:c r="G147" s="6" t="str">
        <x:v>Unknown</x:v>
      </x:c>
      <x:c r="H147" s="6" t="str"/>
      <x:c r="I147" s="6" t="str"/>
      <x:c r="J147" s="6" t="str">
        <x:v>Unknown</x:v>
      </x:c>
      <x:c r="K147" s="6" t="str">
        <x:v>Unknown</x:v>
      </x:c>
      <x:c r="L147" s="12" t="str">
        <x:v>Unsupported Observation</x:v>
      </x:c>
      <x:c r="M147" s="12" t="str">
        <x:v>Nocturnix_Master_Services_Catalog_v1.xlsx | 01 - Master Services | row 186</x:v>
      </x:c>
      <x:c r="N147" s="6" t="str">
        <x:v>Unresolved</x:v>
      </x:c>
      <x:c r="O147" s="6" t="str"/>
      <x:c r="P147" s="6" t="str"/>
      <x:c r="Q147" s="6" t="str">
        <x:v>Pending</x:v>
      </x:c>
      <x:c r="R147" s="12" t="str"/>
    </x:row>
    <x:row r="148">
      <x:c r="A148" s="6" t="str">
        <x:v>MFRR-000147</x:v>
      </x:c>
      <x:c r="B148" s="6" t="str">
        <x:v>SVC000147</x:v>
      </x:c>
      <x:c r="C148" s="6" t="str">
        <x:v>iPhone 13 Pro Max Battery Replacement</x:v>
      </x:c>
      <x:c r="D148" s="6" t="str">
        <x:v>MFR-LEGACY-001</x:v>
      </x:c>
      <x:c r="E148" s="6"/>
      <x:c r="F148" s="6"/>
      <x:c r="G148" s="6" t="str">
        <x:v>Unknown</x:v>
      </x:c>
      <x:c r="H148" s="6" t="str"/>
      <x:c r="I148" s="6" t="str"/>
      <x:c r="J148" s="6" t="str">
        <x:v>Unknown</x:v>
      </x:c>
      <x:c r="K148" s="6" t="str">
        <x:v>Unknown</x:v>
      </x:c>
      <x:c r="L148" s="12" t="str">
        <x:v>Unsupported Observation</x:v>
      </x:c>
      <x:c r="M148" s="12" t="str">
        <x:v>Nocturnix_Master_Services_Catalog_v1.xlsx | 01 - Master Services | row 187</x:v>
      </x:c>
      <x:c r="N148" s="6" t="str">
        <x:v>Unresolved</x:v>
      </x:c>
      <x:c r="O148" s="6" t="str"/>
      <x:c r="P148" s="6" t="str"/>
      <x:c r="Q148" s="6" t="str">
        <x:v>Pending</x:v>
      </x:c>
      <x:c r="R148" s="12" t="str"/>
    </x:row>
    <x:row r="149">
      <x:c r="A149" s="6" t="str">
        <x:v>MFRR-000148</x:v>
      </x:c>
      <x:c r="B149" s="6" t="str">
        <x:v>SVC000148</x:v>
      </x:c>
      <x:c r="C149" s="6" t="str">
        <x:v>iPhone 12 Mini Battery Replacement</x:v>
      </x:c>
      <x:c r="D149" s="6" t="str">
        <x:v>MFR-LEGACY-001</x:v>
      </x:c>
      <x:c r="E149" s="6"/>
      <x:c r="F149" s="6"/>
      <x:c r="G149" s="6" t="str">
        <x:v>Unknown</x:v>
      </x:c>
      <x:c r="H149" s="6" t="str"/>
      <x:c r="I149" s="6" t="str"/>
      <x:c r="J149" s="6" t="str">
        <x:v>Unknown</x:v>
      </x:c>
      <x:c r="K149" s="6" t="str">
        <x:v>Unknown</x:v>
      </x:c>
      <x:c r="L149" s="12" t="str">
        <x:v>Unsupported Observation</x:v>
      </x:c>
      <x:c r="M149" s="12" t="str">
        <x:v>Nocturnix_Master_Services_Catalog_v1.xlsx | 01 - Master Services | row 188</x:v>
      </x:c>
      <x:c r="N149" s="6" t="str">
        <x:v>Unresolved</x:v>
      </x:c>
      <x:c r="O149" s="6" t="str"/>
      <x:c r="P149" s="6" t="str"/>
      <x:c r="Q149" s="6" t="str">
        <x:v>Pending</x:v>
      </x:c>
      <x:c r="R149" s="12" t="str"/>
    </x:row>
    <x:row r="150">
      <x:c r="A150" s="6" t="str">
        <x:v>MFRR-000149</x:v>
      </x:c>
      <x:c r="B150" s="6" t="str">
        <x:v>SVC000149</x:v>
      </x:c>
      <x:c r="C150" s="6" t="str">
        <x:v>iPhone 14 Pro Max Battery Replacement</x:v>
      </x:c>
      <x:c r="D150" s="6" t="str">
        <x:v>MFR-LEGACY-001</x:v>
      </x:c>
      <x:c r="E150" s="6"/>
      <x:c r="F150" s="6"/>
      <x:c r="G150" s="6" t="str">
        <x:v>Unknown</x:v>
      </x:c>
      <x:c r="H150" s="6" t="str"/>
      <x:c r="I150" s="6" t="str"/>
      <x:c r="J150" s="6" t="str">
        <x:v>Unknown</x:v>
      </x:c>
      <x:c r="K150" s="6" t="str">
        <x:v>Unknown</x:v>
      </x:c>
      <x:c r="L150" s="12" t="str">
        <x:v>Unsupported Observation</x:v>
      </x:c>
      <x:c r="M150" s="12" t="str">
        <x:v>Nocturnix_Master_Services_Catalog_v1.xlsx | 01 - Master Services | row 189</x:v>
      </x:c>
      <x:c r="N150" s="6" t="str">
        <x:v>Unresolved</x:v>
      </x:c>
      <x:c r="O150" s="6" t="str"/>
      <x:c r="P150" s="6" t="str"/>
      <x:c r="Q150" s="6" t="str">
        <x:v>Pending</x:v>
      </x:c>
      <x:c r="R150" s="12" t="str"/>
    </x:row>
    <x:row r="151">
      <x:c r="A151" s="6" t="str">
        <x:v>MFRR-000150</x:v>
      </x:c>
      <x:c r="B151" s="6" t="str">
        <x:v>SVC000150</x:v>
      </x:c>
      <x:c r="C151" s="6" t="str">
        <x:v>Galaxy S 21 FE Battery Replacement</x:v>
      </x:c>
      <x:c r="D151" s="6" t="str">
        <x:v>MFR-LEGACY-001</x:v>
      </x:c>
      <x:c r="E151" s="6"/>
      <x:c r="F151" s="6"/>
      <x:c r="G151" s="6" t="str">
        <x:v>Unknown</x:v>
      </x:c>
      <x:c r="H151" s="6" t="str"/>
      <x:c r="I151" s="6" t="str"/>
      <x:c r="J151" s="6" t="str">
        <x:v>Unknown</x:v>
      </x:c>
      <x:c r="K151" s="6" t="str">
        <x:v>Unknown</x:v>
      </x:c>
      <x:c r="L151" s="12" t="str">
        <x:v>Unsupported Observation</x:v>
      </x:c>
      <x:c r="M151" s="12" t="str">
        <x:v>Nocturnix_Master_Services_Catalog_v1.xlsx | 01 - Master Services | row 190</x:v>
      </x:c>
      <x:c r="N151" s="6" t="str">
        <x:v>Unresolved</x:v>
      </x:c>
      <x:c r="O151" s="6" t="str"/>
      <x:c r="P151" s="6" t="str"/>
      <x:c r="Q151" s="6" t="str">
        <x:v>Pending</x:v>
      </x:c>
      <x:c r="R151" s="12" t="str"/>
    </x:row>
    <x:row r="152">
      <x:c r="A152" s="6" t="str">
        <x:v>MFRR-000151</x:v>
      </x:c>
      <x:c r="B152" s="6" t="str">
        <x:v>SVC000151</x:v>
      </x:c>
      <x:c r="C152" s="6" t="str">
        <x:v>Galaxy S 6 Active Battery Replacement</x:v>
      </x:c>
      <x:c r="D152" s="6" t="str">
        <x:v>MFR-LEGACY-001</x:v>
      </x:c>
      <x:c r="E152" s="6"/>
      <x:c r="F152" s="6"/>
      <x:c r="G152" s="6" t="str">
        <x:v>Unknown</x:v>
      </x:c>
      <x:c r="H152" s="6" t="str"/>
      <x:c r="I152" s="6" t="str"/>
      <x:c r="J152" s="6" t="str">
        <x:v>Unknown</x:v>
      </x:c>
      <x:c r="K152" s="6" t="str">
        <x:v>Unknown</x:v>
      </x:c>
      <x:c r="L152" s="12" t="str">
        <x:v>Unsupported Observation</x:v>
      </x:c>
      <x:c r="M152" s="12" t="str">
        <x:v>Nocturnix_Master_Services_Catalog_v1.xlsx | 01 - Master Services | row 191</x:v>
      </x:c>
      <x:c r="N152" s="6" t="str">
        <x:v>Unresolved</x:v>
      </x:c>
      <x:c r="O152" s="6" t="str"/>
      <x:c r="P152" s="6" t="str"/>
      <x:c r="Q152" s="6" t="str">
        <x:v>Pending</x:v>
      </x:c>
      <x:c r="R152" s="12" t="str"/>
    </x:row>
    <x:row r="153">
      <x:c r="A153" s="6" t="str">
        <x:v>MFRR-000152</x:v>
      </x:c>
      <x:c r="B153" s="6" t="str">
        <x:v>SVC000152</x:v>
      </x:c>
      <x:c r="C153" s="6" t="str">
        <x:v>Galaxy S 21 Battery Replacement</x:v>
      </x:c>
      <x:c r="D153" s="6" t="str">
        <x:v>MFR-LEGACY-001</x:v>
      </x:c>
      <x:c r="E153" s="6"/>
      <x:c r="F153" s="6"/>
      <x:c r="G153" s="6" t="str">
        <x:v>Unknown</x:v>
      </x:c>
      <x:c r="H153" s="6" t="str"/>
      <x:c r="I153" s="6" t="str"/>
      <x:c r="J153" s="6" t="str">
        <x:v>Unknown</x:v>
      </x:c>
      <x:c r="K153" s="6" t="str">
        <x:v>Unknown</x:v>
      </x:c>
      <x:c r="L153" s="12" t="str">
        <x:v>Unsupported Observation</x:v>
      </x:c>
      <x:c r="M153" s="12" t="str">
        <x:v>Nocturnix_Master_Services_Catalog_v1.xlsx | 01 - Master Services | row 192</x:v>
      </x:c>
      <x:c r="N153" s="6" t="str">
        <x:v>Unresolved</x:v>
      </x:c>
      <x:c r="O153" s="6" t="str"/>
      <x:c r="P153" s="6" t="str"/>
      <x:c r="Q153" s="6" t="str">
        <x:v>Pending</x:v>
      </x:c>
      <x:c r="R153" s="12" t="str"/>
    </x:row>
    <x:row r="154">
      <x:c r="A154" s="6" t="str">
        <x:v>MFRR-000153</x:v>
      </x:c>
      <x:c r="B154" s="6" t="str">
        <x:v>SVC000153</x:v>
      </x:c>
      <x:c r="C154" s="6" t="str">
        <x:v>Galaxy S 6 Battery Replacement</x:v>
      </x:c>
      <x:c r="D154" s="6" t="str">
        <x:v>MFR-LEGACY-001</x:v>
      </x:c>
      <x:c r="E154" s="6"/>
      <x:c r="F154" s="6"/>
      <x:c r="G154" s="6" t="str">
        <x:v>Unknown</x:v>
      </x:c>
      <x:c r="H154" s="6" t="str"/>
      <x:c r="I154" s="6" t="str"/>
      <x:c r="J154" s="6" t="str">
        <x:v>Unknown</x:v>
      </x:c>
      <x:c r="K154" s="6" t="str">
        <x:v>Unknown</x:v>
      </x:c>
      <x:c r="L154" s="12" t="str">
        <x:v>Unsupported Observation</x:v>
      </x:c>
      <x:c r="M154" s="12" t="str">
        <x:v>Nocturnix_Master_Services_Catalog_v1.xlsx | 01 - Master Services | row 193</x:v>
      </x:c>
      <x:c r="N154" s="6" t="str">
        <x:v>Unresolved</x:v>
      </x:c>
      <x:c r="O154" s="6" t="str"/>
      <x:c r="P154" s="6" t="str"/>
      <x:c r="Q154" s="6" t="str">
        <x:v>Pending</x:v>
      </x:c>
      <x:c r="R154" s="12" t="str"/>
    </x:row>
    <x:row r="155">
      <x:c r="A155" s="6" t="str">
        <x:v>MFRR-000154</x:v>
      </x:c>
      <x:c r="B155" s="6" t="str">
        <x:v>SVC000154</x:v>
      </x:c>
      <x:c r="C155" s="6" t="str">
        <x:v>Galaxy S 6 Edge Plus Battery Replacement</x:v>
      </x:c>
      <x:c r="D155" s="6" t="str">
        <x:v>MFR-LEGACY-001</x:v>
      </x:c>
      <x:c r="E155" s="6"/>
      <x:c r="F155" s="6"/>
      <x:c r="G155" s="6" t="str">
        <x:v>Unknown</x:v>
      </x:c>
      <x:c r="H155" s="6" t="str"/>
      <x:c r="I155" s="6" t="str"/>
      <x:c r="J155" s="6" t="str">
        <x:v>Unknown</x:v>
      </x:c>
      <x:c r="K155" s="6" t="str">
        <x:v>Unknown</x:v>
      </x:c>
      <x:c r="L155" s="12" t="str">
        <x:v>Unsupported Observation</x:v>
      </x:c>
      <x:c r="M155" s="12" t="str">
        <x:v>Nocturnix_Master_Services_Catalog_v1.xlsx | 01 - Master Services | row 194</x:v>
      </x:c>
      <x:c r="N155" s="6" t="str">
        <x:v>Unresolved</x:v>
      </x:c>
      <x:c r="O155" s="6" t="str"/>
      <x:c r="P155" s="6" t="str"/>
      <x:c r="Q155" s="6" t="str">
        <x:v>Pending</x:v>
      </x:c>
      <x:c r="R155" s="12" t="str"/>
    </x:row>
    <x:row r="156">
      <x:c r="A156" s="6" t="str">
        <x:v>MFRR-000155</x:v>
      </x:c>
      <x:c r="B156" s="6" t="str">
        <x:v>SVC000155</x:v>
      </x:c>
      <x:c r="C156" s="6" t="str">
        <x:v>Galaxy S 7 Active Battery Replacement</x:v>
      </x:c>
      <x:c r="D156" s="6" t="str">
        <x:v>MFR-LEGACY-001</x:v>
      </x:c>
      <x:c r="E156" s="6"/>
      <x:c r="F156" s="6"/>
      <x:c r="G156" s="6" t="str">
        <x:v>Unknown</x:v>
      </x:c>
      <x:c r="H156" s="6" t="str"/>
      <x:c r="I156" s="6" t="str"/>
      <x:c r="J156" s="6" t="str">
        <x:v>Unknown</x:v>
      </x:c>
      <x:c r="K156" s="6" t="str">
        <x:v>Unknown</x:v>
      </x:c>
      <x:c r="L156" s="12" t="str">
        <x:v>Unsupported Observation</x:v>
      </x:c>
      <x:c r="M156" s="12" t="str">
        <x:v>Nocturnix_Master_Services_Catalog_v1.xlsx | 01 - Master Services | row 195</x:v>
      </x:c>
      <x:c r="N156" s="6" t="str">
        <x:v>Unresolved</x:v>
      </x:c>
      <x:c r="O156" s="6" t="str"/>
      <x:c r="P156" s="6" t="str"/>
      <x:c r="Q156" s="6" t="str">
        <x:v>Pending</x:v>
      </x:c>
      <x:c r="R156" s="12" t="str"/>
    </x:row>
    <x:row r="157">
      <x:c r="A157" s="6" t="str">
        <x:v>MFRR-000156</x:v>
      </x:c>
      <x:c r="B157" s="6" t="str">
        <x:v>SVC000156</x:v>
      </x:c>
      <x:c r="C157" s="6" t="str">
        <x:v>Galaxy S 8 Battery Replacement</x:v>
      </x:c>
      <x:c r="D157" s="6" t="str">
        <x:v>MFR-LEGACY-001</x:v>
      </x:c>
      <x:c r="E157" s="6"/>
      <x:c r="F157" s="6"/>
      <x:c r="G157" s="6" t="str">
        <x:v>Unknown</x:v>
      </x:c>
      <x:c r="H157" s="6" t="str"/>
      <x:c r="I157" s="6" t="str"/>
      <x:c r="J157" s="6" t="str">
        <x:v>Unknown</x:v>
      </x:c>
      <x:c r="K157" s="6" t="str">
        <x:v>Unknown</x:v>
      </x:c>
      <x:c r="L157" s="12" t="str">
        <x:v>Unsupported Observation</x:v>
      </x:c>
      <x:c r="M157" s="12" t="str">
        <x:v>Nocturnix_Master_Services_Catalog_v1.xlsx | 01 - Master Services | row 196</x:v>
      </x:c>
      <x:c r="N157" s="6" t="str">
        <x:v>Unresolved</x:v>
      </x:c>
      <x:c r="O157" s="6" t="str"/>
      <x:c r="P157" s="6" t="str"/>
      <x:c r="Q157" s="6" t="str">
        <x:v>Pending</x:v>
      </x:c>
      <x:c r="R157" s="12" t="str"/>
    </x:row>
    <x:row r="158">
      <x:c r="A158" s="6" t="str">
        <x:v>MFRR-000157</x:v>
      </x:c>
      <x:c r="B158" s="6" t="str">
        <x:v>SVC000157</x:v>
      </x:c>
      <x:c r="C158" s="6" t="str">
        <x:v>Galaxy S 9 Battery Replacement</x:v>
      </x:c>
      <x:c r="D158" s="6" t="str">
        <x:v>MFR-LEGACY-001</x:v>
      </x:c>
      <x:c r="E158" s="6"/>
      <x:c r="F158" s="6"/>
      <x:c r="G158" s="6" t="str">
        <x:v>Unknown</x:v>
      </x:c>
      <x:c r="H158" s="6" t="str"/>
      <x:c r="I158" s="6" t="str"/>
      <x:c r="J158" s="6" t="str">
        <x:v>Unknown</x:v>
      </x:c>
      <x:c r="K158" s="6" t="str">
        <x:v>Unknown</x:v>
      </x:c>
      <x:c r="L158" s="12" t="str">
        <x:v>Unsupported Observation</x:v>
      </x:c>
      <x:c r="M158" s="12" t="str">
        <x:v>Nocturnix_Master_Services_Catalog_v1.xlsx | 01 - Master Services | row 197</x:v>
      </x:c>
      <x:c r="N158" s="6" t="str">
        <x:v>Unresolved</x:v>
      </x:c>
      <x:c r="O158" s="6" t="str"/>
      <x:c r="P158" s="6" t="str"/>
      <x:c r="Q158" s="6" t="str">
        <x:v>Pending</x:v>
      </x:c>
      <x:c r="R158" s="12" t="str"/>
    </x:row>
    <x:row r="159">
      <x:c r="A159" s="6" t="str">
        <x:v>MFRR-000158</x:v>
      </x:c>
      <x:c r="B159" s="6" t="str">
        <x:v>SVC000158</x:v>
      </x:c>
      <x:c r="C159" s="6" t="str">
        <x:v>Galaxy S 20 FE Battery Replacement</x:v>
      </x:c>
      <x:c r="D159" s="6" t="str">
        <x:v>MFR-LEGACY-001</x:v>
      </x:c>
      <x:c r="E159" s="6"/>
      <x:c r="F159" s="6"/>
      <x:c r="G159" s="6" t="str">
        <x:v>Unknown</x:v>
      </x:c>
      <x:c r="H159" s="6" t="str"/>
      <x:c r="I159" s="6" t="str"/>
      <x:c r="J159" s="6" t="str">
        <x:v>Unknown</x:v>
      </x:c>
      <x:c r="K159" s="6" t="str">
        <x:v>Unknown</x:v>
      </x:c>
      <x:c r="L159" s="12" t="str">
        <x:v>Unsupported Observation</x:v>
      </x:c>
      <x:c r="M159" s="12" t="str">
        <x:v>Nocturnix_Master_Services_Catalog_v1.xlsx | 01 - Master Services | row 198</x:v>
      </x:c>
      <x:c r="N159" s="6" t="str">
        <x:v>Unresolved</x:v>
      </x:c>
      <x:c r="O159" s="6" t="str"/>
      <x:c r="P159" s="6" t="str"/>
      <x:c r="Q159" s="6" t="str">
        <x:v>Pending</x:v>
      </x:c>
      <x:c r="R159" s="12" t="str"/>
    </x:row>
    <x:row r="160">
      <x:c r="A160" s="6" t="str">
        <x:v>MFRR-000159</x:v>
      </x:c>
      <x:c r="B160" s="6" t="str">
        <x:v>SVC000159</x:v>
      </x:c>
      <x:c r="C160" s="6" t="str">
        <x:v>Galaxy S Classic Battery Replacement</x:v>
      </x:c>
      <x:c r="D160" s="6" t="str">
        <x:v>MFR-LEGACY-001</x:v>
      </x:c>
      <x:c r="E160" s="6"/>
      <x:c r="F160" s="6"/>
      <x:c r="G160" s="6" t="str">
        <x:v>Unknown</x:v>
      </x:c>
      <x:c r="H160" s="6" t="str"/>
      <x:c r="I160" s="6" t="str"/>
      <x:c r="J160" s="6" t="str">
        <x:v>Unknown</x:v>
      </x:c>
      <x:c r="K160" s="6" t="str">
        <x:v>Unknown</x:v>
      </x:c>
      <x:c r="L160" s="12" t="str">
        <x:v>Unsupported Observation</x:v>
      </x:c>
      <x:c r="M160" s="12" t="str">
        <x:v>Nocturnix_Master_Services_Catalog_v1.xlsx | 01 - Master Services | row 199</x:v>
      </x:c>
      <x:c r="N160" s="6" t="str">
        <x:v>Unresolved</x:v>
      </x:c>
      <x:c r="O160" s="6" t="str"/>
      <x:c r="P160" s="6" t="str"/>
      <x:c r="Q160" s="6" t="str">
        <x:v>Pending</x:v>
      </x:c>
      <x:c r="R160" s="12" t="str"/>
    </x:row>
    <x:row r="161">
      <x:c r="A161" s="6" t="str">
        <x:v>MFRR-000160</x:v>
      </x:c>
      <x:c r="B161" s="6" t="str">
        <x:v>SVC000160</x:v>
      </x:c>
      <x:c r="C161" s="6" t="str">
        <x:v>Galaxy S2 Battery Replacement</x:v>
      </x:c>
      <x:c r="D161" s="6" t="str">
        <x:v>MFR-LEGACY-001</x:v>
      </x:c>
      <x:c r="E161" s="6"/>
      <x:c r="F161" s="6"/>
      <x:c r="G161" s="6" t="str">
        <x:v>Unknown</x:v>
      </x:c>
      <x:c r="H161" s="6" t="str"/>
      <x:c r="I161" s="6" t="str"/>
      <x:c r="J161" s="6" t="str">
        <x:v>Unknown</x:v>
      </x:c>
      <x:c r="K161" s="6" t="str">
        <x:v>Unknown</x:v>
      </x:c>
      <x:c r="L161" s="12" t="str">
        <x:v>Unsupported Observation</x:v>
      </x:c>
      <x:c r="M161" s="12" t="str">
        <x:v>Nocturnix_Master_Services_Catalog_v1.xlsx | 01 - Master Services | row 200</x:v>
      </x:c>
      <x:c r="N161" s="6" t="str">
        <x:v>Unresolved</x:v>
      </x:c>
      <x:c r="O161" s="6" t="str"/>
      <x:c r="P161" s="6" t="str"/>
      <x:c r="Q161" s="6" t="str">
        <x:v>Pending</x:v>
      </x:c>
      <x:c r="R161" s="12" t="str"/>
    </x:row>
    <x:row r="162">
      <x:c r="A162" s="6" t="str">
        <x:v>MFRR-000161</x:v>
      </x:c>
      <x:c r="B162" s="6" t="str">
        <x:v>SVC000161</x:v>
      </x:c>
      <x:c r="C162" s="6" t="str">
        <x:v>Galaxy S3 Battery Replacement</x:v>
      </x:c>
      <x:c r="D162" s="6" t="str">
        <x:v>MFR-LEGACY-001</x:v>
      </x:c>
      <x:c r="E162" s="6"/>
      <x:c r="F162" s="6"/>
      <x:c r="G162" s="6" t="str">
        <x:v>Unknown</x:v>
      </x:c>
      <x:c r="H162" s="6" t="str"/>
      <x:c r="I162" s="6" t="str"/>
      <x:c r="J162" s="6" t="str">
        <x:v>Unknown</x:v>
      </x:c>
      <x:c r="K162" s="6" t="str">
        <x:v>Unknown</x:v>
      </x:c>
      <x:c r="L162" s="12" t="str">
        <x:v>Unsupported Observation</x:v>
      </x:c>
      <x:c r="M162" s="12" t="str">
        <x:v>Nocturnix_Master_Services_Catalog_v1.xlsx | 01 - Master Services | row 201</x:v>
      </x:c>
      <x:c r="N162" s="6" t="str">
        <x:v>Unresolved</x:v>
      </x:c>
      <x:c r="O162" s="6" t="str"/>
      <x:c r="P162" s="6" t="str"/>
      <x:c r="Q162" s="6" t="str">
        <x:v>Pending</x:v>
      </x:c>
      <x:c r="R162" s="12" t="str"/>
    </x:row>
    <x:row r="163">
      <x:c r="A163" s="6" t="str">
        <x:v>MFRR-000162</x:v>
      </x:c>
      <x:c r="B163" s="6" t="str">
        <x:v>SVC000162</x:v>
      </x:c>
      <x:c r="C163" s="6" t="str">
        <x:v>Galaxy S3 Mini Battery Replacement</x:v>
      </x:c>
      <x:c r="D163" s="6" t="str">
        <x:v>MFR-LEGACY-001</x:v>
      </x:c>
      <x:c r="E163" s="6"/>
      <x:c r="F163" s="6"/>
      <x:c r="G163" s="6" t="str">
        <x:v>Unknown</x:v>
      </x:c>
      <x:c r="H163" s="6" t="str"/>
      <x:c r="I163" s="6" t="str"/>
      <x:c r="J163" s="6" t="str">
        <x:v>Unknown</x:v>
      </x:c>
      <x:c r="K163" s="6" t="str">
        <x:v>Unknown</x:v>
      </x:c>
      <x:c r="L163" s="12" t="str">
        <x:v>Unsupported Observation</x:v>
      </x:c>
      <x:c r="M163" s="12" t="str">
        <x:v>Nocturnix_Master_Services_Catalog_v1.xlsx | 01 - Master Services | row 202</x:v>
      </x:c>
      <x:c r="N163" s="6" t="str">
        <x:v>Unresolved</x:v>
      </x:c>
      <x:c r="O163" s="6" t="str"/>
      <x:c r="P163" s="6" t="str"/>
      <x:c r="Q163" s="6" t="str">
        <x:v>Pending</x:v>
      </x:c>
      <x:c r="R163" s="12" t="str"/>
    </x:row>
    <x:row r="164">
      <x:c r="A164" s="6" t="str">
        <x:v>MFRR-000163</x:v>
      </x:c>
      <x:c r="B164" s="6" t="str">
        <x:v>SVC000163</x:v>
      </x:c>
      <x:c r="C164" s="6" t="str">
        <x:v>Galaxy S3 Neo Battery Replacement</x:v>
      </x:c>
      <x:c r="D164" s="6" t="str">
        <x:v>MFR-LEGACY-001</x:v>
      </x:c>
      <x:c r="E164" s="6"/>
      <x:c r="F164" s="6"/>
      <x:c r="G164" s="6" t="str">
        <x:v>Unknown</x:v>
      </x:c>
      <x:c r="H164" s="6" t="str"/>
      <x:c r="I164" s="6" t="str"/>
      <x:c r="J164" s="6" t="str">
        <x:v>Unknown</x:v>
      </x:c>
      <x:c r="K164" s="6" t="str">
        <x:v>Unknown</x:v>
      </x:c>
      <x:c r="L164" s="12" t="str">
        <x:v>Unsupported Observation</x:v>
      </x:c>
      <x:c r="M164" s="12" t="str">
        <x:v>Nocturnix_Master_Services_Catalog_v1.xlsx | 01 - Master Services | row 203</x:v>
      </x:c>
      <x:c r="N164" s="6" t="str">
        <x:v>Unresolved</x:v>
      </x:c>
      <x:c r="O164" s="6" t="str"/>
      <x:c r="P164" s="6" t="str"/>
      <x:c r="Q164" s="6" t="str">
        <x:v>Pending</x:v>
      </x:c>
      <x:c r="R164" s="12" t="str"/>
    </x:row>
    <x:row r="165">
      <x:c r="A165" s="6" t="str">
        <x:v>MFRR-000164</x:v>
      </x:c>
      <x:c r="B165" s="6" t="str">
        <x:v>SVC000164</x:v>
      </x:c>
      <x:c r="C165" s="6" t="str">
        <x:v>Galaxy S4 Battery Replacement</x:v>
      </x:c>
      <x:c r="D165" s="6" t="str">
        <x:v>MFR-LEGACY-001</x:v>
      </x:c>
      <x:c r="E165" s="6"/>
      <x:c r="F165" s="6"/>
      <x:c r="G165" s="6" t="str">
        <x:v>Unknown</x:v>
      </x:c>
      <x:c r="H165" s="6" t="str"/>
      <x:c r="I165" s="6" t="str"/>
      <x:c r="J165" s="6" t="str">
        <x:v>Unknown</x:v>
      </x:c>
      <x:c r="K165" s="6" t="str">
        <x:v>Unknown</x:v>
      </x:c>
      <x:c r="L165" s="12" t="str">
        <x:v>Unsupported Observation</x:v>
      </x:c>
      <x:c r="M165" s="12" t="str">
        <x:v>Nocturnix_Master_Services_Catalog_v1.xlsx | 01 - Master Services | row 204</x:v>
      </x:c>
      <x:c r="N165" s="6" t="str">
        <x:v>Unresolved</x:v>
      </x:c>
      <x:c r="O165" s="6" t="str"/>
      <x:c r="P165" s="6" t="str"/>
      <x:c r="Q165" s="6" t="str">
        <x:v>Pending</x:v>
      </x:c>
      <x:c r="R165" s="12" t="str"/>
    </x:row>
    <x:row r="166">
      <x:c r="A166" s="6" t="str">
        <x:v>MFRR-000165</x:v>
      </x:c>
      <x:c r="B166" s="6" t="str">
        <x:v>SVC000165</x:v>
      </x:c>
      <x:c r="C166" s="6" t="str">
        <x:v>Galaxy S 4 Active Battery Replacement</x:v>
      </x:c>
      <x:c r="D166" s="6" t="str">
        <x:v>MFR-LEGACY-001</x:v>
      </x:c>
      <x:c r="E166" s="6"/>
      <x:c r="F166" s="6"/>
      <x:c r="G166" s="6" t="str">
        <x:v>Unknown</x:v>
      </x:c>
      <x:c r="H166" s="6" t="str"/>
      <x:c r="I166" s="6" t="str"/>
      <x:c r="J166" s="6" t="str">
        <x:v>Unknown</x:v>
      </x:c>
      <x:c r="K166" s="6" t="str">
        <x:v>Unknown</x:v>
      </x:c>
      <x:c r="L166" s="12" t="str">
        <x:v>Unsupported Observation</x:v>
      </x:c>
      <x:c r="M166" s="12" t="str">
        <x:v>Nocturnix_Master_Services_Catalog_v1.xlsx | 01 - Master Services | row 205</x:v>
      </x:c>
      <x:c r="N166" s="6" t="str">
        <x:v>Unresolved</x:v>
      </x:c>
      <x:c r="O166" s="6" t="str"/>
      <x:c r="P166" s="6" t="str"/>
      <x:c r="Q166" s="6" t="str">
        <x:v>Pending</x:v>
      </x:c>
      <x:c r="R166" s="12" t="str"/>
    </x:row>
    <x:row r="167">
      <x:c r="A167" s="6" t="str">
        <x:v>MFRR-000166</x:v>
      </x:c>
      <x:c r="B167" s="6" t="str">
        <x:v>SVC000166</x:v>
      </x:c>
      <x:c r="C167" s="6" t="str">
        <x:v>Galaxy S 5 Battery Replacement</x:v>
      </x:c>
      <x:c r="D167" s="6" t="str">
        <x:v>MFR-LEGACY-001</x:v>
      </x:c>
      <x:c r="E167" s="6"/>
      <x:c r="F167" s="6"/>
      <x:c r="G167" s="6" t="str">
        <x:v>Unknown</x:v>
      </x:c>
      <x:c r="H167" s="6" t="str"/>
      <x:c r="I167" s="6" t="str"/>
      <x:c r="J167" s="6" t="str">
        <x:v>Unknown</x:v>
      </x:c>
      <x:c r="K167" s="6" t="str">
        <x:v>Unknown</x:v>
      </x:c>
      <x:c r="L167" s="12" t="str">
        <x:v>Unsupported Observation</x:v>
      </x:c>
      <x:c r="M167" s="12" t="str">
        <x:v>Nocturnix_Master_Services_Catalog_v1.xlsx | 01 - Master Services | row 206</x:v>
      </x:c>
      <x:c r="N167" s="6" t="str">
        <x:v>Unresolved</x:v>
      </x:c>
      <x:c r="O167" s="6" t="str"/>
      <x:c r="P167" s="6" t="str"/>
      <x:c r="Q167" s="6" t="str">
        <x:v>Pending</x:v>
      </x:c>
      <x:c r="R167" s="12" t="str"/>
    </x:row>
    <x:row r="168">
      <x:c r="A168" s="6" t="str">
        <x:v>MFRR-000167</x:v>
      </x:c>
      <x:c r="B168" s="6" t="str">
        <x:v>SVC000167</x:v>
      </x:c>
      <x:c r="C168" s="6" t="str">
        <x:v>iPhone 7+ Battery Replacement</x:v>
      </x:c>
      <x:c r="D168" s="6" t="str">
        <x:v>MFR-LEGACY-001</x:v>
      </x:c>
      <x:c r="E168" s="6"/>
      <x:c r="F168" s="6"/>
      <x:c r="G168" s="6" t="str">
        <x:v>Unknown</x:v>
      </x:c>
      <x:c r="H168" s="6" t="str"/>
      <x:c r="I168" s="6" t="str"/>
      <x:c r="J168" s="6" t="str">
        <x:v>Unknown</x:v>
      </x:c>
      <x:c r="K168" s="6" t="str">
        <x:v>Unknown</x:v>
      </x:c>
      <x:c r="L168" s="12" t="str">
        <x:v>Unsupported Observation</x:v>
      </x:c>
      <x:c r="M168" s="12" t="str">
        <x:v>Nocturnix_Master_Services_Catalog_v1.xlsx | 01 - Master Services | row 207</x:v>
      </x:c>
      <x:c r="N168" s="6" t="str">
        <x:v>Unresolved</x:v>
      </x:c>
      <x:c r="O168" s="6" t="str"/>
      <x:c r="P168" s="6" t="str"/>
      <x:c r="Q168" s="6" t="str">
        <x:v>Pending</x:v>
      </x:c>
      <x:c r="R168" s="12" t="str"/>
    </x:row>
    <x:row r="169">
      <x:c r="A169" s="6" t="str">
        <x:v>MFRR-000168</x:v>
      </x:c>
      <x:c r="B169" s="6" t="str">
        <x:v>SVC000168</x:v>
      </x:c>
      <x:c r="C169" s="6" t="str">
        <x:v>iPhone Battery Replacement</x:v>
      </x:c>
      <x:c r="D169" s="6" t="str">
        <x:v>MFR-LEGACY-001</x:v>
      </x:c>
      <x:c r="E169" s="6"/>
      <x:c r="F169" s="6"/>
      <x:c r="G169" s="6" t="str">
        <x:v>Unknown</x:v>
      </x:c>
      <x:c r="H169" s="6" t="str"/>
      <x:c r="I169" s="6" t="str"/>
      <x:c r="J169" s="6" t="str">
        <x:v>Unknown</x:v>
      </x:c>
      <x:c r="K169" s="6" t="str">
        <x:v>Unknown</x:v>
      </x:c>
      <x:c r="L169" s="12" t="str">
        <x:v>Unsupported Observation</x:v>
      </x:c>
      <x:c r="M169" s="12" t="str">
        <x:v>Nocturnix_Master_Services_Catalog_v1.xlsx | 01 - Master Services | row 208</x:v>
      </x:c>
      <x:c r="N169" s="6" t="str">
        <x:v>Unresolved</x:v>
      </x:c>
      <x:c r="O169" s="6" t="str"/>
      <x:c r="P169" s="6" t="str"/>
      <x:c r="Q169" s="6" t="str">
        <x:v>Pending</x:v>
      </x:c>
      <x:c r="R169" s="12" t="str"/>
    </x:row>
    <x:row r="170">
      <x:c r="A170" s="6" t="str">
        <x:v>MFRR-000169</x:v>
      </x:c>
      <x:c r="B170" s="6" t="str">
        <x:v>SVC000169</x:v>
      </x:c>
      <x:c r="C170" s="6" t="str">
        <x:v>iPhone 3GS Battery Replacement</x:v>
      </x:c>
      <x:c r="D170" s="6" t="str">
        <x:v>MFR-LEGACY-001</x:v>
      </x:c>
      <x:c r="E170" s="6"/>
      <x:c r="F170" s="6"/>
      <x:c r="G170" s="6" t="str">
        <x:v>Unknown</x:v>
      </x:c>
      <x:c r="H170" s="6" t="str"/>
      <x:c r="I170" s="6" t="str"/>
      <x:c r="J170" s="6" t="str">
        <x:v>Unknown</x:v>
      </x:c>
      <x:c r="K170" s="6" t="str">
        <x:v>Unknown</x:v>
      </x:c>
      <x:c r="L170" s="12" t="str">
        <x:v>Unsupported Observation</x:v>
      </x:c>
      <x:c r="M170" s="12" t="str">
        <x:v>Nocturnix_Master_Services_Catalog_v1.xlsx | 01 - Master Services | row 209</x:v>
      </x:c>
      <x:c r="N170" s="6" t="str">
        <x:v>Unresolved</x:v>
      </x:c>
      <x:c r="O170" s="6" t="str"/>
      <x:c r="P170" s="6" t="str"/>
      <x:c r="Q170" s="6" t="str">
        <x:v>Pending</x:v>
      </x:c>
      <x:c r="R170" s="12" t="str"/>
    </x:row>
    <x:row r="171">
      <x:c r="A171" s="6" t="str">
        <x:v>MFRR-000170</x:v>
      </x:c>
      <x:c r="B171" s="6" t="str">
        <x:v>SVC000170</x:v>
      </x:c>
      <x:c r="C171" s="6" t="str">
        <x:v>iPhone 4S Battery Replacement</x:v>
      </x:c>
      <x:c r="D171" s="6" t="str">
        <x:v>MFR-LEGACY-001</x:v>
      </x:c>
      <x:c r="E171" s="6"/>
      <x:c r="F171" s="6"/>
      <x:c r="G171" s="6" t="str">
        <x:v>Unknown</x:v>
      </x:c>
      <x:c r="H171" s="6" t="str"/>
      <x:c r="I171" s="6" t="str"/>
      <x:c r="J171" s="6" t="str">
        <x:v>Unknown</x:v>
      </x:c>
      <x:c r="K171" s="6" t="str">
        <x:v>Unknown</x:v>
      </x:c>
      <x:c r="L171" s="12" t="str">
        <x:v>Unsupported Observation</x:v>
      </x:c>
      <x:c r="M171" s="12" t="str">
        <x:v>Nocturnix_Master_Services_Catalog_v1.xlsx | 01 - Master Services | row 210</x:v>
      </x:c>
      <x:c r="N171" s="6" t="str">
        <x:v>Unresolved</x:v>
      </x:c>
      <x:c r="O171" s="6" t="str"/>
      <x:c r="P171" s="6" t="str"/>
      <x:c r="Q171" s="6" t="str">
        <x:v>Pending</x:v>
      </x:c>
      <x:c r="R171" s="12" t="str"/>
    </x:row>
    <x:row r="172">
      <x:c r="A172" s="6" t="str">
        <x:v>MFRR-000171</x:v>
      </x:c>
      <x:c r="B172" s="6" t="str">
        <x:v>SVC000171</x:v>
      </x:c>
      <x:c r="C172" s="6" t="str">
        <x:v>iPhone 5 Battery Replacement</x:v>
      </x:c>
      <x:c r="D172" s="6" t="str">
        <x:v>MFR-LEGACY-001</x:v>
      </x:c>
      <x:c r="E172" s="6"/>
      <x:c r="F172" s="6"/>
      <x:c r="G172" s="6" t="str">
        <x:v>Unknown</x:v>
      </x:c>
      <x:c r="H172" s="6" t="str"/>
      <x:c r="I172" s="6" t="str"/>
      <x:c r="J172" s="6" t="str">
        <x:v>Unknown</x:v>
      </x:c>
      <x:c r="K172" s="6" t="str">
        <x:v>Unknown</x:v>
      </x:c>
      <x:c r="L172" s="12" t="str">
        <x:v>Unsupported Observation</x:v>
      </x:c>
      <x:c r="M172" s="12" t="str">
        <x:v>Nocturnix_Master_Services_Catalog_v1.xlsx | 01 - Master Services | row 211</x:v>
      </x:c>
      <x:c r="N172" s="6" t="str">
        <x:v>Unresolved</x:v>
      </x:c>
      <x:c r="O172" s="6" t="str"/>
      <x:c r="P172" s="6" t="str"/>
      <x:c r="Q172" s="6" t="str">
        <x:v>Pending</x:v>
      </x:c>
      <x:c r="R172" s="12" t="str"/>
    </x:row>
    <x:row r="173">
      <x:c r="A173" s="6" t="str">
        <x:v>MFRR-000172</x:v>
      </x:c>
      <x:c r="B173" s="6" t="str">
        <x:v>SVC000172</x:v>
      </x:c>
      <x:c r="C173" s="6" t="str">
        <x:v>iPhone 5C Battery Replacement</x:v>
      </x:c>
      <x:c r="D173" s="6" t="str">
        <x:v>MFR-LEGACY-001</x:v>
      </x:c>
      <x:c r="E173" s="6"/>
      <x:c r="F173" s="6"/>
      <x:c r="G173" s="6" t="str">
        <x:v>Unknown</x:v>
      </x:c>
      <x:c r="H173" s="6" t="str"/>
      <x:c r="I173" s="6" t="str"/>
      <x:c r="J173" s="6" t="str">
        <x:v>Unknown</x:v>
      </x:c>
      <x:c r="K173" s="6" t="str">
        <x:v>Unknown</x:v>
      </x:c>
      <x:c r="L173" s="12" t="str">
        <x:v>Unsupported Observation</x:v>
      </x:c>
      <x:c r="M173" s="12" t="str">
        <x:v>Nocturnix_Master_Services_Catalog_v1.xlsx | 01 - Master Services | row 212</x:v>
      </x:c>
      <x:c r="N173" s="6" t="str">
        <x:v>Unresolved</x:v>
      </x:c>
      <x:c r="O173" s="6" t="str"/>
      <x:c r="P173" s="6" t="str"/>
      <x:c r="Q173" s="6" t="str">
        <x:v>Pending</x:v>
      </x:c>
      <x:c r="R173" s="12" t="str"/>
    </x:row>
    <x:row r="174">
      <x:c r="A174" s="6" t="str">
        <x:v>MFRR-000173</x:v>
      </x:c>
      <x:c r="B174" s="6" t="str">
        <x:v>SVC000173</x:v>
      </x:c>
      <x:c r="C174" s="6" t="str">
        <x:v>iPhone 8+ Battery Replacement</x:v>
      </x:c>
      <x:c r="D174" s="6" t="str">
        <x:v>MFR-LEGACY-001</x:v>
      </x:c>
      <x:c r="E174" s="6"/>
      <x:c r="F174" s="6"/>
      <x:c r="G174" s="6" t="str">
        <x:v>Unknown</x:v>
      </x:c>
      <x:c r="H174" s="6" t="str"/>
      <x:c r="I174" s="6" t="str"/>
      <x:c r="J174" s="6" t="str">
        <x:v>Unknown</x:v>
      </x:c>
      <x:c r="K174" s="6" t="str">
        <x:v>Unknown</x:v>
      </x:c>
      <x:c r="L174" s="12" t="str">
        <x:v>Unsupported Observation</x:v>
      </x:c>
      <x:c r="M174" s="12" t="str">
        <x:v>Nocturnix_Master_Services_Catalog_v1.xlsx | 01 - Master Services | row 213</x:v>
      </x:c>
      <x:c r="N174" s="6" t="str">
        <x:v>Unresolved</x:v>
      </x:c>
      <x:c r="O174" s="6" t="str"/>
      <x:c r="P174" s="6" t="str"/>
      <x:c r="Q174" s="6" t="str">
        <x:v>Pending</x:v>
      </x:c>
      <x:c r="R174" s="12" t="str"/>
    </x:row>
    <x:row r="175">
      <x:c r="A175" s="6" t="str">
        <x:v>MFRR-000174</x:v>
      </x:c>
      <x:c r="B175" s="6" t="str">
        <x:v>SVC000174</x:v>
      </x:c>
      <x:c r="C175" s="6" t="str">
        <x:v>iPhone 6S Battery Replacement</x:v>
      </x:c>
      <x:c r="D175" s="6" t="str">
        <x:v>MFR-LEGACY-001</x:v>
      </x:c>
      <x:c r="E175" s="6"/>
      <x:c r="F175" s="6"/>
      <x:c r="G175" s="6" t="str">
        <x:v>Unknown</x:v>
      </x:c>
      <x:c r="H175" s="6" t="str"/>
      <x:c r="I175" s="6" t="str"/>
      <x:c r="J175" s="6" t="str">
        <x:v>Unknown</x:v>
      </x:c>
      <x:c r="K175" s="6" t="str">
        <x:v>Unknown</x:v>
      </x:c>
      <x:c r="L175" s="12" t="str">
        <x:v>Unsupported Observation</x:v>
      </x:c>
      <x:c r="M175" s="12" t="str">
        <x:v>Nocturnix_Master_Services_Catalog_v1.xlsx | 01 - Master Services | row 214</x:v>
      </x:c>
      <x:c r="N175" s="6" t="str">
        <x:v>Unresolved</x:v>
      </x:c>
      <x:c r="O175" s="6" t="str"/>
      <x:c r="P175" s="6" t="str"/>
      <x:c r="Q175" s="6" t="str">
        <x:v>Pending</x:v>
      </x:c>
      <x:c r="R175" s="12" t="str"/>
    </x:row>
    <x:row r="176">
      <x:c r="A176" s="6" t="str">
        <x:v>MFRR-000175</x:v>
      </x:c>
      <x:c r="B176" s="6" t="str">
        <x:v>SVC000175</x:v>
      </x:c>
      <x:c r="C176" s="6" t="str">
        <x:v>iPhone 8 Battery Replacement</x:v>
      </x:c>
      <x:c r="D176" s="6" t="str">
        <x:v>MFR-LEGACY-001</x:v>
      </x:c>
      <x:c r="E176" s="6"/>
      <x:c r="F176" s="6"/>
      <x:c r="G176" s="6" t="str">
        <x:v>Unknown</x:v>
      </x:c>
      <x:c r="H176" s="6" t="str"/>
      <x:c r="I176" s="6" t="str"/>
      <x:c r="J176" s="6" t="str">
        <x:v>Unknown</x:v>
      </x:c>
      <x:c r="K176" s="6" t="str">
        <x:v>Unknown</x:v>
      </x:c>
      <x:c r="L176" s="12" t="str">
        <x:v>Unsupported Observation</x:v>
      </x:c>
      <x:c r="M176" s="12" t="str">
        <x:v>Nocturnix_Master_Services_Catalog_v1.xlsx | 01 - Master Services | row 215</x:v>
      </x:c>
      <x:c r="N176" s="6" t="str">
        <x:v>Unresolved</x:v>
      </x:c>
      <x:c r="O176" s="6" t="str"/>
      <x:c r="P176" s="6" t="str"/>
      <x:c r="Q176" s="6" t="str">
        <x:v>Pending</x:v>
      </x:c>
      <x:c r="R176" s="12" t="str"/>
    </x:row>
    <x:row r="177">
      <x:c r="A177" s="6" t="str">
        <x:v>MFRR-000176</x:v>
      </x:c>
      <x:c r="B177" s="6" t="str">
        <x:v>SVC000176</x:v>
      </x:c>
      <x:c r="C177" s="6" t="str">
        <x:v>iPhone 6S+ Battery Replacement</x:v>
      </x:c>
      <x:c r="D177" s="6" t="str">
        <x:v>MFR-LEGACY-001</x:v>
      </x:c>
      <x:c r="E177" s="6"/>
      <x:c r="F177" s="6"/>
      <x:c r="G177" s="6" t="str">
        <x:v>Unknown</x:v>
      </x:c>
      <x:c r="H177" s="6" t="str"/>
      <x:c r="I177" s="6" t="str"/>
      <x:c r="J177" s="6" t="str">
        <x:v>Unknown</x:v>
      </x:c>
      <x:c r="K177" s="6" t="str">
        <x:v>Unknown</x:v>
      </x:c>
      <x:c r="L177" s="12" t="str">
        <x:v>Unsupported Observation</x:v>
      </x:c>
      <x:c r="M177" s="12" t="str">
        <x:v>Nocturnix_Master_Services_Catalog_v1.xlsx | 01 - Master Services | row 216</x:v>
      </x:c>
      <x:c r="N177" s="6" t="str">
        <x:v>Unresolved</x:v>
      </x:c>
      <x:c r="O177" s="6" t="str"/>
      <x:c r="P177" s="6" t="str"/>
      <x:c r="Q177" s="6" t="str">
        <x:v>Pending</x:v>
      </x:c>
      <x:c r="R177" s="12" t="str"/>
    </x:row>
    <x:row r="178">
      <x:c r="A178" s="6" t="str">
        <x:v>MFRR-000177</x:v>
      </x:c>
      <x:c r="B178" s="6" t="str">
        <x:v>SVC000177</x:v>
      </x:c>
      <x:c r="C178" s="6" t="str">
        <x:v>iPhone 6S+ Battery Replacement</x:v>
      </x:c>
      <x:c r="D178" s="6" t="str">
        <x:v>MFR-LEGACY-001</x:v>
      </x:c>
      <x:c r="E178" s="6"/>
      <x:c r="F178" s="6"/>
      <x:c r="G178" s="6" t="str">
        <x:v>Unknown</x:v>
      </x:c>
      <x:c r="H178" s="6" t="str"/>
      <x:c r="I178" s="6" t="str"/>
      <x:c r="J178" s="6" t="str">
        <x:v>Unknown</x:v>
      </x:c>
      <x:c r="K178" s="6" t="str">
        <x:v>Unknown</x:v>
      </x:c>
      <x:c r="L178" s="12" t="str">
        <x:v>Unsupported Observation</x:v>
      </x:c>
      <x:c r="M178" s="12" t="str">
        <x:v>Nocturnix_Master_Services_Catalog_v1.xlsx | 01 - Master Services | row 217</x:v>
      </x:c>
      <x:c r="N178" s="6" t="str">
        <x:v>Unresolved</x:v>
      </x:c>
      <x:c r="O178" s="6" t="str"/>
      <x:c r="P178" s="6" t="str"/>
      <x:c r="Q178" s="6" t="str">
        <x:v>Pending</x:v>
      </x:c>
      <x:c r="R178" s="12" t="str"/>
    </x:row>
    <x:row r="179">
      <x:c r="A179" s="6" t="str">
        <x:v>MFRR-000178</x:v>
      </x:c>
      <x:c r="B179" s="6" t="str">
        <x:v>SVC000178</x:v>
      </x:c>
      <x:c r="C179" s="6" t="str">
        <x:v>iPhone 5S Battery Replacement</x:v>
      </x:c>
      <x:c r="D179" s="6" t="str">
        <x:v>MFR-LEGACY-001</x:v>
      </x:c>
      <x:c r="E179" s="6"/>
      <x:c r="F179" s="6"/>
      <x:c r="G179" s="6" t="str">
        <x:v>Unknown</x:v>
      </x:c>
      <x:c r="H179" s="6" t="str"/>
      <x:c r="I179" s="6" t="str"/>
      <x:c r="J179" s="6" t="str">
        <x:v>Unknown</x:v>
      </x:c>
      <x:c r="K179" s="6" t="str">
        <x:v>Unknown</x:v>
      </x:c>
      <x:c r="L179" s="12" t="str">
        <x:v>Unsupported Observation</x:v>
      </x:c>
      <x:c r="M179" s="12" t="str">
        <x:v>Nocturnix_Master_Services_Catalog_v1.xlsx | 01 - Master Services | row 218</x:v>
      </x:c>
      <x:c r="N179" s="6" t="str">
        <x:v>Unresolved</x:v>
      </x:c>
      <x:c r="O179" s="6" t="str"/>
      <x:c r="P179" s="6" t="str"/>
      <x:c r="Q179" s="6" t="str">
        <x:v>Pending</x:v>
      </x:c>
      <x:c r="R179" s="12" t="str"/>
    </x:row>
    <x:row r="180">
      <x:c r="A180" s="6" t="str">
        <x:v>MFRR-000179</x:v>
      </x:c>
      <x:c r="B180" s="6" t="str">
        <x:v>SVC000179</x:v>
      </x:c>
      <x:c r="C180" s="6" t="str">
        <x:v>iPhone 14 Battery Replacement</x:v>
      </x:c>
      <x:c r="D180" s="6" t="str">
        <x:v>MFR-LEGACY-001</x:v>
      </x:c>
      <x:c r="E180" s="6"/>
      <x:c r="F180" s="6"/>
      <x:c r="G180" s="6" t="str">
        <x:v>Unknown</x:v>
      </x:c>
      <x:c r="H180" s="6" t="str"/>
      <x:c r="I180" s="6" t="str"/>
      <x:c r="J180" s="6" t="str">
        <x:v>Unknown</x:v>
      </x:c>
      <x:c r="K180" s="6" t="str">
        <x:v>Unknown</x:v>
      </x:c>
      <x:c r="L180" s="12" t="str">
        <x:v>Unsupported Observation</x:v>
      </x:c>
      <x:c r="M180" s="12" t="str">
        <x:v>Nocturnix_Master_Services_Catalog_v1.xlsx | 01 - Master Services | row 219</x:v>
      </x:c>
      <x:c r="N180" s="6" t="str">
        <x:v>Unresolved</x:v>
      </x:c>
      <x:c r="O180" s="6" t="str"/>
      <x:c r="P180" s="6" t="str"/>
      <x:c r="Q180" s="6" t="str">
        <x:v>Pending</x:v>
      </x:c>
      <x:c r="R180" s="12" t="str"/>
    </x:row>
    <x:row r="181">
      <x:c r="A181" s="6" t="str">
        <x:v>MFRR-000180</x:v>
      </x:c>
      <x:c r="B181" s="6" t="str">
        <x:v>SVC000180</x:v>
      </x:c>
      <x:c r="C181" s="6" t="str">
        <x:v>iPhone 6+ Battery Replacement</x:v>
      </x:c>
      <x:c r="D181" s="6" t="str">
        <x:v>MFR-LEGACY-001</x:v>
      </x:c>
      <x:c r="E181" s="6"/>
      <x:c r="F181" s="6"/>
      <x:c r="G181" s="6" t="str">
        <x:v>Unknown</x:v>
      </x:c>
      <x:c r="H181" s="6" t="str"/>
      <x:c r="I181" s="6" t="str"/>
      <x:c r="J181" s="6" t="str">
        <x:v>Unknown</x:v>
      </x:c>
      <x:c r="K181" s="6" t="str">
        <x:v>Unknown</x:v>
      </x:c>
      <x:c r="L181" s="12" t="str">
        <x:v>Unsupported Observation</x:v>
      </x:c>
      <x:c r="M181" s="12" t="str">
        <x:v>Nocturnix_Master_Services_Catalog_v1.xlsx | 01 - Master Services | row 220</x:v>
      </x:c>
      <x:c r="N181" s="6" t="str">
        <x:v>Unresolved</x:v>
      </x:c>
      <x:c r="O181" s="6" t="str"/>
      <x:c r="P181" s="6" t="str"/>
      <x:c r="Q181" s="6" t="str">
        <x:v>Pending</x:v>
      </x:c>
      <x:c r="R181" s="12" t="str"/>
    </x:row>
    <x:row r="182">
      <x:c r="A182" s="6" t="str">
        <x:v>MFRR-000181</x:v>
      </x:c>
      <x:c r="B182" s="6" t="str">
        <x:v>SVC000181</x:v>
      </x:c>
      <x:c r="C182" s="6" t="str">
        <x:v>iPhone 16E Battery Replacement</x:v>
      </x:c>
      <x:c r="D182" s="6" t="str">
        <x:v>MFR-LEGACY-001</x:v>
      </x:c>
      <x:c r="E182" s="6"/>
      <x:c r="F182" s="6"/>
      <x:c r="G182" s="6" t="str">
        <x:v>Unknown</x:v>
      </x:c>
      <x:c r="H182" s="6" t="str"/>
      <x:c r="I182" s="6" t="str"/>
      <x:c r="J182" s="6" t="str">
        <x:v>Unknown</x:v>
      </x:c>
      <x:c r="K182" s="6" t="str">
        <x:v>Unknown</x:v>
      </x:c>
      <x:c r="L182" s="12" t="str">
        <x:v>Unsupported Observation</x:v>
      </x:c>
      <x:c r="M182" s="12" t="str">
        <x:v>Nocturnix_Master_Services_Catalog_v1.xlsx | 01 - Master Services | row 221</x:v>
      </x:c>
      <x:c r="N182" s="6" t="str">
        <x:v>Unresolved</x:v>
      </x:c>
      <x:c r="O182" s="6" t="str"/>
      <x:c r="P182" s="6" t="str"/>
      <x:c r="Q182" s="6" t="str">
        <x:v>Pending</x:v>
      </x:c>
      <x:c r="R182" s="12" t="str"/>
    </x:row>
    <x:row r="183">
      <x:c r="A183" s="6" t="str">
        <x:v>MFRR-000182</x:v>
      </x:c>
      <x:c r="B183" s="6" t="str">
        <x:v>SVC000182</x:v>
      </x:c>
      <x:c r="C183" s="6" t="str">
        <x:v>iPhone 17 Battery Replacement</x:v>
      </x:c>
      <x:c r="D183" s="6" t="str">
        <x:v>MFR-LEGACY-001</x:v>
      </x:c>
      <x:c r="E183" s="6"/>
      <x:c r="F183" s="6"/>
      <x:c r="G183" s="6" t="str">
        <x:v>Unknown</x:v>
      </x:c>
      <x:c r="H183" s="6" t="str"/>
      <x:c r="I183" s="6" t="str"/>
      <x:c r="J183" s="6" t="str">
        <x:v>Unknown</x:v>
      </x:c>
      <x:c r="K183" s="6" t="str">
        <x:v>Unknown</x:v>
      </x:c>
      <x:c r="L183" s="12" t="str">
        <x:v>Unsupported Observation</x:v>
      </x:c>
      <x:c r="M183" s="12" t="str">
        <x:v>Nocturnix_Master_Services_Catalog_v1.xlsx | 01 - Master Services | row 222</x:v>
      </x:c>
      <x:c r="N183" s="6" t="str">
        <x:v>Unresolved</x:v>
      </x:c>
      <x:c r="O183" s="6" t="str"/>
      <x:c r="P183" s="6" t="str"/>
      <x:c r="Q183" s="6" t="str">
        <x:v>Pending</x:v>
      </x:c>
      <x:c r="R183" s="12" t="str"/>
    </x:row>
    <x:row r="184">
      <x:c r="A184" s="6" t="str">
        <x:v>MFRR-000183</x:v>
      </x:c>
      <x:c r="B184" s="6" t="str">
        <x:v>SVC000183</x:v>
      </x:c>
      <x:c r="C184" s="6" t="str">
        <x:v>iPhone 16 Plus Battery Replacement</x:v>
      </x:c>
      <x:c r="D184" s="6" t="str">
        <x:v>MFR-LEGACY-001</x:v>
      </x:c>
      <x:c r="E184" s="6"/>
      <x:c r="F184" s="6"/>
      <x:c r="G184" s="6" t="str">
        <x:v>Unknown</x:v>
      </x:c>
      <x:c r="H184" s="6" t="str"/>
      <x:c r="I184" s="6" t="str"/>
      <x:c r="J184" s="6" t="str">
        <x:v>Unknown</x:v>
      </x:c>
      <x:c r="K184" s="6" t="str">
        <x:v>Unknown</x:v>
      </x:c>
      <x:c r="L184" s="12" t="str">
        <x:v>Unsupported Observation</x:v>
      </x:c>
      <x:c r="M184" s="12" t="str">
        <x:v>Nocturnix_Master_Services_Catalog_v1.xlsx | 01 - Master Services | row 223</x:v>
      </x:c>
      <x:c r="N184" s="6" t="str">
        <x:v>Unresolved</x:v>
      </x:c>
      <x:c r="O184" s="6" t="str"/>
      <x:c r="P184" s="6" t="str"/>
      <x:c r="Q184" s="6" t="str">
        <x:v>Pending</x:v>
      </x:c>
      <x:c r="R184" s="12" t="str"/>
    </x:row>
    <x:row r="185">
      <x:c r="A185" s="6" t="str">
        <x:v>MFRR-000184</x:v>
      </x:c>
      <x:c r="B185" s="6" t="str">
        <x:v>SVC000184</x:v>
      </x:c>
      <x:c r="C185" s="6" t="str">
        <x:v>iPhone 16 Pro Max Battery Replacement</x:v>
      </x:c>
      <x:c r="D185" s="6" t="str">
        <x:v>MFR-LEGACY-001</x:v>
      </x:c>
      <x:c r="E185" s="6"/>
      <x:c r="F185" s="6"/>
      <x:c r="G185" s="6" t="str">
        <x:v>Unknown</x:v>
      </x:c>
      <x:c r="H185" s="6" t="str"/>
      <x:c r="I185" s="6" t="str"/>
      <x:c r="J185" s="6" t="str">
        <x:v>Unknown</x:v>
      </x:c>
      <x:c r="K185" s="6" t="str">
        <x:v>Unknown</x:v>
      </x:c>
      <x:c r="L185" s="12" t="str">
        <x:v>Unsupported Observation</x:v>
      </x:c>
      <x:c r="M185" s="12" t="str">
        <x:v>Nocturnix_Master_Services_Catalog_v1.xlsx | 01 - Master Services | row 224</x:v>
      </x:c>
      <x:c r="N185" s="6" t="str">
        <x:v>Unresolved</x:v>
      </x:c>
      <x:c r="O185" s="6" t="str"/>
      <x:c r="P185" s="6" t="str"/>
      <x:c r="Q185" s="6" t="str">
        <x:v>Pending</x:v>
      </x:c>
      <x:c r="R185" s="12" t="str"/>
    </x:row>
    <x:row r="186">
      <x:c r="A186" s="6" t="str">
        <x:v>MFRR-000185</x:v>
      </x:c>
      <x:c r="B186" s="6" t="str">
        <x:v>SVC000185</x:v>
      </x:c>
      <x:c r="C186" s="6" t="str">
        <x:v>iPhone 16 Battery Replacement</x:v>
      </x:c>
      <x:c r="D186" s="6" t="str">
        <x:v>MFR-LEGACY-001</x:v>
      </x:c>
      <x:c r="E186" s="6"/>
      <x:c r="F186" s="6"/>
      <x:c r="G186" s="6" t="str">
        <x:v>Unknown</x:v>
      </x:c>
      <x:c r="H186" s="6" t="str"/>
      <x:c r="I186" s="6" t="str"/>
      <x:c r="J186" s="6" t="str">
        <x:v>Unknown</x:v>
      </x:c>
      <x:c r="K186" s="6" t="str">
        <x:v>Unknown</x:v>
      </x:c>
      <x:c r="L186" s="12" t="str">
        <x:v>Unsupported Observation</x:v>
      </x:c>
      <x:c r="M186" s="12" t="str">
        <x:v>Nocturnix_Master_Services_Catalog_v1.xlsx | 01 - Master Services | row 225</x:v>
      </x:c>
      <x:c r="N186" s="6" t="str">
        <x:v>Unresolved</x:v>
      </x:c>
      <x:c r="O186" s="6" t="str"/>
      <x:c r="P186" s="6" t="str"/>
      <x:c r="Q186" s="6" t="str">
        <x:v>Pending</x:v>
      </x:c>
      <x:c r="R186" s="12" t="str"/>
    </x:row>
    <x:row r="187">
      <x:c r="A187" s="6" t="str">
        <x:v>MFRR-000186</x:v>
      </x:c>
      <x:c r="B187" s="6" t="str">
        <x:v>SVC000186</x:v>
      </x:c>
      <x:c r="C187" s="6" t="str">
        <x:v>iPhone 15 Pro Max Battery Replacement</x:v>
      </x:c>
      <x:c r="D187" s="6" t="str">
        <x:v>MFR-LEGACY-001</x:v>
      </x:c>
      <x:c r="E187" s="6"/>
      <x:c r="F187" s="6"/>
      <x:c r="G187" s="6" t="str">
        <x:v>Unknown</x:v>
      </x:c>
      <x:c r="H187" s="6" t="str"/>
      <x:c r="I187" s="6" t="str"/>
      <x:c r="J187" s="6" t="str">
        <x:v>Unknown</x:v>
      </x:c>
      <x:c r="K187" s="6" t="str">
        <x:v>Unknown</x:v>
      </x:c>
      <x:c r="L187" s="12" t="str">
        <x:v>Unsupported Observation</x:v>
      </x:c>
      <x:c r="M187" s="12" t="str">
        <x:v>Nocturnix_Master_Services_Catalog_v1.xlsx | 01 - Master Services | row 226</x:v>
      </x:c>
      <x:c r="N187" s="6" t="str">
        <x:v>Unresolved</x:v>
      </x:c>
      <x:c r="O187" s="6" t="str"/>
      <x:c r="P187" s="6" t="str"/>
      <x:c r="Q187" s="6" t="str">
        <x:v>Pending</x:v>
      </x:c>
      <x:c r="R187" s="12" t="str"/>
    </x:row>
    <x:row r="188">
      <x:c r="A188" s="6" t="str">
        <x:v>MFRR-000187</x:v>
      </x:c>
      <x:c r="B188" s="6" t="str">
        <x:v>SVC000187</x:v>
      </x:c>
      <x:c r="C188" s="6" t="str">
        <x:v>iPhone 15 Pro Phone Battery Replacement</x:v>
      </x:c>
      <x:c r="D188" s="6" t="str">
        <x:v>MFR-LEGACY-001</x:v>
      </x:c>
      <x:c r="E188" s="6"/>
      <x:c r="F188" s="6"/>
      <x:c r="G188" s="6" t="str">
        <x:v>Unknown</x:v>
      </x:c>
      <x:c r="H188" s="6" t="str"/>
      <x:c r="I188" s="6" t="str"/>
      <x:c r="J188" s="6" t="str">
        <x:v>Unknown</x:v>
      </x:c>
      <x:c r="K188" s="6" t="str">
        <x:v>Unknown</x:v>
      </x:c>
      <x:c r="L188" s="12" t="str">
        <x:v>Unsupported Observation</x:v>
      </x:c>
      <x:c r="M188" s="12" t="str">
        <x:v>Nocturnix_Master_Services_Catalog_v1.xlsx | 01 - Master Services | row 227</x:v>
      </x:c>
      <x:c r="N188" s="6" t="str">
        <x:v>Unresolved</x:v>
      </x:c>
      <x:c r="O188" s="6" t="str"/>
      <x:c r="P188" s="6" t="str"/>
      <x:c r="Q188" s="6" t="str">
        <x:v>Pending</x:v>
      </x:c>
      <x:c r="R188" s="12" t="str"/>
    </x:row>
    <x:row r="189">
      <x:c r="A189" s="6" t="str">
        <x:v>MFRR-000188</x:v>
      </x:c>
      <x:c r="B189" s="6" t="str">
        <x:v>SVC000188</x:v>
      </x:c>
      <x:c r="C189" s="6" t="str">
        <x:v>iPhone 15 Plus Battery Replacement</x:v>
      </x:c>
      <x:c r="D189" s="6" t="str">
        <x:v>MFR-LEGACY-001</x:v>
      </x:c>
      <x:c r="E189" s="6"/>
      <x:c r="F189" s="6"/>
      <x:c r="G189" s="6" t="str">
        <x:v>Unknown</x:v>
      </x:c>
      <x:c r="H189" s="6" t="str"/>
      <x:c r="I189" s="6" t="str"/>
      <x:c r="J189" s="6" t="str">
        <x:v>Unknown</x:v>
      </x:c>
      <x:c r="K189" s="6" t="str">
        <x:v>Unknown</x:v>
      </x:c>
      <x:c r="L189" s="12" t="str">
        <x:v>Unsupported Observation</x:v>
      </x:c>
      <x:c r="M189" s="12" t="str">
        <x:v>Nocturnix_Master_Services_Catalog_v1.xlsx | 01 - Master Services | row 228</x:v>
      </x:c>
      <x:c r="N189" s="6" t="str">
        <x:v>Unresolved</x:v>
      </x:c>
      <x:c r="O189" s="6" t="str"/>
      <x:c r="P189" s="6" t="str"/>
      <x:c r="Q189" s="6" t="str">
        <x:v>Pending</x:v>
      </x:c>
      <x:c r="R189" s="12" t="str"/>
    </x:row>
    <x:row r="190">
      <x:c r="A190" s="6" t="str">
        <x:v>MFRR-000189</x:v>
      </x:c>
      <x:c r="B190" s="6" t="str">
        <x:v>SVC000189</x:v>
      </x:c>
      <x:c r="C190" s="6" t="str">
        <x:v>iPhone 16 Pro Battery Replacement</x:v>
      </x:c>
      <x:c r="D190" s="6" t="str">
        <x:v>MFR-LEGACY-001</x:v>
      </x:c>
      <x:c r="E190" s="6"/>
      <x:c r="F190" s="6"/>
      <x:c r="G190" s="6" t="str">
        <x:v>Unknown</x:v>
      </x:c>
      <x:c r="H190" s="6" t="str"/>
      <x:c r="I190" s="6" t="str"/>
      <x:c r="J190" s="6" t="str">
        <x:v>Unknown</x:v>
      </x:c>
      <x:c r="K190" s="6" t="str">
        <x:v>Unknown</x:v>
      </x:c>
      <x:c r="L190" s="12" t="str">
        <x:v>Unsupported Observation</x:v>
      </x:c>
      <x:c r="M190" s="12" t="str">
        <x:v>Nocturnix_Master_Services_Catalog_v1.xlsx | 01 - Master Services | row 229</x:v>
      </x:c>
      <x:c r="N190" s="6" t="str">
        <x:v>Unresolved</x:v>
      </x:c>
      <x:c r="O190" s="6" t="str"/>
      <x:c r="P190" s="6" t="str"/>
      <x:c r="Q190" s="6" t="str">
        <x:v>Pending</x:v>
      </x:c>
      <x:c r="R190" s="12" t="str"/>
    </x:row>
    <x:row r="191">
      <x:c r="A191" s="6" t="str">
        <x:v>MFRR-000190</x:v>
      </x:c>
      <x:c r="B191" s="6" t="str">
        <x:v>SVC000190</x:v>
      </x:c>
      <x:c r="C191" s="6" t="str">
        <x:v>iPhone 15 Battery Replacement</x:v>
      </x:c>
      <x:c r="D191" s="6" t="str">
        <x:v>MFR-LEGACY-001</x:v>
      </x:c>
      <x:c r="E191" s="6"/>
      <x:c r="F191" s="6"/>
      <x:c r="G191" s="6" t="str">
        <x:v>Unknown</x:v>
      </x:c>
      <x:c r="H191" s="6" t="str"/>
      <x:c r="I191" s="6" t="str"/>
      <x:c r="J191" s="6" t="str">
        <x:v>Unknown</x:v>
      </x:c>
      <x:c r="K191" s="6" t="str">
        <x:v>Unknown</x:v>
      </x:c>
      <x:c r="L191" s="12" t="str">
        <x:v>Unsupported Observation</x:v>
      </x:c>
      <x:c r="M191" s="12" t="str">
        <x:v>Nocturnix_Master_Services_Catalog_v1.xlsx | 01 - Master Services | row 230</x:v>
      </x:c>
      <x:c r="N191" s="6" t="str">
        <x:v>Unresolved</x:v>
      </x:c>
      <x:c r="O191" s="6" t="str"/>
      <x:c r="P191" s="6" t="str"/>
      <x:c r="Q191" s="6" t="str">
        <x:v>Pending</x:v>
      </x:c>
      <x:c r="R191" s="12" t="str"/>
    </x:row>
    <x:row r="192">
      <x:c r="A192" s="6" t="str">
        <x:v>MFRR-000191</x:v>
      </x:c>
      <x:c r="B192" s="6" t="str">
        <x:v>SVC000191</x:v>
      </x:c>
      <x:c r="C192" s="6" t="str">
        <x:v>iPhone 14 Pro Battery Replacement</x:v>
      </x:c>
      <x:c r="D192" s="6" t="str">
        <x:v>MFR-LEGACY-001</x:v>
      </x:c>
      <x:c r="E192" s="6"/>
      <x:c r="F192" s="6"/>
      <x:c r="G192" s="6" t="str">
        <x:v>Unknown</x:v>
      </x:c>
      <x:c r="H192" s="6" t="str"/>
      <x:c r="I192" s="6" t="str"/>
      <x:c r="J192" s="6" t="str">
        <x:v>Unknown</x:v>
      </x:c>
      <x:c r="K192" s="6" t="str">
        <x:v>Unknown</x:v>
      </x:c>
      <x:c r="L192" s="12" t="str">
        <x:v>Unsupported Observation</x:v>
      </x:c>
      <x:c r="M192" s="12" t="str">
        <x:v>Nocturnix_Master_Services_Catalog_v1.xlsx | 01 - Master Services | row 231</x:v>
      </x:c>
      <x:c r="N192" s="6" t="str">
        <x:v>Unresolved</x:v>
      </x:c>
      <x:c r="O192" s="6" t="str"/>
      <x:c r="P192" s="6" t="str"/>
      <x:c r="Q192" s="6" t="str">
        <x:v>Pending</x:v>
      </x:c>
      <x:c r="R192" s="12" t="str"/>
    </x:row>
    <x:row r="193">
      <x:c r="A193" s="6" t="str">
        <x:v>MFRR-000192</x:v>
      </x:c>
      <x:c r="B193" s="6" t="str">
        <x:v>SVC000192</x:v>
      </x:c>
      <x:c r="C193" s="6" t="str">
        <x:v>iPhone 17 Pro Battery Replacement</x:v>
      </x:c>
      <x:c r="D193" s="6" t="str">
        <x:v>MFR-LEGACY-001</x:v>
      </x:c>
      <x:c r="E193" s="6"/>
      <x:c r="F193" s="6"/>
      <x:c r="G193" s="6" t="str">
        <x:v>Unknown</x:v>
      </x:c>
      <x:c r="H193" s="6" t="str"/>
      <x:c r="I193" s="6" t="str"/>
      <x:c r="J193" s="6" t="str">
        <x:v>Unknown</x:v>
      </x:c>
      <x:c r="K193" s="6" t="str">
        <x:v>Unknown</x:v>
      </x:c>
      <x:c r="L193" s="12" t="str">
        <x:v>Unsupported Observation</x:v>
      </x:c>
      <x:c r="M193" s="12" t="str">
        <x:v>Nocturnix_Master_Services_Catalog_v1.xlsx | 01 - Master Services | row 232</x:v>
      </x:c>
      <x:c r="N193" s="6" t="str">
        <x:v>Unresolved</x:v>
      </x:c>
      <x:c r="O193" s="6" t="str"/>
      <x:c r="P193" s="6" t="str"/>
      <x:c r="Q193" s="6" t="str">
        <x:v>Pending</x:v>
      </x:c>
      <x:c r="R193" s="12" t="str"/>
    </x:row>
    <x:row r="194">
      <x:c r="A194" s="6" t="str">
        <x:v>MFRR-000193</x:v>
      </x:c>
      <x:c r="B194" s="6" t="str">
        <x:v>SVC000193</x:v>
      </x:c>
      <x:c r="C194" s="6" t="str">
        <x:v>iPhone 17 Pro Max Phone* Battery Replacement</x:v>
      </x:c>
      <x:c r="D194" s="6" t="str">
        <x:v>MFR-LEGACY-001</x:v>
      </x:c>
      <x:c r="E194" s="6"/>
      <x:c r="F194" s="6"/>
      <x:c r="G194" s="6" t="str">
        <x:v>Unknown</x:v>
      </x:c>
      <x:c r="H194" s="6" t="str"/>
      <x:c r="I194" s="6" t="str"/>
      <x:c r="J194" s="6" t="str">
        <x:v>Unknown</x:v>
      </x:c>
      <x:c r="K194" s="6" t="str">
        <x:v>Unknown</x:v>
      </x:c>
      <x:c r="L194" s="12" t="str">
        <x:v>Unsupported Observation</x:v>
      </x:c>
      <x:c r="M194" s="12" t="str">
        <x:v>Nocturnix_Master_Services_Catalog_v1.xlsx | 01 - Master Services | row 233</x:v>
      </x:c>
      <x:c r="N194" s="6" t="str">
        <x:v>Unresolved</x:v>
      </x:c>
      <x:c r="O194" s="6" t="str"/>
      <x:c r="P194" s="6" t="str"/>
      <x:c r="Q194" s="6" t="str">
        <x:v>Pending</x:v>
      </x:c>
      <x:c r="R194" s="12" t="str"/>
    </x:row>
    <x:row r="195">
      <x:c r="A195" s="6" t="str">
        <x:v>MFRR-000194</x:v>
      </x:c>
      <x:c r="B195" s="6" t="str">
        <x:v>SVC000194</x:v>
      </x:c>
      <x:c r="C195" s="6" t="str">
        <x:v>iPhone Air Battery Replacement</x:v>
      </x:c>
      <x:c r="D195" s="6" t="str">
        <x:v>MFR-LEGACY-001</x:v>
      </x:c>
      <x:c r="E195" s="6"/>
      <x:c r="F195" s="6"/>
      <x:c r="G195" s="6" t="str">
        <x:v>Unknown</x:v>
      </x:c>
      <x:c r="H195" s="6" t="str"/>
      <x:c r="I195" s="6" t="str"/>
      <x:c r="J195" s="6" t="str">
        <x:v>Unknown</x:v>
      </x:c>
      <x:c r="K195" s="6" t="str">
        <x:v>Unknown</x:v>
      </x:c>
      <x:c r="L195" s="12" t="str">
        <x:v>Unsupported Observation</x:v>
      </x:c>
      <x:c r="M195" s="12" t="str">
        <x:v>Nocturnix_Master_Services_Catalog_v1.xlsx | 01 - Master Services | row 234</x:v>
      </x:c>
      <x:c r="N195" s="6" t="str">
        <x:v>Unresolved</x:v>
      </x:c>
      <x:c r="O195" s="6" t="str"/>
      <x:c r="P195" s="6" t="str"/>
      <x:c r="Q195" s="6" t="str">
        <x:v>Pending</x:v>
      </x:c>
      <x:c r="R195" s="12" t="str"/>
    </x:row>
    <x:row r="196">
      <x:c r="A196" s="6" t="str">
        <x:v>MFRR-000195</x:v>
      </x:c>
      <x:c r="B196" s="6" t="str">
        <x:v>SVC000195</x:v>
      </x:c>
      <x:c r="C196" s="6" t="str">
        <x:v>iPhone XR Battery Replacement</x:v>
      </x:c>
      <x:c r="D196" s="6" t="str">
        <x:v>MFR-LEGACY-001</x:v>
      </x:c>
      <x:c r="E196" s="6"/>
      <x:c r="F196" s="6"/>
      <x:c r="G196" s="6" t="str">
        <x:v>Unknown</x:v>
      </x:c>
      <x:c r="H196" s="6" t="str"/>
      <x:c r="I196" s="6" t="str"/>
      <x:c r="J196" s="6" t="str">
        <x:v>Unknown</x:v>
      </x:c>
      <x:c r="K196" s="6" t="str">
        <x:v>Unknown</x:v>
      </x:c>
      <x:c r="L196" s="12" t="str">
        <x:v>Unsupported Observation</x:v>
      </x:c>
      <x:c r="M196" s="12" t="str">
        <x:v>Nocturnix_Master_Services_Catalog_v1.xlsx | 01 - Master Services | row 235</x:v>
      </x:c>
      <x:c r="N196" s="6" t="str">
        <x:v>Unresolved</x:v>
      </x:c>
      <x:c r="O196" s="6" t="str"/>
      <x:c r="P196" s="6" t="str"/>
      <x:c r="Q196" s="6" t="str">
        <x:v>Pending</x:v>
      </x:c>
      <x:c r="R196" s="12" t="str"/>
    </x:row>
    <x:row r="197">
      <x:c r="A197" s="6" t="str">
        <x:v>MFRR-000196</x:v>
      </x:c>
      <x:c r="B197" s="6" t="str">
        <x:v>SVC000196</x:v>
      </x:c>
      <x:c r="C197" s="6" t="str">
        <x:v>iPhone XS Max Battery Replacement</x:v>
      </x:c>
      <x:c r="D197" s="6" t="str">
        <x:v>MFR-LEGACY-001</x:v>
      </x:c>
      <x:c r="E197" s="6"/>
      <x:c r="F197" s="6"/>
      <x:c r="G197" s="6" t="str">
        <x:v>Unknown</x:v>
      </x:c>
      <x:c r="H197" s="6" t="str"/>
      <x:c r="I197" s="6" t="str"/>
      <x:c r="J197" s="6" t="str">
        <x:v>Unknown</x:v>
      </x:c>
      <x:c r="K197" s="6" t="str">
        <x:v>Unknown</x:v>
      </x:c>
      <x:c r="L197" s="12" t="str">
        <x:v>Unsupported Observation</x:v>
      </x:c>
      <x:c r="M197" s="12" t="str">
        <x:v>Nocturnix_Master_Services_Catalog_v1.xlsx | 01 - Master Services | row 236</x:v>
      </x:c>
      <x:c r="N197" s="6" t="str">
        <x:v>Unresolved</x:v>
      </x:c>
      <x:c r="O197" s="6" t="str"/>
      <x:c r="P197" s="6" t="str"/>
      <x:c r="Q197" s="6" t="str">
        <x:v>Pending</x:v>
      </x:c>
      <x:c r="R197" s="12" t="str"/>
    </x:row>
    <x:row r="198">
      <x:c r="A198" s="6" t="str">
        <x:v>MFRR-000197</x:v>
      </x:c>
      <x:c r="B198" s="6" t="str">
        <x:v>SVC000197</x:v>
      </x:c>
      <x:c r="C198" s="6" t="str">
        <x:v>iPhone X Battery Replacement</x:v>
      </x:c>
      <x:c r="D198" s="6" t="str">
        <x:v>MFR-LEGACY-001</x:v>
      </x:c>
      <x:c r="E198" s="6"/>
      <x:c r="F198" s="6"/>
      <x:c r="G198" s="6" t="str">
        <x:v>Unknown</x:v>
      </x:c>
      <x:c r="H198" s="6" t="str"/>
      <x:c r="I198" s="6" t="str"/>
      <x:c r="J198" s="6" t="str">
        <x:v>Unknown</x:v>
      </x:c>
      <x:c r="K198" s="6" t="str">
        <x:v>Unknown</x:v>
      </x:c>
      <x:c r="L198" s="12" t="str">
        <x:v>Unsupported Observation</x:v>
      </x:c>
      <x:c r="M198" s="12" t="str">
        <x:v>Nocturnix_Master_Services_Catalog_v1.xlsx | 01 - Master Services | row 237</x:v>
      </x:c>
      <x:c r="N198" s="6" t="str">
        <x:v>Unresolved</x:v>
      </x:c>
      <x:c r="O198" s="6" t="str"/>
      <x:c r="P198" s="6" t="str"/>
      <x:c r="Q198" s="6" t="str">
        <x:v>Pending</x:v>
      </x:c>
      <x:c r="R198" s="12" t="str"/>
    </x:row>
    <x:row r="199">
      <x:c r="A199" s="6" t="str">
        <x:v>MFRR-000198</x:v>
      </x:c>
      <x:c r="B199" s="6" t="str">
        <x:v>SVC000198</x:v>
      </x:c>
      <x:c r="C199" s="6" t="str">
        <x:v>iPhone SE(1ST GEN) Battery Replacement</x:v>
      </x:c>
      <x:c r="D199" s="6" t="str">
        <x:v>MFR-LEGACY-001</x:v>
      </x:c>
      <x:c r="E199" s="6"/>
      <x:c r="F199" s="6"/>
      <x:c r="G199" s="6" t="str">
        <x:v>Unknown</x:v>
      </x:c>
      <x:c r="H199" s="6" t="str"/>
      <x:c r="I199" s="6" t="str"/>
      <x:c r="J199" s="6" t="str">
        <x:v>Unknown</x:v>
      </x:c>
      <x:c r="K199" s="6" t="str">
        <x:v>Unknown</x:v>
      </x:c>
      <x:c r="L199" s="12" t="str">
        <x:v>Unsupported Observation</x:v>
      </x:c>
      <x:c r="M199" s="12" t="str">
        <x:v>Nocturnix_Master_Services_Catalog_v1.xlsx | 01 - Master Services | row 238</x:v>
      </x:c>
      <x:c r="N199" s="6" t="str">
        <x:v>Unresolved</x:v>
      </x:c>
      <x:c r="O199" s="6" t="str"/>
      <x:c r="P199" s="6" t="str"/>
      <x:c r="Q199" s="6" t="str">
        <x:v>Pending</x:v>
      </x:c>
      <x:c r="R199" s="12" t="str"/>
    </x:row>
    <x:row r="200">
      <x:c r="A200" s="6" t="str">
        <x:v>MFRR-000199</x:v>
      </x:c>
      <x:c r="B200" s="6" t="str">
        <x:v>SVC000199</x:v>
      </x:c>
      <x:c r="C200" s="6" t="str">
        <x:v>iPhone XS Battery Replacement</x:v>
      </x:c>
      <x:c r="D200" s="6" t="str">
        <x:v>MFR-LEGACY-001</x:v>
      </x:c>
      <x:c r="E200" s="6"/>
      <x:c r="F200" s="6"/>
      <x:c r="G200" s="6" t="str">
        <x:v>Unknown</x:v>
      </x:c>
      <x:c r="H200" s="6" t="str"/>
      <x:c r="I200" s="6" t="str"/>
      <x:c r="J200" s="6" t="str">
        <x:v>Unknown</x:v>
      </x:c>
      <x:c r="K200" s="6" t="str">
        <x:v>Unknown</x:v>
      </x:c>
      <x:c r="L200" s="12" t="str">
        <x:v>Unsupported Observation</x:v>
      </x:c>
      <x:c r="M200" s="12" t="str">
        <x:v>Nocturnix_Master_Services_Catalog_v1.xlsx | 01 - Master Services | row 239</x:v>
      </x:c>
      <x:c r="N200" s="6" t="str">
        <x:v>Unresolved</x:v>
      </x:c>
      <x:c r="O200" s="6" t="str"/>
      <x:c r="P200" s="6" t="str"/>
      <x:c r="Q200" s="6" t="str">
        <x:v>Pending</x:v>
      </x:c>
      <x:c r="R200" s="12" t="str"/>
    </x:row>
    <x:row r="201">
      <x:c r="A201" s="6" t="str">
        <x:v>MFRR-000200</x:v>
      </x:c>
      <x:c r="B201" s="6" t="str">
        <x:v>SVC000200</x:v>
      </x:c>
      <x:c r="C201" s="6" t="str">
        <x:v>iPhone SE (3RD GEN) Battery Replacement</x:v>
      </x:c>
      <x:c r="D201" s="6" t="str">
        <x:v>MFR-LEGACY-001</x:v>
      </x:c>
      <x:c r="E201" s="6"/>
      <x:c r="F201" s="6"/>
      <x:c r="G201" s="6" t="str">
        <x:v>Unknown</x:v>
      </x:c>
      <x:c r="H201" s="6" t="str"/>
      <x:c r="I201" s="6" t="str"/>
      <x:c r="J201" s="6" t="str">
        <x:v>Unknown</x:v>
      </x:c>
      <x:c r="K201" s="6" t="str">
        <x:v>Unknown</x:v>
      </x:c>
      <x:c r="L201" s="12" t="str">
        <x:v>Unsupported Observation</x:v>
      </x:c>
      <x:c r="M201" s="12" t="str">
        <x:v>Nocturnix_Master_Services_Catalog_v1.xlsx | 01 - Master Services | row 240</x:v>
      </x:c>
      <x:c r="N201" s="6" t="str">
        <x:v>Unresolved</x:v>
      </x:c>
      <x:c r="O201" s="6" t="str"/>
      <x:c r="P201" s="6" t="str"/>
      <x:c r="Q201" s="6" t="str">
        <x:v>Pending</x:v>
      </x:c>
      <x:c r="R201" s="12" t="str"/>
    </x:row>
    <x:row r="202">
      <x:c r="A202" s="6" t="str">
        <x:v>MFRR-000201</x:v>
      </x:c>
      <x:c r="B202" s="6" t="str">
        <x:v>SVC000201</x:v>
      </x:c>
      <x:c r="C202" s="6" t="str">
        <x:v>iPhone SE (2ND GEN) Battery Replacement</x:v>
      </x:c>
      <x:c r="D202" s="6" t="str">
        <x:v>MFR-LEGACY-001</x:v>
      </x:c>
      <x:c r="E202" s="6"/>
      <x:c r="F202" s="6"/>
      <x:c r="G202" s="6" t="str">
        <x:v>Unknown</x:v>
      </x:c>
      <x:c r="H202" s="6" t="str"/>
      <x:c r="I202" s="6" t="str"/>
      <x:c r="J202" s="6" t="str">
        <x:v>Unknown</x:v>
      </x:c>
      <x:c r="K202" s="6" t="str">
        <x:v>Unknown</x:v>
      </x:c>
      <x:c r="L202" s="12" t="str">
        <x:v>Unsupported Observation</x:v>
      </x:c>
      <x:c r="M202" s="12" t="str">
        <x:v>Nocturnix_Master_Services_Catalog_v1.xlsx | 01 - Master Services | row 241</x:v>
      </x:c>
      <x:c r="N202" s="6" t="str">
        <x:v>Unresolved</x:v>
      </x:c>
      <x:c r="O202" s="6" t="str"/>
      <x:c r="P202" s="6" t="str"/>
      <x:c r="Q202" s="6" t="str">
        <x:v>Pending</x:v>
      </x:c>
      <x:c r="R202" s="12" t="str"/>
    </x:row>
    <x:row r="203">
      <x:c r="A203" s="6" t="str">
        <x:v>MFRR-000202</x:v>
      </x:c>
      <x:c r="B203" s="6" t="str">
        <x:v>SVC000202</x:v>
      </x:c>
      <x:c r="C203" s="6" t="str">
        <x:v>iPhone 7 Battery Replacement</x:v>
      </x:c>
      <x:c r="D203" s="6" t="str">
        <x:v>MFR-LEGACY-001</x:v>
      </x:c>
      <x:c r="E203" s="6"/>
      <x:c r="F203" s="6"/>
      <x:c r="G203" s="6" t="str">
        <x:v>Unknown</x:v>
      </x:c>
      <x:c r="H203" s="6" t="str"/>
      <x:c r="I203" s="6" t="str"/>
      <x:c r="J203" s="6" t="str">
        <x:v>Unknown</x:v>
      </x:c>
      <x:c r="K203" s="6" t="str">
        <x:v>Unknown</x:v>
      </x:c>
      <x:c r="L203" s="12" t="str">
        <x:v>Unsupported Observation</x:v>
      </x:c>
      <x:c r="M203" s="12" t="str">
        <x:v>Nocturnix_Master_Services_Catalog_v1.xlsx | 01 - Master Services | row 242</x:v>
      </x:c>
      <x:c r="N203" s="6" t="str">
        <x:v>Unresolved</x:v>
      </x:c>
      <x:c r="O203" s="6" t="str"/>
      <x:c r="P203" s="6" t="str"/>
      <x:c r="Q203" s="6" t="str">
        <x:v>Pending</x:v>
      </x:c>
      <x:c r="R203" s="12" t="str"/>
    </x:row>
    <x:row r="204">
      <x:c r="A204" s="6" t="str">
        <x:v>MFRR-000203</x:v>
      </x:c>
      <x:c r="B204" s="6" t="str">
        <x:v>SVC000203</x:v>
      </x:c>
      <x:c r="C204" s="6" t="str">
        <x:v>iPhone 4S Battery Replacement</x:v>
      </x:c>
      <x:c r="D204" s="6" t="str">
        <x:v>MFR-LEGACY-001</x:v>
      </x:c>
      <x:c r="E204" s="6"/>
      <x:c r="F204" s="6"/>
      <x:c r="G204" s="6" t="str">
        <x:v>Unknown</x:v>
      </x:c>
      <x:c r="H204" s="6" t="str"/>
      <x:c r="I204" s="6" t="str"/>
      <x:c r="J204" s="6" t="str">
        <x:v>Unknown</x:v>
      </x:c>
      <x:c r="K204" s="6" t="str">
        <x:v>Unknown</x:v>
      </x:c>
      <x:c r="L204" s="12" t="str">
        <x:v>Unsupported Observation</x:v>
      </x:c>
      <x:c r="M204" s="12" t="str">
        <x:v>Nocturnix_Master_Services_Catalog_v1.xlsx | 01 - Master Services | row 243</x:v>
      </x:c>
      <x:c r="N204" s="6" t="str">
        <x:v>Unresolved</x:v>
      </x:c>
      <x:c r="O204" s="6" t="str"/>
      <x:c r="P204" s="6" t="str"/>
      <x:c r="Q204" s="6" t="str">
        <x:v>Pending</x:v>
      </x:c>
      <x:c r="R204" s="12" t="str"/>
    </x:row>
    <x:row r="205">
      <x:c r="A205" s="6" t="str">
        <x:v>MFRR-000204</x:v>
      </x:c>
      <x:c r="B205" s="6" t="str">
        <x:v>SVC000204</x:v>
      </x:c>
      <x:c r="C205" s="6" t="str">
        <x:v>iPhone 4S Battery Replacement</x:v>
      </x:c>
      <x:c r="D205" s="6" t="str">
        <x:v>MFR-LEGACY-001</x:v>
      </x:c>
      <x:c r="E205" s="6"/>
      <x:c r="F205" s="6"/>
      <x:c r="G205" s="6" t="str">
        <x:v>Unknown</x:v>
      </x:c>
      <x:c r="H205" s="6" t="str"/>
      <x:c r="I205" s="6" t="str"/>
      <x:c r="J205" s="6" t="str">
        <x:v>Unknown</x:v>
      </x:c>
      <x:c r="K205" s="6" t="str">
        <x:v>Unknown</x:v>
      </x:c>
      <x:c r="L205" s="12" t="str">
        <x:v>Unsupported Observation</x:v>
      </x:c>
      <x:c r="M205" s="12" t="str">
        <x:v>Nocturnix_Master_Services_Catalog_v1.xlsx | 01 - Master Services | row 244</x:v>
      </x:c>
      <x:c r="N205" s="6" t="str">
        <x:v>Unresolved</x:v>
      </x:c>
      <x:c r="O205" s="6" t="str"/>
      <x:c r="P205" s="6" t="str"/>
      <x:c r="Q205" s="6" t="str">
        <x:v>Pending</x:v>
      </x:c>
      <x:c r="R205" s="12" t="str"/>
    </x:row>
    <x:row r="206">
      <x:c r="A206" s="6" t="str">
        <x:v>MFRR-000205</x:v>
      </x:c>
      <x:c r="B206" s="6" t="str">
        <x:v>SVC000205</x:v>
      </x:c>
      <x:c r="C206" s="6" t="str">
        <x:v>Galaxy S 25 FE Battery Replacement</x:v>
      </x:c>
      <x:c r="D206" s="6" t="str">
        <x:v>MFR-LEGACY-001</x:v>
      </x:c>
      <x:c r="E206" s="6"/>
      <x:c r="F206" s="6"/>
      <x:c r="G206" s="6" t="str">
        <x:v>Unknown</x:v>
      </x:c>
      <x:c r="H206" s="6" t="str"/>
      <x:c r="I206" s="6" t="str"/>
      <x:c r="J206" s="6" t="str">
        <x:v>Unknown</x:v>
      </x:c>
      <x:c r="K206" s="6" t="str">
        <x:v>Unknown</x:v>
      </x:c>
      <x:c r="L206" s="12" t="str">
        <x:v>Unsupported Observation</x:v>
      </x:c>
      <x:c r="M206" s="12" t="str">
        <x:v>Nocturnix_Master_Services_Catalog_v1.xlsx | 01 - Master Services | row 245</x:v>
      </x:c>
      <x:c r="N206" s="6" t="str">
        <x:v>Unresolved</x:v>
      </x:c>
      <x:c r="O206" s="6" t="str"/>
      <x:c r="P206" s="6" t="str"/>
      <x:c r="Q206" s="6" t="str">
        <x:v>Pending</x:v>
      </x:c>
      <x:c r="R206" s="12" t="str"/>
    </x:row>
    <x:row r="207">
      <x:c r="A207" s="6" t="str">
        <x:v>MFRR-000206</x:v>
      </x:c>
      <x:c r="B207" s="6" t="str">
        <x:v>SVC000206</x:v>
      </x:c>
      <x:c r="C207" s="6" t="str">
        <x:v>iPhone 6 Battery Replacement</x:v>
      </x:c>
      <x:c r="D207" s="6" t="str">
        <x:v>MFR-LEGACY-001</x:v>
      </x:c>
      <x:c r="E207" s="6"/>
      <x:c r="F207" s="6"/>
      <x:c r="G207" s="6" t="str">
        <x:v>Unknown</x:v>
      </x:c>
      <x:c r="H207" s="6" t="str"/>
      <x:c r="I207" s="6" t="str"/>
      <x:c r="J207" s="6" t="str">
        <x:v>Unknown</x:v>
      </x:c>
      <x:c r="K207" s="6" t="str">
        <x:v>Unknown</x:v>
      </x:c>
      <x:c r="L207" s="12" t="str">
        <x:v>Unsupported Observation</x:v>
      </x:c>
      <x:c r="M207" s="12" t="str">
        <x:v>Nocturnix_Master_Services_Catalog_v1.xlsx | 01 - Master Services | row 246</x:v>
      </x:c>
      <x:c r="N207" s="6" t="str">
        <x:v>Unresolved</x:v>
      </x:c>
      <x:c r="O207" s="6" t="str"/>
      <x:c r="P207" s="6" t="str"/>
      <x:c r="Q207" s="6" t="str">
        <x:v>Pending</x:v>
      </x:c>
      <x:c r="R207" s="12" t="str"/>
    </x:row>
    <x:row r="208">
      <x:c r="A208" s="6" t="str">
        <x:v>MFRR-000207</x:v>
      </x:c>
      <x:c r="B208" s="6" t="str">
        <x:v>SVC000207</x:v>
      </x:c>
      <x:c r="C208" s="6" t="str">
        <x:v>iPhone 6 Battery Replacement</x:v>
      </x:c>
      <x:c r="D208" s="6" t="str">
        <x:v>MFR-LEGACY-001</x:v>
      </x:c>
      <x:c r="E208" s="6"/>
      <x:c r="F208" s="6"/>
      <x:c r="G208" s="6" t="str">
        <x:v>Unknown</x:v>
      </x:c>
      <x:c r="H208" s="6" t="str"/>
      <x:c r="I208" s="6" t="str"/>
      <x:c r="J208" s="6" t="str">
        <x:v>Unknown</x:v>
      </x:c>
      <x:c r="K208" s="6" t="str">
        <x:v>Unknown</x:v>
      </x:c>
      <x:c r="L208" s="12" t="str">
        <x:v>Unsupported Observation</x:v>
      </x:c>
      <x:c r="M208" s="12" t="str">
        <x:v>Nocturnix_Master_Services_Catalog_v1.xlsx | 01 - Master Services | row 247</x:v>
      </x:c>
      <x:c r="N208" s="6" t="str">
        <x:v>Unresolved</x:v>
      </x:c>
      <x:c r="O208" s="6" t="str"/>
      <x:c r="P208" s="6" t="str"/>
      <x:c r="Q208" s="6" t="str">
        <x:v>Pending</x:v>
      </x:c>
      <x:c r="R208" s="12" t="str"/>
    </x:row>
    <x:row r="209">
      <x:c r="A209" s="6" t="str">
        <x:v>MFRR-000208</x:v>
      </x:c>
      <x:c r="B209" s="6" t="str">
        <x:v>SVC000208</x:v>
      </x:c>
      <x:c r="C209" s="6" t="str">
        <x:v>Galaxy Note 8 Battery Replacement</x:v>
      </x:c>
      <x:c r="D209" s="6" t="str">
        <x:v>MFR-LEGACY-001</x:v>
      </x:c>
      <x:c r="E209" s="6"/>
      <x:c r="F209" s="6"/>
      <x:c r="G209" s="6" t="str">
        <x:v>Unknown</x:v>
      </x:c>
      <x:c r="H209" s="6" t="str"/>
      <x:c r="I209" s="6" t="str"/>
      <x:c r="J209" s="6" t="str">
        <x:v>Unknown</x:v>
      </x:c>
      <x:c r="K209" s="6" t="str">
        <x:v>Unknown</x:v>
      </x:c>
      <x:c r="L209" s="12" t="str">
        <x:v>Unsupported Observation</x:v>
      </x:c>
      <x:c r="M209" s="12" t="str">
        <x:v>Nocturnix_Master_Services_Catalog_v1.xlsx | 01 - Master Services | row 248</x:v>
      </x:c>
      <x:c r="N209" s="6" t="str">
        <x:v>Unresolved</x:v>
      </x:c>
      <x:c r="O209" s="6" t="str"/>
      <x:c r="P209" s="6" t="str"/>
      <x:c r="Q209" s="6" t="str">
        <x:v>Pending</x:v>
      </x:c>
      <x:c r="R209" s="12" t="str"/>
    </x:row>
    <x:row r="210">
      <x:c r="A210" s="6" t="str">
        <x:v>MFRR-000209</x:v>
      </x:c>
      <x:c r="B210" s="6" t="str">
        <x:v>SVC000209</x:v>
      </x:c>
      <x:c r="C210" s="6" t="str">
        <x:v>Galaxy S 22 Battery Replacement</x:v>
      </x:c>
      <x:c r="D210" s="6" t="str">
        <x:v>MFR-LEGACY-001</x:v>
      </x:c>
      <x:c r="E210" s="6"/>
      <x:c r="F210" s="6"/>
      <x:c r="G210" s="6" t="str">
        <x:v>Unknown</x:v>
      </x:c>
      <x:c r="H210" s="6" t="str"/>
      <x:c r="I210" s="6" t="str"/>
      <x:c r="J210" s="6" t="str">
        <x:v>Unknown</x:v>
      </x:c>
      <x:c r="K210" s="6" t="str">
        <x:v>Unknown</x:v>
      </x:c>
      <x:c r="L210" s="12" t="str">
        <x:v>Unsupported Observation</x:v>
      </x:c>
      <x:c r="M210" s="12" t="str">
        <x:v>Nocturnix_Master_Services_Catalog_v1.xlsx | 01 - Master Services | row 249</x:v>
      </x:c>
      <x:c r="N210" s="6" t="str">
        <x:v>Unresolved</x:v>
      </x:c>
      <x:c r="O210" s="6" t="str"/>
      <x:c r="P210" s="6" t="str"/>
      <x:c r="Q210" s="6" t="str">
        <x:v>Pending</x:v>
      </x:c>
      <x:c r="R210" s="12" t="str"/>
    </x:row>
    <x:row r="211">
      <x:c r="A211" s="6" t="str">
        <x:v>MFRR-000210</x:v>
      </x:c>
      <x:c r="B211" s="6" t="str">
        <x:v>SVC000210</x:v>
      </x:c>
      <x:c r="C211" s="6" t="str">
        <x:v>iPhone 3G Battery Replacement</x:v>
      </x:c>
      <x:c r="D211" s="6" t="str">
        <x:v>MFR-LEGACY-001</x:v>
      </x:c>
      <x:c r="E211" s="6"/>
      <x:c r="F211" s="6"/>
      <x:c r="G211" s="6" t="str">
        <x:v>Unknown</x:v>
      </x:c>
      <x:c r="H211" s="6" t="str"/>
      <x:c r="I211" s="6" t="str"/>
      <x:c r="J211" s="6" t="str">
        <x:v>Unknown</x:v>
      </x:c>
      <x:c r="K211" s="6" t="str">
        <x:v>Unknown</x:v>
      </x:c>
      <x:c r="L211" s="12" t="str">
        <x:v>Unsupported Observation</x:v>
      </x:c>
      <x:c r="M211" s="12" t="str">
        <x:v>Nocturnix_Master_Services_Catalog_v1.xlsx | 01 - Master Services | row 250</x:v>
      </x:c>
      <x:c r="N211" s="6" t="str">
        <x:v>Unresolved</x:v>
      </x:c>
      <x:c r="O211" s="6" t="str"/>
      <x:c r="P211" s="6" t="str"/>
      <x:c r="Q211" s="6" t="str">
        <x:v>Pending</x:v>
      </x:c>
      <x:c r="R211" s="12" t="str"/>
    </x:row>
    <x:row r="212">
      <x:c r="A212" s="6" t="str">
        <x:v>MFRR-000211</x:v>
      </x:c>
      <x:c r="B212" s="6" t="str">
        <x:v>SVC000211</x:v>
      </x:c>
      <x:c r="C212" s="6" t="str">
        <x:v>iPhone 11 Battery Replacement</x:v>
      </x:c>
      <x:c r="D212" s="6" t="str">
        <x:v>MFR-LEGACY-001</x:v>
      </x:c>
      <x:c r="E212" s="6"/>
      <x:c r="F212" s="6"/>
      <x:c r="G212" s="6" t="str">
        <x:v>Unknown</x:v>
      </x:c>
      <x:c r="H212" s="6" t="str"/>
      <x:c r="I212" s="6" t="str"/>
      <x:c r="J212" s="6" t="str">
        <x:v>Unknown</x:v>
      </x:c>
      <x:c r="K212" s="6" t="str">
        <x:v>Unknown</x:v>
      </x:c>
      <x:c r="L212" s="12" t="str">
        <x:v>Unsupported Observation</x:v>
      </x:c>
      <x:c r="M212" s="12" t="str">
        <x:v>Nocturnix_Master_Services_Catalog_v1.xlsx | 01 - Master Services | row 251</x:v>
      </x:c>
      <x:c r="N212" s="6" t="str">
        <x:v>Unresolved</x:v>
      </x:c>
      <x:c r="O212" s="6" t="str"/>
      <x:c r="P212" s="6" t="str"/>
      <x:c r="Q212" s="6" t="str">
        <x:v>Pending</x:v>
      </x:c>
      <x:c r="R212" s="12" t="str"/>
    </x:row>
    <x:row r="213">
      <x:c r="A213" s="6" t="str">
        <x:v>MFRR-000212</x:v>
      </x:c>
      <x:c r="B213" s="6" t="str">
        <x:v>SVC000212</x:v>
      </x:c>
      <x:c r="C213" s="6" t="str">
        <x:v>iPhone 11 Pro Battery Replacement</x:v>
      </x:c>
      <x:c r="D213" s="6" t="str">
        <x:v>MFR-LEGACY-001</x:v>
      </x:c>
      <x:c r="E213" s="6"/>
      <x:c r="F213" s="6"/>
      <x:c r="G213" s="6" t="str">
        <x:v>Unknown</x:v>
      </x:c>
      <x:c r="H213" s="6" t="str"/>
      <x:c r="I213" s="6" t="str"/>
      <x:c r="J213" s="6" t="str">
        <x:v>Unknown</x:v>
      </x:c>
      <x:c r="K213" s="6" t="str">
        <x:v>Unknown</x:v>
      </x:c>
      <x:c r="L213" s="12" t="str">
        <x:v>Unsupported Observation</x:v>
      </x:c>
      <x:c r="M213" s="12" t="str">
        <x:v>Nocturnix_Master_Services_Catalog_v1.xlsx | 01 - Master Services | row 252</x:v>
      </x:c>
      <x:c r="N213" s="6" t="str">
        <x:v>Unresolved</x:v>
      </x:c>
      <x:c r="O213" s="6" t="str"/>
      <x:c r="P213" s="6" t="str"/>
      <x:c r="Q213" s="6" t="str">
        <x:v>Pending</x:v>
      </x:c>
      <x:c r="R213" s="12" t="str"/>
    </x:row>
    <x:row r="214">
      <x:c r="A214" s="6" t="str">
        <x:v>MFRR-000213</x:v>
      </x:c>
      <x:c r="B214" s="6" t="str">
        <x:v>SVC000213</x:v>
      </x:c>
      <x:c r="C214" s="6" t="str">
        <x:v>iPhone 11 Pro Max Battery Replacement</x:v>
      </x:c>
      <x:c r="D214" s="6" t="str">
        <x:v>MFR-LEGACY-001</x:v>
      </x:c>
      <x:c r="E214" s="6"/>
      <x:c r="F214" s="6"/>
      <x:c r="G214" s="6" t="str">
        <x:v>Unknown</x:v>
      </x:c>
      <x:c r="H214" s="6" t="str"/>
      <x:c r="I214" s="6" t="str"/>
      <x:c r="J214" s="6" t="str">
        <x:v>Unknown</x:v>
      </x:c>
      <x:c r="K214" s="6" t="str">
        <x:v>Unknown</x:v>
      </x:c>
      <x:c r="L214" s="12" t="str">
        <x:v>Unsupported Observation</x:v>
      </x:c>
      <x:c r="M214" s="12" t="str">
        <x:v>Nocturnix_Master_Services_Catalog_v1.xlsx | 01 - Master Services | row 253</x:v>
      </x:c>
      <x:c r="N214" s="6" t="str">
        <x:v>Unresolved</x:v>
      </x:c>
      <x:c r="O214" s="6" t="str"/>
      <x:c r="P214" s="6" t="str"/>
      <x:c r="Q214" s="6" t="str">
        <x:v>Pending</x:v>
      </x:c>
      <x:c r="R214" s="12" t="str"/>
    </x:row>
    <x:row r="215">
      <x:c r="A215" s="6" t="str">
        <x:v>MFRR-000214</x:v>
      </x:c>
      <x:c r="B215" s="6" t="str">
        <x:v>SVC000214</x:v>
      </x:c>
      <x:c r="C215" s="6" t="str">
        <x:v>iPhone Charge Port Replacement</x:v>
      </x:c>
      <x:c r="D215" s="6" t="str">
        <x:v>MFR-LEGACY-001</x:v>
      </x:c>
      <x:c r="E215" s="6"/>
      <x:c r="F215" s="6"/>
      <x:c r="G215" s="6" t="str">
        <x:v>Unknown</x:v>
      </x:c>
      <x:c r="H215" s="6" t="str"/>
      <x:c r="I215" s="6" t="str"/>
      <x:c r="J215" s="6" t="str">
        <x:v>Unknown</x:v>
      </x:c>
      <x:c r="K215" s="6" t="str">
        <x:v>Unknown</x:v>
      </x:c>
      <x:c r="L215" s="12" t="str">
        <x:v>Unsupported Observation</x:v>
      </x:c>
      <x:c r="M215" s="12" t="str">
        <x:v>Nocturnix_Master_Services_Catalog_v1.xlsx | 01 - Master Services | row 254</x:v>
      </x:c>
      <x:c r="N215" s="6" t="str">
        <x:v>Unresolved</x:v>
      </x:c>
      <x:c r="O215" s="6" t="str"/>
      <x:c r="P215" s="6" t="str"/>
      <x:c r="Q215" s="6" t="str">
        <x:v>Pending</x:v>
      </x:c>
      <x:c r="R215" s="12" t="str"/>
    </x:row>
    <x:row r="216">
      <x:c r="A216" s="6" t="str">
        <x:v>MFRR-000215</x:v>
      </x:c>
      <x:c r="B216" s="6" t="str">
        <x:v>SVC000215</x:v>
      </x:c>
      <x:c r="C216" s="6" t="str">
        <x:v>iPhone 3G Charge Port Replacement</x:v>
      </x:c>
      <x:c r="D216" s="6" t="str">
        <x:v>MFR-LEGACY-001</x:v>
      </x:c>
      <x:c r="E216" s="6"/>
      <x:c r="F216" s="6"/>
      <x:c r="G216" s="6" t="str">
        <x:v>Unknown</x:v>
      </x:c>
      <x:c r="H216" s="6" t="str"/>
      <x:c r="I216" s="6" t="str"/>
      <x:c r="J216" s="6" t="str">
        <x:v>Unknown</x:v>
      </x:c>
      <x:c r="K216" s="6" t="str">
        <x:v>Unknown</x:v>
      </x:c>
      <x:c r="L216" s="12" t="str">
        <x:v>Unsupported Observation</x:v>
      </x:c>
      <x:c r="M216" s="12" t="str">
        <x:v>Nocturnix_Master_Services_Catalog_v1.xlsx | 01 - Master Services | row 255</x:v>
      </x:c>
      <x:c r="N216" s="6" t="str">
        <x:v>Unresolved</x:v>
      </x:c>
      <x:c r="O216" s="6" t="str"/>
      <x:c r="P216" s="6" t="str"/>
      <x:c r="Q216" s="6" t="str">
        <x:v>Pending</x:v>
      </x:c>
      <x:c r="R216" s="12" t="str"/>
    </x:row>
    <x:row r="217">
      <x:c r="A217" s="6" t="str">
        <x:v>MFRR-000216</x:v>
      </x:c>
      <x:c r="B217" s="6" t="str">
        <x:v>SVC000216</x:v>
      </x:c>
      <x:c r="C217" s="6" t="str">
        <x:v>iPhone 3GS Charge Port Replacement</x:v>
      </x:c>
      <x:c r="D217" s="6" t="str">
        <x:v>MFR-LEGACY-001</x:v>
      </x:c>
      <x:c r="E217" s="6"/>
      <x:c r="F217" s="6"/>
      <x:c r="G217" s="6" t="str">
        <x:v>Unknown</x:v>
      </x:c>
      <x:c r="H217" s="6" t="str"/>
      <x:c r="I217" s="6" t="str"/>
      <x:c r="J217" s="6" t="str">
        <x:v>Unknown</x:v>
      </x:c>
      <x:c r="K217" s="6" t="str">
        <x:v>Unknown</x:v>
      </x:c>
      <x:c r="L217" s="12" t="str">
        <x:v>Unsupported Observation</x:v>
      </x:c>
      <x:c r="M217" s="12" t="str">
        <x:v>Nocturnix_Master_Services_Catalog_v1.xlsx | 01 - Master Services | row 256</x:v>
      </x:c>
      <x:c r="N217" s="6" t="str">
        <x:v>Unresolved</x:v>
      </x:c>
      <x:c r="O217" s="6" t="str"/>
      <x:c r="P217" s="6" t="str"/>
      <x:c r="Q217" s="6" t="str">
        <x:v>Pending</x:v>
      </x:c>
      <x:c r="R217" s="12" t="str"/>
    </x:row>
    <x:row r="218">
      <x:c r="A218" s="6" t="str">
        <x:v>MFRR-000217</x:v>
      </x:c>
      <x:c r="B218" s="6" t="str">
        <x:v>SVC000217</x:v>
      </x:c>
      <x:c r="C218" s="6" t="str">
        <x:v>iPhone 4S Charge Port Replacement</x:v>
      </x:c>
      <x:c r="D218" s="6" t="str">
        <x:v>MFR-LEGACY-001</x:v>
      </x:c>
      <x:c r="E218" s="6"/>
      <x:c r="F218" s="6"/>
      <x:c r="G218" s="6" t="str">
        <x:v>Unknown</x:v>
      </x:c>
      <x:c r="H218" s="6" t="str"/>
      <x:c r="I218" s="6" t="str"/>
      <x:c r="J218" s="6" t="str">
        <x:v>Unknown</x:v>
      </x:c>
      <x:c r="K218" s="6" t="str">
        <x:v>Unknown</x:v>
      </x:c>
      <x:c r="L218" s="12" t="str">
        <x:v>Unsupported Observation</x:v>
      </x:c>
      <x:c r="M218" s="12" t="str">
        <x:v>Nocturnix_Master_Services_Catalog_v1.xlsx | 01 - Master Services | row 257</x:v>
      </x:c>
      <x:c r="N218" s="6" t="str">
        <x:v>Unresolved</x:v>
      </x:c>
      <x:c r="O218" s="6" t="str"/>
      <x:c r="P218" s="6" t="str"/>
      <x:c r="Q218" s="6" t="str">
        <x:v>Pending</x:v>
      </x:c>
      <x:c r="R218" s="12" t="str"/>
    </x:row>
    <x:row r="219">
      <x:c r="A219" s="6" t="str">
        <x:v>MFRR-000218</x:v>
      </x:c>
      <x:c r="B219" s="6" t="str">
        <x:v>SVC000218</x:v>
      </x:c>
      <x:c r="C219" s="6" t="str">
        <x:v>iPhone 4S Charge Port Replacement</x:v>
      </x:c>
      <x:c r="D219" s="6" t="str">
        <x:v>MFR-LEGACY-001</x:v>
      </x:c>
      <x:c r="E219" s="6"/>
      <x:c r="F219" s="6"/>
      <x:c r="G219" s="6" t="str">
        <x:v>Unknown</x:v>
      </x:c>
      <x:c r="H219" s="6" t="str"/>
      <x:c r="I219" s="6" t="str"/>
      <x:c r="J219" s="6" t="str">
        <x:v>Unknown</x:v>
      </x:c>
      <x:c r="K219" s="6" t="str">
        <x:v>Unknown</x:v>
      </x:c>
      <x:c r="L219" s="12" t="str">
        <x:v>Unsupported Observation</x:v>
      </x:c>
      <x:c r="M219" s="12" t="str">
        <x:v>Nocturnix_Master_Services_Catalog_v1.xlsx | 01 - Master Services | row 258</x:v>
      </x:c>
      <x:c r="N219" s="6" t="str">
        <x:v>Unresolved</x:v>
      </x:c>
      <x:c r="O219" s="6" t="str"/>
      <x:c r="P219" s="6" t="str"/>
      <x:c r="Q219" s="6" t="str">
        <x:v>Pending</x:v>
      </x:c>
      <x:c r="R219" s="12" t="str"/>
    </x:row>
    <x:row r="220">
      <x:c r="A220" s="6" t="str">
        <x:v>MFRR-000219</x:v>
      </x:c>
      <x:c r="B220" s="6" t="str">
        <x:v>SVC000219</x:v>
      </x:c>
      <x:c r="C220" s="6" t="str">
        <x:v>iPhone 4S Charge Port Replacement</x:v>
      </x:c>
      <x:c r="D220" s="6" t="str">
        <x:v>MFR-LEGACY-001</x:v>
      </x:c>
      <x:c r="E220" s="6"/>
      <x:c r="F220" s="6"/>
      <x:c r="G220" s="6" t="str">
        <x:v>Unknown</x:v>
      </x:c>
      <x:c r="H220" s="6" t="str"/>
      <x:c r="I220" s="6" t="str"/>
      <x:c r="J220" s="6" t="str">
        <x:v>Unknown</x:v>
      </x:c>
      <x:c r="K220" s="6" t="str">
        <x:v>Unknown</x:v>
      </x:c>
      <x:c r="L220" s="12" t="str">
        <x:v>Unsupported Observation</x:v>
      </x:c>
      <x:c r="M220" s="12" t="str">
        <x:v>Nocturnix_Master_Services_Catalog_v1.xlsx | 01 - Master Services | row 259</x:v>
      </x:c>
      <x:c r="N220" s="6" t="str">
        <x:v>Unresolved</x:v>
      </x:c>
      <x:c r="O220" s="6" t="str"/>
      <x:c r="P220" s="6" t="str"/>
      <x:c r="Q220" s="6" t="str">
        <x:v>Pending</x:v>
      </x:c>
      <x:c r="R220" s="12" t="str"/>
    </x:row>
    <x:row r="221">
      <x:c r="A221" s="6" t="str">
        <x:v>MFRR-000220</x:v>
      </x:c>
      <x:c r="B221" s="6" t="str">
        <x:v>SVC000220</x:v>
      </x:c>
      <x:c r="C221" s="6" t="str">
        <x:v>iPhone 5 Charge Port Replacement</x:v>
      </x:c>
      <x:c r="D221" s="6" t="str">
        <x:v>MFR-LEGACY-001</x:v>
      </x:c>
      <x:c r="E221" s="6"/>
      <x:c r="F221" s="6"/>
      <x:c r="G221" s="6" t="str">
        <x:v>Unknown</x:v>
      </x:c>
      <x:c r="H221" s="6" t="str"/>
      <x:c r="I221" s="6" t="str"/>
      <x:c r="J221" s="6" t="str">
        <x:v>Unknown</x:v>
      </x:c>
      <x:c r="K221" s="6" t="str">
        <x:v>Unknown</x:v>
      </x:c>
      <x:c r="L221" s="12" t="str">
        <x:v>Unsupported Observation</x:v>
      </x:c>
      <x:c r="M221" s="12" t="str">
        <x:v>Nocturnix_Master_Services_Catalog_v1.xlsx | 01 - Master Services | row 260</x:v>
      </x:c>
      <x:c r="N221" s="6" t="str">
        <x:v>Unresolved</x:v>
      </x:c>
      <x:c r="O221" s="6" t="str"/>
      <x:c r="P221" s="6" t="str"/>
      <x:c r="Q221" s="6" t="str">
        <x:v>Pending</x:v>
      </x:c>
      <x:c r="R221" s="12" t="str"/>
    </x:row>
    <x:row r="222">
      <x:c r="A222" s="6" t="str">
        <x:v>MFRR-000221</x:v>
      </x:c>
      <x:c r="B222" s="6" t="str">
        <x:v>SVC000221</x:v>
      </x:c>
      <x:c r="C222" s="6" t="str">
        <x:v>iPhone 5C Charge Port Replacement</x:v>
      </x:c>
      <x:c r="D222" s="6" t="str">
        <x:v>MFR-LEGACY-001</x:v>
      </x:c>
      <x:c r="E222" s="6"/>
      <x:c r="F222" s="6"/>
      <x:c r="G222" s="6" t="str">
        <x:v>Unknown</x:v>
      </x:c>
      <x:c r="H222" s="6" t="str"/>
      <x:c r="I222" s="6" t="str"/>
      <x:c r="J222" s="6" t="str">
        <x:v>Unknown</x:v>
      </x:c>
      <x:c r="K222" s="6" t="str">
        <x:v>Unknown</x:v>
      </x:c>
      <x:c r="L222" s="12" t="str">
        <x:v>Unsupported Observation</x:v>
      </x:c>
      <x:c r="M222" s="12" t="str">
        <x:v>Nocturnix_Master_Services_Catalog_v1.xlsx | 01 - Master Services | row 261</x:v>
      </x:c>
      <x:c r="N222" s="6" t="str">
        <x:v>Unresolved</x:v>
      </x:c>
      <x:c r="O222" s="6" t="str"/>
      <x:c r="P222" s="6" t="str"/>
      <x:c r="Q222" s="6" t="str">
        <x:v>Pending</x:v>
      </x:c>
      <x:c r="R222" s="12" t="str"/>
    </x:row>
    <x:row r="223">
      <x:c r="A223" s="6" t="str">
        <x:v>MFRR-000222</x:v>
      </x:c>
      <x:c r="B223" s="6" t="str">
        <x:v>SVC000222</x:v>
      </x:c>
      <x:c r="C223" s="6" t="str">
        <x:v>iPhone 5S Charge Port Replacement</x:v>
      </x:c>
      <x:c r="D223" s="6" t="str">
        <x:v>MFR-LEGACY-001</x:v>
      </x:c>
      <x:c r="E223" s="6"/>
      <x:c r="F223" s="6"/>
      <x:c r="G223" s="6" t="str">
        <x:v>Unknown</x:v>
      </x:c>
      <x:c r="H223" s="6" t="str"/>
      <x:c r="I223" s="6" t="str"/>
      <x:c r="J223" s="6" t="str">
        <x:v>Unknown</x:v>
      </x:c>
      <x:c r="K223" s="6" t="str">
        <x:v>Unknown</x:v>
      </x:c>
      <x:c r="L223" s="12" t="str">
        <x:v>Unsupported Observation</x:v>
      </x:c>
      <x:c r="M223" s="12" t="str">
        <x:v>Nocturnix_Master_Services_Catalog_v1.xlsx | 01 - Master Services | row 262</x:v>
      </x:c>
      <x:c r="N223" s="6" t="str">
        <x:v>Unresolved</x:v>
      </x:c>
      <x:c r="O223" s="6" t="str"/>
      <x:c r="P223" s="6" t="str"/>
      <x:c r="Q223" s="6" t="str">
        <x:v>Pending</x:v>
      </x:c>
      <x:c r="R223" s="12" t="str"/>
    </x:row>
    <x:row r="224">
      <x:c r="A224" s="6" t="str">
        <x:v>MFRR-000223</x:v>
      </x:c>
      <x:c r="B224" s="6" t="str">
        <x:v>SVC000223</x:v>
      </x:c>
      <x:c r="C224" s="6" t="str">
        <x:v>iPhone 6 Charge Port Replacement</x:v>
      </x:c>
      <x:c r="D224" s="6" t="str">
        <x:v>MFR-LEGACY-001</x:v>
      </x:c>
      <x:c r="E224" s="6"/>
      <x:c r="F224" s="6"/>
      <x:c r="G224" s="6" t="str">
        <x:v>Unknown</x:v>
      </x:c>
      <x:c r="H224" s="6" t="str"/>
      <x:c r="I224" s="6" t="str"/>
      <x:c r="J224" s="6" t="str">
        <x:v>Unknown</x:v>
      </x:c>
      <x:c r="K224" s="6" t="str">
        <x:v>Unknown</x:v>
      </x:c>
      <x:c r="L224" s="12" t="str">
        <x:v>Unsupported Observation</x:v>
      </x:c>
      <x:c r="M224" s="12" t="str">
        <x:v>Nocturnix_Master_Services_Catalog_v1.xlsx | 01 - Master Services | row 263</x:v>
      </x:c>
      <x:c r="N224" s="6" t="str">
        <x:v>Unresolved</x:v>
      </x:c>
      <x:c r="O224" s="6" t="str"/>
      <x:c r="P224" s="6" t="str"/>
      <x:c r="Q224" s="6" t="str">
        <x:v>Pending</x:v>
      </x:c>
      <x:c r="R224" s="12" t="str"/>
    </x:row>
    <x:row r="225">
      <x:c r="A225" s="6" t="str">
        <x:v>MFRR-000224</x:v>
      </x:c>
      <x:c r="B225" s="6" t="str">
        <x:v>SVC000224</x:v>
      </x:c>
      <x:c r="C225" s="6" t="str">
        <x:v>iPhone 6+ Charge Port Replacement</x:v>
      </x:c>
      <x:c r="D225" s="6" t="str">
        <x:v>MFR-LEGACY-001</x:v>
      </x:c>
      <x:c r="E225" s="6"/>
      <x:c r="F225" s="6"/>
      <x:c r="G225" s="6" t="str">
        <x:v>Unknown</x:v>
      </x:c>
      <x:c r="H225" s="6" t="str"/>
      <x:c r="I225" s="6" t="str"/>
      <x:c r="J225" s="6" t="str">
        <x:v>Unknown</x:v>
      </x:c>
      <x:c r="K225" s="6" t="str">
        <x:v>Unknown</x:v>
      </x:c>
      <x:c r="L225" s="12" t="str">
        <x:v>Unsupported Observation</x:v>
      </x:c>
      <x:c r="M225" s="12" t="str">
        <x:v>Nocturnix_Master_Services_Catalog_v1.xlsx | 01 - Master Services | row 264</x:v>
      </x:c>
      <x:c r="N225" s="6" t="str">
        <x:v>Unresolved</x:v>
      </x:c>
      <x:c r="O225" s="6" t="str"/>
      <x:c r="P225" s="6" t="str"/>
      <x:c r="Q225" s="6" t="str">
        <x:v>Pending</x:v>
      </x:c>
      <x:c r="R225" s="12" t="str"/>
    </x:row>
    <x:row r="226">
      <x:c r="A226" s="6" t="str">
        <x:v>MFRR-000225</x:v>
      </x:c>
      <x:c r="B226" s="6" t="str">
        <x:v>SVC000225</x:v>
      </x:c>
      <x:c r="C226" s="6" t="str">
        <x:v>iPhone 6S Charge Port Replacement</x:v>
      </x:c>
      <x:c r="D226" s="6" t="str">
        <x:v>MFR-LEGACY-001</x:v>
      </x:c>
      <x:c r="E226" s="6"/>
      <x:c r="F226" s="6"/>
      <x:c r="G226" s="6" t="str">
        <x:v>Unknown</x:v>
      </x:c>
      <x:c r="H226" s="6" t="str"/>
      <x:c r="I226" s="6" t="str"/>
      <x:c r="J226" s="6" t="str">
        <x:v>Unknown</x:v>
      </x:c>
      <x:c r="K226" s="6" t="str">
        <x:v>Unknown</x:v>
      </x:c>
      <x:c r="L226" s="12" t="str">
        <x:v>Unsupported Observation</x:v>
      </x:c>
      <x:c r="M226" s="12" t="str">
        <x:v>Nocturnix_Master_Services_Catalog_v1.xlsx | 01 - Master Services | row 265</x:v>
      </x:c>
      <x:c r="N226" s="6" t="str">
        <x:v>Unresolved</x:v>
      </x:c>
      <x:c r="O226" s="6" t="str"/>
      <x:c r="P226" s="6" t="str"/>
      <x:c r="Q226" s="6" t="str">
        <x:v>Pending</x:v>
      </x:c>
      <x:c r="R226" s="12" t="str"/>
    </x:row>
    <x:row r="227">
      <x:c r="A227" s="6" t="str">
        <x:v>MFRR-000226</x:v>
      </x:c>
      <x:c r="B227" s="6" t="str">
        <x:v>SVC000226</x:v>
      </x:c>
      <x:c r="C227" s="6" t="str">
        <x:v>iPhone 6S+ Charge Port Replacement</x:v>
      </x:c>
      <x:c r="D227" s="6" t="str">
        <x:v>MFR-LEGACY-001</x:v>
      </x:c>
      <x:c r="E227" s="6"/>
      <x:c r="F227" s="6"/>
      <x:c r="G227" s="6" t="str">
        <x:v>Unknown</x:v>
      </x:c>
      <x:c r="H227" s="6" t="str"/>
      <x:c r="I227" s="6" t="str"/>
      <x:c r="J227" s="6" t="str">
        <x:v>Unknown</x:v>
      </x:c>
      <x:c r="K227" s="6" t="str">
        <x:v>Unknown</x:v>
      </x:c>
      <x:c r="L227" s="12" t="str">
        <x:v>Unsupported Observation</x:v>
      </x:c>
      <x:c r="M227" s="12" t="str">
        <x:v>Nocturnix_Master_Services_Catalog_v1.xlsx | 01 - Master Services | row 266</x:v>
      </x:c>
      <x:c r="N227" s="6" t="str">
        <x:v>Unresolved</x:v>
      </x:c>
      <x:c r="O227" s="6" t="str"/>
      <x:c r="P227" s="6" t="str"/>
      <x:c r="Q227" s="6" t="str">
        <x:v>Pending</x:v>
      </x:c>
      <x:c r="R227" s="12" t="str"/>
    </x:row>
    <x:row r="228">
      <x:c r="A228" s="6" t="str">
        <x:v>MFRR-000227</x:v>
      </x:c>
      <x:c r="B228" s="6" t="str">
        <x:v>SVC000227</x:v>
      </x:c>
      <x:c r="C228" s="6" t="str">
        <x:v>iPhone 6S+ Charge Port Replacement</x:v>
      </x:c>
      <x:c r="D228" s="6" t="str">
        <x:v>MFR-LEGACY-001</x:v>
      </x:c>
      <x:c r="E228" s="6"/>
      <x:c r="F228" s="6"/>
      <x:c r="G228" s="6" t="str">
        <x:v>Unknown</x:v>
      </x:c>
      <x:c r="H228" s="6" t="str"/>
      <x:c r="I228" s="6" t="str"/>
      <x:c r="J228" s="6" t="str">
        <x:v>Unknown</x:v>
      </x:c>
      <x:c r="K228" s="6" t="str">
        <x:v>Unknown</x:v>
      </x:c>
      <x:c r="L228" s="12" t="str">
        <x:v>Unsupported Observation</x:v>
      </x:c>
      <x:c r="M228" s="12" t="str">
        <x:v>Nocturnix_Master_Services_Catalog_v1.xlsx | 01 - Master Services | row 267</x:v>
      </x:c>
      <x:c r="N228" s="6" t="str">
        <x:v>Unresolved</x:v>
      </x:c>
      <x:c r="O228" s="6" t="str"/>
      <x:c r="P228" s="6" t="str"/>
      <x:c r="Q228" s="6" t="str">
        <x:v>Pending</x:v>
      </x:c>
      <x:c r="R228" s="12" t="str"/>
    </x:row>
    <x:row r="229">
      <x:c r="A229" s="6" t="str">
        <x:v>MFRR-000228</x:v>
      </x:c>
      <x:c r="B229" s="6" t="str">
        <x:v>SVC000228</x:v>
      </x:c>
      <x:c r="C229" s="6" t="str">
        <x:v>iPhone SE(1ST GEN) Charge Port Replacement</x:v>
      </x:c>
      <x:c r="D229" s="6" t="str">
        <x:v>MFR-LEGACY-001</x:v>
      </x:c>
      <x:c r="E229" s="6"/>
      <x:c r="F229" s="6"/>
      <x:c r="G229" s="6" t="str">
        <x:v>Unknown</x:v>
      </x:c>
      <x:c r="H229" s="6" t="str"/>
      <x:c r="I229" s="6" t="str"/>
      <x:c r="J229" s="6" t="str">
        <x:v>Unknown</x:v>
      </x:c>
      <x:c r="K229" s="6" t="str">
        <x:v>Unknown</x:v>
      </x:c>
      <x:c r="L229" s="12" t="str">
        <x:v>Unsupported Observation</x:v>
      </x:c>
      <x:c r="M229" s="12" t="str">
        <x:v>Nocturnix_Master_Services_Catalog_v1.xlsx | 01 - Master Services | row 268</x:v>
      </x:c>
      <x:c r="N229" s="6" t="str">
        <x:v>Unresolved</x:v>
      </x:c>
      <x:c r="O229" s="6" t="str"/>
      <x:c r="P229" s="6" t="str"/>
      <x:c r="Q229" s="6" t="str">
        <x:v>Pending</x:v>
      </x:c>
      <x:c r="R229" s="12" t="str"/>
    </x:row>
    <x:row r="230">
      <x:c r="A230" s="6" t="str">
        <x:v>MFRR-000229</x:v>
      </x:c>
      <x:c r="B230" s="6" t="str">
        <x:v>SVC000229</x:v>
      </x:c>
      <x:c r="C230" s="6" t="str">
        <x:v>iPhone 7 Charge Port Replacement</x:v>
      </x:c>
      <x:c r="D230" s="6" t="str">
        <x:v>MFR-LEGACY-001</x:v>
      </x:c>
      <x:c r="E230" s="6"/>
      <x:c r="F230" s="6"/>
      <x:c r="G230" s="6" t="str">
        <x:v>Unknown</x:v>
      </x:c>
      <x:c r="H230" s="6" t="str"/>
      <x:c r="I230" s="6" t="str"/>
      <x:c r="J230" s="6" t="str">
        <x:v>Unknown</x:v>
      </x:c>
      <x:c r="K230" s="6" t="str">
        <x:v>Unknown</x:v>
      </x:c>
      <x:c r="L230" s="12" t="str">
        <x:v>Unsupported Observation</x:v>
      </x:c>
      <x:c r="M230" s="12" t="str">
        <x:v>Nocturnix_Master_Services_Catalog_v1.xlsx | 01 - Master Services | row 269</x:v>
      </x:c>
      <x:c r="N230" s="6" t="str">
        <x:v>Unresolved</x:v>
      </x:c>
      <x:c r="O230" s="6" t="str"/>
      <x:c r="P230" s="6" t="str"/>
      <x:c r="Q230" s="6" t="str">
        <x:v>Pending</x:v>
      </x:c>
      <x:c r="R230" s="12" t="str"/>
    </x:row>
    <x:row r="231">
      <x:c r="A231" s="6" t="str">
        <x:v>MFRR-000230</x:v>
      </x:c>
      <x:c r="B231" s="6" t="str">
        <x:v>SVC000230</x:v>
      </x:c>
      <x:c r="C231" s="6" t="str">
        <x:v>iPhone 7+ Charge Port Replacement</x:v>
      </x:c>
      <x:c r="D231" s="6" t="str">
        <x:v>MFR-LEGACY-001</x:v>
      </x:c>
      <x:c r="E231" s="6"/>
      <x:c r="F231" s="6"/>
      <x:c r="G231" s="6" t="str">
        <x:v>Unknown</x:v>
      </x:c>
      <x:c r="H231" s="6" t="str"/>
      <x:c r="I231" s="6" t="str"/>
      <x:c r="J231" s="6" t="str">
        <x:v>Unknown</x:v>
      </x:c>
      <x:c r="K231" s="6" t="str">
        <x:v>Unknown</x:v>
      </x:c>
      <x:c r="L231" s="12" t="str">
        <x:v>Unsupported Observation</x:v>
      </x:c>
      <x:c r="M231" s="12" t="str">
        <x:v>Nocturnix_Master_Services_Catalog_v1.xlsx | 01 - Master Services | row 270</x:v>
      </x:c>
      <x:c r="N231" s="6" t="str">
        <x:v>Unresolved</x:v>
      </x:c>
      <x:c r="O231" s="6" t="str"/>
      <x:c r="P231" s="6" t="str"/>
      <x:c r="Q231" s="6" t="str">
        <x:v>Pending</x:v>
      </x:c>
      <x:c r="R231" s="12" t="str"/>
    </x:row>
    <x:row r="232">
      <x:c r="A232" s="6" t="str">
        <x:v>MFRR-000231</x:v>
      </x:c>
      <x:c r="B232" s="6" t="str">
        <x:v>SVC000231</x:v>
      </x:c>
      <x:c r="C232" s="6" t="str">
        <x:v>iPhone 8 Charge Port Replacement</x:v>
      </x:c>
      <x:c r="D232" s="6" t="str">
        <x:v>MFR-LEGACY-001</x:v>
      </x:c>
      <x:c r="E232" s="6"/>
      <x:c r="F232" s="6"/>
      <x:c r="G232" s="6" t="str">
        <x:v>Unknown</x:v>
      </x:c>
      <x:c r="H232" s="6" t="str"/>
      <x:c r="I232" s="6" t="str"/>
      <x:c r="J232" s="6" t="str">
        <x:v>Unknown</x:v>
      </x:c>
      <x:c r="K232" s="6" t="str">
        <x:v>Unknown</x:v>
      </x:c>
      <x:c r="L232" s="12" t="str">
        <x:v>Unsupported Observation</x:v>
      </x:c>
      <x:c r="M232" s="12" t="str">
        <x:v>Nocturnix_Master_Services_Catalog_v1.xlsx | 01 - Master Services | row 271</x:v>
      </x:c>
      <x:c r="N232" s="6" t="str">
        <x:v>Unresolved</x:v>
      </x:c>
      <x:c r="O232" s="6" t="str"/>
      <x:c r="P232" s="6" t="str"/>
      <x:c r="Q232" s="6" t="str">
        <x:v>Pending</x:v>
      </x:c>
      <x:c r="R232" s="12" t="str"/>
    </x:row>
    <x:row r="233">
      <x:c r="A233" s="6" t="str">
        <x:v>MFRR-000232</x:v>
      </x:c>
      <x:c r="B233" s="6" t="str">
        <x:v>SVC000232</x:v>
      </x:c>
      <x:c r="C233" s="6" t="str">
        <x:v>iPhone 8+ Charge Port Replacement</x:v>
      </x:c>
      <x:c r="D233" s="6" t="str">
        <x:v>MFR-LEGACY-001</x:v>
      </x:c>
      <x:c r="E233" s="6"/>
      <x:c r="F233" s="6"/>
      <x:c r="G233" s="6" t="str">
        <x:v>Unknown</x:v>
      </x:c>
      <x:c r="H233" s="6" t="str"/>
      <x:c r="I233" s="6" t="str"/>
      <x:c r="J233" s="6" t="str">
        <x:v>Unknown</x:v>
      </x:c>
      <x:c r="K233" s="6" t="str">
        <x:v>Unknown</x:v>
      </x:c>
      <x:c r="L233" s="12" t="str">
        <x:v>Unsupported Observation</x:v>
      </x:c>
      <x:c r="M233" s="12" t="str">
        <x:v>Nocturnix_Master_Services_Catalog_v1.xlsx | 01 - Master Services | row 272</x:v>
      </x:c>
      <x:c r="N233" s="6" t="str">
        <x:v>Unresolved</x:v>
      </x:c>
      <x:c r="O233" s="6" t="str"/>
      <x:c r="P233" s="6" t="str"/>
      <x:c r="Q233" s="6" t="str">
        <x:v>Pending</x:v>
      </x:c>
      <x:c r="R233" s="12" t="str"/>
    </x:row>
    <x:row r="234">
      <x:c r="A234" s="6" t="str">
        <x:v>MFRR-000233</x:v>
      </x:c>
      <x:c r="B234" s="6" t="str">
        <x:v>SVC000233</x:v>
      </x:c>
      <x:c r="C234" s="6" t="str">
        <x:v>iPhone X Charge Port Replacement</x:v>
      </x:c>
      <x:c r="D234" s="6" t="str">
        <x:v>MFR-LEGACY-001</x:v>
      </x:c>
      <x:c r="E234" s="6"/>
      <x:c r="F234" s="6"/>
      <x:c r="G234" s="6" t="str">
        <x:v>Unknown</x:v>
      </x:c>
      <x:c r="H234" s="6" t="str"/>
      <x:c r="I234" s="6" t="str"/>
      <x:c r="J234" s="6" t="str">
        <x:v>Unknown</x:v>
      </x:c>
      <x:c r="K234" s="6" t="str">
        <x:v>Unknown</x:v>
      </x:c>
      <x:c r="L234" s="12" t="str">
        <x:v>Unsupported Observation</x:v>
      </x:c>
      <x:c r="M234" s="12" t="str">
        <x:v>Nocturnix_Master_Services_Catalog_v1.xlsx | 01 - Master Services | row 273</x:v>
      </x:c>
      <x:c r="N234" s="6" t="str">
        <x:v>Unresolved</x:v>
      </x:c>
      <x:c r="O234" s="6" t="str"/>
      <x:c r="P234" s="6" t="str"/>
      <x:c r="Q234" s="6" t="str">
        <x:v>Pending</x:v>
      </x:c>
      <x:c r="R234" s="12" t="str"/>
    </x:row>
    <x:row r="235">
      <x:c r="A235" s="6" t="str">
        <x:v>MFRR-000234</x:v>
      </x:c>
      <x:c r="B235" s="6" t="str">
        <x:v>SVC000234</x:v>
      </x:c>
      <x:c r="C235" s="6" t="str">
        <x:v>iPhone XR Charge Port Replacement</x:v>
      </x:c>
      <x:c r="D235" s="6" t="str">
        <x:v>MFR-LEGACY-001</x:v>
      </x:c>
      <x:c r="E235" s="6"/>
      <x:c r="F235" s="6"/>
      <x:c r="G235" s="6" t="str">
        <x:v>Unknown</x:v>
      </x:c>
      <x:c r="H235" s="6" t="str"/>
      <x:c r="I235" s="6" t="str"/>
      <x:c r="J235" s="6" t="str">
        <x:v>Unknown</x:v>
      </x:c>
      <x:c r="K235" s="6" t="str">
        <x:v>Unknown</x:v>
      </x:c>
      <x:c r="L235" s="12" t="str">
        <x:v>Unsupported Observation</x:v>
      </x:c>
      <x:c r="M235" s="12" t="str">
        <x:v>Nocturnix_Master_Services_Catalog_v1.xlsx | 01 - Master Services | row 274</x:v>
      </x:c>
      <x:c r="N235" s="6" t="str">
        <x:v>Unresolved</x:v>
      </x:c>
      <x:c r="O235" s="6" t="str"/>
      <x:c r="P235" s="6" t="str"/>
      <x:c r="Q235" s="6" t="str">
        <x:v>Pending</x:v>
      </x:c>
      <x:c r="R235" s="12" t="str"/>
    </x:row>
    <x:row r="236">
      <x:c r="A236" s="6" t="str">
        <x:v>MFRR-000235</x:v>
      </x:c>
      <x:c r="B236" s="6" t="str">
        <x:v>SVC000235</x:v>
      </x:c>
      <x:c r="C236" s="6" t="str">
        <x:v>Galaxy S 23 Battery Replacement</x:v>
      </x:c>
      <x:c r="D236" s="6" t="str">
        <x:v>MFR-LEGACY-001</x:v>
      </x:c>
      <x:c r="E236" s="6"/>
      <x:c r="F236" s="6"/>
      <x:c r="G236" s="6" t="str">
        <x:v>Unknown</x:v>
      </x:c>
      <x:c r="H236" s="6" t="str"/>
      <x:c r="I236" s="6" t="str"/>
      <x:c r="J236" s="6" t="str">
        <x:v>Unknown</x:v>
      </x:c>
      <x:c r="K236" s="6" t="str">
        <x:v>Unknown</x:v>
      </x:c>
      <x:c r="L236" s="12" t="str">
        <x:v>Unsupported Observation</x:v>
      </x:c>
      <x:c r="M236" s="12" t="str">
        <x:v>Nocturnix_Master_Services_Catalog_v1.xlsx | 01 - Master Services | row 275</x:v>
      </x:c>
      <x:c r="N236" s="6" t="str">
        <x:v>Unresolved</x:v>
      </x:c>
      <x:c r="O236" s="6" t="str"/>
      <x:c r="P236" s="6" t="str"/>
      <x:c r="Q236" s="6" t="str">
        <x:v>Pending</x:v>
      </x:c>
      <x:c r="R236" s="12" t="str"/>
    </x:row>
    <x:row r="237">
      <x:c r="A237" s="6" t="str">
        <x:v>MFRR-000236</x:v>
      </x:c>
      <x:c r="B237" s="6" t="str">
        <x:v>SVC000236</x:v>
      </x:c>
      <x:c r="C237" s="6" t="str">
        <x:v>iPhone XS Charge Port Replacement</x:v>
      </x:c>
      <x:c r="D237" s="6" t="str">
        <x:v>MFR-LEGACY-001</x:v>
      </x:c>
      <x:c r="E237" s="6"/>
      <x:c r="F237" s="6"/>
      <x:c r="G237" s="6" t="str">
        <x:v>Unknown</x:v>
      </x:c>
      <x:c r="H237" s="6" t="str"/>
      <x:c r="I237" s="6" t="str"/>
      <x:c r="J237" s="6" t="str">
        <x:v>Unknown</x:v>
      </x:c>
      <x:c r="K237" s="6" t="str">
        <x:v>Unknown</x:v>
      </x:c>
      <x:c r="L237" s="12" t="str">
        <x:v>Unsupported Observation</x:v>
      </x:c>
      <x:c r="M237" s="12" t="str">
        <x:v>Nocturnix_Master_Services_Catalog_v1.xlsx | 01 - Master Services | row 276</x:v>
      </x:c>
      <x:c r="N237" s="6" t="str">
        <x:v>Unresolved</x:v>
      </x:c>
      <x:c r="O237" s="6" t="str"/>
      <x:c r="P237" s="6" t="str"/>
      <x:c r="Q237" s="6" t="str">
        <x:v>Pending</x:v>
      </x:c>
      <x:c r="R237" s="12" t="str"/>
    </x:row>
    <x:row r="238">
      <x:c r="A238" s="6" t="str">
        <x:v>MFRR-000237</x:v>
      </x:c>
      <x:c r="B238" s="6" t="str">
        <x:v>SVC000237</x:v>
      </x:c>
      <x:c r="C238" s="6" t="str">
        <x:v>iPhone XS Max Charge Port Replacement</x:v>
      </x:c>
      <x:c r="D238" s="6" t="str">
        <x:v>MFR-LEGACY-001</x:v>
      </x:c>
      <x:c r="E238" s="6"/>
      <x:c r="F238" s="6"/>
      <x:c r="G238" s="6" t="str">
        <x:v>Unknown</x:v>
      </x:c>
      <x:c r="H238" s="6" t="str"/>
      <x:c r="I238" s="6" t="str"/>
      <x:c r="J238" s="6" t="str">
        <x:v>Unknown</x:v>
      </x:c>
      <x:c r="K238" s="6" t="str">
        <x:v>Unknown</x:v>
      </x:c>
      <x:c r="L238" s="12" t="str">
        <x:v>Unsupported Observation</x:v>
      </x:c>
      <x:c r="M238" s="12" t="str">
        <x:v>Nocturnix_Master_Services_Catalog_v1.xlsx | 01 - Master Services | row 277</x:v>
      </x:c>
      <x:c r="N238" s="6" t="str">
        <x:v>Unresolved</x:v>
      </x:c>
      <x:c r="O238" s="6" t="str"/>
      <x:c r="P238" s="6" t="str"/>
      <x:c r="Q238" s="6" t="str">
        <x:v>Pending</x:v>
      </x:c>
      <x:c r="R238" s="12" t="str"/>
    </x:row>
    <x:row r="239">
      <x:c r="A239" s="6" t="str">
        <x:v>MFRR-000238</x:v>
      </x:c>
      <x:c r="B239" s="6" t="str">
        <x:v>SVC000238</x:v>
      </x:c>
      <x:c r="C239" s="6" t="str">
        <x:v>iPhone 11 Charge Port Replacement</x:v>
      </x:c>
      <x:c r="D239" s="6" t="str">
        <x:v>MFR-LEGACY-001</x:v>
      </x:c>
      <x:c r="E239" s="6"/>
      <x:c r="F239" s="6"/>
      <x:c r="G239" s="6" t="str">
        <x:v>Unknown</x:v>
      </x:c>
      <x:c r="H239" s="6" t="str"/>
      <x:c r="I239" s="6" t="str"/>
      <x:c r="J239" s="6" t="str">
        <x:v>Unknown</x:v>
      </x:c>
      <x:c r="K239" s="6" t="str">
        <x:v>Unknown</x:v>
      </x:c>
      <x:c r="L239" s="12" t="str">
        <x:v>Unsupported Observation</x:v>
      </x:c>
      <x:c r="M239" s="12" t="str">
        <x:v>Nocturnix_Master_Services_Catalog_v1.xlsx | 01 - Master Services | row 278</x:v>
      </x:c>
      <x:c r="N239" s="6" t="str">
        <x:v>Unresolved</x:v>
      </x:c>
      <x:c r="O239" s="6" t="str"/>
      <x:c r="P239" s="6" t="str"/>
      <x:c r="Q239" s="6" t="str">
        <x:v>Pending</x:v>
      </x:c>
      <x:c r="R239" s="12" t="str"/>
    </x:row>
    <x:row r="240">
      <x:c r="A240" s="6" t="str">
        <x:v>MFRR-000239</x:v>
      </x:c>
      <x:c r="B240" s="6" t="str">
        <x:v>SVC000239</x:v>
      </x:c>
      <x:c r="C240" s="6" t="str">
        <x:v>iPhone 11 Pro Charge Port Replacement</x:v>
      </x:c>
      <x:c r="D240" s="6" t="str">
        <x:v>MFR-LEGACY-001</x:v>
      </x:c>
      <x:c r="E240" s="6"/>
      <x:c r="F240" s="6"/>
      <x:c r="G240" s="6" t="str">
        <x:v>Unknown</x:v>
      </x:c>
      <x:c r="H240" s="6" t="str"/>
      <x:c r="I240" s="6" t="str"/>
      <x:c r="J240" s="6" t="str">
        <x:v>Unknown</x:v>
      </x:c>
      <x:c r="K240" s="6" t="str">
        <x:v>Unknown</x:v>
      </x:c>
      <x:c r="L240" s="12" t="str">
        <x:v>Unsupported Observation</x:v>
      </x:c>
      <x:c r="M240" s="12" t="str">
        <x:v>Nocturnix_Master_Services_Catalog_v1.xlsx | 01 - Master Services | row 279</x:v>
      </x:c>
      <x:c r="N240" s="6" t="str">
        <x:v>Unresolved</x:v>
      </x:c>
      <x:c r="O240" s="6" t="str"/>
      <x:c r="P240" s="6" t="str"/>
      <x:c r="Q240" s="6" t="str">
        <x:v>Pending</x:v>
      </x:c>
      <x:c r="R240" s="12" t="str"/>
    </x:row>
    <x:row r="241">
      <x:c r="A241" s="6" t="str">
        <x:v>MFRR-000240</x:v>
      </x:c>
      <x:c r="B241" s="6" t="str">
        <x:v>SVC000240</x:v>
      </x:c>
      <x:c r="C241" s="6" t="str">
        <x:v>iPhone 11 Pro Max Charge Port Replacement</x:v>
      </x:c>
      <x:c r="D241" s="6" t="str">
        <x:v>MFR-LEGACY-001</x:v>
      </x:c>
      <x:c r="E241" s="6"/>
      <x:c r="F241" s="6"/>
      <x:c r="G241" s="6" t="str">
        <x:v>Unknown</x:v>
      </x:c>
      <x:c r="H241" s="6" t="str"/>
      <x:c r="I241" s="6" t="str"/>
      <x:c r="J241" s="6" t="str">
        <x:v>Unknown</x:v>
      </x:c>
      <x:c r="K241" s="6" t="str">
        <x:v>Unknown</x:v>
      </x:c>
      <x:c r="L241" s="12" t="str">
        <x:v>Unsupported Observation</x:v>
      </x:c>
      <x:c r="M241" s="12" t="str">
        <x:v>Nocturnix_Master_Services_Catalog_v1.xlsx | 01 - Master Services | row 280</x:v>
      </x:c>
      <x:c r="N241" s="6" t="str">
        <x:v>Unresolved</x:v>
      </x:c>
      <x:c r="O241" s="6" t="str"/>
      <x:c r="P241" s="6" t="str"/>
      <x:c r="Q241" s="6" t="str">
        <x:v>Pending</x:v>
      </x:c>
      <x:c r="R241" s="12" t="str"/>
    </x:row>
    <x:row r="242">
      <x:c r="A242" s="6" t="str">
        <x:v>MFRR-000241</x:v>
      </x:c>
      <x:c r="B242" s="6" t="str">
        <x:v>SVC000241</x:v>
      </x:c>
      <x:c r="C242" s="6" t="str">
        <x:v>iPhone SE (2ND GEN) Charge Port Replacement</x:v>
      </x:c>
      <x:c r="D242" s="6" t="str">
        <x:v>MFR-LEGACY-001</x:v>
      </x:c>
      <x:c r="E242" s="6"/>
      <x:c r="F242" s="6"/>
      <x:c r="G242" s="6" t="str">
        <x:v>Unknown</x:v>
      </x:c>
      <x:c r="H242" s="6" t="str"/>
      <x:c r="I242" s="6" t="str"/>
      <x:c r="J242" s="6" t="str">
        <x:v>Unknown</x:v>
      </x:c>
      <x:c r="K242" s="6" t="str">
        <x:v>Unknown</x:v>
      </x:c>
      <x:c r="L242" s="12" t="str">
        <x:v>Unsupported Observation</x:v>
      </x:c>
      <x:c r="M242" s="12" t="str">
        <x:v>Nocturnix_Master_Services_Catalog_v1.xlsx | 01 - Master Services | row 281</x:v>
      </x:c>
      <x:c r="N242" s="6" t="str">
        <x:v>Unresolved</x:v>
      </x:c>
      <x:c r="O242" s="6" t="str"/>
      <x:c r="P242" s="6" t="str"/>
      <x:c r="Q242" s="6" t="str">
        <x:v>Pending</x:v>
      </x:c>
      <x:c r="R242" s="12" t="str"/>
    </x:row>
    <x:row r="243">
      <x:c r="A243" s="6" t="str">
        <x:v>MFRR-000242</x:v>
      </x:c>
      <x:c r="B243" s="6" t="str">
        <x:v>SVC000242</x:v>
      </x:c>
      <x:c r="C243" s="6" t="str">
        <x:v>iPhone 12 Charge Port Replacement</x:v>
      </x:c>
      <x:c r="D243" s="6" t="str">
        <x:v>MFR-LEGACY-001</x:v>
      </x:c>
      <x:c r="E243" s="6"/>
      <x:c r="F243" s="6"/>
      <x:c r="G243" s="6" t="str">
        <x:v>Unknown</x:v>
      </x:c>
      <x:c r="H243" s="6" t="str"/>
      <x:c r="I243" s="6" t="str"/>
      <x:c r="J243" s="6" t="str">
        <x:v>Unknown</x:v>
      </x:c>
      <x:c r="K243" s="6" t="str">
        <x:v>Unknown</x:v>
      </x:c>
      <x:c r="L243" s="12" t="str">
        <x:v>Unsupported Observation</x:v>
      </x:c>
      <x:c r="M243" s="12" t="str">
        <x:v>Nocturnix_Master_Services_Catalog_v1.xlsx | 01 - Master Services | row 282</x:v>
      </x:c>
      <x:c r="N243" s="6" t="str">
        <x:v>Unresolved</x:v>
      </x:c>
      <x:c r="O243" s="6" t="str"/>
      <x:c r="P243" s="6" t="str"/>
      <x:c r="Q243" s="6" t="str">
        <x:v>Pending</x:v>
      </x:c>
      <x:c r="R243" s="12" t="str"/>
    </x:row>
    <x:row r="244">
      <x:c r="A244" s="6" t="str">
        <x:v>MFRR-000243</x:v>
      </x:c>
      <x:c r="B244" s="6" t="str">
        <x:v>SVC000243</x:v>
      </x:c>
      <x:c r="C244" s="6" t="str">
        <x:v>iPhone 12 Mini Charge Port Replacement</x:v>
      </x:c>
      <x:c r="D244" s="6" t="str">
        <x:v>MFR-LEGACY-001</x:v>
      </x:c>
      <x:c r="E244" s="6"/>
      <x:c r="F244" s="6"/>
      <x:c r="G244" s="6" t="str">
        <x:v>Unknown</x:v>
      </x:c>
      <x:c r="H244" s="6" t="str"/>
      <x:c r="I244" s="6" t="str"/>
      <x:c r="J244" s="6" t="str">
        <x:v>Unknown</x:v>
      </x:c>
      <x:c r="K244" s="6" t="str">
        <x:v>Unknown</x:v>
      </x:c>
      <x:c r="L244" s="12" t="str">
        <x:v>Unsupported Observation</x:v>
      </x:c>
      <x:c r="M244" s="12" t="str">
        <x:v>Nocturnix_Master_Services_Catalog_v1.xlsx | 01 - Master Services | row 283</x:v>
      </x:c>
      <x:c r="N244" s="6" t="str">
        <x:v>Unresolved</x:v>
      </x:c>
      <x:c r="O244" s="6" t="str"/>
      <x:c r="P244" s="6" t="str"/>
      <x:c r="Q244" s="6" t="str">
        <x:v>Pending</x:v>
      </x:c>
      <x:c r="R244" s="12" t="str"/>
    </x:row>
    <x:row r="245">
      <x:c r="A245" s="6" t="str">
        <x:v>MFRR-000244</x:v>
      </x:c>
      <x:c r="B245" s="6" t="str">
        <x:v>SVC000244</x:v>
      </x:c>
      <x:c r="C245" s="6" t="str">
        <x:v>iPhone 12 Pro Charge Port Replacement</x:v>
      </x:c>
      <x:c r="D245" s="6" t="str">
        <x:v>MFR-LEGACY-001</x:v>
      </x:c>
      <x:c r="E245" s="6"/>
      <x:c r="F245" s="6"/>
      <x:c r="G245" s="6" t="str">
        <x:v>Unknown</x:v>
      </x:c>
      <x:c r="H245" s="6" t="str"/>
      <x:c r="I245" s="6" t="str"/>
      <x:c r="J245" s="6" t="str">
        <x:v>Unknown</x:v>
      </x:c>
      <x:c r="K245" s="6" t="str">
        <x:v>Unknown</x:v>
      </x:c>
      <x:c r="L245" s="12" t="str">
        <x:v>Unsupported Observation</x:v>
      </x:c>
      <x:c r="M245" s="12" t="str">
        <x:v>Nocturnix_Master_Services_Catalog_v1.xlsx | 01 - Master Services | row 284</x:v>
      </x:c>
      <x:c r="N245" s="6" t="str">
        <x:v>Unresolved</x:v>
      </x:c>
      <x:c r="O245" s="6" t="str"/>
      <x:c r="P245" s="6" t="str"/>
      <x:c r="Q245" s="6" t="str">
        <x:v>Pending</x:v>
      </x:c>
      <x:c r="R245" s="12" t="str"/>
    </x:row>
    <x:row r="246">
      <x:c r="A246" s="6" t="str">
        <x:v>MFRR-000245</x:v>
      </x:c>
      <x:c r="B246" s="6" t="str">
        <x:v>SVC000245</x:v>
      </x:c>
      <x:c r="C246" s="6" t="str">
        <x:v>iPhone 12 Pro Max Charge Port Replacement</x:v>
      </x:c>
      <x:c r="D246" s="6" t="str">
        <x:v>MFR-LEGACY-001</x:v>
      </x:c>
      <x:c r="E246" s="6"/>
      <x:c r="F246" s="6"/>
      <x:c r="G246" s="6" t="str">
        <x:v>Unknown</x:v>
      </x:c>
      <x:c r="H246" s="6" t="str"/>
      <x:c r="I246" s="6" t="str"/>
      <x:c r="J246" s="6" t="str">
        <x:v>Unknown</x:v>
      </x:c>
      <x:c r="K246" s="6" t="str">
        <x:v>Unknown</x:v>
      </x:c>
      <x:c r="L246" s="12" t="str">
        <x:v>Unsupported Observation</x:v>
      </x:c>
      <x:c r="M246" s="12" t="str">
        <x:v>Nocturnix_Master_Services_Catalog_v1.xlsx | 01 - Master Services | row 285</x:v>
      </x:c>
      <x:c r="N246" s="6" t="str">
        <x:v>Unresolved</x:v>
      </x:c>
      <x:c r="O246" s="6" t="str"/>
      <x:c r="P246" s="6" t="str"/>
      <x:c r="Q246" s="6" t="str">
        <x:v>Pending</x:v>
      </x:c>
      <x:c r="R246" s="12" t="str"/>
    </x:row>
    <x:row r="247">
      <x:c r="A247" s="6" t="str">
        <x:v>MFRR-000246</x:v>
      </x:c>
      <x:c r="B247" s="6" t="str">
        <x:v>SVC000246</x:v>
      </x:c>
      <x:c r="C247" s="6" t="str">
        <x:v>iPhone 13 Charge Port Replacement</x:v>
      </x:c>
      <x:c r="D247" s="6" t="str">
        <x:v>MFR-LEGACY-001</x:v>
      </x:c>
      <x:c r="E247" s="6"/>
      <x:c r="F247" s="6"/>
      <x:c r="G247" s="6" t="str">
        <x:v>Unknown</x:v>
      </x:c>
      <x:c r="H247" s="6" t="str"/>
      <x:c r="I247" s="6" t="str"/>
      <x:c r="J247" s="6" t="str">
        <x:v>Unknown</x:v>
      </x:c>
      <x:c r="K247" s="6" t="str">
        <x:v>Unknown</x:v>
      </x:c>
      <x:c r="L247" s="12" t="str">
        <x:v>Unsupported Observation</x:v>
      </x:c>
      <x:c r="M247" s="12" t="str">
        <x:v>Nocturnix_Master_Services_Catalog_v1.xlsx | 01 - Master Services | row 286</x:v>
      </x:c>
      <x:c r="N247" s="6" t="str">
        <x:v>Unresolved</x:v>
      </x:c>
      <x:c r="O247" s="6" t="str"/>
      <x:c r="P247" s="6" t="str"/>
      <x:c r="Q247" s="6" t="str">
        <x:v>Pending</x:v>
      </x:c>
      <x:c r="R247" s="12" t="str"/>
    </x:row>
    <x:row r="248">
      <x:c r="A248" s="6" t="str">
        <x:v>MFRR-000247</x:v>
      </x:c>
      <x:c r="B248" s="6" t="str">
        <x:v>SVC000247</x:v>
      </x:c>
      <x:c r="C248" s="6" t="str">
        <x:v>iPhone 13 Mini Charge Port Replacement</x:v>
      </x:c>
      <x:c r="D248" s="6" t="str">
        <x:v>MFR-LEGACY-001</x:v>
      </x:c>
      <x:c r="E248" s="6"/>
      <x:c r="F248" s="6"/>
      <x:c r="G248" s="6" t="str">
        <x:v>Unknown</x:v>
      </x:c>
      <x:c r="H248" s="6" t="str"/>
      <x:c r="I248" s="6" t="str"/>
      <x:c r="J248" s="6" t="str">
        <x:v>Unknown</x:v>
      </x:c>
      <x:c r="K248" s="6" t="str">
        <x:v>Unknown</x:v>
      </x:c>
      <x:c r="L248" s="12" t="str">
        <x:v>Unsupported Observation</x:v>
      </x:c>
      <x:c r="M248" s="12" t="str">
        <x:v>Nocturnix_Master_Services_Catalog_v1.xlsx | 01 - Master Services | row 287</x:v>
      </x:c>
      <x:c r="N248" s="6" t="str">
        <x:v>Unresolved</x:v>
      </x:c>
      <x:c r="O248" s="6" t="str"/>
      <x:c r="P248" s="6" t="str"/>
      <x:c r="Q248" s="6" t="str">
        <x:v>Pending</x:v>
      </x:c>
      <x:c r="R248" s="12" t="str"/>
    </x:row>
    <x:row r="249">
      <x:c r="A249" s="6" t="str">
        <x:v>MFRR-000248</x:v>
      </x:c>
      <x:c r="B249" s="6" t="str">
        <x:v>SVC000248</x:v>
      </x:c>
      <x:c r="C249" s="6" t="str">
        <x:v>iPhone 13 Pro Charge Port Replacement</x:v>
      </x:c>
      <x:c r="D249" s="6" t="str">
        <x:v>MFR-LEGACY-001</x:v>
      </x:c>
      <x:c r="E249" s="6"/>
      <x:c r="F249" s="6"/>
      <x:c r="G249" s="6" t="str">
        <x:v>Unknown</x:v>
      </x:c>
      <x:c r="H249" s="6" t="str"/>
      <x:c r="I249" s="6" t="str"/>
      <x:c r="J249" s="6" t="str">
        <x:v>Unknown</x:v>
      </x:c>
      <x:c r="K249" s="6" t="str">
        <x:v>Unknown</x:v>
      </x:c>
      <x:c r="L249" s="12" t="str">
        <x:v>Unsupported Observation</x:v>
      </x:c>
      <x:c r="M249" s="12" t="str">
        <x:v>Nocturnix_Master_Services_Catalog_v1.xlsx | 01 - Master Services | row 288</x:v>
      </x:c>
      <x:c r="N249" s="6" t="str">
        <x:v>Unresolved</x:v>
      </x:c>
      <x:c r="O249" s="6" t="str"/>
      <x:c r="P249" s="6" t="str"/>
      <x:c r="Q249" s="6" t="str">
        <x:v>Pending</x:v>
      </x:c>
      <x:c r="R249" s="12" t="str"/>
    </x:row>
    <x:row r="250">
      <x:c r="A250" s="6" t="str">
        <x:v>MFRR-000249</x:v>
      </x:c>
      <x:c r="B250" s="6" t="str">
        <x:v>SVC000249</x:v>
      </x:c>
      <x:c r="C250" s="6" t="str">
        <x:v>iPhone 13 Pro Max Charge Port Replacement</x:v>
      </x:c>
      <x:c r="D250" s="6" t="str">
        <x:v>MFR-LEGACY-001</x:v>
      </x:c>
      <x:c r="E250" s="6"/>
      <x:c r="F250" s="6"/>
      <x:c r="G250" s="6" t="str">
        <x:v>Unknown</x:v>
      </x:c>
      <x:c r="H250" s="6" t="str"/>
      <x:c r="I250" s="6" t="str"/>
      <x:c r="J250" s="6" t="str">
        <x:v>Unknown</x:v>
      </x:c>
      <x:c r="K250" s="6" t="str">
        <x:v>Unknown</x:v>
      </x:c>
      <x:c r="L250" s="12" t="str">
        <x:v>Unsupported Observation</x:v>
      </x:c>
      <x:c r="M250" s="12" t="str">
        <x:v>Nocturnix_Master_Services_Catalog_v1.xlsx | 01 - Master Services | row 289</x:v>
      </x:c>
      <x:c r="N250" s="6" t="str">
        <x:v>Unresolved</x:v>
      </x:c>
      <x:c r="O250" s="6" t="str"/>
      <x:c r="P250" s="6" t="str"/>
      <x:c r="Q250" s="6" t="str">
        <x:v>Pending</x:v>
      </x:c>
      <x:c r="R250" s="12" t="str"/>
    </x:row>
    <x:row r="251">
      <x:c r="A251" s="6" t="str">
        <x:v>MFRR-000250</x:v>
      </x:c>
      <x:c r="B251" s="6" t="str">
        <x:v>SVC000250</x:v>
      </x:c>
      <x:c r="C251" s="6" t="str">
        <x:v>iPhone SE (3RD GEN) Charge Port Replacement</x:v>
      </x:c>
      <x:c r="D251" s="6" t="str">
        <x:v>MFR-LEGACY-001</x:v>
      </x:c>
      <x:c r="E251" s="6"/>
      <x:c r="F251" s="6"/>
      <x:c r="G251" s="6" t="str">
        <x:v>Unknown</x:v>
      </x:c>
      <x:c r="H251" s="6" t="str"/>
      <x:c r="I251" s="6" t="str"/>
      <x:c r="J251" s="6" t="str">
        <x:v>Unknown</x:v>
      </x:c>
      <x:c r="K251" s="6" t="str">
        <x:v>Unknown</x:v>
      </x:c>
      <x:c r="L251" s="12" t="str">
        <x:v>Unsupported Observation</x:v>
      </x:c>
      <x:c r="M251" s="12" t="str">
        <x:v>Nocturnix_Master_Services_Catalog_v1.xlsx | 01 - Master Services | row 290</x:v>
      </x:c>
      <x:c r="N251" s="6" t="str">
        <x:v>Unresolved</x:v>
      </x:c>
      <x:c r="O251" s="6" t="str"/>
      <x:c r="P251" s="6" t="str"/>
      <x:c r="Q251" s="6" t="str">
        <x:v>Pending</x:v>
      </x:c>
      <x:c r="R251" s="12" t="str"/>
    </x:row>
    <x:row r="252">
      <x:c r="A252" s="6" t="str">
        <x:v>MFRR-000251</x:v>
      </x:c>
      <x:c r="B252" s="6" t="str">
        <x:v>SVC000251</x:v>
      </x:c>
      <x:c r="C252" s="6" t="str">
        <x:v>iPhone 14 Charge Port Replacement</x:v>
      </x:c>
      <x:c r="D252" s="6" t="str">
        <x:v>MFR-LEGACY-001</x:v>
      </x:c>
      <x:c r="E252" s="6"/>
      <x:c r="F252" s="6"/>
      <x:c r="G252" s="6" t="str">
        <x:v>Unknown</x:v>
      </x:c>
      <x:c r="H252" s="6" t="str"/>
      <x:c r="I252" s="6" t="str"/>
      <x:c r="J252" s="6" t="str">
        <x:v>Unknown</x:v>
      </x:c>
      <x:c r="K252" s="6" t="str">
        <x:v>Unknown</x:v>
      </x:c>
      <x:c r="L252" s="12" t="str">
        <x:v>Unsupported Observation</x:v>
      </x:c>
      <x:c r="M252" s="12" t="str">
        <x:v>Nocturnix_Master_Services_Catalog_v1.xlsx | 01 - Master Services | row 291</x:v>
      </x:c>
      <x:c r="N252" s="6" t="str">
        <x:v>Unresolved</x:v>
      </x:c>
      <x:c r="O252" s="6" t="str"/>
      <x:c r="P252" s="6" t="str"/>
      <x:c r="Q252" s="6" t="str">
        <x:v>Pending</x:v>
      </x:c>
      <x:c r="R252" s="12" t="str"/>
    </x:row>
    <x:row r="253">
      <x:c r="A253" s="6" t="str">
        <x:v>MFRR-000252</x:v>
      </x:c>
      <x:c r="B253" s="6" t="str">
        <x:v>SVC000252</x:v>
      </x:c>
      <x:c r="C253" s="6" t="str">
        <x:v>iPhone 14 Plus Charge Port Replacement</x:v>
      </x:c>
      <x:c r="D253" s="6" t="str">
        <x:v>MFR-LEGACY-001</x:v>
      </x:c>
      <x:c r="E253" s="6"/>
      <x:c r="F253" s="6"/>
      <x:c r="G253" s="6" t="str">
        <x:v>Unknown</x:v>
      </x:c>
      <x:c r="H253" s="6" t="str"/>
      <x:c r="I253" s="6" t="str"/>
      <x:c r="J253" s="6" t="str">
        <x:v>Unknown</x:v>
      </x:c>
      <x:c r="K253" s="6" t="str">
        <x:v>Unknown</x:v>
      </x:c>
      <x:c r="L253" s="12" t="str">
        <x:v>Unsupported Observation</x:v>
      </x:c>
      <x:c r="M253" s="12" t="str">
        <x:v>Nocturnix_Master_Services_Catalog_v1.xlsx | 01 - Master Services | row 292</x:v>
      </x:c>
      <x:c r="N253" s="6" t="str">
        <x:v>Unresolved</x:v>
      </x:c>
      <x:c r="O253" s="6" t="str"/>
      <x:c r="P253" s="6" t="str"/>
      <x:c r="Q253" s="6" t="str">
        <x:v>Pending</x:v>
      </x:c>
      <x:c r="R253" s="12" t="str"/>
    </x:row>
    <x:row r="254">
      <x:c r="A254" s="6" t="str">
        <x:v>MFRR-000253</x:v>
      </x:c>
      <x:c r="B254" s="6" t="str">
        <x:v>SVC000253</x:v>
      </x:c>
      <x:c r="C254" s="6" t="str">
        <x:v>iPhone 14 Pro Charge Port Replacement</x:v>
      </x:c>
      <x:c r="D254" s="6" t="str">
        <x:v>MFR-LEGACY-001</x:v>
      </x:c>
      <x:c r="E254" s="6"/>
      <x:c r="F254" s="6"/>
      <x:c r="G254" s="6" t="str">
        <x:v>Unknown</x:v>
      </x:c>
      <x:c r="H254" s="6" t="str"/>
      <x:c r="I254" s="6" t="str"/>
      <x:c r="J254" s="6" t="str">
        <x:v>Unknown</x:v>
      </x:c>
      <x:c r="K254" s="6" t="str">
        <x:v>Unknown</x:v>
      </x:c>
      <x:c r="L254" s="12" t="str">
        <x:v>Unsupported Observation</x:v>
      </x:c>
      <x:c r="M254" s="12" t="str">
        <x:v>Nocturnix_Master_Services_Catalog_v1.xlsx | 01 - Master Services | row 293</x:v>
      </x:c>
      <x:c r="N254" s="6" t="str">
        <x:v>Unresolved</x:v>
      </x:c>
      <x:c r="O254" s="6" t="str"/>
      <x:c r="P254" s="6" t="str"/>
      <x:c r="Q254" s="6" t="str">
        <x:v>Pending</x:v>
      </x:c>
      <x:c r="R254" s="12" t="str"/>
    </x:row>
    <x:row r="255">
      <x:c r="A255" s="6" t="str">
        <x:v>MFRR-000254</x:v>
      </x:c>
      <x:c r="B255" s="6" t="str">
        <x:v>SVC000254</x:v>
      </x:c>
      <x:c r="C255" s="6" t="str">
        <x:v>iPhone 14 Pro Max Charge Port Replacement</x:v>
      </x:c>
      <x:c r="D255" s="6" t="str">
        <x:v>MFR-LEGACY-001</x:v>
      </x:c>
      <x:c r="E255" s="6"/>
      <x:c r="F255" s="6"/>
      <x:c r="G255" s="6" t="str">
        <x:v>Unknown</x:v>
      </x:c>
      <x:c r="H255" s="6" t="str"/>
      <x:c r="I255" s="6" t="str"/>
      <x:c r="J255" s="6" t="str">
        <x:v>Unknown</x:v>
      </x:c>
      <x:c r="K255" s="6" t="str">
        <x:v>Unknown</x:v>
      </x:c>
      <x:c r="L255" s="12" t="str">
        <x:v>Unsupported Observation</x:v>
      </x:c>
      <x:c r="M255" s="12" t="str">
        <x:v>Nocturnix_Master_Services_Catalog_v1.xlsx | 01 - Master Services | row 294</x:v>
      </x:c>
      <x:c r="N255" s="6" t="str">
        <x:v>Unresolved</x:v>
      </x:c>
      <x:c r="O255" s="6" t="str"/>
      <x:c r="P255" s="6" t="str"/>
      <x:c r="Q255" s="6" t="str">
        <x:v>Pending</x:v>
      </x:c>
      <x:c r="R255" s="12" t="str"/>
    </x:row>
    <x:row r="256">
      <x:c r="A256" s="6" t="str">
        <x:v>MFRR-000255</x:v>
      </x:c>
      <x:c r="B256" s="6" t="str">
        <x:v>SVC000255</x:v>
      </x:c>
      <x:c r="C256" s="6" t="str">
        <x:v>iPhone 15 Charge Port Replacement</x:v>
      </x:c>
      <x:c r="D256" s="6" t="str">
        <x:v>MFR-LEGACY-001</x:v>
      </x:c>
      <x:c r="E256" s="6"/>
      <x:c r="F256" s="6"/>
      <x:c r="G256" s="6" t="str">
        <x:v>Unknown</x:v>
      </x:c>
      <x:c r="H256" s="6" t="str"/>
      <x:c r="I256" s="6" t="str"/>
      <x:c r="J256" s="6" t="str">
        <x:v>Unknown</x:v>
      </x:c>
      <x:c r="K256" s="6" t="str">
        <x:v>Unknown</x:v>
      </x:c>
      <x:c r="L256" s="12" t="str">
        <x:v>Unsupported Observation</x:v>
      </x:c>
      <x:c r="M256" s="12" t="str">
        <x:v>Nocturnix_Master_Services_Catalog_v1.xlsx | 01 - Master Services | row 295</x:v>
      </x:c>
      <x:c r="N256" s="6" t="str">
        <x:v>Unresolved</x:v>
      </x:c>
      <x:c r="O256" s="6" t="str"/>
      <x:c r="P256" s="6" t="str"/>
      <x:c r="Q256" s="6" t="str">
        <x:v>Pending</x:v>
      </x:c>
      <x:c r="R256" s="12" t="str"/>
    </x:row>
    <x:row r="257">
      <x:c r="A257" s="6" t="str">
        <x:v>MFRR-000256</x:v>
      </x:c>
      <x:c r="B257" s="6" t="str">
        <x:v>SVC000256</x:v>
      </x:c>
      <x:c r="C257" s="6" t="str">
        <x:v>iPhone 15 Plus Charge Port Replacement</x:v>
      </x:c>
      <x:c r="D257" s="6" t="str">
        <x:v>MFR-LEGACY-001</x:v>
      </x:c>
      <x:c r="E257" s="6"/>
      <x:c r="F257" s="6"/>
      <x:c r="G257" s="6" t="str">
        <x:v>Unknown</x:v>
      </x:c>
      <x:c r="H257" s="6" t="str"/>
      <x:c r="I257" s="6" t="str"/>
      <x:c r="J257" s="6" t="str">
        <x:v>Unknown</x:v>
      </x:c>
      <x:c r="K257" s="6" t="str">
        <x:v>Unknown</x:v>
      </x:c>
      <x:c r="L257" s="12" t="str">
        <x:v>Unsupported Observation</x:v>
      </x:c>
      <x:c r="M257" s="12" t="str">
        <x:v>Nocturnix_Master_Services_Catalog_v1.xlsx | 01 - Master Services | row 296</x:v>
      </x:c>
      <x:c r="N257" s="6" t="str">
        <x:v>Unresolved</x:v>
      </x:c>
      <x:c r="O257" s="6" t="str"/>
      <x:c r="P257" s="6" t="str"/>
      <x:c r="Q257" s="6" t="str">
        <x:v>Pending</x:v>
      </x:c>
      <x:c r="R257" s="12" t="str"/>
    </x:row>
    <x:row r="258">
      <x:c r="A258" s="6" t="str">
        <x:v>MFRR-000257</x:v>
      </x:c>
      <x:c r="B258" s="6" t="str">
        <x:v>SVC000257</x:v>
      </x:c>
      <x:c r="C258" s="6" t="str">
        <x:v>iPhone 15 Pro Phone Charge Port Replacement</x:v>
      </x:c>
      <x:c r="D258" s="6" t="str">
        <x:v>MFR-LEGACY-001</x:v>
      </x:c>
      <x:c r="E258" s="6"/>
      <x:c r="F258" s="6"/>
      <x:c r="G258" s="6" t="str">
        <x:v>Unknown</x:v>
      </x:c>
      <x:c r="H258" s="6" t="str"/>
      <x:c r="I258" s="6" t="str"/>
      <x:c r="J258" s="6" t="str">
        <x:v>Unknown</x:v>
      </x:c>
      <x:c r="K258" s="6" t="str">
        <x:v>Unknown</x:v>
      </x:c>
      <x:c r="L258" s="12" t="str">
        <x:v>Unsupported Observation</x:v>
      </x:c>
      <x:c r="M258" s="12" t="str">
        <x:v>Nocturnix_Master_Services_Catalog_v1.xlsx | 01 - Master Services | row 297</x:v>
      </x:c>
      <x:c r="N258" s="6" t="str">
        <x:v>Unresolved</x:v>
      </x:c>
      <x:c r="O258" s="6" t="str"/>
      <x:c r="P258" s="6" t="str"/>
      <x:c r="Q258" s="6" t="str">
        <x:v>Pending</x:v>
      </x:c>
      <x:c r="R258" s="12" t="str"/>
    </x:row>
    <x:row r="259">
      <x:c r="A259" s="6" t="str">
        <x:v>MFRR-000258</x:v>
      </x:c>
      <x:c r="B259" s="6" t="str">
        <x:v>SVC000258</x:v>
      </x:c>
      <x:c r="C259" s="6" t="str">
        <x:v>iPhone 15 Pro Max Charge Port Replacement</x:v>
      </x:c>
      <x:c r="D259" s="6" t="str">
        <x:v>MFR-LEGACY-001</x:v>
      </x:c>
      <x:c r="E259" s="6"/>
      <x:c r="F259" s="6"/>
      <x:c r="G259" s="6" t="str">
        <x:v>Unknown</x:v>
      </x:c>
      <x:c r="H259" s="6" t="str"/>
      <x:c r="I259" s="6" t="str"/>
      <x:c r="J259" s="6" t="str">
        <x:v>Unknown</x:v>
      </x:c>
      <x:c r="K259" s="6" t="str">
        <x:v>Unknown</x:v>
      </x:c>
      <x:c r="L259" s="12" t="str">
        <x:v>Unsupported Observation</x:v>
      </x:c>
      <x:c r="M259" s="12" t="str">
        <x:v>Nocturnix_Master_Services_Catalog_v1.xlsx | 01 - Master Services | row 298</x:v>
      </x:c>
      <x:c r="N259" s="6" t="str">
        <x:v>Unresolved</x:v>
      </x:c>
      <x:c r="O259" s="6" t="str"/>
      <x:c r="P259" s="6" t="str"/>
      <x:c r="Q259" s="6" t="str">
        <x:v>Pending</x:v>
      </x:c>
      <x:c r="R259" s="12" t="str"/>
    </x:row>
    <x:row r="260">
      <x:c r="A260" s="6" t="str">
        <x:v>MFRR-000259</x:v>
      </x:c>
      <x:c r="B260" s="6" t="str">
        <x:v>SVC000259</x:v>
      </x:c>
      <x:c r="C260" s="6" t="str">
        <x:v>iPhone 16 Charge Port Replacement</x:v>
      </x:c>
      <x:c r="D260" s="6" t="str">
        <x:v>MFR-LEGACY-001</x:v>
      </x:c>
      <x:c r="E260" s="6"/>
      <x:c r="F260" s="6"/>
      <x:c r="G260" s="6" t="str">
        <x:v>Unknown</x:v>
      </x:c>
      <x:c r="H260" s="6" t="str"/>
      <x:c r="I260" s="6" t="str"/>
      <x:c r="J260" s="6" t="str">
        <x:v>Unknown</x:v>
      </x:c>
      <x:c r="K260" s="6" t="str">
        <x:v>Unknown</x:v>
      </x:c>
      <x:c r="L260" s="12" t="str">
        <x:v>Unsupported Observation</x:v>
      </x:c>
      <x:c r="M260" s="12" t="str">
        <x:v>Nocturnix_Master_Services_Catalog_v1.xlsx | 01 - Master Services | row 299</x:v>
      </x:c>
      <x:c r="N260" s="6" t="str">
        <x:v>Unresolved</x:v>
      </x:c>
      <x:c r="O260" s="6" t="str"/>
      <x:c r="P260" s="6" t="str"/>
      <x:c r="Q260" s="6" t="str">
        <x:v>Pending</x:v>
      </x:c>
      <x:c r="R260" s="12" t="str"/>
    </x:row>
    <x:row r="261">
      <x:c r="A261" s="6" t="str">
        <x:v>MFRR-000260</x:v>
      </x:c>
      <x:c r="B261" s="6" t="str">
        <x:v>SVC000260</x:v>
      </x:c>
      <x:c r="C261" s="6" t="str">
        <x:v>iPhone 16 Plus Charge Port Replacement</x:v>
      </x:c>
      <x:c r="D261" s="6" t="str">
        <x:v>MFR-LEGACY-001</x:v>
      </x:c>
      <x:c r="E261" s="6"/>
      <x:c r="F261" s="6"/>
      <x:c r="G261" s="6" t="str">
        <x:v>Unknown</x:v>
      </x:c>
      <x:c r="H261" s="6" t="str"/>
      <x:c r="I261" s="6" t="str"/>
      <x:c r="J261" s="6" t="str">
        <x:v>Unknown</x:v>
      </x:c>
      <x:c r="K261" s="6" t="str">
        <x:v>Unknown</x:v>
      </x:c>
      <x:c r="L261" s="12" t="str">
        <x:v>Unsupported Observation</x:v>
      </x:c>
      <x:c r="M261" s="12" t="str">
        <x:v>Nocturnix_Master_Services_Catalog_v1.xlsx | 01 - Master Services | row 300</x:v>
      </x:c>
      <x:c r="N261" s="6" t="str">
        <x:v>Unresolved</x:v>
      </x:c>
      <x:c r="O261" s="6" t="str"/>
      <x:c r="P261" s="6" t="str"/>
      <x:c r="Q261" s="6" t="str">
        <x:v>Pending</x:v>
      </x:c>
      <x:c r="R261" s="12" t="str"/>
    </x:row>
    <x:row r="262">
      <x:c r="A262" s="6" t="str">
        <x:v>MFRR-000261</x:v>
      </x:c>
      <x:c r="B262" s="6" t="str">
        <x:v>SVC000261</x:v>
      </x:c>
      <x:c r="C262" s="6" t="str">
        <x:v>iPhone 16 Pro Charge Port Replacement</x:v>
      </x:c>
      <x:c r="D262" s="6" t="str">
        <x:v>MFR-LEGACY-001</x:v>
      </x:c>
      <x:c r="E262" s="6"/>
      <x:c r="F262" s="6"/>
      <x:c r="G262" s="6" t="str">
        <x:v>Unknown</x:v>
      </x:c>
      <x:c r="H262" s="6" t="str"/>
      <x:c r="I262" s="6" t="str"/>
      <x:c r="J262" s="6" t="str">
        <x:v>Unknown</x:v>
      </x:c>
      <x:c r="K262" s="6" t="str">
        <x:v>Unknown</x:v>
      </x:c>
      <x:c r="L262" s="12" t="str">
        <x:v>Unsupported Observation</x:v>
      </x:c>
      <x:c r="M262" s="12" t="str">
        <x:v>Nocturnix_Master_Services_Catalog_v1.xlsx | 01 - Master Services | row 301</x:v>
      </x:c>
      <x:c r="N262" s="6" t="str">
        <x:v>Unresolved</x:v>
      </x:c>
      <x:c r="O262" s="6" t="str"/>
      <x:c r="P262" s="6" t="str"/>
      <x:c r="Q262" s="6" t="str">
        <x:v>Pending</x:v>
      </x:c>
      <x:c r="R262" s="12" t="str"/>
    </x:row>
    <x:row r="263">
      <x:c r="A263" s="6" t="str">
        <x:v>MFRR-000262</x:v>
      </x:c>
      <x:c r="B263" s="6" t="str">
        <x:v>SVC000262</x:v>
      </x:c>
      <x:c r="C263" s="6" t="str">
        <x:v>iPhone 16 Pro Max Charge Port Replacement</x:v>
      </x:c>
      <x:c r="D263" s="6" t="str">
        <x:v>MFR-LEGACY-001</x:v>
      </x:c>
      <x:c r="E263" s="6"/>
      <x:c r="F263" s="6"/>
      <x:c r="G263" s="6" t="str">
        <x:v>Unknown</x:v>
      </x:c>
      <x:c r="H263" s="6" t="str"/>
      <x:c r="I263" s="6" t="str"/>
      <x:c r="J263" s="6" t="str">
        <x:v>Unknown</x:v>
      </x:c>
      <x:c r="K263" s="6" t="str">
        <x:v>Unknown</x:v>
      </x:c>
      <x:c r="L263" s="12" t="str">
        <x:v>Unsupported Observation</x:v>
      </x:c>
      <x:c r="M263" s="12" t="str">
        <x:v>Nocturnix_Master_Services_Catalog_v1.xlsx | 01 - Master Services | row 302</x:v>
      </x:c>
      <x:c r="N263" s="6" t="str">
        <x:v>Unresolved</x:v>
      </x:c>
      <x:c r="O263" s="6" t="str"/>
      <x:c r="P263" s="6" t="str"/>
      <x:c r="Q263" s="6" t="str">
        <x:v>Pending</x:v>
      </x:c>
      <x:c r="R263" s="12" t="str"/>
    </x:row>
    <x:row r="264">
      <x:c r="A264" s="6" t="str">
        <x:v>MFRR-000263</x:v>
      </x:c>
      <x:c r="B264" s="6" t="str">
        <x:v>SVC000263</x:v>
      </x:c>
      <x:c r="C264" s="6" t="str">
        <x:v>iPhone 16E Charge Port Replacement</x:v>
      </x:c>
      <x:c r="D264" s="6" t="str">
        <x:v>MFR-LEGACY-001</x:v>
      </x:c>
      <x:c r="E264" s="6"/>
      <x:c r="F264" s="6"/>
      <x:c r="G264" s="6" t="str">
        <x:v>Unknown</x:v>
      </x:c>
      <x:c r="H264" s="6" t="str"/>
      <x:c r="I264" s="6" t="str"/>
      <x:c r="J264" s="6" t="str">
        <x:v>Unknown</x:v>
      </x:c>
      <x:c r="K264" s="6" t="str">
        <x:v>Unknown</x:v>
      </x:c>
      <x:c r="L264" s="12" t="str">
        <x:v>Unsupported Observation</x:v>
      </x:c>
      <x:c r="M264" s="12" t="str">
        <x:v>Nocturnix_Master_Services_Catalog_v1.xlsx | 01 - Master Services | row 303</x:v>
      </x:c>
      <x:c r="N264" s="6" t="str">
        <x:v>Unresolved</x:v>
      </x:c>
      <x:c r="O264" s="6" t="str"/>
      <x:c r="P264" s="6" t="str"/>
      <x:c r="Q264" s="6" t="str">
        <x:v>Pending</x:v>
      </x:c>
      <x:c r="R264" s="12" t="str"/>
    </x:row>
    <x:row r="265">
      <x:c r="A265" s="6" t="str">
        <x:v>MFRR-000264</x:v>
      </x:c>
      <x:c r="B265" s="6" t="str">
        <x:v>SVC000264</x:v>
      </x:c>
      <x:c r="C265" s="6" t="str">
        <x:v>iPhone 17 Charge Port Replacement</x:v>
      </x:c>
      <x:c r="D265" s="6" t="str">
        <x:v>MFR-LEGACY-001</x:v>
      </x:c>
      <x:c r="E265" s="6"/>
      <x:c r="F265" s="6"/>
      <x:c r="G265" s="6" t="str">
        <x:v>Unknown</x:v>
      </x:c>
      <x:c r="H265" s="6" t="str"/>
      <x:c r="I265" s="6" t="str"/>
      <x:c r="J265" s="6" t="str">
        <x:v>Unknown</x:v>
      </x:c>
      <x:c r="K265" s="6" t="str">
        <x:v>Unknown</x:v>
      </x:c>
      <x:c r="L265" s="12" t="str">
        <x:v>Unsupported Observation</x:v>
      </x:c>
      <x:c r="M265" s="12" t="str">
        <x:v>Nocturnix_Master_Services_Catalog_v1.xlsx | 01 - Master Services | row 304</x:v>
      </x:c>
      <x:c r="N265" s="6" t="str">
        <x:v>Unresolved</x:v>
      </x:c>
      <x:c r="O265" s="6" t="str"/>
      <x:c r="P265" s="6" t="str"/>
      <x:c r="Q265" s="6" t="str">
        <x:v>Pending</x:v>
      </x:c>
      <x:c r="R265" s="12" t="str"/>
    </x:row>
    <x:row r="266">
      <x:c r="A266" s="6" t="str">
        <x:v>MFRR-000265</x:v>
      </x:c>
      <x:c r="B266" s="6" t="str">
        <x:v>SVC000265</x:v>
      </x:c>
      <x:c r="C266" s="6" t="str">
        <x:v>iPhone 17 Pro Charge Port Replacement</x:v>
      </x:c>
      <x:c r="D266" s="6" t="str">
        <x:v>MFR-LEGACY-001</x:v>
      </x:c>
      <x:c r="E266" s="6"/>
      <x:c r="F266" s="6"/>
      <x:c r="G266" s="6" t="str">
        <x:v>Unknown</x:v>
      </x:c>
      <x:c r="H266" s="6" t="str"/>
      <x:c r="I266" s="6" t="str"/>
      <x:c r="J266" s="6" t="str">
        <x:v>Unknown</x:v>
      </x:c>
      <x:c r="K266" s="6" t="str">
        <x:v>Unknown</x:v>
      </x:c>
      <x:c r="L266" s="12" t="str">
        <x:v>Unsupported Observation</x:v>
      </x:c>
      <x:c r="M266" s="12" t="str">
        <x:v>Nocturnix_Master_Services_Catalog_v1.xlsx | 01 - Master Services | row 305</x:v>
      </x:c>
      <x:c r="N266" s="6" t="str">
        <x:v>Unresolved</x:v>
      </x:c>
      <x:c r="O266" s="6" t="str"/>
      <x:c r="P266" s="6" t="str"/>
      <x:c r="Q266" s="6" t="str">
        <x:v>Pending</x:v>
      </x:c>
      <x:c r="R266" s="12" t="str"/>
    </x:row>
    <x:row r="267">
      <x:c r="A267" s="6" t="str">
        <x:v>MFRR-000266</x:v>
      </x:c>
      <x:c r="B267" s="6" t="str">
        <x:v>SVC000266</x:v>
      </x:c>
      <x:c r="C267" s="6" t="str">
        <x:v>iPhone 17 Pro Max Phone* Charge Port Replacement</x:v>
      </x:c>
      <x:c r="D267" s="6" t="str">
        <x:v>MFR-LEGACY-001</x:v>
      </x:c>
      <x:c r="E267" s="6"/>
      <x:c r="F267" s="6"/>
      <x:c r="G267" s="6" t="str">
        <x:v>Unknown</x:v>
      </x:c>
      <x:c r="H267" s="6" t="str"/>
      <x:c r="I267" s="6" t="str"/>
      <x:c r="J267" s="6" t="str">
        <x:v>Unknown</x:v>
      </x:c>
      <x:c r="K267" s="6" t="str">
        <x:v>Unknown</x:v>
      </x:c>
      <x:c r="L267" s="12" t="str">
        <x:v>Unsupported Observation</x:v>
      </x:c>
      <x:c r="M267" s="12" t="str">
        <x:v>Nocturnix_Master_Services_Catalog_v1.xlsx | 01 - Master Services | row 306</x:v>
      </x:c>
      <x:c r="N267" s="6" t="str">
        <x:v>Unresolved</x:v>
      </x:c>
      <x:c r="O267" s="6" t="str"/>
      <x:c r="P267" s="6" t="str"/>
      <x:c r="Q267" s="6" t="str">
        <x:v>Pending</x:v>
      </x:c>
      <x:c r="R267" s="12" t="str"/>
    </x:row>
    <x:row r="268">
      <x:c r="A268" s="6" t="str">
        <x:v>MFRR-000267</x:v>
      </x:c>
      <x:c r="B268" s="6" t="str">
        <x:v>SVC000267</x:v>
      </x:c>
      <x:c r="C268" s="6" t="str">
        <x:v>iPhone Air Charge Port Replacement</x:v>
      </x:c>
      <x:c r="D268" s="6" t="str">
        <x:v>MFR-LEGACY-001</x:v>
      </x:c>
      <x:c r="E268" s="6"/>
      <x:c r="F268" s="6"/>
      <x:c r="G268" s="6" t="str">
        <x:v>Unknown</x:v>
      </x:c>
      <x:c r="H268" s="6" t="str"/>
      <x:c r="I268" s="6" t="str"/>
      <x:c r="J268" s="6" t="str">
        <x:v>Unknown</x:v>
      </x:c>
      <x:c r="K268" s="6" t="str">
        <x:v>Unknown</x:v>
      </x:c>
      <x:c r="L268" s="12" t="str">
        <x:v>Unsupported Observation</x:v>
      </x:c>
      <x:c r="M268" s="12" t="str">
        <x:v>Nocturnix_Master_Services_Catalog_v1.xlsx | 01 - Master Services | row 307</x:v>
      </x:c>
      <x:c r="N268" s="6" t="str">
        <x:v>Unresolved</x:v>
      </x:c>
      <x:c r="O268" s="6" t="str"/>
      <x:c r="P268" s="6" t="str"/>
      <x:c r="Q268" s="6" t="str">
        <x:v>Pending</x:v>
      </x:c>
      <x:c r="R268" s="12" t="str"/>
    </x:row>
    <x:row r="269">
      <x:c r="A269" s="6" t="str">
        <x:v>MFRR-000268</x:v>
      </x:c>
      <x:c r="B269" s="6" t="str">
        <x:v>SVC000268</x:v>
      </x:c>
      <x:c r="C269" s="6" t="str">
        <x:v>nan Charge Port Replacement</x:v>
      </x:c>
      <x:c r="D269" s="6" t="str">
        <x:v>MFR-LEGACY-001</x:v>
      </x:c>
      <x:c r="E269" s="6"/>
      <x:c r="F269" s="6"/>
      <x:c r="G269" s="6" t="str">
        <x:v>Unknown</x:v>
      </x:c>
      <x:c r="H269" s="6" t="str"/>
      <x:c r="I269" s="6" t="str"/>
      <x:c r="J269" s="6" t="str">
        <x:v>Unknown</x:v>
      </x:c>
      <x:c r="K269" s="6" t="str">
        <x:v>Unknown</x:v>
      </x:c>
      <x:c r="L269" s="12" t="str">
        <x:v>Unsupported Observation</x:v>
      </x:c>
      <x:c r="M269" s="12" t="str">
        <x:v>Nocturnix_Master_Services_Catalog_v1.xlsx | 01 - Master Services | row 308</x:v>
      </x:c>
      <x:c r="N269" s="6" t="str">
        <x:v>Unresolved</x:v>
      </x:c>
      <x:c r="O269" s="6" t="str"/>
      <x:c r="P269" s="6" t="str"/>
      <x:c r="Q269" s="6" t="str">
        <x:v>Pending</x:v>
      </x:c>
      <x:c r="R269" s="12" t="str"/>
    </x:row>
    <x:row r="270">
      <x:c r="A270" s="6" t="str">
        <x:v>MFRR-000269</x:v>
      </x:c>
      <x:c r="B270" s="6" t="str">
        <x:v>SVC000269</x:v>
      </x:c>
      <x:c r="C270" s="6" t="str">
        <x:v>Galaxy S Classic Charge Port Replacement</x:v>
      </x:c>
      <x:c r="D270" s="6" t="str">
        <x:v>MFR-LEGACY-001</x:v>
      </x:c>
      <x:c r="E270" s="6"/>
      <x:c r="F270" s="6"/>
      <x:c r="G270" s="6" t="str">
        <x:v>Unknown</x:v>
      </x:c>
      <x:c r="H270" s="6" t="str"/>
      <x:c r="I270" s="6" t="str"/>
      <x:c r="J270" s="6" t="str">
        <x:v>Unknown</x:v>
      </x:c>
      <x:c r="K270" s="6" t="str">
        <x:v>Unknown</x:v>
      </x:c>
      <x:c r="L270" s="12" t="str">
        <x:v>Unsupported Observation</x:v>
      </x:c>
      <x:c r="M270" s="12" t="str">
        <x:v>Nocturnix_Master_Services_Catalog_v1.xlsx | 01 - Master Services | row 309</x:v>
      </x:c>
      <x:c r="N270" s="6" t="str">
        <x:v>Unresolved</x:v>
      </x:c>
      <x:c r="O270" s="6" t="str"/>
      <x:c r="P270" s="6" t="str"/>
      <x:c r="Q270" s="6" t="str">
        <x:v>Pending</x:v>
      </x:c>
      <x:c r="R270" s="12" t="str"/>
    </x:row>
    <x:row r="271">
      <x:c r="A271" s="6" t="str">
        <x:v>MFRR-000270</x:v>
      </x:c>
      <x:c r="B271" s="6" t="str">
        <x:v>SVC000270</x:v>
      </x:c>
      <x:c r="C271" s="6" t="str">
        <x:v>Galaxy S2 Charge Port Replacement</x:v>
      </x:c>
      <x:c r="D271" s="6" t="str">
        <x:v>MFR-LEGACY-001</x:v>
      </x:c>
      <x:c r="E271" s="6"/>
      <x:c r="F271" s="6"/>
      <x:c r="G271" s="6" t="str">
        <x:v>Unknown</x:v>
      </x:c>
      <x:c r="H271" s="6" t="str"/>
      <x:c r="I271" s="6" t="str"/>
      <x:c r="J271" s="6" t="str">
        <x:v>Unknown</x:v>
      </x:c>
      <x:c r="K271" s="6" t="str">
        <x:v>Unknown</x:v>
      </x:c>
      <x:c r="L271" s="12" t="str">
        <x:v>Unsupported Observation</x:v>
      </x:c>
      <x:c r="M271" s="12" t="str">
        <x:v>Nocturnix_Master_Services_Catalog_v1.xlsx | 01 - Master Services | row 310</x:v>
      </x:c>
      <x:c r="N271" s="6" t="str">
        <x:v>Unresolved</x:v>
      </x:c>
      <x:c r="O271" s="6" t="str"/>
      <x:c r="P271" s="6" t="str"/>
      <x:c r="Q271" s="6" t="str">
        <x:v>Pending</x:v>
      </x:c>
      <x:c r="R271" s="12" t="str"/>
    </x:row>
    <x:row r="272">
      <x:c r="A272" s="6" t="str">
        <x:v>MFRR-000271</x:v>
      </x:c>
      <x:c r="B272" s="6" t="str">
        <x:v>SVC000271</x:v>
      </x:c>
      <x:c r="C272" s="6" t="str">
        <x:v>Galaxy S3 Charge Port Replacement</x:v>
      </x:c>
      <x:c r="D272" s="6" t="str">
        <x:v>MFR-LEGACY-001</x:v>
      </x:c>
      <x:c r="E272" s="6"/>
      <x:c r="F272" s="6"/>
      <x:c r="G272" s="6" t="str">
        <x:v>Unknown</x:v>
      </x:c>
      <x:c r="H272" s="6" t="str"/>
      <x:c r="I272" s="6" t="str"/>
      <x:c r="J272" s="6" t="str">
        <x:v>Unknown</x:v>
      </x:c>
      <x:c r="K272" s="6" t="str">
        <x:v>Unknown</x:v>
      </x:c>
      <x:c r="L272" s="12" t="str">
        <x:v>Unsupported Observation</x:v>
      </x:c>
      <x:c r="M272" s="12" t="str">
        <x:v>Nocturnix_Master_Services_Catalog_v1.xlsx | 01 - Master Services | row 311</x:v>
      </x:c>
      <x:c r="N272" s="6" t="str">
        <x:v>Unresolved</x:v>
      </x:c>
      <x:c r="O272" s="6" t="str"/>
      <x:c r="P272" s="6" t="str"/>
      <x:c r="Q272" s="6" t="str">
        <x:v>Pending</x:v>
      </x:c>
      <x:c r="R272" s="12" t="str"/>
    </x:row>
    <x:row r="273">
      <x:c r="A273" s="6" t="str">
        <x:v>MFRR-000272</x:v>
      </x:c>
      <x:c r="B273" s="6" t="str">
        <x:v>SVC000272</x:v>
      </x:c>
      <x:c r="C273" s="6" t="str">
        <x:v>Galaxy S3 Mini Charge Port Replacement</x:v>
      </x:c>
      <x:c r="D273" s="6" t="str">
        <x:v>MFR-LEGACY-001</x:v>
      </x:c>
      <x:c r="E273" s="6"/>
      <x:c r="F273" s="6"/>
      <x:c r="G273" s="6" t="str">
        <x:v>Unknown</x:v>
      </x:c>
      <x:c r="H273" s="6" t="str"/>
      <x:c r="I273" s="6" t="str"/>
      <x:c r="J273" s="6" t="str">
        <x:v>Unknown</x:v>
      </x:c>
      <x:c r="K273" s="6" t="str">
        <x:v>Unknown</x:v>
      </x:c>
      <x:c r="L273" s="12" t="str">
        <x:v>Unsupported Observation</x:v>
      </x:c>
      <x:c r="M273" s="12" t="str">
        <x:v>Nocturnix_Master_Services_Catalog_v1.xlsx | 01 - Master Services | row 312</x:v>
      </x:c>
      <x:c r="N273" s="6" t="str">
        <x:v>Unresolved</x:v>
      </x:c>
      <x:c r="O273" s="6" t="str"/>
      <x:c r="P273" s="6" t="str"/>
      <x:c r="Q273" s="6" t="str">
        <x:v>Pending</x:v>
      </x:c>
      <x:c r="R273" s="12" t="str"/>
    </x:row>
    <x:row r="274">
      <x:c r="A274" s="6" t="str">
        <x:v>MFRR-000273</x:v>
      </x:c>
      <x:c r="B274" s="6" t="str">
        <x:v>SVC000273</x:v>
      </x:c>
      <x:c r="C274" s="6" t="str">
        <x:v>Galaxy S3 Neo Charge Port Replacement</x:v>
      </x:c>
      <x:c r="D274" s="6" t="str">
        <x:v>MFR-LEGACY-001</x:v>
      </x:c>
      <x:c r="E274" s="6"/>
      <x:c r="F274" s="6"/>
      <x:c r="G274" s="6" t="str">
        <x:v>Unknown</x:v>
      </x:c>
      <x:c r="H274" s="6" t="str"/>
      <x:c r="I274" s="6" t="str"/>
      <x:c r="J274" s="6" t="str">
        <x:v>Unknown</x:v>
      </x:c>
      <x:c r="K274" s="6" t="str">
        <x:v>Unknown</x:v>
      </x:c>
      <x:c r="L274" s="12" t="str">
        <x:v>Unsupported Observation</x:v>
      </x:c>
      <x:c r="M274" s="12" t="str">
        <x:v>Nocturnix_Master_Services_Catalog_v1.xlsx | 01 - Master Services | row 313</x:v>
      </x:c>
      <x:c r="N274" s="6" t="str">
        <x:v>Unresolved</x:v>
      </x:c>
      <x:c r="O274" s="6" t="str"/>
      <x:c r="P274" s="6" t="str"/>
      <x:c r="Q274" s="6" t="str">
        <x:v>Pending</x:v>
      </x:c>
      <x:c r="R274" s="12" t="str"/>
    </x:row>
    <x:row r="275">
      <x:c r="A275" s="6" t="str">
        <x:v>MFRR-000274</x:v>
      </x:c>
      <x:c r="B275" s="6" t="str">
        <x:v>SVC000274</x:v>
      </x:c>
      <x:c r="C275" s="6" t="str">
        <x:v>Galaxy S4 Charge Port Replacement</x:v>
      </x:c>
      <x:c r="D275" s="6" t="str">
        <x:v>MFR-LEGACY-001</x:v>
      </x:c>
      <x:c r="E275" s="6"/>
      <x:c r="F275" s="6"/>
      <x:c r="G275" s="6" t="str">
        <x:v>Unknown</x:v>
      </x:c>
      <x:c r="H275" s="6" t="str"/>
      <x:c r="I275" s="6" t="str"/>
      <x:c r="J275" s="6" t="str">
        <x:v>Unknown</x:v>
      </x:c>
      <x:c r="K275" s="6" t="str">
        <x:v>Unknown</x:v>
      </x:c>
      <x:c r="L275" s="12" t="str">
        <x:v>Unsupported Observation</x:v>
      </x:c>
      <x:c r="M275" s="12" t="str">
        <x:v>Nocturnix_Master_Services_Catalog_v1.xlsx | 01 - Master Services | row 314</x:v>
      </x:c>
      <x:c r="N275" s="6" t="str">
        <x:v>Unresolved</x:v>
      </x:c>
      <x:c r="O275" s="6" t="str"/>
      <x:c r="P275" s="6" t="str"/>
      <x:c r="Q275" s="6" t="str">
        <x:v>Pending</x:v>
      </x:c>
      <x:c r="R275" s="12" t="str"/>
    </x:row>
    <x:row r="276">
      <x:c r="A276" s="6" t="str">
        <x:v>MFRR-000275</x:v>
      </x:c>
      <x:c r="B276" s="6" t="str">
        <x:v>SVC000275</x:v>
      </x:c>
      <x:c r="C276" s="6" t="str">
        <x:v>Galaxy S 4 Mini Charge Port Replacement</x:v>
      </x:c>
      <x:c r="D276" s="6" t="str">
        <x:v>MFR-LEGACY-001</x:v>
      </x:c>
      <x:c r="E276" s="6"/>
      <x:c r="F276" s="6"/>
      <x:c r="G276" s="6" t="str">
        <x:v>Unknown</x:v>
      </x:c>
      <x:c r="H276" s="6" t="str"/>
      <x:c r="I276" s="6" t="str"/>
      <x:c r="J276" s="6" t="str">
        <x:v>Unknown</x:v>
      </x:c>
      <x:c r="K276" s="6" t="str">
        <x:v>Unknown</x:v>
      </x:c>
      <x:c r="L276" s="12" t="str">
        <x:v>Unsupported Observation</x:v>
      </x:c>
      <x:c r="M276" s="12" t="str">
        <x:v>Nocturnix_Master_Services_Catalog_v1.xlsx | 01 - Master Services | row 315</x:v>
      </x:c>
      <x:c r="N276" s="6" t="str">
        <x:v>Unresolved</x:v>
      </x:c>
      <x:c r="O276" s="6" t="str"/>
      <x:c r="P276" s="6" t="str"/>
      <x:c r="Q276" s="6" t="str">
        <x:v>Pending</x:v>
      </x:c>
      <x:c r="R276" s="12" t="str"/>
    </x:row>
    <x:row r="277">
      <x:c r="A277" s="6" t="str">
        <x:v>MFRR-000276</x:v>
      </x:c>
      <x:c r="B277" s="6" t="str">
        <x:v>SVC000276</x:v>
      </x:c>
      <x:c r="C277" s="6" t="str">
        <x:v>Galaxy S 4 Active Charge Port Replacement</x:v>
      </x:c>
      <x:c r="D277" s="6" t="str">
        <x:v>MFR-LEGACY-001</x:v>
      </x:c>
      <x:c r="E277" s="6"/>
      <x:c r="F277" s="6"/>
      <x:c r="G277" s="6" t="str">
        <x:v>Unknown</x:v>
      </x:c>
      <x:c r="H277" s="6" t="str"/>
      <x:c r="I277" s="6" t="str"/>
      <x:c r="J277" s="6" t="str">
        <x:v>Unknown</x:v>
      </x:c>
      <x:c r="K277" s="6" t="str">
        <x:v>Unknown</x:v>
      </x:c>
      <x:c r="L277" s="12" t="str">
        <x:v>Unsupported Observation</x:v>
      </x:c>
      <x:c r="M277" s="12" t="str">
        <x:v>Nocturnix_Master_Services_Catalog_v1.xlsx | 01 - Master Services | row 316</x:v>
      </x:c>
      <x:c r="N277" s="6" t="str">
        <x:v>Unresolved</x:v>
      </x:c>
      <x:c r="O277" s="6" t="str"/>
      <x:c r="P277" s="6" t="str"/>
      <x:c r="Q277" s="6" t="str">
        <x:v>Pending</x:v>
      </x:c>
      <x:c r="R277" s="12" t="str"/>
    </x:row>
    <x:row r="278">
      <x:c r="A278" s="6" t="str">
        <x:v>MFRR-000277</x:v>
      </x:c>
      <x:c r="B278" s="6" t="str">
        <x:v>SVC000277</x:v>
      </x:c>
      <x:c r="C278" s="6" t="str">
        <x:v>Galaxy S 5 Charge Port Replacement</x:v>
      </x:c>
      <x:c r="D278" s="6" t="str">
        <x:v>MFR-LEGACY-001</x:v>
      </x:c>
      <x:c r="E278" s="6"/>
      <x:c r="F278" s="6"/>
      <x:c r="G278" s="6" t="str">
        <x:v>Unknown</x:v>
      </x:c>
      <x:c r="H278" s="6" t="str"/>
      <x:c r="I278" s="6" t="str"/>
      <x:c r="J278" s="6" t="str">
        <x:v>Unknown</x:v>
      </x:c>
      <x:c r="K278" s="6" t="str">
        <x:v>Unknown</x:v>
      </x:c>
      <x:c r="L278" s="12" t="str">
        <x:v>Unsupported Observation</x:v>
      </x:c>
      <x:c r="M278" s="12" t="str">
        <x:v>Nocturnix_Master_Services_Catalog_v1.xlsx | 01 - Master Services | row 317</x:v>
      </x:c>
      <x:c r="N278" s="6" t="str">
        <x:v>Unresolved</x:v>
      </x:c>
      <x:c r="O278" s="6" t="str"/>
      <x:c r="P278" s="6" t="str"/>
      <x:c r="Q278" s="6" t="str">
        <x:v>Pending</x:v>
      </x:c>
      <x:c r="R278" s="12" t="str"/>
    </x:row>
    <x:row r="279">
      <x:c r="A279" s="6" t="str">
        <x:v>MFRR-000278</x:v>
      </x:c>
      <x:c r="B279" s="6" t="str">
        <x:v>SVC000278</x:v>
      </x:c>
      <x:c r="C279" s="6" t="str">
        <x:v>Galaxy S 5 Neo Charge Port Replacement</x:v>
      </x:c>
      <x:c r="D279" s="6" t="str">
        <x:v>MFR-LEGACY-001</x:v>
      </x:c>
      <x:c r="E279" s="6"/>
      <x:c r="F279" s="6"/>
      <x:c r="G279" s="6" t="str">
        <x:v>Unknown</x:v>
      </x:c>
      <x:c r="H279" s="6" t="str"/>
      <x:c r="I279" s="6" t="str"/>
      <x:c r="J279" s="6" t="str">
        <x:v>Unknown</x:v>
      </x:c>
      <x:c r="K279" s="6" t="str">
        <x:v>Unknown</x:v>
      </x:c>
      <x:c r="L279" s="12" t="str">
        <x:v>Unsupported Observation</x:v>
      </x:c>
      <x:c r="M279" s="12" t="str">
        <x:v>Nocturnix_Master_Services_Catalog_v1.xlsx | 01 - Master Services | row 318</x:v>
      </x:c>
      <x:c r="N279" s="6" t="str">
        <x:v>Unresolved</x:v>
      </x:c>
      <x:c r="O279" s="6" t="str"/>
      <x:c r="P279" s="6" t="str"/>
      <x:c r="Q279" s="6" t="str">
        <x:v>Pending</x:v>
      </x:c>
      <x:c r="R279" s="12" t="str"/>
    </x:row>
    <x:row r="280">
      <x:c r="A280" s="6" t="str">
        <x:v>MFRR-000279</x:v>
      </x:c>
      <x:c r="B280" s="6" t="str">
        <x:v>SVC000279</x:v>
      </x:c>
      <x:c r="C280" s="6" t="str">
        <x:v>Galaxy S 5 Active Charge Port Replacement</x:v>
      </x:c>
      <x:c r="D280" s="6" t="str">
        <x:v>MFR-LEGACY-001</x:v>
      </x:c>
      <x:c r="E280" s="6"/>
      <x:c r="F280" s="6"/>
      <x:c r="G280" s="6" t="str">
        <x:v>Unknown</x:v>
      </x:c>
      <x:c r="H280" s="6" t="str"/>
      <x:c r="I280" s="6" t="str"/>
      <x:c r="J280" s="6" t="str">
        <x:v>Unknown</x:v>
      </x:c>
      <x:c r="K280" s="6" t="str">
        <x:v>Unknown</x:v>
      </x:c>
      <x:c r="L280" s="12" t="str">
        <x:v>Unsupported Observation</x:v>
      </x:c>
      <x:c r="M280" s="12" t="str">
        <x:v>Nocturnix_Master_Services_Catalog_v1.xlsx | 01 - Master Services | row 319</x:v>
      </x:c>
      <x:c r="N280" s="6" t="str">
        <x:v>Unresolved</x:v>
      </x:c>
      <x:c r="O280" s="6" t="str"/>
      <x:c r="P280" s="6" t="str"/>
      <x:c r="Q280" s="6" t="str">
        <x:v>Pending</x:v>
      </x:c>
      <x:c r="R280" s="12" t="str"/>
    </x:row>
    <x:row r="281">
      <x:c r="A281" s="6" t="str">
        <x:v>MFRR-000280</x:v>
      </x:c>
      <x:c r="B281" s="6" t="str">
        <x:v>SVC000280</x:v>
      </x:c>
      <x:c r="C281" s="6" t="str">
        <x:v>Galaxy S 6 Charge Port Replacement</x:v>
      </x:c>
      <x:c r="D281" s="6" t="str">
        <x:v>MFR-LEGACY-001</x:v>
      </x:c>
      <x:c r="E281" s="6"/>
      <x:c r="F281" s="6"/>
      <x:c r="G281" s="6" t="str">
        <x:v>Unknown</x:v>
      </x:c>
      <x:c r="H281" s="6" t="str"/>
      <x:c r="I281" s="6" t="str"/>
      <x:c r="J281" s="6" t="str">
        <x:v>Unknown</x:v>
      </x:c>
      <x:c r="K281" s="6" t="str">
        <x:v>Unknown</x:v>
      </x:c>
      <x:c r="L281" s="12" t="str">
        <x:v>Unsupported Observation</x:v>
      </x:c>
      <x:c r="M281" s="12" t="str">
        <x:v>Nocturnix_Master_Services_Catalog_v1.xlsx | 01 - Master Services | row 320</x:v>
      </x:c>
      <x:c r="N281" s="6" t="str">
        <x:v>Unresolved</x:v>
      </x:c>
      <x:c r="O281" s="6" t="str"/>
      <x:c r="P281" s="6" t="str"/>
      <x:c r="Q281" s="6" t="str">
        <x:v>Pending</x:v>
      </x:c>
      <x:c r="R281" s="12" t="str"/>
    </x:row>
    <x:row r="282">
      <x:c r="A282" s="6" t="str">
        <x:v>MFRR-000281</x:v>
      </x:c>
      <x:c r="B282" s="6" t="str">
        <x:v>SVC000281</x:v>
      </x:c>
      <x:c r="C282" s="6" t="str">
        <x:v>Galaxy S 6 Edge Charge Port Replacement</x:v>
      </x:c>
      <x:c r="D282" s="6" t="str">
        <x:v>MFR-LEGACY-001</x:v>
      </x:c>
      <x:c r="E282" s="6"/>
      <x:c r="F282" s="6"/>
      <x:c r="G282" s="6" t="str">
        <x:v>Unknown</x:v>
      </x:c>
      <x:c r="H282" s="6" t="str"/>
      <x:c r="I282" s="6" t="str"/>
      <x:c r="J282" s="6" t="str">
        <x:v>Unknown</x:v>
      </x:c>
      <x:c r="K282" s="6" t="str">
        <x:v>Unknown</x:v>
      </x:c>
      <x:c r="L282" s="12" t="str">
        <x:v>Unsupported Observation</x:v>
      </x:c>
      <x:c r="M282" s="12" t="str">
        <x:v>Nocturnix_Master_Services_Catalog_v1.xlsx | 01 - Master Services | row 321</x:v>
      </x:c>
      <x:c r="N282" s="6" t="str">
        <x:v>Unresolved</x:v>
      </x:c>
      <x:c r="O282" s="6" t="str"/>
      <x:c r="P282" s="6" t="str"/>
      <x:c r="Q282" s="6" t="str">
        <x:v>Pending</x:v>
      </x:c>
      <x:c r="R282" s="12" t="str"/>
    </x:row>
    <x:row r="283">
      <x:c r="A283" s="6" t="str">
        <x:v>MFRR-000282</x:v>
      </x:c>
      <x:c r="B283" s="6" t="str">
        <x:v>SVC000282</x:v>
      </x:c>
      <x:c r="C283" s="6" t="str">
        <x:v>Galaxy S 6 Edge Plus Charge Port Replacement</x:v>
      </x:c>
      <x:c r="D283" s="6" t="str">
        <x:v>MFR-LEGACY-001</x:v>
      </x:c>
      <x:c r="E283" s="6"/>
      <x:c r="F283" s="6"/>
      <x:c r="G283" s="6" t="str">
        <x:v>Unknown</x:v>
      </x:c>
      <x:c r="H283" s="6" t="str"/>
      <x:c r="I283" s="6" t="str"/>
      <x:c r="J283" s="6" t="str">
        <x:v>Unknown</x:v>
      </x:c>
      <x:c r="K283" s="6" t="str">
        <x:v>Unknown</x:v>
      </x:c>
      <x:c r="L283" s="12" t="str">
        <x:v>Unsupported Observation</x:v>
      </x:c>
      <x:c r="M283" s="12" t="str">
        <x:v>Nocturnix_Master_Services_Catalog_v1.xlsx | 01 - Master Services | row 322</x:v>
      </x:c>
      <x:c r="N283" s="6" t="str">
        <x:v>Unresolved</x:v>
      </x:c>
      <x:c r="O283" s="6" t="str"/>
      <x:c r="P283" s="6" t="str"/>
      <x:c r="Q283" s="6" t="str">
        <x:v>Pending</x:v>
      </x:c>
      <x:c r="R283" s="12" t="str"/>
    </x:row>
    <x:row r="284">
      <x:c r="A284" s="6" t="str">
        <x:v>MFRR-000283</x:v>
      </x:c>
      <x:c r="B284" s="6" t="str">
        <x:v>SVC000283</x:v>
      </x:c>
      <x:c r="C284" s="6" t="str">
        <x:v>Galaxy S 6 Active Charge Port Replacement</x:v>
      </x:c>
      <x:c r="D284" s="6" t="str">
        <x:v>MFR-LEGACY-001</x:v>
      </x:c>
      <x:c r="E284" s="6"/>
      <x:c r="F284" s="6"/>
      <x:c r="G284" s="6" t="str">
        <x:v>Unknown</x:v>
      </x:c>
      <x:c r="H284" s="6" t="str"/>
      <x:c r="I284" s="6" t="str"/>
      <x:c r="J284" s="6" t="str">
        <x:v>Unknown</x:v>
      </x:c>
      <x:c r="K284" s="6" t="str">
        <x:v>Unknown</x:v>
      </x:c>
      <x:c r="L284" s="12" t="str">
        <x:v>Unsupported Observation</x:v>
      </x:c>
      <x:c r="M284" s="12" t="str">
        <x:v>Nocturnix_Master_Services_Catalog_v1.xlsx | 01 - Master Services | row 323</x:v>
      </x:c>
      <x:c r="N284" s="6" t="str">
        <x:v>Unresolved</x:v>
      </x:c>
      <x:c r="O284" s="6" t="str"/>
      <x:c r="P284" s="6" t="str"/>
      <x:c r="Q284" s="6" t="str">
        <x:v>Pending</x:v>
      </x:c>
      <x:c r="R284" s="12" t="str"/>
    </x:row>
    <x:row r="285">
      <x:c r="A285" s="6" t="str">
        <x:v>MFRR-000284</x:v>
      </x:c>
      <x:c r="B285" s="6" t="str">
        <x:v>SVC000284</x:v>
      </x:c>
      <x:c r="C285" s="6" t="str">
        <x:v>Galaxy S 7 Charge Port Replacement</x:v>
      </x:c>
      <x:c r="D285" s="6" t="str">
        <x:v>MFR-LEGACY-001</x:v>
      </x:c>
      <x:c r="E285" s="6"/>
      <x:c r="F285" s="6"/>
      <x:c r="G285" s="6" t="str">
        <x:v>Unknown</x:v>
      </x:c>
      <x:c r="H285" s="6" t="str"/>
      <x:c r="I285" s="6" t="str"/>
      <x:c r="J285" s="6" t="str">
        <x:v>Unknown</x:v>
      </x:c>
      <x:c r="K285" s="6" t="str">
        <x:v>Unknown</x:v>
      </x:c>
      <x:c r="L285" s="12" t="str">
        <x:v>Unsupported Observation</x:v>
      </x:c>
      <x:c r="M285" s="12" t="str">
        <x:v>Nocturnix_Master_Services_Catalog_v1.xlsx | 01 - Master Services | row 324</x:v>
      </x:c>
      <x:c r="N285" s="6" t="str">
        <x:v>Unresolved</x:v>
      </x:c>
      <x:c r="O285" s="6" t="str"/>
      <x:c r="P285" s="6" t="str"/>
      <x:c r="Q285" s="6" t="str">
        <x:v>Pending</x:v>
      </x:c>
      <x:c r="R285" s="12" t="str"/>
    </x:row>
    <x:row r="286">
      <x:c r="A286" s="6" t="str">
        <x:v>MFRR-000285</x:v>
      </x:c>
      <x:c r="B286" s="6" t="str">
        <x:v>SVC000285</x:v>
      </x:c>
      <x:c r="C286" s="6" t="str">
        <x:v>Galaxy S 7 Edge Charge Port Replacement</x:v>
      </x:c>
      <x:c r="D286" s="6" t="str">
        <x:v>MFR-LEGACY-001</x:v>
      </x:c>
      <x:c r="E286" s="6"/>
      <x:c r="F286" s="6"/>
      <x:c r="G286" s="6" t="str">
        <x:v>Unknown</x:v>
      </x:c>
      <x:c r="H286" s="6" t="str"/>
      <x:c r="I286" s="6" t="str"/>
      <x:c r="J286" s="6" t="str">
        <x:v>Unknown</x:v>
      </x:c>
      <x:c r="K286" s="6" t="str">
        <x:v>Unknown</x:v>
      </x:c>
      <x:c r="L286" s="12" t="str">
        <x:v>Unsupported Observation</x:v>
      </x:c>
      <x:c r="M286" s="12" t="str">
        <x:v>Nocturnix_Master_Services_Catalog_v1.xlsx | 01 - Master Services | row 325</x:v>
      </x:c>
      <x:c r="N286" s="6" t="str">
        <x:v>Unresolved</x:v>
      </x:c>
      <x:c r="O286" s="6" t="str"/>
      <x:c r="P286" s="6" t="str"/>
      <x:c r="Q286" s="6" t="str">
        <x:v>Pending</x:v>
      </x:c>
      <x:c r="R286" s="12" t="str"/>
    </x:row>
    <x:row r="287">
      <x:c r="A287" s="6" t="str">
        <x:v>MFRR-000286</x:v>
      </x:c>
      <x:c r="B287" s="6" t="str">
        <x:v>SVC000286</x:v>
      </x:c>
      <x:c r="C287" s="6" t="str">
        <x:v>Galaxy S 7 Active Charge Port Replacement</x:v>
      </x:c>
      <x:c r="D287" s="6" t="str">
        <x:v>MFR-LEGACY-001</x:v>
      </x:c>
      <x:c r="E287" s="6"/>
      <x:c r="F287" s="6"/>
      <x:c r="G287" s="6" t="str">
        <x:v>Unknown</x:v>
      </x:c>
      <x:c r="H287" s="6" t="str"/>
      <x:c r="I287" s="6" t="str"/>
      <x:c r="J287" s="6" t="str">
        <x:v>Unknown</x:v>
      </x:c>
      <x:c r="K287" s="6" t="str">
        <x:v>Unknown</x:v>
      </x:c>
      <x:c r="L287" s="12" t="str">
        <x:v>Unsupported Observation</x:v>
      </x:c>
      <x:c r="M287" s="12" t="str">
        <x:v>Nocturnix_Master_Services_Catalog_v1.xlsx | 01 - Master Services | row 326</x:v>
      </x:c>
      <x:c r="N287" s="6" t="str">
        <x:v>Unresolved</x:v>
      </x:c>
      <x:c r="O287" s="6" t="str"/>
      <x:c r="P287" s="6" t="str"/>
      <x:c r="Q287" s="6" t="str">
        <x:v>Pending</x:v>
      </x:c>
      <x:c r="R287" s="12" t="str"/>
    </x:row>
    <x:row r="288">
      <x:c r="A288" s="6" t="str">
        <x:v>MFRR-000287</x:v>
      </x:c>
      <x:c r="B288" s="6" t="str">
        <x:v>SVC000287</x:v>
      </x:c>
      <x:c r="C288" s="6" t="str">
        <x:v>Galaxy S 8 Charge Port Replacement</x:v>
      </x:c>
      <x:c r="D288" s="6" t="str">
        <x:v>MFR-LEGACY-001</x:v>
      </x:c>
      <x:c r="E288" s="6"/>
      <x:c r="F288" s="6"/>
      <x:c r="G288" s="6" t="str">
        <x:v>Unknown</x:v>
      </x:c>
      <x:c r="H288" s="6" t="str"/>
      <x:c r="I288" s="6" t="str"/>
      <x:c r="J288" s="6" t="str">
        <x:v>Unknown</x:v>
      </x:c>
      <x:c r="K288" s="6" t="str">
        <x:v>Unknown</x:v>
      </x:c>
      <x:c r="L288" s="12" t="str">
        <x:v>Unsupported Observation</x:v>
      </x:c>
      <x:c r="M288" s="12" t="str">
        <x:v>Nocturnix_Master_Services_Catalog_v1.xlsx | 01 - Master Services | row 327</x:v>
      </x:c>
      <x:c r="N288" s="6" t="str">
        <x:v>Unresolved</x:v>
      </x:c>
      <x:c r="O288" s="6" t="str"/>
      <x:c r="P288" s="6" t="str"/>
      <x:c r="Q288" s="6" t="str">
        <x:v>Pending</x:v>
      </x:c>
      <x:c r="R288" s="12" t="str"/>
    </x:row>
    <x:row r="289">
      <x:c r="A289" s="6" t="str">
        <x:v>MFRR-000288</x:v>
      </x:c>
      <x:c r="B289" s="6" t="str">
        <x:v>SVC000288</x:v>
      </x:c>
      <x:c r="C289" s="6" t="str">
        <x:v>Galaxy S 8 Plus Charge Port Replacement</x:v>
      </x:c>
      <x:c r="D289" s="6" t="str">
        <x:v>MFR-LEGACY-001</x:v>
      </x:c>
      <x:c r="E289" s="6"/>
      <x:c r="F289" s="6"/>
      <x:c r="G289" s="6" t="str">
        <x:v>Unknown</x:v>
      </x:c>
      <x:c r="H289" s="6" t="str"/>
      <x:c r="I289" s="6" t="str"/>
      <x:c r="J289" s="6" t="str">
        <x:v>Unknown</x:v>
      </x:c>
      <x:c r="K289" s="6" t="str">
        <x:v>Unknown</x:v>
      </x:c>
      <x:c r="L289" s="12" t="str">
        <x:v>Unsupported Observation</x:v>
      </x:c>
      <x:c r="M289" s="12" t="str">
        <x:v>Nocturnix_Master_Services_Catalog_v1.xlsx | 01 - Master Services | row 328</x:v>
      </x:c>
      <x:c r="N289" s="6" t="str">
        <x:v>Unresolved</x:v>
      </x:c>
      <x:c r="O289" s="6" t="str"/>
      <x:c r="P289" s="6" t="str"/>
      <x:c r="Q289" s="6" t="str">
        <x:v>Pending</x:v>
      </x:c>
      <x:c r="R289" s="12" t="str"/>
    </x:row>
    <x:row r="290">
      <x:c r="A290" s="6" t="str">
        <x:v>MFRR-000289</x:v>
      </x:c>
      <x:c r="B290" s="6" t="str">
        <x:v>SVC000289</x:v>
      </x:c>
      <x:c r="C290" s="6" t="str">
        <x:v>Galaxy S 8 Active Charge Port Replacement</x:v>
      </x:c>
      <x:c r="D290" s="6" t="str">
        <x:v>MFR-LEGACY-001</x:v>
      </x:c>
      <x:c r="E290" s="6"/>
      <x:c r="F290" s="6"/>
      <x:c r="G290" s="6" t="str">
        <x:v>Unknown</x:v>
      </x:c>
      <x:c r="H290" s="6" t="str"/>
      <x:c r="I290" s="6" t="str"/>
      <x:c r="J290" s="6" t="str">
        <x:v>Unknown</x:v>
      </x:c>
      <x:c r="K290" s="6" t="str">
        <x:v>Unknown</x:v>
      </x:c>
      <x:c r="L290" s="12" t="str">
        <x:v>Unsupported Observation</x:v>
      </x:c>
      <x:c r="M290" s="12" t="str">
        <x:v>Nocturnix_Master_Services_Catalog_v1.xlsx | 01 - Master Services | row 329</x:v>
      </x:c>
      <x:c r="N290" s="6" t="str">
        <x:v>Unresolved</x:v>
      </x:c>
      <x:c r="O290" s="6" t="str"/>
      <x:c r="P290" s="6" t="str"/>
      <x:c r="Q290" s="6" t="str">
        <x:v>Pending</x:v>
      </x:c>
      <x:c r="R290" s="12" t="str"/>
    </x:row>
    <x:row r="291">
      <x:c r="A291" s="6" t="str">
        <x:v>MFRR-000290</x:v>
      </x:c>
      <x:c r="B291" s="6" t="str">
        <x:v>SVC000290</x:v>
      </x:c>
      <x:c r="C291" s="6" t="str">
        <x:v>Galaxy S 9 Charge Port Replacement</x:v>
      </x:c>
      <x:c r="D291" s="6" t="str">
        <x:v>MFR-LEGACY-001</x:v>
      </x:c>
      <x:c r="E291" s="6"/>
      <x:c r="F291" s="6"/>
      <x:c r="G291" s="6" t="str">
        <x:v>Unknown</x:v>
      </x:c>
      <x:c r="H291" s="6" t="str"/>
      <x:c r="I291" s="6" t="str"/>
      <x:c r="J291" s="6" t="str">
        <x:v>Unknown</x:v>
      </x:c>
      <x:c r="K291" s="6" t="str">
        <x:v>Unknown</x:v>
      </x:c>
      <x:c r="L291" s="12" t="str">
        <x:v>Unsupported Observation</x:v>
      </x:c>
      <x:c r="M291" s="12" t="str">
        <x:v>Nocturnix_Master_Services_Catalog_v1.xlsx | 01 - Master Services | row 330</x:v>
      </x:c>
      <x:c r="N291" s="6" t="str">
        <x:v>Unresolved</x:v>
      </x:c>
      <x:c r="O291" s="6" t="str"/>
      <x:c r="P291" s="6" t="str"/>
      <x:c r="Q291" s="6" t="str">
        <x:v>Pending</x:v>
      </x:c>
      <x:c r="R291" s="12" t="str"/>
    </x:row>
    <x:row r="292">
      <x:c r="A292" s="6" t="str">
        <x:v>MFRR-000291</x:v>
      </x:c>
      <x:c r="B292" s="6" t="str">
        <x:v>SVC000291</x:v>
      </x:c>
      <x:c r="C292" s="6" t="str">
        <x:v>Galaxy S 9 Plus Charge Port Replacement</x:v>
      </x:c>
      <x:c r="D292" s="6" t="str">
        <x:v>MFR-LEGACY-001</x:v>
      </x:c>
      <x:c r="E292" s="6"/>
      <x:c r="F292" s="6"/>
      <x:c r="G292" s="6" t="str">
        <x:v>Unknown</x:v>
      </x:c>
      <x:c r="H292" s="6" t="str"/>
      <x:c r="I292" s="6" t="str"/>
      <x:c r="J292" s="6" t="str">
        <x:v>Unknown</x:v>
      </x:c>
      <x:c r="K292" s="6" t="str">
        <x:v>Unknown</x:v>
      </x:c>
      <x:c r="L292" s="12" t="str">
        <x:v>Unsupported Observation</x:v>
      </x:c>
      <x:c r="M292" s="12" t="str">
        <x:v>Nocturnix_Master_Services_Catalog_v1.xlsx | 01 - Master Services | row 331</x:v>
      </x:c>
      <x:c r="N292" s="6" t="str">
        <x:v>Unresolved</x:v>
      </x:c>
      <x:c r="O292" s="6" t="str"/>
      <x:c r="P292" s="6" t="str"/>
      <x:c r="Q292" s="6" t="str">
        <x:v>Pending</x:v>
      </x:c>
      <x:c r="R292" s="12" t="str"/>
    </x:row>
    <x:row r="293">
      <x:c r="A293" s="6" t="str">
        <x:v>MFRR-000292</x:v>
      </x:c>
      <x:c r="B293" s="6" t="str">
        <x:v>SVC000292</x:v>
      </x:c>
      <x:c r="C293" s="6" t="str">
        <x:v>Galaxy S 10 Charge Port Replacement</x:v>
      </x:c>
      <x:c r="D293" s="6" t="str">
        <x:v>MFR-LEGACY-001</x:v>
      </x:c>
      <x:c r="E293" s="6"/>
      <x:c r="F293" s="6"/>
      <x:c r="G293" s="6" t="str">
        <x:v>Unknown</x:v>
      </x:c>
      <x:c r="H293" s="6" t="str"/>
      <x:c r="I293" s="6" t="str"/>
      <x:c r="J293" s="6" t="str">
        <x:v>Unknown</x:v>
      </x:c>
      <x:c r="K293" s="6" t="str">
        <x:v>Unknown</x:v>
      </x:c>
      <x:c r="L293" s="12" t="str">
        <x:v>Unsupported Observation</x:v>
      </x:c>
      <x:c r="M293" s="12" t="str">
        <x:v>Nocturnix_Master_Services_Catalog_v1.xlsx | 01 - Master Services | row 332</x:v>
      </x:c>
      <x:c r="N293" s="6" t="str">
        <x:v>Unresolved</x:v>
      </x:c>
      <x:c r="O293" s="6" t="str"/>
      <x:c r="P293" s="6" t="str"/>
      <x:c r="Q293" s="6" t="str">
        <x:v>Pending</x:v>
      </x:c>
      <x:c r="R293" s="12" t="str"/>
    </x:row>
    <x:row r="294">
      <x:c r="A294" s="6" t="str">
        <x:v>MFRR-000293</x:v>
      </x:c>
      <x:c r="B294" s="6" t="str">
        <x:v>SVC000293</x:v>
      </x:c>
      <x:c r="C294" s="6" t="str">
        <x:v>Galaxy S 10 Plus Charge Port Replacement</x:v>
      </x:c>
      <x:c r="D294" s="6" t="str">
        <x:v>MFR-LEGACY-001</x:v>
      </x:c>
      <x:c r="E294" s="6"/>
      <x:c r="F294" s="6"/>
      <x:c r="G294" s="6" t="str">
        <x:v>Unknown</x:v>
      </x:c>
      <x:c r="H294" s="6" t="str"/>
      <x:c r="I294" s="6" t="str"/>
      <x:c r="J294" s="6" t="str">
        <x:v>Unknown</x:v>
      </x:c>
      <x:c r="K294" s="6" t="str">
        <x:v>Unknown</x:v>
      </x:c>
      <x:c r="L294" s="12" t="str">
        <x:v>Unsupported Observation</x:v>
      </x:c>
      <x:c r="M294" s="12" t="str">
        <x:v>Nocturnix_Master_Services_Catalog_v1.xlsx | 01 - Master Services | row 333</x:v>
      </x:c>
      <x:c r="N294" s="6" t="str">
        <x:v>Unresolved</x:v>
      </x:c>
      <x:c r="O294" s="6" t="str"/>
      <x:c r="P294" s="6" t="str"/>
      <x:c r="Q294" s="6" t="str">
        <x:v>Pending</x:v>
      </x:c>
      <x:c r="R294" s="12" t="str"/>
    </x:row>
    <x:row r="295">
      <x:c r="A295" s="6" t="str">
        <x:v>MFRR-000294</x:v>
      </x:c>
      <x:c r="B295" s="6" t="str">
        <x:v>SVC000294</x:v>
      </x:c>
      <x:c r="C295" s="6" t="str">
        <x:v>Galaxy S 10 E Charge Port Replacement</x:v>
      </x:c>
      <x:c r="D295" s="6" t="str">
        <x:v>MFR-LEGACY-001</x:v>
      </x:c>
      <x:c r="E295" s="6"/>
      <x:c r="F295" s="6"/>
      <x:c r="G295" s="6" t="str">
        <x:v>Unknown</x:v>
      </x:c>
      <x:c r="H295" s="6" t="str"/>
      <x:c r="I295" s="6" t="str"/>
      <x:c r="J295" s="6" t="str">
        <x:v>Unknown</x:v>
      </x:c>
      <x:c r="K295" s="6" t="str">
        <x:v>Unknown</x:v>
      </x:c>
      <x:c r="L295" s="12" t="str">
        <x:v>Unsupported Observation</x:v>
      </x:c>
      <x:c r="M295" s="12" t="str">
        <x:v>Nocturnix_Master_Services_Catalog_v1.xlsx | 01 - Master Services | row 334</x:v>
      </x:c>
      <x:c r="N295" s="6" t="str">
        <x:v>Unresolved</x:v>
      </x:c>
      <x:c r="O295" s="6" t="str"/>
      <x:c r="P295" s="6" t="str"/>
      <x:c r="Q295" s="6" t="str">
        <x:v>Pending</x:v>
      </x:c>
      <x:c r="R295" s="12" t="str"/>
    </x:row>
    <x:row r="296">
      <x:c r="A296" s="6" t="str">
        <x:v>MFRR-000295</x:v>
      </x:c>
      <x:c r="B296" s="6" t="str">
        <x:v>SVC000295</x:v>
      </x:c>
      <x:c r="C296" s="6" t="str">
        <x:v>Galaxy Note 8 Charge Port Replacement</x:v>
      </x:c>
      <x:c r="D296" s="6" t="str">
        <x:v>MFR-LEGACY-001</x:v>
      </x:c>
      <x:c r="E296" s="6"/>
      <x:c r="F296" s="6"/>
      <x:c r="G296" s="6" t="str">
        <x:v>Unknown</x:v>
      </x:c>
      <x:c r="H296" s="6" t="str"/>
      <x:c r="I296" s="6" t="str"/>
      <x:c r="J296" s="6" t="str">
        <x:v>Unknown</x:v>
      </x:c>
      <x:c r="K296" s="6" t="str">
        <x:v>Unknown</x:v>
      </x:c>
      <x:c r="L296" s="12" t="str">
        <x:v>Unsupported Observation</x:v>
      </x:c>
      <x:c r="M296" s="12" t="str">
        <x:v>Nocturnix_Master_Services_Catalog_v1.xlsx | 01 - Master Services | row 335</x:v>
      </x:c>
      <x:c r="N296" s="6" t="str">
        <x:v>Unresolved</x:v>
      </x:c>
      <x:c r="O296" s="6" t="str"/>
      <x:c r="P296" s="6" t="str"/>
      <x:c r="Q296" s="6" t="str">
        <x:v>Pending</x:v>
      </x:c>
      <x:c r="R296" s="12" t="str"/>
    </x:row>
    <x:row r="297">
      <x:c r="A297" s="6" t="str">
        <x:v>MFRR-000296</x:v>
      </x:c>
      <x:c r="B297" s="6" t="str">
        <x:v>SVC000296</x:v>
      </x:c>
      <x:c r="C297" s="6" t="str">
        <x:v>Galaxy Note 9 Charge Port Replacement</x:v>
      </x:c>
      <x:c r="D297" s="6" t="str">
        <x:v>MFR-LEGACY-001</x:v>
      </x:c>
      <x:c r="E297" s="6"/>
      <x:c r="F297" s="6"/>
      <x:c r="G297" s="6" t="str">
        <x:v>Unknown</x:v>
      </x:c>
      <x:c r="H297" s="6" t="str"/>
      <x:c r="I297" s="6" t="str"/>
      <x:c r="J297" s="6" t="str">
        <x:v>Unknown</x:v>
      </x:c>
      <x:c r="K297" s="6" t="str">
        <x:v>Unknown</x:v>
      </x:c>
      <x:c r="L297" s="12" t="str">
        <x:v>Unsupported Observation</x:v>
      </x:c>
      <x:c r="M297" s="12" t="str">
        <x:v>Nocturnix_Master_Services_Catalog_v1.xlsx | 01 - Master Services | row 336</x:v>
      </x:c>
      <x:c r="N297" s="6" t="str">
        <x:v>Unresolved</x:v>
      </x:c>
      <x:c r="O297" s="6" t="str"/>
      <x:c r="P297" s="6" t="str"/>
      <x:c r="Q297" s="6" t="str">
        <x:v>Pending</x:v>
      </x:c>
      <x:c r="R297" s="12" t="str"/>
    </x:row>
    <x:row r="298">
      <x:c r="A298" s="6" t="str">
        <x:v>MFRR-000297</x:v>
      </x:c>
      <x:c r="B298" s="6" t="str">
        <x:v>SVC000297</x:v>
      </x:c>
      <x:c r="C298" s="6" t="str">
        <x:v>Galaxy Note 10 Plus Charge Port Replacement</x:v>
      </x:c>
      <x:c r="D298" s="6" t="str">
        <x:v>MFR-LEGACY-001</x:v>
      </x:c>
      <x:c r="E298" s="6"/>
      <x:c r="F298" s="6"/>
      <x:c r="G298" s="6" t="str">
        <x:v>Unknown</x:v>
      </x:c>
      <x:c r="H298" s="6" t="str"/>
      <x:c r="I298" s="6" t="str"/>
      <x:c r="J298" s="6" t="str">
        <x:v>Unknown</x:v>
      </x:c>
      <x:c r="K298" s="6" t="str">
        <x:v>Unknown</x:v>
      </x:c>
      <x:c r="L298" s="12" t="str">
        <x:v>Unsupported Observation</x:v>
      </x:c>
      <x:c r="M298" s="12" t="str">
        <x:v>Nocturnix_Master_Services_Catalog_v1.xlsx | 01 - Master Services | row 337</x:v>
      </x:c>
      <x:c r="N298" s="6" t="str">
        <x:v>Unresolved</x:v>
      </x:c>
      <x:c r="O298" s="6" t="str"/>
      <x:c r="P298" s="6" t="str"/>
      <x:c r="Q298" s="6" t="str">
        <x:v>Pending</x:v>
      </x:c>
      <x:c r="R298" s="12" t="str"/>
    </x:row>
    <x:row r="299">
      <x:c r="A299" s="6" t="str">
        <x:v>MFRR-000298</x:v>
      </x:c>
      <x:c r="B299" s="6" t="str">
        <x:v>SVC000298</x:v>
      </x:c>
      <x:c r="C299" s="6" t="str">
        <x:v>Galaxy S 20 Charge Port Replacement</x:v>
      </x:c>
      <x:c r="D299" s="6" t="str">
        <x:v>MFR-LEGACY-001</x:v>
      </x:c>
      <x:c r="E299" s="6"/>
      <x:c r="F299" s="6"/>
      <x:c r="G299" s="6" t="str">
        <x:v>Unknown</x:v>
      </x:c>
      <x:c r="H299" s="6" t="str"/>
      <x:c r="I299" s="6" t="str"/>
      <x:c r="J299" s="6" t="str">
        <x:v>Unknown</x:v>
      </x:c>
      <x:c r="K299" s="6" t="str">
        <x:v>Unknown</x:v>
      </x:c>
      <x:c r="L299" s="12" t="str">
        <x:v>Unsupported Observation</x:v>
      </x:c>
      <x:c r="M299" s="12" t="str">
        <x:v>Nocturnix_Master_Services_Catalog_v1.xlsx | 01 - Master Services | row 338</x:v>
      </x:c>
      <x:c r="N299" s="6" t="str">
        <x:v>Unresolved</x:v>
      </x:c>
      <x:c r="O299" s="6" t="str"/>
      <x:c r="P299" s="6" t="str"/>
      <x:c r="Q299" s="6" t="str">
        <x:v>Pending</x:v>
      </x:c>
      <x:c r="R299" s="12" t="str"/>
    </x:row>
    <x:row r="300">
      <x:c r="A300" s="6" t="str">
        <x:v>MFRR-000299</x:v>
      </x:c>
      <x:c r="B300" s="6" t="str">
        <x:v>SVC000299</x:v>
      </x:c>
      <x:c r="C300" s="6" t="str">
        <x:v>Galaxy S 20 Plus Charge Port Replacement</x:v>
      </x:c>
      <x:c r="D300" s="6" t="str">
        <x:v>MFR-LEGACY-001</x:v>
      </x:c>
      <x:c r="E300" s="6"/>
      <x:c r="F300" s="6"/>
      <x:c r="G300" s="6" t="str">
        <x:v>Unknown</x:v>
      </x:c>
      <x:c r="H300" s="6" t="str"/>
      <x:c r="I300" s="6" t="str"/>
      <x:c r="J300" s="6" t="str">
        <x:v>Unknown</x:v>
      </x:c>
      <x:c r="K300" s="6" t="str">
        <x:v>Unknown</x:v>
      </x:c>
      <x:c r="L300" s="12" t="str">
        <x:v>Unsupported Observation</x:v>
      </x:c>
      <x:c r="M300" s="12" t="str">
        <x:v>Nocturnix_Master_Services_Catalog_v1.xlsx | 01 - Master Services | row 339</x:v>
      </x:c>
      <x:c r="N300" s="6" t="str">
        <x:v>Unresolved</x:v>
      </x:c>
      <x:c r="O300" s="6" t="str"/>
      <x:c r="P300" s="6" t="str"/>
      <x:c r="Q300" s="6" t="str">
        <x:v>Pending</x:v>
      </x:c>
      <x:c r="R300" s="12" t="str"/>
    </x:row>
    <x:row r="301">
      <x:c r="A301" s="6" t="str">
        <x:v>MFRR-000300</x:v>
      </x:c>
      <x:c r="B301" s="6" t="str">
        <x:v>SVC000300</x:v>
      </x:c>
      <x:c r="C301" s="6" t="str">
        <x:v>Galaxy S 20 Ultra Charge Port Replacement</x:v>
      </x:c>
      <x:c r="D301" s="6" t="str">
        <x:v>MFR-LEGACY-001</x:v>
      </x:c>
      <x:c r="E301" s="6"/>
      <x:c r="F301" s="6"/>
      <x:c r="G301" s="6" t="str">
        <x:v>Unknown</x:v>
      </x:c>
      <x:c r="H301" s="6" t="str"/>
      <x:c r="I301" s="6" t="str"/>
      <x:c r="J301" s="6" t="str">
        <x:v>Unknown</x:v>
      </x:c>
      <x:c r="K301" s="6" t="str">
        <x:v>Unknown</x:v>
      </x:c>
      <x:c r="L301" s="12" t="str">
        <x:v>Unsupported Observation</x:v>
      </x:c>
      <x:c r="M301" s="12" t="str">
        <x:v>Nocturnix_Master_Services_Catalog_v1.xlsx | 01 - Master Services | row 340</x:v>
      </x:c>
      <x:c r="N301" s="6" t="str">
        <x:v>Unresolved</x:v>
      </x:c>
      <x:c r="O301" s="6" t="str"/>
      <x:c r="P301" s="6" t="str"/>
      <x:c r="Q301" s="6" t="str">
        <x:v>Pending</x:v>
      </x:c>
      <x:c r="R301" s="12" t="str"/>
    </x:row>
    <x:row r="302">
      <x:c r="A302" s="6" t="str">
        <x:v>MFRR-000301</x:v>
      </x:c>
      <x:c r="B302" s="6" t="str">
        <x:v>SVC000301</x:v>
      </x:c>
      <x:c r="C302" s="6" t="str">
        <x:v>Galaxy S 20 FE Charge Port Replacement</x:v>
      </x:c>
      <x:c r="D302" s="6" t="str">
        <x:v>MFR-LEGACY-001</x:v>
      </x:c>
      <x:c r="E302" s="6"/>
      <x:c r="F302" s="6"/>
      <x:c r="G302" s="6" t="str">
        <x:v>Unknown</x:v>
      </x:c>
      <x:c r="H302" s="6" t="str"/>
      <x:c r="I302" s="6" t="str"/>
      <x:c r="J302" s="6" t="str">
        <x:v>Unknown</x:v>
      </x:c>
      <x:c r="K302" s="6" t="str">
        <x:v>Unknown</x:v>
      </x:c>
      <x:c r="L302" s="12" t="str">
        <x:v>Unsupported Observation</x:v>
      </x:c>
      <x:c r="M302" s="12" t="str">
        <x:v>Nocturnix_Master_Services_Catalog_v1.xlsx | 01 - Master Services | row 341</x:v>
      </x:c>
      <x:c r="N302" s="6" t="str">
        <x:v>Unresolved</x:v>
      </x:c>
      <x:c r="O302" s="6" t="str"/>
      <x:c r="P302" s="6" t="str"/>
      <x:c r="Q302" s="6" t="str">
        <x:v>Pending</x:v>
      </x:c>
      <x:c r="R302" s="12" t="str"/>
    </x:row>
    <x:row r="303">
      <x:c r="A303" s="6" t="str">
        <x:v>MFRR-000302</x:v>
      </x:c>
      <x:c r="B303" s="6" t="str">
        <x:v>SVC000302</x:v>
      </x:c>
      <x:c r="C303" s="6" t="str">
        <x:v>Galaxy S 21 Charge Port Replacement</x:v>
      </x:c>
      <x:c r="D303" s="6" t="str">
        <x:v>MFR-LEGACY-001</x:v>
      </x:c>
      <x:c r="E303" s="6"/>
      <x:c r="F303" s="6"/>
      <x:c r="G303" s="6" t="str">
        <x:v>Unknown</x:v>
      </x:c>
      <x:c r="H303" s="6" t="str"/>
      <x:c r="I303" s="6" t="str"/>
      <x:c r="J303" s="6" t="str">
        <x:v>Unknown</x:v>
      </x:c>
      <x:c r="K303" s="6" t="str">
        <x:v>Unknown</x:v>
      </x:c>
      <x:c r="L303" s="12" t="str">
        <x:v>Unsupported Observation</x:v>
      </x:c>
      <x:c r="M303" s="12" t="str">
        <x:v>Nocturnix_Master_Services_Catalog_v1.xlsx | 01 - Master Services | row 342</x:v>
      </x:c>
      <x:c r="N303" s="6" t="str">
        <x:v>Unresolved</x:v>
      </x:c>
      <x:c r="O303" s="6" t="str"/>
      <x:c r="P303" s="6" t="str"/>
      <x:c r="Q303" s="6" t="str">
        <x:v>Pending</x:v>
      </x:c>
      <x:c r="R303" s="12" t="str"/>
    </x:row>
    <x:row r="304">
      <x:c r="A304" s="6" t="str">
        <x:v>MFRR-000303</x:v>
      </x:c>
      <x:c r="B304" s="6" t="str">
        <x:v>SVC000303</x:v>
      </x:c>
      <x:c r="C304" s="6" t="str">
        <x:v>Galaxy S 21 Plus Charge Port Replacement</x:v>
      </x:c>
      <x:c r="D304" s="6" t="str">
        <x:v>MFR-LEGACY-001</x:v>
      </x:c>
      <x:c r="E304" s="6"/>
      <x:c r="F304" s="6"/>
      <x:c r="G304" s="6" t="str">
        <x:v>Unknown</x:v>
      </x:c>
      <x:c r="H304" s="6" t="str"/>
      <x:c r="I304" s="6" t="str"/>
      <x:c r="J304" s="6" t="str">
        <x:v>Unknown</x:v>
      </x:c>
      <x:c r="K304" s="6" t="str">
        <x:v>Unknown</x:v>
      </x:c>
      <x:c r="L304" s="12" t="str">
        <x:v>Unsupported Observation</x:v>
      </x:c>
      <x:c r="M304" s="12" t="str">
        <x:v>Nocturnix_Master_Services_Catalog_v1.xlsx | 01 - Master Services | row 343</x:v>
      </x:c>
      <x:c r="N304" s="6" t="str">
        <x:v>Unresolved</x:v>
      </x:c>
      <x:c r="O304" s="6" t="str"/>
      <x:c r="P304" s="6" t="str"/>
      <x:c r="Q304" s="6" t="str">
        <x:v>Pending</x:v>
      </x:c>
      <x:c r="R304" s="12" t="str"/>
    </x:row>
    <x:row r="305">
      <x:c r="A305" s="6" t="str">
        <x:v>MFRR-000304</x:v>
      </x:c>
      <x:c r="B305" s="6" t="str">
        <x:v>SVC000304</x:v>
      </x:c>
      <x:c r="C305" s="6" t="str">
        <x:v>Galaxy S 21 FE Charge Port Replacement</x:v>
      </x:c>
      <x:c r="D305" s="6" t="str">
        <x:v>MFR-LEGACY-001</x:v>
      </x:c>
      <x:c r="E305" s="6"/>
      <x:c r="F305" s="6"/>
      <x:c r="G305" s="6" t="str">
        <x:v>Unknown</x:v>
      </x:c>
      <x:c r="H305" s="6" t="str"/>
      <x:c r="I305" s="6" t="str"/>
      <x:c r="J305" s="6" t="str">
        <x:v>Unknown</x:v>
      </x:c>
      <x:c r="K305" s="6" t="str">
        <x:v>Unknown</x:v>
      </x:c>
      <x:c r="L305" s="12" t="str">
        <x:v>Unsupported Observation</x:v>
      </x:c>
      <x:c r="M305" s="12" t="str">
        <x:v>Nocturnix_Master_Services_Catalog_v1.xlsx | 01 - Master Services | row 344</x:v>
      </x:c>
      <x:c r="N305" s="6" t="str">
        <x:v>Unresolved</x:v>
      </x:c>
      <x:c r="O305" s="6" t="str"/>
      <x:c r="P305" s="6" t="str"/>
      <x:c r="Q305" s="6" t="str">
        <x:v>Pending</x:v>
      </x:c>
      <x:c r="R305" s="12" t="str"/>
    </x:row>
    <x:row r="306">
      <x:c r="A306" s="6" t="str">
        <x:v>MFRR-000305</x:v>
      </x:c>
      <x:c r="B306" s="6" t="str">
        <x:v>SVC000305</x:v>
      </x:c>
      <x:c r="C306" s="6" t="str">
        <x:v>Galaxy S 22 Charge Port Replacement</x:v>
      </x:c>
      <x:c r="D306" s="6" t="str">
        <x:v>MFR-LEGACY-001</x:v>
      </x:c>
      <x:c r="E306" s="6"/>
      <x:c r="F306" s="6"/>
      <x:c r="G306" s="6" t="str">
        <x:v>Unknown</x:v>
      </x:c>
      <x:c r="H306" s="6" t="str"/>
      <x:c r="I306" s="6" t="str"/>
      <x:c r="J306" s="6" t="str">
        <x:v>Unknown</x:v>
      </x:c>
      <x:c r="K306" s="6" t="str">
        <x:v>Unknown</x:v>
      </x:c>
      <x:c r="L306" s="12" t="str">
        <x:v>Unsupported Observation</x:v>
      </x:c>
      <x:c r="M306" s="12" t="str">
        <x:v>Nocturnix_Master_Services_Catalog_v1.xlsx | 01 - Master Services | row 345</x:v>
      </x:c>
      <x:c r="N306" s="6" t="str">
        <x:v>Unresolved</x:v>
      </x:c>
      <x:c r="O306" s="6" t="str"/>
      <x:c r="P306" s="6" t="str"/>
      <x:c r="Q306" s="6" t="str">
        <x:v>Pending</x:v>
      </x:c>
      <x:c r="R306" s="12" t="str"/>
    </x:row>
    <x:row r="307">
      <x:c r="A307" s="6" t="str">
        <x:v>MFRR-000306</x:v>
      </x:c>
      <x:c r="B307" s="6" t="str">
        <x:v>SVC000306</x:v>
      </x:c>
      <x:c r="C307" s="6" t="str">
        <x:v>Galaxy S 22 Plus Charge Port Replacement</x:v>
      </x:c>
      <x:c r="D307" s="6" t="str">
        <x:v>MFR-LEGACY-001</x:v>
      </x:c>
      <x:c r="E307" s="6"/>
      <x:c r="F307" s="6"/>
      <x:c r="G307" s="6" t="str">
        <x:v>Unknown</x:v>
      </x:c>
      <x:c r="H307" s="6" t="str"/>
      <x:c r="I307" s="6" t="str"/>
      <x:c r="J307" s="6" t="str">
        <x:v>Unknown</x:v>
      </x:c>
      <x:c r="K307" s="6" t="str">
        <x:v>Unknown</x:v>
      </x:c>
      <x:c r="L307" s="12" t="str">
        <x:v>Unsupported Observation</x:v>
      </x:c>
      <x:c r="M307" s="12" t="str">
        <x:v>Nocturnix_Master_Services_Catalog_v1.xlsx | 01 - Master Services | row 346</x:v>
      </x:c>
      <x:c r="N307" s="6" t="str">
        <x:v>Unresolved</x:v>
      </x:c>
      <x:c r="O307" s="6" t="str"/>
      <x:c r="P307" s="6" t="str"/>
      <x:c r="Q307" s="6" t="str">
        <x:v>Pending</x:v>
      </x:c>
      <x:c r="R307" s="12" t="str"/>
    </x:row>
    <x:row r="308">
      <x:c r="A308" s="6" t="str">
        <x:v>MFRR-000307</x:v>
      </x:c>
      <x:c r="B308" s="6" t="str">
        <x:v>SVC000307</x:v>
      </x:c>
      <x:c r="C308" s="6" t="str">
        <x:v>Galaxy S 22 Ultra Charge Port Replacement</x:v>
      </x:c>
      <x:c r="D308" s="6" t="str">
        <x:v>MFR-LEGACY-001</x:v>
      </x:c>
      <x:c r="E308" s="6"/>
      <x:c r="F308" s="6"/>
      <x:c r="G308" s="6" t="str">
        <x:v>Unknown</x:v>
      </x:c>
      <x:c r="H308" s="6" t="str"/>
      <x:c r="I308" s="6" t="str"/>
      <x:c r="J308" s="6" t="str">
        <x:v>Unknown</x:v>
      </x:c>
      <x:c r="K308" s="6" t="str">
        <x:v>Unknown</x:v>
      </x:c>
      <x:c r="L308" s="12" t="str">
        <x:v>Unsupported Observation</x:v>
      </x:c>
      <x:c r="M308" s="12" t="str">
        <x:v>Nocturnix_Master_Services_Catalog_v1.xlsx | 01 - Master Services | row 347</x:v>
      </x:c>
      <x:c r="N308" s="6" t="str">
        <x:v>Unresolved</x:v>
      </x:c>
      <x:c r="O308" s="6" t="str"/>
      <x:c r="P308" s="6" t="str"/>
      <x:c r="Q308" s="6" t="str">
        <x:v>Pending</x:v>
      </x:c>
      <x:c r="R308" s="12" t="str"/>
    </x:row>
    <x:row r="309">
      <x:c r="A309" s="6" t="str">
        <x:v>MFRR-000308</x:v>
      </x:c>
      <x:c r="B309" s="6" t="str">
        <x:v>SVC000308</x:v>
      </x:c>
      <x:c r="C309" s="6" t="str">
        <x:v>Galaxy S 23 Charge Port Replacement</x:v>
      </x:c>
      <x:c r="D309" s="6" t="str">
        <x:v>MFR-LEGACY-001</x:v>
      </x:c>
      <x:c r="E309" s="6"/>
      <x:c r="F309" s="6"/>
      <x:c r="G309" s="6" t="str">
        <x:v>Unknown</x:v>
      </x:c>
      <x:c r="H309" s="6" t="str"/>
      <x:c r="I309" s="6" t="str"/>
      <x:c r="J309" s="6" t="str">
        <x:v>Unknown</x:v>
      </x:c>
      <x:c r="K309" s="6" t="str">
        <x:v>Unknown</x:v>
      </x:c>
      <x:c r="L309" s="12" t="str">
        <x:v>Unsupported Observation</x:v>
      </x:c>
      <x:c r="M309" s="12" t="str">
        <x:v>Nocturnix_Master_Services_Catalog_v1.xlsx | 01 - Master Services | row 348</x:v>
      </x:c>
      <x:c r="N309" s="6" t="str">
        <x:v>Unresolved</x:v>
      </x:c>
      <x:c r="O309" s="6" t="str"/>
      <x:c r="P309" s="6" t="str"/>
      <x:c r="Q309" s="6" t="str">
        <x:v>Pending</x:v>
      </x:c>
      <x:c r="R309" s="12" t="str"/>
    </x:row>
    <x:row r="310">
      <x:c r="A310" s="6" t="str">
        <x:v>MFRR-000309</x:v>
      </x:c>
      <x:c r="B310" s="6" t="str">
        <x:v>SVC000309</x:v>
      </x:c>
      <x:c r="C310" s="6" t="str">
        <x:v>Galaxy S 23 Plus Charge Port Replacement</x:v>
      </x:c>
      <x:c r="D310" s="6" t="str">
        <x:v>MFR-LEGACY-001</x:v>
      </x:c>
      <x:c r="E310" s="6"/>
      <x:c r="F310" s="6"/>
      <x:c r="G310" s="6" t="str">
        <x:v>Unknown</x:v>
      </x:c>
      <x:c r="H310" s="6" t="str"/>
      <x:c r="I310" s="6" t="str"/>
      <x:c r="J310" s="6" t="str">
        <x:v>Unknown</x:v>
      </x:c>
      <x:c r="K310" s="6" t="str">
        <x:v>Unknown</x:v>
      </x:c>
      <x:c r="L310" s="12" t="str">
        <x:v>Unsupported Observation</x:v>
      </x:c>
      <x:c r="M310" s="12" t="str">
        <x:v>Nocturnix_Master_Services_Catalog_v1.xlsx | 01 - Master Services | row 349</x:v>
      </x:c>
      <x:c r="N310" s="6" t="str">
        <x:v>Unresolved</x:v>
      </x:c>
      <x:c r="O310" s="6" t="str"/>
      <x:c r="P310" s="6" t="str"/>
      <x:c r="Q310" s="6" t="str">
        <x:v>Pending</x:v>
      </x:c>
      <x:c r="R310" s="12" t="str"/>
    </x:row>
    <x:row r="311">
      <x:c r="A311" s="6" t="str">
        <x:v>MFRR-000310</x:v>
      </x:c>
      <x:c r="B311" s="6" t="str">
        <x:v>SVC000310</x:v>
      </x:c>
      <x:c r="C311" s="6" t="str">
        <x:v>Galaxy S 23 Ultra Charge Port Replacement</x:v>
      </x:c>
      <x:c r="D311" s="6" t="str">
        <x:v>MFR-LEGACY-001</x:v>
      </x:c>
      <x:c r="E311" s="6"/>
      <x:c r="F311" s="6"/>
      <x:c r="G311" s="6" t="str">
        <x:v>Unknown</x:v>
      </x:c>
      <x:c r="H311" s="6" t="str"/>
      <x:c r="I311" s="6" t="str"/>
      <x:c r="J311" s="6" t="str">
        <x:v>Unknown</x:v>
      </x:c>
      <x:c r="K311" s="6" t="str">
        <x:v>Unknown</x:v>
      </x:c>
      <x:c r="L311" s="12" t="str">
        <x:v>Unsupported Observation</x:v>
      </x:c>
      <x:c r="M311" s="12" t="str">
        <x:v>Nocturnix_Master_Services_Catalog_v1.xlsx | 01 - Master Services | row 350</x:v>
      </x:c>
      <x:c r="N311" s="6" t="str">
        <x:v>Unresolved</x:v>
      </x:c>
      <x:c r="O311" s="6" t="str"/>
      <x:c r="P311" s="6" t="str"/>
      <x:c r="Q311" s="6" t="str">
        <x:v>Pending</x:v>
      </x:c>
      <x:c r="R311" s="12" t="str"/>
    </x:row>
    <x:row r="312">
      <x:c r="A312" s="6" t="str">
        <x:v>MFRR-000311</x:v>
      </x:c>
      <x:c r="B312" s="6" t="str">
        <x:v>SVC000311</x:v>
      </x:c>
      <x:c r="C312" s="6" t="str">
        <x:v>Galaxy S 23 FE Charge Port Replacement</x:v>
      </x:c>
      <x:c r="D312" s="6" t="str">
        <x:v>MFR-LEGACY-001</x:v>
      </x:c>
      <x:c r="E312" s="6"/>
      <x:c r="F312" s="6"/>
      <x:c r="G312" s="6" t="str">
        <x:v>Unknown</x:v>
      </x:c>
      <x:c r="H312" s="6" t="str"/>
      <x:c r="I312" s="6" t="str"/>
      <x:c r="J312" s="6" t="str">
        <x:v>Unknown</x:v>
      </x:c>
      <x:c r="K312" s="6" t="str">
        <x:v>Unknown</x:v>
      </x:c>
      <x:c r="L312" s="12" t="str">
        <x:v>Unsupported Observation</x:v>
      </x:c>
      <x:c r="M312" s="12" t="str">
        <x:v>Nocturnix_Master_Services_Catalog_v1.xlsx | 01 - Master Services | row 351</x:v>
      </x:c>
      <x:c r="N312" s="6" t="str">
        <x:v>Unresolved</x:v>
      </x:c>
      <x:c r="O312" s="6" t="str"/>
      <x:c r="P312" s="6" t="str"/>
      <x:c r="Q312" s="6" t="str">
        <x:v>Pending</x:v>
      </x:c>
      <x:c r="R312" s="12" t="str"/>
    </x:row>
    <x:row r="313">
      <x:c r="A313" s="6" t="str">
        <x:v>MFRR-000312</x:v>
      </x:c>
      <x:c r="B313" s="6" t="str">
        <x:v>SVC000312</x:v>
      </x:c>
      <x:c r="C313" s="6" t="str">
        <x:v>Galaxy S 24 Charge Port Replacement</x:v>
      </x:c>
      <x:c r="D313" s="6" t="str">
        <x:v>MFR-LEGACY-001</x:v>
      </x:c>
      <x:c r="E313" s="6"/>
      <x:c r="F313" s="6"/>
      <x:c r="G313" s="6" t="str">
        <x:v>Unknown</x:v>
      </x:c>
      <x:c r="H313" s="6" t="str"/>
      <x:c r="I313" s="6" t="str"/>
      <x:c r="J313" s="6" t="str">
        <x:v>Unknown</x:v>
      </x:c>
      <x:c r="K313" s="6" t="str">
        <x:v>Unknown</x:v>
      </x:c>
      <x:c r="L313" s="12" t="str">
        <x:v>Unsupported Observation</x:v>
      </x:c>
      <x:c r="M313" s="12" t="str">
        <x:v>Nocturnix_Master_Services_Catalog_v1.xlsx | 01 - Master Services | row 352</x:v>
      </x:c>
      <x:c r="N313" s="6" t="str">
        <x:v>Unresolved</x:v>
      </x:c>
      <x:c r="O313" s="6" t="str"/>
      <x:c r="P313" s="6" t="str"/>
      <x:c r="Q313" s="6" t="str">
        <x:v>Pending</x:v>
      </x:c>
      <x:c r="R313" s="12" t="str"/>
    </x:row>
    <x:row r="314">
      <x:c r="A314" s="6" t="str">
        <x:v>MFRR-000313</x:v>
      </x:c>
      <x:c r="B314" s="6" t="str">
        <x:v>SVC000313</x:v>
      </x:c>
      <x:c r="C314" s="6" t="str">
        <x:v>Galaxy S 24 Plus Charge Port Replacement</x:v>
      </x:c>
      <x:c r="D314" s="6" t="str">
        <x:v>MFR-LEGACY-001</x:v>
      </x:c>
      <x:c r="E314" s="6"/>
      <x:c r="F314" s="6"/>
      <x:c r="G314" s="6" t="str">
        <x:v>Unknown</x:v>
      </x:c>
      <x:c r="H314" s="6" t="str"/>
      <x:c r="I314" s="6" t="str"/>
      <x:c r="J314" s="6" t="str">
        <x:v>Unknown</x:v>
      </x:c>
      <x:c r="K314" s="6" t="str">
        <x:v>Unknown</x:v>
      </x:c>
      <x:c r="L314" s="12" t="str">
        <x:v>Unsupported Observation</x:v>
      </x:c>
      <x:c r="M314" s="12" t="str">
        <x:v>Nocturnix_Master_Services_Catalog_v1.xlsx | 01 - Master Services | row 353</x:v>
      </x:c>
      <x:c r="N314" s="6" t="str">
        <x:v>Unresolved</x:v>
      </x:c>
      <x:c r="O314" s="6" t="str"/>
      <x:c r="P314" s="6" t="str"/>
      <x:c r="Q314" s="6" t="str">
        <x:v>Pending</x:v>
      </x:c>
      <x:c r="R314" s="12" t="str"/>
    </x:row>
    <x:row r="315">
      <x:c r="A315" s="6" t="str">
        <x:v>MFRR-000314</x:v>
      </x:c>
      <x:c r="B315" s="6" t="str">
        <x:v>SVC000314</x:v>
      </x:c>
      <x:c r="C315" s="6" t="str">
        <x:v>Galaxy S 24 Ultra Charge Port Replacement</x:v>
      </x:c>
      <x:c r="D315" s="6" t="str">
        <x:v>MFR-LEGACY-001</x:v>
      </x:c>
      <x:c r="E315" s="6"/>
      <x:c r="F315" s="6"/>
      <x:c r="G315" s="6" t="str">
        <x:v>Unknown</x:v>
      </x:c>
      <x:c r="H315" s="6" t="str"/>
      <x:c r="I315" s="6" t="str"/>
      <x:c r="J315" s="6" t="str">
        <x:v>Unknown</x:v>
      </x:c>
      <x:c r="K315" s="6" t="str">
        <x:v>Unknown</x:v>
      </x:c>
      <x:c r="L315" s="12" t="str">
        <x:v>Unsupported Observation</x:v>
      </x:c>
      <x:c r="M315" s="12" t="str">
        <x:v>Nocturnix_Master_Services_Catalog_v1.xlsx | 01 - Master Services | row 354</x:v>
      </x:c>
      <x:c r="N315" s="6" t="str">
        <x:v>Unresolved</x:v>
      </x:c>
      <x:c r="O315" s="6" t="str"/>
      <x:c r="P315" s="6" t="str"/>
      <x:c r="Q315" s="6" t="str">
        <x:v>Pending</x:v>
      </x:c>
      <x:c r="R315" s="12" t="str"/>
    </x:row>
  </x:sheetData>
  <x:dataValidations count="8">
    <x:dataValidation type="list" sqref="G2:G315">
      <x:formula1>"Specific Manufacturer,Multiple Manufacturers,Manufacturer-Agnostic,Unknown,Not Applicable"</x:formula1>
    </x:dataValidation>
    <x:dataValidation type="list" sqref="J2:J315">
      <x:formula1>"Yes,No,Unknown"</x:formula1>
    </x:dataValidation>
    <x:dataValidation type="list" sqref="K2:K315">
      <x:formula1>"Yes,No,Unknown"</x:formula1>
    </x:dataValidation>
    <x:dataValidation type="list" sqref="L2:L315">
      <x:formula1>"Source Workbook,Registry,Reviewer Evidence,Manual Research,Unsupported Observation,Not Provided"</x:formula1>
    </x:dataValidation>
    <x:dataValidation type="list" sqref="N2:N315">
      <x:formula1>"Confirm Current Identity,Propose Identity Change,Keep Separate,Suspected Duplicate,Reject Source Record,Escalate,Unresolved"</x:formula1>
    </x:dataValidation>
    <x:dataValidation type="list" sqref="Q2:Q315">
      <x:formula1>"Pending,Approved,Rejected,Escalated,Not Approved"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H2:H315">
      <x:formula1>"MFR000001,MFR000002,MFR000003,MFR000004,MFR000005,MFR000006,MFR000007,MFR000008,MFR000009,MFR000010,MFR000011,MFR000012,MFR000013,MFR000014,MFR000015,MFR000016,MFR000017,MFR000018,MFR000019,MFR000020,MFR000021,MFR000022,MFR000023,MFR000024,MFR000025,MFR000026,MFR000027,MFR000028,MFR000029,MFR000030,MFR000031,MFR000032,MFR000033,MFR000034,MFR000035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a91a6e32748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.75" hidden="0" customWidth="1"/>
    <x:col min="3" max="3" width="38.130001068115234" hidden="0" customWidth="1"/>
    <x:col min="4" max="4" width="38.130001068115234" hidden="0" customWidth="1"/>
    <x:col min="5" max="5" width="17.8799991607666" hidden="0" customWidth="1"/>
    <x:col min="6" max="6" width="20.75" hidden="0" customWidth="1"/>
    <x:col min="7" max="7" width="16.5" hidden="0" customWidth="1"/>
    <x:col min="8" max="8" width="13.880000114440918" hidden="0" customWidth="1"/>
    <x:col min="9" max="9" width="54.630001068115234" hidden="0" customWidth="1"/>
    <x:col min="10" max="10" width="17" hidden="0" customWidth="1"/>
    <x:col min="11" max="11" width="14.880000114440918" hidden="0" customWidth="1"/>
    <x:col min="12" max="12" width="12.380000114440918" hidden="0" customWidth="1"/>
    <x:col min="13" max="13" width="25.75" hidden="0" customWidth="1"/>
    <x:col min="14" max="14" width="7.630000114440918" hidden="0" customWidth="1"/>
  </x:cols>
  <x:sheetData>
    <x:row r="1">
      <x:c r="A1" s="5" t="str">
        <x:v>Device Review ID</x:v>
      </x:c>
      <x:c r="B1" s="5" t="str">
        <x:v>Service ID</x:v>
      </x:c>
      <x:c r="C1" s="5" t="str">
        <x:v>Canonical Service Name</x:v>
      </x:c>
      <x:c r="D1" s="5" t="str">
        <x:v>Observed Device Value</x:v>
      </x:c>
      <x:c r="E1" s="5" t="str">
        <x:v>Proposed Device ID</x:v>
      </x:c>
      <x:c r="F1" s="5" t="str">
        <x:v>Proposed Device Name</x:v>
      </x:c>
      <x:c r="G1" s="5" t="str">
        <x:v>Applicability Type</x:v>
      </x:c>
      <x:c r="H1" s="5" t="str">
        <x:v>Evidence Type</x:v>
      </x:c>
      <x:c r="I1" s="5" t="str">
        <x:v>Evidence Reference</x:v>
      </x:c>
      <x:c r="J1" s="5" t="str">
        <x:v>Reviewer Decision</x:v>
      </x:c>
      <x:c r="K1" s="5" t="str">
        <x:v>Reviewer Name</x:v>
      </x:c>
      <x:c r="L1" s="5" t="str">
        <x:v>Review Date</x:v>
      </x:c>
      <x:c r="M1" s="5" t="str">
        <x:v>Second-Level Approval Status</x:v>
      </x:c>
      <x:c r="N1" s="5" t="str">
        <x:v>Notes</x:v>
      </x:c>
    </x:row>
    <x:row r="2">
      <x:c r="A2" s="6" t="str">
        <x:v>DEVR-000001</x:v>
      </x:c>
      <x:c r="B2" s="6" t="str">
        <x:v>SVC000001</x:v>
      </x:c>
      <x:c r="C2" s="6" t="str">
        <x:v>Galaxy Note 9 Screen replacement</x:v>
      </x:c>
      <x:c r="D2" s="6" t="str">
        <x:v>Galaxy Note 9 Screen replacement</x:v>
      </x:c>
      <x:c r="E2" s="6" t="str"/>
      <x:c r="F2" s="6" t="str"/>
      <x:c r="G2" s="6" t="str">
        <x:v>Unknown</x:v>
      </x:c>
      <x:c r="H2" s="12" t="str">
        <x:v>Source Workbook</x:v>
      </x:c>
      <x:c r="I2" s="12" t="str">
        <x:v>Nocturnix_Master_Services_Catalog_v1.xlsx | 01 - Master Services | row 41</x:v>
      </x:c>
      <x:c r="J2" s="6" t="str">
        <x:v>Unresolved</x:v>
      </x:c>
      <x:c r="K2" s="6" t="str"/>
      <x:c r="L2" s="6" t="str"/>
      <x:c r="M2" s="6" t="str">
        <x:v>Pending</x:v>
      </x:c>
      <x:c r="N2" s="12" t="str"/>
    </x:row>
    <x:row r="3">
      <x:c r="A3" s="6" t="str">
        <x:v>DEVR-000002</x:v>
      </x:c>
      <x:c r="B3" s="6" t="str">
        <x:v>SVC000002</x:v>
      </x:c>
      <x:c r="C3" s="6" t="str">
        <x:v>Galaxy S 8 Active Screen replacement</x:v>
      </x:c>
      <x:c r="D3" s="6" t="str">
        <x:v>Galaxy S 8 Active Screen replacement</x:v>
      </x:c>
      <x:c r="E3" s="6" t="str"/>
      <x:c r="F3" s="6" t="str"/>
      <x:c r="G3" s="6" t="str">
        <x:v>Unknown</x:v>
      </x:c>
      <x:c r="H3" s="12" t="str">
        <x:v>Source Workbook</x:v>
      </x:c>
      <x:c r="I3" s="12" t="str">
        <x:v>Nocturnix_Master_Services_Catalog_v1.xlsx | 01 - Master Services | row 42</x:v>
      </x:c>
      <x:c r="J3" s="6" t="str">
        <x:v>Unresolved</x:v>
      </x:c>
      <x:c r="K3" s="6" t="str"/>
      <x:c r="L3" s="6" t="str"/>
      <x:c r="M3" s="6" t="str">
        <x:v>Pending</x:v>
      </x:c>
      <x:c r="N3" s="12" t="str"/>
    </x:row>
    <x:row r="4">
      <x:c r="A4" s="6" t="str">
        <x:v>DEVR-000003</x:v>
      </x:c>
      <x:c r="B4" s="6" t="str">
        <x:v>SVC000003</x:v>
      </x:c>
      <x:c r="C4" s="6" t="str">
        <x:v>Galaxy S 24 Screen replacement</x:v>
      </x:c>
      <x:c r="D4" s="6" t="str">
        <x:v>Galaxy S 24 Screen replacement</x:v>
      </x:c>
      <x:c r="E4" s="6" t="str"/>
      <x:c r="F4" s="6" t="str"/>
      <x:c r="G4" s="6" t="str">
        <x:v>Unknown</x:v>
      </x:c>
      <x:c r="H4" s="12" t="str">
        <x:v>Source Workbook</x:v>
      </x:c>
      <x:c r="I4" s="12" t="str">
        <x:v>Nocturnix_Master_Services_Catalog_v1.xlsx | 01 - Master Services | row 43</x:v>
      </x:c>
      <x:c r="J4" s="6" t="str">
        <x:v>Unresolved</x:v>
      </x:c>
      <x:c r="K4" s="6" t="str"/>
      <x:c r="L4" s="6" t="str"/>
      <x:c r="M4" s="6" t="str">
        <x:v>Pending</x:v>
      </x:c>
      <x:c r="N4" s="12" t="str"/>
    </x:row>
    <x:row r="5">
      <x:c r="A5" s="6" t="str">
        <x:v>DEVR-000004</x:v>
      </x:c>
      <x:c r="B5" s="6" t="str">
        <x:v>SVC000004</x:v>
      </x:c>
      <x:c r="C5" s="6" t="str">
        <x:v>Galaxy Note 10 Plus Screen replacement</x:v>
      </x:c>
      <x:c r="D5" s="6" t="str">
        <x:v>Galaxy Note 10 Plus Screen replacement</x:v>
      </x:c>
      <x:c r="E5" s="6" t="str"/>
      <x:c r="F5" s="6" t="str"/>
      <x:c r="G5" s="6" t="str">
        <x:v>Unknown</x:v>
      </x:c>
      <x:c r="H5" s="12" t="str">
        <x:v>Source Workbook</x:v>
      </x:c>
      <x:c r="I5" s="12" t="str">
        <x:v>Nocturnix_Master_Services_Catalog_v1.xlsx | 01 - Master Services | row 44</x:v>
      </x:c>
      <x:c r="J5" s="6" t="str">
        <x:v>Unresolved</x:v>
      </x:c>
      <x:c r="K5" s="6" t="str"/>
      <x:c r="L5" s="6" t="str"/>
      <x:c r="M5" s="6" t="str">
        <x:v>Pending</x:v>
      </x:c>
      <x:c r="N5" s="12" t="str"/>
    </x:row>
    <x:row r="6">
      <x:c r="A6" s="6" t="str">
        <x:v>DEVR-000005</x:v>
      </x:c>
      <x:c r="B6" s="6" t="str">
        <x:v>SVC000005</x:v>
      </x:c>
      <x:c r="C6" s="6" t="str">
        <x:v>Galaxy Note 8 Screen replacement</x:v>
      </x:c>
      <x:c r="D6" s="6" t="str">
        <x:v>Galaxy Note 8 Screen replacement</x:v>
      </x:c>
      <x:c r="E6" s="6" t="str"/>
      <x:c r="F6" s="6" t="str"/>
      <x:c r="G6" s="6" t="str">
        <x:v>Unknown</x:v>
      </x:c>
      <x:c r="H6" s="12" t="str">
        <x:v>Source Workbook</x:v>
      </x:c>
      <x:c r="I6" s="12" t="str">
        <x:v>Nocturnix_Master_Services_Catalog_v1.xlsx | 01 - Master Services | row 45</x:v>
      </x:c>
      <x:c r="J6" s="6" t="str">
        <x:v>Unresolved</x:v>
      </x:c>
      <x:c r="K6" s="6" t="str"/>
      <x:c r="L6" s="6" t="str"/>
      <x:c r="M6" s="6" t="str">
        <x:v>Pending</x:v>
      </x:c>
      <x:c r="N6" s="12" t="str"/>
    </x:row>
    <x:row r="7">
      <x:c r="A7" s="6" t="str">
        <x:v>DEVR-000006</x:v>
      </x:c>
      <x:c r="B7" s="6" t="str">
        <x:v>SVC000006</x:v>
      </x:c>
      <x:c r="C7" s="6" t="str">
        <x:v>Galaxy S 25 Edge Screen replacement</x:v>
      </x:c>
      <x:c r="D7" s="6" t="str">
        <x:v>Galaxy S 25 Edge Screen replacement</x:v>
      </x:c>
      <x:c r="E7" s="6" t="str"/>
      <x:c r="F7" s="6" t="str"/>
      <x:c r="G7" s="6" t="str">
        <x:v>Unknown</x:v>
      </x:c>
      <x:c r="H7" s="12" t="str">
        <x:v>Source Workbook</x:v>
      </x:c>
      <x:c r="I7" s="12" t="str">
        <x:v>Nocturnix_Master_Services_Catalog_v1.xlsx | 01 - Master Services | row 46</x:v>
      </x:c>
      <x:c r="J7" s="6" t="str">
        <x:v>Unresolved</x:v>
      </x:c>
      <x:c r="K7" s="6" t="str"/>
      <x:c r="L7" s="6" t="str"/>
      <x:c r="M7" s="6" t="str">
        <x:v>Pending</x:v>
      </x:c>
      <x:c r="N7" s="12" t="str"/>
    </x:row>
    <x:row r="8">
      <x:c r="A8" s="6" t="str">
        <x:v>DEVR-000007</x:v>
      </x:c>
      <x:c r="B8" s="6" t="str">
        <x:v>SVC000007</x:v>
      </x:c>
      <x:c r="C8" s="6" t="str">
        <x:v>Galaxy S 25 FE Screen replacement</x:v>
      </x:c>
      <x:c r="D8" s="6" t="str">
        <x:v>Galaxy S 25 FE Screen replacement</x:v>
      </x:c>
      <x:c r="E8" s="6" t="str"/>
      <x:c r="F8" s="6" t="str"/>
      <x:c r="G8" s="6" t="str">
        <x:v>Unknown</x:v>
      </x:c>
      <x:c r="H8" s="12" t="str">
        <x:v>Source Workbook</x:v>
      </x:c>
      <x:c r="I8" s="12" t="str">
        <x:v>Nocturnix_Master_Services_Catalog_v1.xlsx | 01 - Master Services | row 47</x:v>
      </x:c>
      <x:c r="J8" s="6" t="str">
        <x:v>Unresolved</x:v>
      </x:c>
      <x:c r="K8" s="6" t="str"/>
      <x:c r="L8" s="6" t="str"/>
      <x:c r="M8" s="6" t="str">
        <x:v>Pending</x:v>
      </x:c>
      <x:c r="N8" s="12" t="str"/>
    </x:row>
    <x:row r="9">
      <x:c r="A9" s="6" t="str">
        <x:v>DEVR-000008</x:v>
      </x:c>
      <x:c r="B9" s="6" t="str">
        <x:v>SVC000008</x:v>
      </x:c>
      <x:c r="C9" s="6" t="str">
        <x:v>iPhone 6 Screen replacement</x:v>
      </x:c>
      <x:c r="D9" s="6" t="str">
        <x:v>iPhone 6 Screen replacement</x:v>
      </x:c>
      <x:c r="E9" s="6" t="str"/>
      <x:c r="F9" s="6" t="str"/>
      <x:c r="G9" s="6" t="str">
        <x:v>Unknown</x:v>
      </x:c>
      <x:c r="H9" s="12" t="str">
        <x:v>Source Workbook</x:v>
      </x:c>
      <x:c r="I9" s="12" t="str">
        <x:v>Nocturnix_Master_Services_Catalog_v1.xlsx | 01 - Master Services | row 48</x:v>
      </x:c>
      <x:c r="J9" s="6" t="str">
        <x:v>Unresolved</x:v>
      </x:c>
      <x:c r="K9" s="6" t="str"/>
      <x:c r="L9" s="6" t="str"/>
      <x:c r="M9" s="6" t="str">
        <x:v>Pending</x:v>
      </x:c>
      <x:c r="N9" s="12" t="str"/>
    </x:row>
    <x:row r="10">
      <x:c r="A10" s="6" t="str">
        <x:v>DEVR-000009</x:v>
      </x:c>
      <x:c r="B10" s="6" t="str">
        <x:v>SVC000009</x:v>
      </x:c>
      <x:c r="C10" s="6" t="str">
        <x:v>iPhone 6S+ Screen replacement</x:v>
      </x:c>
      <x:c r="D10" s="6" t="str">
        <x:v>iPhone 6S+ Screen replacement</x:v>
      </x:c>
      <x:c r="E10" s="6" t="str"/>
      <x:c r="F10" s="6" t="str"/>
      <x:c r="G10" s="6" t="str">
        <x:v>Unknown</x:v>
      </x:c>
      <x:c r="H10" s="12" t="str">
        <x:v>Source Workbook</x:v>
      </x:c>
      <x:c r="I10" s="12" t="str">
        <x:v>Nocturnix_Master_Services_Catalog_v1.xlsx | 01 - Master Services | row 49</x:v>
      </x:c>
      <x:c r="J10" s="6" t="str">
        <x:v>Unresolved</x:v>
      </x:c>
      <x:c r="K10" s="6" t="str"/>
      <x:c r="L10" s="6" t="str"/>
      <x:c r="M10" s="6" t="str">
        <x:v>Pending</x:v>
      </x:c>
      <x:c r="N10" s="12" t="str"/>
    </x:row>
    <x:row r="11">
      <x:c r="A11" s="6" t="str">
        <x:v>DEVR-000010</x:v>
      </x:c>
      <x:c r="B11" s="6" t="str">
        <x:v>SVC000010</x:v>
      </x:c>
      <x:c r="C11" s="6" t="str">
        <x:v>Galaxy S 22 Screen replacement</x:v>
      </x:c>
      <x:c r="D11" s="6" t="str">
        <x:v>Galaxy S 22 Screen replacement</x:v>
      </x:c>
      <x:c r="E11" s="6" t="str"/>
      <x:c r="F11" s="6" t="str"/>
      <x:c r="G11" s="6" t="str">
        <x:v>Unknown</x:v>
      </x:c>
      <x:c r="H11" s="12" t="str">
        <x:v>Source Workbook</x:v>
      </x:c>
      <x:c r="I11" s="12" t="str">
        <x:v>Nocturnix_Master_Services_Catalog_v1.xlsx | 01 - Master Services | row 50</x:v>
      </x:c>
      <x:c r="J11" s="6" t="str">
        <x:v>Unresolved</x:v>
      </x:c>
      <x:c r="K11" s="6" t="str"/>
      <x:c r="L11" s="6" t="str"/>
      <x:c r="M11" s="6" t="str">
        <x:v>Pending</x:v>
      </x:c>
      <x:c r="N11" s="12" t="str"/>
    </x:row>
    <x:row r="12">
      <x:c r="A12" s="6" t="str">
        <x:v>DEVR-000011</x:v>
      </x:c>
      <x:c r="B12" s="6" t="str">
        <x:v>SVC000011</x:v>
      </x:c>
      <x:c r="C12" s="6" t="str">
        <x:v>Galaxy S 20 Plus Screen replacement</x:v>
      </x:c>
      <x:c r="D12" s="6" t="str">
        <x:v>Galaxy S 20 Plus Screen replacement</x:v>
      </x:c>
      <x:c r="E12" s="6" t="str"/>
      <x:c r="F12" s="6" t="str"/>
      <x:c r="G12" s="6" t="str">
        <x:v>Unknown</x:v>
      </x:c>
      <x:c r="H12" s="12" t="str">
        <x:v>Source Workbook</x:v>
      </x:c>
      <x:c r="I12" s="12" t="str">
        <x:v>Nocturnix_Master_Services_Catalog_v1.xlsx | 01 - Master Services | row 51</x:v>
      </x:c>
      <x:c r="J12" s="6" t="str">
        <x:v>Unresolved</x:v>
      </x:c>
      <x:c r="K12" s="6" t="str"/>
      <x:c r="L12" s="6" t="str"/>
      <x:c r="M12" s="6" t="str">
        <x:v>Pending</x:v>
      </x:c>
      <x:c r="N12" s="12" t="str"/>
    </x:row>
    <x:row r="13">
      <x:c r="A13" s="6" t="str">
        <x:v>DEVR-000012</x:v>
      </x:c>
      <x:c r="B13" s="6" t="str">
        <x:v>SVC000012</x:v>
      </x:c>
      <x:c r="C13" s="6" t="str">
        <x:v>Galaxy S 23 Ultra Screen replacement</x:v>
      </x:c>
      <x:c r="D13" s="6" t="str">
        <x:v>Galaxy S 23 Ultra Screen replacement</x:v>
      </x:c>
      <x:c r="E13" s="6" t="str"/>
      <x:c r="F13" s="6" t="str"/>
      <x:c r="G13" s="6" t="str">
        <x:v>Unknown</x:v>
      </x:c>
      <x:c r="H13" s="12" t="str">
        <x:v>Source Workbook</x:v>
      </x:c>
      <x:c r="I13" s="12" t="str">
        <x:v>Nocturnix_Master_Services_Catalog_v1.xlsx | 01 - Master Services | row 52</x:v>
      </x:c>
      <x:c r="J13" s="6" t="str">
        <x:v>Unresolved</x:v>
      </x:c>
      <x:c r="K13" s="6" t="str"/>
      <x:c r="L13" s="6" t="str"/>
      <x:c r="M13" s="6" t="str">
        <x:v>Pending</x:v>
      </x:c>
      <x:c r="N13" s="12" t="str"/>
    </x:row>
    <x:row r="14">
      <x:c r="A14" s="6" t="str">
        <x:v>DEVR-000013</x:v>
      </x:c>
      <x:c r="B14" s="6" t="str">
        <x:v>SVC000013</x:v>
      </x:c>
      <x:c r="C14" s="6" t="str">
        <x:v>Galaxy S 24 Ultra Screen replacement</x:v>
      </x:c>
      <x:c r="D14" s="6" t="str">
        <x:v>Galaxy S 24 Ultra Screen replacement</x:v>
      </x:c>
      <x:c r="E14" s="6" t="str"/>
      <x:c r="F14" s="6" t="str"/>
      <x:c r="G14" s="6" t="str">
        <x:v>Unknown</x:v>
      </x:c>
      <x:c r="H14" s="12" t="str">
        <x:v>Source Workbook</x:v>
      </x:c>
      <x:c r="I14" s="12" t="str">
        <x:v>Nocturnix_Master_Services_Catalog_v1.xlsx | 01 - Master Services | row 53</x:v>
      </x:c>
      <x:c r="J14" s="6" t="str">
        <x:v>Unresolved</x:v>
      </x:c>
      <x:c r="K14" s="6" t="str"/>
      <x:c r="L14" s="6" t="str"/>
      <x:c r="M14" s="6" t="str">
        <x:v>Pending</x:v>
      </x:c>
      <x:c r="N14" s="12" t="str"/>
    </x:row>
    <x:row r="15">
      <x:c r="A15" s="6" t="str">
        <x:v>DEVR-000014</x:v>
      </x:c>
      <x:c r="B15" s="6" t="str">
        <x:v>SVC000014</x:v>
      </x:c>
      <x:c r="C15" s="6" t="str">
        <x:v>Galaxy S 20 FE Screen replacement</x:v>
      </x:c>
      <x:c r="D15" s="6" t="str">
        <x:v>Galaxy S 20 FE Screen replacement</x:v>
      </x:c>
      <x:c r="E15" s="6" t="str"/>
      <x:c r="F15" s="6" t="str"/>
      <x:c r="G15" s="6" t="str">
        <x:v>Unknown</x:v>
      </x:c>
      <x:c r="H15" s="12" t="str">
        <x:v>Source Workbook</x:v>
      </x:c>
      <x:c r="I15" s="12" t="str">
        <x:v>Nocturnix_Master_Services_Catalog_v1.xlsx | 01 - Master Services | row 54</x:v>
      </x:c>
      <x:c r="J15" s="6" t="str">
        <x:v>Unresolved</x:v>
      </x:c>
      <x:c r="K15" s="6" t="str"/>
      <x:c r="L15" s="6" t="str"/>
      <x:c r="M15" s="6" t="str">
        <x:v>Pending</x:v>
      </x:c>
      <x:c r="N15" s="12" t="str"/>
    </x:row>
    <x:row r="16">
      <x:c r="A16" s="6" t="str">
        <x:v>DEVR-000015</x:v>
      </x:c>
      <x:c r="B16" s="6" t="str">
        <x:v>SVC000015</x:v>
      </x:c>
      <x:c r="C16" s="6" t="str">
        <x:v>Galaxy S 9 Plus Screen replacement</x:v>
      </x:c>
      <x:c r="D16" s="6" t="str">
        <x:v>Galaxy S 9 Plus Screen replacement</x:v>
      </x:c>
      <x:c r="E16" s="6" t="str"/>
      <x:c r="F16" s="6" t="str"/>
      <x:c r="G16" s="6" t="str">
        <x:v>Unknown</x:v>
      </x:c>
      <x:c r="H16" s="12" t="str">
        <x:v>Source Workbook</x:v>
      </x:c>
      <x:c r="I16" s="12" t="str">
        <x:v>Nocturnix_Master_Services_Catalog_v1.xlsx | 01 - Master Services | row 55</x:v>
      </x:c>
      <x:c r="J16" s="6" t="str">
        <x:v>Unresolved</x:v>
      </x:c>
      <x:c r="K16" s="6" t="str"/>
      <x:c r="L16" s="6" t="str"/>
      <x:c r="M16" s="6" t="str">
        <x:v>Pending</x:v>
      </x:c>
      <x:c r="N16" s="12" t="str"/>
    </x:row>
    <x:row r="17">
      <x:c r="A17" s="6" t="str">
        <x:v>DEVR-000016</x:v>
      </x:c>
      <x:c r="B17" s="6" t="str">
        <x:v>SVC000016</x:v>
      </x:c>
      <x:c r="C17" s="6" t="str">
        <x:v>Galaxy S 24 FE Screen replacement</x:v>
      </x:c>
      <x:c r="D17" s="6" t="str">
        <x:v>Galaxy S 24 FE Screen replacement</x:v>
      </x:c>
      <x:c r="E17" s="6" t="str"/>
      <x:c r="F17" s="6" t="str"/>
      <x:c r="G17" s="6" t="str">
        <x:v>Unknown</x:v>
      </x:c>
      <x:c r="H17" s="12" t="str">
        <x:v>Source Workbook</x:v>
      </x:c>
      <x:c r="I17" s="12" t="str">
        <x:v>Nocturnix_Master_Services_Catalog_v1.xlsx | 01 - Master Services | row 56</x:v>
      </x:c>
      <x:c r="J17" s="6" t="str">
        <x:v>Unresolved</x:v>
      </x:c>
      <x:c r="K17" s="6" t="str"/>
      <x:c r="L17" s="6" t="str"/>
      <x:c r="M17" s="6" t="str">
        <x:v>Pending</x:v>
      </x:c>
      <x:c r="N17" s="12" t="str"/>
    </x:row>
    <x:row r="18">
      <x:c r="A18" s="6" t="str">
        <x:v>DEVR-000017</x:v>
      </x:c>
      <x:c r="B18" s="6" t="str">
        <x:v>SVC000017</x:v>
      </x:c>
      <x:c r="C18" s="6" t="str">
        <x:v>Galaxy S 8 Plus Screen replacement</x:v>
      </x:c>
      <x:c r="D18" s="6" t="str">
        <x:v>Galaxy S 8 Plus Screen replacement</x:v>
      </x:c>
      <x:c r="E18" s="6" t="str"/>
      <x:c r="F18" s="6" t="str"/>
      <x:c r="G18" s="6" t="str">
        <x:v>Unknown</x:v>
      </x:c>
      <x:c r="H18" s="12" t="str">
        <x:v>Source Workbook</x:v>
      </x:c>
      <x:c r="I18" s="12" t="str">
        <x:v>Nocturnix_Master_Services_Catalog_v1.xlsx | 01 - Master Services | row 57</x:v>
      </x:c>
      <x:c r="J18" s="6" t="str">
        <x:v>Unresolved</x:v>
      </x:c>
      <x:c r="K18" s="6" t="str"/>
      <x:c r="L18" s="6" t="str"/>
      <x:c r="M18" s="6" t="str">
        <x:v>Pending</x:v>
      </x:c>
      <x:c r="N18" s="12" t="str"/>
    </x:row>
    <x:row r="19">
      <x:c r="A19" s="6" t="str">
        <x:v>DEVR-000018</x:v>
      </x:c>
      <x:c r="B19" s="6" t="str">
        <x:v>SVC000018</x:v>
      </x:c>
      <x:c r="C19" s="6" t="str">
        <x:v>Galaxy S 25 Plus Screen replacement</x:v>
      </x:c>
      <x:c r="D19" s="6" t="str">
        <x:v>Galaxy S 25 Plus Screen replacement</x:v>
      </x:c>
      <x:c r="E19" s="6" t="str"/>
      <x:c r="F19" s="6" t="str"/>
      <x:c r="G19" s="6" t="str">
        <x:v>Unknown</x:v>
      </x:c>
      <x:c r="H19" s="12" t="str">
        <x:v>Source Workbook</x:v>
      </x:c>
      <x:c r="I19" s="12" t="str">
        <x:v>Nocturnix_Master_Services_Catalog_v1.xlsx | 01 - Master Services | row 58</x:v>
      </x:c>
      <x:c r="J19" s="6" t="str">
        <x:v>Unresolved</x:v>
      </x:c>
      <x:c r="K19" s="6" t="str"/>
      <x:c r="L19" s="6" t="str"/>
      <x:c r="M19" s="6" t="str">
        <x:v>Pending</x:v>
      </x:c>
      <x:c r="N19" s="12" t="str"/>
    </x:row>
    <x:row r="20">
      <x:c r="A20" s="6" t="str">
        <x:v>DEVR-000019</x:v>
      </x:c>
      <x:c r="B20" s="6" t="str">
        <x:v>SVC000019</x:v>
      </x:c>
      <x:c r="C20" s="6" t="str">
        <x:v>Galaxy S 21 Screen replacement</x:v>
      </x:c>
      <x:c r="D20" s="6" t="str">
        <x:v>Galaxy S 21 Screen replacement</x:v>
      </x:c>
      <x:c r="E20" s="6" t="str"/>
      <x:c r="F20" s="6" t="str"/>
      <x:c r="G20" s="6" t="str">
        <x:v>Unknown</x:v>
      </x:c>
      <x:c r="H20" s="12" t="str">
        <x:v>Source Workbook</x:v>
      </x:c>
      <x:c r="I20" s="12" t="str">
        <x:v>Nocturnix_Master_Services_Catalog_v1.xlsx | 01 - Master Services | row 59</x:v>
      </x:c>
      <x:c r="J20" s="6" t="str">
        <x:v>Unresolved</x:v>
      </x:c>
      <x:c r="K20" s="6" t="str"/>
      <x:c r="L20" s="6" t="str"/>
      <x:c r="M20" s="6" t="str">
        <x:v>Pending</x:v>
      </x:c>
      <x:c r="N20" s="12" t="str"/>
    </x:row>
    <x:row r="21">
      <x:c r="A21" s="6" t="str">
        <x:v>DEVR-000020</x:v>
      </x:c>
      <x:c r="B21" s="6" t="str">
        <x:v>SVC000020</x:v>
      </x:c>
      <x:c r="C21" s="6" t="str">
        <x:v>Galaxy S 22 Plus Screen replacement</x:v>
      </x:c>
      <x:c r="D21" s="6" t="str">
        <x:v>Galaxy S 22 Plus Screen replacement</x:v>
      </x:c>
      <x:c r="E21" s="6" t="str"/>
      <x:c r="F21" s="6" t="str"/>
      <x:c r="G21" s="6" t="str">
        <x:v>Unknown</x:v>
      </x:c>
      <x:c r="H21" s="12" t="str">
        <x:v>Source Workbook</x:v>
      </x:c>
      <x:c r="I21" s="12" t="str">
        <x:v>Nocturnix_Master_Services_Catalog_v1.xlsx | 01 - Master Services | row 60</x:v>
      </x:c>
      <x:c r="J21" s="6" t="str">
        <x:v>Unresolved</x:v>
      </x:c>
      <x:c r="K21" s="6" t="str"/>
      <x:c r="L21" s="6" t="str"/>
      <x:c r="M21" s="6" t="str">
        <x:v>Pending</x:v>
      </x:c>
      <x:c r="N21" s="12" t="str"/>
    </x:row>
    <x:row r="22">
      <x:c r="A22" s="6" t="str">
        <x:v>DEVR-000021</x:v>
      </x:c>
      <x:c r="B22" s="6" t="str">
        <x:v>SVC000021</x:v>
      </x:c>
      <x:c r="C22" s="6" t="str">
        <x:v>Galaxy S 22 Ultra Screen replacement</x:v>
      </x:c>
      <x:c r="D22" s="6" t="str">
        <x:v>Galaxy S 22 Ultra Screen replacement</x:v>
      </x:c>
      <x:c r="E22" s="6" t="str"/>
      <x:c r="F22" s="6" t="str"/>
      <x:c r="G22" s="6" t="str">
        <x:v>Unknown</x:v>
      </x:c>
      <x:c r="H22" s="12" t="str">
        <x:v>Source Workbook</x:v>
      </x:c>
      <x:c r="I22" s="12" t="str">
        <x:v>Nocturnix_Master_Services_Catalog_v1.xlsx | 01 - Master Services | row 61</x:v>
      </x:c>
      <x:c r="J22" s="6" t="str">
        <x:v>Unresolved</x:v>
      </x:c>
      <x:c r="K22" s="6" t="str"/>
      <x:c r="L22" s="6" t="str"/>
      <x:c r="M22" s="6" t="str">
        <x:v>Pending</x:v>
      </x:c>
      <x:c r="N22" s="12" t="str"/>
    </x:row>
    <x:row r="23">
      <x:c r="A23" s="6" t="str">
        <x:v>DEVR-000022</x:v>
      </x:c>
      <x:c r="B23" s="6" t="str">
        <x:v>SVC000022</x:v>
      </x:c>
      <x:c r="C23" s="6" t="str">
        <x:v>Galaxy S 24 FE Battery Replacement</x:v>
      </x:c>
      <x:c r="D23" s="6" t="str">
        <x:v>Galaxy S 24 FE Battery Replacement</x:v>
      </x:c>
      <x:c r="E23" s="6" t="str"/>
      <x:c r="F23" s="6" t="str"/>
      <x:c r="G23" s="6" t="str">
        <x:v>Unknown</x:v>
      </x:c>
      <x:c r="H23" s="12" t="str">
        <x:v>Source Workbook</x:v>
      </x:c>
      <x:c r="I23" s="12" t="str">
        <x:v>Nocturnix_Master_Services_Catalog_v1.xlsx | 01 - Master Services | row 62</x:v>
      </x:c>
      <x:c r="J23" s="6" t="str">
        <x:v>Unresolved</x:v>
      </x:c>
      <x:c r="K23" s="6" t="str"/>
      <x:c r="L23" s="6" t="str"/>
      <x:c r="M23" s="6" t="str">
        <x:v>Pending</x:v>
      </x:c>
      <x:c r="N23" s="12" t="str"/>
    </x:row>
    <x:row r="24">
      <x:c r="A24" s="6" t="str">
        <x:v>DEVR-000023</x:v>
      </x:c>
      <x:c r="B24" s="6" t="str">
        <x:v>SVC000023</x:v>
      </x:c>
      <x:c r="C24" s="6" t="str">
        <x:v>Galaxy S 7 Active Screen replacement</x:v>
      </x:c>
      <x:c r="D24" s="6" t="str">
        <x:v>Galaxy S 7 Active Screen replacement</x:v>
      </x:c>
      <x:c r="E24" s="6" t="str"/>
      <x:c r="F24" s="6" t="str"/>
      <x:c r="G24" s="6" t="str">
        <x:v>Unknown</x:v>
      </x:c>
      <x:c r="H24" s="12" t="str">
        <x:v>Source Workbook</x:v>
      </x:c>
      <x:c r="I24" s="12" t="str">
        <x:v>Nocturnix_Master_Services_Catalog_v1.xlsx | 01 - Master Services | row 63</x:v>
      </x:c>
      <x:c r="J24" s="6" t="str">
        <x:v>Unresolved</x:v>
      </x:c>
      <x:c r="K24" s="6" t="str"/>
      <x:c r="L24" s="6" t="str"/>
      <x:c r="M24" s="6" t="str">
        <x:v>Pending</x:v>
      </x:c>
      <x:c r="N24" s="12" t="str"/>
    </x:row>
    <x:row r="25">
      <x:c r="A25" s="6" t="str">
        <x:v>DEVR-000024</x:v>
      </x:c>
      <x:c r="B25" s="6" t="str">
        <x:v>SVC000024</x:v>
      </x:c>
      <x:c r="C25" s="6" t="str">
        <x:v>Galaxy S 10 Plus Screen replacement</x:v>
      </x:c>
      <x:c r="D25" s="6" t="str">
        <x:v>Galaxy S 10 Plus Screen replacement</x:v>
      </x:c>
      <x:c r="E25" s="6" t="str"/>
      <x:c r="F25" s="6" t="str"/>
      <x:c r="G25" s="6" t="str">
        <x:v>Unknown</x:v>
      </x:c>
      <x:c r="H25" s="12" t="str">
        <x:v>Source Workbook</x:v>
      </x:c>
      <x:c r="I25" s="12" t="str">
        <x:v>Nocturnix_Master_Services_Catalog_v1.xlsx | 01 - Master Services | row 64</x:v>
      </x:c>
      <x:c r="J25" s="6" t="str">
        <x:v>Unresolved</x:v>
      </x:c>
      <x:c r="K25" s="6" t="str"/>
      <x:c r="L25" s="6" t="str"/>
      <x:c r="M25" s="6" t="str">
        <x:v>Pending</x:v>
      </x:c>
      <x:c r="N25" s="12" t="str"/>
    </x:row>
    <x:row r="26">
      <x:c r="A26" s="6" t="str">
        <x:v>DEVR-000025</x:v>
      </x:c>
      <x:c r="B26" s="6" t="str">
        <x:v>SVC000025</x:v>
      </x:c>
      <x:c r="C26" s="6" t="str">
        <x:v>Galaxy S 6 Active Screen replacement</x:v>
      </x:c>
      <x:c r="D26" s="6" t="str">
        <x:v>Galaxy S 6 Active Screen replacement</x:v>
      </x:c>
      <x:c r="E26" s="6" t="str"/>
      <x:c r="F26" s="6" t="str"/>
      <x:c r="G26" s="6" t="str">
        <x:v>Unknown</x:v>
      </x:c>
      <x:c r="H26" s="12" t="str">
        <x:v>Source Workbook</x:v>
      </x:c>
      <x:c r="I26" s="12" t="str">
        <x:v>Nocturnix_Master_Services_Catalog_v1.xlsx | 01 - Master Services | row 65</x:v>
      </x:c>
      <x:c r="J26" s="6" t="str">
        <x:v>Unresolved</x:v>
      </x:c>
      <x:c r="K26" s="6" t="str"/>
      <x:c r="L26" s="6" t="str"/>
      <x:c r="M26" s="6" t="str">
        <x:v>Pending</x:v>
      </x:c>
      <x:c r="N26" s="12" t="str"/>
    </x:row>
    <x:row r="27">
      <x:c r="A27" s="6" t="str">
        <x:v>DEVR-000026</x:v>
      </x:c>
      <x:c r="B27" s="6" t="str">
        <x:v>SVC000026</x:v>
      </x:c>
      <x:c r="C27" s="6" t="str">
        <x:v>Galaxy S 6 Screen replacement</x:v>
      </x:c>
      <x:c r="D27" s="6" t="str">
        <x:v>Galaxy S 6 Screen replacement</x:v>
      </x:c>
      <x:c r="E27" s="6" t="str"/>
      <x:c r="F27" s="6" t="str"/>
      <x:c r="G27" s="6" t="str">
        <x:v>Unknown</x:v>
      </x:c>
      <x:c r="H27" s="12" t="str">
        <x:v>Source Workbook</x:v>
      </x:c>
      <x:c r="I27" s="12" t="str">
        <x:v>Nocturnix_Master_Services_Catalog_v1.xlsx | 01 - Master Services | row 66</x:v>
      </x:c>
      <x:c r="J27" s="6" t="str">
        <x:v>Unresolved</x:v>
      </x:c>
      <x:c r="K27" s="6" t="str"/>
      <x:c r="L27" s="6" t="str"/>
      <x:c r="M27" s="6" t="str">
        <x:v>Pending</x:v>
      </x:c>
      <x:c r="N27" s="12" t="str"/>
    </x:row>
    <x:row r="28">
      <x:c r="A28" s="6" t="str">
        <x:v>DEVR-000027</x:v>
      </x:c>
      <x:c r="B28" s="6" t="str">
        <x:v>SVC000027</x:v>
      </x:c>
      <x:c r="C28" s="6" t="str">
        <x:v>Galaxy S 21 FE Screen replacement</x:v>
      </x:c>
      <x:c r="D28" s="6" t="str">
        <x:v>Galaxy S 21 FE Screen replacement</x:v>
      </x:c>
      <x:c r="E28" s="6" t="str"/>
      <x:c r="F28" s="6" t="str"/>
      <x:c r="G28" s="6" t="str">
        <x:v>Unknown</x:v>
      </x:c>
      <x:c r="H28" s="12" t="str">
        <x:v>Source Workbook</x:v>
      </x:c>
      <x:c r="I28" s="12" t="str">
        <x:v>Nocturnix_Master_Services_Catalog_v1.xlsx | 01 - Master Services | row 67</x:v>
      </x:c>
      <x:c r="J28" s="6" t="str">
        <x:v>Unresolved</x:v>
      </x:c>
      <x:c r="K28" s="6" t="str"/>
      <x:c r="L28" s="6" t="str"/>
      <x:c r="M28" s="6" t="str">
        <x:v>Pending</x:v>
      </x:c>
      <x:c r="N28" s="12" t="str"/>
    </x:row>
    <x:row r="29">
      <x:c r="A29" s="6" t="str">
        <x:v>DEVR-000028</x:v>
      </x:c>
      <x:c r="B29" s="6" t="str">
        <x:v>SVC000028</x:v>
      </x:c>
      <x:c r="C29" s="6" t="str">
        <x:v>Galaxy S 6 Edge Screen replacement</x:v>
      </x:c>
      <x:c r="D29" s="6" t="str">
        <x:v>Galaxy S 6 Edge Screen replacement</x:v>
      </x:c>
      <x:c r="E29" s="6" t="str"/>
      <x:c r="F29" s="6" t="str"/>
      <x:c r="G29" s="6" t="str">
        <x:v>Unknown</x:v>
      </x:c>
      <x:c r="H29" s="12" t="str">
        <x:v>Source Workbook</x:v>
      </x:c>
      <x:c r="I29" s="12" t="str">
        <x:v>Nocturnix_Master_Services_Catalog_v1.xlsx | 01 - Master Services | row 68</x:v>
      </x:c>
      <x:c r="J29" s="6" t="str">
        <x:v>Unresolved</x:v>
      </x:c>
      <x:c r="K29" s="6" t="str"/>
      <x:c r="L29" s="6" t="str"/>
      <x:c r="M29" s="6" t="str">
        <x:v>Pending</x:v>
      </x:c>
      <x:c r="N29" s="12" t="str"/>
    </x:row>
    <x:row r="30">
      <x:c r="A30" s="6" t="str">
        <x:v>DEVR-000029</x:v>
      </x:c>
      <x:c r="B30" s="6" t="str">
        <x:v>SVC000029</x:v>
      </x:c>
      <x:c r="C30" s="6" t="str">
        <x:v>Galaxy S 21 Plus Screen replacement</x:v>
      </x:c>
      <x:c r="D30" s="6" t="str">
        <x:v>Galaxy S 21 Plus Screen replacement</x:v>
      </x:c>
      <x:c r="E30" s="6" t="str"/>
      <x:c r="F30" s="6" t="str"/>
      <x:c r="G30" s="6" t="str">
        <x:v>Unknown</x:v>
      </x:c>
      <x:c r="H30" s="12" t="str">
        <x:v>Source Workbook</x:v>
      </x:c>
      <x:c r="I30" s="12" t="str">
        <x:v>Nocturnix_Master_Services_Catalog_v1.xlsx | 01 - Master Services | row 69</x:v>
      </x:c>
      <x:c r="J30" s="6" t="str">
        <x:v>Unresolved</x:v>
      </x:c>
      <x:c r="K30" s="6" t="str"/>
      <x:c r="L30" s="6" t="str"/>
      <x:c r="M30" s="6" t="str">
        <x:v>Pending</x:v>
      </x:c>
      <x:c r="N30" s="12" t="str"/>
    </x:row>
    <x:row r="31">
      <x:c r="A31" s="6" t="str">
        <x:v>DEVR-000030</x:v>
      </x:c>
      <x:c r="B31" s="6" t="str">
        <x:v>SVC000030</x:v>
      </x:c>
      <x:c r="C31" s="6" t="str">
        <x:v>Galaxy S 6 Edge Plus Screen replacement</x:v>
      </x:c>
      <x:c r="D31" s="6" t="str">
        <x:v>Galaxy S 6 Edge Plus Screen replacement</x:v>
      </x:c>
      <x:c r="E31" s="6" t="str"/>
      <x:c r="F31" s="6" t="str"/>
      <x:c r="G31" s="6" t="str">
        <x:v>Unknown</x:v>
      </x:c>
      <x:c r="H31" s="12" t="str">
        <x:v>Source Workbook</x:v>
      </x:c>
      <x:c r="I31" s="12" t="str">
        <x:v>Nocturnix_Master_Services_Catalog_v1.xlsx | 01 - Master Services | row 70</x:v>
      </x:c>
      <x:c r="J31" s="6" t="str">
        <x:v>Unresolved</x:v>
      </x:c>
      <x:c r="K31" s="6" t="str"/>
      <x:c r="L31" s="6" t="str"/>
      <x:c r="M31" s="6" t="str">
        <x:v>Pending</x:v>
      </x:c>
      <x:c r="N31" s="12" t="str"/>
    </x:row>
    <x:row r="32">
      <x:c r="A32" s="6" t="str">
        <x:v>DEVR-000031</x:v>
      </x:c>
      <x:c r="B32" s="6" t="str">
        <x:v>SVC000031</x:v>
      </x:c>
      <x:c r="C32" s="6" t="str">
        <x:v>Galaxy S 25 Screen replacement</x:v>
      </x:c>
      <x:c r="D32" s="6" t="str">
        <x:v>Galaxy S 25 Screen replacement</x:v>
      </x:c>
      <x:c r="E32" s="6" t="str"/>
      <x:c r="F32" s="6" t="str"/>
      <x:c r="G32" s="6" t="str">
        <x:v>Unknown</x:v>
      </x:c>
      <x:c r="H32" s="12" t="str">
        <x:v>Source Workbook</x:v>
      </x:c>
      <x:c r="I32" s="12" t="str">
        <x:v>Nocturnix_Master_Services_Catalog_v1.xlsx | 01 - Master Services | row 71</x:v>
      </x:c>
      <x:c r="J32" s="6" t="str">
        <x:v>Unresolved</x:v>
      </x:c>
      <x:c r="K32" s="6" t="str"/>
      <x:c r="L32" s="6" t="str"/>
      <x:c r="M32" s="6" t="str">
        <x:v>Pending</x:v>
      </x:c>
      <x:c r="N32" s="12" t="str"/>
    </x:row>
    <x:row r="33">
      <x:c r="A33" s="6" t="str">
        <x:v>DEVR-000032</x:v>
      </x:c>
      <x:c r="B33" s="6" t="str">
        <x:v>SVC000032</x:v>
      </x:c>
      <x:c r="C33" s="6" t="str">
        <x:v>Galaxy S 10 E Screen replacement</x:v>
      </x:c>
      <x:c r="D33" s="6" t="str">
        <x:v>Galaxy S 10 E Screen replacement</x:v>
      </x:c>
      <x:c r="E33" s="6" t="str"/>
      <x:c r="F33" s="6" t="str"/>
      <x:c r="G33" s="6" t="str">
        <x:v>Unknown</x:v>
      </x:c>
      <x:c r="H33" s="12" t="str">
        <x:v>Source Workbook</x:v>
      </x:c>
      <x:c r="I33" s="12" t="str">
        <x:v>Nocturnix_Master_Services_Catalog_v1.xlsx | 01 - Master Services | row 72</x:v>
      </x:c>
      <x:c r="J33" s="6" t="str">
        <x:v>Unresolved</x:v>
      </x:c>
      <x:c r="K33" s="6" t="str"/>
      <x:c r="L33" s="6" t="str"/>
      <x:c r="M33" s="6" t="str">
        <x:v>Pending</x:v>
      </x:c>
      <x:c r="N33" s="12" t="str"/>
    </x:row>
    <x:row r="34">
      <x:c r="A34" s="6" t="str">
        <x:v>DEVR-000033</x:v>
      </x:c>
      <x:c r="B34" s="6" t="str">
        <x:v>SVC000033</x:v>
      </x:c>
      <x:c r="C34" s="6" t="str">
        <x:v>Galaxy S 23 Plus Screen replacement</x:v>
      </x:c>
      <x:c r="D34" s="6" t="str">
        <x:v>Galaxy S 23 Plus Screen replacement</x:v>
      </x:c>
      <x:c r="E34" s="6" t="str"/>
      <x:c r="F34" s="6" t="str"/>
      <x:c r="G34" s="6" t="str">
        <x:v>Unknown</x:v>
      </x:c>
      <x:c r="H34" s="12" t="str">
        <x:v>Source Workbook</x:v>
      </x:c>
      <x:c r="I34" s="12" t="str">
        <x:v>Nocturnix_Master_Services_Catalog_v1.xlsx | 01 - Master Services | row 73</x:v>
      </x:c>
      <x:c r="J34" s="6" t="str">
        <x:v>Unresolved</x:v>
      </x:c>
      <x:c r="K34" s="6" t="str"/>
      <x:c r="L34" s="6" t="str"/>
      <x:c r="M34" s="6" t="str">
        <x:v>Pending</x:v>
      </x:c>
      <x:c r="N34" s="12" t="str"/>
    </x:row>
    <x:row r="35">
      <x:c r="A35" s="6" t="str">
        <x:v>DEVR-000034</x:v>
      </x:c>
      <x:c r="B35" s="6" t="str">
        <x:v>SVC000034</x:v>
      </x:c>
      <x:c r="C35" s="6" t="str">
        <x:v>Galaxy S 8 Screen replacement</x:v>
      </x:c>
      <x:c r="D35" s="6" t="str">
        <x:v>Galaxy S 8 Screen replacement</x:v>
      </x:c>
      <x:c r="E35" s="6" t="str"/>
      <x:c r="F35" s="6" t="str"/>
      <x:c r="G35" s="6" t="str">
        <x:v>Unknown</x:v>
      </x:c>
      <x:c r="H35" s="12" t="str">
        <x:v>Source Workbook</x:v>
      </x:c>
      <x:c r="I35" s="12" t="str">
        <x:v>Nocturnix_Master_Services_Catalog_v1.xlsx | 01 - Master Services | row 74</x:v>
      </x:c>
      <x:c r="J35" s="6" t="str">
        <x:v>Unresolved</x:v>
      </x:c>
      <x:c r="K35" s="6" t="str"/>
      <x:c r="L35" s="6" t="str"/>
      <x:c r="M35" s="6" t="str">
        <x:v>Pending</x:v>
      </x:c>
      <x:c r="N35" s="12" t="str"/>
    </x:row>
    <x:row r="36">
      <x:c r="A36" s="6" t="str">
        <x:v>DEVR-000035</x:v>
      </x:c>
      <x:c r="B36" s="6" t="str">
        <x:v>SVC000035</x:v>
      </x:c>
      <x:c r="C36" s="6" t="str">
        <x:v>Galaxy S 20 Screen replacement</x:v>
      </x:c>
      <x:c r="D36" s="6" t="str">
        <x:v>Galaxy S 20 Screen replacement</x:v>
      </x:c>
      <x:c r="E36" s="6" t="str"/>
      <x:c r="F36" s="6" t="str"/>
      <x:c r="G36" s="6" t="str">
        <x:v>Unknown</x:v>
      </x:c>
      <x:c r="H36" s="12" t="str">
        <x:v>Source Workbook</x:v>
      </x:c>
      <x:c r="I36" s="12" t="str">
        <x:v>Nocturnix_Master_Services_Catalog_v1.xlsx | 01 - Master Services | row 75</x:v>
      </x:c>
      <x:c r="J36" s="6" t="str">
        <x:v>Unresolved</x:v>
      </x:c>
      <x:c r="K36" s="6" t="str"/>
      <x:c r="L36" s="6" t="str"/>
      <x:c r="M36" s="6" t="str">
        <x:v>Pending</x:v>
      </x:c>
      <x:c r="N36" s="12" t="str"/>
    </x:row>
    <x:row r="37">
      <x:c r="A37" s="6" t="str">
        <x:v>DEVR-000036</x:v>
      </x:c>
      <x:c r="B37" s="6" t="str">
        <x:v>SVC000036</x:v>
      </x:c>
      <x:c r="C37" s="6" t="str">
        <x:v>Galaxy S 20 Ultra Screen replacement</x:v>
      </x:c>
      <x:c r="D37" s="6" t="str">
        <x:v>Galaxy S 20 Ultra Screen replacement</x:v>
      </x:c>
      <x:c r="E37" s="6" t="str"/>
      <x:c r="F37" s="6" t="str"/>
      <x:c r="G37" s="6" t="str">
        <x:v>Unknown</x:v>
      </x:c>
      <x:c r="H37" s="12" t="str">
        <x:v>Source Workbook</x:v>
      </x:c>
      <x:c r="I37" s="12" t="str">
        <x:v>Nocturnix_Master_Services_Catalog_v1.xlsx | 01 - Master Services | row 76</x:v>
      </x:c>
      <x:c r="J37" s="6" t="str">
        <x:v>Unresolved</x:v>
      </x:c>
      <x:c r="K37" s="6" t="str"/>
      <x:c r="L37" s="6" t="str"/>
      <x:c r="M37" s="6" t="str">
        <x:v>Pending</x:v>
      </x:c>
      <x:c r="N37" s="12" t="str"/>
    </x:row>
    <x:row r="38">
      <x:c r="A38" s="6" t="str">
        <x:v>DEVR-000037</x:v>
      </x:c>
      <x:c r="B38" s="6" t="str">
        <x:v>SVC000037</x:v>
      </x:c>
      <x:c r="C38" s="6" t="str">
        <x:v>Galaxy S 24 Plus Screen replacement</x:v>
      </x:c>
      <x:c r="D38" s="6" t="str">
        <x:v>Galaxy S 24 Plus Screen replacement</x:v>
      </x:c>
      <x:c r="E38" s="6" t="str"/>
      <x:c r="F38" s="6" t="str"/>
      <x:c r="G38" s="6" t="str">
        <x:v>Unknown</x:v>
      </x:c>
      <x:c r="H38" s="12" t="str">
        <x:v>Source Workbook</x:v>
      </x:c>
      <x:c r="I38" s="12" t="str">
        <x:v>Nocturnix_Master_Services_Catalog_v1.xlsx | 01 - Master Services | row 77</x:v>
      </x:c>
      <x:c r="J38" s="6" t="str">
        <x:v>Unresolved</x:v>
      </x:c>
      <x:c r="K38" s="6" t="str"/>
      <x:c r="L38" s="6" t="str"/>
      <x:c r="M38" s="6" t="str">
        <x:v>Pending</x:v>
      </x:c>
      <x:c r="N38" s="12" t="str"/>
    </x:row>
    <x:row r="39">
      <x:c r="A39" s="6" t="str">
        <x:v>DEVR-000038</x:v>
      </x:c>
      <x:c r="B39" s="6" t="str">
        <x:v>SVC000038</x:v>
      </x:c>
      <x:c r="C39" s="6" t="str">
        <x:v>Galaxy S 7 Screen replacement</x:v>
      </x:c>
      <x:c r="D39" s="6" t="str">
        <x:v>Galaxy S 7 Screen replacement</x:v>
      </x:c>
      <x:c r="E39" s="6" t="str"/>
      <x:c r="F39" s="6" t="str"/>
      <x:c r="G39" s="6" t="str">
        <x:v>Unknown</x:v>
      </x:c>
      <x:c r="H39" s="12" t="str">
        <x:v>Source Workbook</x:v>
      </x:c>
      <x:c r="I39" s="12" t="str">
        <x:v>Nocturnix_Master_Services_Catalog_v1.xlsx | 01 - Master Services | row 78</x:v>
      </x:c>
      <x:c r="J39" s="6" t="str">
        <x:v>Unresolved</x:v>
      </x:c>
      <x:c r="K39" s="6" t="str"/>
      <x:c r="L39" s="6" t="str"/>
      <x:c r="M39" s="6" t="str">
        <x:v>Pending</x:v>
      </x:c>
      <x:c r="N39" s="12" t="str"/>
    </x:row>
    <x:row r="40">
      <x:c r="A40" s="6" t="str">
        <x:v>DEVR-000039</x:v>
      </x:c>
      <x:c r="B40" s="6" t="str">
        <x:v>SVC000039</x:v>
      </x:c>
      <x:c r="C40" s="6" t="str">
        <x:v>Galaxy S 10 Screen replacement</x:v>
      </x:c>
      <x:c r="D40" s="6" t="str">
        <x:v>Galaxy S 10 Screen replacement</x:v>
      </x:c>
      <x:c r="E40" s="6" t="str"/>
      <x:c r="F40" s="6" t="str"/>
      <x:c r="G40" s="6" t="str">
        <x:v>Unknown</x:v>
      </x:c>
      <x:c r="H40" s="12" t="str">
        <x:v>Source Workbook</x:v>
      </x:c>
      <x:c r="I40" s="12" t="str">
        <x:v>Nocturnix_Master_Services_Catalog_v1.xlsx | 01 - Master Services | row 79</x:v>
      </x:c>
      <x:c r="J40" s="6" t="str">
        <x:v>Unresolved</x:v>
      </x:c>
      <x:c r="K40" s="6" t="str"/>
      <x:c r="L40" s="6" t="str"/>
      <x:c r="M40" s="6" t="str">
        <x:v>Pending</x:v>
      </x:c>
      <x:c r="N40" s="12" t="str"/>
    </x:row>
    <x:row r="41">
      <x:c r="A41" s="6" t="str">
        <x:v>DEVR-000040</x:v>
      </x:c>
      <x:c r="B41" s="6" t="str">
        <x:v>SVC000040</x:v>
      </x:c>
      <x:c r="C41" s="6" t="str">
        <x:v>Galaxy S 7 Edge Screen replacement</x:v>
      </x:c>
      <x:c r="D41" s="6" t="str">
        <x:v>Galaxy S 7 Edge Screen replacement</x:v>
      </x:c>
      <x:c r="E41" s="6" t="str"/>
      <x:c r="F41" s="6" t="str"/>
      <x:c r="G41" s="6" t="str">
        <x:v>Unknown</x:v>
      </x:c>
      <x:c r="H41" s="12" t="str">
        <x:v>Source Workbook</x:v>
      </x:c>
      <x:c r="I41" s="12" t="str">
        <x:v>Nocturnix_Master_Services_Catalog_v1.xlsx | 01 - Master Services | row 80</x:v>
      </x:c>
      <x:c r="J41" s="6" t="str">
        <x:v>Unresolved</x:v>
      </x:c>
      <x:c r="K41" s="6" t="str"/>
      <x:c r="L41" s="6" t="str"/>
      <x:c r="M41" s="6" t="str">
        <x:v>Pending</x:v>
      </x:c>
      <x:c r="N41" s="12" t="str"/>
    </x:row>
    <x:row r="42">
      <x:c r="A42" s="6" t="str">
        <x:v>DEVR-000041</x:v>
      </x:c>
      <x:c r="B42" s="6" t="str">
        <x:v>SVC000041</x:v>
      </x:c>
      <x:c r="C42" s="6" t="str">
        <x:v>Galaxy S 9 Screen replacement</x:v>
      </x:c>
      <x:c r="D42" s="6" t="str">
        <x:v>Galaxy S 9 Screen replacement</x:v>
      </x:c>
      <x:c r="E42" s="6" t="str"/>
      <x:c r="F42" s="6" t="str"/>
      <x:c r="G42" s="6" t="str">
        <x:v>Unknown</x:v>
      </x:c>
      <x:c r="H42" s="12" t="str">
        <x:v>Source Workbook</x:v>
      </x:c>
      <x:c r="I42" s="12" t="str">
        <x:v>Nocturnix_Master_Services_Catalog_v1.xlsx | 01 - Master Services | row 81</x:v>
      </x:c>
      <x:c r="J42" s="6" t="str">
        <x:v>Unresolved</x:v>
      </x:c>
      <x:c r="K42" s="6" t="str"/>
      <x:c r="L42" s="6" t="str"/>
      <x:c r="M42" s="6" t="str">
        <x:v>Pending</x:v>
      </x:c>
      <x:c r="N42" s="12" t="str"/>
    </x:row>
    <x:row r="43">
      <x:c r="A43" s="6" t="str">
        <x:v>DEVR-000042</x:v>
      </x:c>
      <x:c r="B43" s="6" t="str">
        <x:v>SVC000042</x:v>
      </x:c>
      <x:c r="C43" s="6" t="str">
        <x:v>Galaxy S 23 Screen replacement</x:v>
      </x:c>
      <x:c r="D43" s="6" t="str">
        <x:v>Galaxy S 23 Screen replacement</x:v>
      </x:c>
      <x:c r="E43" s="6" t="str"/>
      <x:c r="F43" s="6" t="str"/>
      <x:c r="G43" s="6" t="str">
        <x:v>Unknown</x:v>
      </x:c>
      <x:c r="H43" s="12" t="str">
        <x:v>Source Workbook</x:v>
      </x:c>
      <x:c r="I43" s="12" t="str">
        <x:v>Nocturnix_Master_Services_Catalog_v1.xlsx | 01 - Master Services | row 82</x:v>
      </x:c>
      <x:c r="J43" s="6" t="str">
        <x:v>Unresolved</x:v>
      </x:c>
      <x:c r="K43" s="6" t="str"/>
      <x:c r="L43" s="6" t="str"/>
      <x:c r="M43" s="6" t="str">
        <x:v>Pending</x:v>
      </x:c>
      <x:c r="N43" s="12" t="str"/>
    </x:row>
    <x:row r="44">
      <x:c r="A44" s="6" t="str">
        <x:v>DEVR-000043</x:v>
      </x:c>
      <x:c r="B44" s="6" t="str">
        <x:v>SVC000043</x:v>
      </x:c>
      <x:c r="C44" s="6" t="str">
        <x:v>Galaxy S 23 FE Screen replacement</x:v>
      </x:c>
      <x:c r="D44" s="6" t="str">
        <x:v>Galaxy S 23 FE Screen replacement</x:v>
      </x:c>
      <x:c r="E44" s="6" t="str"/>
      <x:c r="F44" s="6" t="str"/>
      <x:c r="G44" s="6" t="str">
        <x:v>Unknown</x:v>
      </x:c>
      <x:c r="H44" s="12" t="str">
        <x:v>Source Workbook</x:v>
      </x:c>
      <x:c r="I44" s="12" t="str">
        <x:v>Nocturnix_Master_Services_Catalog_v1.xlsx | 01 - Master Services | row 83</x:v>
      </x:c>
      <x:c r="J44" s="6" t="str">
        <x:v>Unresolved</x:v>
      </x:c>
      <x:c r="K44" s="6" t="str"/>
      <x:c r="L44" s="6" t="str"/>
      <x:c r="M44" s="6" t="str">
        <x:v>Pending</x:v>
      </x:c>
      <x:c r="N44" s="12" t="str"/>
    </x:row>
    <x:row r="45">
      <x:c r="A45" s="6" t="str">
        <x:v>DEVR-000044</x:v>
      </x:c>
      <x:c r="B45" s="6" t="str">
        <x:v>SVC000044</x:v>
      </x:c>
      <x:c r="C45" s="6" t="str">
        <x:v>Galaxy S3 Mini Screen replacement</x:v>
      </x:c>
      <x:c r="D45" s="6" t="str">
        <x:v>Galaxy S3 Mini Screen replacement</x:v>
      </x:c>
      <x:c r="E45" s="6" t="str"/>
      <x:c r="F45" s="6" t="str"/>
      <x:c r="G45" s="6" t="str">
        <x:v>Unknown</x:v>
      </x:c>
      <x:c r="H45" s="12" t="str">
        <x:v>Source Workbook</x:v>
      </x:c>
      <x:c r="I45" s="12" t="str">
        <x:v>Nocturnix_Master_Services_Catalog_v1.xlsx | 01 - Master Services | row 84</x:v>
      </x:c>
      <x:c r="J45" s="6" t="str">
        <x:v>Unresolved</x:v>
      </x:c>
      <x:c r="K45" s="6" t="str"/>
      <x:c r="L45" s="6" t="str"/>
      <x:c r="M45" s="6" t="str">
        <x:v>Pending</x:v>
      </x:c>
      <x:c r="N45" s="12" t="str"/>
    </x:row>
    <x:row r="46">
      <x:c r="A46" s="6" t="str">
        <x:v>DEVR-000045</x:v>
      </x:c>
      <x:c r="B46" s="6" t="str">
        <x:v>SVC000045</x:v>
      </x:c>
      <x:c r="C46" s="6" t="str">
        <x:v>Galaxy S 4 Mini Screen replacement</x:v>
      </x:c>
      <x:c r="D46" s="6" t="str">
        <x:v>Galaxy S 4 Mini Screen replacement</x:v>
      </x:c>
      <x:c r="E46" s="6" t="str"/>
      <x:c r="F46" s="6" t="str"/>
      <x:c r="G46" s="6" t="str">
        <x:v>Unknown</x:v>
      </x:c>
      <x:c r="H46" s="12" t="str">
        <x:v>Source Workbook</x:v>
      </x:c>
      <x:c r="I46" s="12" t="str">
        <x:v>Nocturnix_Master_Services_Catalog_v1.xlsx | 01 - Master Services | row 85</x:v>
      </x:c>
      <x:c r="J46" s="6" t="str">
        <x:v>Unresolved</x:v>
      </x:c>
      <x:c r="K46" s="6" t="str"/>
      <x:c r="L46" s="6" t="str"/>
      <x:c r="M46" s="6" t="str">
        <x:v>Pending</x:v>
      </x:c>
      <x:c r="N46" s="12" t="str"/>
    </x:row>
    <x:row r="47">
      <x:c r="A47" s="6" t="str">
        <x:v>DEVR-000046</x:v>
      </x:c>
      <x:c r="B47" s="6" t="str">
        <x:v>SVC000046</x:v>
      </x:c>
      <x:c r="C47" s="6" t="str">
        <x:v>Galaxy S Classic Screen replacement</x:v>
      </x:c>
      <x:c r="D47" s="6" t="str">
        <x:v>Galaxy S Classic Screen replacement</x:v>
      </x:c>
      <x:c r="E47" s="6" t="str"/>
      <x:c r="F47" s="6" t="str"/>
      <x:c r="G47" s="6" t="str">
        <x:v>Unknown</x:v>
      </x:c>
      <x:c r="H47" s="12" t="str">
        <x:v>Source Workbook</x:v>
      </x:c>
      <x:c r="I47" s="12" t="str">
        <x:v>Nocturnix_Master_Services_Catalog_v1.xlsx | 01 - Master Services | row 86</x:v>
      </x:c>
      <x:c r="J47" s="6" t="str">
        <x:v>Unresolved</x:v>
      </x:c>
      <x:c r="K47" s="6" t="str"/>
      <x:c r="L47" s="6" t="str"/>
      <x:c r="M47" s="6" t="str">
        <x:v>Pending</x:v>
      </x:c>
      <x:c r="N47" s="12" t="str"/>
    </x:row>
    <x:row r="48">
      <x:c r="A48" s="6" t="str">
        <x:v>DEVR-000047</x:v>
      </x:c>
      <x:c r="B48" s="6" t="str">
        <x:v>SVC000047</x:v>
      </x:c>
      <x:c r="C48" s="6" t="str">
        <x:v>Galaxy S 5 Active Screen replacement</x:v>
      </x:c>
      <x:c r="D48" s="6" t="str">
        <x:v>Galaxy S 5 Active Screen replacement</x:v>
      </x:c>
      <x:c r="E48" s="6" t="str"/>
      <x:c r="F48" s="6" t="str"/>
      <x:c r="G48" s="6" t="str">
        <x:v>Unknown</x:v>
      </x:c>
      <x:c r="H48" s="12" t="str">
        <x:v>Source Workbook</x:v>
      </x:c>
      <x:c r="I48" s="12" t="str">
        <x:v>Nocturnix_Master_Services_Catalog_v1.xlsx | 01 - Master Services | row 87</x:v>
      </x:c>
      <x:c r="J48" s="6" t="str">
        <x:v>Unresolved</x:v>
      </x:c>
      <x:c r="K48" s="6" t="str"/>
      <x:c r="L48" s="6" t="str"/>
      <x:c r="M48" s="6" t="str">
        <x:v>Pending</x:v>
      </x:c>
      <x:c r="N48" s="12" t="str"/>
    </x:row>
    <x:row r="49">
      <x:c r="A49" s="6" t="str">
        <x:v>DEVR-000048</x:v>
      </x:c>
      <x:c r="B49" s="6" t="str">
        <x:v>SVC000048</x:v>
      </x:c>
      <x:c r="C49" s="6" t="str">
        <x:v>Galaxy S 5 Neo Screen replacement</x:v>
      </x:c>
      <x:c r="D49" s="6" t="str">
        <x:v>Galaxy S 5 Neo Screen replacement</x:v>
      </x:c>
      <x:c r="E49" s="6" t="str"/>
      <x:c r="F49" s="6" t="str"/>
      <x:c r="G49" s="6" t="str">
        <x:v>Unknown</x:v>
      </x:c>
      <x:c r="H49" s="12" t="str">
        <x:v>Source Workbook</x:v>
      </x:c>
      <x:c r="I49" s="12" t="str">
        <x:v>Nocturnix_Master_Services_Catalog_v1.xlsx | 01 - Master Services | row 88</x:v>
      </x:c>
      <x:c r="J49" s="6" t="str">
        <x:v>Unresolved</x:v>
      </x:c>
      <x:c r="K49" s="6" t="str"/>
      <x:c r="L49" s="6" t="str"/>
      <x:c r="M49" s="6" t="str">
        <x:v>Pending</x:v>
      </x:c>
      <x:c r="N49" s="12" t="str"/>
    </x:row>
    <x:row r="50">
      <x:c r="A50" s="6" t="str">
        <x:v>DEVR-000049</x:v>
      </x:c>
      <x:c r="B50" s="6" t="str">
        <x:v>SVC000049</x:v>
      </x:c>
      <x:c r="C50" s="6" t="str">
        <x:v>Galaxy S2 Screen replacement</x:v>
      </x:c>
      <x:c r="D50" s="6" t="str">
        <x:v>Galaxy S2 Screen replacement</x:v>
      </x:c>
      <x:c r="E50" s="6" t="str"/>
      <x:c r="F50" s="6" t="str"/>
      <x:c r="G50" s="6" t="str">
        <x:v>Unknown</x:v>
      </x:c>
      <x:c r="H50" s="12" t="str">
        <x:v>Source Workbook</x:v>
      </x:c>
      <x:c r="I50" s="12" t="str">
        <x:v>Nocturnix_Master_Services_Catalog_v1.xlsx | 01 - Master Services | row 89</x:v>
      </x:c>
      <x:c r="J50" s="6" t="str">
        <x:v>Unresolved</x:v>
      </x:c>
      <x:c r="K50" s="6" t="str"/>
      <x:c r="L50" s="6" t="str"/>
      <x:c r="M50" s="6" t="str">
        <x:v>Pending</x:v>
      </x:c>
      <x:c r="N50" s="12" t="str"/>
    </x:row>
    <x:row r="51">
      <x:c r="A51" s="6" t="str">
        <x:v>DEVR-000050</x:v>
      </x:c>
      <x:c r="B51" s="6" t="str">
        <x:v>SVC000050</x:v>
      </x:c>
      <x:c r="C51" s="6" t="str">
        <x:v>Galaxy S3 Neo Screen replacement</x:v>
      </x:c>
      <x:c r="D51" s="6" t="str">
        <x:v>Galaxy S3 Neo Screen replacement</x:v>
      </x:c>
      <x:c r="E51" s="6" t="str"/>
      <x:c r="F51" s="6" t="str"/>
      <x:c r="G51" s="6" t="str">
        <x:v>Unknown</x:v>
      </x:c>
      <x:c r="H51" s="12" t="str">
        <x:v>Source Workbook</x:v>
      </x:c>
      <x:c r="I51" s="12" t="str">
        <x:v>Nocturnix_Master_Services_Catalog_v1.xlsx | 01 - Master Services | row 90</x:v>
      </x:c>
      <x:c r="J51" s="6" t="str">
        <x:v>Unresolved</x:v>
      </x:c>
      <x:c r="K51" s="6" t="str"/>
      <x:c r="L51" s="6" t="str"/>
      <x:c r="M51" s="6" t="str">
        <x:v>Pending</x:v>
      </x:c>
      <x:c r="N51" s="12" t="str"/>
    </x:row>
    <x:row r="52">
      <x:c r="A52" s="6" t="str">
        <x:v>DEVR-000051</x:v>
      </x:c>
      <x:c r="B52" s="6" t="str">
        <x:v>SVC000051</x:v>
      </x:c>
      <x:c r="C52" s="6" t="str">
        <x:v>Galaxy S3 Screen replacement</x:v>
      </x:c>
      <x:c r="D52" s="6" t="str">
        <x:v>Galaxy S3 Screen replacement</x:v>
      </x:c>
      <x:c r="E52" s="6" t="str"/>
      <x:c r="F52" s="6" t="str"/>
      <x:c r="G52" s="6" t="str">
        <x:v>Unknown</x:v>
      </x:c>
      <x:c r="H52" s="12" t="str">
        <x:v>Source Workbook</x:v>
      </x:c>
      <x:c r="I52" s="12" t="str">
        <x:v>Nocturnix_Master_Services_Catalog_v1.xlsx | 01 - Master Services | row 91</x:v>
      </x:c>
      <x:c r="J52" s="6" t="str">
        <x:v>Unresolved</x:v>
      </x:c>
      <x:c r="K52" s="6" t="str"/>
      <x:c r="L52" s="6" t="str"/>
      <x:c r="M52" s="6" t="str">
        <x:v>Pending</x:v>
      </x:c>
      <x:c r="N52" s="12" t="str"/>
    </x:row>
    <x:row r="53">
      <x:c r="A53" s="6" t="str">
        <x:v>DEVR-000052</x:v>
      </x:c>
      <x:c r="B53" s="6" t="str">
        <x:v>SVC000052</x:v>
      </x:c>
      <x:c r="C53" s="6" t="str">
        <x:v>Galaxy S4 Screen replacement</x:v>
      </x:c>
      <x:c r="D53" s="6" t="str">
        <x:v>Galaxy S4 Screen replacement</x:v>
      </x:c>
      <x:c r="E53" s="6" t="str"/>
      <x:c r="F53" s="6" t="str"/>
      <x:c r="G53" s="6" t="str">
        <x:v>Unknown</x:v>
      </x:c>
      <x:c r="H53" s="12" t="str">
        <x:v>Source Workbook</x:v>
      </x:c>
      <x:c r="I53" s="12" t="str">
        <x:v>Nocturnix_Master_Services_Catalog_v1.xlsx | 01 - Master Services | row 92</x:v>
      </x:c>
      <x:c r="J53" s="6" t="str">
        <x:v>Unresolved</x:v>
      </x:c>
      <x:c r="K53" s="6" t="str"/>
      <x:c r="L53" s="6" t="str"/>
      <x:c r="M53" s="6" t="str">
        <x:v>Pending</x:v>
      </x:c>
      <x:c r="N53" s="12" t="str"/>
    </x:row>
    <x:row r="54">
      <x:c r="A54" s="6" t="str">
        <x:v>DEVR-000053</x:v>
      </x:c>
      <x:c r="B54" s="6" t="str">
        <x:v>SVC000053</x:v>
      </x:c>
      <x:c r="C54" s="6" t="str">
        <x:v>Galaxy S 4 Active Screen replacement</x:v>
      </x:c>
      <x:c r="D54" s="6" t="str">
        <x:v>Galaxy S 4 Active Screen replacement</x:v>
      </x:c>
      <x:c r="E54" s="6" t="str"/>
      <x:c r="F54" s="6" t="str"/>
      <x:c r="G54" s="6" t="str">
        <x:v>Unknown</x:v>
      </x:c>
      <x:c r="H54" s="12" t="str">
        <x:v>Source Workbook</x:v>
      </x:c>
      <x:c r="I54" s="12" t="str">
        <x:v>Nocturnix_Master_Services_Catalog_v1.xlsx | 01 - Master Services | row 93</x:v>
      </x:c>
      <x:c r="J54" s="6" t="str">
        <x:v>Unresolved</x:v>
      </x:c>
      <x:c r="K54" s="6" t="str"/>
      <x:c r="L54" s="6" t="str"/>
      <x:c r="M54" s="6" t="str">
        <x:v>Pending</x:v>
      </x:c>
      <x:c r="N54" s="12" t="str"/>
    </x:row>
    <x:row r="55">
      <x:c r="A55" s="6" t="str">
        <x:v>DEVR-000054</x:v>
      </x:c>
      <x:c r="B55" s="6" t="str">
        <x:v>SVC000054</x:v>
      </x:c>
      <x:c r="C55" s="6" t="str">
        <x:v>Galaxy S 5 Screen replacement</x:v>
      </x:c>
      <x:c r="D55" s="6" t="str">
        <x:v>Galaxy S 5 Screen replacement</x:v>
      </x:c>
      <x:c r="E55" s="6" t="str"/>
      <x:c r="F55" s="6" t="str"/>
      <x:c r="G55" s="6" t="str">
        <x:v>Unknown</x:v>
      </x:c>
      <x:c r="H55" s="12" t="str">
        <x:v>Source Workbook</x:v>
      </x:c>
      <x:c r="I55" s="12" t="str">
        <x:v>Nocturnix_Master_Services_Catalog_v1.xlsx | 01 - Master Services | row 94</x:v>
      </x:c>
      <x:c r="J55" s="6" t="str">
        <x:v>Unresolved</x:v>
      </x:c>
      <x:c r="K55" s="6" t="str"/>
      <x:c r="L55" s="6" t="str"/>
      <x:c r="M55" s="6" t="str">
        <x:v>Pending</x:v>
      </x:c>
      <x:c r="N55" s="12" t="str"/>
    </x:row>
    <x:row r="56">
      <x:c r="A56" s="6" t="str">
        <x:v>DEVR-000055</x:v>
      </x:c>
      <x:c r="B56" s="6" t="str">
        <x:v>SVC000055</x:v>
      </x:c>
      <x:c r="C56" s="6" t="str">
        <x:v>iPhone X Screen replacement</x:v>
      </x:c>
      <x:c r="D56" s="6" t="str">
        <x:v>iPhone X Screen replacement</x:v>
      </x:c>
      <x:c r="E56" s="6" t="str"/>
      <x:c r="F56" s="6" t="str"/>
      <x:c r="G56" s="6" t="str">
        <x:v>Unknown</x:v>
      </x:c>
      <x:c r="H56" s="12" t="str">
        <x:v>Source Workbook</x:v>
      </x:c>
      <x:c r="I56" s="12" t="str">
        <x:v>Nocturnix_Master_Services_Catalog_v1.xlsx | 01 - Master Services | row 95</x:v>
      </x:c>
      <x:c r="J56" s="6" t="str">
        <x:v>Unresolved</x:v>
      </x:c>
      <x:c r="K56" s="6" t="str"/>
      <x:c r="L56" s="6" t="str"/>
      <x:c r="M56" s="6" t="str">
        <x:v>Pending</x:v>
      </x:c>
      <x:c r="N56" s="12" t="str"/>
    </x:row>
    <x:row r="57">
      <x:c r="A57" s="6" t="str">
        <x:v>DEVR-000056</x:v>
      </x:c>
      <x:c r="B57" s="6" t="str">
        <x:v>SVC000056</x:v>
      </x:c>
      <x:c r="C57" s="6" t="str">
        <x:v>iPhone XS Max Screen replacement</x:v>
      </x:c>
      <x:c r="D57" s="6" t="str">
        <x:v>iPhone XS Max Screen replacement</x:v>
      </x:c>
      <x:c r="E57" s="6" t="str"/>
      <x:c r="F57" s="6" t="str"/>
      <x:c r="G57" s="6" t="str">
        <x:v>Unknown</x:v>
      </x:c>
      <x:c r="H57" s="12" t="str">
        <x:v>Source Workbook</x:v>
      </x:c>
      <x:c r="I57" s="12" t="str">
        <x:v>Nocturnix_Master_Services_Catalog_v1.xlsx | 01 - Master Services | row 96</x:v>
      </x:c>
      <x:c r="J57" s="6" t="str">
        <x:v>Unresolved</x:v>
      </x:c>
      <x:c r="K57" s="6" t="str"/>
      <x:c r="L57" s="6" t="str"/>
      <x:c r="M57" s="6" t="str">
        <x:v>Pending</x:v>
      </x:c>
      <x:c r="N57" s="12" t="str"/>
    </x:row>
    <x:row r="58">
      <x:c r="A58" s="6" t="str">
        <x:v>DEVR-000057</x:v>
      </x:c>
      <x:c r="B58" s="6" t="str">
        <x:v>SVC000057</x:v>
      </x:c>
      <x:c r="C58" s="6" t="str">
        <x:v>iPhone 12 Screen replacement</x:v>
      </x:c>
      <x:c r="D58" s="6" t="str">
        <x:v>iPhone 12 Screen replacement</x:v>
      </x:c>
      <x:c r="E58" s="6" t="str"/>
      <x:c r="F58" s="6" t="str"/>
      <x:c r="G58" s="6" t="str">
        <x:v>Unknown</x:v>
      </x:c>
      <x:c r="H58" s="12" t="str">
        <x:v>Source Workbook</x:v>
      </x:c>
      <x:c r="I58" s="12" t="str">
        <x:v>Nocturnix_Master_Services_Catalog_v1.xlsx | 01 - Master Services | row 97</x:v>
      </x:c>
      <x:c r="J58" s="6" t="str">
        <x:v>Unresolved</x:v>
      </x:c>
      <x:c r="K58" s="6" t="str"/>
      <x:c r="L58" s="6" t="str"/>
      <x:c r="M58" s="6" t="str">
        <x:v>Pending</x:v>
      </x:c>
      <x:c r="N58" s="12" t="str"/>
    </x:row>
    <x:row r="59">
      <x:c r="A59" s="6" t="str">
        <x:v>DEVR-000058</x:v>
      </x:c>
      <x:c r="B59" s="6" t="str">
        <x:v>SVC000058</x:v>
      </x:c>
      <x:c r="C59" s="6" t="str">
        <x:v>iPhone 12 Pro Max Screen replacement</x:v>
      </x:c>
      <x:c r="D59" s="6" t="str">
        <x:v>iPhone 12 Pro Max Screen replacement</x:v>
      </x:c>
      <x:c r="E59" s="6" t="str"/>
      <x:c r="F59" s="6" t="str"/>
      <x:c r="G59" s="6" t="str">
        <x:v>Unknown</x:v>
      </x:c>
      <x:c r="H59" s="12" t="str">
        <x:v>Source Workbook</x:v>
      </x:c>
      <x:c r="I59" s="12" t="str">
        <x:v>Nocturnix_Master_Services_Catalog_v1.xlsx | 01 - Master Services | row 98</x:v>
      </x:c>
      <x:c r="J59" s="6" t="str">
        <x:v>Unresolved</x:v>
      </x:c>
      <x:c r="K59" s="6" t="str"/>
      <x:c r="L59" s="6" t="str"/>
      <x:c r="M59" s="6" t="str">
        <x:v>Pending</x:v>
      </x:c>
      <x:c r="N59" s="12" t="str"/>
    </x:row>
    <x:row r="60">
      <x:c r="A60" s="6" t="str">
        <x:v>DEVR-000059</x:v>
      </x:c>
      <x:c r="B60" s="6" t="str">
        <x:v>SVC000059</x:v>
      </x:c>
      <x:c r="C60" s="6" t="str">
        <x:v>iPhone 12 Mini Screen replacement</x:v>
      </x:c>
      <x:c r="D60" s="6" t="str">
        <x:v>iPhone 12 Mini Screen replacement</x:v>
      </x:c>
      <x:c r="E60" s="6" t="str"/>
      <x:c r="F60" s="6" t="str"/>
      <x:c r="G60" s="6" t="str">
        <x:v>Unknown</x:v>
      </x:c>
      <x:c r="H60" s="12" t="str">
        <x:v>Source Workbook</x:v>
      </x:c>
      <x:c r="I60" s="12" t="str">
        <x:v>Nocturnix_Master_Services_Catalog_v1.xlsx | 01 - Master Services | row 99</x:v>
      </x:c>
      <x:c r="J60" s="6" t="str">
        <x:v>Unresolved</x:v>
      </x:c>
      <x:c r="K60" s="6" t="str"/>
      <x:c r="L60" s="6" t="str"/>
      <x:c r="M60" s="6" t="str">
        <x:v>Pending</x:v>
      </x:c>
      <x:c r="N60" s="12" t="str"/>
    </x:row>
    <x:row r="61">
      <x:c r="A61" s="6" t="str">
        <x:v>DEVR-000060</x:v>
      </x:c>
      <x:c r="B61" s="6" t="str">
        <x:v>SVC000060</x:v>
      </x:c>
      <x:c r="C61" s="6" t="str">
        <x:v>iPhone 11 Pro Screen replacement</x:v>
      </x:c>
      <x:c r="D61" s="6" t="str">
        <x:v>iPhone 11 Pro Screen replacement</x:v>
      </x:c>
      <x:c r="E61" s="6" t="str"/>
      <x:c r="F61" s="6" t="str"/>
      <x:c r="G61" s="6" t="str">
        <x:v>Unknown</x:v>
      </x:c>
      <x:c r="H61" s="12" t="str">
        <x:v>Source Workbook</x:v>
      </x:c>
      <x:c r="I61" s="12" t="str">
        <x:v>Nocturnix_Master_Services_Catalog_v1.xlsx | 01 - Master Services | row 100</x:v>
      </x:c>
      <x:c r="J61" s="6" t="str">
        <x:v>Unresolved</x:v>
      </x:c>
      <x:c r="K61" s="6" t="str"/>
      <x:c r="L61" s="6" t="str"/>
      <x:c r="M61" s="6" t="str">
        <x:v>Pending</x:v>
      </x:c>
      <x:c r="N61" s="12" t="str"/>
    </x:row>
    <x:row r="62">
      <x:c r="A62" s="6" t="str">
        <x:v>DEVR-000061</x:v>
      </x:c>
      <x:c r="B62" s="6" t="str">
        <x:v>SVC000061</x:v>
      </x:c>
      <x:c r="C62" s="6" t="str">
        <x:v>iPhone 11 Screen replacement</x:v>
      </x:c>
      <x:c r="D62" s="6" t="str">
        <x:v>iPhone 11 Screen replacement</x:v>
      </x:c>
      <x:c r="E62" s="6" t="str"/>
      <x:c r="F62" s="6" t="str"/>
      <x:c r="G62" s="6" t="str">
        <x:v>Unknown</x:v>
      </x:c>
      <x:c r="H62" s="12" t="str">
        <x:v>Source Workbook</x:v>
      </x:c>
      <x:c r="I62" s="12" t="str">
        <x:v>Nocturnix_Master_Services_Catalog_v1.xlsx | 01 - Master Services | row 101</x:v>
      </x:c>
      <x:c r="J62" s="6" t="str">
        <x:v>Unresolved</x:v>
      </x:c>
      <x:c r="K62" s="6" t="str"/>
      <x:c r="L62" s="6" t="str"/>
      <x:c r="M62" s="6" t="str">
        <x:v>Pending</x:v>
      </x:c>
      <x:c r="N62" s="12" t="str"/>
    </x:row>
    <x:row r="63">
      <x:c r="A63" s="6" t="str">
        <x:v>DEVR-000062</x:v>
      </x:c>
      <x:c r="B63" s="6" t="str">
        <x:v>SVC000062</x:v>
      </x:c>
      <x:c r="C63" s="6" t="str">
        <x:v>iPhone 11 Pro Max Screen replacement</x:v>
      </x:c>
      <x:c r="D63" s="6" t="str">
        <x:v>iPhone 11 Pro Max Screen replacement</x:v>
      </x:c>
      <x:c r="E63" s="6" t="str"/>
      <x:c r="F63" s="6" t="str"/>
      <x:c r="G63" s="6" t="str">
        <x:v>Unknown</x:v>
      </x:c>
      <x:c r="H63" s="12" t="str">
        <x:v>Source Workbook</x:v>
      </x:c>
      <x:c r="I63" s="12" t="str">
        <x:v>Nocturnix_Master_Services_Catalog_v1.xlsx | 01 - Master Services | row 102</x:v>
      </x:c>
      <x:c r="J63" s="6" t="str">
        <x:v>Unresolved</x:v>
      </x:c>
      <x:c r="K63" s="6" t="str"/>
      <x:c r="L63" s="6" t="str"/>
      <x:c r="M63" s="6" t="str">
        <x:v>Pending</x:v>
      </x:c>
      <x:c r="N63" s="12" t="str"/>
    </x:row>
    <x:row r="64">
      <x:c r="A64" s="6" t="str">
        <x:v>DEVR-000063</x:v>
      </x:c>
      <x:c r="B64" s="6" t="str">
        <x:v>SVC000063</x:v>
      </x:c>
      <x:c r="C64" s="6" t="str">
        <x:v>iPhone 12 Pro Screen replacement</x:v>
      </x:c>
      <x:c r="D64" s="6" t="str">
        <x:v>iPhone 12 Pro Screen replacement</x:v>
      </x:c>
      <x:c r="E64" s="6" t="str"/>
      <x:c r="F64" s="6" t="str"/>
      <x:c r="G64" s="6" t="str">
        <x:v>Unknown</x:v>
      </x:c>
      <x:c r="H64" s="12" t="str">
        <x:v>Source Workbook</x:v>
      </x:c>
      <x:c r="I64" s="12" t="str">
        <x:v>Nocturnix_Master_Services_Catalog_v1.xlsx | 01 - Master Services | row 103</x:v>
      </x:c>
      <x:c r="J64" s="6" t="str">
        <x:v>Unresolved</x:v>
      </x:c>
      <x:c r="K64" s="6" t="str"/>
      <x:c r="L64" s="6" t="str"/>
      <x:c r="M64" s="6" t="str">
        <x:v>Pending</x:v>
      </x:c>
      <x:c r="N64" s="12" t="str"/>
    </x:row>
    <x:row r="65">
      <x:c r="A65" s="6" t="str">
        <x:v>DEVR-000064</x:v>
      </x:c>
      <x:c r="B65" s="6" t="str">
        <x:v>SVC000064</x:v>
      </x:c>
      <x:c r="C65" s="6" t="str">
        <x:v>iPhone 13 Pro Screen replacement</x:v>
      </x:c>
      <x:c r="D65" s="6" t="str">
        <x:v>iPhone 13 Pro Screen replacement</x:v>
      </x:c>
      <x:c r="E65" s="6" t="str"/>
      <x:c r="F65" s="6" t="str"/>
      <x:c r="G65" s="6" t="str">
        <x:v>Unknown</x:v>
      </x:c>
      <x:c r="H65" s="12" t="str">
        <x:v>Source Workbook</x:v>
      </x:c>
      <x:c r="I65" s="12" t="str">
        <x:v>Nocturnix_Master_Services_Catalog_v1.xlsx | 01 - Master Services | row 104</x:v>
      </x:c>
      <x:c r="J65" s="6" t="str">
        <x:v>Unresolved</x:v>
      </x:c>
      <x:c r="K65" s="6" t="str"/>
      <x:c r="L65" s="6" t="str"/>
      <x:c r="M65" s="6" t="str">
        <x:v>Pending</x:v>
      </x:c>
      <x:c r="N65" s="12" t="str"/>
    </x:row>
    <x:row r="66">
      <x:c r="A66" s="6" t="str">
        <x:v>DEVR-000065</x:v>
      </x:c>
      <x:c r="B66" s="6" t="str">
        <x:v>SVC000065</x:v>
      </x:c>
      <x:c r="C66" s="6" t="str">
        <x:v>iPhone 13 Screen replacement</x:v>
      </x:c>
      <x:c r="D66" s="6" t="str">
        <x:v>iPhone 13 Screen replacement</x:v>
      </x:c>
      <x:c r="E66" s="6" t="str"/>
      <x:c r="F66" s="6" t="str"/>
      <x:c r="G66" s="6" t="str">
        <x:v>Unknown</x:v>
      </x:c>
      <x:c r="H66" s="12" t="str">
        <x:v>Source Workbook</x:v>
      </x:c>
      <x:c r="I66" s="12" t="str">
        <x:v>Nocturnix_Master_Services_Catalog_v1.xlsx | 01 - Master Services | row 105</x:v>
      </x:c>
      <x:c r="J66" s="6" t="str">
        <x:v>Unresolved</x:v>
      </x:c>
      <x:c r="K66" s="6" t="str"/>
      <x:c r="L66" s="6" t="str"/>
      <x:c r="M66" s="6" t="str">
        <x:v>Pending</x:v>
      </x:c>
      <x:c r="N66" s="12" t="str"/>
    </x:row>
    <x:row r="67">
      <x:c r="A67" s="6" t="str">
        <x:v>DEVR-000066</x:v>
      </x:c>
      <x:c r="B67" s="6" t="str">
        <x:v>SVC000066</x:v>
      </x:c>
      <x:c r="C67" s="6" t="str">
        <x:v>iPhone 13 Pro Max Screen replacement</x:v>
      </x:c>
      <x:c r="D67" s="6" t="str">
        <x:v>iPhone 13 Pro Max Screen replacement</x:v>
      </x:c>
      <x:c r="E67" s="6" t="str"/>
      <x:c r="F67" s="6" t="str"/>
      <x:c r="G67" s="6" t="str">
        <x:v>Unknown</x:v>
      </x:c>
      <x:c r="H67" s="12" t="str">
        <x:v>Source Workbook</x:v>
      </x:c>
      <x:c r="I67" s="12" t="str">
        <x:v>Nocturnix_Master_Services_Catalog_v1.xlsx | 01 - Master Services | row 106</x:v>
      </x:c>
      <x:c r="J67" s="6" t="str">
        <x:v>Unresolved</x:v>
      </x:c>
      <x:c r="K67" s="6" t="str"/>
      <x:c r="L67" s="6" t="str"/>
      <x:c r="M67" s="6" t="str">
        <x:v>Pending</x:v>
      </x:c>
      <x:c r="N67" s="12" t="str"/>
    </x:row>
    <x:row r="68">
      <x:c r="A68" s="6" t="str">
        <x:v>DEVR-000067</x:v>
      </x:c>
      <x:c r="B68" s="6" t="str">
        <x:v>SVC000067</x:v>
      </x:c>
      <x:c r="C68" s="6" t="str">
        <x:v>iPhone 13 Mini Screen replacement</x:v>
      </x:c>
      <x:c r="D68" s="6" t="str">
        <x:v>iPhone 13 Mini Screen replacement</x:v>
      </x:c>
      <x:c r="E68" s="6" t="str"/>
      <x:c r="F68" s="6" t="str"/>
      <x:c r="G68" s="6" t="str">
        <x:v>Unknown</x:v>
      </x:c>
      <x:c r="H68" s="12" t="str">
        <x:v>Source Workbook</x:v>
      </x:c>
      <x:c r="I68" s="12" t="str">
        <x:v>Nocturnix_Master_Services_Catalog_v1.xlsx | 01 - Master Services | row 107</x:v>
      </x:c>
      <x:c r="J68" s="6" t="str">
        <x:v>Unresolved</x:v>
      </x:c>
      <x:c r="K68" s="6" t="str"/>
      <x:c r="L68" s="6" t="str"/>
      <x:c r="M68" s="6" t="str">
        <x:v>Pending</x:v>
      </x:c>
      <x:c r="N68" s="12" t="str"/>
    </x:row>
    <x:row r="69">
      <x:c r="A69" s="6" t="str">
        <x:v>DEVR-000068</x:v>
      </x:c>
      <x:c r="B69" s="6" t="str">
        <x:v>SVC000068</x:v>
      </x:c>
      <x:c r="C69" s="6" t="str">
        <x:v>iPhone 14 Screen replacement</x:v>
      </x:c>
      <x:c r="D69" s="6" t="str">
        <x:v>iPhone 14 Screen replacement</x:v>
      </x:c>
      <x:c r="E69" s="6" t="str"/>
      <x:c r="F69" s="6" t="str"/>
      <x:c r="G69" s="6" t="str">
        <x:v>Unknown</x:v>
      </x:c>
      <x:c r="H69" s="12" t="str">
        <x:v>Source Workbook</x:v>
      </x:c>
      <x:c r="I69" s="12" t="str">
        <x:v>Nocturnix_Master_Services_Catalog_v1.xlsx | 01 - Master Services | row 108</x:v>
      </x:c>
      <x:c r="J69" s="6" t="str">
        <x:v>Unresolved</x:v>
      </x:c>
      <x:c r="K69" s="6" t="str"/>
      <x:c r="L69" s="6" t="str"/>
      <x:c r="M69" s="6" t="str">
        <x:v>Pending</x:v>
      </x:c>
      <x:c r="N69" s="12" t="str"/>
    </x:row>
    <x:row r="70">
      <x:c r="A70" s="6" t="str">
        <x:v>DEVR-000069</x:v>
      </x:c>
      <x:c r="B70" s="6" t="str">
        <x:v>SVC000069</x:v>
      </x:c>
      <x:c r="C70" s="6" t="str">
        <x:v>iPhone 14 Pro Max Screen replacement</x:v>
      </x:c>
      <x:c r="D70" s="6" t="str">
        <x:v>iPhone 14 Pro Max Screen replacement</x:v>
      </x:c>
      <x:c r="E70" s="6" t="str"/>
      <x:c r="F70" s="6" t="str"/>
      <x:c r="G70" s="6" t="str">
        <x:v>Unknown</x:v>
      </x:c>
      <x:c r="H70" s="12" t="str">
        <x:v>Source Workbook</x:v>
      </x:c>
      <x:c r="I70" s="12" t="str">
        <x:v>Nocturnix_Master_Services_Catalog_v1.xlsx | 01 - Master Services | row 109</x:v>
      </x:c>
      <x:c r="J70" s="6" t="str">
        <x:v>Unresolved</x:v>
      </x:c>
      <x:c r="K70" s="6" t="str"/>
      <x:c r="L70" s="6" t="str"/>
      <x:c r="M70" s="6" t="str">
        <x:v>Pending</x:v>
      </x:c>
      <x:c r="N70" s="12" t="str"/>
    </x:row>
    <x:row r="71">
      <x:c r="A71" s="6" t="str">
        <x:v>DEVR-000070</x:v>
      </x:c>
      <x:c r="B71" s="6" t="str">
        <x:v>SVC000070</x:v>
      </x:c>
      <x:c r="C71" s="6" t="str">
        <x:v>iPhone 14 Plus Screen replacement</x:v>
      </x:c>
      <x:c r="D71" s="6" t="str">
        <x:v>iPhone 14 Plus Screen replacement</x:v>
      </x:c>
      <x:c r="E71" s="6" t="str"/>
      <x:c r="F71" s="6" t="str"/>
      <x:c r="G71" s="6" t="str">
        <x:v>Unknown</x:v>
      </x:c>
      <x:c r="H71" s="12" t="str">
        <x:v>Source Workbook</x:v>
      </x:c>
      <x:c r="I71" s="12" t="str">
        <x:v>Nocturnix_Master_Services_Catalog_v1.xlsx | 01 - Master Services | row 110</x:v>
      </x:c>
      <x:c r="J71" s="6" t="str">
        <x:v>Unresolved</x:v>
      </x:c>
      <x:c r="K71" s="6" t="str"/>
      <x:c r="L71" s="6" t="str"/>
      <x:c r="M71" s="6" t="str">
        <x:v>Pending</x:v>
      </x:c>
      <x:c r="N71" s="12" t="str"/>
    </x:row>
    <x:row r="72">
      <x:c r="A72" s="6" t="str">
        <x:v>DEVR-000071</x:v>
      </x:c>
      <x:c r="B72" s="6" t="str">
        <x:v>SVC000071</x:v>
      </x:c>
      <x:c r="C72" s="6" t="str">
        <x:v>iPhone 14 Pro Screen replacement</x:v>
      </x:c>
      <x:c r="D72" s="6" t="str">
        <x:v>iPhone 14 Pro Screen replacement</x:v>
      </x:c>
      <x:c r="E72" s="6" t="str"/>
      <x:c r="F72" s="6" t="str"/>
      <x:c r="G72" s="6" t="str">
        <x:v>Unknown</x:v>
      </x:c>
      <x:c r="H72" s="12" t="str">
        <x:v>Source Workbook</x:v>
      </x:c>
      <x:c r="I72" s="12" t="str">
        <x:v>Nocturnix_Master_Services_Catalog_v1.xlsx | 01 - Master Services | row 111</x:v>
      </x:c>
      <x:c r="J72" s="6" t="str">
        <x:v>Unresolved</x:v>
      </x:c>
      <x:c r="K72" s="6" t="str"/>
      <x:c r="L72" s="6" t="str"/>
      <x:c r="M72" s="6" t="str">
        <x:v>Pending</x:v>
      </x:c>
      <x:c r="N72" s="12" t="str"/>
    </x:row>
    <x:row r="73">
      <x:c r="A73" s="6" t="str">
        <x:v>DEVR-000072</x:v>
      </x:c>
      <x:c r="B73" s="6" t="str">
        <x:v>SVC000072</x:v>
      </x:c>
      <x:c r="C73" s="6" t="str">
        <x:v>iPhone 15 Pro Screen replacement</x:v>
      </x:c>
      <x:c r="D73" s="6" t="str">
        <x:v>iPhone 15 Pro Screen replacement</x:v>
      </x:c>
      <x:c r="E73" s="6" t="str"/>
      <x:c r="F73" s="6" t="str"/>
      <x:c r="G73" s="6" t="str">
        <x:v>Unknown</x:v>
      </x:c>
      <x:c r="H73" s="12" t="str">
        <x:v>Source Workbook</x:v>
      </x:c>
      <x:c r="I73" s="12" t="str">
        <x:v>Nocturnix_Master_Services_Catalog_v1.xlsx | 01 - Master Services | row 112</x:v>
      </x:c>
      <x:c r="J73" s="6" t="str">
        <x:v>Unresolved</x:v>
      </x:c>
      <x:c r="K73" s="6" t="str"/>
      <x:c r="L73" s="6" t="str"/>
      <x:c r="M73" s="6" t="str">
        <x:v>Pending</x:v>
      </x:c>
      <x:c r="N73" s="12" t="str"/>
    </x:row>
    <x:row r="74">
      <x:c r="A74" s="6" t="str">
        <x:v>DEVR-000073</x:v>
      </x:c>
      <x:c r="B74" s="6" t="str">
        <x:v>SVC000073</x:v>
      </x:c>
      <x:c r="C74" s="6" t="str">
        <x:v>iPhone 15 Pro Max Screen replacement</x:v>
      </x:c>
      <x:c r="D74" s="6" t="str">
        <x:v>iPhone 15 Pro Max Screen replacement</x:v>
      </x:c>
      <x:c r="E74" s="6" t="str"/>
      <x:c r="F74" s="6" t="str"/>
      <x:c r="G74" s="6" t="str">
        <x:v>Unknown</x:v>
      </x:c>
      <x:c r="H74" s="12" t="str">
        <x:v>Source Workbook</x:v>
      </x:c>
      <x:c r="I74" s="12" t="str">
        <x:v>Nocturnix_Master_Services_Catalog_v1.xlsx | 01 - Master Services | row 113</x:v>
      </x:c>
      <x:c r="J74" s="6" t="str">
        <x:v>Unresolved</x:v>
      </x:c>
      <x:c r="K74" s="6" t="str"/>
      <x:c r="L74" s="6" t="str"/>
      <x:c r="M74" s="6" t="str">
        <x:v>Pending</x:v>
      </x:c>
      <x:c r="N74" s="12" t="str"/>
    </x:row>
    <x:row r="75">
      <x:c r="A75" s="6" t="str">
        <x:v>DEVR-000074</x:v>
      </x:c>
      <x:c r="B75" s="6" t="str">
        <x:v>SVC000074</x:v>
      </x:c>
      <x:c r="C75" s="6" t="str">
        <x:v>iPhone 15 Screen replacement</x:v>
      </x:c>
      <x:c r="D75" s="6" t="str">
        <x:v>iPhone 15 Screen replacement</x:v>
      </x:c>
      <x:c r="E75" s="6" t="str"/>
      <x:c r="F75" s="6" t="str"/>
      <x:c r="G75" s="6" t="str">
        <x:v>Unknown</x:v>
      </x:c>
      <x:c r="H75" s="12" t="str">
        <x:v>Source Workbook</x:v>
      </x:c>
      <x:c r="I75" s="12" t="str">
        <x:v>Nocturnix_Master_Services_Catalog_v1.xlsx | 01 - Master Services | row 114</x:v>
      </x:c>
      <x:c r="J75" s="6" t="str">
        <x:v>Unresolved</x:v>
      </x:c>
      <x:c r="K75" s="6" t="str"/>
      <x:c r="L75" s="6" t="str"/>
      <x:c r="M75" s="6" t="str">
        <x:v>Pending</x:v>
      </x:c>
      <x:c r="N75" s="12" t="str"/>
    </x:row>
    <x:row r="76">
      <x:c r="A76" s="6" t="str">
        <x:v>DEVR-000075</x:v>
      </x:c>
      <x:c r="B76" s="6" t="str">
        <x:v>SVC000075</x:v>
      </x:c>
      <x:c r="C76" s="6" t="str">
        <x:v>iPhone 15 Plus Screen replacement</x:v>
      </x:c>
      <x:c r="D76" s="6" t="str">
        <x:v>iPhone 15 Plus Screen replacement</x:v>
      </x:c>
      <x:c r="E76" s="6" t="str"/>
      <x:c r="F76" s="6" t="str"/>
      <x:c r="G76" s="6" t="str">
        <x:v>Unknown</x:v>
      </x:c>
      <x:c r="H76" s="12" t="str">
        <x:v>Source Workbook</x:v>
      </x:c>
      <x:c r="I76" s="12" t="str">
        <x:v>Nocturnix_Master_Services_Catalog_v1.xlsx | 01 - Master Services | row 115</x:v>
      </x:c>
      <x:c r="J76" s="6" t="str">
        <x:v>Unresolved</x:v>
      </x:c>
      <x:c r="K76" s="6" t="str"/>
      <x:c r="L76" s="6" t="str"/>
      <x:c r="M76" s="6" t="str">
        <x:v>Pending</x:v>
      </x:c>
      <x:c r="N76" s="12" t="str"/>
    </x:row>
    <x:row r="77">
      <x:c r="A77" s="6" t="str">
        <x:v>DEVR-000076</x:v>
      </x:c>
      <x:c r="B77" s="6" t="str">
        <x:v>SVC000076</x:v>
      </x:c>
      <x:c r="C77" s="6" t="str">
        <x:v>iPhone 16 Plus Screen replacement</x:v>
      </x:c>
      <x:c r="D77" s="6" t="str">
        <x:v>iPhone 16 Plus Screen replacement</x:v>
      </x:c>
      <x:c r="E77" s="6" t="str"/>
      <x:c r="F77" s="6" t="str"/>
      <x:c r="G77" s="6" t="str">
        <x:v>Unknown</x:v>
      </x:c>
      <x:c r="H77" s="12" t="str">
        <x:v>Source Workbook</x:v>
      </x:c>
      <x:c r="I77" s="12" t="str">
        <x:v>Nocturnix_Master_Services_Catalog_v1.xlsx | 01 - Master Services | row 116</x:v>
      </x:c>
      <x:c r="J77" s="6" t="str">
        <x:v>Unresolved</x:v>
      </x:c>
      <x:c r="K77" s="6" t="str"/>
      <x:c r="L77" s="6" t="str"/>
      <x:c r="M77" s="6" t="str">
        <x:v>Pending</x:v>
      </x:c>
      <x:c r="N77" s="12" t="str"/>
    </x:row>
    <x:row r="78">
      <x:c r="A78" s="6" t="str">
        <x:v>DEVR-000077</x:v>
      </x:c>
      <x:c r="B78" s="6" t="str">
        <x:v>SVC000077</x:v>
      </x:c>
      <x:c r="C78" s="6" t="str">
        <x:v>iPhone 16 Pro Max Screen replacement</x:v>
      </x:c>
      <x:c r="D78" s="6" t="str">
        <x:v>iPhone 16 Pro Max Screen replacement</x:v>
      </x:c>
      <x:c r="E78" s="6" t="str"/>
      <x:c r="F78" s="6" t="str"/>
      <x:c r="G78" s="6" t="str">
        <x:v>Unknown</x:v>
      </x:c>
      <x:c r="H78" s="12" t="str">
        <x:v>Source Workbook</x:v>
      </x:c>
      <x:c r="I78" s="12" t="str">
        <x:v>Nocturnix_Master_Services_Catalog_v1.xlsx | 01 - Master Services | row 117</x:v>
      </x:c>
      <x:c r="J78" s="6" t="str">
        <x:v>Unresolved</x:v>
      </x:c>
      <x:c r="K78" s="6" t="str"/>
      <x:c r="L78" s="6" t="str"/>
      <x:c r="M78" s="6" t="str">
        <x:v>Pending</x:v>
      </x:c>
      <x:c r="N78" s="12" t="str"/>
    </x:row>
    <x:row r="79">
      <x:c r="A79" s="6" t="str">
        <x:v>DEVR-000078</x:v>
      </x:c>
      <x:c r="B79" s="6" t="str">
        <x:v>SVC000078</x:v>
      </x:c>
      <x:c r="C79" s="6" t="str">
        <x:v>iPhone 16 Screen replacement</x:v>
      </x:c>
      <x:c r="D79" s="6" t="str">
        <x:v>iPhone 16 Screen replacement</x:v>
      </x:c>
      <x:c r="E79" s="6" t="str"/>
      <x:c r="F79" s="6" t="str"/>
      <x:c r="G79" s="6" t="str">
        <x:v>Unknown</x:v>
      </x:c>
      <x:c r="H79" s="12" t="str">
        <x:v>Source Workbook</x:v>
      </x:c>
      <x:c r="I79" s="12" t="str">
        <x:v>Nocturnix_Master_Services_Catalog_v1.xlsx | 01 - Master Services | row 118</x:v>
      </x:c>
      <x:c r="J79" s="6" t="str">
        <x:v>Unresolved</x:v>
      </x:c>
      <x:c r="K79" s="6" t="str"/>
      <x:c r="L79" s="6" t="str"/>
      <x:c r="M79" s="6" t="str">
        <x:v>Pending</x:v>
      </x:c>
      <x:c r="N79" s="12" t="str"/>
    </x:row>
    <x:row r="80">
      <x:c r="A80" s="6" t="str">
        <x:v>DEVR-000079</x:v>
      </x:c>
      <x:c r="B80" s="6" t="str">
        <x:v>SVC000079</x:v>
      </x:c>
      <x:c r="C80" s="6" t="str">
        <x:v>iPhone 16 Pro Screen replacement</x:v>
      </x:c>
      <x:c r="D80" s="6" t="str">
        <x:v>iPhone 16 Pro Screen replacement</x:v>
      </x:c>
      <x:c r="E80" s="6" t="str"/>
      <x:c r="F80" s="6" t="str"/>
      <x:c r="G80" s="6" t="str">
        <x:v>Unknown</x:v>
      </x:c>
      <x:c r="H80" s="12" t="str">
        <x:v>Source Workbook</x:v>
      </x:c>
      <x:c r="I80" s="12" t="str">
        <x:v>Nocturnix_Master_Services_Catalog_v1.xlsx | 01 - Master Services | row 119</x:v>
      </x:c>
      <x:c r="J80" s="6" t="str">
        <x:v>Unresolved</x:v>
      </x:c>
      <x:c r="K80" s="6" t="str"/>
      <x:c r="L80" s="6" t="str"/>
      <x:c r="M80" s="6" t="str">
        <x:v>Pending</x:v>
      </x:c>
      <x:c r="N80" s="12" t="str"/>
    </x:row>
    <x:row r="81">
      <x:c r="A81" s="6" t="str">
        <x:v>DEVR-000080</x:v>
      </x:c>
      <x:c r="B81" s="6" t="str">
        <x:v>SVC000080</x:v>
      </x:c>
      <x:c r="C81" s="6" t="str">
        <x:v>iPhone 16E Screen replacement</x:v>
      </x:c>
      <x:c r="D81" s="6" t="str">
        <x:v>iPhone 16E Screen replacement</x:v>
      </x:c>
      <x:c r="E81" s="6" t="str"/>
      <x:c r="F81" s="6" t="str"/>
      <x:c r="G81" s="6" t="str">
        <x:v>Unknown</x:v>
      </x:c>
      <x:c r="H81" s="12" t="str">
        <x:v>Source Workbook</x:v>
      </x:c>
      <x:c r="I81" s="12" t="str">
        <x:v>Nocturnix_Master_Services_Catalog_v1.xlsx | 01 - Master Services | row 120</x:v>
      </x:c>
      <x:c r="J81" s="6" t="str">
        <x:v>Unresolved</x:v>
      </x:c>
      <x:c r="K81" s="6" t="str"/>
      <x:c r="L81" s="6" t="str"/>
      <x:c r="M81" s="6" t="str">
        <x:v>Pending</x:v>
      </x:c>
      <x:c r="N81" s="12" t="str"/>
    </x:row>
    <x:row r="82">
      <x:c r="A82" s="6" t="str">
        <x:v>DEVR-000081</x:v>
      </x:c>
      <x:c r="B82" s="6" t="str">
        <x:v>SVC000081</x:v>
      </x:c>
      <x:c r="C82" s="6" t="str">
        <x:v>iPhone 17 Pro Max Phone* Screen replacement</x:v>
      </x:c>
      <x:c r="D82" s="6" t="str">
        <x:v>iPhone 17 Pro Max Phone* Screen replacement</x:v>
      </x:c>
      <x:c r="E82" s="6" t="str"/>
      <x:c r="F82" s="6" t="str"/>
      <x:c r="G82" s="6" t="str">
        <x:v>Unknown</x:v>
      </x:c>
      <x:c r="H82" s="12" t="str">
        <x:v>Source Workbook</x:v>
      </x:c>
      <x:c r="I82" s="12" t="str">
        <x:v>Nocturnix_Master_Services_Catalog_v1.xlsx | 01 - Master Services | row 121</x:v>
      </x:c>
      <x:c r="J82" s="6" t="str">
        <x:v>Unresolved</x:v>
      </x:c>
      <x:c r="K82" s="6" t="str"/>
      <x:c r="L82" s="6" t="str"/>
      <x:c r="M82" s="6" t="str">
        <x:v>Pending</x:v>
      </x:c>
      <x:c r="N82" s="12" t="str"/>
    </x:row>
    <x:row r="83">
      <x:c r="A83" s="6" t="str">
        <x:v>DEVR-000082</x:v>
      </x:c>
      <x:c r="B83" s="6" t="str">
        <x:v>SVC000082</x:v>
      </x:c>
      <x:c r="C83" s="6" t="str">
        <x:v>iPhone 17 Pro Screen replacement</x:v>
      </x:c>
      <x:c r="D83" s="6" t="str">
        <x:v>iPhone 17 Pro Screen replacement</x:v>
      </x:c>
      <x:c r="E83" s="6" t="str"/>
      <x:c r="F83" s="6" t="str"/>
      <x:c r="G83" s="6" t="str">
        <x:v>Unknown</x:v>
      </x:c>
      <x:c r="H83" s="12" t="str">
        <x:v>Source Workbook</x:v>
      </x:c>
      <x:c r="I83" s="12" t="str">
        <x:v>Nocturnix_Master_Services_Catalog_v1.xlsx | 01 - Master Services | row 122</x:v>
      </x:c>
      <x:c r="J83" s="6" t="str">
        <x:v>Unresolved</x:v>
      </x:c>
      <x:c r="K83" s="6" t="str"/>
      <x:c r="L83" s="6" t="str"/>
      <x:c r="M83" s="6" t="str">
        <x:v>Pending</x:v>
      </x:c>
      <x:c r="N83" s="12" t="str"/>
    </x:row>
    <x:row r="84">
      <x:c r="A84" s="6" t="str">
        <x:v>DEVR-000083</x:v>
      </x:c>
      <x:c r="B84" s="6" t="str">
        <x:v>SVC000083</x:v>
      </x:c>
      <x:c r="C84" s="6" t="str">
        <x:v>iPhone 17 Screen replacement</x:v>
      </x:c>
      <x:c r="D84" s="6" t="str">
        <x:v>iPhone 17 Screen replacement</x:v>
      </x:c>
      <x:c r="E84" s="6" t="str"/>
      <x:c r="F84" s="6" t="str"/>
      <x:c r="G84" s="6" t="str">
        <x:v>Unknown</x:v>
      </x:c>
      <x:c r="H84" s="12" t="str">
        <x:v>Source Workbook</x:v>
      </x:c>
      <x:c r="I84" s="12" t="str">
        <x:v>Nocturnix_Master_Services_Catalog_v1.xlsx | 01 - Master Services | row 123</x:v>
      </x:c>
      <x:c r="J84" s="6" t="str">
        <x:v>Unresolved</x:v>
      </x:c>
      <x:c r="K84" s="6" t="str"/>
      <x:c r="L84" s="6" t="str"/>
      <x:c r="M84" s="6" t="str">
        <x:v>Pending</x:v>
      </x:c>
      <x:c r="N84" s="12" t="str"/>
    </x:row>
    <x:row r="85">
      <x:c r="A85" s="6" t="str">
        <x:v>DEVR-000084</x:v>
      </x:c>
      <x:c r="B85" s="6" t="str">
        <x:v>SVC000084</x:v>
      </x:c>
      <x:c r="C85" s="6" t="str">
        <x:v>iPhone 5C Screen replacement</x:v>
      </x:c>
      <x:c r="D85" s="6" t="str">
        <x:v>iPhone 5C Screen replacement</x:v>
      </x:c>
      <x:c r="E85" s="6" t="str"/>
      <x:c r="F85" s="6" t="str"/>
      <x:c r="G85" s="6" t="str">
        <x:v>Unknown</x:v>
      </x:c>
      <x:c r="H85" s="12" t="str">
        <x:v>Source Workbook</x:v>
      </x:c>
      <x:c r="I85" s="12" t="str">
        <x:v>Nocturnix_Master_Services_Catalog_v1.xlsx | 01 - Master Services | row 124</x:v>
      </x:c>
      <x:c r="J85" s="6" t="str">
        <x:v>Unresolved</x:v>
      </x:c>
      <x:c r="K85" s="6" t="str"/>
      <x:c r="L85" s="6" t="str"/>
      <x:c r="M85" s="6" t="str">
        <x:v>Pending</x:v>
      </x:c>
      <x:c r="N85" s="12" t="str"/>
    </x:row>
    <x:row r="86">
      <x:c r="A86" s="6" t="str">
        <x:v>DEVR-000085</x:v>
      </x:c>
      <x:c r="B86" s="6" t="str">
        <x:v>SVC000085</x:v>
      </x:c>
      <x:c r="C86" s="6" t="str">
        <x:v>iPhone 5S Screen replacement</x:v>
      </x:c>
      <x:c r="D86" s="6" t="str">
        <x:v>iPhone 5S Screen replacement</x:v>
      </x:c>
      <x:c r="E86" s="6" t="str"/>
      <x:c r="F86" s="6" t="str"/>
      <x:c r="G86" s="6" t="str">
        <x:v>Unknown</x:v>
      </x:c>
      <x:c r="H86" s="12" t="str">
        <x:v>Source Workbook</x:v>
      </x:c>
      <x:c r="I86" s="12" t="str">
        <x:v>Nocturnix_Master_Services_Catalog_v1.xlsx | 01 - Master Services | row 125</x:v>
      </x:c>
      <x:c r="J86" s="6" t="str">
        <x:v>Unresolved</x:v>
      </x:c>
      <x:c r="K86" s="6" t="str"/>
      <x:c r="L86" s="6" t="str"/>
      <x:c r="M86" s="6" t="str">
        <x:v>Pending</x:v>
      </x:c>
      <x:c r="N86" s="12" t="str"/>
    </x:row>
    <x:row r="87">
      <x:c r="A87" s="6" t="str">
        <x:v>DEVR-000086</x:v>
      </x:c>
      <x:c r="B87" s="6" t="str">
        <x:v>SVC000086</x:v>
      </x:c>
      <x:c r="C87" s="6" t="str">
        <x:v>iPhone 6+ Screen replacement</x:v>
      </x:c>
      <x:c r="D87" s="6" t="str">
        <x:v>iPhone 6+ Screen replacement</x:v>
      </x:c>
      <x:c r="E87" s="6" t="str"/>
      <x:c r="F87" s="6" t="str"/>
      <x:c r="G87" s="6" t="str">
        <x:v>Unknown</x:v>
      </x:c>
      <x:c r="H87" s="12" t="str">
        <x:v>Source Workbook</x:v>
      </x:c>
      <x:c r="I87" s="12" t="str">
        <x:v>Nocturnix_Master_Services_Catalog_v1.xlsx | 01 - Master Services | row 126</x:v>
      </x:c>
      <x:c r="J87" s="6" t="str">
        <x:v>Unresolved</x:v>
      </x:c>
      <x:c r="K87" s="6" t="str"/>
      <x:c r="L87" s="6" t="str"/>
      <x:c r="M87" s="6" t="str">
        <x:v>Pending</x:v>
      </x:c>
      <x:c r="N87" s="12" t="str"/>
    </x:row>
    <x:row r="88">
      <x:c r="A88" s="6" t="str">
        <x:v>DEVR-000087</x:v>
      </x:c>
      <x:c r="B88" s="6" t="str">
        <x:v>SVC000087</x:v>
      </x:c>
      <x:c r="C88" s="6" t="str">
        <x:v>iPhone 6 Screen replacement</x:v>
      </x:c>
      <x:c r="D88" s="6" t="str">
        <x:v>iPhone 6 Screen replacement</x:v>
      </x:c>
      <x:c r="E88" s="6" t="str"/>
      <x:c r="F88" s="6" t="str"/>
      <x:c r="G88" s="6" t="str">
        <x:v>Unknown</x:v>
      </x:c>
      <x:c r="H88" s="12" t="str">
        <x:v>Source Workbook</x:v>
      </x:c>
      <x:c r="I88" s="12" t="str">
        <x:v>Nocturnix_Master_Services_Catalog_v1.xlsx | 01 - Master Services | row 127</x:v>
      </x:c>
      <x:c r="J88" s="6" t="str">
        <x:v>Unresolved</x:v>
      </x:c>
      <x:c r="K88" s="6" t="str"/>
      <x:c r="L88" s="6" t="str"/>
      <x:c r="M88" s="6" t="str">
        <x:v>Pending</x:v>
      </x:c>
      <x:c r="N88" s="12" t="str"/>
    </x:row>
    <x:row r="89">
      <x:c r="A89" s="6" t="str">
        <x:v>DEVR-000088</x:v>
      </x:c>
      <x:c r="B89" s="6" t="str">
        <x:v>SVC000088</x:v>
      </x:c>
      <x:c r="C89" s="6" t="str">
        <x:v>iPhone 6S+ Screen replacement</x:v>
      </x:c>
      <x:c r="D89" s="6" t="str">
        <x:v>iPhone 6S+ Screen replacement</x:v>
      </x:c>
      <x:c r="E89" s="6" t="str"/>
      <x:c r="F89" s="6" t="str"/>
      <x:c r="G89" s="6" t="str">
        <x:v>Unknown</x:v>
      </x:c>
      <x:c r="H89" s="12" t="str">
        <x:v>Source Workbook</x:v>
      </x:c>
      <x:c r="I89" s="12" t="str">
        <x:v>Nocturnix_Master_Services_Catalog_v1.xlsx | 01 - Master Services | row 128</x:v>
      </x:c>
      <x:c r="J89" s="6" t="str">
        <x:v>Unresolved</x:v>
      </x:c>
      <x:c r="K89" s="6" t="str"/>
      <x:c r="L89" s="6" t="str"/>
      <x:c r="M89" s="6" t="str">
        <x:v>Pending</x:v>
      </x:c>
      <x:c r="N89" s="12" t="str"/>
    </x:row>
    <x:row r="90">
      <x:c r="A90" s="6" t="str">
        <x:v>DEVR-000089</x:v>
      </x:c>
      <x:c r="B90" s="6" t="str">
        <x:v>SVC000089</x:v>
      </x:c>
      <x:c r="C90" s="6" t="str">
        <x:v>iPhone 6S Screen replacement</x:v>
      </x:c>
      <x:c r="D90" s="6" t="str">
        <x:v>iPhone 6S Screen replacement</x:v>
      </x:c>
      <x:c r="E90" s="6" t="str"/>
      <x:c r="F90" s="6" t="str"/>
      <x:c r="G90" s="6" t="str">
        <x:v>Unknown</x:v>
      </x:c>
      <x:c r="H90" s="12" t="str">
        <x:v>Source Workbook</x:v>
      </x:c>
      <x:c r="I90" s="12" t="str">
        <x:v>Nocturnix_Master_Services_Catalog_v1.xlsx | 01 - Master Services | row 129</x:v>
      </x:c>
      <x:c r="J90" s="6" t="str">
        <x:v>Unresolved</x:v>
      </x:c>
      <x:c r="K90" s="6" t="str"/>
      <x:c r="L90" s="6" t="str"/>
      <x:c r="M90" s="6" t="str">
        <x:v>Pending</x:v>
      </x:c>
      <x:c r="N90" s="12" t="str"/>
    </x:row>
    <x:row r="91">
      <x:c r="A91" s="6" t="str">
        <x:v>DEVR-000090</x:v>
      </x:c>
      <x:c r="B91" s="6" t="str">
        <x:v>SVC000090</x:v>
      </x:c>
      <x:c r="C91" s="6" t="str">
        <x:v>iPhone 7+ Screen replacement</x:v>
      </x:c>
      <x:c r="D91" s="6" t="str">
        <x:v>iPhone 7+ Screen replacement</x:v>
      </x:c>
      <x:c r="E91" s="6" t="str"/>
      <x:c r="F91" s="6" t="str"/>
      <x:c r="G91" s="6" t="str">
        <x:v>Unknown</x:v>
      </x:c>
      <x:c r="H91" s="12" t="str">
        <x:v>Source Workbook</x:v>
      </x:c>
      <x:c r="I91" s="12" t="str">
        <x:v>Nocturnix_Master_Services_Catalog_v1.xlsx | 01 - Master Services | row 130</x:v>
      </x:c>
      <x:c r="J91" s="6" t="str">
        <x:v>Unresolved</x:v>
      </x:c>
      <x:c r="K91" s="6" t="str"/>
      <x:c r="L91" s="6" t="str"/>
      <x:c r="M91" s="6" t="str">
        <x:v>Pending</x:v>
      </x:c>
      <x:c r="N91" s="12" t="str"/>
    </x:row>
    <x:row r="92">
      <x:c r="A92" s="6" t="str">
        <x:v>DEVR-000091</x:v>
      </x:c>
      <x:c r="B92" s="6" t="str">
        <x:v>SVC000091</x:v>
      </x:c>
      <x:c r="C92" s="6" t="str">
        <x:v>iPhone 7 Screen replacement</x:v>
      </x:c>
      <x:c r="D92" s="6" t="str">
        <x:v>iPhone 7 Screen replacement</x:v>
      </x:c>
      <x:c r="E92" s="6" t="str"/>
      <x:c r="F92" s="6" t="str"/>
      <x:c r="G92" s="6" t="str">
        <x:v>Unknown</x:v>
      </x:c>
      <x:c r="H92" s="12" t="str">
        <x:v>Source Workbook</x:v>
      </x:c>
      <x:c r="I92" s="12" t="str">
        <x:v>Nocturnix_Master_Services_Catalog_v1.xlsx | 01 - Master Services | row 131</x:v>
      </x:c>
      <x:c r="J92" s="6" t="str">
        <x:v>Unresolved</x:v>
      </x:c>
      <x:c r="K92" s="6" t="str"/>
      <x:c r="L92" s="6" t="str"/>
      <x:c r="M92" s="6" t="str">
        <x:v>Pending</x:v>
      </x:c>
      <x:c r="N92" s="12" t="str"/>
    </x:row>
    <x:row r="93">
      <x:c r="A93" s="6" t="str">
        <x:v>DEVR-000092</x:v>
      </x:c>
      <x:c r="B93" s="6" t="str">
        <x:v>SVC000092</x:v>
      </x:c>
      <x:c r="C93" s="6" t="str">
        <x:v>iPhone 8+ Screen replacement</x:v>
      </x:c>
      <x:c r="D93" s="6" t="str">
        <x:v>iPhone 8+ Screen replacement</x:v>
      </x:c>
      <x:c r="E93" s="6" t="str"/>
      <x:c r="F93" s="6" t="str"/>
      <x:c r="G93" s="6" t="str">
        <x:v>Unknown</x:v>
      </x:c>
      <x:c r="H93" s="12" t="str">
        <x:v>Source Workbook</x:v>
      </x:c>
      <x:c r="I93" s="12" t="str">
        <x:v>Nocturnix_Master_Services_Catalog_v1.xlsx | 01 - Master Services | row 132</x:v>
      </x:c>
      <x:c r="J93" s="6" t="str">
        <x:v>Unresolved</x:v>
      </x:c>
      <x:c r="K93" s="6" t="str"/>
      <x:c r="L93" s="6" t="str"/>
      <x:c r="M93" s="6" t="str">
        <x:v>Pending</x:v>
      </x:c>
      <x:c r="N93" s="12" t="str"/>
    </x:row>
    <x:row r="94">
      <x:c r="A94" s="6" t="str">
        <x:v>DEVR-000093</x:v>
      </x:c>
      <x:c r="B94" s="6" t="str">
        <x:v>SVC000093</x:v>
      </x:c>
      <x:c r="C94" s="6" t="str">
        <x:v>iPhone 8 Screen replacement</x:v>
      </x:c>
      <x:c r="D94" s="6" t="str">
        <x:v>iPhone 8 Screen replacement</x:v>
      </x:c>
      <x:c r="E94" s="6" t="str"/>
      <x:c r="F94" s="6" t="str"/>
      <x:c r="G94" s="6" t="str">
        <x:v>Unknown</x:v>
      </x:c>
      <x:c r="H94" s="12" t="str">
        <x:v>Source Workbook</x:v>
      </x:c>
      <x:c r="I94" s="12" t="str">
        <x:v>Nocturnix_Master_Services_Catalog_v1.xlsx | 01 - Master Services | row 133</x:v>
      </x:c>
      <x:c r="J94" s="6" t="str">
        <x:v>Unresolved</x:v>
      </x:c>
      <x:c r="K94" s="6" t="str"/>
      <x:c r="L94" s="6" t="str"/>
      <x:c r="M94" s="6" t="str">
        <x:v>Pending</x:v>
      </x:c>
      <x:c r="N94" s="12" t="str"/>
    </x:row>
    <x:row r="95">
      <x:c r="A95" s="6" t="str">
        <x:v>DEVR-000094</x:v>
      </x:c>
      <x:c r="B95" s="6" t="str">
        <x:v>SVC000094</x:v>
      </x:c>
      <x:c r="C95" s="6" t="str">
        <x:v>iPhone Air Screen replacement</x:v>
      </x:c>
      <x:c r="D95" s="6" t="str">
        <x:v>iPhone Air Screen replacement</x:v>
      </x:c>
      <x:c r="E95" s="6" t="str"/>
      <x:c r="F95" s="6" t="str"/>
      <x:c r="G95" s="6" t="str">
        <x:v>Unknown</x:v>
      </x:c>
      <x:c r="H95" s="12" t="str">
        <x:v>Source Workbook</x:v>
      </x:c>
      <x:c r="I95" s="12" t="str">
        <x:v>Nocturnix_Master_Services_Catalog_v1.xlsx | 01 - Master Services | row 134</x:v>
      </x:c>
      <x:c r="J95" s="6" t="str">
        <x:v>Unresolved</x:v>
      </x:c>
      <x:c r="K95" s="6" t="str"/>
      <x:c r="L95" s="6" t="str"/>
      <x:c r="M95" s="6" t="str">
        <x:v>Pending</x:v>
      </x:c>
      <x:c r="N95" s="12" t="str"/>
    </x:row>
    <x:row r="96">
      <x:c r="A96" s="6" t="str">
        <x:v>DEVR-000095</x:v>
      </x:c>
      <x:c r="B96" s="6" t="str">
        <x:v>SVC000095</x:v>
      </x:c>
      <x:c r="C96" s="6" t="str">
        <x:v>iPhone SE(1ST GEN) Screen replacement</x:v>
      </x:c>
      <x:c r="D96" s="6" t="str">
        <x:v>iPhone SE(1ST GEN) Screen replacement</x:v>
      </x:c>
      <x:c r="E96" s="6" t="str"/>
      <x:c r="F96" s="6" t="str"/>
      <x:c r="G96" s="6" t="str">
        <x:v>Unknown</x:v>
      </x:c>
      <x:c r="H96" s="12" t="str">
        <x:v>Source Workbook</x:v>
      </x:c>
      <x:c r="I96" s="12" t="str">
        <x:v>Nocturnix_Master_Services_Catalog_v1.xlsx | 01 - Master Services | row 135</x:v>
      </x:c>
      <x:c r="J96" s="6" t="str">
        <x:v>Unresolved</x:v>
      </x:c>
      <x:c r="K96" s="6" t="str"/>
      <x:c r="L96" s="6" t="str"/>
      <x:c r="M96" s="6" t="str">
        <x:v>Pending</x:v>
      </x:c>
      <x:c r="N96" s="12" t="str"/>
    </x:row>
    <x:row r="97">
      <x:c r="A97" s="6" t="str">
        <x:v>DEVR-000096</x:v>
      </x:c>
      <x:c r="B97" s="6" t="str">
        <x:v>SVC000096</x:v>
      </x:c>
      <x:c r="C97" s="6" t="str">
        <x:v>iPhone SE (2ND GEN) Screen replacement</x:v>
      </x:c>
      <x:c r="D97" s="6" t="str">
        <x:v>iPhone SE (2ND GEN) Screen replacement</x:v>
      </x:c>
      <x:c r="E97" s="6" t="str"/>
      <x:c r="F97" s="6" t="str"/>
      <x:c r="G97" s="6" t="str">
        <x:v>Unknown</x:v>
      </x:c>
      <x:c r="H97" s="12" t="str">
        <x:v>Source Workbook</x:v>
      </x:c>
      <x:c r="I97" s="12" t="str">
        <x:v>Nocturnix_Master_Services_Catalog_v1.xlsx | 01 - Master Services | row 136</x:v>
      </x:c>
      <x:c r="J97" s="6" t="str">
        <x:v>Unresolved</x:v>
      </x:c>
      <x:c r="K97" s="6" t="str"/>
      <x:c r="L97" s="6" t="str"/>
      <x:c r="M97" s="6" t="str">
        <x:v>Pending</x:v>
      </x:c>
      <x:c r="N97" s="12" t="str"/>
    </x:row>
    <x:row r="98">
      <x:c r="A98" s="6" t="str">
        <x:v>DEVR-000097</x:v>
      </x:c>
      <x:c r="B98" s="6" t="str">
        <x:v>SVC000097</x:v>
      </x:c>
      <x:c r="C98" s="6" t="str">
        <x:v>iPhone SE (3RD GEN) Screen replacement</x:v>
      </x:c>
      <x:c r="D98" s="6" t="str">
        <x:v>iPhone SE (3RD GEN) Screen replacement</x:v>
      </x:c>
      <x:c r="E98" s="6" t="str"/>
      <x:c r="F98" s="6" t="str"/>
      <x:c r="G98" s="6" t="str">
        <x:v>Unknown</x:v>
      </x:c>
      <x:c r="H98" s="12" t="str">
        <x:v>Source Workbook</x:v>
      </x:c>
      <x:c r="I98" s="12" t="str">
        <x:v>Nocturnix_Master_Services_Catalog_v1.xlsx | 01 - Master Services | row 137</x:v>
      </x:c>
      <x:c r="J98" s="6" t="str">
        <x:v>Unresolved</x:v>
      </x:c>
      <x:c r="K98" s="6" t="str"/>
      <x:c r="L98" s="6" t="str"/>
      <x:c r="M98" s="6" t="str">
        <x:v>Pending</x:v>
      </x:c>
      <x:c r="N98" s="12" t="str"/>
    </x:row>
    <x:row r="99">
      <x:c r="A99" s="6" t="str">
        <x:v>DEVR-000098</x:v>
      </x:c>
      <x:c r="B99" s="6" t="str">
        <x:v>SVC000098</x:v>
      </x:c>
      <x:c r="C99" s="6" t="str">
        <x:v>iPhone XR Screen replacement</x:v>
      </x:c>
      <x:c r="D99" s="6" t="str">
        <x:v>iPhone XR Screen replacement</x:v>
      </x:c>
      <x:c r="E99" s="6" t="str"/>
      <x:c r="F99" s="6" t="str"/>
      <x:c r="G99" s="6" t="str">
        <x:v>Unknown</x:v>
      </x:c>
      <x:c r="H99" s="12" t="str">
        <x:v>Source Workbook</x:v>
      </x:c>
      <x:c r="I99" s="12" t="str">
        <x:v>Nocturnix_Master_Services_Catalog_v1.xlsx | 01 - Master Services | row 138</x:v>
      </x:c>
      <x:c r="J99" s="6" t="str">
        <x:v>Unresolved</x:v>
      </x:c>
      <x:c r="K99" s="6" t="str"/>
      <x:c r="L99" s="6" t="str"/>
      <x:c r="M99" s="6" t="str">
        <x:v>Pending</x:v>
      </x:c>
      <x:c r="N99" s="12" t="str"/>
    </x:row>
    <x:row r="100">
      <x:c r="A100" s="6" t="str">
        <x:v>DEVR-000099</x:v>
      </x:c>
      <x:c r="B100" s="6" t="str">
        <x:v>SVC000099</x:v>
      </x:c>
      <x:c r="C100" s="6" t="str">
        <x:v>iPhone XS Screen replacement</x:v>
      </x:c>
      <x:c r="D100" s="6" t="str">
        <x:v>iPhone XS Screen replacement</x:v>
      </x:c>
      <x:c r="E100" s="6" t="str"/>
      <x:c r="F100" s="6" t="str"/>
      <x:c r="G100" s="6" t="str">
        <x:v>Unknown</x:v>
      </x:c>
      <x:c r="H100" s="12" t="str">
        <x:v>Source Workbook</x:v>
      </x:c>
      <x:c r="I100" s="12" t="str">
        <x:v>Nocturnix_Master_Services_Catalog_v1.xlsx | 01 - Master Services | row 139</x:v>
      </x:c>
      <x:c r="J100" s="6" t="str">
        <x:v>Unresolved</x:v>
      </x:c>
      <x:c r="K100" s="6" t="str"/>
      <x:c r="L100" s="6" t="str"/>
      <x:c r="M100" s="6" t="str">
        <x:v>Pending</x:v>
      </x:c>
      <x:c r="N100" s="12" t="str"/>
    </x:row>
    <x:row r="101">
      <x:c r="A101" s="6" t="str">
        <x:v>DEVR-000100</x:v>
      </x:c>
      <x:c r="B101" s="6" t="str">
        <x:v>SVC000100</x:v>
      </x:c>
      <x:c r="C101" s="6" t="str">
        <x:v>iPhone 5 Screen replacement</x:v>
      </x:c>
      <x:c r="D101" s="6" t="str">
        <x:v>iPhone 5 Screen replacement</x:v>
      </x:c>
      <x:c r="E101" s="6" t="str"/>
      <x:c r="F101" s="6" t="str"/>
      <x:c r="G101" s="6" t="str">
        <x:v>Unknown</x:v>
      </x:c>
      <x:c r="H101" s="12" t="str">
        <x:v>Source Workbook</x:v>
      </x:c>
      <x:c r="I101" s="12" t="str">
        <x:v>Nocturnix_Master_Services_Catalog_v1.xlsx | 01 - Master Services | row 140</x:v>
      </x:c>
      <x:c r="J101" s="6" t="str">
        <x:v>Unresolved</x:v>
      </x:c>
      <x:c r="K101" s="6" t="str"/>
      <x:c r="L101" s="6" t="str"/>
      <x:c r="M101" s="6" t="str">
        <x:v>Pending</x:v>
      </x:c>
      <x:c r="N101" s="12" t="str"/>
    </x:row>
    <x:row r="102">
      <x:c r="A102" s="6" t="str">
        <x:v>DEVR-000101</x:v>
      </x:c>
      <x:c r="B102" s="6" t="str">
        <x:v>SVC000101</x:v>
      </x:c>
      <x:c r="C102" s="6" t="str">
        <x:v>iPhone 4S Screen replacement</x:v>
      </x:c>
      <x:c r="D102" s="6" t="str">
        <x:v>iPhone 4S Screen replacement</x:v>
      </x:c>
      <x:c r="E102" s="6" t="str"/>
      <x:c r="F102" s="6" t="str"/>
      <x:c r="G102" s="6" t="str">
        <x:v>Unknown</x:v>
      </x:c>
      <x:c r="H102" s="12" t="str">
        <x:v>Source Workbook</x:v>
      </x:c>
      <x:c r="I102" s="12" t="str">
        <x:v>Nocturnix_Master_Services_Catalog_v1.xlsx | 01 - Master Services | row 141</x:v>
      </x:c>
      <x:c r="J102" s="6" t="str">
        <x:v>Unresolved</x:v>
      </x:c>
      <x:c r="K102" s="6" t="str"/>
      <x:c r="L102" s="6" t="str"/>
      <x:c r="M102" s="6" t="str">
        <x:v>Pending</x:v>
      </x:c>
      <x:c r="N102" s="12" t="str"/>
    </x:row>
    <x:row r="103">
      <x:c r="A103" s="6" t="str">
        <x:v>DEVR-000102</x:v>
      </x:c>
      <x:c r="B103" s="6" t="str">
        <x:v>SVC000102</x:v>
      </x:c>
      <x:c r="C103" s="6" t="str">
        <x:v>iPhone 4S Screen replacement</x:v>
      </x:c>
      <x:c r="D103" s="6" t="str">
        <x:v>iPhone 4S Screen replacement</x:v>
      </x:c>
      <x:c r="E103" s="6" t="str"/>
      <x:c r="F103" s="6" t="str"/>
      <x:c r="G103" s="6" t="str">
        <x:v>Unknown</x:v>
      </x:c>
      <x:c r="H103" s="12" t="str">
        <x:v>Source Workbook</x:v>
      </x:c>
      <x:c r="I103" s="12" t="str">
        <x:v>Nocturnix_Master_Services_Catalog_v1.xlsx | 01 - Master Services | row 142</x:v>
      </x:c>
      <x:c r="J103" s="6" t="str">
        <x:v>Unresolved</x:v>
      </x:c>
      <x:c r="K103" s="6" t="str"/>
      <x:c r="L103" s="6" t="str"/>
      <x:c r="M103" s="6" t="str">
        <x:v>Pending</x:v>
      </x:c>
      <x:c r="N103" s="12" t="str"/>
    </x:row>
    <x:row r="104">
      <x:c r="A104" s="6" t="str">
        <x:v>DEVR-000103</x:v>
      </x:c>
      <x:c r="B104" s="6" t="str">
        <x:v>SVC000103</x:v>
      </x:c>
      <x:c r="C104" s="6" t="str">
        <x:v>iPhone 4S Screen replacement</x:v>
      </x:c>
      <x:c r="D104" s="6" t="str">
        <x:v>iPhone 4S Screen replacement</x:v>
      </x:c>
      <x:c r="E104" s="6" t="str"/>
      <x:c r="F104" s="6" t="str"/>
      <x:c r="G104" s="6" t="str">
        <x:v>Unknown</x:v>
      </x:c>
      <x:c r="H104" s="12" t="str">
        <x:v>Source Workbook</x:v>
      </x:c>
      <x:c r="I104" s="12" t="str">
        <x:v>Nocturnix_Master_Services_Catalog_v1.xlsx | 01 - Master Services | row 143</x:v>
      </x:c>
      <x:c r="J104" s="6" t="str">
        <x:v>Unresolved</x:v>
      </x:c>
      <x:c r="K104" s="6" t="str"/>
      <x:c r="L104" s="6" t="str"/>
      <x:c r="M104" s="6" t="str">
        <x:v>Pending</x:v>
      </x:c>
      <x:c r="N104" s="12" t="str"/>
    </x:row>
    <x:row r="105">
      <x:c r="A105" s="6" t="str">
        <x:v>DEVR-000104</x:v>
      </x:c>
      <x:c r="B105" s="6" t="str">
        <x:v>SVC000104</x:v>
      </x:c>
      <x:c r="C105" s="6" t="str">
        <x:v>iPhone 3GS Screen replacement</x:v>
      </x:c>
      <x:c r="D105" s="6" t="str">
        <x:v>iPhone 3GS Screen replacement</x:v>
      </x:c>
      <x:c r="E105" s="6" t="str"/>
      <x:c r="F105" s="6" t="str"/>
      <x:c r="G105" s="6" t="str">
        <x:v>Unknown</x:v>
      </x:c>
      <x:c r="H105" s="12" t="str">
        <x:v>Source Workbook</x:v>
      </x:c>
      <x:c r="I105" s="12" t="str">
        <x:v>Nocturnix_Master_Services_Catalog_v1.xlsx | 01 - Master Services | row 144</x:v>
      </x:c>
      <x:c r="J105" s="6" t="str">
        <x:v>Unresolved</x:v>
      </x:c>
      <x:c r="K105" s="6" t="str"/>
      <x:c r="L105" s="6" t="str"/>
      <x:c r="M105" s="6" t="str">
        <x:v>Pending</x:v>
      </x:c>
      <x:c r="N105" s="12" t="str"/>
    </x:row>
    <x:row r="106">
      <x:c r="A106" s="6" t="str">
        <x:v>DEVR-000105</x:v>
      </x:c>
      <x:c r="B106" s="6" t="str">
        <x:v>SVC000105</x:v>
      </x:c>
      <x:c r="C106" s="6" t="str">
        <x:v>iPhone 3G Screen replacement</x:v>
      </x:c>
      <x:c r="D106" s="6" t="str">
        <x:v>iPhone 3G Screen replacement</x:v>
      </x:c>
      <x:c r="E106" s="6" t="str"/>
      <x:c r="F106" s="6" t="str"/>
      <x:c r="G106" s="6" t="str">
        <x:v>Unknown</x:v>
      </x:c>
      <x:c r="H106" s="12" t="str">
        <x:v>Source Workbook</x:v>
      </x:c>
      <x:c r="I106" s="12" t="str">
        <x:v>Nocturnix_Master_Services_Catalog_v1.xlsx | 01 - Master Services | row 145</x:v>
      </x:c>
      <x:c r="J106" s="6" t="str">
        <x:v>Unresolved</x:v>
      </x:c>
      <x:c r="K106" s="6" t="str"/>
      <x:c r="L106" s="6" t="str"/>
      <x:c r="M106" s="6" t="str">
        <x:v>Pending</x:v>
      </x:c>
      <x:c r="N106" s="12" t="str"/>
    </x:row>
    <x:row r="107">
      <x:c r="A107" s="6" t="str">
        <x:v>DEVR-000106</x:v>
      </x:c>
      <x:c r="B107" s="6" t="str">
        <x:v>SVC000106</x:v>
      </x:c>
      <x:c r="C107" s="6" t="str">
        <x:v>iPhone Screen replacement</x:v>
      </x:c>
      <x:c r="D107" s="6" t="str">
        <x:v>iPhone Screen replacement</x:v>
      </x:c>
      <x:c r="E107" s="6" t="str"/>
      <x:c r="F107" s="6" t="str"/>
      <x:c r="G107" s="6" t="str">
        <x:v>Unknown</x:v>
      </x:c>
      <x:c r="H107" s="12" t="str">
        <x:v>Source Workbook</x:v>
      </x:c>
      <x:c r="I107" s="12" t="str">
        <x:v>Nocturnix_Master_Services_Catalog_v1.xlsx | 01 - Master Services | row 146</x:v>
      </x:c>
      <x:c r="J107" s="6" t="str">
        <x:v>Unresolved</x:v>
      </x:c>
      <x:c r="K107" s="6" t="str"/>
      <x:c r="L107" s="6" t="str"/>
      <x:c r="M107" s="6" t="str">
        <x:v>Pending</x:v>
      </x:c>
      <x:c r="N107" s="12" t="str"/>
    </x:row>
    <x:row r="108">
      <x:c r="A108" s="6" t="str">
        <x:v>DEVR-000107</x:v>
      </x:c>
      <x:c r="B108" s="6" t="str">
        <x:v>SVC000107</x:v>
      </x:c>
      <x:c r="C108" s="6" t="str">
        <x:v>Galaxy S 24 FE Charge Port Replacement</x:v>
      </x:c>
      <x:c r="D108" s="6" t="str">
        <x:v>Galaxy S 24 FE Charge Port Replacement</x:v>
      </x:c>
      <x:c r="E108" s="6" t="str"/>
      <x:c r="F108" s="6" t="str"/>
      <x:c r="G108" s="6" t="str">
        <x:v>Unknown</x:v>
      </x:c>
      <x:c r="H108" s="12" t="str">
        <x:v>Source Workbook</x:v>
      </x:c>
      <x:c r="I108" s="12" t="str">
        <x:v>Nocturnix_Master_Services_Catalog_v1.xlsx | 01 - Master Services | row 147</x:v>
      </x:c>
      <x:c r="J108" s="6" t="str">
        <x:v>Unresolved</x:v>
      </x:c>
      <x:c r="K108" s="6" t="str"/>
      <x:c r="L108" s="6" t="str"/>
      <x:c r="M108" s="6" t="str">
        <x:v>Pending</x:v>
      </x:c>
      <x:c r="N108" s="12" t="str"/>
    </x:row>
    <x:row r="109">
      <x:c r="A109" s="6" t="str">
        <x:v>DEVR-000108</x:v>
      </x:c>
      <x:c r="B109" s="6" t="str">
        <x:v>SVC000108</x:v>
      </x:c>
      <x:c r="C109" s="6" t="str">
        <x:v>Galaxy S 25 Charge Port Replacement</x:v>
      </x:c>
      <x:c r="D109" s="6" t="str">
        <x:v>Galaxy S 25 Charge Port Replacement</x:v>
      </x:c>
      <x:c r="E109" s="6" t="str"/>
      <x:c r="F109" s="6" t="str"/>
      <x:c r="G109" s="6" t="str">
        <x:v>Unknown</x:v>
      </x:c>
      <x:c r="H109" s="12" t="str">
        <x:v>Source Workbook</x:v>
      </x:c>
      <x:c r="I109" s="12" t="str">
        <x:v>Nocturnix_Master_Services_Catalog_v1.xlsx | 01 - Master Services | row 148</x:v>
      </x:c>
      <x:c r="J109" s="6" t="str">
        <x:v>Unresolved</x:v>
      </x:c>
      <x:c r="K109" s="6" t="str"/>
      <x:c r="L109" s="6" t="str"/>
      <x:c r="M109" s="6" t="str">
        <x:v>Pending</x:v>
      </x:c>
      <x:c r="N109" s="12" t="str"/>
    </x:row>
    <x:row r="110">
      <x:c r="A110" s="6" t="str">
        <x:v>DEVR-000109</x:v>
      </x:c>
      <x:c r="B110" s="6" t="str">
        <x:v>SVC000109</x:v>
      </x:c>
      <x:c r="C110" s="6" t="str">
        <x:v>Galaxy S 25 Plus Charge Port Replacement</x:v>
      </x:c>
      <x:c r="D110" s="6" t="str">
        <x:v>Galaxy S 25 Plus Charge Port Replacement</x:v>
      </x:c>
      <x:c r="E110" s="6" t="str"/>
      <x:c r="F110" s="6" t="str"/>
      <x:c r="G110" s="6" t="str">
        <x:v>Unknown</x:v>
      </x:c>
      <x:c r="H110" s="12" t="str">
        <x:v>Source Workbook</x:v>
      </x:c>
      <x:c r="I110" s="12" t="str">
        <x:v>Nocturnix_Master_Services_Catalog_v1.xlsx | 01 - Master Services | row 149</x:v>
      </x:c>
      <x:c r="J110" s="6" t="str">
        <x:v>Unresolved</x:v>
      </x:c>
      <x:c r="K110" s="6" t="str"/>
      <x:c r="L110" s="6" t="str"/>
      <x:c r="M110" s="6" t="str">
        <x:v>Pending</x:v>
      </x:c>
      <x:c r="N110" s="12" t="str"/>
    </x:row>
    <x:row r="111">
      <x:c r="A111" s="6" t="str">
        <x:v>DEVR-000110</x:v>
      </x:c>
      <x:c r="B111" s="6" t="str">
        <x:v>SVC000110</x:v>
      </x:c>
      <x:c r="C111" s="6" t="str">
        <x:v>Galaxy S 25 Edge Charge Port Replacement</x:v>
      </x:c>
      <x:c r="D111" s="6" t="str">
        <x:v>Galaxy S 25 Edge Charge Port Replacement</x:v>
      </x:c>
      <x:c r="E111" s="6" t="str"/>
      <x:c r="F111" s="6" t="str"/>
      <x:c r="G111" s="6" t="str">
        <x:v>Unknown</x:v>
      </x:c>
      <x:c r="H111" s="12" t="str">
        <x:v>Source Workbook</x:v>
      </x:c>
      <x:c r="I111" s="12" t="str">
        <x:v>Nocturnix_Master_Services_Catalog_v1.xlsx | 01 - Master Services | row 150</x:v>
      </x:c>
      <x:c r="J111" s="6" t="str">
        <x:v>Unresolved</x:v>
      </x:c>
      <x:c r="K111" s="6" t="str"/>
      <x:c r="L111" s="6" t="str"/>
      <x:c r="M111" s="6" t="str">
        <x:v>Pending</x:v>
      </x:c>
      <x:c r="N111" s="12" t="str"/>
    </x:row>
    <x:row r="112">
      <x:c r="A112" s="6" t="str">
        <x:v>DEVR-000111</x:v>
      </x:c>
      <x:c r="B112" s="6" t="str">
        <x:v>SVC000111</x:v>
      </x:c>
      <x:c r="C112" s="6" t="str">
        <x:v>Galaxy S 22 Plus Battery Replacement</x:v>
      </x:c>
      <x:c r="D112" s="6" t="str">
        <x:v>Galaxy S 22 Plus Battery Replacement</x:v>
      </x:c>
      <x:c r="E112" s="6" t="str"/>
      <x:c r="F112" s="6" t="str"/>
      <x:c r="G112" s="6" t="str">
        <x:v>Unknown</x:v>
      </x:c>
      <x:c r="H112" s="12" t="str">
        <x:v>Source Workbook</x:v>
      </x:c>
      <x:c r="I112" s="12" t="str">
        <x:v>Nocturnix_Master_Services_Catalog_v1.xlsx | 01 - Master Services | row 151</x:v>
      </x:c>
      <x:c r="J112" s="6" t="str">
        <x:v>Unresolved</x:v>
      </x:c>
      <x:c r="K112" s="6" t="str"/>
      <x:c r="L112" s="6" t="str"/>
      <x:c r="M112" s="6" t="str">
        <x:v>Pending</x:v>
      </x:c>
      <x:c r="N112" s="12" t="str"/>
    </x:row>
    <x:row r="113">
      <x:c r="A113" s="6" t="str">
        <x:v>DEVR-000112</x:v>
      </x:c>
      <x:c r="B113" s="6" t="str">
        <x:v>SVC000112</x:v>
      </x:c>
      <x:c r="C113" s="6" t="str">
        <x:v>Galaxy S 22 Ultra Battery Replacement</x:v>
      </x:c>
      <x:c r="D113" s="6" t="str">
        <x:v>Galaxy S 22 Ultra Battery Replacement</x:v>
      </x:c>
      <x:c r="E113" s="6" t="str"/>
      <x:c r="F113" s="6" t="str"/>
      <x:c r="G113" s="6" t="str">
        <x:v>Unknown</x:v>
      </x:c>
      <x:c r="H113" s="12" t="str">
        <x:v>Source Workbook</x:v>
      </x:c>
      <x:c r="I113" s="12" t="str">
        <x:v>Nocturnix_Master_Services_Catalog_v1.xlsx | 01 - Master Services | row 152</x:v>
      </x:c>
      <x:c r="J113" s="6" t="str">
        <x:v>Unresolved</x:v>
      </x:c>
      <x:c r="K113" s="6" t="str"/>
      <x:c r="L113" s="6" t="str"/>
      <x:c r="M113" s="6" t="str">
        <x:v>Pending</x:v>
      </x:c>
      <x:c r="N113" s="12" t="str"/>
    </x:row>
    <x:row r="114">
      <x:c r="A114" s="6" t="str">
        <x:v>DEVR-000113</x:v>
      </x:c>
      <x:c r="B114" s="6" t="str">
        <x:v>SVC000113</x:v>
      </x:c>
      <x:c r="C114" s="6" t="str">
        <x:v>Galaxy S 23 Plus Battery Replacement</x:v>
      </x:c>
      <x:c r="D114" s="6" t="str">
        <x:v>Galaxy S 23 Plus Battery Replacement</x:v>
      </x:c>
      <x:c r="E114" s="6" t="str"/>
      <x:c r="F114" s="6" t="str"/>
      <x:c r="G114" s="6" t="str">
        <x:v>Unknown</x:v>
      </x:c>
      <x:c r="H114" s="12" t="str">
        <x:v>Source Workbook</x:v>
      </x:c>
      <x:c r="I114" s="12" t="str">
        <x:v>Nocturnix_Master_Services_Catalog_v1.xlsx | 01 - Master Services | row 153</x:v>
      </x:c>
      <x:c r="J114" s="6" t="str">
        <x:v>Unresolved</x:v>
      </x:c>
      <x:c r="K114" s="6" t="str"/>
      <x:c r="L114" s="6" t="str"/>
      <x:c r="M114" s="6" t="str">
        <x:v>Pending</x:v>
      </x:c>
      <x:c r="N114" s="12" t="str"/>
    </x:row>
    <x:row r="115">
      <x:c r="A115" s="6" t="str">
        <x:v>DEVR-000114</x:v>
      </x:c>
      <x:c r="B115" s="6" t="str">
        <x:v>SVC000114</x:v>
      </x:c>
      <x:c r="C115" s="6" t="str">
        <x:v>Galaxy S 24 Battery Replacement</x:v>
      </x:c>
      <x:c r="D115" s="6" t="str">
        <x:v>Galaxy S 24 Battery Replacement</x:v>
      </x:c>
      <x:c r="E115" s="6" t="str"/>
      <x:c r="F115" s="6" t="str"/>
      <x:c r="G115" s="6" t="str">
        <x:v>Unknown</x:v>
      </x:c>
      <x:c r="H115" s="12" t="str">
        <x:v>Source Workbook</x:v>
      </x:c>
      <x:c r="I115" s="12" t="str">
        <x:v>Nocturnix_Master_Services_Catalog_v1.xlsx | 01 - Master Services | row 154</x:v>
      </x:c>
      <x:c r="J115" s="6" t="str">
        <x:v>Unresolved</x:v>
      </x:c>
      <x:c r="K115" s="6" t="str"/>
      <x:c r="L115" s="6" t="str"/>
      <x:c r="M115" s="6" t="str">
        <x:v>Pending</x:v>
      </x:c>
      <x:c r="N115" s="12" t="str"/>
    </x:row>
    <x:row r="116">
      <x:c r="A116" s="6" t="str">
        <x:v>DEVR-000115</x:v>
      </x:c>
      <x:c r="B116" s="6" t="str">
        <x:v>SVC000115</x:v>
      </x:c>
      <x:c r="C116" s="6" t="str">
        <x:v>Galaxy S 24 Plus Battery Replacement</x:v>
      </x:c>
      <x:c r="D116" s="6" t="str">
        <x:v>Galaxy S 24 Plus Battery Replacement</x:v>
      </x:c>
      <x:c r="E116" s="6" t="str"/>
      <x:c r="F116" s="6" t="str"/>
      <x:c r="G116" s="6" t="str">
        <x:v>Unknown</x:v>
      </x:c>
      <x:c r="H116" s="12" t="str">
        <x:v>Source Workbook</x:v>
      </x:c>
      <x:c r="I116" s="12" t="str">
        <x:v>Nocturnix_Master_Services_Catalog_v1.xlsx | 01 - Master Services | row 155</x:v>
      </x:c>
      <x:c r="J116" s="6" t="str">
        <x:v>Unresolved</x:v>
      </x:c>
      <x:c r="K116" s="6" t="str"/>
      <x:c r="L116" s="6" t="str"/>
      <x:c r="M116" s="6" t="str">
        <x:v>Pending</x:v>
      </x:c>
      <x:c r="N116" s="12" t="str"/>
    </x:row>
    <x:row r="117">
      <x:c r="A117" s="6" t="str">
        <x:v>DEVR-000116</x:v>
      </x:c>
      <x:c r="B117" s="6" t="str">
        <x:v>SVC000116</x:v>
      </x:c>
      <x:c r="C117" s="6" t="str">
        <x:v>Galaxy S 24 Ultra Battery Replacement</x:v>
      </x:c>
      <x:c r="D117" s="6" t="str">
        <x:v>Galaxy S 24 Ultra Battery Replacement</x:v>
      </x:c>
      <x:c r="E117" s="6" t="str"/>
      <x:c r="F117" s="6" t="str"/>
      <x:c r="G117" s="6" t="str">
        <x:v>Unknown</x:v>
      </x:c>
      <x:c r="H117" s="12" t="str">
        <x:v>Source Workbook</x:v>
      </x:c>
      <x:c r="I117" s="12" t="str">
        <x:v>Nocturnix_Master_Services_Catalog_v1.xlsx | 01 - Master Services | row 156</x:v>
      </x:c>
      <x:c r="J117" s="6" t="str">
        <x:v>Unresolved</x:v>
      </x:c>
      <x:c r="K117" s="6" t="str"/>
      <x:c r="L117" s="6" t="str"/>
      <x:c r="M117" s="6" t="str">
        <x:v>Pending</x:v>
      </x:c>
      <x:c r="N117" s="12" t="str"/>
    </x:row>
    <x:row r="118">
      <x:c r="A118" s="6" t="str">
        <x:v>DEVR-000117</x:v>
      </x:c>
      <x:c r="B118" s="6" t="str">
        <x:v>SVC000117</x:v>
      </x:c>
      <x:c r="C118" s="6" t="str">
        <x:v>Galaxy S 25 Plus Battery Replacement</x:v>
      </x:c>
      <x:c r="D118" s="6" t="str">
        <x:v>Galaxy S 25 Plus Battery Replacement</x:v>
      </x:c>
      <x:c r="E118" s="6" t="str"/>
      <x:c r="F118" s="6" t="str"/>
      <x:c r="G118" s="6" t="str">
        <x:v>Unknown</x:v>
      </x:c>
      <x:c r="H118" s="12" t="str">
        <x:v>Source Workbook</x:v>
      </x:c>
      <x:c r="I118" s="12" t="str">
        <x:v>Nocturnix_Master_Services_Catalog_v1.xlsx | 01 - Master Services | row 157</x:v>
      </x:c>
      <x:c r="J118" s="6" t="str">
        <x:v>Unresolved</x:v>
      </x:c>
      <x:c r="K118" s="6" t="str"/>
      <x:c r="L118" s="6" t="str"/>
      <x:c r="M118" s="6" t="str">
        <x:v>Pending</x:v>
      </x:c>
      <x:c r="N118" s="12" t="str"/>
    </x:row>
    <x:row r="119">
      <x:c r="A119" s="6" t="str">
        <x:v>DEVR-000118</x:v>
      </x:c>
      <x:c r="B119" s="6" t="str">
        <x:v>SVC000118</x:v>
      </x:c>
      <x:c r="C119" s="6" t="str">
        <x:v>Galaxy S 10 Battery Replacement</x:v>
      </x:c>
      <x:c r="D119" s="6" t="str">
        <x:v>Galaxy S 10 Battery Replacement</x:v>
      </x:c>
      <x:c r="E119" s="6" t="str"/>
      <x:c r="F119" s="6" t="str"/>
      <x:c r="G119" s="6" t="str">
        <x:v>Unknown</x:v>
      </x:c>
      <x:c r="H119" s="12" t="str">
        <x:v>Source Workbook</x:v>
      </x:c>
      <x:c r="I119" s="12" t="str">
        <x:v>Nocturnix_Master_Services_Catalog_v1.xlsx | 01 - Master Services | row 158</x:v>
      </x:c>
      <x:c r="J119" s="6" t="str">
        <x:v>Unresolved</x:v>
      </x:c>
      <x:c r="K119" s="6" t="str"/>
      <x:c r="L119" s="6" t="str"/>
      <x:c r="M119" s="6" t="str">
        <x:v>Pending</x:v>
      </x:c>
      <x:c r="N119" s="12" t="str"/>
    </x:row>
    <x:row r="120">
      <x:c r="A120" s="6" t="str">
        <x:v>DEVR-000119</x:v>
      </x:c>
      <x:c r="B120" s="6" t="str">
        <x:v>SVC000119</x:v>
      </x:c>
      <x:c r="C120" s="6" t="str">
        <x:v>Galaxy S 10 Plus Battery Replacement</x:v>
      </x:c>
      <x:c r="D120" s="6" t="str">
        <x:v>Galaxy S 10 Plus Battery Replacement</x:v>
      </x:c>
      <x:c r="E120" s="6" t="str"/>
      <x:c r="F120" s="6" t="str"/>
      <x:c r="G120" s="6" t="str">
        <x:v>Unknown</x:v>
      </x:c>
      <x:c r="H120" s="12" t="str">
        <x:v>Source Workbook</x:v>
      </x:c>
      <x:c r="I120" s="12" t="str">
        <x:v>Nocturnix_Master_Services_Catalog_v1.xlsx | 01 - Master Services | row 159</x:v>
      </x:c>
      <x:c r="J120" s="6" t="str">
        <x:v>Unresolved</x:v>
      </x:c>
      <x:c r="K120" s="6" t="str"/>
      <x:c r="L120" s="6" t="str"/>
      <x:c r="M120" s="6" t="str">
        <x:v>Pending</x:v>
      </x:c>
      <x:c r="N120" s="12" t="str"/>
    </x:row>
    <x:row r="121">
      <x:c r="A121" s="6" t="str">
        <x:v>DEVR-000120</x:v>
      </x:c>
      <x:c r="B121" s="6" t="str">
        <x:v>SVC000120</x:v>
      </x:c>
      <x:c r="C121" s="6" t="str">
        <x:v>Galaxy S 10 E Battery Replacement</x:v>
      </x:c>
      <x:c r="D121" s="6" t="str">
        <x:v>Galaxy S 10 E Battery Replacement</x:v>
      </x:c>
      <x:c r="E121" s="6" t="str"/>
      <x:c r="F121" s="6" t="str"/>
      <x:c r="G121" s="6" t="str">
        <x:v>Unknown</x:v>
      </x:c>
      <x:c r="H121" s="12" t="str">
        <x:v>Source Workbook</x:v>
      </x:c>
      <x:c r="I121" s="12" t="str">
        <x:v>Nocturnix_Master_Services_Catalog_v1.xlsx | 01 - Master Services | row 160</x:v>
      </x:c>
      <x:c r="J121" s="6" t="str">
        <x:v>Unresolved</x:v>
      </x:c>
      <x:c r="K121" s="6" t="str"/>
      <x:c r="L121" s="6" t="str"/>
      <x:c r="M121" s="6" t="str">
        <x:v>Pending</x:v>
      </x:c>
      <x:c r="N121" s="12" t="str"/>
    </x:row>
    <x:row r="122">
      <x:c r="A122" s="6" t="str">
        <x:v>DEVR-000121</x:v>
      </x:c>
      <x:c r="B122" s="6" t="str">
        <x:v>SVC000121</x:v>
      </x:c>
      <x:c r="C122" s="6" t="str">
        <x:v>Galaxy Note 9 Battery Replacement</x:v>
      </x:c>
      <x:c r="D122" s="6" t="str">
        <x:v>Galaxy Note 9 Battery Replacement</x:v>
      </x:c>
      <x:c r="E122" s="6" t="str"/>
      <x:c r="F122" s="6" t="str"/>
      <x:c r="G122" s="6" t="str">
        <x:v>Unknown</x:v>
      </x:c>
      <x:c r="H122" s="12" t="str">
        <x:v>Source Workbook</x:v>
      </x:c>
      <x:c r="I122" s="12" t="str">
        <x:v>Nocturnix_Master_Services_Catalog_v1.xlsx | 01 - Master Services | row 161</x:v>
      </x:c>
      <x:c r="J122" s="6" t="str">
        <x:v>Unresolved</x:v>
      </x:c>
      <x:c r="K122" s="6" t="str"/>
      <x:c r="L122" s="6" t="str"/>
      <x:c r="M122" s="6" t="str">
        <x:v>Pending</x:v>
      </x:c>
      <x:c r="N122" s="12" t="str"/>
    </x:row>
    <x:row r="123">
      <x:c r="A123" s="6" t="str">
        <x:v>DEVR-000122</x:v>
      </x:c>
      <x:c r="B123" s="6" t="str">
        <x:v>SVC000122</x:v>
      </x:c>
      <x:c r="C123" s="6" t="str">
        <x:v>Galaxy Note 10 Plus Battery Replacement</x:v>
      </x:c>
      <x:c r="D123" s="6" t="str">
        <x:v>Galaxy Note 10 Plus Battery Replacement</x:v>
      </x:c>
      <x:c r="E123" s="6" t="str"/>
      <x:c r="F123" s="6" t="str"/>
      <x:c r="G123" s="6" t="str">
        <x:v>Unknown</x:v>
      </x:c>
      <x:c r="H123" s="12" t="str">
        <x:v>Source Workbook</x:v>
      </x:c>
      <x:c r="I123" s="12" t="str">
        <x:v>Nocturnix_Master_Services_Catalog_v1.xlsx | 01 - Master Services | row 162</x:v>
      </x:c>
      <x:c r="J123" s="6" t="str">
        <x:v>Unresolved</x:v>
      </x:c>
      <x:c r="K123" s="6" t="str"/>
      <x:c r="L123" s="6" t="str"/>
      <x:c r="M123" s="6" t="str">
        <x:v>Pending</x:v>
      </x:c>
      <x:c r="N123" s="12" t="str"/>
    </x:row>
    <x:row r="124">
      <x:c r="A124" s="6" t="str">
        <x:v>DEVR-000123</x:v>
      </x:c>
      <x:c r="B124" s="6" t="str">
        <x:v>SVC000123</x:v>
      </x:c>
      <x:c r="C124" s="6" t="str">
        <x:v>Galaxy S 20 Battery Replacement</x:v>
      </x:c>
      <x:c r="D124" s="6" t="str">
        <x:v>Galaxy S 20 Battery Replacement</x:v>
      </x:c>
      <x:c r="E124" s="6" t="str"/>
      <x:c r="F124" s="6" t="str"/>
      <x:c r="G124" s="6" t="str">
        <x:v>Unknown</x:v>
      </x:c>
      <x:c r="H124" s="12" t="str">
        <x:v>Source Workbook</x:v>
      </x:c>
      <x:c r="I124" s="12" t="str">
        <x:v>Nocturnix_Master_Services_Catalog_v1.xlsx | 01 - Master Services | row 163</x:v>
      </x:c>
      <x:c r="J124" s="6" t="str">
        <x:v>Unresolved</x:v>
      </x:c>
      <x:c r="K124" s="6" t="str"/>
      <x:c r="L124" s="6" t="str"/>
      <x:c r="M124" s="6" t="str">
        <x:v>Pending</x:v>
      </x:c>
      <x:c r="N124" s="12" t="str"/>
    </x:row>
    <x:row r="125">
      <x:c r="A125" s="6" t="str">
        <x:v>DEVR-000124</x:v>
      </x:c>
      <x:c r="B125" s="6" t="str">
        <x:v>SVC000124</x:v>
      </x:c>
      <x:c r="C125" s="6" t="str">
        <x:v>Galaxy S 20 Plus Battery Replacement</x:v>
      </x:c>
      <x:c r="D125" s="6" t="str">
        <x:v>Galaxy S 20 Plus Battery Replacement</x:v>
      </x:c>
      <x:c r="E125" s="6" t="str"/>
      <x:c r="F125" s="6" t="str"/>
      <x:c r="G125" s="6" t="str">
        <x:v>Unknown</x:v>
      </x:c>
      <x:c r="H125" s="12" t="str">
        <x:v>Source Workbook</x:v>
      </x:c>
      <x:c r="I125" s="12" t="str">
        <x:v>Nocturnix_Master_Services_Catalog_v1.xlsx | 01 - Master Services | row 164</x:v>
      </x:c>
      <x:c r="J125" s="6" t="str">
        <x:v>Unresolved</x:v>
      </x:c>
      <x:c r="K125" s="6" t="str"/>
      <x:c r="L125" s="6" t="str"/>
      <x:c r="M125" s="6" t="str">
        <x:v>Pending</x:v>
      </x:c>
      <x:c r="N125" s="12" t="str"/>
    </x:row>
    <x:row r="126">
      <x:c r="A126" s="6" t="str">
        <x:v>DEVR-000125</x:v>
      </x:c>
      <x:c r="B126" s="6" t="str">
        <x:v>SVC000125</x:v>
      </x:c>
      <x:c r="C126" s="6" t="str">
        <x:v>Galaxy S 21 Plus Battery Replacement</x:v>
      </x:c>
      <x:c r="D126" s="6" t="str">
        <x:v>Galaxy S 21 Plus Battery Replacement</x:v>
      </x:c>
      <x:c r="E126" s="6" t="str"/>
      <x:c r="F126" s="6" t="str"/>
      <x:c r="G126" s="6" t="str">
        <x:v>Unknown</x:v>
      </x:c>
      <x:c r="H126" s="12" t="str">
        <x:v>Source Workbook</x:v>
      </x:c>
      <x:c r="I126" s="12" t="str">
        <x:v>Nocturnix_Master_Services_Catalog_v1.xlsx | 01 - Master Services | row 165</x:v>
      </x:c>
      <x:c r="J126" s="6" t="str">
        <x:v>Unresolved</x:v>
      </x:c>
      <x:c r="K126" s="6" t="str"/>
      <x:c r="L126" s="6" t="str"/>
      <x:c r="M126" s="6" t="str">
        <x:v>Pending</x:v>
      </x:c>
      <x:c r="N126" s="12" t="str"/>
    </x:row>
    <x:row r="127">
      <x:c r="A127" s="6" t="str">
        <x:v>DEVR-000126</x:v>
      </x:c>
      <x:c r="B127" s="6" t="str">
        <x:v>SVC000126</x:v>
      </x:c>
      <x:c r="C127" s="6" t="str">
        <x:v>Galaxy S 7 Battery Replacement</x:v>
      </x:c>
      <x:c r="D127" s="6" t="str">
        <x:v>Galaxy S 7 Battery Replacement</x:v>
      </x:c>
      <x:c r="E127" s="6" t="str"/>
      <x:c r="F127" s="6" t="str"/>
      <x:c r="G127" s="6" t="str">
        <x:v>Unknown</x:v>
      </x:c>
      <x:c r="H127" s="12" t="str">
        <x:v>Source Workbook</x:v>
      </x:c>
      <x:c r="I127" s="12" t="str">
        <x:v>Nocturnix_Master_Services_Catalog_v1.xlsx | 01 - Master Services | row 166</x:v>
      </x:c>
      <x:c r="J127" s="6" t="str">
        <x:v>Unresolved</x:v>
      </x:c>
      <x:c r="K127" s="6" t="str"/>
      <x:c r="L127" s="6" t="str"/>
      <x:c r="M127" s="6" t="str">
        <x:v>Pending</x:v>
      </x:c>
      <x:c r="N127" s="12" t="str"/>
    </x:row>
    <x:row r="128">
      <x:c r="A128" s="6" t="str">
        <x:v>DEVR-000127</x:v>
      </x:c>
      <x:c r="B128" s="6" t="str">
        <x:v>SVC000127</x:v>
      </x:c>
      <x:c r="C128" s="6" t="str">
        <x:v>Galaxy S 7 Edge Battery Replacement</x:v>
      </x:c>
      <x:c r="D128" s="6" t="str">
        <x:v>Galaxy S 7 Edge Battery Replacement</x:v>
      </x:c>
      <x:c r="E128" s="6" t="str"/>
      <x:c r="F128" s="6" t="str"/>
      <x:c r="G128" s="6" t="str">
        <x:v>Unknown</x:v>
      </x:c>
      <x:c r="H128" s="12" t="str">
        <x:v>Source Workbook</x:v>
      </x:c>
      <x:c r="I128" s="12" t="str">
        <x:v>Nocturnix_Master_Services_Catalog_v1.xlsx | 01 - Master Services | row 167</x:v>
      </x:c>
      <x:c r="J128" s="6" t="str">
        <x:v>Unresolved</x:v>
      </x:c>
      <x:c r="K128" s="6" t="str"/>
      <x:c r="L128" s="6" t="str"/>
      <x:c r="M128" s="6" t="str">
        <x:v>Pending</x:v>
      </x:c>
      <x:c r="N128" s="12" t="str"/>
    </x:row>
    <x:row r="129">
      <x:c r="A129" s="6" t="str">
        <x:v>DEVR-000128</x:v>
      </x:c>
      <x:c r="B129" s="6" t="str">
        <x:v>SVC000128</x:v>
      </x:c>
      <x:c r="C129" s="6" t="str">
        <x:v>Galaxy S 5 Active Battery Replacement</x:v>
      </x:c>
      <x:c r="D129" s="6" t="str">
        <x:v>Galaxy S 5 Active Battery Replacement</x:v>
      </x:c>
      <x:c r="E129" s="6" t="str"/>
      <x:c r="F129" s="6" t="str"/>
      <x:c r="G129" s="6" t="str">
        <x:v>Unknown</x:v>
      </x:c>
      <x:c r="H129" s="12" t="str">
        <x:v>Source Workbook</x:v>
      </x:c>
      <x:c r="I129" s="12" t="str">
        <x:v>Nocturnix_Master_Services_Catalog_v1.xlsx | 01 - Master Services | row 168</x:v>
      </x:c>
      <x:c r="J129" s="6" t="str">
        <x:v>Unresolved</x:v>
      </x:c>
      <x:c r="K129" s="6" t="str"/>
      <x:c r="L129" s="6" t="str"/>
      <x:c r="M129" s="6" t="str">
        <x:v>Pending</x:v>
      </x:c>
      <x:c r="N129" s="12" t="str"/>
    </x:row>
    <x:row r="130">
      <x:c r="A130" s="6" t="str">
        <x:v>DEVR-000129</x:v>
      </x:c>
      <x:c r="B130" s="6" t="str">
        <x:v>SVC000129</x:v>
      </x:c>
      <x:c r="C130" s="6" t="str">
        <x:v>Galaxy S 6 Edge Battery Replacement</x:v>
      </x:c>
      <x:c r="D130" s="6" t="str">
        <x:v>Galaxy S 6 Edge Battery Replacement</x:v>
      </x:c>
      <x:c r="E130" s="6" t="str"/>
      <x:c r="F130" s="6" t="str"/>
      <x:c r="G130" s="6" t="str">
        <x:v>Unknown</x:v>
      </x:c>
      <x:c r="H130" s="12" t="str">
        <x:v>Source Workbook</x:v>
      </x:c>
      <x:c r="I130" s="12" t="str">
        <x:v>Nocturnix_Master_Services_Catalog_v1.xlsx | 01 - Master Services | row 169</x:v>
      </x:c>
      <x:c r="J130" s="6" t="str">
        <x:v>Unresolved</x:v>
      </x:c>
      <x:c r="K130" s="6" t="str"/>
      <x:c r="L130" s="6" t="str"/>
      <x:c r="M130" s="6" t="str">
        <x:v>Pending</x:v>
      </x:c>
      <x:c r="N130" s="12" t="str"/>
    </x:row>
    <x:row r="131">
      <x:c r="A131" s="6" t="str">
        <x:v>DEVR-000130</x:v>
      </x:c>
      <x:c r="B131" s="6" t="str">
        <x:v>SVC000130</x:v>
      </x:c>
      <x:c r="C131" s="6" t="str">
        <x:v>Galaxy S 8 Plus Battery Replacement</x:v>
      </x:c>
      <x:c r="D131" s="6" t="str">
        <x:v>Galaxy S 8 Plus Battery Replacement</x:v>
      </x:c>
      <x:c r="E131" s="6" t="str"/>
      <x:c r="F131" s="6" t="str"/>
      <x:c r="G131" s="6" t="str">
        <x:v>Unknown</x:v>
      </x:c>
      <x:c r="H131" s="12" t="str">
        <x:v>Source Workbook</x:v>
      </x:c>
      <x:c r="I131" s="12" t="str">
        <x:v>Nocturnix_Master_Services_Catalog_v1.xlsx | 01 - Master Services | row 170</x:v>
      </x:c>
      <x:c r="J131" s="6" t="str">
        <x:v>Unresolved</x:v>
      </x:c>
      <x:c r="K131" s="6" t="str"/>
      <x:c r="L131" s="6" t="str"/>
      <x:c r="M131" s="6" t="str">
        <x:v>Pending</x:v>
      </x:c>
      <x:c r="N131" s="12" t="str"/>
    </x:row>
    <x:row r="132">
      <x:c r="A132" s="6" t="str">
        <x:v>DEVR-000131</x:v>
      </x:c>
      <x:c r="B132" s="6" t="str">
        <x:v>SVC000131</x:v>
      </x:c>
      <x:c r="C132" s="6" t="str">
        <x:v>Galaxy S 8 Active Battery Replacement</x:v>
      </x:c>
      <x:c r="D132" s="6" t="str">
        <x:v>Galaxy S 8 Active Battery Replacement</x:v>
      </x:c>
      <x:c r="E132" s="6" t="str"/>
      <x:c r="F132" s="6" t="str"/>
      <x:c r="G132" s="6" t="str">
        <x:v>Unknown</x:v>
      </x:c>
      <x:c r="H132" s="12" t="str">
        <x:v>Source Workbook</x:v>
      </x:c>
      <x:c r="I132" s="12" t="str">
        <x:v>Nocturnix_Master_Services_Catalog_v1.xlsx | 01 - Master Services | row 171</x:v>
      </x:c>
      <x:c r="J132" s="6" t="str">
        <x:v>Unresolved</x:v>
      </x:c>
      <x:c r="K132" s="6" t="str"/>
      <x:c r="L132" s="6" t="str"/>
      <x:c r="M132" s="6" t="str">
        <x:v>Pending</x:v>
      </x:c>
      <x:c r="N132" s="12" t="str"/>
    </x:row>
    <x:row r="133">
      <x:c r="A133" s="6" t="str">
        <x:v>DEVR-000132</x:v>
      </x:c>
      <x:c r="B133" s="6" t="str">
        <x:v>SVC000132</x:v>
      </x:c>
      <x:c r="C133" s="6" t="str">
        <x:v>Galaxy S 9 Plus Battery Replacement</x:v>
      </x:c>
      <x:c r="D133" s="6" t="str">
        <x:v>Galaxy S 9 Plus Battery Replacement</x:v>
      </x:c>
      <x:c r="E133" s="6" t="str"/>
      <x:c r="F133" s="6" t="str"/>
      <x:c r="G133" s="6" t="str">
        <x:v>Unknown</x:v>
      </x:c>
      <x:c r="H133" s="12" t="str">
        <x:v>Source Workbook</x:v>
      </x:c>
      <x:c r="I133" s="12" t="str">
        <x:v>Nocturnix_Master_Services_Catalog_v1.xlsx | 01 - Master Services | row 172</x:v>
      </x:c>
      <x:c r="J133" s="6" t="str">
        <x:v>Unresolved</x:v>
      </x:c>
      <x:c r="K133" s="6" t="str"/>
      <x:c r="L133" s="6" t="str"/>
      <x:c r="M133" s="6" t="str">
        <x:v>Pending</x:v>
      </x:c>
      <x:c r="N133" s="12" t="str"/>
    </x:row>
    <x:row r="134">
      <x:c r="A134" s="6" t="str">
        <x:v>DEVR-000133</x:v>
      </x:c>
      <x:c r="B134" s="6" t="str">
        <x:v>SVC000133</x:v>
      </x:c>
      <x:c r="C134" s="6" t="str">
        <x:v>Galaxy S 20 Ultra Battery Replacement</x:v>
      </x:c>
      <x:c r="D134" s="6" t="str">
        <x:v>Galaxy S 20 Ultra Battery Replacement</x:v>
      </x:c>
      <x:c r="E134" s="6" t="str"/>
      <x:c r="F134" s="6" t="str"/>
      <x:c r="G134" s="6" t="str">
        <x:v>Unknown</x:v>
      </x:c>
      <x:c r="H134" s="12" t="str">
        <x:v>Source Workbook</x:v>
      </x:c>
      <x:c r="I134" s="12" t="str">
        <x:v>Nocturnix_Master_Services_Catalog_v1.xlsx | 01 - Master Services | row 173</x:v>
      </x:c>
      <x:c r="J134" s="6" t="str">
        <x:v>Unresolved</x:v>
      </x:c>
      <x:c r="K134" s="6" t="str"/>
      <x:c r="L134" s="6" t="str"/>
      <x:c r="M134" s="6" t="str">
        <x:v>Pending</x:v>
      </x:c>
      <x:c r="N134" s="12" t="str"/>
    </x:row>
    <x:row r="135">
      <x:c r="A135" s="6" t="str">
        <x:v>DEVR-000134</x:v>
      </x:c>
      <x:c r="B135" s="6" t="str">
        <x:v>SVC000134</x:v>
      </x:c>
      <x:c r="C135" s="6" t="str">
        <x:v>Galaxy S 5 Neo Battery Replacement</x:v>
      </x:c>
      <x:c r="D135" s="6" t="str">
        <x:v>Galaxy S 5 Neo Battery Replacement</x:v>
      </x:c>
      <x:c r="E135" s="6" t="str"/>
      <x:c r="F135" s="6" t="str"/>
      <x:c r="G135" s="6" t="str">
        <x:v>Unknown</x:v>
      </x:c>
      <x:c r="H135" s="12" t="str">
        <x:v>Source Workbook</x:v>
      </x:c>
      <x:c r="I135" s="12" t="str">
        <x:v>Nocturnix_Master_Services_Catalog_v1.xlsx | 01 - Master Services | row 174</x:v>
      </x:c>
      <x:c r="J135" s="6" t="str">
        <x:v>Unresolved</x:v>
      </x:c>
      <x:c r="K135" s="6" t="str"/>
      <x:c r="L135" s="6" t="str"/>
      <x:c r="M135" s="6" t="str">
        <x:v>Pending</x:v>
      </x:c>
      <x:c r="N135" s="12" t="str"/>
    </x:row>
    <x:row r="136">
      <x:c r="A136" s="6" t="str">
        <x:v>DEVR-000135</x:v>
      </x:c>
      <x:c r="B136" s="6" t="str">
        <x:v>SVC000135</x:v>
      </x:c>
      <x:c r="C136" s="6" t="str">
        <x:v>Galaxy S 4 Mini Battery Replacement</x:v>
      </x:c>
      <x:c r="D136" s="6" t="str">
        <x:v>Galaxy S 4 Mini Battery Replacement</x:v>
      </x:c>
      <x:c r="E136" s="6" t="str"/>
      <x:c r="F136" s="6" t="str"/>
      <x:c r="G136" s="6" t="str">
        <x:v>Unknown</x:v>
      </x:c>
      <x:c r="H136" s="12" t="str">
        <x:v>Source Workbook</x:v>
      </x:c>
      <x:c r="I136" s="12" t="str">
        <x:v>Nocturnix_Master_Services_Catalog_v1.xlsx | 01 - Master Services | row 175</x:v>
      </x:c>
      <x:c r="J136" s="6" t="str">
        <x:v>Unresolved</x:v>
      </x:c>
      <x:c r="K136" s="6" t="str"/>
      <x:c r="L136" s="6" t="str"/>
      <x:c r="M136" s="6" t="str">
        <x:v>Pending</x:v>
      </x:c>
      <x:c r="N136" s="12" t="str"/>
    </x:row>
    <x:row r="137">
      <x:c r="A137" s="6" t="str">
        <x:v>DEVR-000136</x:v>
      </x:c>
      <x:c r="B137" s="6" t="str">
        <x:v>SVC000136</x:v>
      </x:c>
      <x:c r="C137" s="6" t="str">
        <x:v>Galaxy S 23 Ultra Battery Replacement</x:v>
      </x:c>
      <x:c r="D137" s="6" t="str">
        <x:v>Galaxy S 23 Ultra Battery Replacement</x:v>
      </x:c>
      <x:c r="E137" s="6" t="str"/>
      <x:c r="F137" s="6" t="str"/>
      <x:c r="G137" s="6" t="str">
        <x:v>Unknown</x:v>
      </x:c>
      <x:c r="H137" s="12" t="str">
        <x:v>Source Workbook</x:v>
      </x:c>
      <x:c r="I137" s="12" t="str">
        <x:v>Nocturnix_Master_Services_Catalog_v1.xlsx | 01 - Master Services | row 176</x:v>
      </x:c>
      <x:c r="J137" s="6" t="str">
        <x:v>Unresolved</x:v>
      </x:c>
      <x:c r="K137" s="6" t="str"/>
      <x:c r="L137" s="6" t="str"/>
      <x:c r="M137" s="6" t="str">
        <x:v>Pending</x:v>
      </x:c>
      <x:c r="N137" s="12" t="str"/>
    </x:row>
    <x:row r="138">
      <x:c r="A138" s="6" t="str">
        <x:v>DEVR-000137</x:v>
      </x:c>
      <x:c r="B138" s="6" t="str">
        <x:v>SVC000137</x:v>
      </x:c>
      <x:c r="C138" s="6" t="str">
        <x:v>Galaxy S 23 FE Battery Replacement</x:v>
      </x:c>
      <x:c r="D138" s="6" t="str">
        <x:v>Galaxy S 23 FE Battery Replacement</x:v>
      </x:c>
      <x:c r="E138" s="6" t="str"/>
      <x:c r="F138" s="6" t="str"/>
      <x:c r="G138" s="6" t="str">
        <x:v>Unknown</x:v>
      </x:c>
      <x:c r="H138" s="12" t="str">
        <x:v>Source Workbook</x:v>
      </x:c>
      <x:c r="I138" s="12" t="str">
        <x:v>Nocturnix_Master_Services_Catalog_v1.xlsx | 01 - Master Services | row 177</x:v>
      </x:c>
      <x:c r="J138" s="6" t="str">
        <x:v>Unresolved</x:v>
      </x:c>
      <x:c r="K138" s="6" t="str"/>
      <x:c r="L138" s="6" t="str"/>
      <x:c r="M138" s="6" t="str">
        <x:v>Pending</x:v>
      </x:c>
      <x:c r="N138" s="12" t="str"/>
    </x:row>
    <x:row r="139">
      <x:c r="A139" s="6" t="str">
        <x:v>DEVR-000138</x:v>
      </x:c>
      <x:c r="B139" s="6" t="str">
        <x:v>SVC000138</x:v>
      </x:c>
      <x:c r="C139" s="6" t="str">
        <x:v>Galaxy S 25 Battery Replacement</x:v>
      </x:c>
      <x:c r="D139" s="6" t="str">
        <x:v>Galaxy S 25 Battery Replacement</x:v>
      </x:c>
      <x:c r="E139" s="6" t="str"/>
      <x:c r="F139" s="6" t="str"/>
      <x:c r="G139" s="6" t="str">
        <x:v>Unknown</x:v>
      </x:c>
      <x:c r="H139" s="12" t="str">
        <x:v>Source Workbook</x:v>
      </x:c>
      <x:c r="I139" s="12" t="str">
        <x:v>Nocturnix_Master_Services_Catalog_v1.xlsx | 01 - Master Services | row 178</x:v>
      </x:c>
      <x:c r="J139" s="6" t="str">
        <x:v>Unresolved</x:v>
      </x:c>
      <x:c r="K139" s="6" t="str"/>
      <x:c r="L139" s="6" t="str"/>
      <x:c r="M139" s="6" t="str">
        <x:v>Pending</x:v>
      </x:c>
      <x:c r="N139" s="12" t="str"/>
    </x:row>
    <x:row r="140">
      <x:c r="A140" s="6" t="str">
        <x:v>DEVR-000139</x:v>
      </x:c>
      <x:c r="B140" s="6" t="str">
        <x:v>SVC000139</x:v>
      </x:c>
      <x:c r="C140" s="6" t="str">
        <x:v>Galaxy S 25 Edge Battery Replacement</x:v>
      </x:c>
      <x:c r="D140" s="6" t="str">
        <x:v>Galaxy S 25 Edge Battery Replacement</x:v>
      </x:c>
      <x:c r="E140" s="6" t="str"/>
      <x:c r="F140" s="6" t="str"/>
      <x:c r="G140" s="6" t="str">
        <x:v>Unknown</x:v>
      </x:c>
      <x:c r="H140" s="12" t="str">
        <x:v>Source Workbook</x:v>
      </x:c>
      <x:c r="I140" s="12" t="str">
        <x:v>Nocturnix_Master_Services_Catalog_v1.xlsx | 01 - Master Services | row 179</x:v>
      </x:c>
      <x:c r="J140" s="6" t="str">
        <x:v>Unresolved</x:v>
      </x:c>
      <x:c r="K140" s="6" t="str"/>
      <x:c r="L140" s="6" t="str"/>
      <x:c r="M140" s="6" t="str">
        <x:v>Pending</x:v>
      </x:c>
      <x:c r="N140" s="12" t="str"/>
    </x:row>
    <x:row r="141">
      <x:c r="A141" s="6" t="str">
        <x:v>DEVR-000140</x:v>
      </x:c>
      <x:c r="B141" s="6" t="str">
        <x:v>SVC000140</x:v>
      </x:c>
      <x:c r="C141" s="6" t="str">
        <x:v>iPhone 14 Plus Battery Replacement</x:v>
      </x:c>
      <x:c r="D141" s="6" t="str">
        <x:v>iPhone 14 Plus Battery Replacement</x:v>
      </x:c>
      <x:c r="E141" s="6" t="str"/>
      <x:c r="F141" s="6" t="str"/>
      <x:c r="G141" s="6" t="str">
        <x:v>Unknown</x:v>
      </x:c>
      <x:c r="H141" s="12" t="str">
        <x:v>Source Workbook</x:v>
      </x:c>
      <x:c r="I141" s="12" t="str">
        <x:v>Nocturnix_Master_Services_Catalog_v1.xlsx | 01 - Master Services | row 180</x:v>
      </x:c>
      <x:c r="J141" s="6" t="str">
        <x:v>Unresolved</x:v>
      </x:c>
      <x:c r="K141" s="6" t="str"/>
      <x:c r="L141" s="6" t="str"/>
      <x:c r="M141" s="6" t="str">
        <x:v>Pending</x:v>
      </x:c>
      <x:c r="N141" s="12" t="str"/>
    </x:row>
    <x:row r="142">
      <x:c r="A142" s="6" t="str">
        <x:v>DEVR-000141</x:v>
      </x:c>
      <x:c r="B142" s="6" t="str">
        <x:v>SVC000141</x:v>
      </x:c>
      <x:c r="C142" s="6" t="str">
        <x:v>iPhone 13 Pro Battery Replacement</x:v>
      </x:c>
      <x:c r="D142" s="6" t="str">
        <x:v>iPhone 13 Pro Battery Replacement</x:v>
      </x:c>
      <x:c r="E142" s="6" t="str"/>
      <x:c r="F142" s="6" t="str"/>
      <x:c r="G142" s="6" t="str">
        <x:v>Unknown</x:v>
      </x:c>
      <x:c r="H142" s="12" t="str">
        <x:v>Source Workbook</x:v>
      </x:c>
      <x:c r="I142" s="12" t="str">
        <x:v>Nocturnix_Master_Services_Catalog_v1.xlsx | 01 - Master Services | row 181</x:v>
      </x:c>
      <x:c r="J142" s="6" t="str">
        <x:v>Unresolved</x:v>
      </x:c>
      <x:c r="K142" s="6" t="str"/>
      <x:c r="L142" s="6" t="str"/>
      <x:c r="M142" s="6" t="str">
        <x:v>Pending</x:v>
      </x:c>
      <x:c r="N142" s="12" t="str"/>
    </x:row>
    <x:row r="143">
      <x:c r="A143" s="6" t="str">
        <x:v>DEVR-000142</x:v>
      </x:c>
      <x:c r="B143" s="6" t="str">
        <x:v>SVC000142</x:v>
      </x:c>
      <x:c r="C143" s="6" t="str">
        <x:v>iPhone 13 Mini Battery Replacement</x:v>
      </x:c>
      <x:c r="D143" s="6" t="str">
        <x:v>iPhone 13 Mini Battery Replacement</x:v>
      </x:c>
      <x:c r="E143" s="6" t="str"/>
      <x:c r="F143" s="6" t="str"/>
      <x:c r="G143" s="6" t="str">
        <x:v>Unknown</x:v>
      </x:c>
      <x:c r="H143" s="12" t="str">
        <x:v>Source Workbook</x:v>
      </x:c>
      <x:c r="I143" s="12" t="str">
        <x:v>Nocturnix_Master_Services_Catalog_v1.xlsx | 01 - Master Services | row 182</x:v>
      </x:c>
      <x:c r="J143" s="6" t="str">
        <x:v>Unresolved</x:v>
      </x:c>
      <x:c r="K143" s="6" t="str"/>
      <x:c r="L143" s="6" t="str"/>
      <x:c r="M143" s="6" t="str">
        <x:v>Pending</x:v>
      </x:c>
      <x:c r="N143" s="12" t="str"/>
    </x:row>
    <x:row r="144">
      <x:c r="A144" s="6" t="str">
        <x:v>DEVR-000143</x:v>
      </x:c>
      <x:c r="B144" s="6" t="str">
        <x:v>SVC000143</x:v>
      </x:c>
      <x:c r="C144" s="6" t="str">
        <x:v>iPhone 13 Battery Replacement</x:v>
      </x:c>
      <x:c r="D144" s="6" t="str">
        <x:v>iPhone 13 Battery Replacement</x:v>
      </x:c>
      <x:c r="E144" s="6" t="str"/>
      <x:c r="F144" s="6" t="str"/>
      <x:c r="G144" s="6" t="str">
        <x:v>Unknown</x:v>
      </x:c>
      <x:c r="H144" s="12" t="str">
        <x:v>Source Workbook</x:v>
      </x:c>
      <x:c r="I144" s="12" t="str">
        <x:v>Nocturnix_Master_Services_Catalog_v1.xlsx | 01 - Master Services | row 183</x:v>
      </x:c>
      <x:c r="J144" s="6" t="str">
        <x:v>Unresolved</x:v>
      </x:c>
      <x:c r="K144" s="6" t="str"/>
      <x:c r="L144" s="6" t="str"/>
      <x:c r="M144" s="6" t="str">
        <x:v>Pending</x:v>
      </x:c>
      <x:c r="N144" s="12" t="str"/>
    </x:row>
    <x:row r="145">
      <x:c r="A145" s="6" t="str">
        <x:v>DEVR-000144</x:v>
      </x:c>
      <x:c r="B145" s="6" t="str">
        <x:v>SVC000144</x:v>
      </x:c>
      <x:c r="C145" s="6" t="str">
        <x:v>iPhone 12 Battery Replacement</x:v>
      </x:c>
      <x:c r="D145" s="6" t="str">
        <x:v>iPhone 12 Battery Replacement</x:v>
      </x:c>
      <x:c r="E145" s="6" t="str"/>
      <x:c r="F145" s="6" t="str"/>
      <x:c r="G145" s="6" t="str">
        <x:v>Unknown</x:v>
      </x:c>
      <x:c r="H145" s="12" t="str">
        <x:v>Source Workbook</x:v>
      </x:c>
      <x:c r="I145" s="12" t="str">
        <x:v>Nocturnix_Master_Services_Catalog_v1.xlsx | 01 - Master Services | row 184</x:v>
      </x:c>
      <x:c r="J145" s="6" t="str">
        <x:v>Unresolved</x:v>
      </x:c>
      <x:c r="K145" s="6" t="str"/>
      <x:c r="L145" s="6" t="str"/>
      <x:c r="M145" s="6" t="str">
        <x:v>Pending</x:v>
      </x:c>
      <x:c r="N145" s="12" t="str"/>
    </x:row>
    <x:row r="146">
      <x:c r="A146" s="6" t="str">
        <x:v>DEVR-000145</x:v>
      </x:c>
      <x:c r="B146" s="6" t="str">
        <x:v>SVC000145</x:v>
      </x:c>
      <x:c r="C146" s="6" t="str">
        <x:v>iPhone 12 Pro Max Battery Replacement</x:v>
      </x:c>
      <x:c r="D146" s="6" t="str">
        <x:v>iPhone 12 Pro Max Battery Replacement</x:v>
      </x:c>
      <x:c r="E146" s="6" t="str"/>
      <x:c r="F146" s="6" t="str"/>
      <x:c r="G146" s="6" t="str">
        <x:v>Unknown</x:v>
      </x:c>
      <x:c r="H146" s="12" t="str">
        <x:v>Source Workbook</x:v>
      </x:c>
      <x:c r="I146" s="12" t="str">
        <x:v>Nocturnix_Master_Services_Catalog_v1.xlsx | 01 - Master Services | row 185</x:v>
      </x:c>
      <x:c r="J146" s="6" t="str">
        <x:v>Unresolved</x:v>
      </x:c>
      <x:c r="K146" s="6" t="str"/>
      <x:c r="L146" s="6" t="str"/>
      <x:c r="M146" s="6" t="str">
        <x:v>Pending</x:v>
      </x:c>
      <x:c r="N146" s="12" t="str"/>
    </x:row>
    <x:row r="147">
      <x:c r="A147" s="6" t="str">
        <x:v>DEVR-000146</x:v>
      </x:c>
      <x:c r="B147" s="6" t="str">
        <x:v>SVC000146</x:v>
      </x:c>
      <x:c r="C147" s="6" t="str">
        <x:v>iPhone 12 Pro Battery Replacement</x:v>
      </x:c>
      <x:c r="D147" s="6" t="str">
        <x:v>iPhone 12 Pro Battery Replacement</x:v>
      </x:c>
      <x:c r="E147" s="6" t="str"/>
      <x:c r="F147" s="6" t="str"/>
      <x:c r="G147" s="6" t="str">
        <x:v>Unknown</x:v>
      </x:c>
      <x:c r="H147" s="12" t="str">
        <x:v>Source Workbook</x:v>
      </x:c>
      <x:c r="I147" s="12" t="str">
        <x:v>Nocturnix_Master_Services_Catalog_v1.xlsx | 01 - Master Services | row 186</x:v>
      </x:c>
      <x:c r="J147" s="6" t="str">
        <x:v>Unresolved</x:v>
      </x:c>
      <x:c r="K147" s="6" t="str"/>
      <x:c r="L147" s="6" t="str"/>
      <x:c r="M147" s="6" t="str">
        <x:v>Pending</x:v>
      </x:c>
      <x:c r="N147" s="12" t="str"/>
    </x:row>
    <x:row r="148">
      <x:c r="A148" s="6" t="str">
        <x:v>DEVR-000147</x:v>
      </x:c>
      <x:c r="B148" s="6" t="str">
        <x:v>SVC000147</x:v>
      </x:c>
      <x:c r="C148" s="6" t="str">
        <x:v>iPhone 13 Pro Max Battery Replacement</x:v>
      </x:c>
      <x:c r="D148" s="6" t="str">
        <x:v>iPhone 13 Pro Max Battery Replacement</x:v>
      </x:c>
      <x:c r="E148" s="6" t="str"/>
      <x:c r="F148" s="6" t="str"/>
      <x:c r="G148" s="6" t="str">
        <x:v>Unknown</x:v>
      </x:c>
      <x:c r="H148" s="12" t="str">
        <x:v>Source Workbook</x:v>
      </x:c>
      <x:c r="I148" s="12" t="str">
        <x:v>Nocturnix_Master_Services_Catalog_v1.xlsx | 01 - Master Services | row 187</x:v>
      </x:c>
      <x:c r="J148" s="6" t="str">
        <x:v>Unresolved</x:v>
      </x:c>
      <x:c r="K148" s="6" t="str"/>
      <x:c r="L148" s="6" t="str"/>
      <x:c r="M148" s="6" t="str">
        <x:v>Pending</x:v>
      </x:c>
      <x:c r="N148" s="12" t="str"/>
    </x:row>
    <x:row r="149">
      <x:c r="A149" s="6" t="str">
        <x:v>DEVR-000148</x:v>
      </x:c>
      <x:c r="B149" s="6" t="str">
        <x:v>SVC000148</x:v>
      </x:c>
      <x:c r="C149" s="6" t="str">
        <x:v>iPhone 12 Mini Battery Replacement</x:v>
      </x:c>
      <x:c r="D149" s="6" t="str">
        <x:v>iPhone 12 Mini Battery Replacement</x:v>
      </x:c>
      <x:c r="E149" s="6" t="str"/>
      <x:c r="F149" s="6" t="str"/>
      <x:c r="G149" s="6" t="str">
        <x:v>Unknown</x:v>
      </x:c>
      <x:c r="H149" s="12" t="str">
        <x:v>Source Workbook</x:v>
      </x:c>
      <x:c r="I149" s="12" t="str">
        <x:v>Nocturnix_Master_Services_Catalog_v1.xlsx | 01 - Master Services | row 188</x:v>
      </x:c>
      <x:c r="J149" s="6" t="str">
        <x:v>Unresolved</x:v>
      </x:c>
      <x:c r="K149" s="6" t="str"/>
      <x:c r="L149" s="6" t="str"/>
      <x:c r="M149" s="6" t="str">
        <x:v>Pending</x:v>
      </x:c>
      <x:c r="N149" s="12" t="str"/>
    </x:row>
    <x:row r="150">
      <x:c r="A150" s="6" t="str">
        <x:v>DEVR-000149</x:v>
      </x:c>
      <x:c r="B150" s="6" t="str">
        <x:v>SVC000149</x:v>
      </x:c>
      <x:c r="C150" s="6" t="str">
        <x:v>iPhone 14 Pro Max Battery Replacement</x:v>
      </x:c>
      <x:c r="D150" s="6" t="str">
        <x:v>iPhone 14 Pro Max Battery Replacement</x:v>
      </x:c>
      <x:c r="E150" s="6" t="str"/>
      <x:c r="F150" s="6" t="str"/>
      <x:c r="G150" s="6" t="str">
        <x:v>Unknown</x:v>
      </x:c>
      <x:c r="H150" s="12" t="str">
        <x:v>Source Workbook</x:v>
      </x:c>
      <x:c r="I150" s="12" t="str">
        <x:v>Nocturnix_Master_Services_Catalog_v1.xlsx | 01 - Master Services | row 189</x:v>
      </x:c>
      <x:c r="J150" s="6" t="str">
        <x:v>Unresolved</x:v>
      </x:c>
      <x:c r="K150" s="6" t="str"/>
      <x:c r="L150" s="6" t="str"/>
      <x:c r="M150" s="6" t="str">
        <x:v>Pending</x:v>
      </x:c>
      <x:c r="N150" s="12" t="str"/>
    </x:row>
    <x:row r="151">
      <x:c r="A151" s="6" t="str">
        <x:v>DEVR-000150</x:v>
      </x:c>
      <x:c r="B151" s="6" t="str">
        <x:v>SVC000150</x:v>
      </x:c>
      <x:c r="C151" s="6" t="str">
        <x:v>Galaxy S 21 FE Battery Replacement</x:v>
      </x:c>
      <x:c r="D151" s="6" t="str">
        <x:v>Galaxy S 21 FE Battery Replacement</x:v>
      </x:c>
      <x:c r="E151" s="6" t="str"/>
      <x:c r="F151" s="6" t="str"/>
      <x:c r="G151" s="6" t="str">
        <x:v>Unknown</x:v>
      </x:c>
      <x:c r="H151" s="12" t="str">
        <x:v>Source Workbook</x:v>
      </x:c>
      <x:c r="I151" s="12" t="str">
        <x:v>Nocturnix_Master_Services_Catalog_v1.xlsx | 01 - Master Services | row 190</x:v>
      </x:c>
      <x:c r="J151" s="6" t="str">
        <x:v>Unresolved</x:v>
      </x:c>
      <x:c r="K151" s="6" t="str"/>
      <x:c r="L151" s="6" t="str"/>
      <x:c r="M151" s="6" t="str">
        <x:v>Pending</x:v>
      </x:c>
      <x:c r="N151" s="12" t="str"/>
    </x:row>
    <x:row r="152">
      <x:c r="A152" s="6" t="str">
        <x:v>DEVR-000151</x:v>
      </x:c>
      <x:c r="B152" s="6" t="str">
        <x:v>SVC000151</x:v>
      </x:c>
      <x:c r="C152" s="6" t="str">
        <x:v>Galaxy S 6 Active Battery Replacement</x:v>
      </x:c>
      <x:c r="D152" s="6" t="str">
        <x:v>Galaxy S 6 Active Battery Replacement</x:v>
      </x:c>
      <x:c r="E152" s="6" t="str"/>
      <x:c r="F152" s="6" t="str"/>
      <x:c r="G152" s="6" t="str">
        <x:v>Unknown</x:v>
      </x:c>
      <x:c r="H152" s="12" t="str">
        <x:v>Source Workbook</x:v>
      </x:c>
      <x:c r="I152" s="12" t="str">
        <x:v>Nocturnix_Master_Services_Catalog_v1.xlsx | 01 - Master Services | row 191</x:v>
      </x:c>
      <x:c r="J152" s="6" t="str">
        <x:v>Unresolved</x:v>
      </x:c>
      <x:c r="K152" s="6" t="str"/>
      <x:c r="L152" s="6" t="str"/>
      <x:c r="M152" s="6" t="str">
        <x:v>Pending</x:v>
      </x:c>
      <x:c r="N152" s="12" t="str"/>
    </x:row>
    <x:row r="153">
      <x:c r="A153" s="6" t="str">
        <x:v>DEVR-000152</x:v>
      </x:c>
      <x:c r="B153" s="6" t="str">
        <x:v>SVC000152</x:v>
      </x:c>
      <x:c r="C153" s="6" t="str">
        <x:v>Galaxy S 21 Battery Replacement</x:v>
      </x:c>
      <x:c r="D153" s="6" t="str">
        <x:v>Galaxy S 21 Battery Replacement</x:v>
      </x:c>
      <x:c r="E153" s="6" t="str"/>
      <x:c r="F153" s="6" t="str"/>
      <x:c r="G153" s="6" t="str">
        <x:v>Unknown</x:v>
      </x:c>
      <x:c r="H153" s="12" t="str">
        <x:v>Source Workbook</x:v>
      </x:c>
      <x:c r="I153" s="12" t="str">
        <x:v>Nocturnix_Master_Services_Catalog_v1.xlsx | 01 - Master Services | row 192</x:v>
      </x:c>
      <x:c r="J153" s="6" t="str">
        <x:v>Unresolved</x:v>
      </x:c>
      <x:c r="K153" s="6" t="str"/>
      <x:c r="L153" s="6" t="str"/>
      <x:c r="M153" s="6" t="str">
        <x:v>Pending</x:v>
      </x:c>
      <x:c r="N153" s="12" t="str"/>
    </x:row>
    <x:row r="154">
      <x:c r="A154" s="6" t="str">
        <x:v>DEVR-000153</x:v>
      </x:c>
      <x:c r="B154" s="6" t="str">
        <x:v>SVC000153</x:v>
      </x:c>
      <x:c r="C154" s="6" t="str">
        <x:v>Galaxy S 6 Battery Replacement</x:v>
      </x:c>
      <x:c r="D154" s="6" t="str">
        <x:v>Galaxy S 6 Battery Replacement</x:v>
      </x:c>
      <x:c r="E154" s="6" t="str"/>
      <x:c r="F154" s="6" t="str"/>
      <x:c r="G154" s="6" t="str">
        <x:v>Unknown</x:v>
      </x:c>
      <x:c r="H154" s="12" t="str">
        <x:v>Source Workbook</x:v>
      </x:c>
      <x:c r="I154" s="12" t="str">
        <x:v>Nocturnix_Master_Services_Catalog_v1.xlsx | 01 - Master Services | row 193</x:v>
      </x:c>
      <x:c r="J154" s="6" t="str">
        <x:v>Unresolved</x:v>
      </x:c>
      <x:c r="K154" s="6" t="str"/>
      <x:c r="L154" s="6" t="str"/>
      <x:c r="M154" s="6" t="str">
        <x:v>Pending</x:v>
      </x:c>
      <x:c r="N154" s="12" t="str"/>
    </x:row>
    <x:row r="155">
      <x:c r="A155" s="6" t="str">
        <x:v>DEVR-000154</x:v>
      </x:c>
      <x:c r="B155" s="6" t="str">
        <x:v>SVC000154</x:v>
      </x:c>
      <x:c r="C155" s="6" t="str">
        <x:v>Galaxy S 6 Edge Plus Battery Replacement</x:v>
      </x:c>
      <x:c r="D155" s="6" t="str">
        <x:v>Galaxy S 6 Edge Plus Battery Replacement</x:v>
      </x:c>
      <x:c r="E155" s="6" t="str"/>
      <x:c r="F155" s="6" t="str"/>
      <x:c r="G155" s="6" t="str">
        <x:v>Unknown</x:v>
      </x:c>
      <x:c r="H155" s="12" t="str">
        <x:v>Source Workbook</x:v>
      </x:c>
      <x:c r="I155" s="12" t="str">
        <x:v>Nocturnix_Master_Services_Catalog_v1.xlsx | 01 - Master Services | row 194</x:v>
      </x:c>
      <x:c r="J155" s="6" t="str">
        <x:v>Unresolved</x:v>
      </x:c>
      <x:c r="K155" s="6" t="str"/>
      <x:c r="L155" s="6" t="str"/>
      <x:c r="M155" s="6" t="str">
        <x:v>Pending</x:v>
      </x:c>
      <x:c r="N155" s="12" t="str"/>
    </x:row>
    <x:row r="156">
      <x:c r="A156" s="6" t="str">
        <x:v>DEVR-000155</x:v>
      </x:c>
      <x:c r="B156" s="6" t="str">
        <x:v>SVC000155</x:v>
      </x:c>
      <x:c r="C156" s="6" t="str">
        <x:v>Galaxy S 7 Active Battery Replacement</x:v>
      </x:c>
      <x:c r="D156" s="6" t="str">
        <x:v>Galaxy S 7 Active Battery Replacement</x:v>
      </x:c>
      <x:c r="E156" s="6" t="str"/>
      <x:c r="F156" s="6" t="str"/>
      <x:c r="G156" s="6" t="str">
        <x:v>Unknown</x:v>
      </x:c>
      <x:c r="H156" s="12" t="str">
        <x:v>Source Workbook</x:v>
      </x:c>
      <x:c r="I156" s="12" t="str">
        <x:v>Nocturnix_Master_Services_Catalog_v1.xlsx | 01 - Master Services | row 195</x:v>
      </x:c>
      <x:c r="J156" s="6" t="str">
        <x:v>Unresolved</x:v>
      </x:c>
      <x:c r="K156" s="6" t="str"/>
      <x:c r="L156" s="6" t="str"/>
      <x:c r="M156" s="6" t="str">
        <x:v>Pending</x:v>
      </x:c>
      <x:c r="N156" s="12" t="str"/>
    </x:row>
    <x:row r="157">
      <x:c r="A157" s="6" t="str">
        <x:v>DEVR-000156</x:v>
      </x:c>
      <x:c r="B157" s="6" t="str">
        <x:v>SVC000156</x:v>
      </x:c>
      <x:c r="C157" s="6" t="str">
        <x:v>Galaxy S 8 Battery Replacement</x:v>
      </x:c>
      <x:c r="D157" s="6" t="str">
        <x:v>Galaxy S 8 Battery Replacement</x:v>
      </x:c>
      <x:c r="E157" s="6" t="str"/>
      <x:c r="F157" s="6" t="str"/>
      <x:c r="G157" s="6" t="str">
        <x:v>Unknown</x:v>
      </x:c>
      <x:c r="H157" s="12" t="str">
        <x:v>Source Workbook</x:v>
      </x:c>
      <x:c r="I157" s="12" t="str">
        <x:v>Nocturnix_Master_Services_Catalog_v1.xlsx | 01 - Master Services | row 196</x:v>
      </x:c>
      <x:c r="J157" s="6" t="str">
        <x:v>Unresolved</x:v>
      </x:c>
      <x:c r="K157" s="6" t="str"/>
      <x:c r="L157" s="6" t="str"/>
      <x:c r="M157" s="6" t="str">
        <x:v>Pending</x:v>
      </x:c>
      <x:c r="N157" s="12" t="str"/>
    </x:row>
    <x:row r="158">
      <x:c r="A158" s="6" t="str">
        <x:v>DEVR-000157</x:v>
      </x:c>
      <x:c r="B158" s="6" t="str">
        <x:v>SVC000157</x:v>
      </x:c>
      <x:c r="C158" s="6" t="str">
        <x:v>Galaxy S 9 Battery Replacement</x:v>
      </x:c>
      <x:c r="D158" s="6" t="str">
        <x:v>Galaxy S 9 Battery Replacement</x:v>
      </x:c>
      <x:c r="E158" s="6" t="str"/>
      <x:c r="F158" s="6" t="str"/>
      <x:c r="G158" s="6" t="str">
        <x:v>Unknown</x:v>
      </x:c>
      <x:c r="H158" s="12" t="str">
        <x:v>Source Workbook</x:v>
      </x:c>
      <x:c r="I158" s="12" t="str">
        <x:v>Nocturnix_Master_Services_Catalog_v1.xlsx | 01 - Master Services | row 197</x:v>
      </x:c>
      <x:c r="J158" s="6" t="str">
        <x:v>Unresolved</x:v>
      </x:c>
      <x:c r="K158" s="6" t="str"/>
      <x:c r="L158" s="6" t="str"/>
      <x:c r="M158" s="6" t="str">
        <x:v>Pending</x:v>
      </x:c>
      <x:c r="N158" s="12" t="str"/>
    </x:row>
    <x:row r="159">
      <x:c r="A159" s="6" t="str">
        <x:v>DEVR-000158</x:v>
      </x:c>
      <x:c r="B159" s="6" t="str">
        <x:v>SVC000158</x:v>
      </x:c>
      <x:c r="C159" s="6" t="str">
        <x:v>Galaxy S 20 FE Battery Replacement</x:v>
      </x:c>
      <x:c r="D159" s="6" t="str">
        <x:v>Galaxy S 20 FE Battery Replacement</x:v>
      </x:c>
      <x:c r="E159" s="6" t="str"/>
      <x:c r="F159" s="6" t="str"/>
      <x:c r="G159" s="6" t="str">
        <x:v>Unknown</x:v>
      </x:c>
      <x:c r="H159" s="12" t="str">
        <x:v>Source Workbook</x:v>
      </x:c>
      <x:c r="I159" s="12" t="str">
        <x:v>Nocturnix_Master_Services_Catalog_v1.xlsx | 01 - Master Services | row 198</x:v>
      </x:c>
      <x:c r="J159" s="6" t="str">
        <x:v>Unresolved</x:v>
      </x:c>
      <x:c r="K159" s="6" t="str"/>
      <x:c r="L159" s="6" t="str"/>
      <x:c r="M159" s="6" t="str">
        <x:v>Pending</x:v>
      </x:c>
      <x:c r="N159" s="12" t="str"/>
    </x:row>
    <x:row r="160">
      <x:c r="A160" s="6" t="str">
        <x:v>DEVR-000159</x:v>
      </x:c>
      <x:c r="B160" s="6" t="str">
        <x:v>SVC000159</x:v>
      </x:c>
      <x:c r="C160" s="6" t="str">
        <x:v>Galaxy S Classic Battery Replacement</x:v>
      </x:c>
      <x:c r="D160" s="6" t="str">
        <x:v>Galaxy S Classic Battery Replacement</x:v>
      </x:c>
      <x:c r="E160" s="6" t="str"/>
      <x:c r="F160" s="6" t="str"/>
      <x:c r="G160" s="6" t="str">
        <x:v>Unknown</x:v>
      </x:c>
      <x:c r="H160" s="12" t="str">
        <x:v>Source Workbook</x:v>
      </x:c>
      <x:c r="I160" s="12" t="str">
        <x:v>Nocturnix_Master_Services_Catalog_v1.xlsx | 01 - Master Services | row 199</x:v>
      </x:c>
      <x:c r="J160" s="6" t="str">
        <x:v>Unresolved</x:v>
      </x:c>
      <x:c r="K160" s="6" t="str"/>
      <x:c r="L160" s="6" t="str"/>
      <x:c r="M160" s="6" t="str">
        <x:v>Pending</x:v>
      </x:c>
      <x:c r="N160" s="12" t="str"/>
    </x:row>
    <x:row r="161">
      <x:c r="A161" s="6" t="str">
        <x:v>DEVR-000160</x:v>
      </x:c>
      <x:c r="B161" s="6" t="str">
        <x:v>SVC000160</x:v>
      </x:c>
      <x:c r="C161" s="6" t="str">
        <x:v>Galaxy S2 Battery Replacement</x:v>
      </x:c>
      <x:c r="D161" s="6" t="str">
        <x:v>Galaxy S2 Battery Replacement</x:v>
      </x:c>
      <x:c r="E161" s="6" t="str"/>
      <x:c r="F161" s="6" t="str"/>
      <x:c r="G161" s="6" t="str">
        <x:v>Unknown</x:v>
      </x:c>
      <x:c r="H161" s="12" t="str">
        <x:v>Source Workbook</x:v>
      </x:c>
      <x:c r="I161" s="12" t="str">
        <x:v>Nocturnix_Master_Services_Catalog_v1.xlsx | 01 - Master Services | row 200</x:v>
      </x:c>
      <x:c r="J161" s="6" t="str">
        <x:v>Unresolved</x:v>
      </x:c>
      <x:c r="K161" s="6" t="str"/>
      <x:c r="L161" s="6" t="str"/>
      <x:c r="M161" s="6" t="str">
        <x:v>Pending</x:v>
      </x:c>
      <x:c r="N161" s="12" t="str"/>
    </x:row>
    <x:row r="162">
      <x:c r="A162" s="6" t="str">
        <x:v>DEVR-000161</x:v>
      </x:c>
      <x:c r="B162" s="6" t="str">
        <x:v>SVC000161</x:v>
      </x:c>
      <x:c r="C162" s="6" t="str">
        <x:v>Galaxy S3 Battery Replacement</x:v>
      </x:c>
      <x:c r="D162" s="6" t="str">
        <x:v>Galaxy S3 Battery Replacement</x:v>
      </x:c>
      <x:c r="E162" s="6" t="str"/>
      <x:c r="F162" s="6" t="str"/>
      <x:c r="G162" s="6" t="str">
        <x:v>Unknown</x:v>
      </x:c>
      <x:c r="H162" s="12" t="str">
        <x:v>Source Workbook</x:v>
      </x:c>
      <x:c r="I162" s="12" t="str">
        <x:v>Nocturnix_Master_Services_Catalog_v1.xlsx | 01 - Master Services | row 201</x:v>
      </x:c>
      <x:c r="J162" s="6" t="str">
        <x:v>Unresolved</x:v>
      </x:c>
      <x:c r="K162" s="6" t="str"/>
      <x:c r="L162" s="6" t="str"/>
      <x:c r="M162" s="6" t="str">
        <x:v>Pending</x:v>
      </x:c>
      <x:c r="N162" s="12" t="str"/>
    </x:row>
    <x:row r="163">
      <x:c r="A163" s="6" t="str">
        <x:v>DEVR-000162</x:v>
      </x:c>
      <x:c r="B163" s="6" t="str">
        <x:v>SVC000162</x:v>
      </x:c>
      <x:c r="C163" s="6" t="str">
        <x:v>Galaxy S3 Mini Battery Replacement</x:v>
      </x:c>
      <x:c r="D163" s="6" t="str">
        <x:v>Galaxy S3 Mini Battery Replacement</x:v>
      </x:c>
      <x:c r="E163" s="6" t="str"/>
      <x:c r="F163" s="6" t="str"/>
      <x:c r="G163" s="6" t="str">
        <x:v>Unknown</x:v>
      </x:c>
      <x:c r="H163" s="12" t="str">
        <x:v>Source Workbook</x:v>
      </x:c>
      <x:c r="I163" s="12" t="str">
        <x:v>Nocturnix_Master_Services_Catalog_v1.xlsx | 01 - Master Services | row 202</x:v>
      </x:c>
      <x:c r="J163" s="6" t="str">
        <x:v>Unresolved</x:v>
      </x:c>
      <x:c r="K163" s="6" t="str"/>
      <x:c r="L163" s="6" t="str"/>
      <x:c r="M163" s="6" t="str">
        <x:v>Pending</x:v>
      </x:c>
      <x:c r="N163" s="12" t="str"/>
    </x:row>
    <x:row r="164">
      <x:c r="A164" s="6" t="str">
        <x:v>DEVR-000163</x:v>
      </x:c>
      <x:c r="B164" s="6" t="str">
        <x:v>SVC000163</x:v>
      </x:c>
      <x:c r="C164" s="6" t="str">
        <x:v>Galaxy S3 Neo Battery Replacement</x:v>
      </x:c>
      <x:c r="D164" s="6" t="str">
        <x:v>Galaxy S3 Neo Battery Replacement</x:v>
      </x:c>
      <x:c r="E164" s="6" t="str"/>
      <x:c r="F164" s="6" t="str"/>
      <x:c r="G164" s="6" t="str">
        <x:v>Unknown</x:v>
      </x:c>
      <x:c r="H164" s="12" t="str">
        <x:v>Source Workbook</x:v>
      </x:c>
      <x:c r="I164" s="12" t="str">
        <x:v>Nocturnix_Master_Services_Catalog_v1.xlsx | 01 - Master Services | row 203</x:v>
      </x:c>
      <x:c r="J164" s="6" t="str">
        <x:v>Unresolved</x:v>
      </x:c>
      <x:c r="K164" s="6" t="str"/>
      <x:c r="L164" s="6" t="str"/>
      <x:c r="M164" s="6" t="str">
        <x:v>Pending</x:v>
      </x:c>
      <x:c r="N164" s="12" t="str"/>
    </x:row>
    <x:row r="165">
      <x:c r="A165" s="6" t="str">
        <x:v>DEVR-000164</x:v>
      </x:c>
      <x:c r="B165" s="6" t="str">
        <x:v>SVC000164</x:v>
      </x:c>
      <x:c r="C165" s="6" t="str">
        <x:v>Galaxy S4 Battery Replacement</x:v>
      </x:c>
      <x:c r="D165" s="6" t="str">
        <x:v>Galaxy S4 Battery Replacement</x:v>
      </x:c>
      <x:c r="E165" s="6" t="str"/>
      <x:c r="F165" s="6" t="str"/>
      <x:c r="G165" s="6" t="str">
        <x:v>Unknown</x:v>
      </x:c>
      <x:c r="H165" s="12" t="str">
        <x:v>Source Workbook</x:v>
      </x:c>
      <x:c r="I165" s="12" t="str">
        <x:v>Nocturnix_Master_Services_Catalog_v1.xlsx | 01 - Master Services | row 204</x:v>
      </x:c>
      <x:c r="J165" s="6" t="str">
        <x:v>Unresolved</x:v>
      </x:c>
      <x:c r="K165" s="6" t="str"/>
      <x:c r="L165" s="6" t="str"/>
      <x:c r="M165" s="6" t="str">
        <x:v>Pending</x:v>
      </x:c>
      <x:c r="N165" s="12" t="str"/>
    </x:row>
    <x:row r="166">
      <x:c r="A166" s="6" t="str">
        <x:v>DEVR-000165</x:v>
      </x:c>
      <x:c r="B166" s="6" t="str">
        <x:v>SVC000165</x:v>
      </x:c>
      <x:c r="C166" s="6" t="str">
        <x:v>Galaxy S 4 Active Battery Replacement</x:v>
      </x:c>
      <x:c r="D166" s="6" t="str">
        <x:v>Galaxy S 4 Active Battery Replacement</x:v>
      </x:c>
      <x:c r="E166" s="6" t="str"/>
      <x:c r="F166" s="6" t="str"/>
      <x:c r="G166" s="6" t="str">
        <x:v>Unknown</x:v>
      </x:c>
      <x:c r="H166" s="12" t="str">
        <x:v>Source Workbook</x:v>
      </x:c>
      <x:c r="I166" s="12" t="str">
        <x:v>Nocturnix_Master_Services_Catalog_v1.xlsx | 01 - Master Services | row 205</x:v>
      </x:c>
      <x:c r="J166" s="6" t="str">
        <x:v>Unresolved</x:v>
      </x:c>
      <x:c r="K166" s="6" t="str"/>
      <x:c r="L166" s="6" t="str"/>
      <x:c r="M166" s="6" t="str">
        <x:v>Pending</x:v>
      </x:c>
      <x:c r="N166" s="12" t="str"/>
    </x:row>
    <x:row r="167">
      <x:c r="A167" s="6" t="str">
        <x:v>DEVR-000166</x:v>
      </x:c>
      <x:c r="B167" s="6" t="str">
        <x:v>SVC000166</x:v>
      </x:c>
      <x:c r="C167" s="6" t="str">
        <x:v>Galaxy S 5 Battery Replacement</x:v>
      </x:c>
      <x:c r="D167" s="6" t="str">
        <x:v>Galaxy S 5 Battery Replacement</x:v>
      </x:c>
      <x:c r="E167" s="6" t="str"/>
      <x:c r="F167" s="6" t="str"/>
      <x:c r="G167" s="6" t="str">
        <x:v>Unknown</x:v>
      </x:c>
      <x:c r="H167" s="12" t="str">
        <x:v>Source Workbook</x:v>
      </x:c>
      <x:c r="I167" s="12" t="str">
        <x:v>Nocturnix_Master_Services_Catalog_v1.xlsx | 01 - Master Services | row 206</x:v>
      </x:c>
      <x:c r="J167" s="6" t="str">
        <x:v>Unresolved</x:v>
      </x:c>
      <x:c r="K167" s="6" t="str"/>
      <x:c r="L167" s="6" t="str"/>
      <x:c r="M167" s="6" t="str">
        <x:v>Pending</x:v>
      </x:c>
      <x:c r="N167" s="12" t="str"/>
    </x:row>
    <x:row r="168">
      <x:c r="A168" s="6" t="str">
        <x:v>DEVR-000167</x:v>
      </x:c>
      <x:c r="B168" s="6" t="str">
        <x:v>SVC000167</x:v>
      </x:c>
      <x:c r="C168" s="6" t="str">
        <x:v>iPhone 7+ Battery Replacement</x:v>
      </x:c>
      <x:c r="D168" s="6" t="str">
        <x:v>iPhone 7+ Battery Replacement</x:v>
      </x:c>
      <x:c r="E168" s="6" t="str"/>
      <x:c r="F168" s="6" t="str"/>
      <x:c r="G168" s="6" t="str">
        <x:v>Unknown</x:v>
      </x:c>
      <x:c r="H168" s="12" t="str">
        <x:v>Source Workbook</x:v>
      </x:c>
      <x:c r="I168" s="12" t="str">
        <x:v>Nocturnix_Master_Services_Catalog_v1.xlsx | 01 - Master Services | row 207</x:v>
      </x:c>
      <x:c r="J168" s="6" t="str">
        <x:v>Unresolved</x:v>
      </x:c>
      <x:c r="K168" s="6" t="str"/>
      <x:c r="L168" s="6" t="str"/>
      <x:c r="M168" s="6" t="str">
        <x:v>Pending</x:v>
      </x:c>
      <x:c r="N168" s="12" t="str"/>
    </x:row>
    <x:row r="169">
      <x:c r="A169" s="6" t="str">
        <x:v>DEVR-000168</x:v>
      </x:c>
      <x:c r="B169" s="6" t="str">
        <x:v>SVC000168</x:v>
      </x:c>
      <x:c r="C169" s="6" t="str">
        <x:v>iPhone Battery Replacement</x:v>
      </x:c>
      <x:c r="D169" s="6" t="str">
        <x:v>iPhone Battery Replacement</x:v>
      </x:c>
      <x:c r="E169" s="6" t="str"/>
      <x:c r="F169" s="6" t="str"/>
      <x:c r="G169" s="6" t="str">
        <x:v>Unknown</x:v>
      </x:c>
      <x:c r="H169" s="12" t="str">
        <x:v>Source Workbook</x:v>
      </x:c>
      <x:c r="I169" s="12" t="str">
        <x:v>Nocturnix_Master_Services_Catalog_v1.xlsx | 01 - Master Services | row 208</x:v>
      </x:c>
      <x:c r="J169" s="6" t="str">
        <x:v>Unresolved</x:v>
      </x:c>
      <x:c r="K169" s="6" t="str"/>
      <x:c r="L169" s="6" t="str"/>
      <x:c r="M169" s="6" t="str">
        <x:v>Pending</x:v>
      </x:c>
      <x:c r="N169" s="12" t="str"/>
    </x:row>
    <x:row r="170">
      <x:c r="A170" s="6" t="str">
        <x:v>DEVR-000169</x:v>
      </x:c>
      <x:c r="B170" s="6" t="str">
        <x:v>SVC000169</x:v>
      </x:c>
      <x:c r="C170" s="6" t="str">
        <x:v>iPhone 3GS Battery Replacement</x:v>
      </x:c>
      <x:c r="D170" s="6" t="str">
        <x:v>iPhone 3GS Battery Replacement</x:v>
      </x:c>
      <x:c r="E170" s="6" t="str"/>
      <x:c r="F170" s="6" t="str"/>
      <x:c r="G170" s="6" t="str">
        <x:v>Unknown</x:v>
      </x:c>
      <x:c r="H170" s="12" t="str">
        <x:v>Source Workbook</x:v>
      </x:c>
      <x:c r="I170" s="12" t="str">
        <x:v>Nocturnix_Master_Services_Catalog_v1.xlsx | 01 - Master Services | row 209</x:v>
      </x:c>
      <x:c r="J170" s="6" t="str">
        <x:v>Unresolved</x:v>
      </x:c>
      <x:c r="K170" s="6" t="str"/>
      <x:c r="L170" s="6" t="str"/>
      <x:c r="M170" s="6" t="str">
        <x:v>Pending</x:v>
      </x:c>
      <x:c r="N170" s="12" t="str"/>
    </x:row>
    <x:row r="171">
      <x:c r="A171" s="6" t="str">
        <x:v>DEVR-000170</x:v>
      </x:c>
      <x:c r="B171" s="6" t="str">
        <x:v>SVC000170</x:v>
      </x:c>
      <x:c r="C171" s="6" t="str">
        <x:v>iPhone 4S Battery Replacement</x:v>
      </x:c>
      <x:c r="D171" s="6" t="str">
        <x:v>iPhone 4S Battery Replacement</x:v>
      </x:c>
      <x:c r="E171" s="6" t="str"/>
      <x:c r="F171" s="6" t="str"/>
      <x:c r="G171" s="6" t="str">
        <x:v>Unknown</x:v>
      </x:c>
      <x:c r="H171" s="12" t="str">
        <x:v>Source Workbook</x:v>
      </x:c>
      <x:c r="I171" s="12" t="str">
        <x:v>Nocturnix_Master_Services_Catalog_v1.xlsx | 01 - Master Services | row 210</x:v>
      </x:c>
      <x:c r="J171" s="6" t="str">
        <x:v>Unresolved</x:v>
      </x:c>
      <x:c r="K171" s="6" t="str"/>
      <x:c r="L171" s="6" t="str"/>
      <x:c r="M171" s="6" t="str">
        <x:v>Pending</x:v>
      </x:c>
      <x:c r="N171" s="12" t="str"/>
    </x:row>
    <x:row r="172">
      <x:c r="A172" s="6" t="str">
        <x:v>DEVR-000171</x:v>
      </x:c>
      <x:c r="B172" s="6" t="str">
        <x:v>SVC000171</x:v>
      </x:c>
      <x:c r="C172" s="6" t="str">
        <x:v>iPhone 5 Battery Replacement</x:v>
      </x:c>
      <x:c r="D172" s="6" t="str">
        <x:v>iPhone 5 Battery Replacement</x:v>
      </x:c>
      <x:c r="E172" s="6" t="str"/>
      <x:c r="F172" s="6" t="str"/>
      <x:c r="G172" s="6" t="str">
        <x:v>Unknown</x:v>
      </x:c>
      <x:c r="H172" s="12" t="str">
        <x:v>Source Workbook</x:v>
      </x:c>
      <x:c r="I172" s="12" t="str">
        <x:v>Nocturnix_Master_Services_Catalog_v1.xlsx | 01 - Master Services | row 211</x:v>
      </x:c>
      <x:c r="J172" s="6" t="str">
        <x:v>Unresolved</x:v>
      </x:c>
      <x:c r="K172" s="6" t="str"/>
      <x:c r="L172" s="6" t="str"/>
      <x:c r="M172" s="6" t="str">
        <x:v>Pending</x:v>
      </x:c>
      <x:c r="N172" s="12" t="str"/>
    </x:row>
    <x:row r="173">
      <x:c r="A173" s="6" t="str">
        <x:v>DEVR-000172</x:v>
      </x:c>
      <x:c r="B173" s="6" t="str">
        <x:v>SVC000172</x:v>
      </x:c>
      <x:c r="C173" s="6" t="str">
        <x:v>iPhone 5C Battery Replacement</x:v>
      </x:c>
      <x:c r="D173" s="6" t="str">
        <x:v>iPhone 5C Battery Replacement</x:v>
      </x:c>
      <x:c r="E173" s="6" t="str"/>
      <x:c r="F173" s="6" t="str"/>
      <x:c r="G173" s="6" t="str">
        <x:v>Unknown</x:v>
      </x:c>
      <x:c r="H173" s="12" t="str">
        <x:v>Source Workbook</x:v>
      </x:c>
      <x:c r="I173" s="12" t="str">
        <x:v>Nocturnix_Master_Services_Catalog_v1.xlsx | 01 - Master Services | row 212</x:v>
      </x:c>
      <x:c r="J173" s="6" t="str">
        <x:v>Unresolved</x:v>
      </x:c>
      <x:c r="K173" s="6" t="str"/>
      <x:c r="L173" s="6" t="str"/>
      <x:c r="M173" s="6" t="str">
        <x:v>Pending</x:v>
      </x:c>
      <x:c r="N173" s="12" t="str"/>
    </x:row>
    <x:row r="174">
      <x:c r="A174" s="6" t="str">
        <x:v>DEVR-000173</x:v>
      </x:c>
      <x:c r="B174" s="6" t="str">
        <x:v>SVC000173</x:v>
      </x:c>
      <x:c r="C174" s="6" t="str">
        <x:v>iPhone 8+ Battery Replacement</x:v>
      </x:c>
      <x:c r="D174" s="6" t="str">
        <x:v>iPhone 8+ Battery Replacement</x:v>
      </x:c>
      <x:c r="E174" s="6" t="str"/>
      <x:c r="F174" s="6" t="str"/>
      <x:c r="G174" s="6" t="str">
        <x:v>Unknown</x:v>
      </x:c>
      <x:c r="H174" s="12" t="str">
        <x:v>Source Workbook</x:v>
      </x:c>
      <x:c r="I174" s="12" t="str">
        <x:v>Nocturnix_Master_Services_Catalog_v1.xlsx | 01 - Master Services | row 213</x:v>
      </x:c>
      <x:c r="J174" s="6" t="str">
        <x:v>Unresolved</x:v>
      </x:c>
      <x:c r="K174" s="6" t="str"/>
      <x:c r="L174" s="6" t="str"/>
      <x:c r="M174" s="6" t="str">
        <x:v>Pending</x:v>
      </x:c>
      <x:c r="N174" s="12" t="str"/>
    </x:row>
    <x:row r="175">
      <x:c r="A175" s="6" t="str">
        <x:v>DEVR-000174</x:v>
      </x:c>
      <x:c r="B175" s="6" t="str">
        <x:v>SVC000174</x:v>
      </x:c>
      <x:c r="C175" s="6" t="str">
        <x:v>iPhone 6S Battery Replacement</x:v>
      </x:c>
      <x:c r="D175" s="6" t="str">
        <x:v>iPhone 6S Battery Replacement</x:v>
      </x:c>
      <x:c r="E175" s="6" t="str"/>
      <x:c r="F175" s="6" t="str"/>
      <x:c r="G175" s="6" t="str">
        <x:v>Unknown</x:v>
      </x:c>
      <x:c r="H175" s="12" t="str">
        <x:v>Source Workbook</x:v>
      </x:c>
      <x:c r="I175" s="12" t="str">
        <x:v>Nocturnix_Master_Services_Catalog_v1.xlsx | 01 - Master Services | row 214</x:v>
      </x:c>
      <x:c r="J175" s="6" t="str">
        <x:v>Unresolved</x:v>
      </x:c>
      <x:c r="K175" s="6" t="str"/>
      <x:c r="L175" s="6" t="str"/>
      <x:c r="M175" s="6" t="str">
        <x:v>Pending</x:v>
      </x:c>
      <x:c r="N175" s="12" t="str"/>
    </x:row>
    <x:row r="176">
      <x:c r="A176" s="6" t="str">
        <x:v>DEVR-000175</x:v>
      </x:c>
      <x:c r="B176" s="6" t="str">
        <x:v>SVC000175</x:v>
      </x:c>
      <x:c r="C176" s="6" t="str">
        <x:v>iPhone 8 Battery Replacement</x:v>
      </x:c>
      <x:c r="D176" s="6" t="str">
        <x:v>iPhone 8 Battery Replacement</x:v>
      </x:c>
      <x:c r="E176" s="6" t="str"/>
      <x:c r="F176" s="6" t="str"/>
      <x:c r="G176" s="6" t="str">
        <x:v>Unknown</x:v>
      </x:c>
      <x:c r="H176" s="12" t="str">
        <x:v>Source Workbook</x:v>
      </x:c>
      <x:c r="I176" s="12" t="str">
        <x:v>Nocturnix_Master_Services_Catalog_v1.xlsx | 01 - Master Services | row 215</x:v>
      </x:c>
      <x:c r="J176" s="6" t="str">
        <x:v>Unresolved</x:v>
      </x:c>
      <x:c r="K176" s="6" t="str"/>
      <x:c r="L176" s="6" t="str"/>
      <x:c r="M176" s="6" t="str">
        <x:v>Pending</x:v>
      </x:c>
      <x:c r="N176" s="12" t="str"/>
    </x:row>
    <x:row r="177">
      <x:c r="A177" s="6" t="str">
        <x:v>DEVR-000176</x:v>
      </x:c>
      <x:c r="B177" s="6" t="str">
        <x:v>SVC000176</x:v>
      </x:c>
      <x:c r="C177" s="6" t="str">
        <x:v>iPhone 6S+ Battery Replacement</x:v>
      </x:c>
      <x:c r="D177" s="6" t="str">
        <x:v>iPhone 6S+ Battery Replacement</x:v>
      </x:c>
      <x:c r="E177" s="6" t="str"/>
      <x:c r="F177" s="6" t="str"/>
      <x:c r="G177" s="6" t="str">
        <x:v>Unknown</x:v>
      </x:c>
      <x:c r="H177" s="12" t="str">
        <x:v>Source Workbook</x:v>
      </x:c>
      <x:c r="I177" s="12" t="str">
        <x:v>Nocturnix_Master_Services_Catalog_v1.xlsx | 01 - Master Services | row 216</x:v>
      </x:c>
      <x:c r="J177" s="6" t="str">
        <x:v>Unresolved</x:v>
      </x:c>
      <x:c r="K177" s="6" t="str"/>
      <x:c r="L177" s="6" t="str"/>
      <x:c r="M177" s="6" t="str">
        <x:v>Pending</x:v>
      </x:c>
      <x:c r="N177" s="12" t="str"/>
    </x:row>
    <x:row r="178">
      <x:c r="A178" s="6" t="str">
        <x:v>DEVR-000177</x:v>
      </x:c>
      <x:c r="B178" s="6" t="str">
        <x:v>SVC000177</x:v>
      </x:c>
      <x:c r="C178" s="6" t="str">
        <x:v>iPhone 6S+ Battery Replacement</x:v>
      </x:c>
      <x:c r="D178" s="6" t="str">
        <x:v>iPhone 6S+ Battery Replacement</x:v>
      </x:c>
      <x:c r="E178" s="6" t="str"/>
      <x:c r="F178" s="6" t="str"/>
      <x:c r="G178" s="6" t="str">
        <x:v>Unknown</x:v>
      </x:c>
      <x:c r="H178" s="12" t="str">
        <x:v>Source Workbook</x:v>
      </x:c>
      <x:c r="I178" s="12" t="str">
        <x:v>Nocturnix_Master_Services_Catalog_v1.xlsx | 01 - Master Services | row 217</x:v>
      </x:c>
      <x:c r="J178" s="6" t="str">
        <x:v>Unresolved</x:v>
      </x:c>
      <x:c r="K178" s="6" t="str"/>
      <x:c r="L178" s="6" t="str"/>
      <x:c r="M178" s="6" t="str">
        <x:v>Pending</x:v>
      </x:c>
      <x:c r="N178" s="12" t="str"/>
    </x:row>
    <x:row r="179">
      <x:c r="A179" s="6" t="str">
        <x:v>DEVR-000178</x:v>
      </x:c>
      <x:c r="B179" s="6" t="str">
        <x:v>SVC000178</x:v>
      </x:c>
      <x:c r="C179" s="6" t="str">
        <x:v>iPhone 5S Battery Replacement</x:v>
      </x:c>
      <x:c r="D179" s="6" t="str">
        <x:v>iPhone 5S Battery Replacement</x:v>
      </x:c>
      <x:c r="E179" s="6" t="str"/>
      <x:c r="F179" s="6" t="str"/>
      <x:c r="G179" s="6" t="str">
        <x:v>Unknown</x:v>
      </x:c>
      <x:c r="H179" s="12" t="str">
        <x:v>Source Workbook</x:v>
      </x:c>
      <x:c r="I179" s="12" t="str">
        <x:v>Nocturnix_Master_Services_Catalog_v1.xlsx | 01 - Master Services | row 218</x:v>
      </x:c>
      <x:c r="J179" s="6" t="str">
        <x:v>Unresolved</x:v>
      </x:c>
      <x:c r="K179" s="6" t="str"/>
      <x:c r="L179" s="6" t="str"/>
      <x:c r="M179" s="6" t="str">
        <x:v>Pending</x:v>
      </x:c>
      <x:c r="N179" s="12" t="str"/>
    </x:row>
    <x:row r="180">
      <x:c r="A180" s="6" t="str">
        <x:v>DEVR-000179</x:v>
      </x:c>
      <x:c r="B180" s="6" t="str">
        <x:v>SVC000179</x:v>
      </x:c>
      <x:c r="C180" s="6" t="str">
        <x:v>iPhone 14 Battery Replacement</x:v>
      </x:c>
      <x:c r="D180" s="6" t="str">
        <x:v>iPhone 14 Battery Replacement</x:v>
      </x:c>
      <x:c r="E180" s="6" t="str"/>
      <x:c r="F180" s="6" t="str"/>
      <x:c r="G180" s="6" t="str">
        <x:v>Unknown</x:v>
      </x:c>
      <x:c r="H180" s="12" t="str">
        <x:v>Source Workbook</x:v>
      </x:c>
      <x:c r="I180" s="12" t="str">
        <x:v>Nocturnix_Master_Services_Catalog_v1.xlsx | 01 - Master Services | row 219</x:v>
      </x:c>
      <x:c r="J180" s="6" t="str">
        <x:v>Unresolved</x:v>
      </x:c>
      <x:c r="K180" s="6" t="str"/>
      <x:c r="L180" s="6" t="str"/>
      <x:c r="M180" s="6" t="str">
        <x:v>Pending</x:v>
      </x:c>
      <x:c r="N180" s="12" t="str"/>
    </x:row>
    <x:row r="181">
      <x:c r="A181" s="6" t="str">
        <x:v>DEVR-000180</x:v>
      </x:c>
      <x:c r="B181" s="6" t="str">
        <x:v>SVC000180</x:v>
      </x:c>
      <x:c r="C181" s="6" t="str">
        <x:v>iPhone 6+ Battery Replacement</x:v>
      </x:c>
      <x:c r="D181" s="6" t="str">
        <x:v>iPhone 6+ Battery Replacement</x:v>
      </x:c>
      <x:c r="E181" s="6" t="str"/>
      <x:c r="F181" s="6" t="str"/>
      <x:c r="G181" s="6" t="str">
        <x:v>Unknown</x:v>
      </x:c>
      <x:c r="H181" s="12" t="str">
        <x:v>Source Workbook</x:v>
      </x:c>
      <x:c r="I181" s="12" t="str">
        <x:v>Nocturnix_Master_Services_Catalog_v1.xlsx | 01 - Master Services | row 220</x:v>
      </x:c>
      <x:c r="J181" s="6" t="str">
        <x:v>Unresolved</x:v>
      </x:c>
      <x:c r="K181" s="6" t="str"/>
      <x:c r="L181" s="6" t="str"/>
      <x:c r="M181" s="6" t="str">
        <x:v>Pending</x:v>
      </x:c>
      <x:c r="N181" s="12" t="str"/>
    </x:row>
    <x:row r="182">
      <x:c r="A182" s="6" t="str">
        <x:v>DEVR-000181</x:v>
      </x:c>
      <x:c r="B182" s="6" t="str">
        <x:v>SVC000181</x:v>
      </x:c>
      <x:c r="C182" s="6" t="str">
        <x:v>iPhone 16E Battery Replacement</x:v>
      </x:c>
      <x:c r="D182" s="6" t="str">
        <x:v>iPhone 16E Battery Replacement</x:v>
      </x:c>
      <x:c r="E182" s="6" t="str"/>
      <x:c r="F182" s="6" t="str"/>
      <x:c r="G182" s="6" t="str">
        <x:v>Unknown</x:v>
      </x:c>
      <x:c r="H182" s="12" t="str">
        <x:v>Source Workbook</x:v>
      </x:c>
      <x:c r="I182" s="12" t="str">
        <x:v>Nocturnix_Master_Services_Catalog_v1.xlsx | 01 - Master Services | row 221</x:v>
      </x:c>
      <x:c r="J182" s="6" t="str">
        <x:v>Unresolved</x:v>
      </x:c>
      <x:c r="K182" s="6" t="str"/>
      <x:c r="L182" s="6" t="str"/>
      <x:c r="M182" s="6" t="str">
        <x:v>Pending</x:v>
      </x:c>
      <x:c r="N182" s="12" t="str"/>
    </x:row>
    <x:row r="183">
      <x:c r="A183" s="6" t="str">
        <x:v>DEVR-000182</x:v>
      </x:c>
      <x:c r="B183" s="6" t="str">
        <x:v>SVC000182</x:v>
      </x:c>
      <x:c r="C183" s="6" t="str">
        <x:v>iPhone 17 Battery Replacement</x:v>
      </x:c>
      <x:c r="D183" s="6" t="str">
        <x:v>iPhone 17 Battery Replacement</x:v>
      </x:c>
      <x:c r="E183" s="6" t="str"/>
      <x:c r="F183" s="6" t="str"/>
      <x:c r="G183" s="6" t="str">
        <x:v>Unknown</x:v>
      </x:c>
      <x:c r="H183" s="12" t="str">
        <x:v>Source Workbook</x:v>
      </x:c>
      <x:c r="I183" s="12" t="str">
        <x:v>Nocturnix_Master_Services_Catalog_v1.xlsx | 01 - Master Services | row 222</x:v>
      </x:c>
      <x:c r="J183" s="6" t="str">
        <x:v>Unresolved</x:v>
      </x:c>
      <x:c r="K183" s="6" t="str"/>
      <x:c r="L183" s="6" t="str"/>
      <x:c r="M183" s="6" t="str">
        <x:v>Pending</x:v>
      </x:c>
      <x:c r="N183" s="12" t="str"/>
    </x:row>
    <x:row r="184">
      <x:c r="A184" s="6" t="str">
        <x:v>DEVR-000183</x:v>
      </x:c>
      <x:c r="B184" s="6" t="str">
        <x:v>SVC000183</x:v>
      </x:c>
      <x:c r="C184" s="6" t="str">
        <x:v>iPhone 16 Plus Battery Replacement</x:v>
      </x:c>
      <x:c r="D184" s="6" t="str">
        <x:v>iPhone 16 Plus Battery Replacement</x:v>
      </x:c>
      <x:c r="E184" s="6" t="str"/>
      <x:c r="F184" s="6" t="str"/>
      <x:c r="G184" s="6" t="str">
        <x:v>Unknown</x:v>
      </x:c>
      <x:c r="H184" s="12" t="str">
        <x:v>Source Workbook</x:v>
      </x:c>
      <x:c r="I184" s="12" t="str">
        <x:v>Nocturnix_Master_Services_Catalog_v1.xlsx | 01 - Master Services | row 223</x:v>
      </x:c>
      <x:c r="J184" s="6" t="str">
        <x:v>Unresolved</x:v>
      </x:c>
      <x:c r="K184" s="6" t="str"/>
      <x:c r="L184" s="6" t="str"/>
      <x:c r="M184" s="6" t="str">
        <x:v>Pending</x:v>
      </x:c>
      <x:c r="N184" s="12" t="str"/>
    </x:row>
    <x:row r="185">
      <x:c r="A185" s="6" t="str">
        <x:v>DEVR-000184</x:v>
      </x:c>
      <x:c r="B185" s="6" t="str">
        <x:v>SVC000184</x:v>
      </x:c>
      <x:c r="C185" s="6" t="str">
        <x:v>iPhone 16 Pro Max Battery Replacement</x:v>
      </x:c>
      <x:c r="D185" s="6" t="str">
        <x:v>iPhone 16 Pro Max Battery Replacement</x:v>
      </x:c>
      <x:c r="E185" s="6" t="str"/>
      <x:c r="F185" s="6" t="str"/>
      <x:c r="G185" s="6" t="str">
        <x:v>Unknown</x:v>
      </x:c>
      <x:c r="H185" s="12" t="str">
        <x:v>Source Workbook</x:v>
      </x:c>
      <x:c r="I185" s="12" t="str">
        <x:v>Nocturnix_Master_Services_Catalog_v1.xlsx | 01 - Master Services | row 224</x:v>
      </x:c>
      <x:c r="J185" s="6" t="str">
        <x:v>Unresolved</x:v>
      </x:c>
      <x:c r="K185" s="6" t="str"/>
      <x:c r="L185" s="6" t="str"/>
      <x:c r="M185" s="6" t="str">
        <x:v>Pending</x:v>
      </x:c>
      <x:c r="N185" s="12" t="str"/>
    </x:row>
    <x:row r="186">
      <x:c r="A186" s="6" t="str">
        <x:v>DEVR-000185</x:v>
      </x:c>
      <x:c r="B186" s="6" t="str">
        <x:v>SVC000185</x:v>
      </x:c>
      <x:c r="C186" s="6" t="str">
        <x:v>iPhone 16 Battery Replacement</x:v>
      </x:c>
      <x:c r="D186" s="6" t="str">
        <x:v>iPhone 16 Battery Replacement</x:v>
      </x:c>
      <x:c r="E186" s="6" t="str"/>
      <x:c r="F186" s="6" t="str"/>
      <x:c r="G186" s="6" t="str">
        <x:v>Unknown</x:v>
      </x:c>
      <x:c r="H186" s="12" t="str">
        <x:v>Source Workbook</x:v>
      </x:c>
      <x:c r="I186" s="12" t="str">
        <x:v>Nocturnix_Master_Services_Catalog_v1.xlsx | 01 - Master Services | row 225</x:v>
      </x:c>
      <x:c r="J186" s="6" t="str">
        <x:v>Unresolved</x:v>
      </x:c>
      <x:c r="K186" s="6" t="str"/>
      <x:c r="L186" s="6" t="str"/>
      <x:c r="M186" s="6" t="str">
        <x:v>Pending</x:v>
      </x:c>
      <x:c r="N186" s="12" t="str"/>
    </x:row>
    <x:row r="187">
      <x:c r="A187" s="6" t="str">
        <x:v>DEVR-000186</x:v>
      </x:c>
      <x:c r="B187" s="6" t="str">
        <x:v>SVC000186</x:v>
      </x:c>
      <x:c r="C187" s="6" t="str">
        <x:v>iPhone 15 Pro Max Battery Replacement</x:v>
      </x:c>
      <x:c r="D187" s="6" t="str">
        <x:v>iPhone 15 Pro Max Battery Replacement</x:v>
      </x:c>
      <x:c r="E187" s="6" t="str"/>
      <x:c r="F187" s="6" t="str"/>
      <x:c r="G187" s="6" t="str">
        <x:v>Unknown</x:v>
      </x:c>
      <x:c r="H187" s="12" t="str">
        <x:v>Source Workbook</x:v>
      </x:c>
      <x:c r="I187" s="12" t="str">
        <x:v>Nocturnix_Master_Services_Catalog_v1.xlsx | 01 - Master Services | row 226</x:v>
      </x:c>
      <x:c r="J187" s="6" t="str">
        <x:v>Unresolved</x:v>
      </x:c>
      <x:c r="K187" s="6" t="str"/>
      <x:c r="L187" s="6" t="str"/>
      <x:c r="M187" s="6" t="str">
        <x:v>Pending</x:v>
      </x:c>
      <x:c r="N187" s="12" t="str"/>
    </x:row>
    <x:row r="188">
      <x:c r="A188" s="6" t="str">
        <x:v>DEVR-000187</x:v>
      </x:c>
      <x:c r="B188" s="6" t="str">
        <x:v>SVC000187</x:v>
      </x:c>
      <x:c r="C188" s="6" t="str">
        <x:v>iPhone 15 Pro Phone Battery Replacement</x:v>
      </x:c>
      <x:c r="D188" s="6" t="str">
        <x:v>iPhone 15 Pro Phone Battery Replacement</x:v>
      </x:c>
      <x:c r="E188" s="6" t="str"/>
      <x:c r="F188" s="6" t="str"/>
      <x:c r="G188" s="6" t="str">
        <x:v>Unknown</x:v>
      </x:c>
      <x:c r="H188" s="12" t="str">
        <x:v>Source Workbook</x:v>
      </x:c>
      <x:c r="I188" s="12" t="str">
        <x:v>Nocturnix_Master_Services_Catalog_v1.xlsx | 01 - Master Services | row 227</x:v>
      </x:c>
      <x:c r="J188" s="6" t="str">
        <x:v>Unresolved</x:v>
      </x:c>
      <x:c r="K188" s="6" t="str"/>
      <x:c r="L188" s="6" t="str"/>
      <x:c r="M188" s="6" t="str">
        <x:v>Pending</x:v>
      </x:c>
      <x:c r="N188" s="12" t="str"/>
    </x:row>
    <x:row r="189">
      <x:c r="A189" s="6" t="str">
        <x:v>DEVR-000188</x:v>
      </x:c>
      <x:c r="B189" s="6" t="str">
        <x:v>SVC000188</x:v>
      </x:c>
      <x:c r="C189" s="6" t="str">
        <x:v>iPhone 15 Plus Battery Replacement</x:v>
      </x:c>
      <x:c r="D189" s="6" t="str">
        <x:v>iPhone 15 Plus Battery Replacement</x:v>
      </x:c>
      <x:c r="E189" s="6" t="str"/>
      <x:c r="F189" s="6" t="str"/>
      <x:c r="G189" s="6" t="str">
        <x:v>Unknown</x:v>
      </x:c>
      <x:c r="H189" s="12" t="str">
        <x:v>Source Workbook</x:v>
      </x:c>
      <x:c r="I189" s="12" t="str">
        <x:v>Nocturnix_Master_Services_Catalog_v1.xlsx | 01 - Master Services | row 228</x:v>
      </x:c>
      <x:c r="J189" s="6" t="str">
        <x:v>Unresolved</x:v>
      </x:c>
      <x:c r="K189" s="6" t="str"/>
      <x:c r="L189" s="6" t="str"/>
      <x:c r="M189" s="6" t="str">
        <x:v>Pending</x:v>
      </x:c>
      <x:c r="N189" s="12" t="str"/>
    </x:row>
    <x:row r="190">
      <x:c r="A190" s="6" t="str">
        <x:v>DEVR-000189</x:v>
      </x:c>
      <x:c r="B190" s="6" t="str">
        <x:v>SVC000189</x:v>
      </x:c>
      <x:c r="C190" s="6" t="str">
        <x:v>iPhone 16 Pro Battery Replacement</x:v>
      </x:c>
      <x:c r="D190" s="6" t="str">
        <x:v>iPhone 16 Pro Battery Replacement</x:v>
      </x:c>
      <x:c r="E190" s="6" t="str"/>
      <x:c r="F190" s="6" t="str"/>
      <x:c r="G190" s="6" t="str">
        <x:v>Unknown</x:v>
      </x:c>
      <x:c r="H190" s="12" t="str">
        <x:v>Source Workbook</x:v>
      </x:c>
      <x:c r="I190" s="12" t="str">
        <x:v>Nocturnix_Master_Services_Catalog_v1.xlsx | 01 - Master Services | row 229</x:v>
      </x:c>
      <x:c r="J190" s="6" t="str">
        <x:v>Unresolved</x:v>
      </x:c>
      <x:c r="K190" s="6" t="str"/>
      <x:c r="L190" s="6" t="str"/>
      <x:c r="M190" s="6" t="str">
        <x:v>Pending</x:v>
      </x:c>
      <x:c r="N190" s="12" t="str"/>
    </x:row>
    <x:row r="191">
      <x:c r="A191" s="6" t="str">
        <x:v>DEVR-000190</x:v>
      </x:c>
      <x:c r="B191" s="6" t="str">
        <x:v>SVC000190</x:v>
      </x:c>
      <x:c r="C191" s="6" t="str">
        <x:v>iPhone 15 Battery Replacement</x:v>
      </x:c>
      <x:c r="D191" s="6" t="str">
        <x:v>iPhone 15 Battery Replacement</x:v>
      </x:c>
      <x:c r="E191" s="6" t="str"/>
      <x:c r="F191" s="6" t="str"/>
      <x:c r="G191" s="6" t="str">
        <x:v>Unknown</x:v>
      </x:c>
      <x:c r="H191" s="12" t="str">
        <x:v>Source Workbook</x:v>
      </x:c>
      <x:c r="I191" s="12" t="str">
        <x:v>Nocturnix_Master_Services_Catalog_v1.xlsx | 01 - Master Services | row 230</x:v>
      </x:c>
      <x:c r="J191" s="6" t="str">
        <x:v>Unresolved</x:v>
      </x:c>
      <x:c r="K191" s="6" t="str"/>
      <x:c r="L191" s="6" t="str"/>
      <x:c r="M191" s="6" t="str">
        <x:v>Pending</x:v>
      </x:c>
      <x:c r="N191" s="12" t="str"/>
    </x:row>
    <x:row r="192">
      <x:c r="A192" s="6" t="str">
        <x:v>DEVR-000191</x:v>
      </x:c>
      <x:c r="B192" s="6" t="str">
        <x:v>SVC000191</x:v>
      </x:c>
      <x:c r="C192" s="6" t="str">
        <x:v>iPhone 14 Pro Battery Replacement</x:v>
      </x:c>
      <x:c r="D192" s="6" t="str">
        <x:v>iPhone 14 Pro Battery Replacement</x:v>
      </x:c>
      <x:c r="E192" s="6" t="str"/>
      <x:c r="F192" s="6" t="str"/>
      <x:c r="G192" s="6" t="str">
        <x:v>Unknown</x:v>
      </x:c>
      <x:c r="H192" s="12" t="str">
        <x:v>Source Workbook</x:v>
      </x:c>
      <x:c r="I192" s="12" t="str">
        <x:v>Nocturnix_Master_Services_Catalog_v1.xlsx | 01 - Master Services | row 231</x:v>
      </x:c>
      <x:c r="J192" s="6" t="str">
        <x:v>Unresolved</x:v>
      </x:c>
      <x:c r="K192" s="6" t="str"/>
      <x:c r="L192" s="6" t="str"/>
      <x:c r="M192" s="6" t="str">
        <x:v>Pending</x:v>
      </x:c>
      <x:c r="N192" s="12" t="str"/>
    </x:row>
    <x:row r="193">
      <x:c r="A193" s="6" t="str">
        <x:v>DEVR-000192</x:v>
      </x:c>
      <x:c r="B193" s="6" t="str">
        <x:v>SVC000192</x:v>
      </x:c>
      <x:c r="C193" s="6" t="str">
        <x:v>iPhone 17 Pro Battery Replacement</x:v>
      </x:c>
      <x:c r="D193" s="6" t="str">
        <x:v>iPhone 17 Pro Battery Replacement</x:v>
      </x:c>
      <x:c r="E193" s="6" t="str"/>
      <x:c r="F193" s="6" t="str"/>
      <x:c r="G193" s="6" t="str">
        <x:v>Unknown</x:v>
      </x:c>
      <x:c r="H193" s="12" t="str">
        <x:v>Source Workbook</x:v>
      </x:c>
      <x:c r="I193" s="12" t="str">
        <x:v>Nocturnix_Master_Services_Catalog_v1.xlsx | 01 - Master Services | row 232</x:v>
      </x:c>
      <x:c r="J193" s="6" t="str">
        <x:v>Unresolved</x:v>
      </x:c>
      <x:c r="K193" s="6" t="str"/>
      <x:c r="L193" s="6" t="str"/>
      <x:c r="M193" s="6" t="str">
        <x:v>Pending</x:v>
      </x:c>
      <x:c r="N193" s="12" t="str"/>
    </x:row>
    <x:row r="194">
      <x:c r="A194" s="6" t="str">
        <x:v>DEVR-000193</x:v>
      </x:c>
      <x:c r="B194" s="6" t="str">
        <x:v>SVC000193</x:v>
      </x:c>
      <x:c r="C194" s="6" t="str">
        <x:v>iPhone 17 Pro Max Phone* Battery Replacement</x:v>
      </x:c>
      <x:c r="D194" s="6" t="str">
        <x:v>iPhone 17 Pro Max Phone* Battery Replacement</x:v>
      </x:c>
      <x:c r="E194" s="6" t="str"/>
      <x:c r="F194" s="6" t="str"/>
      <x:c r="G194" s="6" t="str">
        <x:v>Unknown</x:v>
      </x:c>
      <x:c r="H194" s="12" t="str">
        <x:v>Source Workbook</x:v>
      </x:c>
      <x:c r="I194" s="12" t="str">
        <x:v>Nocturnix_Master_Services_Catalog_v1.xlsx | 01 - Master Services | row 233</x:v>
      </x:c>
      <x:c r="J194" s="6" t="str">
        <x:v>Unresolved</x:v>
      </x:c>
      <x:c r="K194" s="6" t="str"/>
      <x:c r="L194" s="6" t="str"/>
      <x:c r="M194" s="6" t="str">
        <x:v>Pending</x:v>
      </x:c>
      <x:c r="N194" s="12" t="str"/>
    </x:row>
    <x:row r="195">
      <x:c r="A195" s="6" t="str">
        <x:v>DEVR-000194</x:v>
      </x:c>
      <x:c r="B195" s="6" t="str">
        <x:v>SVC000194</x:v>
      </x:c>
      <x:c r="C195" s="6" t="str">
        <x:v>iPhone Air Battery Replacement</x:v>
      </x:c>
      <x:c r="D195" s="6" t="str">
        <x:v>iPhone Air Battery Replacement</x:v>
      </x:c>
      <x:c r="E195" s="6" t="str"/>
      <x:c r="F195" s="6" t="str"/>
      <x:c r="G195" s="6" t="str">
        <x:v>Unknown</x:v>
      </x:c>
      <x:c r="H195" s="12" t="str">
        <x:v>Source Workbook</x:v>
      </x:c>
      <x:c r="I195" s="12" t="str">
        <x:v>Nocturnix_Master_Services_Catalog_v1.xlsx | 01 - Master Services | row 234</x:v>
      </x:c>
      <x:c r="J195" s="6" t="str">
        <x:v>Unresolved</x:v>
      </x:c>
      <x:c r="K195" s="6" t="str"/>
      <x:c r="L195" s="6" t="str"/>
      <x:c r="M195" s="6" t="str">
        <x:v>Pending</x:v>
      </x:c>
      <x:c r="N195" s="12" t="str"/>
    </x:row>
    <x:row r="196">
      <x:c r="A196" s="6" t="str">
        <x:v>DEVR-000195</x:v>
      </x:c>
      <x:c r="B196" s="6" t="str">
        <x:v>SVC000195</x:v>
      </x:c>
      <x:c r="C196" s="6" t="str">
        <x:v>iPhone XR Battery Replacement</x:v>
      </x:c>
      <x:c r="D196" s="6" t="str">
        <x:v>iPhone XR Battery Replacement</x:v>
      </x:c>
      <x:c r="E196" s="6" t="str"/>
      <x:c r="F196" s="6" t="str"/>
      <x:c r="G196" s="6" t="str">
        <x:v>Unknown</x:v>
      </x:c>
      <x:c r="H196" s="12" t="str">
        <x:v>Source Workbook</x:v>
      </x:c>
      <x:c r="I196" s="12" t="str">
        <x:v>Nocturnix_Master_Services_Catalog_v1.xlsx | 01 - Master Services | row 235</x:v>
      </x:c>
      <x:c r="J196" s="6" t="str">
        <x:v>Unresolved</x:v>
      </x:c>
      <x:c r="K196" s="6" t="str"/>
      <x:c r="L196" s="6" t="str"/>
      <x:c r="M196" s="6" t="str">
        <x:v>Pending</x:v>
      </x:c>
      <x:c r="N196" s="12" t="str"/>
    </x:row>
    <x:row r="197">
      <x:c r="A197" s="6" t="str">
        <x:v>DEVR-000196</x:v>
      </x:c>
      <x:c r="B197" s="6" t="str">
        <x:v>SVC000196</x:v>
      </x:c>
      <x:c r="C197" s="6" t="str">
        <x:v>iPhone XS Max Battery Replacement</x:v>
      </x:c>
      <x:c r="D197" s="6" t="str">
        <x:v>iPhone XS Max Battery Replacement</x:v>
      </x:c>
      <x:c r="E197" s="6" t="str"/>
      <x:c r="F197" s="6" t="str"/>
      <x:c r="G197" s="6" t="str">
        <x:v>Unknown</x:v>
      </x:c>
      <x:c r="H197" s="12" t="str">
        <x:v>Source Workbook</x:v>
      </x:c>
      <x:c r="I197" s="12" t="str">
        <x:v>Nocturnix_Master_Services_Catalog_v1.xlsx | 01 - Master Services | row 236</x:v>
      </x:c>
      <x:c r="J197" s="6" t="str">
        <x:v>Unresolved</x:v>
      </x:c>
      <x:c r="K197" s="6" t="str"/>
      <x:c r="L197" s="6" t="str"/>
      <x:c r="M197" s="6" t="str">
        <x:v>Pending</x:v>
      </x:c>
      <x:c r="N197" s="12" t="str"/>
    </x:row>
    <x:row r="198">
      <x:c r="A198" s="6" t="str">
        <x:v>DEVR-000197</x:v>
      </x:c>
      <x:c r="B198" s="6" t="str">
        <x:v>SVC000197</x:v>
      </x:c>
      <x:c r="C198" s="6" t="str">
        <x:v>iPhone X Battery Replacement</x:v>
      </x:c>
      <x:c r="D198" s="6" t="str">
        <x:v>iPhone X Battery Replacement</x:v>
      </x:c>
      <x:c r="E198" s="6" t="str"/>
      <x:c r="F198" s="6" t="str"/>
      <x:c r="G198" s="6" t="str">
        <x:v>Unknown</x:v>
      </x:c>
      <x:c r="H198" s="12" t="str">
        <x:v>Source Workbook</x:v>
      </x:c>
      <x:c r="I198" s="12" t="str">
        <x:v>Nocturnix_Master_Services_Catalog_v1.xlsx | 01 - Master Services | row 237</x:v>
      </x:c>
      <x:c r="J198" s="6" t="str">
        <x:v>Unresolved</x:v>
      </x:c>
      <x:c r="K198" s="6" t="str"/>
      <x:c r="L198" s="6" t="str"/>
      <x:c r="M198" s="6" t="str">
        <x:v>Pending</x:v>
      </x:c>
      <x:c r="N198" s="12" t="str"/>
    </x:row>
    <x:row r="199">
      <x:c r="A199" s="6" t="str">
        <x:v>DEVR-000198</x:v>
      </x:c>
      <x:c r="B199" s="6" t="str">
        <x:v>SVC000198</x:v>
      </x:c>
      <x:c r="C199" s="6" t="str">
        <x:v>iPhone SE(1ST GEN) Battery Replacement</x:v>
      </x:c>
      <x:c r="D199" s="6" t="str">
        <x:v>iPhone SE(1ST GEN) Battery Replacement</x:v>
      </x:c>
      <x:c r="E199" s="6" t="str"/>
      <x:c r="F199" s="6" t="str"/>
      <x:c r="G199" s="6" t="str">
        <x:v>Unknown</x:v>
      </x:c>
      <x:c r="H199" s="12" t="str">
        <x:v>Source Workbook</x:v>
      </x:c>
      <x:c r="I199" s="12" t="str">
        <x:v>Nocturnix_Master_Services_Catalog_v1.xlsx | 01 - Master Services | row 238</x:v>
      </x:c>
      <x:c r="J199" s="6" t="str">
        <x:v>Unresolved</x:v>
      </x:c>
      <x:c r="K199" s="6" t="str"/>
      <x:c r="L199" s="6" t="str"/>
      <x:c r="M199" s="6" t="str">
        <x:v>Pending</x:v>
      </x:c>
      <x:c r="N199" s="12" t="str"/>
    </x:row>
    <x:row r="200">
      <x:c r="A200" s="6" t="str">
        <x:v>DEVR-000199</x:v>
      </x:c>
      <x:c r="B200" s="6" t="str">
        <x:v>SVC000199</x:v>
      </x:c>
      <x:c r="C200" s="6" t="str">
        <x:v>iPhone XS Battery Replacement</x:v>
      </x:c>
      <x:c r="D200" s="6" t="str">
        <x:v>iPhone XS Battery Replacement</x:v>
      </x:c>
      <x:c r="E200" s="6" t="str"/>
      <x:c r="F200" s="6" t="str"/>
      <x:c r="G200" s="6" t="str">
        <x:v>Unknown</x:v>
      </x:c>
      <x:c r="H200" s="12" t="str">
        <x:v>Source Workbook</x:v>
      </x:c>
      <x:c r="I200" s="12" t="str">
        <x:v>Nocturnix_Master_Services_Catalog_v1.xlsx | 01 - Master Services | row 239</x:v>
      </x:c>
      <x:c r="J200" s="6" t="str">
        <x:v>Unresolved</x:v>
      </x:c>
      <x:c r="K200" s="6" t="str"/>
      <x:c r="L200" s="6" t="str"/>
      <x:c r="M200" s="6" t="str">
        <x:v>Pending</x:v>
      </x:c>
      <x:c r="N200" s="12" t="str"/>
    </x:row>
    <x:row r="201">
      <x:c r="A201" s="6" t="str">
        <x:v>DEVR-000200</x:v>
      </x:c>
      <x:c r="B201" s="6" t="str">
        <x:v>SVC000200</x:v>
      </x:c>
      <x:c r="C201" s="6" t="str">
        <x:v>iPhone SE (3RD GEN) Battery Replacement</x:v>
      </x:c>
      <x:c r="D201" s="6" t="str">
        <x:v>iPhone SE (3RD GEN) Battery Replacement</x:v>
      </x:c>
      <x:c r="E201" s="6" t="str"/>
      <x:c r="F201" s="6" t="str"/>
      <x:c r="G201" s="6" t="str">
        <x:v>Unknown</x:v>
      </x:c>
      <x:c r="H201" s="12" t="str">
        <x:v>Source Workbook</x:v>
      </x:c>
      <x:c r="I201" s="12" t="str">
        <x:v>Nocturnix_Master_Services_Catalog_v1.xlsx | 01 - Master Services | row 240</x:v>
      </x:c>
      <x:c r="J201" s="6" t="str">
        <x:v>Unresolved</x:v>
      </x:c>
      <x:c r="K201" s="6" t="str"/>
      <x:c r="L201" s="6" t="str"/>
      <x:c r="M201" s="6" t="str">
        <x:v>Pending</x:v>
      </x:c>
      <x:c r="N201" s="12" t="str"/>
    </x:row>
    <x:row r="202">
      <x:c r="A202" s="6" t="str">
        <x:v>DEVR-000201</x:v>
      </x:c>
      <x:c r="B202" s="6" t="str">
        <x:v>SVC000201</x:v>
      </x:c>
      <x:c r="C202" s="6" t="str">
        <x:v>iPhone SE (2ND GEN) Battery Replacement</x:v>
      </x:c>
      <x:c r="D202" s="6" t="str">
        <x:v>iPhone SE (2ND GEN) Battery Replacement</x:v>
      </x:c>
      <x:c r="E202" s="6" t="str"/>
      <x:c r="F202" s="6" t="str"/>
      <x:c r="G202" s="6" t="str">
        <x:v>Unknown</x:v>
      </x:c>
      <x:c r="H202" s="12" t="str">
        <x:v>Source Workbook</x:v>
      </x:c>
      <x:c r="I202" s="12" t="str">
        <x:v>Nocturnix_Master_Services_Catalog_v1.xlsx | 01 - Master Services | row 241</x:v>
      </x:c>
      <x:c r="J202" s="6" t="str">
        <x:v>Unresolved</x:v>
      </x:c>
      <x:c r="K202" s="6" t="str"/>
      <x:c r="L202" s="6" t="str"/>
      <x:c r="M202" s="6" t="str">
        <x:v>Pending</x:v>
      </x:c>
      <x:c r="N202" s="12" t="str"/>
    </x:row>
    <x:row r="203">
      <x:c r="A203" s="6" t="str">
        <x:v>DEVR-000202</x:v>
      </x:c>
      <x:c r="B203" s="6" t="str">
        <x:v>SVC000202</x:v>
      </x:c>
      <x:c r="C203" s="6" t="str">
        <x:v>iPhone 7 Battery Replacement</x:v>
      </x:c>
      <x:c r="D203" s="6" t="str">
        <x:v>iPhone 7 Battery Replacement</x:v>
      </x:c>
      <x:c r="E203" s="6" t="str"/>
      <x:c r="F203" s="6" t="str"/>
      <x:c r="G203" s="6" t="str">
        <x:v>Unknown</x:v>
      </x:c>
      <x:c r="H203" s="12" t="str">
        <x:v>Source Workbook</x:v>
      </x:c>
      <x:c r="I203" s="12" t="str">
        <x:v>Nocturnix_Master_Services_Catalog_v1.xlsx | 01 - Master Services | row 242</x:v>
      </x:c>
      <x:c r="J203" s="6" t="str">
        <x:v>Unresolved</x:v>
      </x:c>
      <x:c r="K203" s="6" t="str"/>
      <x:c r="L203" s="6" t="str"/>
      <x:c r="M203" s="6" t="str">
        <x:v>Pending</x:v>
      </x:c>
      <x:c r="N203" s="12" t="str"/>
    </x:row>
    <x:row r="204">
      <x:c r="A204" s="6" t="str">
        <x:v>DEVR-000203</x:v>
      </x:c>
      <x:c r="B204" s="6" t="str">
        <x:v>SVC000203</x:v>
      </x:c>
      <x:c r="C204" s="6" t="str">
        <x:v>iPhone 4S Battery Replacement</x:v>
      </x:c>
      <x:c r="D204" s="6" t="str">
        <x:v>iPhone 4S Battery Replacement</x:v>
      </x:c>
      <x:c r="E204" s="6" t="str"/>
      <x:c r="F204" s="6" t="str"/>
      <x:c r="G204" s="6" t="str">
        <x:v>Unknown</x:v>
      </x:c>
      <x:c r="H204" s="12" t="str">
        <x:v>Source Workbook</x:v>
      </x:c>
      <x:c r="I204" s="12" t="str">
        <x:v>Nocturnix_Master_Services_Catalog_v1.xlsx | 01 - Master Services | row 243</x:v>
      </x:c>
      <x:c r="J204" s="6" t="str">
        <x:v>Unresolved</x:v>
      </x:c>
      <x:c r="K204" s="6" t="str"/>
      <x:c r="L204" s="6" t="str"/>
      <x:c r="M204" s="6" t="str">
        <x:v>Pending</x:v>
      </x:c>
      <x:c r="N204" s="12" t="str"/>
    </x:row>
    <x:row r="205">
      <x:c r="A205" s="6" t="str">
        <x:v>DEVR-000204</x:v>
      </x:c>
      <x:c r="B205" s="6" t="str">
        <x:v>SVC000204</x:v>
      </x:c>
      <x:c r="C205" s="6" t="str">
        <x:v>iPhone 4S Battery Replacement</x:v>
      </x:c>
      <x:c r="D205" s="6" t="str">
        <x:v>iPhone 4S Battery Replacement</x:v>
      </x:c>
      <x:c r="E205" s="6" t="str"/>
      <x:c r="F205" s="6" t="str"/>
      <x:c r="G205" s="6" t="str">
        <x:v>Unknown</x:v>
      </x:c>
      <x:c r="H205" s="12" t="str">
        <x:v>Source Workbook</x:v>
      </x:c>
      <x:c r="I205" s="12" t="str">
        <x:v>Nocturnix_Master_Services_Catalog_v1.xlsx | 01 - Master Services | row 244</x:v>
      </x:c>
      <x:c r="J205" s="6" t="str">
        <x:v>Unresolved</x:v>
      </x:c>
      <x:c r="K205" s="6" t="str"/>
      <x:c r="L205" s="6" t="str"/>
      <x:c r="M205" s="6" t="str">
        <x:v>Pending</x:v>
      </x:c>
      <x:c r="N205" s="12" t="str"/>
    </x:row>
    <x:row r="206">
      <x:c r="A206" s="6" t="str">
        <x:v>DEVR-000205</x:v>
      </x:c>
      <x:c r="B206" s="6" t="str">
        <x:v>SVC000205</x:v>
      </x:c>
      <x:c r="C206" s="6" t="str">
        <x:v>Galaxy S 25 FE Battery Replacement</x:v>
      </x:c>
      <x:c r="D206" s="6" t="str">
        <x:v>Galaxy S 25 FE Battery Replacement</x:v>
      </x:c>
      <x:c r="E206" s="6" t="str"/>
      <x:c r="F206" s="6" t="str"/>
      <x:c r="G206" s="6" t="str">
        <x:v>Unknown</x:v>
      </x:c>
      <x:c r="H206" s="12" t="str">
        <x:v>Source Workbook</x:v>
      </x:c>
      <x:c r="I206" s="12" t="str">
        <x:v>Nocturnix_Master_Services_Catalog_v1.xlsx | 01 - Master Services | row 245</x:v>
      </x:c>
      <x:c r="J206" s="6" t="str">
        <x:v>Unresolved</x:v>
      </x:c>
      <x:c r="K206" s="6" t="str"/>
      <x:c r="L206" s="6" t="str"/>
      <x:c r="M206" s="6" t="str">
        <x:v>Pending</x:v>
      </x:c>
      <x:c r="N206" s="12" t="str"/>
    </x:row>
    <x:row r="207">
      <x:c r="A207" s="6" t="str">
        <x:v>DEVR-000206</x:v>
      </x:c>
      <x:c r="B207" s="6" t="str">
        <x:v>SVC000206</x:v>
      </x:c>
      <x:c r="C207" s="6" t="str">
        <x:v>iPhone 6 Battery Replacement</x:v>
      </x:c>
      <x:c r="D207" s="6" t="str">
        <x:v>iPhone 6 Battery Replacement</x:v>
      </x:c>
      <x:c r="E207" s="6" t="str"/>
      <x:c r="F207" s="6" t="str"/>
      <x:c r="G207" s="6" t="str">
        <x:v>Unknown</x:v>
      </x:c>
      <x:c r="H207" s="12" t="str">
        <x:v>Source Workbook</x:v>
      </x:c>
      <x:c r="I207" s="12" t="str">
        <x:v>Nocturnix_Master_Services_Catalog_v1.xlsx | 01 - Master Services | row 246</x:v>
      </x:c>
      <x:c r="J207" s="6" t="str">
        <x:v>Unresolved</x:v>
      </x:c>
      <x:c r="K207" s="6" t="str"/>
      <x:c r="L207" s="6" t="str"/>
      <x:c r="M207" s="6" t="str">
        <x:v>Pending</x:v>
      </x:c>
      <x:c r="N207" s="12" t="str"/>
    </x:row>
    <x:row r="208">
      <x:c r="A208" s="6" t="str">
        <x:v>DEVR-000207</x:v>
      </x:c>
      <x:c r="B208" s="6" t="str">
        <x:v>SVC000207</x:v>
      </x:c>
      <x:c r="C208" s="6" t="str">
        <x:v>iPhone 6 Battery Replacement</x:v>
      </x:c>
      <x:c r="D208" s="6" t="str">
        <x:v>iPhone 6 Battery Replacement</x:v>
      </x:c>
      <x:c r="E208" s="6" t="str"/>
      <x:c r="F208" s="6" t="str"/>
      <x:c r="G208" s="6" t="str">
        <x:v>Unknown</x:v>
      </x:c>
      <x:c r="H208" s="12" t="str">
        <x:v>Source Workbook</x:v>
      </x:c>
      <x:c r="I208" s="12" t="str">
        <x:v>Nocturnix_Master_Services_Catalog_v1.xlsx | 01 - Master Services | row 247</x:v>
      </x:c>
      <x:c r="J208" s="6" t="str">
        <x:v>Unresolved</x:v>
      </x:c>
      <x:c r="K208" s="6" t="str"/>
      <x:c r="L208" s="6" t="str"/>
      <x:c r="M208" s="6" t="str">
        <x:v>Pending</x:v>
      </x:c>
      <x:c r="N208" s="12" t="str"/>
    </x:row>
    <x:row r="209">
      <x:c r="A209" s="6" t="str">
        <x:v>DEVR-000208</x:v>
      </x:c>
      <x:c r="B209" s="6" t="str">
        <x:v>SVC000208</x:v>
      </x:c>
      <x:c r="C209" s="6" t="str">
        <x:v>Galaxy Note 8 Battery Replacement</x:v>
      </x:c>
      <x:c r="D209" s="6" t="str">
        <x:v>Galaxy Note 8 Battery Replacement</x:v>
      </x:c>
      <x:c r="E209" s="6" t="str"/>
      <x:c r="F209" s="6" t="str"/>
      <x:c r="G209" s="6" t="str">
        <x:v>Unknown</x:v>
      </x:c>
      <x:c r="H209" s="12" t="str">
        <x:v>Source Workbook</x:v>
      </x:c>
      <x:c r="I209" s="12" t="str">
        <x:v>Nocturnix_Master_Services_Catalog_v1.xlsx | 01 - Master Services | row 248</x:v>
      </x:c>
      <x:c r="J209" s="6" t="str">
        <x:v>Unresolved</x:v>
      </x:c>
      <x:c r="K209" s="6" t="str"/>
      <x:c r="L209" s="6" t="str"/>
      <x:c r="M209" s="6" t="str">
        <x:v>Pending</x:v>
      </x:c>
      <x:c r="N209" s="12" t="str"/>
    </x:row>
    <x:row r="210">
      <x:c r="A210" s="6" t="str">
        <x:v>DEVR-000209</x:v>
      </x:c>
      <x:c r="B210" s="6" t="str">
        <x:v>SVC000209</x:v>
      </x:c>
      <x:c r="C210" s="6" t="str">
        <x:v>Galaxy S 22 Battery Replacement</x:v>
      </x:c>
      <x:c r="D210" s="6" t="str">
        <x:v>Galaxy S 22 Battery Replacement</x:v>
      </x:c>
      <x:c r="E210" s="6" t="str"/>
      <x:c r="F210" s="6" t="str"/>
      <x:c r="G210" s="6" t="str">
        <x:v>Unknown</x:v>
      </x:c>
      <x:c r="H210" s="12" t="str">
        <x:v>Source Workbook</x:v>
      </x:c>
      <x:c r="I210" s="12" t="str">
        <x:v>Nocturnix_Master_Services_Catalog_v1.xlsx | 01 - Master Services | row 249</x:v>
      </x:c>
      <x:c r="J210" s="6" t="str">
        <x:v>Unresolved</x:v>
      </x:c>
      <x:c r="K210" s="6" t="str"/>
      <x:c r="L210" s="6" t="str"/>
      <x:c r="M210" s="6" t="str">
        <x:v>Pending</x:v>
      </x:c>
      <x:c r="N210" s="12" t="str"/>
    </x:row>
    <x:row r="211">
      <x:c r="A211" s="6" t="str">
        <x:v>DEVR-000210</x:v>
      </x:c>
      <x:c r="B211" s="6" t="str">
        <x:v>SVC000210</x:v>
      </x:c>
      <x:c r="C211" s="6" t="str">
        <x:v>iPhone 3G Battery Replacement</x:v>
      </x:c>
      <x:c r="D211" s="6" t="str">
        <x:v>iPhone 3G Battery Replacement</x:v>
      </x:c>
      <x:c r="E211" s="6" t="str"/>
      <x:c r="F211" s="6" t="str"/>
      <x:c r="G211" s="6" t="str">
        <x:v>Unknown</x:v>
      </x:c>
      <x:c r="H211" s="12" t="str">
        <x:v>Source Workbook</x:v>
      </x:c>
      <x:c r="I211" s="12" t="str">
        <x:v>Nocturnix_Master_Services_Catalog_v1.xlsx | 01 - Master Services | row 250</x:v>
      </x:c>
      <x:c r="J211" s="6" t="str">
        <x:v>Unresolved</x:v>
      </x:c>
      <x:c r="K211" s="6" t="str"/>
      <x:c r="L211" s="6" t="str"/>
      <x:c r="M211" s="6" t="str">
        <x:v>Pending</x:v>
      </x:c>
      <x:c r="N211" s="12" t="str"/>
    </x:row>
    <x:row r="212">
      <x:c r="A212" s="6" t="str">
        <x:v>DEVR-000211</x:v>
      </x:c>
      <x:c r="B212" s="6" t="str">
        <x:v>SVC000211</x:v>
      </x:c>
      <x:c r="C212" s="6" t="str">
        <x:v>iPhone 11 Battery Replacement</x:v>
      </x:c>
      <x:c r="D212" s="6" t="str">
        <x:v>iPhone 11 Battery Replacement</x:v>
      </x:c>
      <x:c r="E212" s="6" t="str"/>
      <x:c r="F212" s="6" t="str"/>
      <x:c r="G212" s="6" t="str">
        <x:v>Unknown</x:v>
      </x:c>
      <x:c r="H212" s="12" t="str">
        <x:v>Source Workbook</x:v>
      </x:c>
      <x:c r="I212" s="12" t="str">
        <x:v>Nocturnix_Master_Services_Catalog_v1.xlsx | 01 - Master Services | row 251</x:v>
      </x:c>
      <x:c r="J212" s="6" t="str">
        <x:v>Unresolved</x:v>
      </x:c>
      <x:c r="K212" s="6" t="str"/>
      <x:c r="L212" s="6" t="str"/>
      <x:c r="M212" s="6" t="str">
        <x:v>Pending</x:v>
      </x:c>
      <x:c r="N212" s="12" t="str"/>
    </x:row>
    <x:row r="213">
      <x:c r="A213" s="6" t="str">
        <x:v>DEVR-000212</x:v>
      </x:c>
      <x:c r="B213" s="6" t="str">
        <x:v>SVC000212</x:v>
      </x:c>
      <x:c r="C213" s="6" t="str">
        <x:v>iPhone 11 Pro Battery Replacement</x:v>
      </x:c>
      <x:c r="D213" s="6" t="str">
        <x:v>iPhone 11 Pro Battery Replacement</x:v>
      </x:c>
      <x:c r="E213" s="6" t="str"/>
      <x:c r="F213" s="6" t="str"/>
      <x:c r="G213" s="6" t="str">
        <x:v>Unknown</x:v>
      </x:c>
      <x:c r="H213" s="12" t="str">
        <x:v>Source Workbook</x:v>
      </x:c>
      <x:c r="I213" s="12" t="str">
        <x:v>Nocturnix_Master_Services_Catalog_v1.xlsx | 01 - Master Services | row 252</x:v>
      </x:c>
      <x:c r="J213" s="6" t="str">
        <x:v>Unresolved</x:v>
      </x:c>
      <x:c r="K213" s="6" t="str"/>
      <x:c r="L213" s="6" t="str"/>
      <x:c r="M213" s="6" t="str">
        <x:v>Pending</x:v>
      </x:c>
      <x:c r="N213" s="12" t="str"/>
    </x:row>
    <x:row r="214">
      <x:c r="A214" s="6" t="str">
        <x:v>DEVR-000213</x:v>
      </x:c>
      <x:c r="B214" s="6" t="str">
        <x:v>SVC000213</x:v>
      </x:c>
      <x:c r="C214" s="6" t="str">
        <x:v>iPhone 11 Pro Max Battery Replacement</x:v>
      </x:c>
      <x:c r="D214" s="6" t="str">
        <x:v>iPhone 11 Pro Max Battery Replacement</x:v>
      </x:c>
      <x:c r="E214" s="6" t="str"/>
      <x:c r="F214" s="6" t="str"/>
      <x:c r="G214" s="6" t="str">
        <x:v>Unknown</x:v>
      </x:c>
      <x:c r="H214" s="12" t="str">
        <x:v>Source Workbook</x:v>
      </x:c>
      <x:c r="I214" s="12" t="str">
        <x:v>Nocturnix_Master_Services_Catalog_v1.xlsx | 01 - Master Services | row 253</x:v>
      </x:c>
      <x:c r="J214" s="6" t="str">
        <x:v>Unresolved</x:v>
      </x:c>
      <x:c r="K214" s="6" t="str"/>
      <x:c r="L214" s="6" t="str"/>
      <x:c r="M214" s="6" t="str">
        <x:v>Pending</x:v>
      </x:c>
      <x:c r="N214" s="12" t="str"/>
    </x:row>
    <x:row r="215">
      <x:c r="A215" s="6" t="str">
        <x:v>DEVR-000214</x:v>
      </x:c>
      <x:c r="B215" s="6" t="str">
        <x:v>SVC000214</x:v>
      </x:c>
      <x:c r="C215" s="6" t="str">
        <x:v>iPhone Charge Port Replacement</x:v>
      </x:c>
      <x:c r="D215" s="6" t="str">
        <x:v>iPhone Charge Port Replacement</x:v>
      </x:c>
      <x:c r="E215" s="6" t="str"/>
      <x:c r="F215" s="6" t="str"/>
      <x:c r="G215" s="6" t="str">
        <x:v>Unknown</x:v>
      </x:c>
      <x:c r="H215" s="12" t="str">
        <x:v>Source Workbook</x:v>
      </x:c>
      <x:c r="I215" s="12" t="str">
        <x:v>Nocturnix_Master_Services_Catalog_v1.xlsx | 01 - Master Services | row 254</x:v>
      </x:c>
      <x:c r="J215" s="6" t="str">
        <x:v>Unresolved</x:v>
      </x:c>
      <x:c r="K215" s="6" t="str"/>
      <x:c r="L215" s="6" t="str"/>
      <x:c r="M215" s="6" t="str">
        <x:v>Pending</x:v>
      </x:c>
      <x:c r="N215" s="12" t="str"/>
    </x:row>
    <x:row r="216">
      <x:c r="A216" s="6" t="str">
        <x:v>DEVR-000215</x:v>
      </x:c>
      <x:c r="B216" s="6" t="str">
        <x:v>SVC000215</x:v>
      </x:c>
      <x:c r="C216" s="6" t="str">
        <x:v>iPhone 3G Charge Port Replacement</x:v>
      </x:c>
      <x:c r="D216" s="6" t="str">
        <x:v>iPhone 3G Charge Port Replacement</x:v>
      </x:c>
      <x:c r="E216" s="6" t="str"/>
      <x:c r="F216" s="6" t="str"/>
      <x:c r="G216" s="6" t="str">
        <x:v>Unknown</x:v>
      </x:c>
      <x:c r="H216" s="12" t="str">
        <x:v>Source Workbook</x:v>
      </x:c>
      <x:c r="I216" s="12" t="str">
        <x:v>Nocturnix_Master_Services_Catalog_v1.xlsx | 01 - Master Services | row 255</x:v>
      </x:c>
      <x:c r="J216" s="6" t="str">
        <x:v>Unresolved</x:v>
      </x:c>
      <x:c r="K216" s="6" t="str"/>
      <x:c r="L216" s="6" t="str"/>
      <x:c r="M216" s="6" t="str">
        <x:v>Pending</x:v>
      </x:c>
      <x:c r="N216" s="12" t="str"/>
    </x:row>
    <x:row r="217">
      <x:c r="A217" s="6" t="str">
        <x:v>DEVR-000216</x:v>
      </x:c>
      <x:c r="B217" s="6" t="str">
        <x:v>SVC000216</x:v>
      </x:c>
      <x:c r="C217" s="6" t="str">
        <x:v>iPhone 3GS Charge Port Replacement</x:v>
      </x:c>
      <x:c r="D217" s="6" t="str">
        <x:v>iPhone 3GS Charge Port Replacement</x:v>
      </x:c>
      <x:c r="E217" s="6" t="str"/>
      <x:c r="F217" s="6" t="str"/>
      <x:c r="G217" s="6" t="str">
        <x:v>Unknown</x:v>
      </x:c>
      <x:c r="H217" s="12" t="str">
        <x:v>Source Workbook</x:v>
      </x:c>
      <x:c r="I217" s="12" t="str">
        <x:v>Nocturnix_Master_Services_Catalog_v1.xlsx | 01 - Master Services | row 256</x:v>
      </x:c>
      <x:c r="J217" s="6" t="str">
        <x:v>Unresolved</x:v>
      </x:c>
      <x:c r="K217" s="6" t="str"/>
      <x:c r="L217" s="6" t="str"/>
      <x:c r="M217" s="6" t="str">
        <x:v>Pending</x:v>
      </x:c>
      <x:c r="N217" s="12" t="str"/>
    </x:row>
    <x:row r="218">
      <x:c r="A218" s="6" t="str">
        <x:v>DEVR-000217</x:v>
      </x:c>
      <x:c r="B218" s="6" t="str">
        <x:v>SVC000217</x:v>
      </x:c>
      <x:c r="C218" s="6" t="str">
        <x:v>iPhone 4S Charge Port Replacement</x:v>
      </x:c>
      <x:c r="D218" s="6" t="str">
        <x:v>iPhone 4S Charge Port Replacement</x:v>
      </x:c>
      <x:c r="E218" s="6" t="str"/>
      <x:c r="F218" s="6" t="str"/>
      <x:c r="G218" s="6" t="str">
        <x:v>Unknown</x:v>
      </x:c>
      <x:c r="H218" s="12" t="str">
        <x:v>Source Workbook</x:v>
      </x:c>
      <x:c r="I218" s="12" t="str">
        <x:v>Nocturnix_Master_Services_Catalog_v1.xlsx | 01 - Master Services | row 257</x:v>
      </x:c>
      <x:c r="J218" s="6" t="str">
        <x:v>Unresolved</x:v>
      </x:c>
      <x:c r="K218" s="6" t="str"/>
      <x:c r="L218" s="6" t="str"/>
      <x:c r="M218" s="6" t="str">
        <x:v>Pending</x:v>
      </x:c>
      <x:c r="N218" s="12" t="str"/>
    </x:row>
    <x:row r="219">
      <x:c r="A219" s="6" t="str">
        <x:v>DEVR-000218</x:v>
      </x:c>
      <x:c r="B219" s="6" t="str">
        <x:v>SVC000218</x:v>
      </x:c>
      <x:c r="C219" s="6" t="str">
        <x:v>iPhone 4S Charge Port Replacement</x:v>
      </x:c>
      <x:c r="D219" s="6" t="str">
        <x:v>iPhone 4S Charge Port Replacement</x:v>
      </x:c>
      <x:c r="E219" s="6" t="str"/>
      <x:c r="F219" s="6" t="str"/>
      <x:c r="G219" s="6" t="str">
        <x:v>Unknown</x:v>
      </x:c>
      <x:c r="H219" s="12" t="str">
        <x:v>Source Workbook</x:v>
      </x:c>
      <x:c r="I219" s="12" t="str">
        <x:v>Nocturnix_Master_Services_Catalog_v1.xlsx | 01 - Master Services | row 258</x:v>
      </x:c>
      <x:c r="J219" s="6" t="str">
        <x:v>Unresolved</x:v>
      </x:c>
      <x:c r="K219" s="6" t="str"/>
      <x:c r="L219" s="6" t="str"/>
      <x:c r="M219" s="6" t="str">
        <x:v>Pending</x:v>
      </x:c>
      <x:c r="N219" s="12" t="str"/>
    </x:row>
    <x:row r="220">
      <x:c r="A220" s="6" t="str">
        <x:v>DEVR-000219</x:v>
      </x:c>
      <x:c r="B220" s="6" t="str">
        <x:v>SVC000219</x:v>
      </x:c>
      <x:c r="C220" s="6" t="str">
        <x:v>iPhone 4S Charge Port Replacement</x:v>
      </x:c>
      <x:c r="D220" s="6" t="str">
        <x:v>iPhone 4S Charge Port Replacement</x:v>
      </x:c>
      <x:c r="E220" s="6" t="str"/>
      <x:c r="F220" s="6" t="str"/>
      <x:c r="G220" s="6" t="str">
        <x:v>Unknown</x:v>
      </x:c>
      <x:c r="H220" s="12" t="str">
        <x:v>Source Workbook</x:v>
      </x:c>
      <x:c r="I220" s="12" t="str">
        <x:v>Nocturnix_Master_Services_Catalog_v1.xlsx | 01 - Master Services | row 259</x:v>
      </x:c>
      <x:c r="J220" s="6" t="str">
        <x:v>Unresolved</x:v>
      </x:c>
      <x:c r="K220" s="6" t="str"/>
      <x:c r="L220" s="6" t="str"/>
      <x:c r="M220" s="6" t="str">
        <x:v>Pending</x:v>
      </x:c>
      <x:c r="N220" s="12" t="str"/>
    </x:row>
    <x:row r="221">
      <x:c r="A221" s="6" t="str">
        <x:v>DEVR-000220</x:v>
      </x:c>
      <x:c r="B221" s="6" t="str">
        <x:v>SVC000220</x:v>
      </x:c>
      <x:c r="C221" s="6" t="str">
        <x:v>iPhone 5 Charge Port Replacement</x:v>
      </x:c>
      <x:c r="D221" s="6" t="str">
        <x:v>iPhone 5 Charge Port Replacement</x:v>
      </x:c>
      <x:c r="E221" s="6" t="str"/>
      <x:c r="F221" s="6" t="str"/>
      <x:c r="G221" s="6" t="str">
        <x:v>Unknown</x:v>
      </x:c>
      <x:c r="H221" s="12" t="str">
        <x:v>Source Workbook</x:v>
      </x:c>
      <x:c r="I221" s="12" t="str">
        <x:v>Nocturnix_Master_Services_Catalog_v1.xlsx | 01 - Master Services | row 260</x:v>
      </x:c>
      <x:c r="J221" s="6" t="str">
        <x:v>Unresolved</x:v>
      </x:c>
      <x:c r="K221" s="6" t="str"/>
      <x:c r="L221" s="6" t="str"/>
      <x:c r="M221" s="6" t="str">
        <x:v>Pending</x:v>
      </x:c>
      <x:c r="N221" s="12" t="str"/>
    </x:row>
    <x:row r="222">
      <x:c r="A222" s="6" t="str">
        <x:v>DEVR-000221</x:v>
      </x:c>
      <x:c r="B222" s="6" t="str">
        <x:v>SVC000221</x:v>
      </x:c>
      <x:c r="C222" s="6" t="str">
        <x:v>iPhone 5C Charge Port Replacement</x:v>
      </x:c>
      <x:c r="D222" s="6" t="str">
        <x:v>iPhone 5C Charge Port Replacement</x:v>
      </x:c>
      <x:c r="E222" s="6" t="str"/>
      <x:c r="F222" s="6" t="str"/>
      <x:c r="G222" s="6" t="str">
        <x:v>Unknown</x:v>
      </x:c>
      <x:c r="H222" s="12" t="str">
        <x:v>Source Workbook</x:v>
      </x:c>
      <x:c r="I222" s="12" t="str">
        <x:v>Nocturnix_Master_Services_Catalog_v1.xlsx | 01 - Master Services | row 261</x:v>
      </x:c>
      <x:c r="J222" s="6" t="str">
        <x:v>Unresolved</x:v>
      </x:c>
      <x:c r="K222" s="6" t="str"/>
      <x:c r="L222" s="6" t="str"/>
      <x:c r="M222" s="6" t="str">
        <x:v>Pending</x:v>
      </x:c>
      <x:c r="N222" s="12" t="str"/>
    </x:row>
    <x:row r="223">
      <x:c r="A223" s="6" t="str">
        <x:v>DEVR-000222</x:v>
      </x:c>
      <x:c r="B223" s="6" t="str">
        <x:v>SVC000222</x:v>
      </x:c>
      <x:c r="C223" s="6" t="str">
        <x:v>iPhone 5S Charge Port Replacement</x:v>
      </x:c>
      <x:c r="D223" s="6" t="str">
        <x:v>iPhone 5S Charge Port Replacement</x:v>
      </x:c>
      <x:c r="E223" s="6" t="str"/>
      <x:c r="F223" s="6" t="str"/>
      <x:c r="G223" s="6" t="str">
        <x:v>Unknown</x:v>
      </x:c>
      <x:c r="H223" s="12" t="str">
        <x:v>Source Workbook</x:v>
      </x:c>
      <x:c r="I223" s="12" t="str">
        <x:v>Nocturnix_Master_Services_Catalog_v1.xlsx | 01 - Master Services | row 262</x:v>
      </x:c>
      <x:c r="J223" s="6" t="str">
        <x:v>Unresolved</x:v>
      </x:c>
      <x:c r="K223" s="6" t="str"/>
      <x:c r="L223" s="6" t="str"/>
      <x:c r="M223" s="6" t="str">
        <x:v>Pending</x:v>
      </x:c>
      <x:c r="N223" s="12" t="str"/>
    </x:row>
    <x:row r="224">
      <x:c r="A224" s="6" t="str">
        <x:v>DEVR-000223</x:v>
      </x:c>
      <x:c r="B224" s="6" t="str">
        <x:v>SVC000223</x:v>
      </x:c>
      <x:c r="C224" s="6" t="str">
        <x:v>iPhone 6 Charge Port Replacement</x:v>
      </x:c>
      <x:c r="D224" s="6" t="str">
        <x:v>iPhone 6 Charge Port Replacement</x:v>
      </x:c>
      <x:c r="E224" s="6" t="str"/>
      <x:c r="F224" s="6" t="str"/>
      <x:c r="G224" s="6" t="str">
        <x:v>Unknown</x:v>
      </x:c>
      <x:c r="H224" s="12" t="str">
        <x:v>Source Workbook</x:v>
      </x:c>
      <x:c r="I224" s="12" t="str">
        <x:v>Nocturnix_Master_Services_Catalog_v1.xlsx | 01 - Master Services | row 263</x:v>
      </x:c>
      <x:c r="J224" s="6" t="str">
        <x:v>Unresolved</x:v>
      </x:c>
      <x:c r="K224" s="6" t="str"/>
      <x:c r="L224" s="6" t="str"/>
      <x:c r="M224" s="6" t="str">
        <x:v>Pending</x:v>
      </x:c>
      <x:c r="N224" s="12" t="str"/>
    </x:row>
    <x:row r="225">
      <x:c r="A225" s="6" t="str">
        <x:v>DEVR-000224</x:v>
      </x:c>
      <x:c r="B225" s="6" t="str">
        <x:v>SVC000224</x:v>
      </x:c>
      <x:c r="C225" s="6" t="str">
        <x:v>iPhone 6+ Charge Port Replacement</x:v>
      </x:c>
      <x:c r="D225" s="6" t="str">
        <x:v>iPhone 6+ Charge Port Replacement</x:v>
      </x:c>
      <x:c r="E225" s="6" t="str"/>
      <x:c r="F225" s="6" t="str"/>
      <x:c r="G225" s="6" t="str">
        <x:v>Unknown</x:v>
      </x:c>
      <x:c r="H225" s="12" t="str">
        <x:v>Source Workbook</x:v>
      </x:c>
      <x:c r="I225" s="12" t="str">
        <x:v>Nocturnix_Master_Services_Catalog_v1.xlsx | 01 - Master Services | row 264</x:v>
      </x:c>
      <x:c r="J225" s="6" t="str">
        <x:v>Unresolved</x:v>
      </x:c>
      <x:c r="K225" s="6" t="str"/>
      <x:c r="L225" s="6" t="str"/>
      <x:c r="M225" s="6" t="str">
        <x:v>Pending</x:v>
      </x:c>
      <x:c r="N225" s="12" t="str"/>
    </x:row>
    <x:row r="226">
      <x:c r="A226" s="6" t="str">
        <x:v>DEVR-000225</x:v>
      </x:c>
      <x:c r="B226" s="6" t="str">
        <x:v>SVC000225</x:v>
      </x:c>
      <x:c r="C226" s="6" t="str">
        <x:v>iPhone 6S Charge Port Replacement</x:v>
      </x:c>
      <x:c r="D226" s="6" t="str">
        <x:v>iPhone 6S Charge Port Replacement</x:v>
      </x:c>
      <x:c r="E226" s="6" t="str"/>
      <x:c r="F226" s="6" t="str"/>
      <x:c r="G226" s="6" t="str">
        <x:v>Unknown</x:v>
      </x:c>
      <x:c r="H226" s="12" t="str">
        <x:v>Source Workbook</x:v>
      </x:c>
      <x:c r="I226" s="12" t="str">
        <x:v>Nocturnix_Master_Services_Catalog_v1.xlsx | 01 - Master Services | row 265</x:v>
      </x:c>
      <x:c r="J226" s="6" t="str">
        <x:v>Unresolved</x:v>
      </x:c>
      <x:c r="K226" s="6" t="str"/>
      <x:c r="L226" s="6" t="str"/>
      <x:c r="M226" s="6" t="str">
        <x:v>Pending</x:v>
      </x:c>
      <x:c r="N226" s="12" t="str"/>
    </x:row>
    <x:row r="227">
      <x:c r="A227" s="6" t="str">
        <x:v>DEVR-000226</x:v>
      </x:c>
      <x:c r="B227" s="6" t="str">
        <x:v>SVC000226</x:v>
      </x:c>
      <x:c r="C227" s="6" t="str">
        <x:v>iPhone 6S+ Charge Port Replacement</x:v>
      </x:c>
      <x:c r="D227" s="6" t="str">
        <x:v>iPhone 6S+ Charge Port Replacement</x:v>
      </x:c>
      <x:c r="E227" s="6" t="str"/>
      <x:c r="F227" s="6" t="str"/>
      <x:c r="G227" s="6" t="str">
        <x:v>Unknown</x:v>
      </x:c>
      <x:c r="H227" s="12" t="str">
        <x:v>Source Workbook</x:v>
      </x:c>
      <x:c r="I227" s="12" t="str">
        <x:v>Nocturnix_Master_Services_Catalog_v1.xlsx | 01 - Master Services | row 266</x:v>
      </x:c>
      <x:c r="J227" s="6" t="str">
        <x:v>Unresolved</x:v>
      </x:c>
      <x:c r="K227" s="6" t="str"/>
      <x:c r="L227" s="6" t="str"/>
      <x:c r="M227" s="6" t="str">
        <x:v>Pending</x:v>
      </x:c>
      <x:c r="N227" s="12" t="str"/>
    </x:row>
    <x:row r="228">
      <x:c r="A228" s="6" t="str">
        <x:v>DEVR-000227</x:v>
      </x:c>
      <x:c r="B228" s="6" t="str">
        <x:v>SVC000227</x:v>
      </x:c>
      <x:c r="C228" s="6" t="str">
        <x:v>iPhone 6S+ Charge Port Replacement</x:v>
      </x:c>
      <x:c r="D228" s="6" t="str">
        <x:v>iPhone 6S+ Charge Port Replacement</x:v>
      </x:c>
      <x:c r="E228" s="6" t="str"/>
      <x:c r="F228" s="6" t="str"/>
      <x:c r="G228" s="6" t="str">
        <x:v>Unknown</x:v>
      </x:c>
      <x:c r="H228" s="12" t="str">
        <x:v>Source Workbook</x:v>
      </x:c>
      <x:c r="I228" s="12" t="str">
        <x:v>Nocturnix_Master_Services_Catalog_v1.xlsx | 01 - Master Services | row 267</x:v>
      </x:c>
      <x:c r="J228" s="6" t="str">
        <x:v>Unresolved</x:v>
      </x:c>
      <x:c r="K228" s="6" t="str"/>
      <x:c r="L228" s="6" t="str"/>
      <x:c r="M228" s="6" t="str">
        <x:v>Pending</x:v>
      </x:c>
      <x:c r="N228" s="12" t="str"/>
    </x:row>
    <x:row r="229">
      <x:c r="A229" s="6" t="str">
        <x:v>DEVR-000228</x:v>
      </x:c>
      <x:c r="B229" s="6" t="str">
        <x:v>SVC000228</x:v>
      </x:c>
      <x:c r="C229" s="6" t="str">
        <x:v>iPhone SE(1ST GEN) Charge Port Replacement</x:v>
      </x:c>
      <x:c r="D229" s="6" t="str">
        <x:v>iPhone SE(1ST GEN) Charge Port Replacement</x:v>
      </x:c>
      <x:c r="E229" s="6" t="str"/>
      <x:c r="F229" s="6" t="str"/>
      <x:c r="G229" s="6" t="str">
        <x:v>Unknown</x:v>
      </x:c>
      <x:c r="H229" s="12" t="str">
        <x:v>Source Workbook</x:v>
      </x:c>
      <x:c r="I229" s="12" t="str">
        <x:v>Nocturnix_Master_Services_Catalog_v1.xlsx | 01 - Master Services | row 268</x:v>
      </x:c>
      <x:c r="J229" s="6" t="str">
        <x:v>Unresolved</x:v>
      </x:c>
      <x:c r="K229" s="6" t="str"/>
      <x:c r="L229" s="6" t="str"/>
      <x:c r="M229" s="6" t="str">
        <x:v>Pending</x:v>
      </x:c>
      <x:c r="N229" s="12" t="str"/>
    </x:row>
    <x:row r="230">
      <x:c r="A230" s="6" t="str">
        <x:v>DEVR-000229</x:v>
      </x:c>
      <x:c r="B230" s="6" t="str">
        <x:v>SVC000229</x:v>
      </x:c>
      <x:c r="C230" s="6" t="str">
        <x:v>iPhone 7 Charge Port Replacement</x:v>
      </x:c>
      <x:c r="D230" s="6" t="str">
        <x:v>iPhone 7 Charge Port Replacement</x:v>
      </x:c>
      <x:c r="E230" s="6" t="str"/>
      <x:c r="F230" s="6" t="str"/>
      <x:c r="G230" s="6" t="str">
        <x:v>Unknown</x:v>
      </x:c>
      <x:c r="H230" s="12" t="str">
        <x:v>Source Workbook</x:v>
      </x:c>
      <x:c r="I230" s="12" t="str">
        <x:v>Nocturnix_Master_Services_Catalog_v1.xlsx | 01 - Master Services | row 269</x:v>
      </x:c>
      <x:c r="J230" s="6" t="str">
        <x:v>Unresolved</x:v>
      </x:c>
      <x:c r="K230" s="6" t="str"/>
      <x:c r="L230" s="6" t="str"/>
      <x:c r="M230" s="6" t="str">
        <x:v>Pending</x:v>
      </x:c>
      <x:c r="N230" s="12" t="str"/>
    </x:row>
    <x:row r="231">
      <x:c r="A231" s="6" t="str">
        <x:v>DEVR-000230</x:v>
      </x:c>
      <x:c r="B231" s="6" t="str">
        <x:v>SVC000230</x:v>
      </x:c>
      <x:c r="C231" s="6" t="str">
        <x:v>iPhone 7+ Charge Port Replacement</x:v>
      </x:c>
      <x:c r="D231" s="6" t="str">
        <x:v>iPhone 7+ Charge Port Replacement</x:v>
      </x:c>
      <x:c r="E231" s="6" t="str"/>
      <x:c r="F231" s="6" t="str"/>
      <x:c r="G231" s="6" t="str">
        <x:v>Unknown</x:v>
      </x:c>
      <x:c r="H231" s="12" t="str">
        <x:v>Source Workbook</x:v>
      </x:c>
      <x:c r="I231" s="12" t="str">
        <x:v>Nocturnix_Master_Services_Catalog_v1.xlsx | 01 - Master Services | row 270</x:v>
      </x:c>
      <x:c r="J231" s="6" t="str">
        <x:v>Unresolved</x:v>
      </x:c>
      <x:c r="K231" s="6" t="str"/>
      <x:c r="L231" s="6" t="str"/>
      <x:c r="M231" s="6" t="str">
        <x:v>Pending</x:v>
      </x:c>
      <x:c r="N231" s="12" t="str"/>
    </x:row>
    <x:row r="232">
      <x:c r="A232" s="6" t="str">
        <x:v>DEVR-000231</x:v>
      </x:c>
      <x:c r="B232" s="6" t="str">
        <x:v>SVC000231</x:v>
      </x:c>
      <x:c r="C232" s="6" t="str">
        <x:v>iPhone 8 Charge Port Replacement</x:v>
      </x:c>
      <x:c r="D232" s="6" t="str">
        <x:v>iPhone 8 Charge Port Replacement</x:v>
      </x:c>
      <x:c r="E232" s="6" t="str"/>
      <x:c r="F232" s="6" t="str"/>
      <x:c r="G232" s="6" t="str">
        <x:v>Unknown</x:v>
      </x:c>
      <x:c r="H232" s="12" t="str">
        <x:v>Source Workbook</x:v>
      </x:c>
      <x:c r="I232" s="12" t="str">
        <x:v>Nocturnix_Master_Services_Catalog_v1.xlsx | 01 - Master Services | row 271</x:v>
      </x:c>
      <x:c r="J232" s="6" t="str">
        <x:v>Unresolved</x:v>
      </x:c>
      <x:c r="K232" s="6" t="str"/>
      <x:c r="L232" s="6" t="str"/>
      <x:c r="M232" s="6" t="str">
        <x:v>Pending</x:v>
      </x:c>
      <x:c r="N232" s="12" t="str"/>
    </x:row>
    <x:row r="233">
      <x:c r="A233" s="6" t="str">
        <x:v>DEVR-000232</x:v>
      </x:c>
      <x:c r="B233" s="6" t="str">
        <x:v>SVC000232</x:v>
      </x:c>
      <x:c r="C233" s="6" t="str">
        <x:v>iPhone 8+ Charge Port Replacement</x:v>
      </x:c>
      <x:c r="D233" s="6" t="str">
        <x:v>iPhone 8+ Charge Port Replacement</x:v>
      </x:c>
      <x:c r="E233" s="6" t="str"/>
      <x:c r="F233" s="6" t="str"/>
      <x:c r="G233" s="6" t="str">
        <x:v>Unknown</x:v>
      </x:c>
      <x:c r="H233" s="12" t="str">
        <x:v>Source Workbook</x:v>
      </x:c>
      <x:c r="I233" s="12" t="str">
        <x:v>Nocturnix_Master_Services_Catalog_v1.xlsx | 01 - Master Services | row 272</x:v>
      </x:c>
      <x:c r="J233" s="6" t="str">
        <x:v>Unresolved</x:v>
      </x:c>
      <x:c r="K233" s="6" t="str"/>
      <x:c r="L233" s="6" t="str"/>
      <x:c r="M233" s="6" t="str">
        <x:v>Pending</x:v>
      </x:c>
      <x:c r="N233" s="12" t="str"/>
    </x:row>
    <x:row r="234">
      <x:c r="A234" s="6" t="str">
        <x:v>DEVR-000233</x:v>
      </x:c>
      <x:c r="B234" s="6" t="str">
        <x:v>SVC000233</x:v>
      </x:c>
      <x:c r="C234" s="6" t="str">
        <x:v>iPhone X Charge Port Replacement</x:v>
      </x:c>
      <x:c r="D234" s="6" t="str">
        <x:v>iPhone X Charge Port Replacement</x:v>
      </x:c>
      <x:c r="E234" s="6" t="str"/>
      <x:c r="F234" s="6" t="str"/>
      <x:c r="G234" s="6" t="str">
        <x:v>Unknown</x:v>
      </x:c>
      <x:c r="H234" s="12" t="str">
        <x:v>Source Workbook</x:v>
      </x:c>
      <x:c r="I234" s="12" t="str">
        <x:v>Nocturnix_Master_Services_Catalog_v1.xlsx | 01 - Master Services | row 273</x:v>
      </x:c>
      <x:c r="J234" s="6" t="str">
        <x:v>Unresolved</x:v>
      </x:c>
      <x:c r="K234" s="6" t="str"/>
      <x:c r="L234" s="6" t="str"/>
      <x:c r="M234" s="6" t="str">
        <x:v>Pending</x:v>
      </x:c>
      <x:c r="N234" s="12" t="str"/>
    </x:row>
    <x:row r="235">
      <x:c r="A235" s="6" t="str">
        <x:v>DEVR-000234</x:v>
      </x:c>
      <x:c r="B235" s="6" t="str">
        <x:v>SVC000234</x:v>
      </x:c>
      <x:c r="C235" s="6" t="str">
        <x:v>iPhone XR Charge Port Replacement</x:v>
      </x:c>
      <x:c r="D235" s="6" t="str">
        <x:v>iPhone XR Charge Port Replacement</x:v>
      </x:c>
      <x:c r="E235" s="6" t="str"/>
      <x:c r="F235" s="6" t="str"/>
      <x:c r="G235" s="6" t="str">
        <x:v>Unknown</x:v>
      </x:c>
      <x:c r="H235" s="12" t="str">
        <x:v>Source Workbook</x:v>
      </x:c>
      <x:c r="I235" s="12" t="str">
        <x:v>Nocturnix_Master_Services_Catalog_v1.xlsx | 01 - Master Services | row 274</x:v>
      </x:c>
      <x:c r="J235" s="6" t="str">
        <x:v>Unresolved</x:v>
      </x:c>
      <x:c r="K235" s="6" t="str"/>
      <x:c r="L235" s="6" t="str"/>
      <x:c r="M235" s="6" t="str">
        <x:v>Pending</x:v>
      </x:c>
      <x:c r="N235" s="12" t="str"/>
    </x:row>
    <x:row r="236">
      <x:c r="A236" s="6" t="str">
        <x:v>DEVR-000235</x:v>
      </x:c>
      <x:c r="B236" s="6" t="str">
        <x:v>SVC000235</x:v>
      </x:c>
      <x:c r="C236" s="6" t="str">
        <x:v>Galaxy S 23 Battery Replacement</x:v>
      </x:c>
      <x:c r="D236" s="6" t="str">
        <x:v>Galaxy S 23 Battery Replacement</x:v>
      </x:c>
      <x:c r="E236" s="6" t="str"/>
      <x:c r="F236" s="6" t="str"/>
      <x:c r="G236" s="6" t="str">
        <x:v>Unknown</x:v>
      </x:c>
      <x:c r="H236" s="12" t="str">
        <x:v>Source Workbook</x:v>
      </x:c>
      <x:c r="I236" s="12" t="str">
        <x:v>Nocturnix_Master_Services_Catalog_v1.xlsx | 01 - Master Services | row 275</x:v>
      </x:c>
      <x:c r="J236" s="6" t="str">
        <x:v>Unresolved</x:v>
      </x:c>
      <x:c r="K236" s="6" t="str"/>
      <x:c r="L236" s="6" t="str"/>
      <x:c r="M236" s="6" t="str">
        <x:v>Pending</x:v>
      </x:c>
      <x:c r="N236" s="12" t="str"/>
    </x:row>
    <x:row r="237">
      <x:c r="A237" s="6" t="str">
        <x:v>DEVR-000236</x:v>
      </x:c>
      <x:c r="B237" s="6" t="str">
        <x:v>SVC000236</x:v>
      </x:c>
      <x:c r="C237" s="6" t="str">
        <x:v>iPhone XS Charge Port Replacement</x:v>
      </x:c>
      <x:c r="D237" s="6" t="str">
        <x:v>iPhone XS Charge Port Replacement</x:v>
      </x:c>
      <x:c r="E237" s="6" t="str"/>
      <x:c r="F237" s="6" t="str"/>
      <x:c r="G237" s="6" t="str">
        <x:v>Unknown</x:v>
      </x:c>
      <x:c r="H237" s="12" t="str">
        <x:v>Source Workbook</x:v>
      </x:c>
      <x:c r="I237" s="12" t="str">
        <x:v>Nocturnix_Master_Services_Catalog_v1.xlsx | 01 - Master Services | row 276</x:v>
      </x:c>
      <x:c r="J237" s="6" t="str">
        <x:v>Unresolved</x:v>
      </x:c>
      <x:c r="K237" s="6" t="str"/>
      <x:c r="L237" s="6" t="str"/>
      <x:c r="M237" s="6" t="str">
        <x:v>Pending</x:v>
      </x:c>
      <x:c r="N237" s="12" t="str"/>
    </x:row>
    <x:row r="238">
      <x:c r="A238" s="6" t="str">
        <x:v>DEVR-000237</x:v>
      </x:c>
      <x:c r="B238" s="6" t="str">
        <x:v>SVC000237</x:v>
      </x:c>
      <x:c r="C238" s="6" t="str">
        <x:v>iPhone XS Max Charge Port Replacement</x:v>
      </x:c>
      <x:c r="D238" s="6" t="str">
        <x:v>iPhone XS Max Charge Port Replacement</x:v>
      </x:c>
      <x:c r="E238" s="6" t="str"/>
      <x:c r="F238" s="6" t="str"/>
      <x:c r="G238" s="6" t="str">
        <x:v>Unknown</x:v>
      </x:c>
      <x:c r="H238" s="12" t="str">
        <x:v>Source Workbook</x:v>
      </x:c>
      <x:c r="I238" s="12" t="str">
        <x:v>Nocturnix_Master_Services_Catalog_v1.xlsx | 01 - Master Services | row 277</x:v>
      </x:c>
      <x:c r="J238" s="6" t="str">
        <x:v>Unresolved</x:v>
      </x:c>
      <x:c r="K238" s="6" t="str"/>
      <x:c r="L238" s="6" t="str"/>
      <x:c r="M238" s="6" t="str">
        <x:v>Pending</x:v>
      </x:c>
      <x:c r="N238" s="12" t="str"/>
    </x:row>
    <x:row r="239">
      <x:c r="A239" s="6" t="str">
        <x:v>DEVR-000238</x:v>
      </x:c>
      <x:c r="B239" s="6" t="str">
        <x:v>SVC000238</x:v>
      </x:c>
      <x:c r="C239" s="6" t="str">
        <x:v>iPhone 11 Charge Port Replacement</x:v>
      </x:c>
      <x:c r="D239" s="6" t="str">
        <x:v>iPhone 11 Charge Port Replacement</x:v>
      </x:c>
      <x:c r="E239" s="6" t="str"/>
      <x:c r="F239" s="6" t="str"/>
      <x:c r="G239" s="6" t="str">
        <x:v>Unknown</x:v>
      </x:c>
      <x:c r="H239" s="12" t="str">
        <x:v>Source Workbook</x:v>
      </x:c>
      <x:c r="I239" s="12" t="str">
        <x:v>Nocturnix_Master_Services_Catalog_v1.xlsx | 01 - Master Services | row 278</x:v>
      </x:c>
      <x:c r="J239" s="6" t="str">
        <x:v>Unresolved</x:v>
      </x:c>
      <x:c r="K239" s="6" t="str"/>
      <x:c r="L239" s="6" t="str"/>
      <x:c r="M239" s="6" t="str">
        <x:v>Pending</x:v>
      </x:c>
      <x:c r="N239" s="12" t="str"/>
    </x:row>
    <x:row r="240">
      <x:c r="A240" s="6" t="str">
        <x:v>DEVR-000239</x:v>
      </x:c>
      <x:c r="B240" s="6" t="str">
        <x:v>SVC000239</x:v>
      </x:c>
      <x:c r="C240" s="6" t="str">
        <x:v>iPhone 11 Pro Charge Port Replacement</x:v>
      </x:c>
      <x:c r="D240" s="6" t="str">
        <x:v>iPhone 11 Pro Charge Port Replacement</x:v>
      </x:c>
      <x:c r="E240" s="6" t="str"/>
      <x:c r="F240" s="6" t="str"/>
      <x:c r="G240" s="6" t="str">
        <x:v>Unknown</x:v>
      </x:c>
      <x:c r="H240" s="12" t="str">
        <x:v>Source Workbook</x:v>
      </x:c>
      <x:c r="I240" s="12" t="str">
        <x:v>Nocturnix_Master_Services_Catalog_v1.xlsx | 01 - Master Services | row 279</x:v>
      </x:c>
      <x:c r="J240" s="6" t="str">
        <x:v>Unresolved</x:v>
      </x:c>
      <x:c r="K240" s="6" t="str"/>
      <x:c r="L240" s="6" t="str"/>
      <x:c r="M240" s="6" t="str">
        <x:v>Pending</x:v>
      </x:c>
      <x:c r="N240" s="12" t="str"/>
    </x:row>
    <x:row r="241">
      <x:c r="A241" s="6" t="str">
        <x:v>DEVR-000240</x:v>
      </x:c>
      <x:c r="B241" s="6" t="str">
        <x:v>SVC000240</x:v>
      </x:c>
      <x:c r="C241" s="6" t="str">
        <x:v>iPhone 11 Pro Max Charge Port Replacement</x:v>
      </x:c>
      <x:c r="D241" s="6" t="str">
        <x:v>iPhone 11 Pro Max Charge Port Replacement</x:v>
      </x:c>
      <x:c r="E241" s="6" t="str"/>
      <x:c r="F241" s="6" t="str"/>
      <x:c r="G241" s="6" t="str">
        <x:v>Unknown</x:v>
      </x:c>
      <x:c r="H241" s="12" t="str">
        <x:v>Source Workbook</x:v>
      </x:c>
      <x:c r="I241" s="12" t="str">
        <x:v>Nocturnix_Master_Services_Catalog_v1.xlsx | 01 - Master Services | row 280</x:v>
      </x:c>
      <x:c r="J241" s="6" t="str">
        <x:v>Unresolved</x:v>
      </x:c>
      <x:c r="K241" s="6" t="str"/>
      <x:c r="L241" s="6" t="str"/>
      <x:c r="M241" s="6" t="str">
        <x:v>Pending</x:v>
      </x:c>
      <x:c r="N241" s="12" t="str"/>
    </x:row>
    <x:row r="242">
      <x:c r="A242" s="6" t="str">
        <x:v>DEVR-000241</x:v>
      </x:c>
      <x:c r="B242" s="6" t="str">
        <x:v>SVC000241</x:v>
      </x:c>
      <x:c r="C242" s="6" t="str">
        <x:v>iPhone SE (2ND GEN) Charge Port Replacement</x:v>
      </x:c>
      <x:c r="D242" s="6" t="str">
        <x:v>iPhone SE (2ND GEN) Charge Port Replacement</x:v>
      </x:c>
      <x:c r="E242" s="6" t="str"/>
      <x:c r="F242" s="6" t="str"/>
      <x:c r="G242" s="6" t="str">
        <x:v>Unknown</x:v>
      </x:c>
      <x:c r="H242" s="12" t="str">
        <x:v>Source Workbook</x:v>
      </x:c>
      <x:c r="I242" s="12" t="str">
        <x:v>Nocturnix_Master_Services_Catalog_v1.xlsx | 01 - Master Services | row 281</x:v>
      </x:c>
      <x:c r="J242" s="6" t="str">
        <x:v>Unresolved</x:v>
      </x:c>
      <x:c r="K242" s="6" t="str"/>
      <x:c r="L242" s="6" t="str"/>
      <x:c r="M242" s="6" t="str">
        <x:v>Pending</x:v>
      </x:c>
      <x:c r="N242" s="12" t="str"/>
    </x:row>
    <x:row r="243">
      <x:c r="A243" s="6" t="str">
        <x:v>DEVR-000242</x:v>
      </x:c>
      <x:c r="B243" s="6" t="str">
        <x:v>SVC000242</x:v>
      </x:c>
      <x:c r="C243" s="6" t="str">
        <x:v>iPhone 12 Charge Port Replacement</x:v>
      </x:c>
      <x:c r="D243" s="6" t="str">
        <x:v>iPhone 12 Charge Port Replacement</x:v>
      </x:c>
      <x:c r="E243" s="6" t="str"/>
      <x:c r="F243" s="6" t="str"/>
      <x:c r="G243" s="6" t="str">
        <x:v>Unknown</x:v>
      </x:c>
      <x:c r="H243" s="12" t="str">
        <x:v>Source Workbook</x:v>
      </x:c>
      <x:c r="I243" s="12" t="str">
        <x:v>Nocturnix_Master_Services_Catalog_v1.xlsx | 01 - Master Services | row 282</x:v>
      </x:c>
      <x:c r="J243" s="6" t="str">
        <x:v>Unresolved</x:v>
      </x:c>
      <x:c r="K243" s="6" t="str"/>
      <x:c r="L243" s="6" t="str"/>
      <x:c r="M243" s="6" t="str">
        <x:v>Pending</x:v>
      </x:c>
      <x:c r="N243" s="12" t="str"/>
    </x:row>
    <x:row r="244">
      <x:c r="A244" s="6" t="str">
        <x:v>DEVR-000243</x:v>
      </x:c>
      <x:c r="B244" s="6" t="str">
        <x:v>SVC000243</x:v>
      </x:c>
      <x:c r="C244" s="6" t="str">
        <x:v>iPhone 12 Mini Charge Port Replacement</x:v>
      </x:c>
      <x:c r="D244" s="6" t="str">
        <x:v>iPhone 12 Mini Charge Port Replacement</x:v>
      </x:c>
      <x:c r="E244" s="6" t="str"/>
      <x:c r="F244" s="6" t="str"/>
      <x:c r="G244" s="6" t="str">
        <x:v>Unknown</x:v>
      </x:c>
      <x:c r="H244" s="12" t="str">
        <x:v>Source Workbook</x:v>
      </x:c>
      <x:c r="I244" s="12" t="str">
        <x:v>Nocturnix_Master_Services_Catalog_v1.xlsx | 01 - Master Services | row 283</x:v>
      </x:c>
      <x:c r="J244" s="6" t="str">
        <x:v>Unresolved</x:v>
      </x:c>
      <x:c r="K244" s="6" t="str"/>
      <x:c r="L244" s="6" t="str"/>
      <x:c r="M244" s="6" t="str">
        <x:v>Pending</x:v>
      </x:c>
      <x:c r="N244" s="12" t="str"/>
    </x:row>
    <x:row r="245">
      <x:c r="A245" s="6" t="str">
        <x:v>DEVR-000244</x:v>
      </x:c>
      <x:c r="B245" s="6" t="str">
        <x:v>SVC000244</x:v>
      </x:c>
      <x:c r="C245" s="6" t="str">
        <x:v>iPhone 12 Pro Charge Port Replacement</x:v>
      </x:c>
      <x:c r="D245" s="6" t="str">
        <x:v>iPhone 12 Pro Charge Port Replacement</x:v>
      </x:c>
      <x:c r="E245" s="6" t="str"/>
      <x:c r="F245" s="6" t="str"/>
      <x:c r="G245" s="6" t="str">
        <x:v>Unknown</x:v>
      </x:c>
      <x:c r="H245" s="12" t="str">
        <x:v>Source Workbook</x:v>
      </x:c>
      <x:c r="I245" s="12" t="str">
        <x:v>Nocturnix_Master_Services_Catalog_v1.xlsx | 01 - Master Services | row 284</x:v>
      </x:c>
      <x:c r="J245" s="6" t="str">
        <x:v>Unresolved</x:v>
      </x:c>
      <x:c r="K245" s="6" t="str"/>
      <x:c r="L245" s="6" t="str"/>
      <x:c r="M245" s="6" t="str">
        <x:v>Pending</x:v>
      </x:c>
      <x:c r="N245" s="12" t="str"/>
    </x:row>
    <x:row r="246">
      <x:c r="A246" s="6" t="str">
        <x:v>DEVR-000245</x:v>
      </x:c>
      <x:c r="B246" s="6" t="str">
        <x:v>SVC000245</x:v>
      </x:c>
      <x:c r="C246" s="6" t="str">
        <x:v>iPhone 12 Pro Max Charge Port Replacement</x:v>
      </x:c>
      <x:c r="D246" s="6" t="str">
        <x:v>iPhone 12 Pro Max Charge Port Replacement</x:v>
      </x:c>
      <x:c r="E246" s="6" t="str"/>
      <x:c r="F246" s="6" t="str"/>
      <x:c r="G246" s="6" t="str">
        <x:v>Unknown</x:v>
      </x:c>
      <x:c r="H246" s="12" t="str">
        <x:v>Source Workbook</x:v>
      </x:c>
      <x:c r="I246" s="12" t="str">
        <x:v>Nocturnix_Master_Services_Catalog_v1.xlsx | 01 - Master Services | row 285</x:v>
      </x:c>
      <x:c r="J246" s="6" t="str">
        <x:v>Unresolved</x:v>
      </x:c>
      <x:c r="K246" s="6" t="str"/>
      <x:c r="L246" s="6" t="str"/>
      <x:c r="M246" s="6" t="str">
        <x:v>Pending</x:v>
      </x:c>
      <x:c r="N246" s="12" t="str"/>
    </x:row>
    <x:row r="247">
      <x:c r="A247" s="6" t="str">
        <x:v>DEVR-000246</x:v>
      </x:c>
      <x:c r="B247" s="6" t="str">
        <x:v>SVC000246</x:v>
      </x:c>
      <x:c r="C247" s="6" t="str">
        <x:v>iPhone 13 Charge Port Replacement</x:v>
      </x:c>
      <x:c r="D247" s="6" t="str">
        <x:v>iPhone 13 Charge Port Replacement</x:v>
      </x:c>
      <x:c r="E247" s="6" t="str"/>
      <x:c r="F247" s="6" t="str"/>
      <x:c r="G247" s="6" t="str">
        <x:v>Unknown</x:v>
      </x:c>
      <x:c r="H247" s="12" t="str">
        <x:v>Source Workbook</x:v>
      </x:c>
      <x:c r="I247" s="12" t="str">
        <x:v>Nocturnix_Master_Services_Catalog_v1.xlsx | 01 - Master Services | row 286</x:v>
      </x:c>
      <x:c r="J247" s="6" t="str">
        <x:v>Unresolved</x:v>
      </x:c>
      <x:c r="K247" s="6" t="str"/>
      <x:c r="L247" s="6" t="str"/>
      <x:c r="M247" s="6" t="str">
        <x:v>Pending</x:v>
      </x:c>
      <x:c r="N247" s="12" t="str"/>
    </x:row>
    <x:row r="248">
      <x:c r="A248" s="6" t="str">
        <x:v>DEVR-000247</x:v>
      </x:c>
      <x:c r="B248" s="6" t="str">
        <x:v>SVC000247</x:v>
      </x:c>
      <x:c r="C248" s="6" t="str">
        <x:v>iPhone 13 Mini Charge Port Replacement</x:v>
      </x:c>
      <x:c r="D248" s="6" t="str">
        <x:v>iPhone 13 Mini Charge Port Replacement</x:v>
      </x:c>
      <x:c r="E248" s="6" t="str"/>
      <x:c r="F248" s="6" t="str"/>
      <x:c r="G248" s="6" t="str">
        <x:v>Unknown</x:v>
      </x:c>
      <x:c r="H248" s="12" t="str">
        <x:v>Source Workbook</x:v>
      </x:c>
      <x:c r="I248" s="12" t="str">
        <x:v>Nocturnix_Master_Services_Catalog_v1.xlsx | 01 - Master Services | row 287</x:v>
      </x:c>
      <x:c r="J248" s="6" t="str">
        <x:v>Unresolved</x:v>
      </x:c>
      <x:c r="K248" s="6" t="str"/>
      <x:c r="L248" s="6" t="str"/>
      <x:c r="M248" s="6" t="str">
        <x:v>Pending</x:v>
      </x:c>
      <x:c r="N248" s="12" t="str"/>
    </x:row>
    <x:row r="249">
      <x:c r="A249" s="6" t="str">
        <x:v>DEVR-000248</x:v>
      </x:c>
      <x:c r="B249" s="6" t="str">
        <x:v>SVC000248</x:v>
      </x:c>
      <x:c r="C249" s="6" t="str">
        <x:v>iPhone 13 Pro Charge Port Replacement</x:v>
      </x:c>
      <x:c r="D249" s="6" t="str">
        <x:v>iPhone 13 Pro Charge Port Replacement</x:v>
      </x:c>
      <x:c r="E249" s="6" t="str"/>
      <x:c r="F249" s="6" t="str"/>
      <x:c r="G249" s="6" t="str">
        <x:v>Unknown</x:v>
      </x:c>
      <x:c r="H249" s="12" t="str">
        <x:v>Source Workbook</x:v>
      </x:c>
      <x:c r="I249" s="12" t="str">
        <x:v>Nocturnix_Master_Services_Catalog_v1.xlsx | 01 - Master Services | row 288</x:v>
      </x:c>
      <x:c r="J249" s="6" t="str">
        <x:v>Unresolved</x:v>
      </x:c>
      <x:c r="K249" s="6" t="str"/>
      <x:c r="L249" s="6" t="str"/>
      <x:c r="M249" s="6" t="str">
        <x:v>Pending</x:v>
      </x:c>
      <x:c r="N249" s="12" t="str"/>
    </x:row>
    <x:row r="250">
      <x:c r="A250" s="6" t="str">
        <x:v>DEVR-000249</x:v>
      </x:c>
      <x:c r="B250" s="6" t="str">
        <x:v>SVC000249</x:v>
      </x:c>
      <x:c r="C250" s="6" t="str">
        <x:v>iPhone 13 Pro Max Charge Port Replacement</x:v>
      </x:c>
      <x:c r="D250" s="6" t="str">
        <x:v>iPhone 13 Pro Max Charge Port Replacement</x:v>
      </x:c>
      <x:c r="E250" s="6" t="str"/>
      <x:c r="F250" s="6" t="str"/>
      <x:c r="G250" s="6" t="str">
        <x:v>Unknown</x:v>
      </x:c>
      <x:c r="H250" s="12" t="str">
        <x:v>Source Workbook</x:v>
      </x:c>
      <x:c r="I250" s="12" t="str">
        <x:v>Nocturnix_Master_Services_Catalog_v1.xlsx | 01 - Master Services | row 289</x:v>
      </x:c>
      <x:c r="J250" s="6" t="str">
        <x:v>Unresolved</x:v>
      </x:c>
      <x:c r="K250" s="6" t="str"/>
      <x:c r="L250" s="6" t="str"/>
      <x:c r="M250" s="6" t="str">
        <x:v>Pending</x:v>
      </x:c>
      <x:c r="N250" s="12" t="str"/>
    </x:row>
    <x:row r="251">
      <x:c r="A251" s="6" t="str">
        <x:v>DEVR-000250</x:v>
      </x:c>
      <x:c r="B251" s="6" t="str">
        <x:v>SVC000250</x:v>
      </x:c>
      <x:c r="C251" s="6" t="str">
        <x:v>iPhone SE (3RD GEN) Charge Port Replacement</x:v>
      </x:c>
      <x:c r="D251" s="6" t="str">
        <x:v>iPhone SE (3RD GEN) Charge Port Replacement</x:v>
      </x:c>
      <x:c r="E251" s="6" t="str"/>
      <x:c r="F251" s="6" t="str"/>
      <x:c r="G251" s="6" t="str">
        <x:v>Unknown</x:v>
      </x:c>
      <x:c r="H251" s="12" t="str">
        <x:v>Source Workbook</x:v>
      </x:c>
      <x:c r="I251" s="12" t="str">
        <x:v>Nocturnix_Master_Services_Catalog_v1.xlsx | 01 - Master Services | row 290</x:v>
      </x:c>
      <x:c r="J251" s="6" t="str">
        <x:v>Unresolved</x:v>
      </x:c>
      <x:c r="K251" s="6" t="str"/>
      <x:c r="L251" s="6" t="str"/>
      <x:c r="M251" s="6" t="str">
        <x:v>Pending</x:v>
      </x:c>
      <x:c r="N251" s="12" t="str"/>
    </x:row>
    <x:row r="252">
      <x:c r="A252" s="6" t="str">
        <x:v>DEVR-000251</x:v>
      </x:c>
      <x:c r="B252" s="6" t="str">
        <x:v>SVC000251</x:v>
      </x:c>
      <x:c r="C252" s="6" t="str">
        <x:v>iPhone 14 Charge Port Replacement</x:v>
      </x:c>
      <x:c r="D252" s="6" t="str">
        <x:v>iPhone 14 Charge Port Replacement</x:v>
      </x:c>
      <x:c r="E252" s="6" t="str"/>
      <x:c r="F252" s="6" t="str"/>
      <x:c r="G252" s="6" t="str">
        <x:v>Unknown</x:v>
      </x:c>
      <x:c r="H252" s="12" t="str">
        <x:v>Source Workbook</x:v>
      </x:c>
      <x:c r="I252" s="12" t="str">
        <x:v>Nocturnix_Master_Services_Catalog_v1.xlsx | 01 - Master Services | row 291</x:v>
      </x:c>
      <x:c r="J252" s="6" t="str">
        <x:v>Unresolved</x:v>
      </x:c>
      <x:c r="K252" s="6" t="str"/>
      <x:c r="L252" s="6" t="str"/>
      <x:c r="M252" s="6" t="str">
        <x:v>Pending</x:v>
      </x:c>
      <x:c r="N252" s="12" t="str"/>
    </x:row>
    <x:row r="253">
      <x:c r="A253" s="6" t="str">
        <x:v>DEVR-000252</x:v>
      </x:c>
      <x:c r="B253" s="6" t="str">
        <x:v>SVC000252</x:v>
      </x:c>
      <x:c r="C253" s="6" t="str">
        <x:v>iPhone 14 Plus Charge Port Replacement</x:v>
      </x:c>
      <x:c r="D253" s="6" t="str">
        <x:v>iPhone 14 Plus Charge Port Replacement</x:v>
      </x:c>
      <x:c r="E253" s="6" t="str"/>
      <x:c r="F253" s="6" t="str"/>
      <x:c r="G253" s="6" t="str">
        <x:v>Unknown</x:v>
      </x:c>
      <x:c r="H253" s="12" t="str">
        <x:v>Source Workbook</x:v>
      </x:c>
      <x:c r="I253" s="12" t="str">
        <x:v>Nocturnix_Master_Services_Catalog_v1.xlsx | 01 - Master Services | row 292</x:v>
      </x:c>
      <x:c r="J253" s="6" t="str">
        <x:v>Unresolved</x:v>
      </x:c>
      <x:c r="K253" s="6" t="str"/>
      <x:c r="L253" s="6" t="str"/>
      <x:c r="M253" s="6" t="str">
        <x:v>Pending</x:v>
      </x:c>
      <x:c r="N253" s="12" t="str"/>
    </x:row>
    <x:row r="254">
      <x:c r="A254" s="6" t="str">
        <x:v>DEVR-000253</x:v>
      </x:c>
      <x:c r="B254" s="6" t="str">
        <x:v>SVC000253</x:v>
      </x:c>
      <x:c r="C254" s="6" t="str">
        <x:v>iPhone 14 Pro Charge Port Replacement</x:v>
      </x:c>
      <x:c r="D254" s="6" t="str">
        <x:v>iPhone 14 Pro Charge Port Replacement</x:v>
      </x:c>
      <x:c r="E254" s="6" t="str"/>
      <x:c r="F254" s="6" t="str"/>
      <x:c r="G254" s="6" t="str">
        <x:v>Unknown</x:v>
      </x:c>
      <x:c r="H254" s="12" t="str">
        <x:v>Source Workbook</x:v>
      </x:c>
      <x:c r="I254" s="12" t="str">
        <x:v>Nocturnix_Master_Services_Catalog_v1.xlsx | 01 - Master Services | row 293</x:v>
      </x:c>
      <x:c r="J254" s="6" t="str">
        <x:v>Unresolved</x:v>
      </x:c>
      <x:c r="K254" s="6" t="str"/>
      <x:c r="L254" s="6" t="str"/>
      <x:c r="M254" s="6" t="str">
        <x:v>Pending</x:v>
      </x:c>
      <x:c r="N254" s="12" t="str"/>
    </x:row>
    <x:row r="255">
      <x:c r="A255" s="6" t="str">
        <x:v>DEVR-000254</x:v>
      </x:c>
      <x:c r="B255" s="6" t="str">
        <x:v>SVC000254</x:v>
      </x:c>
      <x:c r="C255" s="6" t="str">
        <x:v>iPhone 14 Pro Max Charge Port Replacement</x:v>
      </x:c>
      <x:c r="D255" s="6" t="str">
        <x:v>iPhone 14 Pro Max Charge Port Replacement</x:v>
      </x:c>
      <x:c r="E255" s="6" t="str"/>
      <x:c r="F255" s="6" t="str"/>
      <x:c r="G255" s="6" t="str">
        <x:v>Unknown</x:v>
      </x:c>
      <x:c r="H255" s="12" t="str">
        <x:v>Source Workbook</x:v>
      </x:c>
      <x:c r="I255" s="12" t="str">
        <x:v>Nocturnix_Master_Services_Catalog_v1.xlsx | 01 - Master Services | row 294</x:v>
      </x:c>
      <x:c r="J255" s="6" t="str">
        <x:v>Unresolved</x:v>
      </x:c>
      <x:c r="K255" s="6" t="str"/>
      <x:c r="L255" s="6" t="str"/>
      <x:c r="M255" s="6" t="str">
        <x:v>Pending</x:v>
      </x:c>
      <x:c r="N255" s="12" t="str"/>
    </x:row>
    <x:row r="256">
      <x:c r="A256" s="6" t="str">
        <x:v>DEVR-000255</x:v>
      </x:c>
      <x:c r="B256" s="6" t="str">
        <x:v>SVC000255</x:v>
      </x:c>
      <x:c r="C256" s="6" t="str">
        <x:v>iPhone 15 Charge Port Replacement</x:v>
      </x:c>
      <x:c r="D256" s="6" t="str">
        <x:v>iPhone 15 Charge Port Replacement</x:v>
      </x:c>
      <x:c r="E256" s="6" t="str"/>
      <x:c r="F256" s="6" t="str"/>
      <x:c r="G256" s="6" t="str">
        <x:v>Unknown</x:v>
      </x:c>
      <x:c r="H256" s="12" t="str">
        <x:v>Source Workbook</x:v>
      </x:c>
      <x:c r="I256" s="12" t="str">
        <x:v>Nocturnix_Master_Services_Catalog_v1.xlsx | 01 - Master Services | row 295</x:v>
      </x:c>
      <x:c r="J256" s="6" t="str">
        <x:v>Unresolved</x:v>
      </x:c>
      <x:c r="K256" s="6" t="str"/>
      <x:c r="L256" s="6" t="str"/>
      <x:c r="M256" s="6" t="str">
        <x:v>Pending</x:v>
      </x:c>
      <x:c r="N256" s="12" t="str"/>
    </x:row>
    <x:row r="257">
      <x:c r="A257" s="6" t="str">
        <x:v>DEVR-000256</x:v>
      </x:c>
      <x:c r="B257" s="6" t="str">
        <x:v>SVC000256</x:v>
      </x:c>
      <x:c r="C257" s="6" t="str">
        <x:v>iPhone 15 Plus Charge Port Replacement</x:v>
      </x:c>
      <x:c r="D257" s="6" t="str">
        <x:v>iPhone 15 Plus Charge Port Replacement</x:v>
      </x:c>
      <x:c r="E257" s="6" t="str"/>
      <x:c r="F257" s="6" t="str"/>
      <x:c r="G257" s="6" t="str">
        <x:v>Unknown</x:v>
      </x:c>
      <x:c r="H257" s="12" t="str">
        <x:v>Source Workbook</x:v>
      </x:c>
      <x:c r="I257" s="12" t="str">
        <x:v>Nocturnix_Master_Services_Catalog_v1.xlsx | 01 - Master Services | row 296</x:v>
      </x:c>
      <x:c r="J257" s="6" t="str">
        <x:v>Unresolved</x:v>
      </x:c>
      <x:c r="K257" s="6" t="str"/>
      <x:c r="L257" s="6" t="str"/>
      <x:c r="M257" s="6" t="str">
        <x:v>Pending</x:v>
      </x:c>
      <x:c r="N257" s="12" t="str"/>
    </x:row>
    <x:row r="258">
      <x:c r="A258" s="6" t="str">
        <x:v>DEVR-000257</x:v>
      </x:c>
      <x:c r="B258" s="6" t="str">
        <x:v>SVC000257</x:v>
      </x:c>
      <x:c r="C258" s="6" t="str">
        <x:v>iPhone 15 Pro Phone Charge Port Replacement</x:v>
      </x:c>
      <x:c r="D258" s="6" t="str">
        <x:v>iPhone 15 Pro Phone Charge Port Replacement</x:v>
      </x:c>
      <x:c r="E258" s="6" t="str"/>
      <x:c r="F258" s="6" t="str"/>
      <x:c r="G258" s="6" t="str">
        <x:v>Unknown</x:v>
      </x:c>
      <x:c r="H258" s="12" t="str">
        <x:v>Source Workbook</x:v>
      </x:c>
      <x:c r="I258" s="12" t="str">
        <x:v>Nocturnix_Master_Services_Catalog_v1.xlsx | 01 - Master Services | row 297</x:v>
      </x:c>
      <x:c r="J258" s="6" t="str">
        <x:v>Unresolved</x:v>
      </x:c>
      <x:c r="K258" s="6" t="str"/>
      <x:c r="L258" s="6" t="str"/>
      <x:c r="M258" s="6" t="str">
        <x:v>Pending</x:v>
      </x:c>
      <x:c r="N258" s="12" t="str"/>
    </x:row>
    <x:row r="259">
      <x:c r="A259" s="6" t="str">
        <x:v>DEVR-000258</x:v>
      </x:c>
      <x:c r="B259" s="6" t="str">
        <x:v>SVC000258</x:v>
      </x:c>
      <x:c r="C259" s="6" t="str">
        <x:v>iPhone 15 Pro Max Charge Port Replacement</x:v>
      </x:c>
      <x:c r="D259" s="6" t="str">
        <x:v>iPhone 15 Pro Max Charge Port Replacement</x:v>
      </x:c>
      <x:c r="E259" s="6" t="str"/>
      <x:c r="F259" s="6" t="str"/>
      <x:c r="G259" s="6" t="str">
        <x:v>Unknown</x:v>
      </x:c>
      <x:c r="H259" s="12" t="str">
        <x:v>Source Workbook</x:v>
      </x:c>
      <x:c r="I259" s="12" t="str">
        <x:v>Nocturnix_Master_Services_Catalog_v1.xlsx | 01 - Master Services | row 298</x:v>
      </x:c>
      <x:c r="J259" s="6" t="str">
        <x:v>Unresolved</x:v>
      </x:c>
      <x:c r="K259" s="6" t="str"/>
      <x:c r="L259" s="6" t="str"/>
      <x:c r="M259" s="6" t="str">
        <x:v>Pending</x:v>
      </x:c>
      <x:c r="N259" s="12" t="str"/>
    </x:row>
    <x:row r="260">
      <x:c r="A260" s="6" t="str">
        <x:v>DEVR-000259</x:v>
      </x:c>
      <x:c r="B260" s="6" t="str">
        <x:v>SVC000259</x:v>
      </x:c>
      <x:c r="C260" s="6" t="str">
        <x:v>iPhone 16 Charge Port Replacement</x:v>
      </x:c>
      <x:c r="D260" s="6" t="str">
        <x:v>iPhone 16 Charge Port Replacement</x:v>
      </x:c>
      <x:c r="E260" s="6" t="str"/>
      <x:c r="F260" s="6" t="str"/>
      <x:c r="G260" s="6" t="str">
        <x:v>Unknown</x:v>
      </x:c>
      <x:c r="H260" s="12" t="str">
        <x:v>Source Workbook</x:v>
      </x:c>
      <x:c r="I260" s="12" t="str">
        <x:v>Nocturnix_Master_Services_Catalog_v1.xlsx | 01 - Master Services | row 299</x:v>
      </x:c>
      <x:c r="J260" s="6" t="str">
        <x:v>Unresolved</x:v>
      </x:c>
      <x:c r="K260" s="6" t="str"/>
      <x:c r="L260" s="6" t="str"/>
      <x:c r="M260" s="6" t="str">
        <x:v>Pending</x:v>
      </x:c>
      <x:c r="N260" s="12" t="str"/>
    </x:row>
    <x:row r="261">
      <x:c r="A261" s="6" t="str">
        <x:v>DEVR-000260</x:v>
      </x:c>
      <x:c r="B261" s="6" t="str">
        <x:v>SVC000260</x:v>
      </x:c>
      <x:c r="C261" s="6" t="str">
        <x:v>iPhone 16 Plus Charge Port Replacement</x:v>
      </x:c>
      <x:c r="D261" s="6" t="str">
        <x:v>iPhone 16 Plus Charge Port Replacement</x:v>
      </x:c>
      <x:c r="E261" s="6" t="str"/>
      <x:c r="F261" s="6" t="str"/>
      <x:c r="G261" s="6" t="str">
        <x:v>Unknown</x:v>
      </x:c>
      <x:c r="H261" s="12" t="str">
        <x:v>Source Workbook</x:v>
      </x:c>
      <x:c r="I261" s="12" t="str">
        <x:v>Nocturnix_Master_Services_Catalog_v1.xlsx | 01 - Master Services | row 300</x:v>
      </x:c>
      <x:c r="J261" s="6" t="str">
        <x:v>Unresolved</x:v>
      </x:c>
      <x:c r="K261" s="6" t="str"/>
      <x:c r="L261" s="6" t="str"/>
      <x:c r="M261" s="6" t="str">
        <x:v>Pending</x:v>
      </x:c>
      <x:c r="N261" s="12" t="str"/>
    </x:row>
    <x:row r="262">
      <x:c r="A262" s="6" t="str">
        <x:v>DEVR-000261</x:v>
      </x:c>
      <x:c r="B262" s="6" t="str">
        <x:v>SVC000261</x:v>
      </x:c>
      <x:c r="C262" s="6" t="str">
        <x:v>iPhone 16 Pro Charge Port Replacement</x:v>
      </x:c>
      <x:c r="D262" s="6" t="str">
        <x:v>iPhone 16 Pro Charge Port Replacement</x:v>
      </x:c>
      <x:c r="E262" s="6" t="str"/>
      <x:c r="F262" s="6" t="str"/>
      <x:c r="G262" s="6" t="str">
        <x:v>Unknown</x:v>
      </x:c>
      <x:c r="H262" s="12" t="str">
        <x:v>Source Workbook</x:v>
      </x:c>
      <x:c r="I262" s="12" t="str">
        <x:v>Nocturnix_Master_Services_Catalog_v1.xlsx | 01 - Master Services | row 301</x:v>
      </x:c>
      <x:c r="J262" s="6" t="str">
        <x:v>Unresolved</x:v>
      </x:c>
      <x:c r="K262" s="6" t="str"/>
      <x:c r="L262" s="6" t="str"/>
      <x:c r="M262" s="6" t="str">
        <x:v>Pending</x:v>
      </x:c>
      <x:c r="N262" s="12" t="str"/>
    </x:row>
    <x:row r="263">
      <x:c r="A263" s="6" t="str">
        <x:v>DEVR-000262</x:v>
      </x:c>
      <x:c r="B263" s="6" t="str">
        <x:v>SVC000262</x:v>
      </x:c>
      <x:c r="C263" s="6" t="str">
        <x:v>iPhone 16 Pro Max Charge Port Replacement</x:v>
      </x:c>
      <x:c r="D263" s="6" t="str">
        <x:v>iPhone 16 Pro Max Charge Port Replacement</x:v>
      </x:c>
      <x:c r="E263" s="6" t="str"/>
      <x:c r="F263" s="6" t="str"/>
      <x:c r="G263" s="6" t="str">
        <x:v>Unknown</x:v>
      </x:c>
      <x:c r="H263" s="12" t="str">
        <x:v>Source Workbook</x:v>
      </x:c>
      <x:c r="I263" s="12" t="str">
        <x:v>Nocturnix_Master_Services_Catalog_v1.xlsx | 01 - Master Services | row 302</x:v>
      </x:c>
      <x:c r="J263" s="6" t="str">
        <x:v>Unresolved</x:v>
      </x:c>
      <x:c r="K263" s="6" t="str"/>
      <x:c r="L263" s="6" t="str"/>
      <x:c r="M263" s="6" t="str">
        <x:v>Pending</x:v>
      </x:c>
      <x:c r="N263" s="12" t="str"/>
    </x:row>
    <x:row r="264">
      <x:c r="A264" s="6" t="str">
        <x:v>DEVR-000263</x:v>
      </x:c>
      <x:c r="B264" s="6" t="str">
        <x:v>SVC000263</x:v>
      </x:c>
      <x:c r="C264" s="6" t="str">
        <x:v>iPhone 16E Charge Port Replacement</x:v>
      </x:c>
      <x:c r="D264" s="6" t="str">
        <x:v>iPhone 16E Charge Port Replacement</x:v>
      </x:c>
      <x:c r="E264" s="6" t="str"/>
      <x:c r="F264" s="6" t="str"/>
      <x:c r="G264" s="6" t="str">
        <x:v>Unknown</x:v>
      </x:c>
      <x:c r="H264" s="12" t="str">
        <x:v>Source Workbook</x:v>
      </x:c>
      <x:c r="I264" s="12" t="str">
        <x:v>Nocturnix_Master_Services_Catalog_v1.xlsx | 01 - Master Services | row 303</x:v>
      </x:c>
      <x:c r="J264" s="6" t="str">
        <x:v>Unresolved</x:v>
      </x:c>
      <x:c r="K264" s="6" t="str"/>
      <x:c r="L264" s="6" t="str"/>
      <x:c r="M264" s="6" t="str">
        <x:v>Pending</x:v>
      </x:c>
      <x:c r="N264" s="12" t="str"/>
    </x:row>
    <x:row r="265">
      <x:c r="A265" s="6" t="str">
        <x:v>DEVR-000264</x:v>
      </x:c>
      <x:c r="B265" s="6" t="str">
        <x:v>SVC000264</x:v>
      </x:c>
      <x:c r="C265" s="6" t="str">
        <x:v>iPhone 17 Charge Port Replacement</x:v>
      </x:c>
      <x:c r="D265" s="6" t="str">
        <x:v>iPhone 17 Charge Port Replacement</x:v>
      </x:c>
      <x:c r="E265" s="6" t="str"/>
      <x:c r="F265" s="6" t="str"/>
      <x:c r="G265" s="6" t="str">
        <x:v>Unknown</x:v>
      </x:c>
      <x:c r="H265" s="12" t="str">
        <x:v>Source Workbook</x:v>
      </x:c>
      <x:c r="I265" s="12" t="str">
        <x:v>Nocturnix_Master_Services_Catalog_v1.xlsx | 01 - Master Services | row 304</x:v>
      </x:c>
      <x:c r="J265" s="6" t="str">
        <x:v>Unresolved</x:v>
      </x:c>
      <x:c r="K265" s="6" t="str"/>
      <x:c r="L265" s="6" t="str"/>
      <x:c r="M265" s="6" t="str">
        <x:v>Pending</x:v>
      </x:c>
      <x:c r="N265" s="12" t="str"/>
    </x:row>
    <x:row r="266">
      <x:c r="A266" s="6" t="str">
        <x:v>DEVR-000265</x:v>
      </x:c>
      <x:c r="B266" s="6" t="str">
        <x:v>SVC000265</x:v>
      </x:c>
      <x:c r="C266" s="6" t="str">
        <x:v>iPhone 17 Pro Charge Port Replacement</x:v>
      </x:c>
      <x:c r="D266" s="6" t="str">
        <x:v>iPhone 17 Pro Charge Port Replacement</x:v>
      </x:c>
      <x:c r="E266" s="6" t="str"/>
      <x:c r="F266" s="6" t="str"/>
      <x:c r="G266" s="6" t="str">
        <x:v>Unknown</x:v>
      </x:c>
      <x:c r="H266" s="12" t="str">
        <x:v>Source Workbook</x:v>
      </x:c>
      <x:c r="I266" s="12" t="str">
        <x:v>Nocturnix_Master_Services_Catalog_v1.xlsx | 01 - Master Services | row 305</x:v>
      </x:c>
      <x:c r="J266" s="6" t="str">
        <x:v>Unresolved</x:v>
      </x:c>
      <x:c r="K266" s="6" t="str"/>
      <x:c r="L266" s="6" t="str"/>
      <x:c r="M266" s="6" t="str">
        <x:v>Pending</x:v>
      </x:c>
      <x:c r="N266" s="12" t="str"/>
    </x:row>
    <x:row r="267">
      <x:c r="A267" s="6" t="str">
        <x:v>DEVR-000266</x:v>
      </x:c>
      <x:c r="B267" s="6" t="str">
        <x:v>SVC000266</x:v>
      </x:c>
      <x:c r="C267" s="6" t="str">
        <x:v>iPhone 17 Pro Max Phone* Charge Port Replacement</x:v>
      </x:c>
      <x:c r="D267" s="6" t="str">
        <x:v>iPhone 17 Pro Max Phone* Charge Port Replacement</x:v>
      </x:c>
      <x:c r="E267" s="6" t="str"/>
      <x:c r="F267" s="6" t="str"/>
      <x:c r="G267" s="6" t="str">
        <x:v>Unknown</x:v>
      </x:c>
      <x:c r="H267" s="12" t="str">
        <x:v>Source Workbook</x:v>
      </x:c>
      <x:c r="I267" s="12" t="str">
        <x:v>Nocturnix_Master_Services_Catalog_v1.xlsx | 01 - Master Services | row 306</x:v>
      </x:c>
      <x:c r="J267" s="6" t="str">
        <x:v>Unresolved</x:v>
      </x:c>
      <x:c r="K267" s="6" t="str"/>
      <x:c r="L267" s="6" t="str"/>
      <x:c r="M267" s="6" t="str">
        <x:v>Pending</x:v>
      </x:c>
      <x:c r="N267" s="12" t="str"/>
    </x:row>
    <x:row r="268">
      <x:c r="A268" s="6" t="str">
        <x:v>DEVR-000267</x:v>
      </x:c>
      <x:c r="B268" s="6" t="str">
        <x:v>SVC000267</x:v>
      </x:c>
      <x:c r="C268" s="6" t="str">
        <x:v>iPhone Air Charge Port Replacement</x:v>
      </x:c>
      <x:c r="D268" s="6" t="str">
        <x:v>iPhone Air Charge Port Replacement</x:v>
      </x:c>
      <x:c r="E268" s="6" t="str"/>
      <x:c r="F268" s="6" t="str"/>
      <x:c r="G268" s="6" t="str">
        <x:v>Unknown</x:v>
      </x:c>
      <x:c r="H268" s="12" t="str">
        <x:v>Source Workbook</x:v>
      </x:c>
      <x:c r="I268" s="12" t="str">
        <x:v>Nocturnix_Master_Services_Catalog_v1.xlsx | 01 - Master Services | row 307</x:v>
      </x:c>
      <x:c r="J268" s="6" t="str">
        <x:v>Unresolved</x:v>
      </x:c>
      <x:c r="K268" s="6" t="str"/>
      <x:c r="L268" s="6" t="str"/>
      <x:c r="M268" s="6" t="str">
        <x:v>Pending</x:v>
      </x:c>
      <x:c r="N268" s="12" t="str"/>
    </x:row>
    <x:row r="269">
      <x:c r="A269" s="6" t="str">
        <x:v>DEVR-000268</x:v>
      </x:c>
      <x:c r="B269" s="6" t="str">
        <x:v>SVC000268</x:v>
      </x:c>
      <x:c r="C269" s="6" t="str">
        <x:v>nan Charge Port Replacement</x:v>
      </x:c>
      <x:c r="D269" s="6" t="str">
        <x:v>nan Charge Port Replacement</x:v>
      </x:c>
      <x:c r="E269" s="6" t="str"/>
      <x:c r="F269" s="6" t="str"/>
      <x:c r="G269" s="6" t="str">
        <x:v>Unknown</x:v>
      </x:c>
      <x:c r="H269" s="12" t="str">
        <x:v>Source Workbook</x:v>
      </x:c>
      <x:c r="I269" s="12" t="str">
        <x:v>Nocturnix_Master_Services_Catalog_v1.xlsx | 01 - Master Services | row 308</x:v>
      </x:c>
      <x:c r="J269" s="6" t="str">
        <x:v>Unresolved</x:v>
      </x:c>
      <x:c r="K269" s="6" t="str"/>
      <x:c r="L269" s="6" t="str"/>
      <x:c r="M269" s="6" t="str">
        <x:v>Pending</x:v>
      </x:c>
      <x:c r="N269" s="12" t="str"/>
    </x:row>
    <x:row r="270">
      <x:c r="A270" s="6" t="str">
        <x:v>DEVR-000269</x:v>
      </x:c>
      <x:c r="B270" s="6" t="str">
        <x:v>SVC000269</x:v>
      </x:c>
      <x:c r="C270" s="6" t="str">
        <x:v>Galaxy S Classic Charge Port Replacement</x:v>
      </x:c>
      <x:c r="D270" s="6" t="str">
        <x:v>Galaxy S Classic Charge Port Replacement</x:v>
      </x:c>
      <x:c r="E270" s="6" t="str"/>
      <x:c r="F270" s="6" t="str"/>
      <x:c r="G270" s="6" t="str">
        <x:v>Unknown</x:v>
      </x:c>
      <x:c r="H270" s="12" t="str">
        <x:v>Source Workbook</x:v>
      </x:c>
      <x:c r="I270" s="12" t="str">
        <x:v>Nocturnix_Master_Services_Catalog_v1.xlsx | 01 - Master Services | row 309</x:v>
      </x:c>
      <x:c r="J270" s="6" t="str">
        <x:v>Unresolved</x:v>
      </x:c>
      <x:c r="K270" s="6" t="str"/>
      <x:c r="L270" s="6" t="str"/>
      <x:c r="M270" s="6" t="str">
        <x:v>Pending</x:v>
      </x:c>
      <x:c r="N270" s="12" t="str"/>
    </x:row>
    <x:row r="271">
      <x:c r="A271" s="6" t="str">
        <x:v>DEVR-000270</x:v>
      </x:c>
      <x:c r="B271" s="6" t="str">
        <x:v>SVC000270</x:v>
      </x:c>
      <x:c r="C271" s="6" t="str">
        <x:v>Galaxy S2 Charge Port Replacement</x:v>
      </x:c>
      <x:c r="D271" s="6" t="str">
        <x:v>Galaxy S2 Charge Port Replacement</x:v>
      </x:c>
      <x:c r="E271" s="6" t="str"/>
      <x:c r="F271" s="6" t="str"/>
      <x:c r="G271" s="6" t="str">
        <x:v>Unknown</x:v>
      </x:c>
      <x:c r="H271" s="12" t="str">
        <x:v>Source Workbook</x:v>
      </x:c>
      <x:c r="I271" s="12" t="str">
        <x:v>Nocturnix_Master_Services_Catalog_v1.xlsx | 01 - Master Services | row 310</x:v>
      </x:c>
      <x:c r="J271" s="6" t="str">
        <x:v>Unresolved</x:v>
      </x:c>
      <x:c r="K271" s="6" t="str"/>
      <x:c r="L271" s="6" t="str"/>
      <x:c r="M271" s="6" t="str">
        <x:v>Pending</x:v>
      </x:c>
      <x:c r="N271" s="12" t="str"/>
    </x:row>
    <x:row r="272">
      <x:c r="A272" s="6" t="str">
        <x:v>DEVR-000271</x:v>
      </x:c>
      <x:c r="B272" s="6" t="str">
        <x:v>SVC000271</x:v>
      </x:c>
      <x:c r="C272" s="6" t="str">
        <x:v>Galaxy S3 Charge Port Replacement</x:v>
      </x:c>
      <x:c r="D272" s="6" t="str">
        <x:v>Galaxy S3 Charge Port Replacement</x:v>
      </x:c>
      <x:c r="E272" s="6" t="str"/>
      <x:c r="F272" s="6" t="str"/>
      <x:c r="G272" s="6" t="str">
        <x:v>Unknown</x:v>
      </x:c>
      <x:c r="H272" s="12" t="str">
        <x:v>Source Workbook</x:v>
      </x:c>
      <x:c r="I272" s="12" t="str">
        <x:v>Nocturnix_Master_Services_Catalog_v1.xlsx | 01 - Master Services | row 311</x:v>
      </x:c>
      <x:c r="J272" s="6" t="str">
        <x:v>Unresolved</x:v>
      </x:c>
      <x:c r="K272" s="6" t="str"/>
      <x:c r="L272" s="6" t="str"/>
      <x:c r="M272" s="6" t="str">
        <x:v>Pending</x:v>
      </x:c>
      <x:c r="N272" s="12" t="str"/>
    </x:row>
    <x:row r="273">
      <x:c r="A273" s="6" t="str">
        <x:v>DEVR-000272</x:v>
      </x:c>
      <x:c r="B273" s="6" t="str">
        <x:v>SVC000272</x:v>
      </x:c>
      <x:c r="C273" s="6" t="str">
        <x:v>Galaxy S3 Mini Charge Port Replacement</x:v>
      </x:c>
      <x:c r="D273" s="6" t="str">
        <x:v>Galaxy S3 Mini Charge Port Replacement</x:v>
      </x:c>
      <x:c r="E273" s="6" t="str"/>
      <x:c r="F273" s="6" t="str"/>
      <x:c r="G273" s="6" t="str">
        <x:v>Unknown</x:v>
      </x:c>
      <x:c r="H273" s="12" t="str">
        <x:v>Source Workbook</x:v>
      </x:c>
      <x:c r="I273" s="12" t="str">
        <x:v>Nocturnix_Master_Services_Catalog_v1.xlsx | 01 - Master Services | row 312</x:v>
      </x:c>
      <x:c r="J273" s="6" t="str">
        <x:v>Unresolved</x:v>
      </x:c>
      <x:c r="K273" s="6" t="str"/>
      <x:c r="L273" s="6" t="str"/>
      <x:c r="M273" s="6" t="str">
        <x:v>Pending</x:v>
      </x:c>
      <x:c r="N273" s="12" t="str"/>
    </x:row>
    <x:row r="274">
      <x:c r="A274" s="6" t="str">
        <x:v>DEVR-000273</x:v>
      </x:c>
      <x:c r="B274" s="6" t="str">
        <x:v>SVC000273</x:v>
      </x:c>
      <x:c r="C274" s="6" t="str">
        <x:v>Galaxy S3 Neo Charge Port Replacement</x:v>
      </x:c>
      <x:c r="D274" s="6" t="str">
        <x:v>Galaxy S3 Neo Charge Port Replacement</x:v>
      </x:c>
      <x:c r="E274" s="6" t="str"/>
      <x:c r="F274" s="6" t="str"/>
      <x:c r="G274" s="6" t="str">
        <x:v>Unknown</x:v>
      </x:c>
      <x:c r="H274" s="12" t="str">
        <x:v>Source Workbook</x:v>
      </x:c>
      <x:c r="I274" s="12" t="str">
        <x:v>Nocturnix_Master_Services_Catalog_v1.xlsx | 01 - Master Services | row 313</x:v>
      </x:c>
      <x:c r="J274" s="6" t="str">
        <x:v>Unresolved</x:v>
      </x:c>
      <x:c r="K274" s="6" t="str"/>
      <x:c r="L274" s="6" t="str"/>
      <x:c r="M274" s="6" t="str">
        <x:v>Pending</x:v>
      </x:c>
      <x:c r="N274" s="12" t="str"/>
    </x:row>
    <x:row r="275">
      <x:c r="A275" s="6" t="str">
        <x:v>DEVR-000274</x:v>
      </x:c>
      <x:c r="B275" s="6" t="str">
        <x:v>SVC000274</x:v>
      </x:c>
      <x:c r="C275" s="6" t="str">
        <x:v>Galaxy S4 Charge Port Replacement</x:v>
      </x:c>
      <x:c r="D275" s="6" t="str">
        <x:v>Galaxy S4 Charge Port Replacement</x:v>
      </x:c>
      <x:c r="E275" s="6" t="str"/>
      <x:c r="F275" s="6" t="str"/>
      <x:c r="G275" s="6" t="str">
        <x:v>Unknown</x:v>
      </x:c>
      <x:c r="H275" s="12" t="str">
        <x:v>Source Workbook</x:v>
      </x:c>
      <x:c r="I275" s="12" t="str">
        <x:v>Nocturnix_Master_Services_Catalog_v1.xlsx | 01 - Master Services | row 314</x:v>
      </x:c>
      <x:c r="J275" s="6" t="str">
        <x:v>Unresolved</x:v>
      </x:c>
      <x:c r="K275" s="6" t="str"/>
      <x:c r="L275" s="6" t="str"/>
      <x:c r="M275" s="6" t="str">
        <x:v>Pending</x:v>
      </x:c>
      <x:c r="N275" s="12" t="str"/>
    </x:row>
    <x:row r="276">
      <x:c r="A276" s="6" t="str">
        <x:v>DEVR-000275</x:v>
      </x:c>
      <x:c r="B276" s="6" t="str">
        <x:v>SVC000275</x:v>
      </x:c>
      <x:c r="C276" s="6" t="str">
        <x:v>Galaxy S 4 Mini Charge Port Replacement</x:v>
      </x:c>
      <x:c r="D276" s="6" t="str">
        <x:v>Galaxy S 4 Mini Charge Port Replacement</x:v>
      </x:c>
      <x:c r="E276" s="6" t="str"/>
      <x:c r="F276" s="6" t="str"/>
      <x:c r="G276" s="6" t="str">
        <x:v>Unknown</x:v>
      </x:c>
      <x:c r="H276" s="12" t="str">
        <x:v>Source Workbook</x:v>
      </x:c>
      <x:c r="I276" s="12" t="str">
        <x:v>Nocturnix_Master_Services_Catalog_v1.xlsx | 01 - Master Services | row 315</x:v>
      </x:c>
      <x:c r="J276" s="6" t="str">
        <x:v>Unresolved</x:v>
      </x:c>
      <x:c r="K276" s="6" t="str"/>
      <x:c r="L276" s="6" t="str"/>
      <x:c r="M276" s="6" t="str">
        <x:v>Pending</x:v>
      </x:c>
      <x:c r="N276" s="12" t="str"/>
    </x:row>
    <x:row r="277">
      <x:c r="A277" s="6" t="str">
        <x:v>DEVR-000276</x:v>
      </x:c>
      <x:c r="B277" s="6" t="str">
        <x:v>SVC000276</x:v>
      </x:c>
      <x:c r="C277" s="6" t="str">
        <x:v>Galaxy S 4 Active Charge Port Replacement</x:v>
      </x:c>
      <x:c r="D277" s="6" t="str">
        <x:v>Galaxy S 4 Active Charge Port Replacement</x:v>
      </x:c>
      <x:c r="E277" s="6" t="str"/>
      <x:c r="F277" s="6" t="str"/>
      <x:c r="G277" s="6" t="str">
        <x:v>Unknown</x:v>
      </x:c>
      <x:c r="H277" s="12" t="str">
        <x:v>Source Workbook</x:v>
      </x:c>
      <x:c r="I277" s="12" t="str">
        <x:v>Nocturnix_Master_Services_Catalog_v1.xlsx | 01 - Master Services | row 316</x:v>
      </x:c>
      <x:c r="J277" s="6" t="str">
        <x:v>Unresolved</x:v>
      </x:c>
      <x:c r="K277" s="6" t="str"/>
      <x:c r="L277" s="6" t="str"/>
      <x:c r="M277" s="6" t="str">
        <x:v>Pending</x:v>
      </x:c>
      <x:c r="N277" s="12" t="str"/>
    </x:row>
    <x:row r="278">
      <x:c r="A278" s="6" t="str">
        <x:v>DEVR-000277</x:v>
      </x:c>
      <x:c r="B278" s="6" t="str">
        <x:v>SVC000277</x:v>
      </x:c>
      <x:c r="C278" s="6" t="str">
        <x:v>Galaxy S 5 Charge Port Replacement</x:v>
      </x:c>
      <x:c r="D278" s="6" t="str">
        <x:v>Galaxy S 5 Charge Port Replacement</x:v>
      </x:c>
      <x:c r="E278" s="6" t="str"/>
      <x:c r="F278" s="6" t="str"/>
      <x:c r="G278" s="6" t="str">
        <x:v>Unknown</x:v>
      </x:c>
      <x:c r="H278" s="12" t="str">
        <x:v>Source Workbook</x:v>
      </x:c>
      <x:c r="I278" s="12" t="str">
        <x:v>Nocturnix_Master_Services_Catalog_v1.xlsx | 01 - Master Services | row 317</x:v>
      </x:c>
      <x:c r="J278" s="6" t="str">
        <x:v>Unresolved</x:v>
      </x:c>
      <x:c r="K278" s="6" t="str"/>
      <x:c r="L278" s="6" t="str"/>
      <x:c r="M278" s="6" t="str">
        <x:v>Pending</x:v>
      </x:c>
      <x:c r="N278" s="12" t="str"/>
    </x:row>
    <x:row r="279">
      <x:c r="A279" s="6" t="str">
        <x:v>DEVR-000278</x:v>
      </x:c>
      <x:c r="B279" s="6" t="str">
        <x:v>SVC000278</x:v>
      </x:c>
      <x:c r="C279" s="6" t="str">
        <x:v>Galaxy S 5 Neo Charge Port Replacement</x:v>
      </x:c>
      <x:c r="D279" s="6" t="str">
        <x:v>Galaxy S 5 Neo Charge Port Replacement</x:v>
      </x:c>
      <x:c r="E279" s="6" t="str"/>
      <x:c r="F279" s="6" t="str"/>
      <x:c r="G279" s="6" t="str">
        <x:v>Unknown</x:v>
      </x:c>
      <x:c r="H279" s="12" t="str">
        <x:v>Source Workbook</x:v>
      </x:c>
      <x:c r="I279" s="12" t="str">
        <x:v>Nocturnix_Master_Services_Catalog_v1.xlsx | 01 - Master Services | row 318</x:v>
      </x:c>
      <x:c r="J279" s="6" t="str">
        <x:v>Unresolved</x:v>
      </x:c>
      <x:c r="K279" s="6" t="str"/>
      <x:c r="L279" s="6" t="str"/>
      <x:c r="M279" s="6" t="str">
        <x:v>Pending</x:v>
      </x:c>
      <x:c r="N279" s="12" t="str"/>
    </x:row>
    <x:row r="280">
      <x:c r="A280" s="6" t="str">
        <x:v>DEVR-000279</x:v>
      </x:c>
      <x:c r="B280" s="6" t="str">
        <x:v>SVC000279</x:v>
      </x:c>
      <x:c r="C280" s="6" t="str">
        <x:v>Galaxy S 5 Active Charge Port Replacement</x:v>
      </x:c>
      <x:c r="D280" s="6" t="str">
        <x:v>Galaxy S 5 Active Charge Port Replacement</x:v>
      </x:c>
      <x:c r="E280" s="6" t="str"/>
      <x:c r="F280" s="6" t="str"/>
      <x:c r="G280" s="6" t="str">
        <x:v>Unknown</x:v>
      </x:c>
      <x:c r="H280" s="12" t="str">
        <x:v>Source Workbook</x:v>
      </x:c>
      <x:c r="I280" s="12" t="str">
        <x:v>Nocturnix_Master_Services_Catalog_v1.xlsx | 01 - Master Services | row 319</x:v>
      </x:c>
      <x:c r="J280" s="6" t="str">
        <x:v>Unresolved</x:v>
      </x:c>
      <x:c r="K280" s="6" t="str"/>
      <x:c r="L280" s="6" t="str"/>
      <x:c r="M280" s="6" t="str">
        <x:v>Pending</x:v>
      </x:c>
      <x:c r="N280" s="12" t="str"/>
    </x:row>
    <x:row r="281">
      <x:c r="A281" s="6" t="str">
        <x:v>DEVR-000280</x:v>
      </x:c>
      <x:c r="B281" s="6" t="str">
        <x:v>SVC000280</x:v>
      </x:c>
      <x:c r="C281" s="6" t="str">
        <x:v>Galaxy S 6 Charge Port Replacement</x:v>
      </x:c>
      <x:c r="D281" s="6" t="str">
        <x:v>Galaxy S 6 Charge Port Replacement</x:v>
      </x:c>
      <x:c r="E281" s="6" t="str"/>
      <x:c r="F281" s="6" t="str"/>
      <x:c r="G281" s="6" t="str">
        <x:v>Unknown</x:v>
      </x:c>
      <x:c r="H281" s="12" t="str">
        <x:v>Source Workbook</x:v>
      </x:c>
      <x:c r="I281" s="12" t="str">
        <x:v>Nocturnix_Master_Services_Catalog_v1.xlsx | 01 - Master Services | row 320</x:v>
      </x:c>
      <x:c r="J281" s="6" t="str">
        <x:v>Unresolved</x:v>
      </x:c>
      <x:c r="K281" s="6" t="str"/>
      <x:c r="L281" s="6" t="str"/>
      <x:c r="M281" s="6" t="str">
        <x:v>Pending</x:v>
      </x:c>
      <x:c r="N281" s="12" t="str"/>
    </x:row>
    <x:row r="282">
      <x:c r="A282" s="6" t="str">
        <x:v>DEVR-000281</x:v>
      </x:c>
      <x:c r="B282" s="6" t="str">
        <x:v>SVC000281</x:v>
      </x:c>
      <x:c r="C282" s="6" t="str">
        <x:v>Galaxy S 6 Edge Charge Port Replacement</x:v>
      </x:c>
      <x:c r="D282" s="6" t="str">
        <x:v>Galaxy S 6 Edge Charge Port Replacement</x:v>
      </x:c>
      <x:c r="E282" s="6" t="str"/>
      <x:c r="F282" s="6" t="str"/>
      <x:c r="G282" s="6" t="str">
        <x:v>Unknown</x:v>
      </x:c>
      <x:c r="H282" s="12" t="str">
        <x:v>Source Workbook</x:v>
      </x:c>
      <x:c r="I282" s="12" t="str">
        <x:v>Nocturnix_Master_Services_Catalog_v1.xlsx | 01 - Master Services | row 321</x:v>
      </x:c>
      <x:c r="J282" s="6" t="str">
        <x:v>Unresolved</x:v>
      </x:c>
      <x:c r="K282" s="6" t="str"/>
      <x:c r="L282" s="6" t="str"/>
      <x:c r="M282" s="6" t="str">
        <x:v>Pending</x:v>
      </x:c>
      <x:c r="N282" s="12" t="str"/>
    </x:row>
    <x:row r="283">
      <x:c r="A283" s="6" t="str">
        <x:v>DEVR-000282</x:v>
      </x:c>
      <x:c r="B283" s="6" t="str">
        <x:v>SVC000282</x:v>
      </x:c>
      <x:c r="C283" s="6" t="str">
        <x:v>Galaxy S 6 Edge Plus Charge Port Replacement</x:v>
      </x:c>
      <x:c r="D283" s="6" t="str">
        <x:v>Galaxy S 6 Edge Plus Charge Port Replacement</x:v>
      </x:c>
      <x:c r="E283" s="6" t="str"/>
      <x:c r="F283" s="6" t="str"/>
      <x:c r="G283" s="6" t="str">
        <x:v>Unknown</x:v>
      </x:c>
      <x:c r="H283" s="12" t="str">
        <x:v>Source Workbook</x:v>
      </x:c>
      <x:c r="I283" s="12" t="str">
        <x:v>Nocturnix_Master_Services_Catalog_v1.xlsx | 01 - Master Services | row 322</x:v>
      </x:c>
      <x:c r="J283" s="6" t="str">
        <x:v>Unresolved</x:v>
      </x:c>
      <x:c r="K283" s="6" t="str"/>
      <x:c r="L283" s="6" t="str"/>
      <x:c r="M283" s="6" t="str">
        <x:v>Pending</x:v>
      </x:c>
      <x:c r="N283" s="12" t="str"/>
    </x:row>
    <x:row r="284">
      <x:c r="A284" s="6" t="str">
        <x:v>DEVR-000283</x:v>
      </x:c>
      <x:c r="B284" s="6" t="str">
        <x:v>SVC000283</x:v>
      </x:c>
      <x:c r="C284" s="6" t="str">
        <x:v>Galaxy S 6 Active Charge Port Replacement</x:v>
      </x:c>
      <x:c r="D284" s="6" t="str">
        <x:v>Galaxy S 6 Active Charge Port Replacement</x:v>
      </x:c>
      <x:c r="E284" s="6" t="str"/>
      <x:c r="F284" s="6" t="str"/>
      <x:c r="G284" s="6" t="str">
        <x:v>Unknown</x:v>
      </x:c>
      <x:c r="H284" s="12" t="str">
        <x:v>Source Workbook</x:v>
      </x:c>
      <x:c r="I284" s="12" t="str">
        <x:v>Nocturnix_Master_Services_Catalog_v1.xlsx | 01 - Master Services | row 323</x:v>
      </x:c>
      <x:c r="J284" s="6" t="str">
        <x:v>Unresolved</x:v>
      </x:c>
      <x:c r="K284" s="6" t="str"/>
      <x:c r="L284" s="6" t="str"/>
      <x:c r="M284" s="6" t="str">
        <x:v>Pending</x:v>
      </x:c>
      <x:c r="N284" s="12" t="str"/>
    </x:row>
    <x:row r="285">
      <x:c r="A285" s="6" t="str">
        <x:v>DEVR-000284</x:v>
      </x:c>
      <x:c r="B285" s="6" t="str">
        <x:v>SVC000284</x:v>
      </x:c>
      <x:c r="C285" s="6" t="str">
        <x:v>Galaxy S 7 Charge Port Replacement</x:v>
      </x:c>
      <x:c r="D285" s="6" t="str">
        <x:v>Galaxy S 7 Charge Port Replacement</x:v>
      </x:c>
      <x:c r="E285" s="6" t="str"/>
      <x:c r="F285" s="6" t="str"/>
      <x:c r="G285" s="6" t="str">
        <x:v>Unknown</x:v>
      </x:c>
      <x:c r="H285" s="12" t="str">
        <x:v>Source Workbook</x:v>
      </x:c>
      <x:c r="I285" s="12" t="str">
        <x:v>Nocturnix_Master_Services_Catalog_v1.xlsx | 01 - Master Services | row 324</x:v>
      </x:c>
      <x:c r="J285" s="6" t="str">
        <x:v>Unresolved</x:v>
      </x:c>
      <x:c r="K285" s="6" t="str"/>
      <x:c r="L285" s="6" t="str"/>
      <x:c r="M285" s="6" t="str">
        <x:v>Pending</x:v>
      </x:c>
      <x:c r="N285" s="12" t="str"/>
    </x:row>
    <x:row r="286">
      <x:c r="A286" s="6" t="str">
        <x:v>DEVR-000285</x:v>
      </x:c>
      <x:c r="B286" s="6" t="str">
        <x:v>SVC000285</x:v>
      </x:c>
      <x:c r="C286" s="6" t="str">
        <x:v>Galaxy S 7 Edge Charge Port Replacement</x:v>
      </x:c>
      <x:c r="D286" s="6" t="str">
        <x:v>Galaxy S 7 Edge Charge Port Replacement</x:v>
      </x:c>
      <x:c r="E286" s="6" t="str"/>
      <x:c r="F286" s="6" t="str"/>
      <x:c r="G286" s="6" t="str">
        <x:v>Unknown</x:v>
      </x:c>
      <x:c r="H286" s="12" t="str">
        <x:v>Source Workbook</x:v>
      </x:c>
      <x:c r="I286" s="12" t="str">
        <x:v>Nocturnix_Master_Services_Catalog_v1.xlsx | 01 - Master Services | row 325</x:v>
      </x:c>
      <x:c r="J286" s="6" t="str">
        <x:v>Unresolved</x:v>
      </x:c>
      <x:c r="K286" s="6" t="str"/>
      <x:c r="L286" s="6" t="str"/>
      <x:c r="M286" s="6" t="str">
        <x:v>Pending</x:v>
      </x:c>
      <x:c r="N286" s="12" t="str"/>
    </x:row>
    <x:row r="287">
      <x:c r="A287" s="6" t="str">
        <x:v>DEVR-000286</x:v>
      </x:c>
      <x:c r="B287" s="6" t="str">
        <x:v>SVC000286</x:v>
      </x:c>
      <x:c r="C287" s="6" t="str">
        <x:v>Galaxy S 7 Active Charge Port Replacement</x:v>
      </x:c>
      <x:c r="D287" s="6" t="str">
        <x:v>Galaxy S 7 Active Charge Port Replacement</x:v>
      </x:c>
      <x:c r="E287" s="6" t="str"/>
      <x:c r="F287" s="6" t="str"/>
      <x:c r="G287" s="6" t="str">
        <x:v>Unknown</x:v>
      </x:c>
      <x:c r="H287" s="12" t="str">
        <x:v>Source Workbook</x:v>
      </x:c>
      <x:c r="I287" s="12" t="str">
        <x:v>Nocturnix_Master_Services_Catalog_v1.xlsx | 01 - Master Services | row 326</x:v>
      </x:c>
      <x:c r="J287" s="6" t="str">
        <x:v>Unresolved</x:v>
      </x:c>
      <x:c r="K287" s="6" t="str"/>
      <x:c r="L287" s="6" t="str"/>
      <x:c r="M287" s="6" t="str">
        <x:v>Pending</x:v>
      </x:c>
      <x:c r="N287" s="12" t="str"/>
    </x:row>
    <x:row r="288">
      <x:c r="A288" s="6" t="str">
        <x:v>DEVR-000287</x:v>
      </x:c>
      <x:c r="B288" s="6" t="str">
        <x:v>SVC000287</x:v>
      </x:c>
      <x:c r="C288" s="6" t="str">
        <x:v>Galaxy S 8 Charge Port Replacement</x:v>
      </x:c>
      <x:c r="D288" s="6" t="str">
        <x:v>Galaxy S 8 Charge Port Replacement</x:v>
      </x:c>
      <x:c r="E288" s="6" t="str"/>
      <x:c r="F288" s="6" t="str"/>
      <x:c r="G288" s="6" t="str">
        <x:v>Unknown</x:v>
      </x:c>
      <x:c r="H288" s="12" t="str">
        <x:v>Source Workbook</x:v>
      </x:c>
      <x:c r="I288" s="12" t="str">
        <x:v>Nocturnix_Master_Services_Catalog_v1.xlsx | 01 - Master Services | row 327</x:v>
      </x:c>
      <x:c r="J288" s="6" t="str">
        <x:v>Unresolved</x:v>
      </x:c>
      <x:c r="K288" s="6" t="str"/>
      <x:c r="L288" s="6" t="str"/>
      <x:c r="M288" s="6" t="str">
        <x:v>Pending</x:v>
      </x:c>
      <x:c r="N288" s="12" t="str"/>
    </x:row>
    <x:row r="289">
      <x:c r="A289" s="6" t="str">
        <x:v>DEVR-000288</x:v>
      </x:c>
      <x:c r="B289" s="6" t="str">
        <x:v>SVC000288</x:v>
      </x:c>
      <x:c r="C289" s="6" t="str">
        <x:v>Galaxy S 8 Plus Charge Port Replacement</x:v>
      </x:c>
      <x:c r="D289" s="6" t="str">
        <x:v>Galaxy S 8 Plus Charge Port Replacement</x:v>
      </x:c>
      <x:c r="E289" s="6" t="str"/>
      <x:c r="F289" s="6" t="str"/>
      <x:c r="G289" s="6" t="str">
        <x:v>Unknown</x:v>
      </x:c>
      <x:c r="H289" s="12" t="str">
        <x:v>Source Workbook</x:v>
      </x:c>
      <x:c r="I289" s="12" t="str">
        <x:v>Nocturnix_Master_Services_Catalog_v1.xlsx | 01 - Master Services | row 328</x:v>
      </x:c>
      <x:c r="J289" s="6" t="str">
        <x:v>Unresolved</x:v>
      </x:c>
      <x:c r="K289" s="6" t="str"/>
      <x:c r="L289" s="6" t="str"/>
      <x:c r="M289" s="6" t="str">
        <x:v>Pending</x:v>
      </x:c>
      <x:c r="N289" s="12" t="str"/>
    </x:row>
    <x:row r="290">
      <x:c r="A290" s="6" t="str">
        <x:v>DEVR-000289</x:v>
      </x:c>
      <x:c r="B290" s="6" t="str">
        <x:v>SVC000289</x:v>
      </x:c>
      <x:c r="C290" s="6" t="str">
        <x:v>Galaxy S 8 Active Charge Port Replacement</x:v>
      </x:c>
      <x:c r="D290" s="6" t="str">
        <x:v>Galaxy S 8 Active Charge Port Replacement</x:v>
      </x:c>
      <x:c r="E290" s="6" t="str"/>
      <x:c r="F290" s="6" t="str"/>
      <x:c r="G290" s="6" t="str">
        <x:v>Unknown</x:v>
      </x:c>
      <x:c r="H290" s="12" t="str">
        <x:v>Source Workbook</x:v>
      </x:c>
      <x:c r="I290" s="12" t="str">
        <x:v>Nocturnix_Master_Services_Catalog_v1.xlsx | 01 - Master Services | row 329</x:v>
      </x:c>
      <x:c r="J290" s="6" t="str">
        <x:v>Unresolved</x:v>
      </x:c>
      <x:c r="K290" s="6" t="str"/>
      <x:c r="L290" s="6" t="str"/>
      <x:c r="M290" s="6" t="str">
        <x:v>Pending</x:v>
      </x:c>
      <x:c r="N290" s="12" t="str"/>
    </x:row>
    <x:row r="291">
      <x:c r="A291" s="6" t="str">
        <x:v>DEVR-000290</x:v>
      </x:c>
      <x:c r="B291" s="6" t="str">
        <x:v>SVC000290</x:v>
      </x:c>
      <x:c r="C291" s="6" t="str">
        <x:v>Galaxy S 9 Charge Port Replacement</x:v>
      </x:c>
      <x:c r="D291" s="6" t="str">
        <x:v>Galaxy S 9 Charge Port Replacement</x:v>
      </x:c>
      <x:c r="E291" s="6" t="str"/>
      <x:c r="F291" s="6" t="str"/>
      <x:c r="G291" s="6" t="str">
        <x:v>Unknown</x:v>
      </x:c>
      <x:c r="H291" s="12" t="str">
        <x:v>Source Workbook</x:v>
      </x:c>
      <x:c r="I291" s="12" t="str">
        <x:v>Nocturnix_Master_Services_Catalog_v1.xlsx | 01 - Master Services | row 330</x:v>
      </x:c>
      <x:c r="J291" s="6" t="str">
        <x:v>Unresolved</x:v>
      </x:c>
      <x:c r="K291" s="6" t="str"/>
      <x:c r="L291" s="6" t="str"/>
      <x:c r="M291" s="6" t="str">
        <x:v>Pending</x:v>
      </x:c>
      <x:c r="N291" s="12" t="str"/>
    </x:row>
    <x:row r="292">
      <x:c r="A292" s="6" t="str">
        <x:v>DEVR-000291</x:v>
      </x:c>
      <x:c r="B292" s="6" t="str">
        <x:v>SVC000291</x:v>
      </x:c>
      <x:c r="C292" s="6" t="str">
        <x:v>Galaxy S 9 Plus Charge Port Replacement</x:v>
      </x:c>
      <x:c r="D292" s="6" t="str">
        <x:v>Galaxy S 9 Plus Charge Port Replacement</x:v>
      </x:c>
      <x:c r="E292" s="6" t="str"/>
      <x:c r="F292" s="6" t="str"/>
      <x:c r="G292" s="6" t="str">
        <x:v>Unknown</x:v>
      </x:c>
      <x:c r="H292" s="12" t="str">
        <x:v>Source Workbook</x:v>
      </x:c>
      <x:c r="I292" s="12" t="str">
        <x:v>Nocturnix_Master_Services_Catalog_v1.xlsx | 01 - Master Services | row 331</x:v>
      </x:c>
      <x:c r="J292" s="6" t="str">
        <x:v>Unresolved</x:v>
      </x:c>
      <x:c r="K292" s="6" t="str"/>
      <x:c r="L292" s="6" t="str"/>
      <x:c r="M292" s="6" t="str">
        <x:v>Pending</x:v>
      </x:c>
      <x:c r="N292" s="12" t="str"/>
    </x:row>
    <x:row r="293">
      <x:c r="A293" s="6" t="str">
        <x:v>DEVR-000292</x:v>
      </x:c>
      <x:c r="B293" s="6" t="str">
        <x:v>SVC000292</x:v>
      </x:c>
      <x:c r="C293" s="6" t="str">
        <x:v>Galaxy S 10 Charge Port Replacement</x:v>
      </x:c>
      <x:c r="D293" s="6" t="str">
        <x:v>Galaxy S 10 Charge Port Replacement</x:v>
      </x:c>
      <x:c r="E293" s="6" t="str"/>
      <x:c r="F293" s="6" t="str"/>
      <x:c r="G293" s="6" t="str">
        <x:v>Unknown</x:v>
      </x:c>
      <x:c r="H293" s="12" t="str">
        <x:v>Source Workbook</x:v>
      </x:c>
      <x:c r="I293" s="12" t="str">
        <x:v>Nocturnix_Master_Services_Catalog_v1.xlsx | 01 - Master Services | row 332</x:v>
      </x:c>
      <x:c r="J293" s="6" t="str">
        <x:v>Unresolved</x:v>
      </x:c>
      <x:c r="K293" s="6" t="str"/>
      <x:c r="L293" s="6" t="str"/>
      <x:c r="M293" s="6" t="str">
        <x:v>Pending</x:v>
      </x:c>
      <x:c r="N293" s="12" t="str"/>
    </x:row>
    <x:row r="294">
      <x:c r="A294" s="6" t="str">
        <x:v>DEVR-000293</x:v>
      </x:c>
      <x:c r="B294" s="6" t="str">
        <x:v>SVC000293</x:v>
      </x:c>
      <x:c r="C294" s="6" t="str">
        <x:v>Galaxy S 10 Plus Charge Port Replacement</x:v>
      </x:c>
      <x:c r="D294" s="6" t="str">
        <x:v>Galaxy S 10 Plus Charge Port Replacement</x:v>
      </x:c>
      <x:c r="E294" s="6" t="str"/>
      <x:c r="F294" s="6" t="str"/>
      <x:c r="G294" s="6" t="str">
        <x:v>Unknown</x:v>
      </x:c>
      <x:c r="H294" s="12" t="str">
        <x:v>Source Workbook</x:v>
      </x:c>
      <x:c r="I294" s="12" t="str">
        <x:v>Nocturnix_Master_Services_Catalog_v1.xlsx | 01 - Master Services | row 333</x:v>
      </x:c>
      <x:c r="J294" s="6" t="str">
        <x:v>Unresolved</x:v>
      </x:c>
      <x:c r="K294" s="6" t="str"/>
      <x:c r="L294" s="6" t="str"/>
      <x:c r="M294" s="6" t="str">
        <x:v>Pending</x:v>
      </x:c>
      <x:c r="N294" s="12" t="str"/>
    </x:row>
    <x:row r="295">
      <x:c r="A295" s="6" t="str">
        <x:v>DEVR-000294</x:v>
      </x:c>
      <x:c r="B295" s="6" t="str">
        <x:v>SVC000294</x:v>
      </x:c>
      <x:c r="C295" s="6" t="str">
        <x:v>Galaxy S 10 E Charge Port Replacement</x:v>
      </x:c>
      <x:c r="D295" s="6" t="str">
        <x:v>Galaxy S 10 E Charge Port Replacement</x:v>
      </x:c>
      <x:c r="E295" s="6" t="str"/>
      <x:c r="F295" s="6" t="str"/>
      <x:c r="G295" s="6" t="str">
        <x:v>Unknown</x:v>
      </x:c>
      <x:c r="H295" s="12" t="str">
        <x:v>Source Workbook</x:v>
      </x:c>
      <x:c r="I295" s="12" t="str">
        <x:v>Nocturnix_Master_Services_Catalog_v1.xlsx | 01 - Master Services | row 334</x:v>
      </x:c>
      <x:c r="J295" s="6" t="str">
        <x:v>Unresolved</x:v>
      </x:c>
      <x:c r="K295" s="6" t="str"/>
      <x:c r="L295" s="6" t="str"/>
      <x:c r="M295" s="6" t="str">
        <x:v>Pending</x:v>
      </x:c>
      <x:c r="N295" s="12" t="str"/>
    </x:row>
    <x:row r="296">
      <x:c r="A296" s="6" t="str">
        <x:v>DEVR-000295</x:v>
      </x:c>
      <x:c r="B296" s="6" t="str">
        <x:v>SVC000295</x:v>
      </x:c>
      <x:c r="C296" s="6" t="str">
        <x:v>Galaxy Note 8 Charge Port Replacement</x:v>
      </x:c>
      <x:c r="D296" s="6" t="str">
        <x:v>Galaxy Note 8 Charge Port Replacement</x:v>
      </x:c>
      <x:c r="E296" s="6" t="str"/>
      <x:c r="F296" s="6" t="str"/>
      <x:c r="G296" s="6" t="str">
        <x:v>Unknown</x:v>
      </x:c>
      <x:c r="H296" s="12" t="str">
        <x:v>Source Workbook</x:v>
      </x:c>
      <x:c r="I296" s="12" t="str">
        <x:v>Nocturnix_Master_Services_Catalog_v1.xlsx | 01 - Master Services | row 335</x:v>
      </x:c>
      <x:c r="J296" s="6" t="str">
        <x:v>Unresolved</x:v>
      </x:c>
      <x:c r="K296" s="6" t="str"/>
      <x:c r="L296" s="6" t="str"/>
      <x:c r="M296" s="6" t="str">
        <x:v>Pending</x:v>
      </x:c>
      <x:c r="N296" s="12" t="str"/>
    </x:row>
    <x:row r="297">
      <x:c r="A297" s="6" t="str">
        <x:v>DEVR-000296</x:v>
      </x:c>
      <x:c r="B297" s="6" t="str">
        <x:v>SVC000296</x:v>
      </x:c>
      <x:c r="C297" s="6" t="str">
        <x:v>Galaxy Note 9 Charge Port Replacement</x:v>
      </x:c>
      <x:c r="D297" s="6" t="str">
        <x:v>Galaxy Note 9 Charge Port Replacement</x:v>
      </x:c>
      <x:c r="E297" s="6" t="str"/>
      <x:c r="F297" s="6" t="str"/>
      <x:c r="G297" s="6" t="str">
        <x:v>Unknown</x:v>
      </x:c>
      <x:c r="H297" s="12" t="str">
        <x:v>Source Workbook</x:v>
      </x:c>
      <x:c r="I297" s="12" t="str">
        <x:v>Nocturnix_Master_Services_Catalog_v1.xlsx | 01 - Master Services | row 336</x:v>
      </x:c>
      <x:c r="J297" s="6" t="str">
        <x:v>Unresolved</x:v>
      </x:c>
      <x:c r="K297" s="6" t="str"/>
      <x:c r="L297" s="6" t="str"/>
      <x:c r="M297" s="6" t="str">
        <x:v>Pending</x:v>
      </x:c>
      <x:c r="N297" s="12" t="str"/>
    </x:row>
    <x:row r="298">
      <x:c r="A298" s="6" t="str">
        <x:v>DEVR-000297</x:v>
      </x:c>
      <x:c r="B298" s="6" t="str">
        <x:v>SVC000297</x:v>
      </x:c>
      <x:c r="C298" s="6" t="str">
        <x:v>Galaxy Note 10 Plus Charge Port Replacement</x:v>
      </x:c>
      <x:c r="D298" s="6" t="str">
        <x:v>Galaxy Note 10 Plus Charge Port Replacement</x:v>
      </x:c>
      <x:c r="E298" s="6" t="str"/>
      <x:c r="F298" s="6" t="str"/>
      <x:c r="G298" s="6" t="str">
        <x:v>Unknown</x:v>
      </x:c>
      <x:c r="H298" s="12" t="str">
        <x:v>Source Workbook</x:v>
      </x:c>
      <x:c r="I298" s="12" t="str">
        <x:v>Nocturnix_Master_Services_Catalog_v1.xlsx | 01 - Master Services | row 337</x:v>
      </x:c>
      <x:c r="J298" s="6" t="str">
        <x:v>Unresolved</x:v>
      </x:c>
      <x:c r="K298" s="6" t="str"/>
      <x:c r="L298" s="6" t="str"/>
      <x:c r="M298" s="6" t="str">
        <x:v>Pending</x:v>
      </x:c>
      <x:c r="N298" s="12" t="str"/>
    </x:row>
    <x:row r="299">
      <x:c r="A299" s="6" t="str">
        <x:v>DEVR-000298</x:v>
      </x:c>
      <x:c r="B299" s="6" t="str">
        <x:v>SVC000298</x:v>
      </x:c>
      <x:c r="C299" s="6" t="str">
        <x:v>Galaxy S 20 Charge Port Replacement</x:v>
      </x:c>
      <x:c r="D299" s="6" t="str">
        <x:v>Galaxy S 20 Charge Port Replacement</x:v>
      </x:c>
      <x:c r="E299" s="6" t="str"/>
      <x:c r="F299" s="6" t="str"/>
      <x:c r="G299" s="6" t="str">
        <x:v>Unknown</x:v>
      </x:c>
      <x:c r="H299" s="12" t="str">
        <x:v>Source Workbook</x:v>
      </x:c>
      <x:c r="I299" s="12" t="str">
        <x:v>Nocturnix_Master_Services_Catalog_v1.xlsx | 01 - Master Services | row 338</x:v>
      </x:c>
      <x:c r="J299" s="6" t="str">
        <x:v>Unresolved</x:v>
      </x:c>
      <x:c r="K299" s="6" t="str"/>
      <x:c r="L299" s="6" t="str"/>
      <x:c r="M299" s="6" t="str">
        <x:v>Pending</x:v>
      </x:c>
      <x:c r="N299" s="12" t="str"/>
    </x:row>
    <x:row r="300">
      <x:c r="A300" s="6" t="str">
        <x:v>DEVR-000299</x:v>
      </x:c>
      <x:c r="B300" s="6" t="str">
        <x:v>SVC000299</x:v>
      </x:c>
      <x:c r="C300" s="6" t="str">
        <x:v>Galaxy S 20 Plus Charge Port Replacement</x:v>
      </x:c>
      <x:c r="D300" s="6" t="str">
        <x:v>Galaxy S 20 Plus Charge Port Replacement</x:v>
      </x:c>
      <x:c r="E300" s="6" t="str"/>
      <x:c r="F300" s="6" t="str"/>
      <x:c r="G300" s="6" t="str">
        <x:v>Unknown</x:v>
      </x:c>
      <x:c r="H300" s="12" t="str">
        <x:v>Source Workbook</x:v>
      </x:c>
      <x:c r="I300" s="12" t="str">
        <x:v>Nocturnix_Master_Services_Catalog_v1.xlsx | 01 - Master Services | row 339</x:v>
      </x:c>
      <x:c r="J300" s="6" t="str">
        <x:v>Unresolved</x:v>
      </x:c>
      <x:c r="K300" s="6" t="str"/>
      <x:c r="L300" s="6" t="str"/>
      <x:c r="M300" s="6" t="str">
        <x:v>Pending</x:v>
      </x:c>
      <x:c r="N300" s="12" t="str"/>
    </x:row>
    <x:row r="301">
      <x:c r="A301" s="6" t="str">
        <x:v>DEVR-000300</x:v>
      </x:c>
      <x:c r="B301" s="6" t="str">
        <x:v>SVC000300</x:v>
      </x:c>
      <x:c r="C301" s="6" t="str">
        <x:v>Galaxy S 20 Ultra Charge Port Replacement</x:v>
      </x:c>
      <x:c r="D301" s="6" t="str">
        <x:v>Galaxy S 20 Ultra Charge Port Replacement</x:v>
      </x:c>
      <x:c r="E301" s="6" t="str"/>
      <x:c r="F301" s="6" t="str"/>
      <x:c r="G301" s="6" t="str">
        <x:v>Unknown</x:v>
      </x:c>
      <x:c r="H301" s="12" t="str">
        <x:v>Source Workbook</x:v>
      </x:c>
      <x:c r="I301" s="12" t="str">
        <x:v>Nocturnix_Master_Services_Catalog_v1.xlsx | 01 - Master Services | row 340</x:v>
      </x:c>
      <x:c r="J301" s="6" t="str">
        <x:v>Unresolved</x:v>
      </x:c>
      <x:c r="K301" s="6" t="str"/>
      <x:c r="L301" s="6" t="str"/>
      <x:c r="M301" s="6" t="str">
        <x:v>Pending</x:v>
      </x:c>
      <x:c r="N301" s="12" t="str"/>
    </x:row>
    <x:row r="302">
      <x:c r="A302" s="6" t="str">
        <x:v>DEVR-000301</x:v>
      </x:c>
      <x:c r="B302" s="6" t="str">
        <x:v>SVC000301</x:v>
      </x:c>
      <x:c r="C302" s="6" t="str">
        <x:v>Galaxy S 20 FE Charge Port Replacement</x:v>
      </x:c>
      <x:c r="D302" s="6" t="str">
        <x:v>Galaxy S 20 FE Charge Port Replacement</x:v>
      </x:c>
      <x:c r="E302" s="6" t="str"/>
      <x:c r="F302" s="6" t="str"/>
      <x:c r="G302" s="6" t="str">
        <x:v>Unknown</x:v>
      </x:c>
      <x:c r="H302" s="12" t="str">
        <x:v>Source Workbook</x:v>
      </x:c>
      <x:c r="I302" s="12" t="str">
        <x:v>Nocturnix_Master_Services_Catalog_v1.xlsx | 01 - Master Services | row 341</x:v>
      </x:c>
      <x:c r="J302" s="6" t="str">
        <x:v>Unresolved</x:v>
      </x:c>
      <x:c r="K302" s="6" t="str"/>
      <x:c r="L302" s="6" t="str"/>
      <x:c r="M302" s="6" t="str">
        <x:v>Pending</x:v>
      </x:c>
      <x:c r="N302" s="12" t="str"/>
    </x:row>
    <x:row r="303">
      <x:c r="A303" s="6" t="str">
        <x:v>DEVR-000302</x:v>
      </x:c>
      <x:c r="B303" s="6" t="str">
        <x:v>SVC000302</x:v>
      </x:c>
      <x:c r="C303" s="6" t="str">
        <x:v>Galaxy S 21 Charge Port Replacement</x:v>
      </x:c>
      <x:c r="D303" s="6" t="str">
        <x:v>Galaxy S 21 Charge Port Replacement</x:v>
      </x:c>
      <x:c r="E303" s="6" t="str"/>
      <x:c r="F303" s="6" t="str"/>
      <x:c r="G303" s="6" t="str">
        <x:v>Unknown</x:v>
      </x:c>
      <x:c r="H303" s="12" t="str">
        <x:v>Source Workbook</x:v>
      </x:c>
      <x:c r="I303" s="12" t="str">
        <x:v>Nocturnix_Master_Services_Catalog_v1.xlsx | 01 - Master Services | row 342</x:v>
      </x:c>
      <x:c r="J303" s="6" t="str">
        <x:v>Unresolved</x:v>
      </x:c>
      <x:c r="K303" s="6" t="str"/>
      <x:c r="L303" s="6" t="str"/>
      <x:c r="M303" s="6" t="str">
        <x:v>Pending</x:v>
      </x:c>
      <x:c r="N303" s="12" t="str"/>
    </x:row>
    <x:row r="304">
      <x:c r="A304" s="6" t="str">
        <x:v>DEVR-000303</x:v>
      </x:c>
      <x:c r="B304" s="6" t="str">
        <x:v>SVC000303</x:v>
      </x:c>
      <x:c r="C304" s="6" t="str">
        <x:v>Galaxy S 21 Plus Charge Port Replacement</x:v>
      </x:c>
      <x:c r="D304" s="6" t="str">
        <x:v>Galaxy S 21 Plus Charge Port Replacement</x:v>
      </x:c>
      <x:c r="E304" s="6" t="str"/>
      <x:c r="F304" s="6" t="str"/>
      <x:c r="G304" s="6" t="str">
        <x:v>Unknown</x:v>
      </x:c>
      <x:c r="H304" s="12" t="str">
        <x:v>Source Workbook</x:v>
      </x:c>
      <x:c r="I304" s="12" t="str">
        <x:v>Nocturnix_Master_Services_Catalog_v1.xlsx | 01 - Master Services | row 343</x:v>
      </x:c>
      <x:c r="J304" s="6" t="str">
        <x:v>Unresolved</x:v>
      </x:c>
      <x:c r="K304" s="6" t="str"/>
      <x:c r="L304" s="6" t="str"/>
      <x:c r="M304" s="6" t="str">
        <x:v>Pending</x:v>
      </x:c>
      <x:c r="N304" s="12" t="str"/>
    </x:row>
    <x:row r="305">
      <x:c r="A305" s="6" t="str">
        <x:v>DEVR-000304</x:v>
      </x:c>
      <x:c r="B305" s="6" t="str">
        <x:v>SVC000304</x:v>
      </x:c>
      <x:c r="C305" s="6" t="str">
        <x:v>Galaxy S 21 FE Charge Port Replacement</x:v>
      </x:c>
      <x:c r="D305" s="6" t="str">
        <x:v>Galaxy S 21 FE Charge Port Replacement</x:v>
      </x:c>
      <x:c r="E305" s="6" t="str"/>
      <x:c r="F305" s="6" t="str"/>
      <x:c r="G305" s="6" t="str">
        <x:v>Unknown</x:v>
      </x:c>
      <x:c r="H305" s="12" t="str">
        <x:v>Source Workbook</x:v>
      </x:c>
      <x:c r="I305" s="12" t="str">
        <x:v>Nocturnix_Master_Services_Catalog_v1.xlsx | 01 - Master Services | row 344</x:v>
      </x:c>
      <x:c r="J305" s="6" t="str">
        <x:v>Unresolved</x:v>
      </x:c>
      <x:c r="K305" s="6" t="str"/>
      <x:c r="L305" s="6" t="str"/>
      <x:c r="M305" s="6" t="str">
        <x:v>Pending</x:v>
      </x:c>
      <x:c r="N305" s="12" t="str"/>
    </x:row>
    <x:row r="306">
      <x:c r="A306" s="6" t="str">
        <x:v>DEVR-000305</x:v>
      </x:c>
      <x:c r="B306" s="6" t="str">
        <x:v>SVC000305</x:v>
      </x:c>
      <x:c r="C306" s="6" t="str">
        <x:v>Galaxy S 22 Charge Port Replacement</x:v>
      </x:c>
      <x:c r="D306" s="6" t="str">
        <x:v>Galaxy S 22 Charge Port Replacement</x:v>
      </x:c>
      <x:c r="E306" s="6" t="str"/>
      <x:c r="F306" s="6" t="str"/>
      <x:c r="G306" s="6" t="str">
        <x:v>Unknown</x:v>
      </x:c>
      <x:c r="H306" s="12" t="str">
        <x:v>Source Workbook</x:v>
      </x:c>
      <x:c r="I306" s="12" t="str">
        <x:v>Nocturnix_Master_Services_Catalog_v1.xlsx | 01 - Master Services | row 345</x:v>
      </x:c>
      <x:c r="J306" s="6" t="str">
        <x:v>Unresolved</x:v>
      </x:c>
      <x:c r="K306" s="6" t="str"/>
      <x:c r="L306" s="6" t="str"/>
      <x:c r="M306" s="6" t="str">
        <x:v>Pending</x:v>
      </x:c>
      <x:c r="N306" s="12" t="str"/>
    </x:row>
    <x:row r="307">
      <x:c r="A307" s="6" t="str">
        <x:v>DEVR-000306</x:v>
      </x:c>
      <x:c r="B307" s="6" t="str">
        <x:v>SVC000306</x:v>
      </x:c>
      <x:c r="C307" s="6" t="str">
        <x:v>Galaxy S 22 Plus Charge Port Replacement</x:v>
      </x:c>
      <x:c r="D307" s="6" t="str">
        <x:v>Galaxy S 22 Plus Charge Port Replacement</x:v>
      </x:c>
      <x:c r="E307" s="6" t="str"/>
      <x:c r="F307" s="6" t="str"/>
      <x:c r="G307" s="6" t="str">
        <x:v>Unknown</x:v>
      </x:c>
      <x:c r="H307" s="12" t="str">
        <x:v>Source Workbook</x:v>
      </x:c>
      <x:c r="I307" s="12" t="str">
        <x:v>Nocturnix_Master_Services_Catalog_v1.xlsx | 01 - Master Services | row 346</x:v>
      </x:c>
      <x:c r="J307" s="6" t="str">
        <x:v>Unresolved</x:v>
      </x:c>
      <x:c r="K307" s="6" t="str"/>
      <x:c r="L307" s="6" t="str"/>
      <x:c r="M307" s="6" t="str">
        <x:v>Pending</x:v>
      </x:c>
      <x:c r="N307" s="12" t="str"/>
    </x:row>
    <x:row r="308">
      <x:c r="A308" s="6" t="str">
        <x:v>DEVR-000307</x:v>
      </x:c>
      <x:c r="B308" s="6" t="str">
        <x:v>SVC000307</x:v>
      </x:c>
      <x:c r="C308" s="6" t="str">
        <x:v>Galaxy S 22 Ultra Charge Port Replacement</x:v>
      </x:c>
      <x:c r="D308" s="6" t="str">
        <x:v>Galaxy S 22 Ultra Charge Port Replacement</x:v>
      </x:c>
      <x:c r="E308" s="6" t="str"/>
      <x:c r="F308" s="6" t="str"/>
      <x:c r="G308" s="6" t="str">
        <x:v>Unknown</x:v>
      </x:c>
      <x:c r="H308" s="12" t="str">
        <x:v>Source Workbook</x:v>
      </x:c>
      <x:c r="I308" s="12" t="str">
        <x:v>Nocturnix_Master_Services_Catalog_v1.xlsx | 01 - Master Services | row 347</x:v>
      </x:c>
      <x:c r="J308" s="6" t="str">
        <x:v>Unresolved</x:v>
      </x:c>
      <x:c r="K308" s="6" t="str"/>
      <x:c r="L308" s="6" t="str"/>
      <x:c r="M308" s="6" t="str">
        <x:v>Pending</x:v>
      </x:c>
      <x:c r="N308" s="12" t="str"/>
    </x:row>
    <x:row r="309">
      <x:c r="A309" s="6" t="str">
        <x:v>DEVR-000308</x:v>
      </x:c>
      <x:c r="B309" s="6" t="str">
        <x:v>SVC000308</x:v>
      </x:c>
      <x:c r="C309" s="6" t="str">
        <x:v>Galaxy S 23 Charge Port Replacement</x:v>
      </x:c>
      <x:c r="D309" s="6" t="str">
        <x:v>Galaxy S 23 Charge Port Replacement</x:v>
      </x:c>
      <x:c r="E309" s="6" t="str"/>
      <x:c r="F309" s="6" t="str"/>
      <x:c r="G309" s="6" t="str">
        <x:v>Unknown</x:v>
      </x:c>
      <x:c r="H309" s="12" t="str">
        <x:v>Source Workbook</x:v>
      </x:c>
      <x:c r="I309" s="12" t="str">
        <x:v>Nocturnix_Master_Services_Catalog_v1.xlsx | 01 - Master Services | row 348</x:v>
      </x:c>
      <x:c r="J309" s="6" t="str">
        <x:v>Unresolved</x:v>
      </x:c>
      <x:c r="K309" s="6" t="str"/>
      <x:c r="L309" s="6" t="str"/>
      <x:c r="M309" s="6" t="str">
        <x:v>Pending</x:v>
      </x:c>
      <x:c r="N309" s="12" t="str"/>
    </x:row>
    <x:row r="310">
      <x:c r="A310" s="6" t="str">
        <x:v>DEVR-000309</x:v>
      </x:c>
      <x:c r="B310" s="6" t="str">
        <x:v>SVC000309</x:v>
      </x:c>
      <x:c r="C310" s="6" t="str">
        <x:v>Galaxy S 23 Plus Charge Port Replacement</x:v>
      </x:c>
      <x:c r="D310" s="6" t="str">
        <x:v>Galaxy S 23 Plus Charge Port Replacement</x:v>
      </x:c>
      <x:c r="E310" s="6" t="str"/>
      <x:c r="F310" s="6" t="str"/>
      <x:c r="G310" s="6" t="str">
        <x:v>Unknown</x:v>
      </x:c>
      <x:c r="H310" s="12" t="str">
        <x:v>Source Workbook</x:v>
      </x:c>
      <x:c r="I310" s="12" t="str">
        <x:v>Nocturnix_Master_Services_Catalog_v1.xlsx | 01 - Master Services | row 349</x:v>
      </x:c>
      <x:c r="J310" s="6" t="str">
        <x:v>Unresolved</x:v>
      </x:c>
      <x:c r="K310" s="6" t="str"/>
      <x:c r="L310" s="6" t="str"/>
      <x:c r="M310" s="6" t="str">
        <x:v>Pending</x:v>
      </x:c>
      <x:c r="N310" s="12" t="str"/>
    </x:row>
    <x:row r="311">
      <x:c r="A311" s="6" t="str">
        <x:v>DEVR-000310</x:v>
      </x:c>
      <x:c r="B311" s="6" t="str">
        <x:v>SVC000310</x:v>
      </x:c>
      <x:c r="C311" s="6" t="str">
        <x:v>Galaxy S 23 Ultra Charge Port Replacement</x:v>
      </x:c>
      <x:c r="D311" s="6" t="str">
        <x:v>Galaxy S 23 Ultra Charge Port Replacement</x:v>
      </x:c>
      <x:c r="E311" s="6" t="str"/>
      <x:c r="F311" s="6" t="str"/>
      <x:c r="G311" s="6" t="str">
        <x:v>Unknown</x:v>
      </x:c>
      <x:c r="H311" s="12" t="str">
        <x:v>Source Workbook</x:v>
      </x:c>
      <x:c r="I311" s="12" t="str">
        <x:v>Nocturnix_Master_Services_Catalog_v1.xlsx | 01 - Master Services | row 350</x:v>
      </x:c>
      <x:c r="J311" s="6" t="str">
        <x:v>Unresolved</x:v>
      </x:c>
      <x:c r="K311" s="6" t="str"/>
      <x:c r="L311" s="6" t="str"/>
      <x:c r="M311" s="6" t="str">
        <x:v>Pending</x:v>
      </x:c>
      <x:c r="N311" s="12" t="str"/>
    </x:row>
    <x:row r="312">
      <x:c r="A312" s="6" t="str">
        <x:v>DEVR-000311</x:v>
      </x:c>
      <x:c r="B312" s="6" t="str">
        <x:v>SVC000311</x:v>
      </x:c>
      <x:c r="C312" s="6" t="str">
        <x:v>Galaxy S 23 FE Charge Port Replacement</x:v>
      </x:c>
      <x:c r="D312" s="6" t="str">
        <x:v>Galaxy S 23 FE Charge Port Replacement</x:v>
      </x:c>
      <x:c r="E312" s="6" t="str"/>
      <x:c r="F312" s="6" t="str"/>
      <x:c r="G312" s="6" t="str">
        <x:v>Unknown</x:v>
      </x:c>
      <x:c r="H312" s="12" t="str">
        <x:v>Source Workbook</x:v>
      </x:c>
      <x:c r="I312" s="12" t="str">
        <x:v>Nocturnix_Master_Services_Catalog_v1.xlsx | 01 - Master Services | row 351</x:v>
      </x:c>
      <x:c r="J312" s="6" t="str">
        <x:v>Unresolved</x:v>
      </x:c>
      <x:c r="K312" s="6" t="str"/>
      <x:c r="L312" s="6" t="str"/>
      <x:c r="M312" s="6" t="str">
        <x:v>Pending</x:v>
      </x:c>
      <x:c r="N312" s="12" t="str"/>
    </x:row>
    <x:row r="313">
      <x:c r="A313" s="6" t="str">
        <x:v>DEVR-000312</x:v>
      </x:c>
      <x:c r="B313" s="6" t="str">
        <x:v>SVC000312</x:v>
      </x:c>
      <x:c r="C313" s="6" t="str">
        <x:v>Galaxy S 24 Charge Port Replacement</x:v>
      </x:c>
      <x:c r="D313" s="6" t="str">
        <x:v>Galaxy S 24 Charge Port Replacement</x:v>
      </x:c>
      <x:c r="E313" s="6" t="str"/>
      <x:c r="F313" s="6" t="str"/>
      <x:c r="G313" s="6" t="str">
        <x:v>Unknown</x:v>
      </x:c>
      <x:c r="H313" s="12" t="str">
        <x:v>Source Workbook</x:v>
      </x:c>
      <x:c r="I313" s="12" t="str">
        <x:v>Nocturnix_Master_Services_Catalog_v1.xlsx | 01 - Master Services | row 352</x:v>
      </x:c>
      <x:c r="J313" s="6" t="str">
        <x:v>Unresolved</x:v>
      </x:c>
      <x:c r="K313" s="6" t="str"/>
      <x:c r="L313" s="6" t="str"/>
      <x:c r="M313" s="6" t="str">
        <x:v>Pending</x:v>
      </x:c>
      <x:c r="N313" s="12" t="str"/>
    </x:row>
    <x:row r="314">
      <x:c r="A314" s="6" t="str">
        <x:v>DEVR-000313</x:v>
      </x:c>
      <x:c r="B314" s="6" t="str">
        <x:v>SVC000313</x:v>
      </x:c>
      <x:c r="C314" s="6" t="str">
        <x:v>Galaxy S 24 Plus Charge Port Replacement</x:v>
      </x:c>
      <x:c r="D314" s="6" t="str">
        <x:v>Galaxy S 24 Plus Charge Port Replacement</x:v>
      </x:c>
      <x:c r="E314" s="6" t="str"/>
      <x:c r="F314" s="6" t="str"/>
      <x:c r="G314" s="6" t="str">
        <x:v>Unknown</x:v>
      </x:c>
      <x:c r="H314" s="12" t="str">
        <x:v>Source Workbook</x:v>
      </x:c>
      <x:c r="I314" s="12" t="str">
        <x:v>Nocturnix_Master_Services_Catalog_v1.xlsx | 01 - Master Services | row 353</x:v>
      </x:c>
      <x:c r="J314" s="6" t="str">
        <x:v>Unresolved</x:v>
      </x:c>
      <x:c r="K314" s="6" t="str"/>
      <x:c r="L314" s="6" t="str"/>
      <x:c r="M314" s="6" t="str">
        <x:v>Pending</x:v>
      </x:c>
      <x:c r="N314" s="12" t="str"/>
    </x:row>
    <x:row r="315">
      <x:c r="A315" s="6" t="str">
        <x:v>DEVR-000314</x:v>
      </x:c>
      <x:c r="B315" s="6" t="str">
        <x:v>SVC000314</x:v>
      </x:c>
      <x:c r="C315" s="6" t="str">
        <x:v>Galaxy S 24 Ultra Charge Port Replacement</x:v>
      </x:c>
      <x:c r="D315" s="6" t="str">
        <x:v>Galaxy S 24 Ultra Charge Port Replacement</x:v>
      </x:c>
      <x:c r="E315" s="6" t="str"/>
      <x:c r="F315" s="6" t="str"/>
      <x:c r="G315" s="6" t="str">
        <x:v>Unknown</x:v>
      </x:c>
      <x:c r="H315" s="12" t="str">
        <x:v>Source Workbook</x:v>
      </x:c>
      <x:c r="I315" s="12" t="str">
        <x:v>Nocturnix_Master_Services_Catalog_v1.xlsx | 01 - Master Services | row 354</x:v>
      </x:c>
      <x:c r="J315" s="6" t="str">
        <x:v>Unresolved</x:v>
      </x:c>
      <x:c r="K315" s="6" t="str"/>
      <x:c r="L315" s="6" t="str"/>
      <x:c r="M315" s="6" t="str">
        <x:v>Pending</x:v>
      </x:c>
      <x:c r="N315" s="12" t="str"/>
    </x:row>
  </x:sheetData>
  <x:dataValidations count="6">
    <x:dataValidation type="list" sqref="G2:G315">
      <x:formula1>"Exact Device,Device Family,Manufacturer-Wide,Generic,Unknown,Not Applicable"</x:formula1>
    </x:dataValidation>
    <x:dataValidation type="list" sqref="H2:H315">
      <x:formula1>"Source Workbook,Registry,Reviewer Evidence,Manual Research,Unsupported Observation,Not Provided"</x:formula1>
    </x:dataValidation>
    <x:dataValidation type="list" sqref="J2:J315">
      <x:formula1>"Confirm Current Identity,Propose Identity Change,Keep Separate,Suspected Duplicate,Reject Source Record,Escalate,Unresolved"</x:formula1>
    </x:dataValidation>
    <x:dataValidation type="list" sqref="M2:M315">
      <x:formula1>"Pending,Approved,Rejected,Escalated,Not Approved"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E2:E315">
      <x:formula1>"DEV000001,DEV000002,DEV000003,DEV000004,DEV000005,DEV000006,DEV000007,DEV000008,DEV000009,DEV000010,DEV000011,DEV000012,DEV000013,DEV000014,DEV000015,DEV000016,DEV000017,DEV000018,DEV000019,DEV000020,DEV000021,DEV000022,DEV000023,DEV000024,DEV000025,DEV000026,DEV000027,DEV000028,DEV000029,DEV000030,DEV000031,DEV000032,DEV000033,DEV000034,DEV000035,DEV000036,DEV000037,DEV000038,DEV000039,DEV000040,DEV000041,DEV000042,DEV000043,DEV000044,DEV000045,DEV000046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20fe9f01bb48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0.75" hidden="0" customWidth="1"/>
    <x:col min="3" max="3" width="38.130001068115234" hidden="0" customWidth="1"/>
    <x:col min="4" max="4" width="18.3799991607666" hidden="0" customWidth="1"/>
    <x:col min="5" max="5" width="15.75" hidden="0" customWidth="1"/>
    <x:col min="6" max="6" width="18.6299991607666" hidden="0" customWidth="1"/>
    <x:col min="7" max="7" width="16.75" hidden="0" customWidth="1"/>
    <x:col min="8" max="8" width="9.630000114440918" hidden="0" customWidth="1"/>
    <x:col min="9" max="9" width="13.880000114440918" hidden="0" customWidth="1"/>
    <x:col min="10" max="10" width="54.630001068115234" hidden="0" customWidth="1"/>
    <x:col min="11" max="11" width="17" hidden="0" customWidth="1"/>
    <x:col min="12" max="12" width="14.880000114440918" hidden="0" customWidth="1"/>
    <x:col min="13" max="13" width="12.380000114440918" hidden="0" customWidth="1"/>
    <x:col min="14" max="14" width="25.75" hidden="0" customWidth="1"/>
    <x:col min="15" max="15" width="7.630000114440918" hidden="0" customWidth="1"/>
  </x:cols>
  <x:sheetData>
    <x:row r="1">
      <x:c r="A1" s="5" t="str">
        <x:v>Part Review ID</x:v>
      </x:c>
      <x:c r="B1" s="5" t="str">
        <x:v>Service ID</x:v>
      </x:c>
      <x:c r="C1" s="5" t="str">
        <x:v>Canonical Service Name</x:v>
      </x:c>
      <x:c r="D1" s="5" t="str">
        <x:v>Observed Part Value</x:v>
      </x:c>
      <x:c r="E1" s="5" t="str">
        <x:v>Proposed Part ID</x:v>
      </x:c>
      <x:c r="F1" s="5" t="str">
        <x:v>Proposed Part Name</x:v>
      </x:c>
      <x:c r="G1" s="5" t="str">
        <x:v>Requirement Type</x:v>
      </x:c>
      <x:c r="H1" s="5" t="str">
        <x:v>Quantity</x:v>
      </x:c>
      <x:c r="I1" s="5" t="str">
        <x:v>Evidence Type</x:v>
      </x:c>
      <x:c r="J1" s="5" t="str">
        <x:v>Evidence Reference</x:v>
      </x:c>
      <x:c r="K1" s="5" t="str">
        <x:v>Reviewer Decision</x:v>
      </x:c>
      <x:c r="L1" s="5" t="str">
        <x:v>Reviewer Name</x:v>
      </x:c>
      <x:c r="M1" s="5" t="str">
        <x:v>Review Date</x:v>
      </x:c>
      <x:c r="N1" s="5" t="str">
        <x:v>Second-Level Approval Status</x:v>
      </x:c>
      <x:c r="O1" s="5" t="str">
        <x:v>Notes</x:v>
      </x:c>
    </x:row>
    <x:row r="2">
      <x:c r="A2" s="6" t="str">
        <x:v>PARTR-000001</x:v>
      </x:c>
      <x:c r="B2" s="6" t="str">
        <x:v>SVC000001</x:v>
      </x:c>
      <x:c r="C2" s="6" t="str">
        <x:v>Galaxy Note 9 Screen replacement</x:v>
      </x:c>
      <x:c r="D2" s="6"/>
      <x:c r="E2" s="6" t="str"/>
      <x:c r="F2" s="6" t="str"/>
      <x:c r="G2" s="6" t="str">
        <x:v>Unknown</x:v>
      </x:c>
      <x:c r="H2" s="6" t="str"/>
      <x:c r="I2" s="12" t="str">
        <x:v>Source Workbook</x:v>
      </x:c>
      <x:c r="J2" s="12" t="str">
        <x:v>Nocturnix_Master_Services_Catalog_v1.xlsx | 01 - Master Services | row 41</x:v>
      </x:c>
      <x:c r="K2" s="6" t="str">
        <x:v>Unresolved</x:v>
      </x:c>
      <x:c r="L2" s="6" t="str"/>
      <x:c r="M2" s="6" t="str"/>
      <x:c r="N2" s="6" t="str">
        <x:v>Pending</x:v>
      </x:c>
      <x:c r="O2" s="12" t="str"/>
    </x:row>
    <x:row r="3">
      <x:c r="A3" s="6" t="str">
        <x:v>PARTR-000002</x:v>
      </x:c>
      <x:c r="B3" s="6" t="str">
        <x:v>SVC000002</x:v>
      </x:c>
      <x:c r="C3" s="6" t="str">
        <x:v>Galaxy S 8 Active Screen replacement</x:v>
      </x:c>
      <x:c r="D3" s="6"/>
      <x:c r="E3" s="6" t="str"/>
      <x:c r="F3" s="6" t="str"/>
      <x:c r="G3" s="6" t="str">
        <x:v>Unknown</x:v>
      </x:c>
      <x:c r="H3" s="6" t="str"/>
      <x:c r="I3" s="12" t="str">
        <x:v>Source Workbook</x:v>
      </x:c>
      <x:c r="J3" s="12" t="str">
        <x:v>Nocturnix_Master_Services_Catalog_v1.xlsx | 01 - Master Services | row 42</x:v>
      </x:c>
      <x:c r="K3" s="6" t="str">
        <x:v>Unresolved</x:v>
      </x:c>
      <x:c r="L3" s="6" t="str"/>
      <x:c r="M3" s="6" t="str"/>
      <x:c r="N3" s="6" t="str">
        <x:v>Pending</x:v>
      </x:c>
      <x:c r="O3" s="12" t="str"/>
    </x:row>
    <x:row r="4">
      <x:c r="A4" s="6" t="str">
        <x:v>PARTR-000003</x:v>
      </x:c>
      <x:c r="B4" s="6" t="str">
        <x:v>SVC000003</x:v>
      </x:c>
      <x:c r="C4" s="6" t="str">
        <x:v>Galaxy S 24 Screen replacement</x:v>
      </x:c>
      <x:c r="D4" s="6"/>
      <x:c r="E4" s="6" t="str"/>
      <x:c r="F4" s="6" t="str"/>
      <x:c r="G4" s="6" t="str">
        <x:v>Unknown</x:v>
      </x:c>
      <x:c r="H4" s="6" t="str"/>
      <x:c r="I4" s="12" t="str">
        <x:v>Source Workbook</x:v>
      </x:c>
      <x:c r="J4" s="12" t="str">
        <x:v>Nocturnix_Master_Services_Catalog_v1.xlsx | 01 - Master Services | row 43</x:v>
      </x:c>
      <x:c r="K4" s="6" t="str">
        <x:v>Unresolved</x:v>
      </x:c>
      <x:c r="L4" s="6" t="str"/>
      <x:c r="M4" s="6" t="str"/>
      <x:c r="N4" s="6" t="str">
        <x:v>Pending</x:v>
      </x:c>
      <x:c r="O4" s="12" t="str"/>
    </x:row>
    <x:row r="5">
      <x:c r="A5" s="6" t="str">
        <x:v>PARTR-000004</x:v>
      </x:c>
      <x:c r="B5" s="6" t="str">
        <x:v>SVC000004</x:v>
      </x:c>
      <x:c r="C5" s="6" t="str">
        <x:v>Galaxy Note 10 Plus Screen replacement</x:v>
      </x:c>
      <x:c r="D5" s="6"/>
      <x:c r="E5" s="6" t="str"/>
      <x:c r="F5" s="6" t="str"/>
      <x:c r="G5" s="6" t="str">
        <x:v>Unknown</x:v>
      </x:c>
      <x:c r="H5" s="6" t="str"/>
      <x:c r="I5" s="12" t="str">
        <x:v>Source Workbook</x:v>
      </x:c>
      <x:c r="J5" s="12" t="str">
        <x:v>Nocturnix_Master_Services_Catalog_v1.xlsx | 01 - Master Services | row 44</x:v>
      </x:c>
      <x:c r="K5" s="6" t="str">
        <x:v>Unresolved</x:v>
      </x:c>
      <x:c r="L5" s="6" t="str"/>
      <x:c r="M5" s="6" t="str"/>
      <x:c r="N5" s="6" t="str">
        <x:v>Pending</x:v>
      </x:c>
      <x:c r="O5" s="12" t="str"/>
    </x:row>
    <x:row r="6">
      <x:c r="A6" s="6" t="str">
        <x:v>PARTR-000005</x:v>
      </x:c>
      <x:c r="B6" s="6" t="str">
        <x:v>SVC000005</x:v>
      </x:c>
      <x:c r="C6" s="6" t="str">
        <x:v>Galaxy Note 8 Screen replacement</x:v>
      </x:c>
      <x:c r="D6" s="6"/>
      <x:c r="E6" s="6" t="str"/>
      <x:c r="F6" s="6" t="str"/>
      <x:c r="G6" s="6" t="str">
        <x:v>Unknown</x:v>
      </x:c>
      <x:c r="H6" s="6" t="str"/>
      <x:c r="I6" s="12" t="str">
        <x:v>Source Workbook</x:v>
      </x:c>
      <x:c r="J6" s="12" t="str">
        <x:v>Nocturnix_Master_Services_Catalog_v1.xlsx | 01 - Master Services | row 45</x:v>
      </x:c>
      <x:c r="K6" s="6" t="str">
        <x:v>Unresolved</x:v>
      </x:c>
      <x:c r="L6" s="6" t="str"/>
      <x:c r="M6" s="6" t="str"/>
      <x:c r="N6" s="6" t="str">
        <x:v>Pending</x:v>
      </x:c>
      <x:c r="O6" s="12" t="str"/>
    </x:row>
    <x:row r="7">
      <x:c r="A7" s="6" t="str">
        <x:v>PARTR-000006</x:v>
      </x:c>
      <x:c r="B7" s="6" t="str">
        <x:v>SVC000006</x:v>
      </x:c>
      <x:c r="C7" s="6" t="str">
        <x:v>Galaxy S 25 Edge Screen replacement</x:v>
      </x:c>
      <x:c r="D7" s="6"/>
      <x:c r="E7" s="6" t="str"/>
      <x:c r="F7" s="6" t="str"/>
      <x:c r="G7" s="6" t="str">
        <x:v>Unknown</x:v>
      </x:c>
      <x:c r="H7" s="6" t="str"/>
      <x:c r="I7" s="12" t="str">
        <x:v>Source Workbook</x:v>
      </x:c>
      <x:c r="J7" s="12" t="str">
        <x:v>Nocturnix_Master_Services_Catalog_v1.xlsx | 01 - Master Services | row 46</x:v>
      </x:c>
      <x:c r="K7" s="6" t="str">
        <x:v>Unresolved</x:v>
      </x:c>
      <x:c r="L7" s="6" t="str"/>
      <x:c r="M7" s="6" t="str"/>
      <x:c r="N7" s="6" t="str">
        <x:v>Pending</x:v>
      </x:c>
      <x:c r="O7" s="12" t="str"/>
    </x:row>
    <x:row r="8">
      <x:c r="A8" s="6" t="str">
        <x:v>PARTR-000007</x:v>
      </x:c>
      <x:c r="B8" s="6" t="str">
        <x:v>SVC000007</x:v>
      </x:c>
      <x:c r="C8" s="6" t="str">
        <x:v>Galaxy S 25 FE Screen replacement</x:v>
      </x:c>
      <x:c r="D8" s="6"/>
      <x:c r="E8" s="6" t="str"/>
      <x:c r="F8" s="6" t="str"/>
      <x:c r="G8" s="6" t="str">
        <x:v>Unknown</x:v>
      </x:c>
      <x:c r="H8" s="6" t="str"/>
      <x:c r="I8" s="12" t="str">
        <x:v>Source Workbook</x:v>
      </x:c>
      <x:c r="J8" s="12" t="str">
        <x:v>Nocturnix_Master_Services_Catalog_v1.xlsx | 01 - Master Services | row 47</x:v>
      </x:c>
      <x:c r="K8" s="6" t="str">
        <x:v>Unresolved</x:v>
      </x:c>
      <x:c r="L8" s="6" t="str"/>
      <x:c r="M8" s="6" t="str"/>
      <x:c r="N8" s="6" t="str">
        <x:v>Pending</x:v>
      </x:c>
      <x:c r="O8" s="12" t="str"/>
    </x:row>
    <x:row r="9">
      <x:c r="A9" s="6" t="str">
        <x:v>PARTR-000008</x:v>
      </x:c>
      <x:c r="B9" s="6" t="str">
        <x:v>SVC000008</x:v>
      </x:c>
      <x:c r="C9" s="6" t="str">
        <x:v>iPhone 6 Screen replacement</x:v>
      </x:c>
      <x:c r="D9" s="6"/>
      <x:c r="E9" s="6" t="str"/>
      <x:c r="F9" s="6" t="str"/>
      <x:c r="G9" s="6" t="str">
        <x:v>Unknown</x:v>
      </x:c>
      <x:c r="H9" s="6" t="str"/>
      <x:c r="I9" s="12" t="str">
        <x:v>Source Workbook</x:v>
      </x:c>
      <x:c r="J9" s="12" t="str">
        <x:v>Nocturnix_Master_Services_Catalog_v1.xlsx | 01 - Master Services | row 48</x:v>
      </x:c>
      <x:c r="K9" s="6" t="str">
        <x:v>Unresolved</x:v>
      </x:c>
      <x:c r="L9" s="6" t="str"/>
      <x:c r="M9" s="6" t="str"/>
      <x:c r="N9" s="6" t="str">
        <x:v>Pending</x:v>
      </x:c>
      <x:c r="O9" s="12" t="str"/>
    </x:row>
    <x:row r="10">
      <x:c r="A10" s="6" t="str">
        <x:v>PARTR-000009</x:v>
      </x:c>
      <x:c r="B10" s="6" t="str">
        <x:v>SVC000009</x:v>
      </x:c>
      <x:c r="C10" s="6" t="str">
        <x:v>iPhone 6S+ Screen replacement</x:v>
      </x:c>
      <x:c r="D10" s="6"/>
      <x:c r="E10" s="6" t="str"/>
      <x:c r="F10" s="6" t="str"/>
      <x:c r="G10" s="6" t="str">
        <x:v>Unknown</x:v>
      </x:c>
      <x:c r="H10" s="6" t="str"/>
      <x:c r="I10" s="12" t="str">
        <x:v>Source Workbook</x:v>
      </x:c>
      <x:c r="J10" s="12" t="str">
        <x:v>Nocturnix_Master_Services_Catalog_v1.xlsx | 01 - Master Services | row 49</x:v>
      </x:c>
      <x:c r="K10" s="6" t="str">
        <x:v>Unresolved</x:v>
      </x:c>
      <x:c r="L10" s="6" t="str"/>
      <x:c r="M10" s="6" t="str"/>
      <x:c r="N10" s="6" t="str">
        <x:v>Pending</x:v>
      </x:c>
      <x:c r="O10" s="12" t="str"/>
    </x:row>
    <x:row r="11">
      <x:c r="A11" s="6" t="str">
        <x:v>PARTR-000010</x:v>
      </x:c>
      <x:c r="B11" s="6" t="str">
        <x:v>SVC000010</x:v>
      </x:c>
      <x:c r="C11" s="6" t="str">
        <x:v>Galaxy S 22 Screen replacement</x:v>
      </x:c>
      <x:c r="D11" s="6"/>
      <x:c r="E11" s="6" t="str"/>
      <x:c r="F11" s="6" t="str"/>
      <x:c r="G11" s="6" t="str">
        <x:v>Unknown</x:v>
      </x:c>
      <x:c r="H11" s="6" t="str"/>
      <x:c r="I11" s="12" t="str">
        <x:v>Source Workbook</x:v>
      </x:c>
      <x:c r="J11" s="12" t="str">
        <x:v>Nocturnix_Master_Services_Catalog_v1.xlsx | 01 - Master Services | row 50</x:v>
      </x:c>
      <x:c r="K11" s="6" t="str">
        <x:v>Unresolved</x:v>
      </x:c>
      <x:c r="L11" s="6" t="str"/>
      <x:c r="M11" s="6" t="str"/>
      <x:c r="N11" s="6" t="str">
        <x:v>Pending</x:v>
      </x:c>
      <x:c r="O11" s="12" t="str"/>
    </x:row>
    <x:row r="12">
      <x:c r="A12" s="6" t="str">
        <x:v>PARTR-000011</x:v>
      </x:c>
      <x:c r="B12" s="6" t="str">
        <x:v>SVC000011</x:v>
      </x:c>
      <x:c r="C12" s="6" t="str">
        <x:v>Galaxy S 20 Plus Screen replacement</x:v>
      </x:c>
      <x:c r="D12" s="6"/>
      <x:c r="E12" s="6" t="str"/>
      <x:c r="F12" s="6" t="str"/>
      <x:c r="G12" s="6" t="str">
        <x:v>Unknown</x:v>
      </x:c>
      <x:c r="H12" s="6" t="str"/>
      <x:c r="I12" s="12" t="str">
        <x:v>Source Workbook</x:v>
      </x:c>
      <x:c r="J12" s="12" t="str">
        <x:v>Nocturnix_Master_Services_Catalog_v1.xlsx | 01 - Master Services | row 51</x:v>
      </x:c>
      <x:c r="K12" s="6" t="str">
        <x:v>Unresolved</x:v>
      </x:c>
      <x:c r="L12" s="6" t="str"/>
      <x:c r="M12" s="6" t="str"/>
      <x:c r="N12" s="6" t="str">
        <x:v>Pending</x:v>
      </x:c>
      <x:c r="O12" s="12" t="str"/>
    </x:row>
    <x:row r="13">
      <x:c r="A13" s="6" t="str">
        <x:v>PARTR-000012</x:v>
      </x:c>
      <x:c r="B13" s="6" t="str">
        <x:v>SVC000012</x:v>
      </x:c>
      <x:c r="C13" s="6" t="str">
        <x:v>Galaxy S 23 Ultra Screen replacement</x:v>
      </x:c>
      <x:c r="D13" s="6"/>
      <x:c r="E13" s="6" t="str"/>
      <x:c r="F13" s="6" t="str"/>
      <x:c r="G13" s="6" t="str">
        <x:v>Unknown</x:v>
      </x:c>
      <x:c r="H13" s="6" t="str"/>
      <x:c r="I13" s="12" t="str">
        <x:v>Source Workbook</x:v>
      </x:c>
      <x:c r="J13" s="12" t="str">
        <x:v>Nocturnix_Master_Services_Catalog_v1.xlsx | 01 - Master Services | row 52</x:v>
      </x:c>
      <x:c r="K13" s="6" t="str">
        <x:v>Unresolved</x:v>
      </x:c>
      <x:c r="L13" s="6" t="str"/>
      <x:c r="M13" s="6" t="str"/>
      <x:c r="N13" s="6" t="str">
        <x:v>Pending</x:v>
      </x:c>
      <x:c r="O13" s="12" t="str"/>
    </x:row>
    <x:row r="14">
      <x:c r="A14" s="6" t="str">
        <x:v>PARTR-000013</x:v>
      </x:c>
      <x:c r="B14" s="6" t="str">
        <x:v>SVC000013</x:v>
      </x:c>
      <x:c r="C14" s="6" t="str">
        <x:v>Galaxy S 24 Ultra Screen replacement</x:v>
      </x:c>
      <x:c r="D14" s="6"/>
      <x:c r="E14" s="6" t="str"/>
      <x:c r="F14" s="6" t="str"/>
      <x:c r="G14" s="6" t="str">
        <x:v>Unknown</x:v>
      </x:c>
      <x:c r="H14" s="6" t="str"/>
      <x:c r="I14" s="12" t="str">
        <x:v>Source Workbook</x:v>
      </x:c>
      <x:c r="J14" s="12" t="str">
        <x:v>Nocturnix_Master_Services_Catalog_v1.xlsx | 01 - Master Services | row 53</x:v>
      </x:c>
      <x:c r="K14" s="6" t="str">
        <x:v>Unresolved</x:v>
      </x:c>
      <x:c r="L14" s="6" t="str"/>
      <x:c r="M14" s="6" t="str"/>
      <x:c r="N14" s="6" t="str">
        <x:v>Pending</x:v>
      </x:c>
      <x:c r="O14" s="12" t="str"/>
    </x:row>
    <x:row r="15">
      <x:c r="A15" s="6" t="str">
        <x:v>PARTR-000014</x:v>
      </x:c>
      <x:c r="B15" s="6" t="str">
        <x:v>SVC000014</x:v>
      </x:c>
      <x:c r="C15" s="6" t="str">
        <x:v>Galaxy S 20 FE Screen replacement</x:v>
      </x:c>
      <x:c r="D15" s="6"/>
      <x:c r="E15" s="6" t="str"/>
      <x:c r="F15" s="6" t="str"/>
      <x:c r="G15" s="6" t="str">
        <x:v>Unknown</x:v>
      </x:c>
      <x:c r="H15" s="6" t="str"/>
      <x:c r="I15" s="12" t="str">
        <x:v>Source Workbook</x:v>
      </x:c>
      <x:c r="J15" s="12" t="str">
        <x:v>Nocturnix_Master_Services_Catalog_v1.xlsx | 01 - Master Services | row 54</x:v>
      </x:c>
      <x:c r="K15" s="6" t="str">
        <x:v>Unresolved</x:v>
      </x:c>
      <x:c r="L15" s="6" t="str"/>
      <x:c r="M15" s="6" t="str"/>
      <x:c r="N15" s="6" t="str">
        <x:v>Pending</x:v>
      </x:c>
      <x:c r="O15" s="12" t="str"/>
    </x:row>
    <x:row r="16">
      <x:c r="A16" s="6" t="str">
        <x:v>PARTR-000015</x:v>
      </x:c>
      <x:c r="B16" s="6" t="str">
        <x:v>SVC000015</x:v>
      </x:c>
      <x:c r="C16" s="6" t="str">
        <x:v>Galaxy S 9 Plus Screen replacement</x:v>
      </x:c>
      <x:c r="D16" s="6"/>
      <x:c r="E16" s="6" t="str"/>
      <x:c r="F16" s="6" t="str"/>
      <x:c r="G16" s="6" t="str">
        <x:v>Unknown</x:v>
      </x:c>
      <x:c r="H16" s="6" t="str"/>
      <x:c r="I16" s="12" t="str">
        <x:v>Source Workbook</x:v>
      </x:c>
      <x:c r="J16" s="12" t="str">
        <x:v>Nocturnix_Master_Services_Catalog_v1.xlsx | 01 - Master Services | row 55</x:v>
      </x:c>
      <x:c r="K16" s="6" t="str">
        <x:v>Unresolved</x:v>
      </x:c>
      <x:c r="L16" s="6" t="str"/>
      <x:c r="M16" s="6" t="str"/>
      <x:c r="N16" s="6" t="str">
        <x:v>Pending</x:v>
      </x:c>
      <x:c r="O16" s="12" t="str"/>
    </x:row>
    <x:row r="17">
      <x:c r="A17" s="6" t="str">
        <x:v>PARTR-000016</x:v>
      </x:c>
      <x:c r="B17" s="6" t="str">
        <x:v>SVC000016</x:v>
      </x:c>
      <x:c r="C17" s="6" t="str">
        <x:v>Galaxy S 24 FE Screen replacement</x:v>
      </x:c>
      <x:c r="D17" s="6"/>
      <x:c r="E17" s="6" t="str"/>
      <x:c r="F17" s="6" t="str"/>
      <x:c r="G17" s="6" t="str">
        <x:v>Unknown</x:v>
      </x:c>
      <x:c r="H17" s="6" t="str"/>
      <x:c r="I17" s="12" t="str">
        <x:v>Source Workbook</x:v>
      </x:c>
      <x:c r="J17" s="12" t="str">
        <x:v>Nocturnix_Master_Services_Catalog_v1.xlsx | 01 - Master Services | row 56</x:v>
      </x:c>
      <x:c r="K17" s="6" t="str">
        <x:v>Unresolved</x:v>
      </x:c>
      <x:c r="L17" s="6" t="str"/>
      <x:c r="M17" s="6" t="str"/>
      <x:c r="N17" s="6" t="str">
        <x:v>Pending</x:v>
      </x:c>
      <x:c r="O17" s="12" t="str"/>
    </x:row>
    <x:row r="18">
      <x:c r="A18" s="6" t="str">
        <x:v>PARTR-000017</x:v>
      </x:c>
      <x:c r="B18" s="6" t="str">
        <x:v>SVC000017</x:v>
      </x:c>
      <x:c r="C18" s="6" t="str">
        <x:v>Galaxy S 8 Plus Screen replacement</x:v>
      </x:c>
      <x:c r="D18" s="6"/>
      <x:c r="E18" s="6" t="str"/>
      <x:c r="F18" s="6" t="str"/>
      <x:c r="G18" s="6" t="str">
        <x:v>Unknown</x:v>
      </x:c>
      <x:c r="H18" s="6" t="str"/>
      <x:c r="I18" s="12" t="str">
        <x:v>Source Workbook</x:v>
      </x:c>
      <x:c r="J18" s="12" t="str">
        <x:v>Nocturnix_Master_Services_Catalog_v1.xlsx | 01 - Master Services | row 57</x:v>
      </x:c>
      <x:c r="K18" s="6" t="str">
        <x:v>Unresolved</x:v>
      </x:c>
      <x:c r="L18" s="6" t="str"/>
      <x:c r="M18" s="6" t="str"/>
      <x:c r="N18" s="6" t="str">
        <x:v>Pending</x:v>
      </x:c>
      <x:c r="O18" s="12" t="str"/>
    </x:row>
    <x:row r="19">
      <x:c r="A19" s="6" t="str">
        <x:v>PARTR-000018</x:v>
      </x:c>
      <x:c r="B19" s="6" t="str">
        <x:v>SVC000018</x:v>
      </x:c>
      <x:c r="C19" s="6" t="str">
        <x:v>Galaxy S 25 Plus Screen replacement</x:v>
      </x:c>
      <x:c r="D19" s="6"/>
      <x:c r="E19" s="6" t="str"/>
      <x:c r="F19" s="6" t="str"/>
      <x:c r="G19" s="6" t="str">
        <x:v>Unknown</x:v>
      </x:c>
      <x:c r="H19" s="6" t="str"/>
      <x:c r="I19" s="12" t="str">
        <x:v>Source Workbook</x:v>
      </x:c>
      <x:c r="J19" s="12" t="str">
        <x:v>Nocturnix_Master_Services_Catalog_v1.xlsx | 01 - Master Services | row 58</x:v>
      </x:c>
      <x:c r="K19" s="6" t="str">
        <x:v>Unresolved</x:v>
      </x:c>
      <x:c r="L19" s="6" t="str"/>
      <x:c r="M19" s="6" t="str"/>
      <x:c r="N19" s="6" t="str">
        <x:v>Pending</x:v>
      </x:c>
      <x:c r="O19" s="12" t="str"/>
    </x:row>
    <x:row r="20">
      <x:c r="A20" s="6" t="str">
        <x:v>PARTR-000019</x:v>
      </x:c>
      <x:c r="B20" s="6" t="str">
        <x:v>SVC000019</x:v>
      </x:c>
      <x:c r="C20" s="6" t="str">
        <x:v>Galaxy S 21 Screen replacement</x:v>
      </x:c>
      <x:c r="D20" s="6"/>
      <x:c r="E20" s="6" t="str"/>
      <x:c r="F20" s="6" t="str"/>
      <x:c r="G20" s="6" t="str">
        <x:v>Unknown</x:v>
      </x:c>
      <x:c r="H20" s="6" t="str"/>
      <x:c r="I20" s="12" t="str">
        <x:v>Source Workbook</x:v>
      </x:c>
      <x:c r="J20" s="12" t="str">
        <x:v>Nocturnix_Master_Services_Catalog_v1.xlsx | 01 - Master Services | row 59</x:v>
      </x:c>
      <x:c r="K20" s="6" t="str">
        <x:v>Unresolved</x:v>
      </x:c>
      <x:c r="L20" s="6" t="str"/>
      <x:c r="M20" s="6" t="str"/>
      <x:c r="N20" s="6" t="str">
        <x:v>Pending</x:v>
      </x:c>
      <x:c r="O20" s="12" t="str"/>
    </x:row>
    <x:row r="21">
      <x:c r="A21" s="6" t="str">
        <x:v>PARTR-000020</x:v>
      </x:c>
      <x:c r="B21" s="6" t="str">
        <x:v>SVC000020</x:v>
      </x:c>
      <x:c r="C21" s="6" t="str">
        <x:v>Galaxy S 22 Plus Screen replacement</x:v>
      </x:c>
      <x:c r="D21" s="6"/>
      <x:c r="E21" s="6" t="str"/>
      <x:c r="F21" s="6" t="str"/>
      <x:c r="G21" s="6" t="str">
        <x:v>Unknown</x:v>
      </x:c>
      <x:c r="H21" s="6" t="str"/>
      <x:c r="I21" s="12" t="str">
        <x:v>Source Workbook</x:v>
      </x:c>
      <x:c r="J21" s="12" t="str">
        <x:v>Nocturnix_Master_Services_Catalog_v1.xlsx | 01 - Master Services | row 60</x:v>
      </x:c>
      <x:c r="K21" s="6" t="str">
        <x:v>Unresolved</x:v>
      </x:c>
      <x:c r="L21" s="6" t="str"/>
      <x:c r="M21" s="6" t="str"/>
      <x:c r="N21" s="6" t="str">
        <x:v>Pending</x:v>
      </x:c>
      <x:c r="O21" s="12" t="str"/>
    </x:row>
    <x:row r="22">
      <x:c r="A22" s="6" t="str">
        <x:v>PARTR-000021</x:v>
      </x:c>
      <x:c r="B22" s="6" t="str">
        <x:v>SVC000021</x:v>
      </x:c>
      <x:c r="C22" s="6" t="str">
        <x:v>Galaxy S 22 Ultra Screen replacement</x:v>
      </x:c>
      <x:c r="D22" s="6"/>
      <x:c r="E22" s="6" t="str"/>
      <x:c r="F22" s="6" t="str"/>
      <x:c r="G22" s="6" t="str">
        <x:v>Unknown</x:v>
      </x:c>
      <x:c r="H22" s="6" t="str"/>
      <x:c r="I22" s="12" t="str">
        <x:v>Source Workbook</x:v>
      </x:c>
      <x:c r="J22" s="12" t="str">
        <x:v>Nocturnix_Master_Services_Catalog_v1.xlsx | 01 - Master Services | row 61</x:v>
      </x:c>
      <x:c r="K22" s="6" t="str">
        <x:v>Unresolved</x:v>
      </x:c>
      <x:c r="L22" s="6" t="str"/>
      <x:c r="M22" s="6" t="str"/>
      <x:c r="N22" s="6" t="str">
        <x:v>Pending</x:v>
      </x:c>
      <x:c r="O22" s="12" t="str"/>
    </x:row>
    <x:row r="23">
      <x:c r="A23" s="6" t="str">
        <x:v>PARTR-000022</x:v>
      </x:c>
      <x:c r="B23" s="6" t="str">
        <x:v>SVC000022</x:v>
      </x:c>
      <x:c r="C23" s="6" t="str">
        <x:v>Galaxy S 24 FE Battery Replacement</x:v>
      </x:c>
      <x:c r="D23" s="6"/>
      <x:c r="E23" s="6" t="str"/>
      <x:c r="F23" s="6" t="str"/>
      <x:c r="G23" s="6" t="str">
        <x:v>Unknown</x:v>
      </x:c>
      <x:c r="H23" s="6" t="str"/>
      <x:c r="I23" s="12" t="str">
        <x:v>Source Workbook</x:v>
      </x:c>
      <x:c r="J23" s="12" t="str">
        <x:v>Nocturnix_Master_Services_Catalog_v1.xlsx | 01 - Master Services | row 62</x:v>
      </x:c>
      <x:c r="K23" s="6" t="str">
        <x:v>Unresolved</x:v>
      </x:c>
      <x:c r="L23" s="6" t="str"/>
      <x:c r="M23" s="6" t="str"/>
      <x:c r="N23" s="6" t="str">
        <x:v>Pending</x:v>
      </x:c>
      <x:c r="O23" s="12" t="str"/>
    </x:row>
    <x:row r="24">
      <x:c r="A24" s="6" t="str">
        <x:v>PARTR-000023</x:v>
      </x:c>
      <x:c r="B24" s="6" t="str">
        <x:v>SVC000023</x:v>
      </x:c>
      <x:c r="C24" s="6" t="str">
        <x:v>Galaxy S 7 Active Screen replacement</x:v>
      </x:c>
      <x:c r="D24" s="6"/>
      <x:c r="E24" s="6" t="str"/>
      <x:c r="F24" s="6" t="str"/>
      <x:c r="G24" s="6" t="str">
        <x:v>Unknown</x:v>
      </x:c>
      <x:c r="H24" s="6" t="str"/>
      <x:c r="I24" s="12" t="str">
        <x:v>Source Workbook</x:v>
      </x:c>
      <x:c r="J24" s="12" t="str">
        <x:v>Nocturnix_Master_Services_Catalog_v1.xlsx | 01 - Master Services | row 63</x:v>
      </x:c>
      <x:c r="K24" s="6" t="str">
        <x:v>Unresolved</x:v>
      </x:c>
      <x:c r="L24" s="6" t="str"/>
      <x:c r="M24" s="6" t="str"/>
      <x:c r="N24" s="6" t="str">
        <x:v>Pending</x:v>
      </x:c>
      <x:c r="O24" s="12" t="str"/>
    </x:row>
    <x:row r="25">
      <x:c r="A25" s="6" t="str">
        <x:v>PARTR-000024</x:v>
      </x:c>
      <x:c r="B25" s="6" t="str">
        <x:v>SVC000024</x:v>
      </x:c>
      <x:c r="C25" s="6" t="str">
        <x:v>Galaxy S 10 Plus Screen replacement</x:v>
      </x:c>
      <x:c r="D25" s="6"/>
      <x:c r="E25" s="6" t="str"/>
      <x:c r="F25" s="6" t="str"/>
      <x:c r="G25" s="6" t="str">
        <x:v>Unknown</x:v>
      </x:c>
      <x:c r="H25" s="6" t="str"/>
      <x:c r="I25" s="12" t="str">
        <x:v>Source Workbook</x:v>
      </x:c>
      <x:c r="J25" s="12" t="str">
        <x:v>Nocturnix_Master_Services_Catalog_v1.xlsx | 01 - Master Services | row 64</x:v>
      </x:c>
      <x:c r="K25" s="6" t="str">
        <x:v>Unresolved</x:v>
      </x:c>
      <x:c r="L25" s="6" t="str"/>
      <x:c r="M25" s="6" t="str"/>
      <x:c r="N25" s="6" t="str">
        <x:v>Pending</x:v>
      </x:c>
      <x:c r="O25" s="12" t="str"/>
    </x:row>
    <x:row r="26">
      <x:c r="A26" s="6" t="str">
        <x:v>PARTR-000025</x:v>
      </x:c>
      <x:c r="B26" s="6" t="str">
        <x:v>SVC000025</x:v>
      </x:c>
      <x:c r="C26" s="6" t="str">
        <x:v>Galaxy S 6 Active Screen replacement</x:v>
      </x:c>
      <x:c r="D26" s="6"/>
      <x:c r="E26" s="6" t="str"/>
      <x:c r="F26" s="6" t="str"/>
      <x:c r="G26" s="6" t="str">
        <x:v>Unknown</x:v>
      </x:c>
      <x:c r="H26" s="6" t="str"/>
      <x:c r="I26" s="12" t="str">
        <x:v>Source Workbook</x:v>
      </x:c>
      <x:c r="J26" s="12" t="str">
        <x:v>Nocturnix_Master_Services_Catalog_v1.xlsx | 01 - Master Services | row 65</x:v>
      </x:c>
      <x:c r="K26" s="6" t="str">
        <x:v>Unresolved</x:v>
      </x:c>
      <x:c r="L26" s="6" t="str"/>
      <x:c r="M26" s="6" t="str"/>
      <x:c r="N26" s="6" t="str">
        <x:v>Pending</x:v>
      </x:c>
      <x:c r="O26" s="12" t="str"/>
    </x:row>
    <x:row r="27">
      <x:c r="A27" s="6" t="str">
        <x:v>PARTR-000026</x:v>
      </x:c>
      <x:c r="B27" s="6" t="str">
        <x:v>SVC000026</x:v>
      </x:c>
      <x:c r="C27" s="6" t="str">
        <x:v>Galaxy S 6 Screen replacement</x:v>
      </x:c>
      <x:c r="D27" s="6"/>
      <x:c r="E27" s="6" t="str"/>
      <x:c r="F27" s="6" t="str"/>
      <x:c r="G27" s="6" t="str">
        <x:v>Unknown</x:v>
      </x:c>
      <x:c r="H27" s="6" t="str"/>
      <x:c r="I27" s="12" t="str">
        <x:v>Source Workbook</x:v>
      </x:c>
      <x:c r="J27" s="12" t="str">
        <x:v>Nocturnix_Master_Services_Catalog_v1.xlsx | 01 - Master Services | row 66</x:v>
      </x:c>
      <x:c r="K27" s="6" t="str">
        <x:v>Unresolved</x:v>
      </x:c>
      <x:c r="L27" s="6" t="str"/>
      <x:c r="M27" s="6" t="str"/>
      <x:c r="N27" s="6" t="str">
        <x:v>Pending</x:v>
      </x:c>
      <x:c r="O27" s="12" t="str"/>
    </x:row>
    <x:row r="28">
      <x:c r="A28" s="6" t="str">
        <x:v>PARTR-000027</x:v>
      </x:c>
      <x:c r="B28" s="6" t="str">
        <x:v>SVC000027</x:v>
      </x:c>
      <x:c r="C28" s="6" t="str">
        <x:v>Galaxy S 21 FE Screen replacement</x:v>
      </x:c>
      <x:c r="D28" s="6"/>
      <x:c r="E28" s="6" t="str"/>
      <x:c r="F28" s="6" t="str"/>
      <x:c r="G28" s="6" t="str">
        <x:v>Unknown</x:v>
      </x:c>
      <x:c r="H28" s="6" t="str"/>
      <x:c r="I28" s="12" t="str">
        <x:v>Source Workbook</x:v>
      </x:c>
      <x:c r="J28" s="12" t="str">
        <x:v>Nocturnix_Master_Services_Catalog_v1.xlsx | 01 - Master Services | row 67</x:v>
      </x:c>
      <x:c r="K28" s="6" t="str">
        <x:v>Unresolved</x:v>
      </x:c>
      <x:c r="L28" s="6" t="str"/>
      <x:c r="M28" s="6" t="str"/>
      <x:c r="N28" s="6" t="str">
        <x:v>Pending</x:v>
      </x:c>
      <x:c r="O28" s="12" t="str"/>
    </x:row>
    <x:row r="29">
      <x:c r="A29" s="6" t="str">
        <x:v>PARTR-000028</x:v>
      </x:c>
      <x:c r="B29" s="6" t="str">
        <x:v>SVC000028</x:v>
      </x:c>
      <x:c r="C29" s="6" t="str">
        <x:v>Galaxy S 6 Edge Screen replacement</x:v>
      </x:c>
      <x:c r="D29" s="6"/>
      <x:c r="E29" s="6" t="str"/>
      <x:c r="F29" s="6" t="str"/>
      <x:c r="G29" s="6" t="str">
        <x:v>Unknown</x:v>
      </x:c>
      <x:c r="H29" s="6" t="str"/>
      <x:c r="I29" s="12" t="str">
        <x:v>Source Workbook</x:v>
      </x:c>
      <x:c r="J29" s="12" t="str">
        <x:v>Nocturnix_Master_Services_Catalog_v1.xlsx | 01 - Master Services | row 68</x:v>
      </x:c>
      <x:c r="K29" s="6" t="str">
        <x:v>Unresolved</x:v>
      </x:c>
      <x:c r="L29" s="6" t="str"/>
      <x:c r="M29" s="6" t="str"/>
      <x:c r="N29" s="6" t="str">
        <x:v>Pending</x:v>
      </x:c>
      <x:c r="O29" s="12" t="str"/>
    </x:row>
    <x:row r="30">
      <x:c r="A30" s="6" t="str">
        <x:v>PARTR-000029</x:v>
      </x:c>
      <x:c r="B30" s="6" t="str">
        <x:v>SVC000029</x:v>
      </x:c>
      <x:c r="C30" s="6" t="str">
        <x:v>Galaxy S 21 Plus Screen replacement</x:v>
      </x:c>
      <x:c r="D30" s="6"/>
      <x:c r="E30" s="6" t="str"/>
      <x:c r="F30" s="6" t="str"/>
      <x:c r="G30" s="6" t="str">
        <x:v>Unknown</x:v>
      </x:c>
      <x:c r="H30" s="6" t="str"/>
      <x:c r="I30" s="12" t="str">
        <x:v>Source Workbook</x:v>
      </x:c>
      <x:c r="J30" s="12" t="str">
        <x:v>Nocturnix_Master_Services_Catalog_v1.xlsx | 01 - Master Services | row 69</x:v>
      </x:c>
      <x:c r="K30" s="6" t="str">
        <x:v>Unresolved</x:v>
      </x:c>
      <x:c r="L30" s="6" t="str"/>
      <x:c r="M30" s="6" t="str"/>
      <x:c r="N30" s="6" t="str">
        <x:v>Pending</x:v>
      </x:c>
      <x:c r="O30" s="12" t="str"/>
    </x:row>
    <x:row r="31">
      <x:c r="A31" s="6" t="str">
        <x:v>PARTR-000030</x:v>
      </x:c>
      <x:c r="B31" s="6" t="str">
        <x:v>SVC000030</x:v>
      </x:c>
      <x:c r="C31" s="6" t="str">
        <x:v>Galaxy S 6 Edge Plus Screen replacement</x:v>
      </x:c>
      <x:c r="D31" s="6"/>
      <x:c r="E31" s="6" t="str"/>
      <x:c r="F31" s="6" t="str"/>
      <x:c r="G31" s="6" t="str">
        <x:v>Unknown</x:v>
      </x:c>
      <x:c r="H31" s="6" t="str"/>
      <x:c r="I31" s="12" t="str">
        <x:v>Source Workbook</x:v>
      </x:c>
      <x:c r="J31" s="12" t="str">
        <x:v>Nocturnix_Master_Services_Catalog_v1.xlsx | 01 - Master Services | row 70</x:v>
      </x:c>
      <x:c r="K31" s="6" t="str">
        <x:v>Unresolved</x:v>
      </x:c>
      <x:c r="L31" s="6" t="str"/>
      <x:c r="M31" s="6" t="str"/>
      <x:c r="N31" s="6" t="str">
        <x:v>Pending</x:v>
      </x:c>
      <x:c r="O31" s="12" t="str"/>
    </x:row>
    <x:row r="32">
      <x:c r="A32" s="6" t="str">
        <x:v>PARTR-000031</x:v>
      </x:c>
      <x:c r="B32" s="6" t="str">
        <x:v>SVC000031</x:v>
      </x:c>
      <x:c r="C32" s="6" t="str">
        <x:v>Galaxy S 25 Screen replacement</x:v>
      </x:c>
      <x:c r="D32" s="6"/>
      <x:c r="E32" s="6" t="str"/>
      <x:c r="F32" s="6" t="str"/>
      <x:c r="G32" s="6" t="str">
        <x:v>Unknown</x:v>
      </x:c>
      <x:c r="H32" s="6" t="str"/>
      <x:c r="I32" s="12" t="str">
        <x:v>Source Workbook</x:v>
      </x:c>
      <x:c r="J32" s="12" t="str">
        <x:v>Nocturnix_Master_Services_Catalog_v1.xlsx | 01 - Master Services | row 71</x:v>
      </x:c>
      <x:c r="K32" s="6" t="str">
        <x:v>Unresolved</x:v>
      </x:c>
      <x:c r="L32" s="6" t="str"/>
      <x:c r="M32" s="6" t="str"/>
      <x:c r="N32" s="6" t="str">
        <x:v>Pending</x:v>
      </x:c>
      <x:c r="O32" s="12" t="str"/>
    </x:row>
    <x:row r="33">
      <x:c r="A33" s="6" t="str">
        <x:v>PARTR-000032</x:v>
      </x:c>
      <x:c r="B33" s="6" t="str">
        <x:v>SVC000032</x:v>
      </x:c>
      <x:c r="C33" s="6" t="str">
        <x:v>Galaxy S 10 E Screen replacement</x:v>
      </x:c>
      <x:c r="D33" s="6"/>
      <x:c r="E33" s="6" t="str"/>
      <x:c r="F33" s="6" t="str"/>
      <x:c r="G33" s="6" t="str">
        <x:v>Unknown</x:v>
      </x:c>
      <x:c r="H33" s="6" t="str"/>
      <x:c r="I33" s="12" t="str">
        <x:v>Source Workbook</x:v>
      </x:c>
      <x:c r="J33" s="12" t="str">
        <x:v>Nocturnix_Master_Services_Catalog_v1.xlsx | 01 - Master Services | row 72</x:v>
      </x:c>
      <x:c r="K33" s="6" t="str">
        <x:v>Unresolved</x:v>
      </x:c>
      <x:c r="L33" s="6" t="str"/>
      <x:c r="M33" s="6" t="str"/>
      <x:c r="N33" s="6" t="str">
        <x:v>Pending</x:v>
      </x:c>
      <x:c r="O33" s="12" t="str"/>
    </x:row>
    <x:row r="34">
      <x:c r="A34" s="6" t="str">
        <x:v>PARTR-000033</x:v>
      </x:c>
      <x:c r="B34" s="6" t="str">
        <x:v>SVC000033</x:v>
      </x:c>
      <x:c r="C34" s="6" t="str">
        <x:v>Galaxy S 23 Plus Screen replacement</x:v>
      </x:c>
      <x:c r="D34" s="6"/>
      <x:c r="E34" s="6" t="str"/>
      <x:c r="F34" s="6" t="str"/>
      <x:c r="G34" s="6" t="str">
        <x:v>Unknown</x:v>
      </x:c>
      <x:c r="H34" s="6" t="str"/>
      <x:c r="I34" s="12" t="str">
        <x:v>Source Workbook</x:v>
      </x:c>
      <x:c r="J34" s="12" t="str">
        <x:v>Nocturnix_Master_Services_Catalog_v1.xlsx | 01 - Master Services | row 73</x:v>
      </x:c>
      <x:c r="K34" s="6" t="str">
        <x:v>Unresolved</x:v>
      </x:c>
      <x:c r="L34" s="6" t="str"/>
      <x:c r="M34" s="6" t="str"/>
      <x:c r="N34" s="6" t="str">
        <x:v>Pending</x:v>
      </x:c>
      <x:c r="O34" s="12" t="str"/>
    </x:row>
    <x:row r="35">
      <x:c r="A35" s="6" t="str">
        <x:v>PARTR-000034</x:v>
      </x:c>
      <x:c r="B35" s="6" t="str">
        <x:v>SVC000034</x:v>
      </x:c>
      <x:c r="C35" s="6" t="str">
        <x:v>Galaxy S 8 Screen replacement</x:v>
      </x:c>
      <x:c r="D35" s="6"/>
      <x:c r="E35" s="6" t="str"/>
      <x:c r="F35" s="6" t="str"/>
      <x:c r="G35" s="6" t="str">
        <x:v>Unknown</x:v>
      </x:c>
      <x:c r="H35" s="6" t="str"/>
      <x:c r="I35" s="12" t="str">
        <x:v>Source Workbook</x:v>
      </x:c>
      <x:c r="J35" s="12" t="str">
        <x:v>Nocturnix_Master_Services_Catalog_v1.xlsx | 01 - Master Services | row 74</x:v>
      </x:c>
      <x:c r="K35" s="6" t="str">
        <x:v>Unresolved</x:v>
      </x:c>
      <x:c r="L35" s="6" t="str"/>
      <x:c r="M35" s="6" t="str"/>
      <x:c r="N35" s="6" t="str">
        <x:v>Pending</x:v>
      </x:c>
      <x:c r="O35" s="12" t="str"/>
    </x:row>
    <x:row r="36">
      <x:c r="A36" s="6" t="str">
        <x:v>PARTR-000035</x:v>
      </x:c>
      <x:c r="B36" s="6" t="str">
        <x:v>SVC000035</x:v>
      </x:c>
      <x:c r="C36" s="6" t="str">
        <x:v>Galaxy S 20 Screen replacement</x:v>
      </x:c>
      <x:c r="D36" s="6"/>
      <x:c r="E36" s="6" t="str"/>
      <x:c r="F36" s="6" t="str"/>
      <x:c r="G36" s="6" t="str">
        <x:v>Unknown</x:v>
      </x:c>
      <x:c r="H36" s="6" t="str"/>
      <x:c r="I36" s="12" t="str">
        <x:v>Source Workbook</x:v>
      </x:c>
      <x:c r="J36" s="12" t="str">
        <x:v>Nocturnix_Master_Services_Catalog_v1.xlsx | 01 - Master Services | row 75</x:v>
      </x:c>
      <x:c r="K36" s="6" t="str">
        <x:v>Unresolved</x:v>
      </x:c>
      <x:c r="L36" s="6" t="str"/>
      <x:c r="M36" s="6" t="str"/>
      <x:c r="N36" s="6" t="str">
        <x:v>Pending</x:v>
      </x:c>
      <x:c r="O36" s="12" t="str"/>
    </x:row>
    <x:row r="37">
      <x:c r="A37" s="6" t="str">
        <x:v>PARTR-000036</x:v>
      </x:c>
      <x:c r="B37" s="6" t="str">
        <x:v>SVC000036</x:v>
      </x:c>
      <x:c r="C37" s="6" t="str">
        <x:v>Galaxy S 20 Ultra Screen replacement</x:v>
      </x:c>
      <x:c r="D37" s="6"/>
      <x:c r="E37" s="6" t="str"/>
      <x:c r="F37" s="6" t="str"/>
      <x:c r="G37" s="6" t="str">
        <x:v>Unknown</x:v>
      </x:c>
      <x:c r="H37" s="6" t="str"/>
      <x:c r="I37" s="12" t="str">
        <x:v>Source Workbook</x:v>
      </x:c>
      <x:c r="J37" s="12" t="str">
        <x:v>Nocturnix_Master_Services_Catalog_v1.xlsx | 01 - Master Services | row 76</x:v>
      </x:c>
      <x:c r="K37" s="6" t="str">
        <x:v>Unresolved</x:v>
      </x:c>
      <x:c r="L37" s="6" t="str"/>
      <x:c r="M37" s="6" t="str"/>
      <x:c r="N37" s="6" t="str">
        <x:v>Pending</x:v>
      </x:c>
      <x:c r="O37" s="12" t="str"/>
    </x:row>
    <x:row r="38">
      <x:c r="A38" s="6" t="str">
        <x:v>PARTR-000037</x:v>
      </x:c>
      <x:c r="B38" s="6" t="str">
        <x:v>SVC000037</x:v>
      </x:c>
      <x:c r="C38" s="6" t="str">
        <x:v>Galaxy S 24 Plus Screen replacement</x:v>
      </x:c>
      <x:c r="D38" s="6"/>
      <x:c r="E38" s="6" t="str"/>
      <x:c r="F38" s="6" t="str"/>
      <x:c r="G38" s="6" t="str">
        <x:v>Unknown</x:v>
      </x:c>
      <x:c r="H38" s="6" t="str"/>
      <x:c r="I38" s="12" t="str">
        <x:v>Source Workbook</x:v>
      </x:c>
      <x:c r="J38" s="12" t="str">
        <x:v>Nocturnix_Master_Services_Catalog_v1.xlsx | 01 - Master Services | row 77</x:v>
      </x:c>
      <x:c r="K38" s="6" t="str">
        <x:v>Unresolved</x:v>
      </x:c>
      <x:c r="L38" s="6" t="str"/>
      <x:c r="M38" s="6" t="str"/>
      <x:c r="N38" s="6" t="str">
        <x:v>Pending</x:v>
      </x:c>
      <x:c r="O38" s="12" t="str"/>
    </x:row>
    <x:row r="39">
      <x:c r="A39" s="6" t="str">
        <x:v>PARTR-000038</x:v>
      </x:c>
      <x:c r="B39" s="6" t="str">
        <x:v>SVC000038</x:v>
      </x:c>
      <x:c r="C39" s="6" t="str">
        <x:v>Galaxy S 7 Screen replacement</x:v>
      </x:c>
      <x:c r="D39" s="6"/>
      <x:c r="E39" s="6" t="str"/>
      <x:c r="F39" s="6" t="str"/>
      <x:c r="G39" s="6" t="str">
        <x:v>Unknown</x:v>
      </x:c>
      <x:c r="H39" s="6" t="str"/>
      <x:c r="I39" s="12" t="str">
        <x:v>Source Workbook</x:v>
      </x:c>
      <x:c r="J39" s="12" t="str">
        <x:v>Nocturnix_Master_Services_Catalog_v1.xlsx | 01 - Master Services | row 78</x:v>
      </x:c>
      <x:c r="K39" s="6" t="str">
        <x:v>Unresolved</x:v>
      </x:c>
      <x:c r="L39" s="6" t="str"/>
      <x:c r="M39" s="6" t="str"/>
      <x:c r="N39" s="6" t="str">
        <x:v>Pending</x:v>
      </x:c>
      <x:c r="O39" s="12" t="str"/>
    </x:row>
    <x:row r="40">
      <x:c r="A40" s="6" t="str">
        <x:v>PARTR-000039</x:v>
      </x:c>
      <x:c r="B40" s="6" t="str">
        <x:v>SVC000039</x:v>
      </x:c>
      <x:c r="C40" s="6" t="str">
        <x:v>Galaxy S 10 Screen replacement</x:v>
      </x:c>
      <x:c r="D40" s="6"/>
      <x:c r="E40" s="6" t="str"/>
      <x:c r="F40" s="6" t="str"/>
      <x:c r="G40" s="6" t="str">
        <x:v>Unknown</x:v>
      </x:c>
      <x:c r="H40" s="6" t="str"/>
      <x:c r="I40" s="12" t="str">
        <x:v>Source Workbook</x:v>
      </x:c>
      <x:c r="J40" s="12" t="str">
        <x:v>Nocturnix_Master_Services_Catalog_v1.xlsx | 01 - Master Services | row 79</x:v>
      </x:c>
      <x:c r="K40" s="6" t="str">
        <x:v>Unresolved</x:v>
      </x:c>
      <x:c r="L40" s="6" t="str"/>
      <x:c r="M40" s="6" t="str"/>
      <x:c r="N40" s="6" t="str">
        <x:v>Pending</x:v>
      </x:c>
      <x:c r="O40" s="12" t="str"/>
    </x:row>
    <x:row r="41">
      <x:c r="A41" s="6" t="str">
        <x:v>PARTR-000040</x:v>
      </x:c>
      <x:c r="B41" s="6" t="str">
        <x:v>SVC000040</x:v>
      </x:c>
      <x:c r="C41" s="6" t="str">
        <x:v>Galaxy S 7 Edge Screen replacement</x:v>
      </x:c>
      <x:c r="D41" s="6"/>
      <x:c r="E41" s="6" t="str"/>
      <x:c r="F41" s="6" t="str"/>
      <x:c r="G41" s="6" t="str">
        <x:v>Unknown</x:v>
      </x:c>
      <x:c r="H41" s="6" t="str"/>
      <x:c r="I41" s="12" t="str">
        <x:v>Source Workbook</x:v>
      </x:c>
      <x:c r="J41" s="12" t="str">
        <x:v>Nocturnix_Master_Services_Catalog_v1.xlsx | 01 - Master Services | row 80</x:v>
      </x:c>
      <x:c r="K41" s="6" t="str">
        <x:v>Unresolved</x:v>
      </x:c>
      <x:c r="L41" s="6" t="str"/>
      <x:c r="M41" s="6" t="str"/>
      <x:c r="N41" s="6" t="str">
        <x:v>Pending</x:v>
      </x:c>
      <x:c r="O41" s="12" t="str"/>
    </x:row>
    <x:row r="42">
      <x:c r="A42" s="6" t="str">
        <x:v>PARTR-000041</x:v>
      </x:c>
      <x:c r="B42" s="6" t="str">
        <x:v>SVC000041</x:v>
      </x:c>
      <x:c r="C42" s="6" t="str">
        <x:v>Galaxy S 9 Screen replacement</x:v>
      </x:c>
      <x:c r="D42" s="6"/>
      <x:c r="E42" s="6" t="str"/>
      <x:c r="F42" s="6" t="str"/>
      <x:c r="G42" s="6" t="str">
        <x:v>Unknown</x:v>
      </x:c>
      <x:c r="H42" s="6" t="str"/>
      <x:c r="I42" s="12" t="str">
        <x:v>Source Workbook</x:v>
      </x:c>
      <x:c r="J42" s="12" t="str">
        <x:v>Nocturnix_Master_Services_Catalog_v1.xlsx | 01 - Master Services | row 81</x:v>
      </x:c>
      <x:c r="K42" s="6" t="str">
        <x:v>Unresolved</x:v>
      </x:c>
      <x:c r="L42" s="6" t="str"/>
      <x:c r="M42" s="6" t="str"/>
      <x:c r="N42" s="6" t="str">
        <x:v>Pending</x:v>
      </x:c>
      <x:c r="O42" s="12" t="str"/>
    </x:row>
    <x:row r="43">
      <x:c r="A43" s="6" t="str">
        <x:v>PARTR-000042</x:v>
      </x:c>
      <x:c r="B43" s="6" t="str">
        <x:v>SVC000042</x:v>
      </x:c>
      <x:c r="C43" s="6" t="str">
        <x:v>Galaxy S 23 Screen replacement</x:v>
      </x:c>
      <x:c r="D43" s="6"/>
      <x:c r="E43" s="6" t="str"/>
      <x:c r="F43" s="6" t="str"/>
      <x:c r="G43" s="6" t="str">
        <x:v>Unknown</x:v>
      </x:c>
      <x:c r="H43" s="6" t="str"/>
      <x:c r="I43" s="12" t="str">
        <x:v>Source Workbook</x:v>
      </x:c>
      <x:c r="J43" s="12" t="str">
        <x:v>Nocturnix_Master_Services_Catalog_v1.xlsx | 01 - Master Services | row 82</x:v>
      </x:c>
      <x:c r="K43" s="6" t="str">
        <x:v>Unresolved</x:v>
      </x:c>
      <x:c r="L43" s="6" t="str"/>
      <x:c r="M43" s="6" t="str"/>
      <x:c r="N43" s="6" t="str">
        <x:v>Pending</x:v>
      </x:c>
      <x:c r="O43" s="12" t="str"/>
    </x:row>
    <x:row r="44">
      <x:c r="A44" s="6" t="str">
        <x:v>PARTR-000043</x:v>
      </x:c>
      <x:c r="B44" s="6" t="str">
        <x:v>SVC000043</x:v>
      </x:c>
      <x:c r="C44" s="6" t="str">
        <x:v>Galaxy S 23 FE Screen replacement</x:v>
      </x:c>
      <x:c r="D44" s="6"/>
      <x:c r="E44" s="6" t="str"/>
      <x:c r="F44" s="6" t="str"/>
      <x:c r="G44" s="6" t="str">
        <x:v>Unknown</x:v>
      </x:c>
      <x:c r="H44" s="6" t="str"/>
      <x:c r="I44" s="12" t="str">
        <x:v>Source Workbook</x:v>
      </x:c>
      <x:c r="J44" s="12" t="str">
        <x:v>Nocturnix_Master_Services_Catalog_v1.xlsx | 01 - Master Services | row 83</x:v>
      </x:c>
      <x:c r="K44" s="6" t="str">
        <x:v>Unresolved</x:v>
      </x:c>
      <x:c r="L44" s="6" t="str"/>
      <x:c r="M44" s="6" t="str"/>
      <x:c r="N44" s="6" t="str">
        <x:v>Pending</x:v>
      </x:c>
      <x:c r="O44" s="12" t="str"/>
    </x:row>
    <x:row r="45">
      <x:c r="A45" s="6" t="str">
        <x:v>PARTR-000044</x:v>
      </x:c>
      <x:c r="B45" s="6" t="str">
        <x:v>SVC000044</x:v>
      </x:c>
      <x:c r="C45" s="6" t="str">
        <x:v>Galaxy S3 Mini Screen replacement</x:v>
      </x:c>
      <x:c r="D45" s="6"/>
      <x:c r="E45" s="6" t="str"/>
      <x:c r="F45" s="6" t="str"/>
      <x:c r="G45" s="6" t="str">
        <x:v>Unknown</x:v>
      </x:c>
      <x:c r="H45" s="6" t="str"/>
      <x:c r="I45" s="12" t="str">
        <x:v>Source Workbook</x:v>
      </x:c>
      <x:c r="J45" s="12" t="str">
        <x:v>Nocturnix_Master_Services_Catalog_v1.xlsx | 01 - Master Services | row 84</x:v>
      </x:c>
      <x:c r="K45" s="6" t="str">
        <x:v>Unresolved</x:v>
      </x:c>
      <x:c r="L45" s="6" t="str"/>
      <x:c r="M45" s="6" t="str"/>
      <x:c r="N45" s="6" t="str">
        <x:v>Pending</x:v>
      </x:c>
      <x:c r="O45" s="12" t="str"/>
    </x:row>
    <x:row r="46">
      <x:c r="A46" s="6" t="str">
        <x:v>PARTR-000045</x:v>
      </x:c>
      <x:c r="B46" s="6" t="str">
        <x:v>SVC000045</x:v>
      </x:c>
      <x:c r="C46" s="6" t="str">
        <x:v>Galaxy S 4 Mini Screen replacement</x:v>
      </x:c>
      <x:c r="D46" s="6"/>
      <x:c r="E46" s="6" t="str"/>
      <x:c r="F46" s="6" t="str"/>
      <x:c r="G46" s="6" t="str">
        <x:v>Unknown</x:v>
      </x:c>
      <x:c r="H46" s="6" t="str"/>
      <x:c r="I46" s="12" t="str">
        <x:v>Source Workbook</x:v>
      </x:c>
      <x:c r="J46" s="12" t="str">
        <x:v>Nocturnix_Master_Services_Catalog_v1.xlsx | 01 - Master Services | row 85</x:v>
      </x:c>
      <x:c r="K46" s="6" t="str">
        <x:v>Unresolved</x:v>
      </x:c>
      <x:c r="L46" s="6" t="str"/>
      <x:c r="M46" s="6" t="str"/>
      <x:c r="N46" s="6" t="str">
        <x:v>Pending</x:v>
      </x:c>
      <x:c r="O46" s="12" t="str"/>
    </x:row>
    <x:row r="47">
      <x:c r="A47" s="6" t="str">
        <x:v>PARTR-000046</x:v>
      </x:c>
      <x:c r="B47" s="6" t="str">
        <x:v>SVC000046</x:v>
      </x:c>
      <x:c r="C47" s="6" t="str">
        <x:v>Galaxy S Classic Screen replacement</x:v>
      </x:c>
      <x:c r="D47" s="6"/>
      <x:c r="E47" s="6" t="str"/>
      <x:c r="F47" s="6" t="str"/>
      <x:c r="G47" s="6" t="str">
        <x:v>Unknown</x:v>
      </x:c>
      <x:c r="H47" s="6" t="str"/>
      <x:c r="I47" s="12" t="str">
        <x:v>Source Workbook</x:v>
      </x:c>
      <x:c r="J47" s="12" t="str">
        <x:v>Nocturnix_Master_Services_Catalog_v1.xlsx | 01 - Master Services | row 86</x:v>
      </x:c>
      <x:c r="K47" s="6" t="str">
        <x:v>Unresolved</x:v>
      </x:c>
      <x:c r="L47" s="6" t="str"/>
      <x:c r="M47" s="6" t="str"/>
      <x:c r="N47" s="6" t="str">
        <x:v>Pending</x:v>
      </x:c>
      <x:c r="O47" s="12" t="str"/>
    </x:row>
    <x:row r="48">
      <x:c r="A48" s="6" t="str">
        <x:v>PARTR-000047</x:v>
      </x:c>
      <x:c r="B48" s="6" t="str">
        <x:v>SVC000047</x:v>
      </x:c>
      <x:c r="C48" s="6" t="str">
        <x:v>Galaxy S 5 Active Screen replacement</x:v>
      </x:c>
      <x:c r="D48" s="6"/>
      <x:c r="E48" s="6" t="str"/>
      <x:c r="F48" s="6" t="str"/>
      <x:c r="G48" s="6" t="str">
        <x:v>Unknown</x:v>
      </x:c>
      <x:c r="H48" s="6" t="str"/>
      <x:c r="I48" s="12" t="str">
        <x:v>Source Workbook</x:v>
      </x:c>
      <x:c r="J48" s="12" t="str">
        <x:v>Nocturnix_Master_Services_Catalog_v1.xlsx | 01 - Master Services | row 87</x:v>
      </x:c>
      <x:c r="K48" s="6" t="str">
        <x:v>Unresolved</x:v>
      </x:c>
      <x:c r="L48" s="6" t="str"/>
      <x:c r="M48" s="6" t="str"/>
      <x:c r="N48" s="6" t="str">
        <x:v>Pending</x:v>
      </x:c>
      <x:c r="O48" s="12" t="str"/>
    </x:row>
    <x:row r="49">
      <x:c r="A49" s="6" t="str">
        <x:v>PARTR-000048</x:v>
      </x:c>
      <x:c r="B49" s="6" t="str">
        <x:v>SVC000048</x:v>
      </x:c>
      <x:c r="C49" s="6" t="str">
        <x:v>Galaxy S 5 Neo Screen replacement</x:v>
      </x:c>
      <x:c r="D49" s="6"/>
      <x:c r="E49" s="6" t="str"/>
      <x:c r="F49" s="6" t="str"/>
      <x:c r="G49" s="6" t="str">
        <x:v>Unknown</x:v>
      </x:c>
      <x:c r="H49" s="6" t="str"/>
      <x:c r="I49" s="12" t="str">
        <x:v>Source Workbook</x:v>
      </x:c>
      <x:c r="J49" s="12" t="str">
        <x:v>Nocturnix_Master_Services_Catalog_v1.xlsx | 01 - Master Services | row 88</x:v>
      </x:c>
      <x:c r="K49" s="6" t="str">
        <x:v>Unresolved</x:v>
      </x:c>
      <x:c r="L49" s="6" t="str"/>
      <x:c r="M49" s="6" t="str"/>
      <x:c r="N49" s="6" t="str">
        <x:v>Pending</x:v>
      </x:c>
      <x:c r="O49" s="12" t="str"/>
    </x:row>
    <x:row r="50">
      <x:c r="A50" s="6" t="str">
        <x:v>PARTR-000049</x:v>
      </x:c>
      <x:c r="B50" s="6" t="str">
        <x:v>SVC000049</x:v>
      </x:c>
      <x:c r="C50" s="6" t="str">
        <x:v>Galaxy S2 Screen replacement</x:v>
      </x:c>
      <x:c r="D50" s="6"/>
      <x:c r="E50" s="6" t="str"/>
      <x:c r="F50" s="6" t="str"/>
      <x:c r="G50" s="6" t="str">
        <x:v>Unknown</x:v>
      </x:c>
      <x:c r="H50" s="6" t="str"/>
      <x:c r="I50" s="12" t="str">
        <x:v>Source Workbook</x:v>
      </x:c>
      <x:c r="J50" s="12" t="str">
        <x:v>Nocturnix_Master_Services_Catalog_v1.xlsx | 01 - Master Services | row 89</x:v>
      </x:c>
      <x:c r="K50" s="6" t="str">
        <x:v>Unresolved</x:v>
      </x:c>
      <x:c r="L50" s="6" t="str"/>
      <x:c r="M50" s="6" t="str"/>
      <x:c r="N50" s="6" t="str">
        <x:v>Pending</x:v>
      </x:c>
      <x:c r="O50" s="12" t="str"/>
    </x:row>
    <x:row r="51">
      <x:c r="A51" s="6" t="str">
        <x:v>PARTR-000050</x:v>
      </x:c>
      <x:c r="B51" s="6" t="str">
        <x:v>SVC000050</x:v>
      </x:c>
      <x:c r="C51" s="6" t="str">
        <x:v>Galaxy S3 Neo Screen replacement</x:v>
      </x:c>
      <x:c r="D51" s="6"/>
      <x:c r="E51" s="6" t="str"/>
      <x:c r="F51" s="6" t="str"/>
      <x:c r="G51" s="6" t="str">
        <x:v>Unknown</x:v>
      </x:c>
      <x:c r="H51" s="6" t="str"/>
      <x:c r="I51" s="12" t="str">
        <x:v>Source Workbook</x:v>
      </x:c>
      <x:c r="J51" s="12" t="str">
        <x:v>Nocturnix_Master_Services_Catalog_v1.xlsx | 01 - Master Services | row 90</x:v>
      </x:c>
      <x:c r="K51" s="6" t="str">
        <x:v>Unresolved</x:v>
      </x:c>
      <x:c r="L51" s="6" t="str"/>
      <x:c r="M51" s="6" t="str"/>
      <x:c r="N51" s="6" t="str">
        <x:v>Pending</x:v>
      </x:c>
      <x:c r="O51" s="12" t="str"/>
    </x:row>
    <x:row r="52">
      <x:c r="A52" s="6" t="str">
        <x:v>PARTR-000051</x:v>
      </x:c>
      <x:c r="B52" s="6" t="str">
        <x:v>SVC000051</x:v>
      </x:c>
      <x:c r="C52" s="6" t="str">
        <x:v>Galaxy S3 Screen replacement</x:v>
      </x:c>
      <x:c r="D52" s="6"/>
      <x:c r="E52" s="6" t="str"/>
      <x:c r="F52" s="6" t="str"/>
      <x:c r="G52" s="6" t="str">
        <x:v>Unknown</x:v>
      </x:c>
      <x:c r="H52" s="6" t="str"/>
      <x:c r="I52" s="12" t="str">
        <x:v>Source Workbook</x:v>
      </x:c>
      <x:c r="J52" s="12" t="str">
        <x:v>Nocturnix_Master_Services_Catalog_v1.xlsx | 01 - Master Services | row 91</x:v>
      </x:c>
      <x:c r="K52" s="6" t="str">
        <x:v>Unresolved</x:v>
      </x:c>
      <x:c r="L52" s="6" t="str"/>
      <x:c r="M52" s="6" t="str"/>
      <x:c r="N52" s="6" t="str">
        <x:v>Pending</x:v>
      </x:c>
      <x:c r="O52" s="12" t="str"/>
    </x:row>
    <x:row r="53">
      <x:c r="A53" s="6" t="str">
        <x:v>PARTR-000052</x:v>
      </x:c>
      <x:c r="B53" s="6" t="str">
        <x:v>SVC000052</x:v>
      </x:c>
      <x:c r="C53" s="6" t="str">
        <x:v>Galaxy S4 Screen replacement</x:v>
      </x:c>
      <x:c r="D53" s="6"/>
      <x:c r="E53" s="6" t="str"/>
      <x:c r="F53" s="6" t="str"/>
      <x:c r="G53" s="6" t="str">
        <x:v>Unknown</x:v>
      </x:c>
      <x:c r="H53" s="6" t="str"/>
      <x:c r="I53" s="12" t="str">
        <x:v>Source Workbook</x:v>
      </x:c>
      <x:c r="J53" s="12" t="str">
        <x:v>Nocturnix_Master_Services_Catalog_v1.xlsx | 01 - Master Services | row 92</x:v>
      </x:c>
      <x:c r="K53" s="6" t="str">
        <x:v>Unresolved</x:v>
      </x:c>
      <x:c r="L53" s="6" t="str"/>
      <x:c r="M53" s="6" t="str"/>
      <x:c r="N53" s="6" t="str">
        <x:v>Pending</x:v>
      </x:c>
      <x:c r="O53" s="12" t="str"/>
    </x:row>
    <x:row r="54">
      <x:c r="A54" s="6" t="str">
        <x:v>PARTR-000053</x:v>
      </x:c>
      <x:c r="B54" s="6" t="str">
        <x:v>SVC000053</x:v>
      </x:c>
      <x:c r="C54" s="6" t="str">
        <x:v>Galaxy S 4 Active Screen replacement</x:v>
      </x:c>
      <x:c r="D54" s="6"/>
      <x:c r="E54" s="6" t="str"/>
      <x:c r="F54" s="6" t="str"/>
      <x:c r="G54" s="6" t="str">
        <x:v>Unknown</x:v>
      </x:c>
      <x:c r="H54" s="6" t="str"/>
      <x:c r="I54" s="12" t="str">
        <x:v>Source Workbook</x:v>
      </x:c>
      <x:c r="J54" s="12" t="str">
        <x:v>Nocturnix_Master_Services_Catalog_v1.xlsx | 01 - Master Services | row 93</x:v>
      </x:c>
      <x:c r="K54" s="6" t="str">
        <x:v>Unresolved</x:v>
      </x:c>
      <x:c r="L54" s="6" t="str"/>
      <x:c r="M54" s="6" t="str"/>
      <x:c r="N54" s="6" t="str">
        <x:v>Pending</x:v>
      </x:c>
      <x:c r="O54" s="12" t="str"/>
    </x:row>
    <x:row r="55">
      <x:c r="A55" s="6" t="str">
        <x:v>PARTR-000054</x:v>
      </x:c>
      <x:c r="B55" s="6" t="str">
        <x:v>SVC000054</x:v>
      </x:c>
      <x:c r="C55" s="6" t="str">
        <x:v>Galaxy S 5 Screen replacement</x:v>
      </x:c>
      <x:c r="D55" s="6"/>
      <x:c r="E55" s="6" t="str"/>
      <x:c r="F55" s="6" t="str"/>
      <x:c r="G55" s="6" t="str">
        <x:v>Unknown</x:v>
      </x:c>
      <x:c r="H55" s="6" t="str"/>
      <x:c r="I55" s="12" t="str">
        <x:v>Source Workbook</x:v>
      </x:c>
      <x:c r="J55" s="12" t="str">
        <x:v>Nocturnix_Master_Services_Catalog_v1.xlsx | 01 - Master Services | row 94</x:v>
      </x:c>
      <x:c r="K55" s="6" t="str">
        <x:v>Unresolved</x:v>
      </x:c>
      <x:c r="L55" s="6" t="str"/>
      <x:c r="M55" s="6" t="str"/>
      <x:c r="N55" s="6" t="str">
        <x:v>Pending</x:v>
      </x:c>
      <x:c r="O55" s="12" t="str"/>
    </x:row>
    <x:row r="56">
      <x:c r="A56" s="6" t="str">
        <x:v>PARTR-000055</x:v>
      </x:c>
      <x:c r="B56" s="6" t="str">
        <x:v>SVC000055</x:v>
      </x:c>
      <x:c r="C56" s="6" t="str">
        <x:v>iPhone X Screen replacement</x:v>
      </x:c>
      <x:c r="D56" s="6"/>
      <x:c r="E56" s="6" t="str"/>
      <x:c r="F56" s="6" t="str"/>
      <x:c r="G56" s="6" t="str">
        <x:v>Unknown</x:v>
      </x:c>
      <x:c r="H56" s="6" t="str"/>
      <x:c r="I56" s="12" t="str">
        <x:v>Source Workbook</x:v>
      </x:c>
      <x:c r="J56" s="12" t="str">
        <x:v>Nocturnix_Master_Services_Catalog_v1.xlsx | 01 - Master Services | row 95</x:v>
      </x:c>
      <x:c r="K56" s="6" t="str">
        <x:v>Unresolved</x:v>
      </x:c>
      <x:c r="L56" s="6" t="str"/>
      <x:c r="M56" s="6" t="str"/>
      <x:c r="N56" s="6" t="str">
        <x:v>Pending</x:v>
      </x:c>
      <x:c r="O56" s="12" t="str"/>
    </x:row>
    <x:row r="57">
      <x:c r="A57" s="6" t="str">
        <x:v>PARTR-000056</x:v>
      </x:c>
      <x:c r="B57" s="6" t="str">
        <x:v>SVC000056</x:v>
      </x:c>
      <x:c r="C57" s="6" t="str">
        <x:v>iPhone XS Max Screen replacement</x:v>
      </x:c>
      <x:c r="D57" s="6"/>
      <x:c r="E57" s="6" t="str"/>
      <x:c r="F57" s="6" t="str"/>
      <x:c r="G57" s="6" t="str">
        <x:v>Unknown</x:v>
      </x:c>
      <x:c r="H57" s="6" t="str"/>
      <x:c r="I57" s="12" t="str">
        <x:v>Source Workbook</x:v>
      </x:c>
      <x:c r="J57" s="12" t="str">
        <x:v>Nocturnix_Master_Services_Catalog_v1.xlsx | 01 - Master Services | row 96</x:v>
      </x:c>
      <x:c r="K57" s="6" t="str">
        <x:v>Unresolved</x:v>
      </x:c>
      <x:c r="L57" s="6" t="str"/>
      <x:c r="M57" s="6" t="str"/>
      <x:c r="N57" s="6" t="str">
        <x:v>Pending</x:v>
      </x:c>
      <x:c r="O57" s="12" t="str"/>
    </x:row>
    <x:row r="58">
      <x:c r="A58" s="6" t="str">
        <x:v>PARTR-000057</x:v>
      </x:c>
      <x:c r="B58" s="6" t="str">
        <x:v>SVC000057</x:v>
      </x:c>
      <x:c r="C58" s="6" t="str">
        <x:v>iPhone 12 Screen replacement</x:v>
      </x:c>
      <x:c r="D58" s="6"/>
      <x:c r="E58" s="6" t="str"/>
      <x:c r="F58" s="6" t="str"/>
      <x:c r="G58" s="6" t="str">
        <x:v>Unknown</x:v>
      </x:c>
      <x:c r="H58" s="6" t="str"/>
      <x:c r="I58" s="12" t="str">
        <x:v>Source Workbook</x:v>
      </x:c>
      <x:c r="J58" s="12" t="str">
        <x:v>Nocturnix_Master_Services_Catalog_v1.xlsx | 01 - Master Services | row 97</x:v>
      </x:c>
      <x:c r="K58" s="6" t="str">
        <x:v>Unresolved</x:v>
      </x:c>
      <x:c r="L58" s="6" t="str"/>
      <x:c r="M58" s="6" t="str"/>
      <x:c r="N58" s="6" t="str">
        <x:v>Pending</x:v>
      </x:c>
      <x:c r="O58" s="12" t="str"/>
    </x:row>
    <x:row r="59">
      <x:c r="A59" s="6" t="str">
        <x:v>PARTR-000058</x:v>
      </x:c>
      <x:c r="B59" s="6" t="str">
        <x:v>SVC000058</x:v>
      </x:c>
      <x:c r="C59" s="6" t="str">
        <x:v>iPhone 12 Pro Max Screen replacement</x:v>
      </x:c>
      <x:c r="D59" s="6"/>
      <x:c r="E59" s="6" t="str"/>
      <x:c r="F59" s="6" t="str"/>
      <x:c r="G59" s="6" t="str">
        <x:v>Unknown</x:v>
      </x:c>
      <x:c r="H59" s="6" t="str"/>
      <x:c r="I59" s="12" t="str">
        <x:v>Source Workbook</x:v>
      </x:c>
      <x:c r="J59" s="12" t="str">
        <x:v>Nocturnix_Master_Services_Catalog_v1.xlsx | 01 - Master Services | row 98</x:v>
      </x:c>
      <x:c r="K59" s="6" t="str">
        <x:v>Unresolved</x:v>
      </x:c>
      <x:c r="L59" s="6" t="str"/>
      <x:c r="M59" s="6" t="str"/>
      <x:c r="N59" s="6" t="str">
        <x:v>Pending</x:v>
      </x:c>
      <x:c r="O59" s="12" t="str"/>
    </x:row>
    <x:row r="60">
      <x:c r="A60" s="6" t="str">
        <x:v>PARTR-000059</x:v>
      </x:c>
      <x:c r="B60" s="6" t="str">
        <x:v>SVC000059</x:v>
      </x:c>
      <x:c r="C60" s="6" t="str">
        <x:v>iPhone 12 Mini Screen replacement</x:v>
      </x:c>
      <x:c r="D60" s="6"/>
      <x:c r="E60" s="6" t="str"/>
      <x:c r="F60" s="6" t="str"/>
      <x:c r="G60" s="6" t="str">
        <x:v>Unknown</x:v>
      </x:c>
      <x:c r="H60" s="6" t="str"/>
      <x:c r="I60" s="12" t="str">
        <x:v>Source Workbook</x:v>
      </x:c>
      <x:c r="J60" s="12" t="str">
        <x:v>Nocturnix_Master_Services_Catalog_v1.xlsx | 01 - Master Services | row 99</x:v>
      </x:c>
      <x:c r="K60" s="6" t="str">
        <x:v>Unresolved</x:v>
      </x:c>
      <x:c r="L60" s="6" t="str"/>
      <x:c r="M60" s="6" t="str"/>
      <x:c r="N60" s="6" t="str">
        <x:v>Pending</x:v>
      </x:c>
      <x:c r="O60" s="12" t="str"/>
    </x:row>
    <x:row r="61">
      <x:c r="A61" s="6" t="str">
        <x:v>PARTR-000060</x:v>
      </x:c>
      <x:c r="B61" s="6" t="str">
        <x:v>SVC000060</x:v>
      </x:c>
      <x:c r="C61" s="6" t="str">
        <x:v>iPhone 11 Pro Screen replacement</x:v>
      </x:c>
      <x:c r="D61" s="6"/>
      <x:c r="E61" s="6" t="str"/>
      <x:c r="F61" s="6" t="str"/>
      <x:c r="G61" s="6" t="str">
        <x:v>Unknown</x:v>
      </x:c>
      <x:c r="H61" s="6" t="str"/>
      <x:c r="I61" s="12" t="str">
        <x:v>Source Workbook</x:v>
      </x:c>
      <x:c r="J61" s="12" t="str">
        <x:v>Nocturnix_Master_Services_Catalog_v1.xlsx | 01 - Master Services | row 100</x:v>
      </x:c>
      <x:c r="K61" s="6" t="str">
        <x:v>Unresolved</x:v>
      </x:c>
      <x:c r="L61" s="6" t="str"/>
      <x:c r="M61" s="6" t="str"/>
      <x:c r="N61" s="6" t="str">
        <x:v>Pending</x:v>
      </x:c>
      <x:c r="O61" s="12" t="str"/>
    </x:row>
    <x:row r="62">
      <x:c r="A62" s="6" t="str">
        <x:v>PARTR-000061</x:v>
      </x:c>
      <x:c r="B62" s="6" t="str">
        <x:v>SVC000061</x:v>
      </x:c>
      <x:c r="C62" s="6" t="str">
        <x:v>iPhone 11 Screen replacement</x:v>
      </x:c>
      <x:c r="D62" s="6"/>
      <x:c r="E62" s="6" t="str"/>
      <x:c r="F62" s="6" t="str"/>
      <x:c r="G62" s="6" t="str">
        <x:v>Unknown</x:v>
      </x:c>
      <x:c r="H62" s="6" t="str"/>
      <x:c r="I62" s="12" t="str">
        <x:v>Source Workbook</x:v>
      </x:c>
      <x:c r="J62" s="12" t="str">
        <x:v>Nocturnix_Master_Services_Catalog_v1.xlsx | 01 - Master Services | row 101</x:v>
      </x:c>
      <x:c r="K62" s="6" t="str">
        <x:v>Unresolved</x:v>
      </x:c>
      <x:c r="L62" s="6" t="str"/>
      <x:c r="M62" s="6" t="str"/>
      <x:c r="N62" s="6" t="str">
        <x:v>Pending</x:v>
      </x:c>
      <x:c r="O62" s="12" t="str"/>
    </x:row>
    <x:row r="63">
      <x:c r="A63" s="6" t="str">
        <x:v>PARTR-000062</x:v>
      </x:c>
      <x:c r="B63" s="6" t="str">
        <x:v>SVC000062</x:v>
      </x:c>
      <x:c r="C63" s="6" t="str">
        <x:v>iPhone 11 Pro Max Screen replacement</x:v>
      </x:c>
      <x:c r="D63" s="6"/>
      <x:c r="E63" s="6" t="str"/>
      <x:c r="F63" s="6" t="str"/>
      <x:c r="G63" s="6" t="str">
        <x:v>Unknown</x:v>
      </x:c>
      <x:c r="H63" s="6" t="str"/>
      <x:c r="I63" s="12" t="str">
        <x:v>Source Workbook</x:v>
      </x:c>
      <x:c r="J63" s="12" t="str">
        <x:v>Nocturnix_Master_Services_Catalog_v1.xlsx | 01 - Master Services | row 102</x:v>
      </x:c>
      <x:c r="K63" s="6" t="str">
        <x:v>Unresolved</x:v>
      </x:c>
      <x:c r="L63" s="6" t="str"/>
      <x:c r="M63" s="6" t="str"/>
      <x:c r="N63" s="6" t="str">
        <x:v>Pending</x:v>
      </x:c>
      <x:c r="O63" s="12" t="str"/>
    </x:row>
    <x:row r="64">
      <x:c r="A64" s="6" t="str">
        <x:v>PARTR-000063</x:v>
      </x:c>
      <x:c r="B64" s="6" t="str">
        <x:v>SVC000063</x:v>
      </x:c>
      <x:c r="C64" s="6" t="str">
        <x:v>iPhone 12 Pro Screen replacement</x:v>
      </x:c>
      <x:c r="D64" s="6"/>
      <x:c r="E64" s="6" t="str"/>
      <x:c r="F64" s="6" t="str"/>
      <x:c r="G64" s="6" t="str">
        <x:v>Unknown</x:v>
      </x:c>
      <x:c r="H64" s="6" t="str"/>
      <x:c r="I64" s="12" t="str">
        <x:v>Source Workbook</x:v>
      </x:c>
      <x:c r="J64" s="12" t="str">
        <x:v>Nocturnix_Master_Services_Catalog_v1.xlsx | 01 - Master Services | row 103</x:v>
      </x:c>
      <x:c r="K64" s="6" t="str">
        <x:v>Unresolved</x:v>
      </x:c>
      <x:c r="L64" s="6" t="str"/>
      <x:c r="M64" s="6" t="str"/>
      <x:c r="N64" s="6" t="str">
        <x:v>Pending</x:v>
      </x:c>
      <x:c r="O64" s="12" t="str"/>
    </x:row>
    <x:row r="65">
      <x:c r="A65" s="6" t="str">
        <x:v>PARTR-000064</x:v>
      </x:c>
      <x:c r="B65" s="6" t="str">
        <x:v>SVC000064</x:v>
      </x:c>
      <x:c r="C65" s="6" t="str">
        <x:v>iPhone 13 Pro Screen replacement</x:v>
      </x:c>
      <x:c r="D65" s="6"/>
      <x:c r="E65" s="6" t="str"/>
      <x:c r="F65" s="6" t="str"/>
      <x:c r="G65" s="6" t="str">
        <x:v>Unknown</x:v>
      </x:c>
      <x:c r="H65" s="6" t="str"/>
      <x:c r="I65" s="12" t="str">
        <x:v>Source Workbook</x:v>
      </x:c>
      <x:c r="J65" s="12" t="str">
        <x:v>Nocturnix_Master_Services_Catalog_v1.xlsx | 01 - Master Services | row 104</x:v>
      </x:c>
      <x:c r="K65" s="6" t="str">
        <x:v>Unresolved</x:v>
      </x:c>
      <x:c r="L65" s="6" t="str"/>
      <x:c r="M65" s="6" t="str"/>
      <x:c r="N65" s="6" t="str">
        <x:v>Pending</x:v>
      </x:c>
      <x:c r="O65" s="12" t="str"/>
    </x:row>
    <x:row r="66">
      <x:c r="A66" s="6" t="str">
        <x:v>PARTR-000065</x:v>
      </x:c>
      <x:c r="B66" s="6" t="str">
        <x:v>SVC000065</x:v>
      </x:c>
      <x:c r="C66" s="6" t="str">
        <x:v>iPhone 13 Screen replacement</x:v>
      </x:c>
      <x:c r="D66" s="6"/>
      <x:c r="E66" s="6" t="str"/>
      <x:c r="F66" s="6" t="str"/>
      <x:c r="G66" s="6" t="str">
        <x:v>Unknown</x:v>
      </x:c>
      <x:c r="H66" s="6" t="str"/>
      <x:c r="I66" s="12" t="str">
        <x:v>Source Workbook</x:v>
      </x:c>
      <x:c r="J66" s="12" t="str">
        <x:v>Nocturnix_Master_Services_Catalog_v1.xlsx | 01 - Master Services | row 105</x:v>
      </x:c>
      <x:c r="K66" s="6" t="str">
        <x:v>Unresolved</x:v>
      </x:c>
      <x:c r="L66" s="6" t="str"/>
      <x:c r="M66" s="6" t="str"/>
      <x:c r="N66" s="6" t="str">
        <x:v>Pending</x:v>
      </x:c>
      <x:c r="O66" s="12" t="str"/>
    </x:row>
    <x:row r="67">
      <x:c r="A67" s="6" t="str">
        <x:v>PARTR-000066</x:v>
      </x:c>
      <x:c r="B67" s="6" t="str">
        <x:v>SVC000066</x:v>
      </x:c>
      <x:c r="C67" s="6" t="str">
        <x:v>iPhone 13 Pro Max Screen replacement</x:v>
      </x:c>
      <x:c r="D67" s="6"/>
      <x:c r="E67" s="6" t="str"/>
      <x:c r="F67" s="6" t="str"/>
      <x:c r="G67" s="6" t="str">
        <x:v>Unknown</x:v>
      </x:c>
      <x:c r="H67" s="6" t="str"/>
      <x:c r="I67" s="12" t="str">
        <x:v>Source Workbook</x:v>
      </x:c>
      <x:c r="J67" s="12" t="str">
        <x:v>Nocturnix_Master_Services_Catalog_v1.xlsx | 01 - Master Services | row 106</x:v>
      </x:c>
      <x:c r="K67" s="6" t="str">
        <x:v>Unresolved</x:v>
      </x:c>
      <x:c r="L67" s="6" t="str"/>
      <x:c r="M67" s="6" t="str"/>
      <x:c r="N67" s="6" t="str">
        <x:v>Pending</x:v>
      </x:c>
      <x:c r="O67" s="12" t="str"/>
    </x:row>
    <x:row r="68">
      <x:c r="A68" s="6" t="str">
        <x:v>PARTR-000067</x:v>
      </x:c>
      <x:c r="B68" s="6" t="str">
        <x:v>SVC000067</x:v>
      </x:c>
      <x:c r="C68" s="6" t="str">
        <x:v>iPhone 13 Mini Screen replacement</x:v>
      </x:c>
      <x:c r="D68" s="6"/>
      <x:c r="E68" s="6" t="str"/>
      <x:c r="F68" s="6" t="str"/>
      <x:c r="G68" s="6" t="str">
        <x:v>Unknown</x:v>
      </x:c>
      <x:c r="H68" s="6" t="str"/>
      <x:c r="I68" s="12" t="str">
        <x:v>Source Workbook</x:v>
      </x:c>
      <x:c r="J68" s="12" t="str">
        <x:v>Nocturnix_Master_Services_Catalog_v1.xlsx | 01 - Master Services | row 107</x:v>
      </x:c>
      <x:c r="K68" s="6" t="str">
        <x:v>Unresolved</x:v>
      </x:c>
      <x:c r="L68" s="6" t="str"/>
      <x:c r="M68" s="6" t="str"/>
      <x:c r="N68" s="6" t="str">
        <x:v>Pending</x:v>
      </x:c>
      <x:c r="O68" s="12" t="str"/>
    </x:row>
    <x:row r="69">
      <x:c r="A69" s="6" t="str">
        <x:v>PARTR-000068</x:v>
      </x:c>
      <x:c r="B69" s="6" t="str">
        <x:v>SVC000068</x:v>
      </x:c>
      <x:c r="C69" s="6" t="str">
        <x:v>iPhone 14 Screen replacement</x:v>
      </x:c>
      <x:c r="D69" s="6"/>
      <x:c r="E69" s="6" t="str"/>
      <x:c r="F69" s="6" t="str"/>
      <x:c r="G69" s="6" t="str">
        <x:v>Unknown</x:v>
      </x:c>
      <x:c r="H69" s="6" t="str"/>
      <x:c r="I69" s="12" t="str">
        <x:v>Source Workbook</x:v>
      </x:c>
      <x:c r="J69" s="12" t="str">
        <x:v>Nocturnix_Master_Services_Catalog_v1.xlsx | 01 - Master Services | row 108</x:v>
      </x:c>
      <x:c r="K69" s="6" t="str">
        <x:v>Unresolved</x:v>
      </x:c>
      <x:c r="L69" s="6" t="str"/>
      <x:c r="M69" s="6" t="str"/>
      <x:c r="N69" s="6" t="str">
        <x:v>Pending</x:v>
      </x:c>
      <x:c r="O69" s="12" t="str"/>
    </x:row>
    <x:row r="70">
      <x:c r="A70" s="6" t="str">
        <x:v>PARTR-000069</x:v>
      </x:c>
      <x:c r="B70" s="6" t="str">
        <x:v>SVC000069</x:v>
      </x:c>
      <x:c r="C70" s="6" t="str">
        <x:v>iPhone 14 Pro Max Screen replacement</x:v>
      </x:c>
      <x:c r="D70" s="6"/>
      <x:c r="E70" s="6" t="str"/>
      <x:c r="F70" s="6" t="str"/>
      <x:c r="G70" s="6" t="str">
        <x:v>Unknown</x:v>
      </x:c>
      <x:c r="H70" s="6" t="str"/>
      <x:c r="I70" s="12" t="str">
        <x:v>Source Workbook</x:v>
      </x:c>
      <x:c r="J70" s="12" t="str">
        <x:v>Nocturnix_Master_Services_Catalog_v1.xlsx | 01 - Master Services | row 109</x:v>
      </x:c>
      <x:c r="K70" s="6" t="str">
        <x:v>Unresolved</x:v>
      </x:c>
      <x:c r="L70" s="6" t="str"/>
      <x:c r="M70" s="6" t="str"/>
      <x:c r="N70" s="6" t="str">
        <x:v>Pending</x:v>
      </x:c>
      <x:c r="O70" s="12" t="str"/>
    </x:row>
    <x:row r="71">
      <x:c r="A71" s="6" t="str">
        <x:v>PARTR-000070</x:v>
      </x:c>
      <x:c r="B71" s="6" t="str">
        <x:v>SVC000070</x:v>
      </x:c>
      <x:c r="C71" s="6" t="str">
        <x:v>iPhone 14 Plus Screen replacement</x:v>
      </x:c>
      <x:c r="D71" s="6"/>
      <x:c r="E71" s="6" t="str"/>
      <x:c r="F71" s="6" t="str"/>
      <x:c r="G71" s="6" t="str">
        <x:v>Unknown</x:v>
      </x:c>
      <x:c r="H71" s="6" t="str"/>
      <x:c r="I71" s="12" t="str">
        <x:v>Source Workbook</x:v>
      </x:c>
      <x:c r="J71" s="12" t="str">
        <x:v>Nocturnix_Master_Services_Catalog_v1.xlsx | 01 - Master Services | row 110</x:v>
      </x:c>
      <x:c r="K71" s="6" t="str">
        <x:v>Unresolved</x:v>
      </x:c>
      <x:c r="L71" s="6" t="str"/>
      <x:c r="M71" s="6" t="str"/>
      <x:c r="N71" s="6" t="str">
        <x:v>Pending</x:v>
      </x:c>
      <x:c r="O71" s="12" t="str"/>
    </x:row>
    <x:row r="72">
      <x:c r="A72" s="6" t="str">
        <x:v>PARTR-000071</x:v>
      </x:c>
      <x:c r="B72" s="6" t="str">
        <x:v>SVC000071</x:v>
      </x:c>
      <x:c r="C72" s="6" t="str">
        <x:v>iPhone 14 Pro Screen replacement</x:v>
      </x:c>
      <x:c r="D72" s="6"/>
      <x:c r="E72" s="6" t="str"/>
      <x:c r="F72" s="6" t="str"/>
      <x:c r="G72" s="6" t="str">
        <x:v>Unknown</x:v>
      </x:c>
      <x:c r="H72" s="6" t="str"/>
      <x:c r="I72" s="12" t="str">
        <x:v>Source Workbook</x:v>
      </x:c>
      <x:c r="J72" s="12" t="str">
        <x:v>Nocturnix_Master_Services_Catalog_v1.xlsx | 01 - Master Services | row 111</x:v>
      </x:c>
      <x:c r="K72" s="6" t="str">
        <x:v>Unresolved</x:v>
      </x:c>
      <x:c r="L72" s="6" t="str"/>
      <x:c r="M72" s="6" t="str"/>
      <x:c r="N72" s="6" t="str">
        <x:v>Pending</x:v>
      </x:c>
      <x:c r="O72" s="12" t="str"/>
    </x:row>
    <x:row r="73">
      <x:c r="A73" s="6" t="str">
        <x:v>PARTR-000072</x:v>
      </x:c>
      <x:c r="B73" s="6" t="str">
        <x:v>SVC000072</x:v>
      </x:c>
      <x:c r="C73" s="6" t="str">
        <x:v>iPhone 15 Pro Screen replacement</x:v>
      </x:c>
      <x:c r="D73" s="6"/>
      <x:c r="E73" s="6" t="str"/>
      <x:c r="F73" s="6" t="str"/>
      <x:c r="G73" s="6" t="str">
        <x:v>Unknown</x:v>
      </x:c>
      <x:c r="H73" s="6" t="str"/>
      <x:c r="I73" s="12" t="str">
        <x:v>Source Workbook</x:v>
      </x:c>
      <x:c r="J73" s="12" t="str">
        <x:v>Nocturnix_Master_Services_Catalog_v1.xlsx | 01 - Master Services | row 112</x:v>
      </x:c>
      <x:c r="K73" s="6" t="str">
        <x:v>Unresolved</x:v>
      </x:c>
      <x:c r="L73" s="6" t="str"/>
      <x:c r="M73" s="6" t="str"/>
      <x:c r="N73" s="6" t="str">
        <x:v>Pending</x:v>
      </x:c>
      <x:c r="O73" s="12" t="str"/>
    </x:row>
    <x:row r="74">
      <x:c r="A74" s="6" t="str">
        <x:v>PARTR-000073</x:v>
      </x:c>
      <x:c r="B74" s="6" t="str">
        <x:v>SVC000073</x:v>
      </x:c>
      <x:c r="C74" s="6" t="str">
        <x:v>iPhone 15 Pro Max Screen replacement</x:v>
      </x:c>
      <x:c r="D74" s="6"/>
      <x:c r="E74" s="6" t="str"/>
      <x:c r="F74" s="6" t="str"/>
      <x:c r="G74" s="6" t="str">
        <x:v>Unknown</x:v>
      </x:c>
      <x:c r="H74" s="6" t="str"/>
      <x:c r="I74" s="12" t="str">
        <x:v>Source Workbook</x:v>
      </x:c>
      <x:c r="J74" s="12" t="str">
        <x:v>Nocturnix_Master_Services_Catalog_v1.xlsx | 01 - Master Services | row 113</x:v>
      </x:c>
      <x:c r="K74" s="6" t="str">
        <x:v>Unresolved</x:v>
      </x:c>
      <x:c r="L74" s="6" t="str"/>
      <x:c r="M74" s="6" t="str"/>
      <x:c r="N74" s="6" t="str">
        <x:v>Pending</x:v>
      </x:c>
      <x:c r="O74" s="12" t="str"/>
    </x:row>
    <x:row r="75">
      <x:c r="A75" s="6" t="str">
        <x:v>PARTR-000074</x:v>
      </x:c>
      <x:c r="B75" s="6" t="str">
        <x:v>SVC000074</x:v>
      </x:c>
      <x:c r="C75" s="6" t="str">
        <x:v>iPhone 15 Screen replacement</x:v>
      </x:c>
      <x:c r="D75" s="6"/>
      <x:c r="E75" s="6" t="str"/>
      <x:c r="F75" s="6" t="str"/>
      <x:c r="G75" s="6" t="str">
        <x:v>Unknown</x:v>
      </x:c>
      <x:c r="H75" s="6" t="str"/>
      <x:c r="I75" s="12" t="str">
        <x:v>Source Workbook</x:v>
      </x:c>
      <x:c r="J75" s="12" t="str">
        <x:v>Nocturnix_Master_Services_Catalog_v1.xlsx | 01 - Master Services | row 114</x:v>
      </x:c>
      <x:c r="K75" s="6" t="str">
        <x:v>Unresolved</x:v>
      </x:c>
      <x:c r="L75" s="6" t="str"/>
      <x:c r="M75" s="6" t="str"/>
      <x:c r="N75" s="6" t="str">
        <x:v>Pending</x:v>
      </x:c>
      <x:c r="O75" s="12" t="str"/>
    </x:row>
    <x:row r="76">
      <x:c r="A76" s="6" t="str">
        <x:v>PARTR-000075</x:v>
      </x:c>
      <x:c r="B76" s="6" t="str">
        <x:v>SVC000075</x:v>
      </x:c>
      <x:c r="C76" s="6" t="str">
        <x:v>iPhone 15 Plus Screen replacement</x:v>
      </x:c>
      <x:c r="D76" s="6"/>
      <x:c r="E76" s="6" t="str"/>
      <x:c r="F76" s="6" t="str"/>
      <x:c r="G76" s="6" t="str">
        <x:v>Unknown</x:v>
      </x:c>
      <x:c r="H76" s="6" t="str"/>
      <x:c r="I76" s="12" t="str">
        <x:v>Source Workbook</x:v>
      </x:c>
      <x:c r="J76" s="12" t="str">
        <x:v>Nocturnix_Master_Services_Catalog_v1.xlsx | 01 - Master Services | row 115</x:v>
      </x:c>
      <x:c r="K76" s="6" t="str">
        <x:v>Unresolved</x:v>
      </x:c>
      <x:c r="L76" s="6" t="str"/>
      <x:c r="M76" s="6" t="str"/>
      <x:c r="N76" s="6" t="str">
        <x:v>Pending</x:v>
      </x:c>
      <x:c r="O76" s="12" t="str"/>
    </x:row>
    <x:row r="77">
      <x:c r="A77" s="6" t="str">
        <x:v>PARTR-000076</x:v>
      </x:c>
      <x:c r="B77" s="6" t="str">
        <x:v>SVC000076</x:v>
      </x:c>
      <x:c r="C77" s="6" t="str">
        <x:v>iPhone 16 Plus Screen replacement</x:v>
      </x:c>
      <x:c r="D77" s="6"/>
      <x:c r="E77" s="6" t="str"/>
      <x:c r="F77" s="6" t="str"/>
      <x:c r="G77" s="6" t="str">
        <x:v>Unknown</x:v>
      </x:c>
      <x:c r="H77" s="6" t="str"/>
      <x:c r="I77" s="12" t="str">
        <x:v>Source Workbook</x:v>
      </x:c>
      <x:c r="J77" s="12" t="str">
        <x:v>Nocturnix_Master_Services_Catalog_v1.xlsx | 01 - Master Services | row 116</x:v>
      </x:c>
      <x:c r="K77" s="6" t="str">
        <x:v>Unresolved</x:v>
      </x:c>
      <x:c r="L77" s="6" t="str"/>
      <x:c r="M77" s="6" t="str"/>
      <x:c r="N77" s="6" t="str">
        <x:v>Pending</x:v>
      </x:c>
      <x:c r="O77" s="12" t="str"/>
    </x:row>
    <x:row r="78">
      <x:c r="A78" s="6" t="str">
        <x:v>PARTR-000077</x:v>
      </x:c>
      <x:c r="B78" s="6" t="str">
        <x:v>SVC000077</x:v>
      </x:c>
      <x:c r="C78" s="6" t="str">
        <x:v>iPhone 16 Pro Max Screen replacement</x:v>
      </x:c>
      <x:c r="D78" s="6"/>
      <x:c r="E78" s="6" t="str"/>
      <x:c r="F78" s="6" t="str"/>
      <x:c r="G78" s="6" t="str">
        <x:v>Unknown</x:v>
      </x:c>
      <x:c r="H78" s="6" t="str"/>
      <x:c r="I78" s="12" t="str">
        <x:v>Source Workbook</x:v>
      </x:c>
      <x:c r="J78" s="12" t="str">
        <x:v>Nocturnix_Master_Services_Catalog_v1.xlsx | 01 - Master Services | row 117</x:v>
      </x:c>
      <x:c r="K78" s="6" t="str">
        <x:v>Unresolved</x:v>
      </x:c>
      <x:c r="L78" s="6" t="str"/>
      <x:c r="M78" s="6" t="str"/>
      <x:c r="N78" s="6" t="str">
        <x:v>Pending</x:v>
      </x:c>
      <x:c r="O78" s="12" t="str"/>
    </x:row>
    <x:row r="79">
      <x:c r="A79" s="6" t="str">
        <x:v>PARTR-000078</x:v>
      </x:c>
      <x:c r="B79" s="6" t="str">
        <x:v>SVC000078</x:v>
      </x:c>
      <x:c r="C79" s="6" t="str">
        <x:v>iPhone 16 Screen replacement</x:v>
      </x:c>
      <x:c r="D79" s="6"/>
      <x:c r="E79" s="6" t="str"/>
      <x:c r="F79" s="6" t="str"/>
      <x:c r="G79" s="6" t="str">
        <x:v>Unknown</x:v>
      </x:c>
      <x:c r="H79" s="6" t="str"/>
      <x:c r="I79" s="12" t="str">
        <x:v>Source Workbook</x:v>
      </x:c>
      <x:c r="J79" s="12" t="str">
        <x:v>Nocturnix_Master_Services_Catalog_v1.xlsx | 01 - Master Services | row 118</x:v>
      </x:c>
      <x:c r="K79" s="6" t="str">
        <x:v>Unresolved</x:v>
      </x:c>
      <x:c r="L79" s="6" t="str"/>
      <x:c r="M79" s="6" t="str"/>
      <x:c r="N79" s="6" t="str">
        <x:v>Pending</x:v>
      </x:c>
      <x:c r="O79" s="12" t="str"/>
    </x:row>
    <x:row r="80">
      <x:c r="A80" s="6" t="str">
        <x:v>PARTR-000079</x:v>
      </x:c>
      <x:c r="B80" s="6" t="str">
        <x:v>SVC000079</x:v>
      </x:c>
      <x:c r="C80" s="6" t="str">
        <x:v>iPhone 16 Pro Screen replacement</x:v>
      </x:c>
      <x:c r="D80" s="6"/>
      <x:c r="E80" s="6" t="str"/>
      <x:c r="F80" s="6" t="str"/>
      <x:c r="G80" s="6" t="str">
        <x:v>Unknown</x:v>
      </x:c>
      <x:c r="H80" s="6" t="str"/>
      <x:c r="I80" s="12" t="str">
        <x:v>Source Workbook</x:v>
      </x:c>
      <x:c r="J80" s="12" t="str">
        <x:v>Nocturnix_Master_Services_Catalog_v1.xlsx | 01 - Master Services | row 119</x:v>
      </x:c>
      <x:c r="K80" s="6" t="str">
        <x:v>Unresolved</x:v>
      </x:c>
      <x:c r="L80" s="6" t="str"/>
      <x:c r="M80" s="6" t="str"/>
      <x:c r="N80" s="6" t="str">
        <x:v>Pending</x:v>
      </x:c>
      <x:c r="O80" s="12" t="str"/>
    </x:row>
    <x:row r="81">
      <x:c r="A81" s="6" t="str">
        <x:v>PARTR-000080</x:v>
      </x:c>
      <x:c r="B81" s="6" t="str">
        <x:v>SVC000080</x:v>
      </x:c>
      <x:c r="C81" s="6" t="str">
        <x:v>iPhone 16E Screen replacement</x:v>
      </x:c>
      <x:c r="D81" s="6"/>
      <x:c r="E81" s="6" t="str"/>
      <x:c r="F81" s="6" t="str"/>
      <x:c r="G81" s="6" t="str">
        <x:v>Unknown</x:v>
      </x:c>
      <x:c r="H81" s="6" t="str"/>
      <x:c r="I81" s="12" t="str">
        <x:v>Source Workbook</x:v>
      </x:c>
      <x:c r="J81" s="12" t="str">
        <x:v>Nocturnix_Master_Services_Catalog_v1.xlsx | 01 - Master Services | row 120</x:v>
      </x:c>
      <x:c r="K81" s="6" t="str">
        <x:v>Unresolved</x:v>
      </x:c>
      <x:c r="L81" s="6" t="str"/>
      <x:c r="M81" s="6" t="str"/>
      <x:c r="N81" s="6" t="str">
        <x:v>Pending</x:v>
      </x:c>
      <x:c r="O81" s="12" t="str"/>
    </x:row>
    <x:row r="82">
      <x:c r="A82" s="6" t="str">
        <x:v>PARTR-000081</x:v>
      </x:c>
      <x:c r="B82" s="6" t="str">
        <x:v>SVC000081</x:v>
      </x:c>
      <x:c r="C82" s="6" t="str">
        <x:v>iPhone 17 Pro Max Phone* Screen replacement</x:v>
      </x:c>
      <x:c r="D82" s="6"/>
      <x:c r="E82" s="6" t="str"/>
      <x:c r="F82" s="6" t="str"/>
      <x:c r="G82" s="6" t="str">
        <x:v>Unknown</x:v>
      </x:c>
      <x:c r="H82" s="6" t="str"/>
      <x:c r="I82" s="12" t="str">
        <x:v>Source Workbook</x:v>
      </x:c>
      <x:c r="J82" s="12" t="str">
        <x:v>Nocturnix_Master_Services_Catalog_v1.xlsx | 01 - Master Services | row 121</x:v>
      </x:c>
      <x:c r="K82" s="6" t="str">
        <x:v>Unresolved</x:v>
      </x:c>
      <x:c r="L82" s="6" t="str"/>
      <x:c r="M82" s="6" t="str"/>
      <x:c r="N82" s="6" t="str">
        <x:v>Pending</x:v>
      </x:c>
      <x:c r="O82" s="12" t="str"/>
    </x:row>
    <x:row r="83">
      <x:c r="A83" s="6" t="str">
        <x:v>PARTR-000082</x:v>
      </x:c>
      <x:c r="B83" s="6" t="str">
        <x:v>SVC000082</x:v>
      </x:c>
      <x:c r="C83" s="6" t="str">
        <x:v>iPhone 17 Pro Screen replacement</x:v>
      </x:c>
      <x:c r="D83" s="6"/>
      <x:c r="E83" s="6" t="str"/>
      <x:c r="F83" s="6" t="str"/>
      <x:c r="G83" s="6" t="str">
        <x:v>Unknown</x:v>
      </x:c>
      <x:c r="H83" s="6" t="str"/>
      <x:c r="I83" s="12" t="str">
        <x:v>Source Workbook</x:v>
      </x:c>
      <x:c r="J83" s="12" t="str">
        <x:v>Nocturnix_Master_Services_Catalog_v1.xlsx | 01 - Master Services | row 122</x:v>
      </x:c>
      <x:c r="K83" s="6" t="str">
        <x:v>Unresolved</x:v>
      </x:c>
      <x:c r="L83" s="6" t="str"/>
      <x:c r="M83" s="6" t="str"/>
      <x:c r="N83" s="6" t="str">
        <x:v>Pending</x:v>
      </x:c>
      <x:c r="O83" s="12" t="str"/>
    </x:row>
    <x:row r="84">
      <x:c r="A84" s="6" t="str">
        <x:v>PARTR-000083</x:v>
      </x:c>
      <x:c r="B84" s="6" t="str">
        <x:v>SVC000083</x:v>
      </x:c>
      <x:c r="C84" s="6" t="str">
        <x:v>iPhone 17 Screen replacement</x:v>
      </x:c>
      <x:c r="D84" s="6"/>
      <x:c r="E84" s="6" t="str"/>
      <x:c r="F84" s="6" t="str"/>
      <x:c r="G84" s="6" t="str">
        <x:v>Unknown</x:v>
      </x:c>
      <x:c r="H84" s="6" t="str"/>
      <x:c r="I84" s="12" t="str">
        <x:v>Source Workbook</x:v>
      </x:c>
      <x:c r="J84" s="12" t="str">
        <x:v>Nocturnix_Master_Services_Catalog_v1.xlsx | 01 - Master Services | row 123</x:v>
      </x:c>
      <x:c r="K84" s="6" t="str">
        <x:v>Unresolved</x:v>
      </x:c>
      <x:c r="L84" s="6" t="str"/>
      <x:c r="M84" s="6" t="str"/>
      <x:c r="N84" s="6" t="str">
        <x:v>Pending</x:v>
      </x:c>
      <x:c r="O84" s="12" t="str"/>
    </x:row>
    <x:row r="85">
      <x:c r="A85" s="6" t="str">
        <x:v>PARTR-000084</x:v>
      </x:c>
      <x:c r="B85" s="6" t="str">
        <x:v>SVC000084</x:v>
      </x:c>
      <x:c r="C85" s="6" t="str">
        <x:v>iPhone 5C Screen replacement</x:v>
      </x:c>
      <x:c r="D85" s="6"/>
      <x:c r="E85" s="6" t="str"/>
      <x:c r="F85" s="6" t="str"/>
      <x:c r="G85" s="6" t="str">
        <x:v>Unknown</x:v>
      </x:c>
      <x:c r="H85" s="6" t="str"/>
      <x:c r="I85" s="12" t="str">
        <x:v>Source Workbook</x:v>
      </x:c>
      <x:c r="J85" s="12" t="str">
        <x:v>Nocturnix_Master_Services_Catalog_v1.xlsx | 01 - Master Services | row 124</x:v>
      </x:c>
      <x:c r="K85" s="6" t="str">
        <x:v>Unresolved</x:v>
      </x:c>
      <x:c r="L85" s="6" t="str"/>
      <x:c r="M85" s="6" t="str"/>
      <x:c r="N85" s="6" t="str">
        <x:v>Pending</x:v>
      </x:c>
      <x:c r="O85" s="12" t="str"/>
    </x:row>
    <x:row r="86">
      <x:c r="A86" s="6" t="str">
        <x:v>PARTR-000085</x:v>
      </x:c>
      <x:c r="B86" s="6" t="str">
        <x:v>SVC000085</x:v>
      </x:c>
      <x:c r="C86" s="6" t="str">
        <x:v>iPhone 5S Screen replacement</x:v>
      </x:c>
      <x:c r="D86" s="6"/>
      <x:c r="E86" s="6" t="str"/>
      <x:c r="F86" s="6" t="str"/>
      <x:c r="G86" s="6" t="str">
        <x:v>Unknown</x:v>
      </x:c>
      <x:c r="H86" s="6" t="str"/>
      <x:c r="I86" s="12" t="str">
        <x:v>Source Workbook</x:v>
      </x:c>
      <x:c r="J86" s="12" t="str">
        <x:v>Nocturnix_Master_Services_Catalog_v1.xlsx | 01 - Master Services | row 125</x:v>
      </x:c>
      <x:c r="K86" s="6" t="str">
        <x:v>Unresolved</x:v>
      </x:c>
      <x:c r="L86" s="6" t="str"/>
      <x:c r="M86" s="6" t="str"/>
      <x:c r="N86" s="6" t="str">
        <x:v>Pending</x:v>
      </x:c>
      <x:c r="O86" s="12" t="str"/>
    </x:row>
    <x:row r="87">
      <x:c r="A87" s="6" t="str">
        <x:v>PARTR-000086</x:v>
      </x:c>
      <x:c r="B87" s="6" t="str">
        <x:v>SVC000086</x:v>
      </x:c>
      <x:c r="C87" s="6" t="str">
        <x:v>iPhone 6+ Screen replacement</x:v>
      </x:c>
      <x:c r="D87" s="6"/>
      <x:c r="E87" s="6" t="str"/>
      <x:c r="F87" s="6" t="str"/>
      <x:c r="G87" s="6" t="str">
        <x:v>Unknown</x:v>
      </x:c>
      <x:c r="H87" s="6" t="str"/>
      <x:c r="I87" s="12" t="str">
        <x:v>Source Workbook</x:v>
      </x:c>
      <x:c r="J87" s="12" t="str">
        <x:v>Nocturnix_Master_Services_Catalog_v1.xlsx | 01 - Master Services | row 126</x:v>
      </x:c>
      <x:c r="K87" s="6" t="str">
        <x:v>Unresolved</x:v>
      </x:c>
      <x:c r="L87" s="6" t="str"/>
      <x:c r="M87" s="6" t="str"/>
      <x:c r="N87" s="6" t="str">
        <x:v>Pending</x:v>
      </x:c>
      <x:c r="O87" s="12" t="str"/>
    </x:row>
    <x:row r="88">
      <x:c r="A88" s="6" t="str">
        <x:v>PARTR-000087</x:v>
      </x:c>
      <x:c r="B88" s="6" t="str">
        <x:v>SVC000087</x:v>
      </x:c>
      <x:c r="C88" s="6" t="str">
        <x:v>iPhone 6 Screen replacement</x:v>
      </x:c>
      <x:c r="D88" s="6"/>
      <x:c r="E88" s="6" t="str"/>
      <x:c r="F88" s="6" t="str"/>
      <x:c r="G88" s="6" t="str">
        <x:v>Unknown</x:v>
      </x:c>
      <x:c r="H88" s="6" t="str"/>
      <x:c r="I88" s="12" t="str">
        <x:v>Source Workbook</x:v>
      </x:c>
      <x:c r="J88" s="12" t="str">
        <x:v>Nocturnix_Master_Services_Catalog_v1.xlsx | 01 - Master Services | row 127</x:v>
      </x:c>
      <x:c r="K88" s="6" t="str">
        <x:v>Unresolved</x:v>
      </x:c>
      <x:c r="L88" s="6" t="str"/>
      <x:c r="M88" s="6" t="str"/>
      <x:c r="N88" s="6" t="str">
        <x:v>Pending</x:v>
      </x:c>
      <x:c r="O88" s="12" t="str"/>
    </x:row>
    <x:row r="89">
      <x:c r="A89" s="6" t="str">
        <x:v>PARTR-000088</x:v>
      </x:c>
      <x:c r="B89" s="6" t="str">
        <x:v>SVC000088</x:v>
      </x:c>
      <x:c r="C89" s="6" t="str">
        <x:v>iPhone 6S+ Screen replacement</x:v>
      </x:c>
      <x:c r="D89" s="6"/>
      <x:c r="E89" s="6" t="str"/>
      <x:c r="F89" s="6" t="str"/>
      <x:c r="G89" s="6" t="str">
        <x:v>Unknown</x:v>
      </x:c>
      <x:c r="H89" s="6" t="str"/>
      <x:c r="I89" s="12" t="str">
        <x:v>Source Workbook</x:v>
      </x:c>
      <x:c r="J89" s="12" t="str">
        <x:v>Nocturnix_Master_Services_Catalog_v1.xlsx | 01 - Master Services | row 128</x:v>
      </x:c>
      <x:c r="K89" s="6" t="str">
        <x:v>Unresolved</x:v>
      </x:c>
      <x:c r="L89" s="6" t="str"/>
      <x:c r="M89" s="6" t="str"/>
      <x:c r="N89" s="6" t="str">
        <x:v>Pending</x:v>
      </x:c>
      <x:c r="O89" s="12" t="str"/>
    </x:row>
    <x:row r="90">
      <x:c r="A90" s="6" t="str">
        <x:v>PARTR-000089</x:v>
      </x:c>
      <x:c r="B90" s="6" t="str">
        <x:v>SVC000089</x:v>
      </x:c>
      <x:c r="C90" s="6" t="str">
        <x:v>iPhone 6S Screen replacement</x:v>
      </x:c>
      <x:c r="D90" s="6"/>
      <x:c r="E90" s="6" t="str"/>
      <x:c r="F90" s="6" t="str"/>
      <x:c r="G90" s="6" t="str">
        <x:v>Unknown</x:v>
      </x:c>
      <x:c r="H90" s="6" t="str"/>
      <x:c r="I90" s="12" t="str">
        <x:v>Source Workbook</x:v>
      </x:c>
      <x:c r="J90" s="12" t="str">
        <x:v>Nocturnix_Master_Services_Catalog_v1.xlsx | 01 - Master Services | row 129</x:v>
      </x:c>
      <x:c r="K90" s="6" t="str">
        <x:v>Unresolved</x:v>
      </x:c>
      <x:c r="L90" s="6" t="str"/>
      <x:c r="M90" s="6" t="str"/>
      <x:c r="N90" s="6" t="str">
        <x:v>Pending</x:v>
      </x:c>
      <x:c r="O90" s="12" t="str"/>
    </x:row>
    <x:row r="91">
      <x:c r="A91" s="6" t="str">
        <x:v>PARTR-000090</x:v>
      </x:c>
      <x:c r="B91" s="6" t="str">
        <x:v>SVC000090</x:v>
      </x:c>
      <x:c r="C91" s="6" t="str">
        <x:v>iPhone 7+ Screen replacement</x:v>
      </x:c>
      <x:c r="D91" s="6"/>
      <x:c r="E91" s="6" t="str"/>
      <x:c r="F91" s="6" t="str"/>
      <x:c r="G91" s="6" t="str">
        <x:v>Unknown</x:v>
      </x:c>
      <x:c r="H91" s="6" t="str"/>
      <x:c r="I91" s="12" t="str">
        <x:v>Source Workbook</x:v>
      </x:c>
      <x:c r="J91" s="12" t="str">
        <x:v>Nocturnix_Master_Services_Catalog_v1.xlsx | 01 - Master Services | row 130</x:v>
      </x:c>
      <x:c r="K91" s="6" t="str">
        <x:v>Unresolved</x:v>
      </x:c>
      <x:c r="L91" s="6" t="str"/>
      <x:c r="M91" s="6" t="str"/>
      <x:c r="N91" s="6" t="str">
        <x:v>Pending</x:v>
      </x:c>
      <x:c r="O91" s="12" t="str"/>
    </x:row>
    <x:row r="92">
      <x:c r="A92" s="6" t="str">
        <x:v>PARTR-000091</x:v>
      </x:c>
      <x:c r="B92" s="6" t="str">
        <x:v>SVC000091</x:v>
      </x:c>
      <x:c r="C92" s="6" t="str">
        <x:v>iPhone 7 Screen replacement</x:v>
      </x:c>
      <x:c r="D92" s="6"/>
      <x:c r="E92" s="6" t="str"/>
      <x:c r="F92" s="6" t="str"/>
      <x:c r="G92" s="6" t="str">
        <x:v>Unknown</x:v>
      </x:c>
      <x:c r="H92" s="6" t="str"/>
      <x:c r="I92" s="12" t="str">
        <x:v>Source Workbook</x:v>
      </x:c>
      <x:c r="J92" s="12" t="str">
        <x:v>Nocturnix_Master_Services_Catalog_v1.xlsx | 01 - Master Services | row 131</x:v>
      </x:c>
      <x:c r="K92" s="6" t="str">
        <x:v>Unresolved</x:v>
      </x:c>
      <x:c r="L92" s="6" t="str"/>
      <x:c r="M92" s="6" t="str"/>
      <x:c r="N92" s="6" t="str">
        <x:v>Pending</x:v>
      </x:c>
      <x:c r="O92" s="12" t="str"/>
    </x:row>
    <x:row r="93">
      <x:c r="A93" s="6" t="str">
        <x:v>PARTR-000092</x:v>
      </x:c>
      <x:c r="B93" s="6" t="str">
        <x:v>SVC000092</x:v>
      </x:c>
      <x:c r="C93" s="6" t="str">
        <x:v>iPhone 8+ Screen replacement</x:v>
      </x:c>
      <x:c r="D93" s="6"/>
      <x:c r="E93" s="6" t="str"/>
      <x:c r="F93" s="6" t="str"/>
      <x:c r="G93" s="6" t="str">
        <x:v>Unknown</x:v>
      </x:c>
      <x:c r="H93" s="6" t="str"/>
      <x:c r="I93" s="12" t="str">
        <x:v>Source Workbook</x:v>
      </x:c>
      <x:c r="J93" s="12" t="str">
        <x:v>Nocturnix_Master_Services_Catalog_v1.xlsx | 01 - Master Services | row 132</x:v>
      </x:c>
      <x:c r="K93" s="6" t="str">
        <x:v>Unresolved</x:v>
      </x:c>
      <x:c r="L93" s="6" t="str"/>
      <x:c r="M93" s="6" t="str"/>
      <x:c r="N93" s="6" t="str">
        <x:v>Pending</x:v>
      </x:c>
      <x:c r="O93" s="12" t="str"/>
    </x:row>
    <x:row r="94">
      <x:c r="A94" s="6" t="str">
        <x:v>PARTR-000093</x:v>
      </x:c>
      <x:c r="B94" s="6" t="str">
        <x:v>SVC000093</x:v>
      </x:c>
      <x:c r="C94" s="6" t="str">
        <x:v>iPhone 8 Screen replacement</x:v>
      </x:c>
      <x:c r="D94" s="6"/>
      <x:c r="E94" s="6" t="str"/>
      <x:c r="F94" s="6" t="str"/>
      <x:c r="G94" s="6" t="str">
        <x:v>Unknown</x:v>
      </x:c>
      <x:c r="H94" s="6" t="str"/>
      <x:c r="I94" s="12" t="str">
        <x:v>Source Workbook</x:v>
      </x:c>
      <x:c r="J94" s="12" t="str">
        <x:v>Nocturnix_Master_Services_Catalog_v1.xlsx | 01 - Master Services | row 133</x:v>
      </x:c>
      <x:c r="K94" s="6" t="str">
        <x:v>Unresolved</x:v>
      </x:c>
      <x:c r="L94" s="6" t="str"/>
      <x:c r="M94" s="6" t="str"/>
      <x:c r="N94" s="6" t="str">
        <x:v>Pending</x:v>
      </x:c>
      <x:c r="O94" s="12" t="str"/>
    </x:row>
    <x:row r="95">
      <x:c r="A95" s="6" t="str">
        <x:v>PARTR-000094</x:v>
      </x:c>
      <x:c r="B95" s="6" t="str">
        <x:v>SVC000094</x:v>
      </x:c>
      <x:c r="C95" s="6" t="str">
        <x:v>iPhone Air Screen replacement</x:v>
      </x:c>
      <x:c r="D95" s="6"/>
      <x:c r="E95" s="6" t="str"/>
      <x:c r="F95" s="6" t="str"/>
      <x:c r="G95" s="6" t="str">
        <x:v>Unknown</x:v>
      </x:c>
      <x:c r="H95" s="6" t="str"/>
      <x:c r="I95" s="12" t="str">
        <x:v>Source Workbook</x:v>
      </x:c>
      <x:c r="J95" s="12" t="str">
        <x:v>Nocturnix_Master_Services_Catalog_v1.xlsx | 01 - Master Services | row 134</x:v>
      </x:c>
      <x:c r="K95" s="6" t="str">
        <x:v>Unresolved</x:v>
      </x:c>
      <x:c r="L95" s="6" t="str"/>
      <x:c r="M95" s="6" t="str"/>
      <x:c r="N95" s="6" t="str">
        <x:v>Pending</x:v>
      </x:c>
      <x:c r="O95" s="12" t="str"/>
    </x:row>
    <x:row r="96">
      <x:c r="A96" s="6" t="str">
        <x:v>PARTR-000095</x:v>
      </x:c>
      <x:c r="B96" s="6" t="str">
        <x:v>SVC000095</x:v>
      </x:c>
      <x:c r="C96" s="6" t="str">
        <x:v>iPhone SE(1ST GEN) Screen replacement</x:v>
      </x:c>
      <x:c r="D96" s="6"/>
      <x:c r="E96" s="6" t="str"/>
      <x:c r="F96" s="6" t="str"/>
      <x:c r="G96" s="6" t="str">
        <x:v>Unknown</x:v>
      </x:c>
      <x:c r="H96" s="6" t="str"/>
      <x:c r="I96" s="12" t="str">
        <x:v>Source Workbook</x:v>
      </x:c>
      <x:c r="J96" s="12" t="str">
        <x:v>Nocturnix_Master_Services_Catalog_v1.xlsx | 01 - Master Services | row 135</x:v>
      </x:c>
      <x:c r="K96" s="6" t="str">
        <x:v>Unresolved</x:v>
      </x:c>
      <x:c r="L96" s="6" t="str"/>
      <x:c r="M96" s="6" t="str"/>
      <x:c r="N96" s="6" t="str">
        <x:v>Pending</x:v>
      </x:c>
      <x:c r="O96" s="12" t="str"/>
    </x:row>
    <x:row r="97">
      <x:c r="A97" s="6" t="str">
        <x:v>PARTR-000096</x:v>
      </x:c>
      <x:c r="B97" s="6" t="str">
        <x:v>SVC000096</x:v>
      </x:c>
      <x:c r="C97" s="6" t="str">
        <x:v>iPhone SE (2ND GEN) Screen replacement</x:v>
      </x:c>
      <x:c r="D97" s="6"/>
      <x:c r="E97" s="6" t="str"/>
      <x:c r="F97" s="6" t="str"/>
      <x:c r="G97" s="6" t="str">
        <x:v>Unknown</x:v>
      </x:c>
      <x:c r="H97" s="6" t="str"/>
      <x:c r="I97" s="12" t="str">
        <x:v>Source Workbook</x:v>
      </x:c>
      <x:c r="J97" s="12" t="str">
        <x:v>Nocturnix_Master_Services_Catalog_v1.xlsx | 01 - Master Services | row 136</x:v>
      </x:c>
      <x:c r="K97" s="6" t="str">
        <x:v>Unresolved</x:v>
      </x:c>
      <x:c r="L97" s="6" t="str"/>
      <x:c r="M97" s="6" t="str"/>
      <x:c r="N97" s="6" t="str">
        <x:v>Pending</x:v>
      </x:c>
      <x:c r="O97" s="12" t="str"/>
    </x:row>
    <x:row r="98">
      <x:c r="A98" s="6" t="str">
        <x:v>PARTR-000097</x:v>
      </x:c>
      <x:c r="B98" s="6" t="str">
        <x:v>SVC000097</x:v>
      </x:c>
      <x:c r="C98" s="6" t="str">
        <x:v>iPhone SE (3RD GEN) Screen replacement</x:v>
      </x:c>
      <x:c r="D98" s="6"/>
      <x:c r="E98" s="6" t="str"/>
      <x:c r="F98" s="6" t="str"/>
      <x:c r="G98" s="6" t="str">
        <x:v>Unknown</x:v>
      </x:c>
      <x:c r="H98" s="6" t="str"/>
      <x:c r="I98" s="12" t="str">
        <x:v>Source Workbook</x:v>
      </x:c>
      <x:c r="J98" s="12" t="str">
        <x:v>Nocturnix_Master_Services_Catalog_v1.xlsx | 01 - Master Services | row 137</x:v>
      </x:c>
      <x:c r="K98" s="6" t="str">
        <x:v>Unresolved</x:v>
      </x:c>
      <x:c r="L98" s="6" t="str"/>
      <x:c r="M98" s="6" t="str"/>
      <x:c r="N98" s="6" t="str">
        <x:v>Pending</x:v>
      </x:c>
      <x:c r="O98" s="12" t="str"/>
    </x:row>
    <x:row r="99">
      <x:c r="A99" s="6" t="str">
        <x:v>PARTR-000098</x:v>
      </x:c>
      <x:c r="B99" s="6" t="str">
        <x:v>SVC000098</x:v>
      </x:c>
      <x:c r="C99" s="6" t="str">
        <x:v>iPhone XR Screen replacement</x:v>
      </x:c>
      <x:c r="D99" s="6"/>
      <x:c r="E99" s="6" t="str"/>
      <x:c r="F99" s="6" t="str"/>
      <x:c r="G99" s="6" t="str">
        <x:v>Unknown</x:v>
      </x:c>
      <x:c r="H99" s="6" t="str"/>
      <x:c r="I99" s="12" t="str">
        <x:v>Source Workbook</x:v>
      </x:c>
      <x:c r="J99" s="12" t="str">
        <x:v>Nocturnix_Master_Services_Catalog_v1.xlsx | 01 - Master Services | row 138</x:v>
      </x:c>
      <x:c r="K99" s="6" t="str">
        <x:v>Unresolved</x:v>
      </x:c>
      <x:c r="L99" s="6" t="str"/>
      <x:c r="M99" s="6" t="str"/>
      <x:c r="N99" s="6" t="str">
        <x:v>Pending</x:v>
      </x:c>
      <x:c r="O99" s="12" t="str"/>
    </x:row>
    <x:row r="100">
      <x:c r="A100" s="6" t="str">
        <x:v>PARTR-000099</x:v>
      </x:c>
      <x:c r="B100" s="6" t="str">
        <x:v>SVC000099</x:v>
      </x:c>
      <x:c r="C100" s="6" t="str">
        <x:v>iPhone XS Screen replacement</x:v>
      </x:c>
      <x:c r="D100" s="6"/>
      <x:c r="E100" s="6" t="str"/>
      <x:c r="F100" s="6" t="str"/>
      <x:c r="G100" s="6" t="str">
        <x:v>Unknown</x:v>
      </x:c>
      <x:c r="H100" s="6" t="str"/>
      <x:c r="I100" s="12" t="str">
        <x:v>Source Workbook</x:v>
      </x:c>
      <x:c r="J100" s="12" t="str">
        <x:v>Nocturnix_Master_Services_Catalog_v1.xlsx | 01 - Master Services | row 139</x:v>
      </x:c>
      <x:c r="K100" s="6" t="str">
        <x:v>Unresolved</x:v>
      </x:c>
      <x:c r="L100" s="6" t="str"/>
      <x:c r="M100" s="6" t="str"/>
      <x:c r="N100" s="6" t="str">
        <x:v>Pending</x:v>
      </x:c>
      <x:c r="O100" s="12" t="str"/>
    </x:row>
    <x:row r="101">
      <x:c r="A101" s="6" t="str">
        <x:v>PARTR-000100</x:v>
      </x:c>
      <x:c r="B101" s="6" t="str">
        <x:v>SVC000100</x:v>
      </x:c>
      <x:c r="C101" s="6" t="str">
        <x:v>iPhone 5 Screen replacement</x:v>
      </x:c>
      <x:c r="D101" s="6"/>
      <x:c r="E101" s="6" t="str"/>
      <x:c r="F101" s="6" t="str"/>
      <x:c r="G101" s="6" t="str">
        <x:v>Unknown</x:v>
      </x:c>
      <x:c r="H101" s="6" t="str"/>
      <x:c r="I101" s="12" t="str">
        <x:v>Source Workbook</x:v>
      </x:c>
      <x:c r="J101" s="12" t="str">
        <x:v>Nocturnix_Master_Services_Catalog_v1.xlsx | 01 - Master Services | row 140</x:v>
      </x:c>
      <x:c r="K101" s="6" t="str">
        <x:v>Unresolved</x:v>
      </x:c>
      <x:c r="L101" s="6" t="str"/>
      <x:c r="M101" s="6" t="str"/>
      <x:c r="N101" s="6" t="str">
        <x:v>Pending</x:v>
      </x:c>
      <x:c r="O101" s="12" t="str"/>
    </x:row>
    <x:row r="102">
      <x:c r="A102" s="6" t="str">
        <x:v>PARTR-000101</x:v>
      </x:c>
      <x:c r="B102" s="6" t="str">
        <x:v>SVC000101</x:v>
      </x:c>
      <x:c r="C102" s="6" t="str">
        <x:v>iPhone 4S Screen replacement</x:v>
      </x:c>
      <x:c r="D102" s="6"/>
      <x:c r="E102" s="6" t="str"/>
      <x:c r="F102" s="6" t="str"/>
      <x:c r="G102" s="6" t="str">
        <x:v>Unknown</x:v>
      </x:c>
      <x:c r="H102" s="6" t="str"/>
      <x:c r="I102" s="12" t="str">
        <x:v>Source Workbook</x:v>
      </x:c>
      <x:c r="J102" s="12" t="str">
        <x:v>Nocturnix_Master_Services_Catalog_v1.xlsx | 01 - Master Services | row 141</x:v>
      </x:c>
      <x:c r="K102" s="6" t="str">
        <x:v>Unresolved</x:v>
      </x:c>
      <x:c r="L102" s="6" t="str"/>
      <x:c r="M102" s="6" t="str"/>
      <x:c r="N102" s="6" t="str">
        <x:v>Pending</x:v>
      </x:c>
      <x:c r="O102" s="12" t="str"/>
    </x:row>
    <x:row r="103">
      <x:c r="A103" s="6" t="str">
        <x:v>PARTR-000102</x:v>
      </x:c>
      <x:c r="B103" s="6" t="str">
        <x:v>SVC000102</x:v>
      </x:c>
      <x:c r="C103" s="6" t="str">
        <x:v>iPhone 4S Screen replacement</x:v>
      </x:c>
      <x:c r="D103" s="6"/>
      <x:c r="E103" s="6" t="str"/>
      <x:c r="F103" s="6" t="str"/>
      <x:c r="G103" s="6" t="str">
        <x:v>Unknown</x:v>
      </x:c>
      <x:c r="H103" s="6" t="str"/>
      <x:c r="I103" s="12" t="str">
        <x:v>Source Workbook</x:v>
      </x:c>
      <x:c r="J103" s="12" t="str">
        <x:v>Nocturnix_Master_Services_Catalog_v1.xlsx | 01 - Master Services | row 142</x:v>
      </x:c>
      <x:c r="K103" s="6" t="str">
        <x:v>Unresolved</x:v>
      </x:c>
      <x:c r="L103" s="6" t="str"/>
      <x:c r="M103" s="6" t="str"/>
      <x:c r="N103" s="6" t="str">
        <x:v>Pending</x:v>
      </x:c>
      <x:c r="O103" s="12" t="str"/>
    </x:row>
    <x:row r="104">
      <x:c r="A104" s="6" t="str">
        <x:v>PARTR-000103</x:v>
      </x:c>
      <x:c r="B104" s="6" t="str">
        <x:v>SVC000103</x:v>
      </x:c>
      <x:c r="C104" s="6" t="str">
        <x:v>iPhone 4S Screen replacement</x:v>
      </x:c>
      <x:c r="D104" s="6"/>
      <x:c r="E104" s="6" t="str"/>
      <x:c r="F104" s="6" t="str"/>
      <x:c r="G104" s="6" t="str">
        <x:v>Unknown</x:v>
      </x:c>
      <x:c r="H104" s="6" t="str"/>
      <x:c r="I104" s="12" t="str">
        <x:v>Source Workbook</x:v>
      </x:c>
      <x:c r="J104" s="12" t="str">
        <x:v>Nocturnix_Master_Services_Catalog_v1.xlsx | 01 - Master Services | row 143</x:v>
      </x:c>
      <x:c r="K104" s="6" t="str">
        <x:v>Unresolved</x:v>
      </x:c>
      <x:c r="L104" s="6" t="str"/>
      <x:c r="M104" s="6" t="str"/>
      <x:c r="N104" s="6" t="str">
        <x:v>Pending</x:v>
      </x:c>
      <x:c r="O104" s="12" t="str"/>
    </x:row>
    <x:row r="105">
      <x:c r="A105" s="6" t="str">
        <x:v>PARTR-000104</x:v>
      </x:c>
      <x:c r="B105" s="6" t="str">
        <x:v>SVC000104</x:v>
      </x:c>
      <x:c r="C105" s="6" t="str">
        <x:v>iPhone 3GS Screen replacement</x:v>
      </x:c>
      <x:c r="D105" s="6"/>
      <x:c r="E105" s="6" t="str"/>
      <x:c r="F105" s="6" t="str"/>
      <x:c r="G105" s="6" t="str">
        <x:v>Unknown</x:v>
      </x:c>
      <x:c r="H105" s="6" t="str"/>
      <x:c r="I105" s="12" t="str">
        <x:v>Source Workbook</x:v>
      </x:c>
      <x:c r="J105" s="12" t="str">
        <x:v>Nocturnix_Master_Services_Catalog_v1.xlsx | 01 - Master Services | row 144</x:v>
      </x:c>
      <x:c r="K105" s="6" t="str">
        <x:v>Unresolved</x:v>
      </x:c>
      <x:c r="L105" s="6" t="str"/>
      <x:c r="M105" s="6" t="str"/>
      <x:c r="N105" s="6" t="str">
        <x:v>Pending</x:v>
      </x:c>
      <x:c r="O105" s="12" t="str"/>
    </x:row>
    <x:row r="106">
      <x:c r="A106" s="6" t="str">
        <x:v>PARTR-000105</x:v>
      </x:c>
      <x:c r="B106" s="6" t="str">
        <x:v>SVC000105</x:v>
      </x:c>
      <x:c r="C106" s="6" t="str">
        <x:v>iPhone 3G Screen replacement</x:v>
      </x:c>
      <x:c r="D106" s="6"/>
      <x:c r="E106" s="6" t="str"/>
      <x:c r="F106" s="6" t="str"/>
      <x:c r="G106" s="6" t="str">
        <x:v>Unknown</x:v>
      </x:c>
      <x:c r="H106" s="6" t="str"/>
      <x:c r="I106" s="12" t="str">
        <x:v>Source Workbook</x:v>
      </x:c>
      <x:c r="J106" s="12" t="str">
        <x:v>Nocturnix_Master_Services_Catalog_v1.xlsx | 01 - Master Services | row 145</x:v>
      </x:c>
      <x:c r="K106" s="6" t="str">
        <x:v>Unresolved</x:v>
      </x:c>
      <x:c r="L106" s="6" t="str"/>
      <x:c r="M106" s="6" t="str"/>
      <x:c r="N106" s="6" t="str">
        <x:v>Pending</x:v>
      </x:c>
      <x:c r="O106" s="12" t="str"/>
    </x:row>
    <x:row r="107">
      <x:c r="A107" s="6" t="str">
        <x:v>PARTR-000106</x:v>
      </x:c>
      <x:c r="B107" s="6" t="str">
        <x:v>SVC000106</x:v>
      </x:c>
      <x:c r="C107" s="6" t="str">
        <x:v>iPhone Screen replacement</x:v>
      </x:c>
      <x:c r="D107" s="6"/>
      <x:c r="E107" s="6" t="str"/>
      <x:c r="F107" s="6" t="str"/>
      <x:c r="G107" s="6" t="str">
        <x:v>Unknown</x:v>
      </x:c>
      <x:c r="H107" s="6" t="str"/>
      <x:c r="I107" s="12" t="str">
        <x:v>Source Workbook</x:v>
      </x:c>
      <x:c r="J107" s="12" t="str">
        <x:v>Nocturnix_Master_Services_Catalog_v1.xlsx | 01 - Master Services | row 146</x:v>
      </x:c>
      <x:c r="K107" s="6" t="str">
        <x:v>Unresolved</x:v>
      </x:c>
      <x:c r="L107" s="6" t="str"/>
      <x:c r="M107" s="6" t="str"/>
      <x:c r="N107" s="6" t="str">
        <x:v>Pending</x:v>
      </x:c>
      <x:c r="O107" s="12" t="str"/>
    </x:row>
    <x:row r="108">
      <x:c r="A108" s="6" t="str">
        <x:v>PARTR-000107</x:v>
      </x:c>
      <x:c r="B108" s="6" t="str">
        <x:v>SVC000107</x:v>
      </x:c>
      <x:c r="C108" s="6" t="str">
        <x:v>Galaxy S 24 FE Charge Port Replacement</x:v>
      </x:c>
      <x:c r="D108" s="6"/>
      <x:c r="E108" s="6" t="str"/>
      <x:c r="F108" s="6" t="str"/>
      <x:c r="G108" s="6" t="str">
        <x:v>Unknown</x:v>
      </x:c>
      <x:c r="H108" s="6" t="str"/>
      <x:c r="I108" s="12" t="str">
        <x:v>Source Workbook</x:v>
      </x:c>
      <x:c r="J108" s="12" t="str">
        <x:v>Nocturnix_Master_Services_Catalog_v1.xlsx | 01 - Master Services | row 147</x:v>
      </x:c>
      <x:c r="K108" s="6" t="str">
        <x:v>Unresolved</x:v>
      </x:c>
      <x:c r="L108" s="6" t="str"/>
      <x:c r="M108" s="6" t="str"/>
      <x:c r="N108" s="6" t="str">
        <x:v>Pending</x:v>
      </x:c>
      <x:c r="O108" s="12" t="str"/>
    </x:row>
    <x:row r="109">
      <x:c r="A109" s="6" t="str">
        <x:v>PARTR-000108</x:v>
      </x:c>
      <x:c r="B109" s="6" t="str">
        <x:v>SVC000108</x:v>
      </x:c>
      <x:c r="C109" s="6" t="str">
        <x:v>Galaxy S 25 Charge Port Replacement</x:v>
      </x:c>
      <x:c r="D109" s="6"/>
      <x:c r="E109" s="6" t="str"/>
      <x:c r="F109" s="6" t="str"/>
      <x:c r="G109" s="6" t="str">
        <x:v>Unknown</x:v>
      </x:c>
      <x:c r="H109" s="6" t="str"/>
      <x:c r="I109" s="12" t="str">
        <x:v>Source Workbook</x:v>
      </x:c>
      <x:c r="J109" s="12" t="str">
        <x:v>Nocturnix_Master_Services_Catalog_v1.xlsx | 01 - Master Services | row 148</x:v>
      </x:c>
      <x:c r="K109" s="6" t="str">
        <x:v>Unresolved</x:v>
      </x:c>
      <x:c r="L109" s="6" t="str"/>
      <x:c r="M109" s="6" t="str"/>
      <x:c r="N109" s="6" t="str">
        <x:v>Pending</x:v>
      </x:c>
      <x:c r="O109" s="12" t="str"/>
    </x:row>
    <x:row r="110">
      <x:c r="A110" s="6" t="str">
        <x:v>PARTR-000109</x:v>
      </x:c>
      <x:c r="B110" s="6" t="str">
        <x:v>SVC000109</x:v>
      </x:c>
      <x:c r="C110" s="6" t="str">
        <x:v>Galaxy S 25 Plus Charge Port Replacement</x:v>
      </x:c>
      <x:c r="D110" s="6"/>
      <x:c r="E110" s="6" t="str"/>
      <x:c r="F110" s="6" t="str"/>
      <x:c r="G110" s="6" t="str">
        <x:v>Unknown</x:v>
      </x:c>
      <x:c r="H110" s="6" t="str"/>
      <x:c r="I110" s="12" t="str">
        <x:v>Source Workbook</x:v>
      </x:c>
      <x:c r="J110" s="12" t="str">
        <x:v>Nocturnix_Master_Services_Catalog_v1.xlsx | 01 - Master Services | row 149</x:v>
      </x:c>
      <x:c r="K110" s="6" t="str">
        <x:v>Unresolved</x:v>
      </x:c>
      <x:c r="L110" s="6" t="str"/>
      <x:c r="M110" s="6" t="str"/>
      <x:c r="N110" s="6" t="str">
        <x:v>Pending</x:v>
      </x:c>
      <x:c r="O110" s="12" t="str"/>
    </x:row>
    <x:row r="111">
      <x:c r="A111" s="6" t="str">
        <x:v>PARTR-000110</x:v>
      </x:c>
      <x:c r="B111" s="6" t="str">
        <x:v>SVC000110</x:v>
      </x:c>
      <x:c r="C111" s="6" t="str">
        <x:v>Galaxy S 25 Edge Charge Port Replacement</x:v>
      </x:c>
      <x:c r="D111" s="6"/>
      <x:c r="E111" s="6" t="str"/>
      <x:c r="F111" s="6" t="str"/>
      <x:c r="G111" s="6" t="str">
        <x:v>Unknown</x:v>
      </x:c>
      <x:c r="H111" s="6" t="str"/>
      <x:c r="I111" s="12" t="str">
        <x:v>Source Workbook</x:v>
      </x:c>
      <x:c r="J111" s="12" t="str">
        <x:v>Nocturnix_Master_Services_Catalog_v1.xlsx | 01 - Master Services | row 150</x:v>
      </x:c>
      <x:c r="K111" s="6" t="str">
        <x:v>Unresolved</x:v>
      </x:c>
      <x:c r="L111" s="6" t="str"/>
      <x:c r="M111" s="6" t="str"/>
      <x:c r="N111" s="6" t="str">
        <x:v>Pending</x:v>
      </x:c>
      <x:c r="O111" s="12" t="str"/>
    </x:row>
    <x:row r="112">
      <x:c r="A112" s="6" t="str">
        <x:v>PARTR-000111</x:v>
      </x:c>
      <x:c r="B112" s="6" t="str">
        <x:v>SVC000111</x:v>
      </x:c>
      <x:c r="C112" s="6" t="str">
        <x:v>Galaxy S 22 Plus Battery Replacement</x:v>
      </x:c>
      <x:c r="D112" s="6"/>
      <x:c r="E112" s="6" t="str"/>
      <x:c r="F112" s="6" t="str"/>
      <x:c r="G112" s="6" t="str">
        <x:v>Unknown</x:v>
      </x:c>
      <x:c r="H112" s="6" t="str"/>
      <x:c r="I112" s="12" t="str">
        <x:v>Source Workbook</x:v>
      </x:c>
      <x:c r="J112" s="12" t="str">
        <x:v>Nocturnix_Master_Services_Catalog_v1.xlsx | 01 - Master Services | row 151</x:v>
      </x:c>
      <x:c r="K112" s="6" t="str">
        <x:v>Unresolved</x:v>
      </x:c>
      <x:c r="L112" s="6" t="str"/>
      <x:c r="M112" s="6" t="str"/>
      <x:c r="N112" s="6" t="str">
        <x:v>Pending</x:v>
      </x:c>
      <x:c r="O112" s="12" t="str"/>
    </x:row>
    <x:row r="113">
      <x:c r="A113" s="6" t="str">
        <x:v>PARTR-000112</x:v>
      </x:c>
      <x:c r="B113" s="6" t="str">
        <x:v>SVC000112</x:v>
      </x:c>
      <x:c r="C113" s="6" t="str">
        <x:v>Galaxy S 22 Ultra Battery Replacement</x:v>
      </x:c>
      <x:c r="D113" s="6"/>
      <x:c r="E113" s="6" t="str"/>
      <x:c r="F113" s="6" t="str"/>
      <x:c r="G113" s="6" t="str">
        <x:v>Unknown</x:v>
      </x:c>
      <x:c r="H113" s="6" t="str"/>
      <x:c r="I113" s="12" t="str">
        <x:v>Source Workbook</x:v>
      </x:c>
      <x:c r="J113" s="12" t="str">
        <x:v>Nocturnix_Master_Services_Catalog_v1.xlsx | 01 - Master Services | row 152</x:v>
      </x:c>
      <x:c r="K113" s="6" t="str">
        <x:v>Unresolved</x:v>
      </x:c>
      <x:c r="L113" s="6" t="str"/>
      <x:c r="M113" s="6" t="str"/>
      <x:c r="N113" s="6" t="str">
        <x:v>Pending</x:v>
      </x:c>
      <x:c r="O113" s="12" t="str"/>
    </x:row>
    <x:row r="114">
      <x:c r="A114" s="6" t="str">
        <x:v>PARTR-000113</x:v>
      </x:c>
      <x:c r="B114" s="6" t="str">
        <x:v>SVC000113</x:v>
      </x:c>
      <x:c r="C114" s="6" t="str">
        <x:v>Galaxy S 23 Plus Battery Replacement</x:v>
      </x:c>
      <x:c r="D114" s="6"/>
      <x:c r="E114" s="6" t="str"/>
      <x:c r="F114" s="6" t="str"/>
      <x:c r="G114" s="6" t="str">
        <x:v>Unknown</x:v>
      </x:c>
      <x:c r="H114" s="6" t="str"/>
      <x:c r="I114" s="12" t="str">
        <x:v>Source Workbook</x:v>
      </x:c>
      <x:c r="J114" s="12" t="str">
        <x:v>Nocturnix_Master_Services_Catalog_v1.xlsx | 01 - Master Services | row 153</x:v>
      </x:c>
      <x:c r="K114" s="6" t="str">
        <x:v>Unresolved</x:v>
      </x:c>
      <x:c r="L114" s="6" t="str"/>
      <x:c r="M114" s="6" t="str"/>
      <x:c r="N114" s="6" t="str">
        <x:v>Pending</x:v>
      </x:c>
      <x:c r="O114" s="12" t="str"/>
    </x:row>
    <x:row r="115">
      <x:c r="A115" s="6" t="str">
        <x:v>PARTR-000114</x:v>
      </x:c>
      <x:c r="B115" s="6" t="str">
        <x:v>SVC000114</x:v>
      </x:c>
      <x:c r="C115" s="6" t="str">
        <x:v>Galaxy S 24 Battery Replacement</x:v>
      </x:c>
      <x:c r="D115" s="6"/>
      <x:c r="E115" s="6" t="str"/>
      <x:c r="F115" s="6" t="str"/>
      <x:c r="G115" s="6" t="str">
        <x:v>Unknown</x:v>
      </x:c>
      <x:c r="H115" s="6" t="str"/>
      <x:c r="I115" s="12" t="str">
        <x:v>Source Workbook</x:v>
      </x:c>
      <x:c r="J115" s="12" t="str">
        <x:v>Nocturnix_Master_Services_Catalog_v1.xlsx | 01 - Master Services | row 154</x:v>
      </x:c>
      <x:c r="K115" s="6" t="str">
        <x:v>Unresolved</x:v>
      </x:c>
      <x:c r="L115" s="6" t="str"/>
      <x:c r="M115" s="6" t="str"/>
      <x:c r="N115" s="6" t="str">
        <x:v>Pending</x:v>
      </x:c>
      <x:c r="O115" s="12" t="str"/>
    </x:row>
    <x:row r="116">
      <x:c r="A116" s="6" t="str">
        <x:v>PARTR-000115</x:v>
      </x:c>
      <x:c r="B116" s="6" t="str">
        <x:v>SVC000115</x:v>
      </x:c>
      <x:c r="C116" s="6" t="str">
        <x:v>Galaxy S 24 Plus Battery Replacement</x:v>
      </x:c>
      <x:c r="D116" s="6"/>
      <x:c r="E116" s="6" t="str"/>
      <x:c r="F116" s="6" t="str"/>
      <x:c r="G116" s="6" t="str">
        <x:v>Unknown</x:v>
      </x:c>
      <x:c r="H116" s="6" t="str"/>
      <x:c r="I116" s="12" t="str">
        <x:v>Source Workbook</x:v>
      </x:c>
      <x:c r="J116" s="12" t="str">
        <x:v>Nocturnix_Master_Services_Catalog_v1.xlsx | 01 - Master Services | row 155</x:v>
      </x:c>
      <x:c r="K116" s="6" t="str">
        <x:v>Unresolved</x:v>
      </x:c>
      <x:c r="L116" s="6" t="str"/>
      <x:c r="M116" s="6" t="str"/>
      <x:c r="N116" s="6" t="str">
        <x:v>Pending</x:v>
      </x:c>
      <x:c r="O116" s="12" t="str"/>
    </x:row>
    <x:row r="117">
      <x:c r="A117" s="6" t="str">
        <x:v>PARTR-000116</x:v>
      </x:c>
      <x:c r="B117" s="6" t="str">
        <x:v>SVC000116</x:v>
      </x:c>
      <x:c r="C117" s="6" t="str">
        <x:v>Galaxy S 24 Ultra Battery Replacement</x:v>
      </x:c>
      <x:c r="D117" s="6"/>
      <x:c r="E117" s="6" t="str"/>
      <x:c r="F117" s="6" t="str"/>
      <x:c r="G117" s="6" t="str">
        <x:v>Unknown</x:v>
      </x:c>
      <x:c r="H117" s="6" t="str"/>
      <x:c r="I117" s="12" t="str">
        <x:v>Source Workbook</x:v>
      </x:c>
      <x:c r="J117" s="12" t="str">
        <x:v>Nocturnix_Master_Services_Catalog_v1.xlsx | 01 - Master Services | row 156</x:v>
      </x:c>
      <x:c r="K117" s="6" t="str">
        <x:v>Unresolved</x:v>
      </x:c>
      <x:c r="L117" s="6" t="str"/>
      <x:c r="M117" s="6" t="str"/>
      <x:c r="N117" s="6" t="str">
        <x:v>Pending</x:v>
      </x:c>
      <x:c r="O117" s="12" t="str"/>
    </x:row>
    <x:row r="118">
      <x:c r="A118" s="6" t="str">
        <x:v>PARTR-000117</x:v>
      </x:c>
      <x:c r="B118" s="6" t="str">
        <x:v>SVC000117</x:v>
      </x:c>
      <x:c r="C118" s="6" t="str">
        <x:v>Galaxy S 25 Plus Battery Replacement</x:v>
      </x:c>
      <x:c r="D118" s="6"/>
      <x:c r="E118" s="6" t="str"/>
      <x:c r="F118" s="6" t="str"/>
      <x:c r="G118" s="6" t="str">
        <x:v>Unknown</x:v>
      </x:c>
      <x:c r="H118" s="6" t="str"/>
      <x:c r="I118" s="12" t="str">
        <x:v>Source Workbook</x:v>
      </x:c>
      <x:c r="J118" s="12" t="str">
        <x:v>Nocturnix_Master_Services_Catalog_v1.xlsx | 01 - Master Services | row 157</x:v>
      </x:c>
      <x:c r="K118" s="6" t="str">
        <x:v>Unresolved</x:v>
      </x:c>
      <x:c r="L118" s="6" t="str"/>
      <x:c r="M118" s="6" t="str"/>
      <x:c r="N118" s="6" t="str">
        <x:v>Pending</x:v>
      </x:c>
      <x:c r="O118" s="12" t="str"/>
    </x:row>
    <x:row r="119">
      <x:c r="A119" s="6" t="str">
        <x:v>PARTR-000118</x:v>
      </x:c>
      <x:c r="B119" s="6" t="str">
        <x:v>SVC000118</x:v>
      </x:c>
      <x:c r="C119" s="6" t="str">
        <x:v>Galaxy S 10 Battery Replacement</x:v>
      </x:c>
      <x:c r="D119" s="6"/>
      <x:c r="E119" s="6" t="str"/>
      <x:c r="F119" s="6" t="str"/>
      <x:c r="G119" s="6" t="str">
        <x:v>Unknown</x:v>
      </x:c>
      <x:c r="H119" s="6" t="str"/>
      <x:c r="I119" s="12" t="str">
        <x:v>Source Workbook</x:v>
      </x:c>
      <x:c r="J119" s="12" t="str">
        <x:v>Nocturnix_Master_Services_Catalog_v1.xlsx | 01 - Master Services | row 158</x:v>
      </x:c>
      <x:c r="K119" s="6" t="str">
        <x:v>Unresolved</x:v>
      </x:c>
      <x:c r="L119" s="6" t="str"/>
      <x:c r="M119" s="6" t="str"/>
      <x:c r="N119" s="6" t="str">
        <x:v>Pending</x:v>
      </x:c>
      <x:c r="O119" s="12" t="str"/>
    </x:row>
    <x:row r="120">
      <x:c r="A120" s="6" t="str">
        <x:v>PARTR-000119</x:v>
      </x:c>
      <x:c r="B120" s="6" t="str">
        <x:v>SVC000119</x:v>
      </x:c>
      <x:c r="C120" s="6" t="str">
        <x:v>Galaxy S 10 Plus Battery Replacement</x:v>
      </x:c>
      <x:c r="D120" s="6"/>
      <x:c r="E120" s="6" t="str"/>
      <x:c r="F120" s="6" t="str"/>
      <x:c r="G120" s="6" t="str">
        <x:v>Unknown</x:v>
      </x:c>
      <x:c r="H120" s="6" t="str"/>
      <x:c r="I120" s="12" t="str">
        <x:v>Source Workbook</x:v>
      </x:c>
      <x:c r="J120" s="12" t="str">
        <x:v>Nocturnix_Master_Services_Catalog_v1.xlsx | 01 - Master Services | row 159</x:v>
      </x:c>
      <x:c r="K120" s="6" t="str">
        <x:v>Unresolved</x:v>
      </x:c>
      <x:c r="L120" s="6" t="str"/>
      <x:c r="M120" s="6" t="str"/>
      <x:c r="N120" s="6" t="str">
        <x:v>Pending</x:v>
      </x:c>
      <x:c r="O120" s="12" t="str"/>
    </x:row>
    <x:row r="121">
      <x:c r="A121" s="6" t="str">
        <x:v>PARTR-000120</x:v>
      </x:c>
      <x:c r="B121" s="6" t="str">
        <x:v>SVC000120</x:v>
      </x:c>
      <x:c r="C121" s="6" t="str">
        <x:v>Galaxy S 10 E Battery Replacement</x:v>
      </x:c>
      <x:c r="D121" s="6"/>
      <x:c r="E121" s="6" t="str"/>
      <x:c r="F121" s="6" t="str"/>
      <x:c r="G121" s="6" t="str">
        <x:v>Unknown</x:v>
      </x:c>
      <x:c r="H121" s="6" t="str"/>
      <x:c r="I121" s="12" t="str">
        <x:v>Source Workbook</x:v>
      </x:c>
      <x:c r="J121" s="12" t="str">
        <x:v>Nocturnix_Master_Services_Catalog_v1.xlsx | 01 - Master Services | row 160</x:v>
      </x:c>
      <x:c r="K121" s="6" t="str">
        <x:v>Unresolved</x:v>
      </x:c>
      <x:c r="L121" s="6" t="str"/>
      <x:c r="M121" s="6" t="str"/>
      <x:c r="N121" s="6" t="str">
        <x:v>Pending</x:v>
      </x:c>
      <x:c r="O121" s="12" t="str"/>
    </x:row>
    <x:row r="122">
      <x:c r="A122" s="6" t="str">
        <x:v>PARTR-000121</x:v>
      </x:c>
      <x:c r="B122" s="6" t="str">
        <x:v>SVC000121</x:v>
      </x:c>
      <x:c r="C122" s="6" t="str">
        <x:v>Galaxy Note 9 Battery Replacement</x:v>
      </x:c>
      <x:c r="D122" s="6"/>
      <x:c r="E122" s="6" t="str"/>
      <x:c r="F122" s="6" t="str"/>
      <x:c r="G122" s="6" t="str">
        <x:v>Unknown</x:v>
      </x:c>
      <x:c r="H122" s="6" t="str"/>
      <x:c r="I122" s="12" t="str">
        <x:v>Source Workbook</x:v>
      </x:c>
      <x:c r="J122" s="12" t="str">
        <x:v>Nocturnix_Master_Services_Catalog_v1.xlsx | 01 - Master Services | row 161</x:v>
      </x:c>
      <x:c r="K122" s="6" t="str">
        <x:v>Unresolved</x:v>
      </x:c>
      <x:c r="L122" s="6" t="str"/>
      <x:c r="M122" s="6" t="str"/>
      <x:c r="N122" s="6" t="str">
        <x:v>Pending</x:v>
      </x:c>
      <x:c r="O122" s="12" t="str"/>
    </x:row>
    <x:row r="123">
      <x:c r="A123" s="6" t="str">
        <x:v>PARTR-000122</x:v>
      </x:c>
      <x:c r="B123" s="6" t="str">
        <x:v>SVC000122</x:v>
      </x:c>
      <x:c r="C123" s="6" t="str">
        <x:v>Galaxy Note 10 Plus Battery Replacement</x:v>
      </x:c>
      <x:c r="D123" s="6"/>
      <x:c r="E123" s="6" t="str"/>
      <x:c r="F123" s="6" t="str"/>
      <x:c r="G123" s="6" t="str">
        <x:v>Unknown</x:v>
      </x:c>
      <x:c r="H123" s="6" t="str"/>
      <x:c r="I123" s="12" t="str">
        <x:v>Source Workbook</x:v>
      </x:c>
      <x:c r="J123" s="12" t="str">
        <x:v>Nocturnix_Master_Services_Catalog_v1.xlsx | 01 - Master Services | row 162</x:v>
      </x:c>
      <x:c r="K123" s="6" t="str">
        <x:v>Unresolved</x:v>
      </x:c>
      <x:c r="L123" s="6" t="str"/>
      <x:c r="M123" s="6" t="str"/>
      <x:c r="N123" s="6" t="str">
        <x:v>Pending</x:v>
      </x:c>
      <x:c r="O123" s="12" t="str"/>
    </x:row>
    <x:row r="124">
      <x:c r="A124" s="6" t="str">
        <x:v>PARTR-000123</x:v>
      </x:c>
      <x:c r="B124" s="6" t="str">
        <x:v>SVC000123</x:v>
      </x:c>
      <x:c r="C124" s="6" t="str">
        <x:v>Galaxy S 20 Battery Replacement</x:v>
      </x:c>
      <x:c r="D124" s="6"/>
      <x:c r="E124" s="6" t="str"/>
      <x:c r="F124" s="6" t="str"/>
      <x:c r="G124" s="6" t="str">
        <x:v>Unknown</x:v>
      </x:c>
      <x:c r="H124" s="6" t="str"/>
      <x:c r="I124" s="12" t="str">
        <x:v>Source Workbook</x:v>
      </x:c>
      <x:c r="J124" s="12" t="str">
        <x:v>Nocturnix_Master_Services_Catalog_v1.xlsx | 01 - Master Services | row 163</x:v>
      </x:c>
      <x:c r="K124" s="6" t="str">
        <x:v>Unresolved</x:v>
      </x:c>
      <x:c r="L124" s="6" t="str"/>
      <x:c r="M124" s="6" t="str"/>
      <x:c r="N124" s="6" t="str">
        <x:v>Pending</x:v>
      </x:c>
      <x:c r="O124" s="12" t="str"/>
    </x:row>
    <x:row r="125">
      <x:c r="A125" s="6" t="str">
        <x:v>PARTR-000124</x:v>
      </x:c>
      <x:c r="B125" s="6" t="str">
        <x:v>SVC000124</x:v>
      </x:c>
      <x:c r="C125" s="6" t="str">
        <x:v>Galaxy S 20 Plus Battery Replacement</x:v>
      </x:c>
      <x:c r="D125" s="6"/>
      <x:c r="E125" s="6" t="str"/>
      <x:c r="F125" s="6" t="str"/>
      <x:c r="G125" s="6" t="str">
        <x:v>Unknown</x:v>
      </x:c>
      <x:c r="H125" s="6" t="str"/>
      <x:c r="I125" s="12" t="str">
        <x:v>Source Workbook</x:v>
      </x:c>
      <x:c r="J125" s="12" t="str">
        <x:v>Nocturnix_Master_Services_Catalog_v1.xlsx | 01 - Master Services | row 164</x:v>
      </x:c>
      <x:c r="K125" s="6" t="str">
        <x:v>Unresolved</x:v>
      </x:c>
      <x:c r="L125" s="6" t="str"/>
      <x:c r="M125" s="6" t="str"/>
      <x:c r="N125" s="6" t="str">
        <x:v>Pending</x:v>
      </x:c>
      <x:c r="O125" s="12" t="str"/>
    </x:row>
    <x:row r="126">
      <x:c r="A126" s="6" t="str">
        <x:v>PARTR-000125</x:v>
      </x:c>
      <x:c r="B126" s="6" t="str">
        <x:v>SVC000125</x:v>
      </x:c>
      <x:c r="C126" s="6" t="str">
        <x:v>Galaxy S 21 Plus Battery Replacement</x:v>
      </x:c>
      <x:c r="D126" s="6"/>
      <x:c r="E126" s="6" t="str"/>
      <x:c r="F126" s="6" t="str"/>
      <x:c r="G126" s="6" t="str">
        <x:v>Unknown</x:v>
      </x:c>
      <x:c r="H126" s="6" t="str"/>
      <x:c r="I126" s="12" t="str">
        <x:v>Source Workbook</x:v>
      </x:c>
      <x:c r="J126" s="12" t="str">
        <x:v>Nocturnix_Master_Services_Catalog_v1.xlsx | 01 - Master Services | row 165</x:v>
      </x:c>
      <x:c r="K126" s="6" t="str">
        <x:v>Unresolved</x:v>
      </x:c>
      <x:c r="L126" s="6" t="str"/>
      <x:c r="M126" s="6" t="str"/>
      <x:c r="N126" s="6" t="str">
        <x:v>Pending</x:v>
      </x:c>
      <x:c r="O126" s="12" t="str"/>
    </x:row>
    <x:row r="127">
      <x:c r="A127" s="6" t="str">
        <x:v>PARTR-000126</x:v>
      </x:c>
      <x:c r="B127" s="6" t="str">
        <x:v>SVC000126</x:v>
      </x:c>
      <x:c r="C127" s="6" t="str">
        <x:v>Galaxy S 7 Battery Replacement</x:v>
      </x:c>
      <x:c r="D127" s="6"/>
      <x:c r="E127" s="6" t="str"/>
      <x:c r="F127" s="6" t="str"/>
      <x:c r="G127" s="6" t="str">
        <x:v>Unknown</x:v>
      </x:c>
      <x:c r="H127" s="6" t="str"/>
      <x:c r="I127" s="12" t="str">
        <x:v>Source Workbook</x:v>
      </x:c>
      <x:c r="J127" s="12" t="str">
        <x:v>Nocturnix_Master_Services_Catalog_v1.xlsx | 01 - Master Services | row 166</x:v>
      </x:c>
      <x:c r="K127" s="6" t="str">
        <x:v>Unresolved</x:v>
      </x:c>
      <x:c r="L127" s="6" t="str"/>
      <x:c r="M127" s="6" t="str"/>
      <x:c r="N127" s="6" t="str">
        <x:v>Pending</x:v>
      </x:c>
      <x:c r="O127" s="12" t="str"/>
    </x:row>
    <x:row r="128">
      <x:c r="A128" s="6" t="str">
        <x:v>PARTR-000127</x:v>
      </x:c>
      <x:c r="B128" s="6" t="str">
        <x:v>SVC000127</x:v>
      </x:c>
      <x:c r="C128" s="6" t="str">
        <x:v>Galaxy S 7 Edge Battery Replacement</x:v>
      </x:c>
      <x:c r="D128" s="6"/>
      <x:c r="E128" s="6" t="str"/>
      <x:c r="F128" s="6" t="str"/>
      <x:c r="G128" s="6" t="str">
        <x:v>Unknown</x:v>
      </x:c>
      <x:c r="H128" s="6" t="str"/>
      <x:c r="I128" s="12" t="str">
        <x:v>Source Workbook</x:v>
      </x:c>
      <x:c r="J128" s="12" t="str">
        <x:v>Nocturnix_Master_Services_Catalog_v1.xlsx | 01 - Master Services | row 167</x:v>
      </x:c>
      <x:c r="K128" s="6" t="str">
        <x:v>Unresolved</x:v>
      </x:c>
      <x:c r="L128" s="6" t="str"/>
      <x:c r="M128" s="6" t="str"/>
      <x:c r="N128" s="6" t="str">
        <x:v>Pending</x:v>
      </x:c>
      <x:c r="O128" s="12" t="str"/>
    </x:row>
    <x:row r="129">
      <x:c r="A129" s="6" t="str">
        <x:v>PARTR-000128</x:v>
      </x:c>
      <x:c r="B129" s="6" t="str">
        <x:v>SVC000128</x:v>
      </x:c>
      <x:c r="C129" s="6" t="str">
        <x:v>Galaxy S 5 Active Battery Replacement</x:v>
      </x:c>
      <x:c r="D129" s="6"/>
      <x:c r="E129" s="6" t="str"/>
      <x:c r="F129" s="6" t="str"/>
      <x:c r="G129" s="6" t="str">
        <x:v>Unknown</x:v>
      </x:c>
      <x:c r="H129" s="6" t="str"/>
      <x:c r="I129" s="12" t="str">
        <x:v>Source Workbook</x:v>
      </x:c>
      <x:c r="J129" s="12" t="str">
        <x:v>Nocturnix_Master_Services_Catalog_v1.xlsx | 01 - Master Services | row 168</x:v>
      </x:c>
      <x:c r="K129" s="6" t="str">
        <x:v>Unresolved</x:v>
      </x:c>
      <x:c r="L129" s="6" t="str"/>
      <x:c r="M129" s="6" t="str"/>
      <x:c r="N129" s="6" t="str">
        <x:v>Pending</x:v>
      </x:c>
      <x:c r="O129" s="12" t="str"/>
    </x:row>
    <x:row r="130">
      <x:c r="A130" s="6" t="str">
        <x:v>PARTR-000129</x:v>
      </x:c>
      <x:c r="B130" s="6" t="str">
        <x:v>SVC000129</x:v>
      </x:c>
      <x:c r="C130" s="6" t="str">
        <x:v>Galaxy S 6 Edge Battery Replacement</x:v>
      </x:c>
      <x:c r="D130" s="6"/>
      <x:c r="E130" s="6" t="str"/>
      <x:c r="F130" s="6" t="str"/>
      <x:c r="G130" s="6" t="str">
        <x:v>Unknown</x:v>
      </x:c>
      <x:c r="H130" s="6" t="str"/>
      <x:c r="I130" s="12" t="str">
        <x:v>Source Workbook</x:v>
      </x:c>
      <x:c r="J130" s="12" t="str">
        <x:v>Nocturnix_Master_Services_Catalog_v1.xlsx | 01 - Master Services | row 169</x:v>
      </x:c>
      <x:c r="K130" s="6" t="str">
        <x:v>Unresolved</x:v>
      </x:c>
      <x:c r="L130" s="6" t="str"/>
      <x:c r="M130" s="6" t="str"/>
      <x:c r="N130" s="6" t="str">
        <x:v>Pending</x:v>
      </x:c>
      <x:c r="O130" s="12" t="str"/>
    </x:row>
    <x:row r="131">
      <x:c r="A131" s="6" t="str">
        <x:v>PARTR-000130</x:v>
      </x:c>
      <x:c r="B131" s="6" t="str">
        <x:v>SVC000130</x:v>
      </x:c>
      <x:c r="C131" s="6" t="str">
        <x:v>Galaxy S 8 Plus Battery Replacement</x:v>
      </x:c>
      <x:c r="D131" s="6"/>
      <x:c r="E131" s="6" t="str"/>
      <x:c r="F131" s="6" t="str"/>
      <x:c r="G131" s="6" t="str">
        <x:v>Unknown</x:v>
      </x:c>
      <x:c r="H131" s="6" t="str"/>
      <x:c r="I131" s="12" t="str">
        <x:v>Source Workbook</x:v>
      </x:c>
      <x:c r="J131" s="12" t="str">
        <x:v>Nocturnix_Master_Services_Catalog_v1.xlsx | 01 - Master Services | row 170</x:v>
      </x:c>
      <x:c r="K131" s="6" t="str">
        <x:v>Unresolved</x:v>
      </x:c>
      <x:c r="L131" s="6" t="str"/>
      <x:c r="M131" s="6" t="str"/>
      <x:c r="N131" s="6" t="str">
        <x:v>Pending</x:v>
      </x:c>
      <x:c r="O131" s="12" t="str"/>
    </x:row>
    <x:row r="132">
      <x:c r="A132" s="6" t="str">
        <x:v>PARTR-000131</x:v>
      </x:c>
      <x:c r="B132" s="6" t="str">
        <x:v>SVC000131</x:v>
      </x:c>
      <x:c r="C132" s="6" t="str">
        <x:v>Galaxy S 8 Active Battery Replacement</x:v>
      </x:c>
      <x:c r="D132" s="6"/>
      <x:c r="E132" s="6" t="str"/>
      <x:c r="F132" s="6" t="str"/>
      <x:c r="G132" s="6" t="str">
        <x:v>Unknown</x:v>
      </x:c>
      <x:c r="H132" s="6" t="str"/>
      <x:c r="I132" s="12" t="str">
        <x:v>Source Workbook</x:v>
      </x:c>
      <x:c r="J132" s="12" t="str">
        <x:v>Nocturnix_Master_Services_Catalog_v1.xlsx | 01 - Master Services | row 171</x:v>
      </x:c>
      <x:c r="K132" s="6" t="str">
        <x:v>Unresolved</x:v>
      </x:c>
      <x:c r="L132" s="6" t="str"/>
      <x:c r="M132" s="6" t="str"/>
      <x:c r="N132" s="6" t="str">
        <x:v>Pending</x:v>
      </x:c>
      <x:c r="O132" s="12" t="str"/>
    </x:row>
    <x:row r="133">
      <x:c r="A133" s="6" t="str">
        <x:v>PARTR-000132</x:v>
      </x:c>
      <x:c r="B133" s="6" t="str">
        <x:v>SVC000132</x:v>
      </x:c>
      <x:c r="C133" s="6" t="str">
        <x:v>Galaxy S 9 Plus Battery Replacement</x:v>
      </x:c>
      <x:c r="D133" s="6"/>
      <x:c r="E133" s="6" t="str"/>
      <x:c r="F133" s="6" t="str"/>
      <x:c r="G133" s="6" t="str">
        <x:v>Unknown</x:v>
      </x:c>
      <x:c r="H133" s="6" t="str"/>
      <x:c r="I133" s="12" t="str">
        <x:v>Source Workbook</x:v>
      </x:c>
      <x:c r="J133" s="12" t="str">
        <x:v>Nocturnix_Master_Services_Catalog_v1.xlsx | 01 - Master Services | row 172</x:v>
      </x:c>
      <x:c r="K133" s="6" t="str">
        <x:v>Unresolved</x:v>
      </x:c>
      <x:c r="L133" s="6" t="str"/>
      <x:c r="M133" s="6" t="str"/>
      <x:c r="N133" s="6" t="str">
        <x:v>Pending</x:v>
      </x:c>
      <x:c r="O133" s="12" t="str"/>
    </x:row>
    <x:row r="134">
      <x:c r="A134" s="6" t="str">
        <x:v>PARTR-000133</x:v>
      </x:c>
      <x:c r="B134" s="6" t="str">
        <x:v>SVC000133</x:v>
      </x:c>
      <x:c r="C134" s="6" t="str">
        <x:v>Galaxy S 20 Ultra Battery Replacement</x:v>
      </x:c>
      <x:c r="D134" s="6"/>
      <x:c r="E134" s="6" t="str"/>
      <x:c r="F134" s="6" t="str"/>
      <x:c r="G134" s="6" t="str">
        <x:v>Unknown</x:v>
      </x:c>
      <x:c r="H134" s="6" t="str"/>
      <x:c r="I134" s="12" t="str">
        <x:v>Source Workbook</x:v>
      </x:c>
      <x:c r="J134" s="12" t="str">
        <x:v>Nocturnix_Master_Services_Catalog_v1.xlsx | 01 - Master Services | row 173</x:v>
      </x:c>
      <x:c r="K134" s="6" t="str">
        <x:v>Unresolved</x:v>
      </x:c>
      <x:c r="L134" s="6" t="str"/>
      <x:c r="M134" s="6" t="str"/>
      <x:c r="N134" s="6" t="str">
        <x:v>Pending</x:v>
      </x:c>
      <x:c r="O134" s="12" t="str"/>
    </x:row>
    <x:row r="135">
      <x:c r="A135" s="6" t="str">
        <x:v>PARTR-000134</x:v>
      </x:c>
      <x:c r="B135" s="6" t="str">
        <x:v>SVC000134</x:v>
      </x:c>
      <x:c r="C135" s="6" t="str">
        <x:v>Galaxy S 5 Neo Battery Replacement</x:v>
      </x:c>
      <x:c r="D135" s="6"/>
      <x:c r="E135" s="6" t="str"/>
      <x:c r="F135" s="6" t="str"/>
      <x:c r="G135" s="6" t="str">
        <x:v>Unknown</x:v>
      </x:c>
      <x:c r="H135" s="6" t="str"/>
      <x:c r="I135" s="12" t="str">
        <x:v>Source Workbook</x:v>
      </x:c>
      <x:c r="J135" s="12" t="str">
        <x:v>Nocturnix_Master_Services_Catalog_v1.xlsx | 01 - Master Services | row 174</x:v>
      </x:c>
      <x:c r="K135" s="6" t="str">
        <x:v>Unresolved</x:v>
      </x:c>
      <x:c r="L135" s="6" t="str"/>
      <x:c r="M135" s="6" t="str"/>
      <x:c r="N135" s="6" t="str">
        <x:v>Pending</x:v>
      </x:c>
      <x:c r="O135" s="12" t="str"/>
    </x:row>
    <x:row r="136">
      <x:c r="A136" s="6" t="str">
        <x:v>PARTR-000135</x:v>
      </x:c>
      <x:c r="B136" s="6" t="str">
        <x:v>SVC000135</x:v>
      </x:c>
      <x:c r="C136" s="6" t="str">
        <x:v>Galaxy S 4 Mini Battery Replacement</x:v>
      </x:c>
      <x:c r="D136" s="6"/>
      <x:c r="E136" s="6" t="str"/>
      <x:c r="F136" s="6" t="str"/>
      <x:c r="G136" s="6" t="str">
        <x:v>Unknown</x:v>
      </x:c>
      <x:c r="H136" s="6" t="str"/>
      <x:c r="I136" s="12" t="str">
        <x:v>Source Workbook</x:v>
      </x:c>
      <x:c r="J136" s="12" t="str">
        <x:v>Nocturnix_Master_Services_Catalog_v1.xlsx | 01 - Master Services | row 175</x:v>
      </x:c>
      <x:c r="K136" s="6" t="str">
        <x:v>Unresolved</x:v>
      </x:c>
      <x:c r="L136" s="6" t="str"/>
      <x:c r="M136" s="6" t="str"/>
      <x:c r="N136" s="6" t="str">
        <x:v>Pending</x:v>
      </x:c>
      <x:c r="O136" s="12" t="str"/>
    </x:row>
    <x:row r="137">
      <x:c r="A137" s="6" t="str">
        <x:v>PARTR-000136</x:v>
      </x:c>
      <x:c r="B137" s="6" t="str">
        <x:v>SVC000136</x:v>
      </x:c>
      <x:c r="C137" s="6" t="str">
        <x:v>Galaxy S 23 Ultra Battery Replacement</x:v>
      </x:c>
      <x:c r="D137" s="6"/>
      <x:c r="E137" s="6" t="str"/>
      <x:c r="F137" s="6" t="str"/>
      <x:c r="G137" s="6" t="str">
        <x:v>Unknown</x:v>
      </x:c>
      <x:c r="H137" s="6" t="str"/>
      <x:c r="I137" s="12" t="str">
        <x:v>Source Workbook</x:v>
      </x:c>
      <x:c r="J137" s="12" t="str">
        <x:v>Nocturnix_Master_Services_Catalog_v1.xlsx | 01 - Master Services | row 176</x:v>
      </x:c>
      <x:c r="K137" s="6" t="str">
        <x:v>Unresolved</x:v>
      </x:c>
      <x:c r="L137" s="6" t="str"/>
      <x:c r="M137" s="6" t="str"/>
      <x:c r="N137" s="6" t="str">
        <x:v>Pending</x:v>
      </x:c>
      <x:c r="O137" s="12" t="str"/>
    </x:row>
    <x:row r="138">
      <x:c r="A138" s="6" t="str">
        <x:v>PARTR-000137</x:v>
      </x:c>
      <x:c r="B138" s="6" t="str">
        <x:v>SVC000137</x:v>
      </x:c>
      <x:c r="C138" s="6" t="str">
        <x:v>Galaxy S 23 FE Battery Replacement</x:v>
      </x:c>
      <x:c r="D138" s="6"/>
      <x:c r="E138" s="6" t="str"/>
      <x:c r="F138" s="6" t="str"/>
      <x:c r="G138" s="6" t="str">
        <x:v>Unknown</x:v>
      </x:c>
      <x:c r="H138" s="6" t="str"/>
      <x:c r="I138" s="12" t="str">
        <x:v>Source Workbook</x:v>
      </x:c>
      <x:c r="J138" s="12" t="str">
        <x:v>Nocturnix_Master_Services_Catalog_v1.xlsx | 01 - Master Services | row 177</x:v>
      </x:c>
      <x:c r="K138" s="6" t="str">
        <x:v>Unresolved</x:v>
      </x:c>
      <x:c r="L138" s="6" t="str"/>
      <x:c r="M138" s="6" t="str"/>
      <x:c r="N138" s="6" t="str">
        <x:v>Pending</x:v>
      </x:c>
      <x:c r="O138" s="12" t="str"/>
    </x:row>
    <x:row r="139">
      <x:c r="A139" s="6" t="str">
        <x:v>PARTR-000138</x:v>
      </x:c>
      <x:c r="B139" s="6" t="str">
        <x:v>SVC000138</x:v>
      </x:c>
      <x:c r="C139" s="6" t="str">
        <x:v>Galaxy S 25 Battery Replacement</x:v>
      </x:c>
      <x:c r="D139" s="6"/>
      <x:c r="E139" s="6" t="str"/>
      <x:c r="F139" s="6" t="str"/>
      <x:c r="G139" s="6" t="str">
        <x:v>Unknown</x:v>
      </x:c>
      <x:c r="H139" s="6" t="str"/>
      <x:c r="I139" s="12" t="str">
        <x:v>Source Workbook</x:v>
      </x:c>
      <x:c r="J139" s="12" t="str">
        <x:v>Nocturnix_Master_Services_Catalog_v1.xlsx | 01 - Master Services | row 178</x:v>
      </x:c>
      <x:c r="K139" s="6" t="str">
        <x:v>Unresolved</x:v>
      </x:c>
      <x:c r="L139" s="6" t="str"/>
      <x:c r="M139" s="6" t="str"/>
      <x:c r="N139" s="6" t="str">
        <x:v>Pending</x:v>
      </x:c>
      <x:c r="O139" s="12" t="str"/>
    </x:row>
    <x:row r="140">
      <x:c r="A140" s="6" t="str">
        <x:v>PARTR-000139</x:v>
      </x:c>
      <x:c r="B140" s="6" t="str">
        <x:v>SVC000139</x:v>
      </x:c>
      <x:c r="C140" s="6" t="str">
        <x:v>Galaxy S 25 Edge Battery Replacement</x:v>
      </x:c>
      <x:c r="D140" s="6"/>
      <x:c r="E140" s="6" t="str"/>
      <x:c r="F140" s="6" t="str"/>
      <x:c r="G140" s="6" t="str">
        <x:v>Unknown</x:v>
      </x:c>
      <x:c r="H140" s="6" t="str"/>
      <x:c r="I140" s="12" t="str">
        <x:v>Source Workbook</x:v>
      </x:c>
      <x:c r="J140" s="12" t="str">
        <x:v>Nocturnix_Master_Services_Catalog_v1.xlsx | 01 - Master Services | row 179</x:v>
      </x:c>
      <x:c r="K140" s="6" t="str">
        <x:v>Unresolved</x:v>
      </x:c>
      <x:c r="L140" s="6" t="str"/>
      <x:c r="M140" s="6" t="str"/>
      <x:c r="N140" s="6" t="str">
        <x:v>Pending</x:v>
      </x:c>
      <x:c r="O140" s="12" t="str"/>
    </x:row>
    <x:row r="141">
      <x:c r="A141" s="6" t="str">
        <x:v>PARTR-000140</x:v>
      </x:c>
      <x:c r="B141" s="6" t="str">
        <x:v>SVC000140</x:v>
      </x:c>
      <x:c r="C141" s="6" t="str">
        <x:v>iPhone 14 Plus Battery Replacement</x:v>
      </x:c>
      <x:c r="D141" s="6"/>
      <x:c r="E141" s="6" t="str"/>
      <x:c r="F141" s="6" t="str"/>
      <x:c r="G141" s="6" t="str">
        <x:v>Unknown</x:v>
      </x:c>
      <x:c r="H141" s="6" t="str"/>
      <x:c r="I141" s="12" t="str">
        <x:v>Source Workbook</x:v>
      </x:c>
      <x:c r="J141" s="12" t="str">
        <x:v>Nocturnix_Master_Services_Catalog_v1.xlsx | 01 - Master Services | row 180</x:v>
      </x:c>
      <x:c r="K141" s="6" t="str">
        <x:v>Unresolved</x:v>
      </x:c>
      <x:c r="L141" s="6" t="str"/>
      <x:c r="M141" s="6" t="str"/>
      <x:c r="N141" s="6" t="str">
        <x:v>Pending</x:v>
      </x:c>
      <x:c r="O141" s="12" t="str"/>
    </x:row>
    <x:row r="142">
      <x:c r="A142" s="6" t="str">
        <x:v>PARTR-000141</x:v>
      </x:c>
      <x:c r="B142" s="6" t="str">
        <x:v>SVC000141</x:v>
      </x:c>
      <x:c r="C142" s="6" t="str">
        <x:v>iPhone 13 Pro Battery Replacement</x:v>
      </x:c>
      <x:c r="D142" s="6"/>
      <x:c r="E142" s="6" t="str"/>
      <x:c r="F142" s="6" t="str"/>
      <x:c r="G142" s="6" t="str">
        <x:v>Unknown</x:v>
      </x:c>
      <x:c r="H142" s="6" t="str"/>
      <x:c r="I142" s="12" t="str">
        <x:v>Source Workbook</x:v>
      </x:c>
      <x:c r="J142" s="12" t="str">
        <x:v>Nocturnix_Master_Services_Catalog_v1.xlsx | 01 - Master Services | row 181</x:v>
      </x:c>
      <x:c r="K142" s="6" t="str">
        <x:v>Unresolved</x:v>
      </x:c>
      <x:c r="L142" s="6" t="str"/>
      <x:c r="M142" s="6" t="str"/>
      <x:c r="N142" s="6" t="str">
        <x:v>Pending</x:v>
      </x:c>
      <x:c r="O142" s="12" t="str"/>
    </x:row>
    <x:row r="143">
      <x:c r="A143" s="6" t="str">
        <x:v>PARTR-000142</x:v>
      </x:c>
      <x:c r="B143" s="6" t="str">
        <x:v>SVC000142</x:v>
      </x:c>
      <x:c r="C143" s="6" t="str">
        <x:v>iPhone 13 Mini Battery Replacement</x:v>
      </x:c>
      <x:c r="D143" s="6"/>
      <x:c r="E143" s="6" t="str"/>
      <x:c r="F143" s="6" t="str"/>
      <x:c r="G143" s="6" t="str">
        <x:v>Unknown</x:v>
      </x:c>
      <x:c r="H143" s="6" t="str"/>
      <x:c r="I143" s="12" t="str">
        <x:v>Source Workbook</x:v>
      </x:c>
      <x:c r="J143" s="12" t="str">
        <x:v>Nocturnix_Master_Services_Catalog_v1.xlsx | 01 - Master Services | row 182</x:v>
      </x:c>
      <x:c r="K143" s="6" t="str">
        <x:v>Unresolved</x:v>
      </x:c>
      <x:c r="L143" s="6" t="str"/>
      <x:c r="M143" s="6" t="str"/>
      <x:c r="N143" s="6" t="str">
        <x:v>Pending</x:v>
      </x:c>
      <x:c r="O143" s="12" t="str"/>
    </x:row>
    <x:row r="144">
      <x:c r="A144" s="6" t="str">
        <x:v>PARTR-000143</x:v>
      </x:c>
      <x:c r="B144" s="6" t="str">
        <x:v>SVC000143</x:v>
      </x:c>
      <x:c r="C144" s="6" t="str">
        <x:v>iPhone 13 Battery Replacement</x:v>
      </x:c>
      <x:c r="D144" s="6"/>
      <x:c r="E144" s="6" t="str"/>
      <x:c r="F144" s="6" t="str"/>
      <x:c r="G144" s="6" t="str">
        <x:v>Unknown</x:v>
      </x:c>
      <x:c r="H144" s="6" t="str"/>
      <x:c r="I144" s="12" t="str">
        <x:v>Source Workbook</x:v>
      </x:c>
      <x:c r="J144" s="12" t="str">
        <x:v>Nocturnix_Master_Services_Catalog_v1.xlsx | 01 - Master Services | row 183</x:v>
      </x:c>
      <x:c r="K144" s="6" t="str">
        <x:v>Unresolved</x:v>
      </x:c>
      <x:c r="L144" s="6" t="str"/>
      <x:c r="M144" s="6" t="str"/>
      <x:c r="N144" s="6" t="str">
        <x:v>Pending</x:v>
      </x:c>
      <x:c r="O144" s="12" t="str"/>
    </x:row>
    <x:row r="145">
      <x:c r="A145" s="6" t="str">
        <x:v>PARTR-000144</x:v>
      </x:c>
      <x:c r="B145" s="6" t="str">
        <x:v>SVC000144</x:v>
      </x:c>
      <x:c r="C145" s="6" t="str">
        <x:v>iPhone 12 Battery Replacement</x:v>
      </x:c>
      <x:c r="D145" s="6"/>
      <x:c r="E145" s="6" t="str"/>
      <x:c r="F145" s="6" t="str"/>
      <x:c r="G145" s="6" t="str">
        <x:v>Unknown</x:v>
      </x:c>
      <x:c r="H145" s="6" t="str"/>
      <x:c r="I145" s="12" t="str">
        <x:v>Source Workbook</x:v>
      </x:c>
      <x:c r="J145" s="12" t="str">
        <x:v>Nocturnix_Master_Services_Catalog_v1.xlsx | 01 - Master Services | row 184</x:v>
      </x:c>
      <x:c r="K145" s="6" t="str">
        <x:v>Unresolved</x:v>
      </x:c>
      <x:c r="L145" s="6" t="str"/>
      <x:c r="M145" s="6" t="str"/>
      <x:c r="N145" s="6" t="str">
        <x:v>Pending</x:v>
      </x:c>
      <x:c r="O145" s="12" t="str"/>
    </x:row>
    <x:row r="146">
      <x:c r="A146" s="6" t="str">
        <x:v>PARTR-000145</x:v>
      </x:c>
      <x:c r="B146" s="6" t="str">
        <x:v>SVC000145</x:v>
      </x:c>
      <x:c r="C146" s="6" t="str">
        <x:v>iPhone 12 Pro Max Battery Replacement</x:v>
      </x:c>
      <x:c r="D146" s="6"/>
      <x:c r="E146" s="6" t="str"/>
      <x:c r="F146" s="6" t="str"/>
      <x:c r="G146" s="6" t="str">
        <x:v>Unknown</x:v>
      </x:c>
      <x:c r="H146" s="6" t="str"/>
      <x:c r="I146" s="12" t="str">
        <x:v>Source Workbook</x:v>
      </x:c>
      <x:c r="J146" s="12" t="str">
        <x:v>Nocturnix_Master_Services_Catalog_v1.xlsx | 01 - Master Services | row 185</x:v>
      </x:c>
      <x:c r="K146" s="6" t="str">
        <x:v>Unresolved</x:v>
      </x:c>
      <x:c r="L146" s="6" t="str"/>
      <x:c r="M146" s="6" t="str"/>
      <x:c r="N146" s="6" t="str">
        <x:v>Pending</x:v>
      </x:c>
      <x:c r="O146" s="12" t="str"/>
    </x:row>
    <x:row r="147">
      <x:c r="A147" s="6" t="str">
        <x:v>PARTR-000146</x:v>
      </x:c>
      <x:c r="B147" s="6" t="str">
        <x:v>SVC000146</x:v>
      </x:c>
      <x:c r="C147" s="6" t="str">
        <x:v>iPhone 12 Pro Battery Replacement</x:v>
      </x:c>
      <x:c r="D147" s="6"/>
      <x:c r="E147" s="6" t="str"/>
      <x:c r="F147" s="6" t="str"/>
      <x:c r="G147" s="6" t="str">
        <x:v>Unknown</x:v>
      </x:c>
      <x:c r="H147" s="6" t="str"/>
      <x:c r="I147" s="12" t="str">
        <x:v>Source Workbook</x:v>
      </x:c>
      <x:c r="J147" s="12" t="str">
        <x:v>Nocturnix_Master_Services_Catalog_v1.xlsx | 01 - Master Services | row 186</x:v>
      </x:c>
      <x:c r="K147" s="6" t="str">
        <x:v>Unresolved</x:v>
      </x:c>
      <x:c r="L147" s="6" t="str"/>
      <x:c r="M147" s="6" t="str"/>
      <x:c r="N147" s="6" t="str">
        <x:v>Pending</x:v>
      </x:c>
      <x:c r="O147" s="12" t="str"/>
    </x:row>
    <x:row r="148">
      <x:c r="A148" s="6" t="str">
        <x:v>PARTR-000147</x:v>
      </x:c>
      <x:c r="B148" s="6" t="str">
        <x:v>SVC000147</x:v>
      </x:c>
      <x:c r="C148" s="6" t="str">
        <x:v>iPhone 13 Pro Max Battery Replacement</x:v>
      </x:c>
      <x:c r="D148" s="6"/>
      <x:c r="E148" s="6" t="str"/>
      <x:c r="F148" s="6" t="str"/>
      <x:c r="G148" s="6" t="str">
        <x:v>Unknown</x:v>
      </x:c>
      <x:c r="H148" s="6" t="str"/>
      <x:c r="I148" s="12" t="str">
        <x:v>Source Workbook</x:v>
      </x:c>
      <x:c r="J148" s="12" t="str">
        <x:v>Nocturnix_Master_Services_Catalog_v1.xlsx | 01 - Master Services | row 187</x:v>
      </x:c>
      <x:c r="K148" s="6" t="str">
        <x:v>Unresolved</x:v>
      </x:c>
      <x:c r="L148" s="6" t="str"/>
      <x:c r="M148" s="6" t="str"/>
      <x:c r="N148" s="6" t="str">
        <x:v>Pending</x:v>
      </x:c>
      <x:c r="O148" s="12" t="str"/>
    </x:row>
    <x:row r="149">
      <x:c r="A149" s="6" t="str">
        <x:v>PARTR-000148</x:v>
      </x:c>
      <x:c r="B149" s="6" t="str">
        <x:v>SVC000148</x:v>
      </x:c>
      <x:c r="C149" s="6" t="str">
        <x:v>iPhone 12 Mini Battery Replacement</x:v>
      </x:c>
      <x:c r="D149" s="6"/>
      <x:c r="E149" s="6" t="str"/>
      <x:c r="F149" s="6" t="str"/>
      <x:c r="G149" s="6" t="str">
        <x:v>Unknown</x:v>
      </x:c>
      <x:c r="H149" s="6" t="str"/>
      <x:c r="I149" s="12" t="str">
        <x:v>Source Workbook</x:v>
      </x:c>
      <x:c r="J149" s="12" t="str">
        <x:v>Nocturnix_Master_Services_Catalog_v1.xlsx | 01 - Master Services | row 188</x:v>
      </x:c>
      <x:c r="K149" s="6" t="str">
        <x:v>Unresolved</x:v>
      </x:c>
      <x:c r="L149" s="6" t="str"/>
      <x:c r="M149" s="6" t="str"/>
      <x:c r="N149" s="6" t="str">
        <x:v>Pending</x:v>
      </x:c>
      <x:c r="O149" s="12" t="str"/>
    </x:row>
    <x:row r="150">
      <x:c r="A150" s="6" t="str">
        <x:v>PARTR-000149</x:v>
      </x:c>
      <x:c r="B150" s="6" t="str">
        <x:v>SVC000149</x:v>
      </x:c>
      <x:c r="C150" s="6" t="str">
        <x:v>iPhone 14 Pro Max Battery Replacement</x:v>
      </x:c>
      <x:c r="D150" s="6"/>
      <x:c r="E150" s="6" t="str"/>
      <x:c r="F150" s="6" t="str"/>
      <x:c r="G150" s="6" t="str">
        <x:v>Unknown</x:v>
      </x:c>
      <x:c r="H150" s="6" t="str"/>
      <x:c r="I150" s="12" t="str">
        <x:v>Source Workbook</x:v>
      </x:c>
      <x:c r="J150" s="12" t="str">
        <x:v>Nocturnix_Master_Services_Catalog_v1.xlsx | 01 - Master Services | row 189</x:v>
      </x:c>
      <x:c r="K150" s="6" t="str">
        <x:v>Unresolved</x:v>
      </x:c>
      <x:c r="L150" s="6" t="str"/>
      <x:c r="M150" s="6" t="str"/>
      <x:c r="N150" s="6" t="str">
        <x:v>Pending</x:v>
      </x:c>
      <x:c r="O150" s="12" t="str"/>
    </x:row>
    <x:row r="151">
      <x:c r="A151" s="6" t="str">
        <x:v>PARTR-000150</x:v>
      </x:c>
      <x:c r="B151" s="6" t="str">
        <x:v>SVC000150</x:v>
      </x:c>
      <x:c r="C151" s="6" t="str">
        <x:v>Galaxy S 21 FE Battery Replacement</x:v>
      </x:c>
      <x:c r="D151" s="6"/>
      <x:c r="E151" s="6" t="str"/>
      <x:c r="F151" s="6" t="str"/>
      <x:c r="G151" s="6" t="str">
        <x:v>Unknown</x:v>
      </x:c>
      <x:c r="H151" s="6" t="str"/>
      <x:c r="I151" s="12" t="str">
        <x:v>Source Workbook</x:v>
      </x:c>
      <x:c r="J151" s="12" t="str">
        <x:v>Nocturnix_Master_Services_Catalog_v1.xlsx | 01 - Master Services | row 190</x:v>
      </x:c>
      <x:c r="K151" s="6" t="str">
        <x:v>Unresolved</x:v>
      </x:c>
      <x:c r="L151" s="6" t="str"/>
      <x:c r="M151" s="6" t="str"/>
      <x:c r="N151" s="6" t="str">
        <x:v>Pending</x:v>
      </x:c>
      <x:c r="O151" s="12" t="str"/>
    </x:row>
    <x:row r="152">
      <x:c r="A152" s="6" t="str">
        <x:v>PARTR-000151</x:v>
      </x:c>
      <x:c r="B152" s="6" t="str">
        <x:v>SVC000151</x:v>
      </x:c>
      <x:c r="C152" s="6" t="str">
        <x:v>Galaxy S 6 Active Battery Replacement</x:v>
      </x:c>
      <x:c r="D152" s="6"/>
      <x:c r="E152" s="6" t="str"/>
      <x:c r="F152" s="6" t="str"/>
      <x:c r="G152" s="6" t="str">
        <x:v>Unknown</x:v>
      </x:c>
      <x:c r="H152" s="6" t="str"/>
      <x:c r="I152" s="12" t="str">
        <x:v>Source Workbook</x:v>
      </x:c>
      <x:c r="J152" s="12" t="str">
        <x:v>Nocturnix_Master_Services_Catalog_v1.xlsx | 01 - Master Services | row 191</x:v>
      </x:c>
      <x:c r="K152" s="6" t="str">
        <x:v>Unresolved</x:v>
      </x:c>
      <x:c r="L152" s="6" t="str"/>
      <x:c r="M152" s="6" t="str"/>
      <x:c r="N152" s="6" t="str">
        <x:v>Pending</x:v>
      </x:c>
      <x:c r="O152" s="12" t="str"/>
    </x:row>
    <x:row r="153">
      <x:c r="A153" s="6" t="str">
        <x:v>PARTR-000152</x:v>
      </x:c>
      <x:c r="B153" s="6" t="str">
        <x:v>SVC000152</x:v>
      </x:c>
      <x:c r="C153" s="6" t="str">
        <x:v>Galaxy S 21 Battery Replacement</x:v>
      </x:c>
      <x:c r="D153" s="6"/>
      <x:c r="E153" s="6" t="str"/>
      <x:c r="F153" s="6" t="str"/>
      <x:c r="G153" s="6" t="str">
        <x:v>Unknown</x:v>
      </x:c>
      <x:c r="H153" s="6" t="str"/>
      <x:c r="I153" s="12" t="str">
        <x:v>Source Workbook</x:v>
      </x:c>
      <x:c r="J153" s="12" t="str">
        <x:v>Nocturnix_Master_Services_Catalog_v1.xlsx | 01 - Master Services | row 192</x:v>
      </x:c>
      <x:c r="K153" s="6" t="str">
        <x:v>Unresolved</x:v>
      </x:c>
      <x:c r="L153" s="6" t="str"/>
      <x:c r="M153" s="6" t="str"/>
      <x:c r="N153" s="6" t="str">
        <x:v>Pending</x:v>
      </x:c>
      <x:c r="O153" s="12" t="str"/>
    </x:row>
    <x:row r="154">
      <x:c r="A154" s="6" t="str">
        <x:v>PARTR-000153</x:v>
      </x:c>
      <x:c r="B154" s="6" t="str">
        <x:v>SVC000153</x:v>
      </x:c>
      <x:c r="C154" s="6" t="str">
        <x:v>Galaxy S 6 Battery Replacement</x:v>
      </x:c>
      <x:c r="D154" s="6"/>
      <x:c r="E154" s="6" t="str"/>
      <x:c r="F154" s="6" t="str"/>
      <x:c r="G154" s="6" t="str">
        <x:v>Unknown</x:v>
      </x:c>
      <x:c r="H154" s="6" t="str"/>
      <x:c r="I154" s="12" t="str">
        <x:v>Source Workbook</x:v>
      </x:c>
      <x:c r="J154" s="12" t="str">
        <x:v>Nocturnix_Master_Services_Catalog_v1.xlsx | 01 - Master Services | row 193</x:v>
      </x:c>
      <x:c r="K154" s="6" t="str">
        <x:v>Unresolved</x:v>
      </x:c>
      <x:c r="L154" s="6" t="str"/>
      <x:c r="M154" s="6" t="str"/>
      <x:c r="N154" s="6" t="str">
        <x:v>Pending</x:v>
      </x:c>
      <x:c r="O154" s="12" t="str"/>
    </x:row>
    <x:row r="155">
      <x:c r="A155" s="6" t="str">
        <x:v>PARTR-000154</x:v>
      </x:c>
      <x:c r="B155" s="6" t="str">
        <x:v>SVC000154</x:v>
      </x:c>
      <x:c r="C155" s="6" t="str">
        <x:v>Galaxy S 6 Edge Plus Battery Replacement</x:v>
      </x:c>
      <x:c r="D155" s="6"/>
      <x:c r="E155" s="6" t="str"/>
      <x:c r="F155" s="6" t="str"/>
      <x:c r="G155" s="6" t="str">
        <x:v>Unknown</x:v>
      </x:c>
      <x:c r="H155" s="6" t="str"/>
      <x:c r="I155" s="12" t="str">
        <x:v>Source Workbook</x:v>
      </x:c>
      <x:c r="J155" s="12" t="str">
        <x:v>Nocturnix_Master_Services_Catalog_v1.xlsx | 01 - Master Services | row 194</x:v>
      </x:c>
      <x:c r="K155" s="6" t="str">
        <x:v>Unresolved</x:v>
      </x:c>
      <x:c r="L155" s="6" t="str"/>
      <x:c r="M155" s="6" t="str"/>
      <x:c r="N155" s="6" t="str">
        <x:v>Pending</x:v>
      </x:c>
      <x:c r="O155" s="12" t="str"/>
    </x:row>
    <x:row r="156">
      <x:c r="A156" s="6" t="str">
        <x:v>PARTR-000155</x:v>
      </x:c>
      <x:c r="B156" s="6" t="str">
        <x:v>SVC000155</x:v>
      </x:c>
      <x:c r="C156" s="6" t="str">
        <x:v>Galaxy S 7 Active Battery Replacement</x:v>
      </x:c>
      <x:c r="D156" s="6"/>
      <x:c r="E156" s="6" t="str"/>
      <x:c r="F156" s="6" t="str"/>
      <x:c r="G156" s="6" t="str">
        <x:v>Unknown</x:v>
      </x:c>
      <x:c r="H156" s="6" t="str"/>
      <x:c r="I156" s="12" t="str">
        <x:v>Source Workbook</x:v>
      </x:c>
      <x:c r="J156" s="12" t="str">
        <x:v>Nocturnix_Master_Services_Catalog_v1.xlsx | 01 - Master Services | row 195</x:v>
      </x:c>
      <x:c r="K156" s="6" t="str">
        <x:v>Unresolved</x:v>
      </x:c>
      <x:c r="L156" s="6" t="str"/>
      <x:c r="M156" s="6" t="str"/>
      <x:c r="N156" s="6" t="str">
        <x:v>Pending</x:v>
      </x:c>
      <x:c r="O156" s="12" t="str"/>
    </x:row>
    <x:row r="157">
      <x:c r="A157" s="6" t="str">
        <x:v>PARTR-000156</x:v>
      </x:c>
      <x:c r="B157" s="6" t="str">
        <x:v>SVC000156</x:v>
      </x:c>
      <x:c r="C157" s="6" t="str">
        <x:v>Galaxy S 8 Battery Replacement</x:v>
      </x:c>
      <x:c r="D157" s="6"/>
      <x:c r="E157" s="6" t="str"/>
      <x:c r="F157" s="6" t="str"/>
      <x:c r="G157" s="6" t="str">
        <x:v>Unknown</x:v>
      </x:c>
      <x:c r="H157" s="6" t="str"/>
      <x:c r="I157" s="12" t="str">
        <x:v>Source Workbook</x:v>
      </x:c>
      <x:c r="J157" s="12" t="str">
        <x:v>Nocturnix_Master_Services_Catalog_v1.xlsx | 01 - Master Services | row 196</x:v>
      </x:c>
      <x:c r="K157" s="6" t="str">
        <x:v>Unresolved</x:v>
      </x:c>
      <x:c r="L157" s="6" t="str"/>
      <x:c r="M157" s="6" t="str"/>
      <x:c r="N157" s="6" t="str">
        <x:v>Pending</x:v>
      </x:c>
      <x:c r="O157" s="12" t="str"/>
    </x:row>
    <x:row r="158">
      <x:c r="A158" s="6" t="str">
        <x:v>PARTR-000157</x:v>
      </x:c>
      <x:c r="B158" s="6" t="str">
        <x:v>SVC000157</x:v>
      </x:c>
      <x:c r="C158" s="6" t="str">
        <x:v>Galaxy S 9 Battery Replacement</x:v>
      </x:c>
      <x:c r="D158" s="6"/>
      <x:c r="E158" s="6" t="str"/>
      <x:c r="F158" s="6" t="str"/>
      <x:c r="G158" s="6" t="str">
        <x:v>Unknown</x:v>
      </x:c>
      <x:c r="H158" s="6" t="str"/>
      <x:c r="I158" s="12" t="str">
        <x:v>Source Workbook</x:v>
      </x:c>
      <x:c r="J158" s="12" t="str">
        <x:v>Nocturnix_Master_Services_Catalog_v1.xlsx | 01 - Master Services | row 197</x:v>
      </x:c>
      <x:c r="K158" s="6" t="str">
        <x:v>Unresolved</x:v>
      </x:c>
      <x:c r="L158" s="6" t="str"/>
      <x:c r="M158" s="6" t="str"/>
      <x:c r="N158" s="6" t="str">
        <x:v>Pending</x:v>
      </x:c>
      <x:c r="O158" s="12" t="str"/>
    </x:row>
    <x:row r="159">
      <x:c r="A159" s="6" t="str">
        <x:v>PARTR-000158</x:v>
      </x:c>
      <x:c r="B159" s="6" t="str">
        <x:v>SVC000158</x:v>
      </x:c>
      <x:c r="C159" s="6" t="str">
        <x:v>Galaxy S 20 FE Battery Replacement</x:v>
      </x:c>
      <x:c r="D159" s="6"/>
      <x:c r="E159" s="6" t="str"/>
      <x:c r="F159" s="6" t="str"/>
      <x:c r="G159" s="6" t="str">
        <x:v>Unknown</x:v>
      </x:c>
      <x:c r="H159" s="6" t="str"/>
      <x:c r="I159" s="12" t="str">
        <x:v>Source Workbook</x:v>
      </x:c>
      <x:c r="J159" s="12" t="str">
        <x:v>Nocturnix_Master_Services_Catalog_v1.xlsx | 01 - Master Services | row 198</x:v>
      </x:c>
      <x:c r="K159" s="6" t="str">
        <x:v>Unresolved</x:v>
      </x:c>
      <x:c r="L159" s="6" t="str"/>
      <x:c r="M159" s="6" t="str"/>
      <x:c r="N159" s="6" t="str">
        <x:v>Pending</x:v>
      </x:c>
      <x:c r="O159" s="12" t="str"/>
    </x:row>
    <x:row r="160">
      <x:c r="A160" s="6" t="str">
        <x:v>PARTR-000159</x:v>
      </x:c>
      <x:c r="B160" s="6" t="str">
        <x:v>SVC000159</x:v>
      </x:c>
      <x:c r="C160" s="6" t="str">
        <x:v>Galaxy S Classic Battery Replacement</x:v>
      </x:c>
      <x:c r="D160" s="6"/>
      <x:c r="E160" s="6" t="str"/>
      <x:c r="F160" s="6" t="str"/>
      <x:c r="G160" s="6" t="str">
        <x:v>Unknown</x:v>
      </x:c>
      <x:c r="H160" s="6" t="str"/>
      <x:c r="I160" s="12" t="str">
        <x:v>Source Workbook</x:v>
      </x:c>
      <x:c r="J160" s="12" t="str">
        <x:v>Nocturnix_Master_Services_Catalog_v1.xlsx | 01 - Master Services | row 199</x:v>
      </x:c>
      <x:c r="K160" s="6" t="str">
        <x:v>Unresolved</x:v>
      </x:c>
      <x:c r="L160" s="6" t="str"/>
      <x:c r="M160" s="6" t="str"/>
      <x:c r="N160" s="6" t="str">
        <x:v>Pending</x:v>
      </x:c>
      <x:c r="O160" s="12" t="str"/>
    </x:row>
    <x:row r="161">
      <x:c r="A161" s="6" t="str">
        <x:v>PARTR-000160</x:v>
      </x:c>
      <x:c r="B161" s="6" t="str">
        <x:v>SVC000160</x:v>
      </x:c>
      <x:c r="C161" s="6" t="str">
        <x:v>Galaxy S2 Battery Replacement</x:v>
      </x:c>
      <x:c r="D161" s="6"/>
      <x:c r="E161" s="6" t="str"/>
      <x:c r="F161" s="6" t="str"/>
      <x:c r="G161" s="6" t="str">
        <x:v>Unknown</x:v>
      </x:c>
      <x:c r="H161" s="6" t="str"/>
      <x:c r="I161" s="12" t="str">
        <x:v>Source Workbook</x:v>
      </x:c>
      <x:c r="J161" s="12" t="str">
        <x:v>Nocturnix_Master_Services_Catalog_v1.xlsx | 01 - Master Services | row 200</x:v>
      </x:c>
      <x:c r="K161" s="6" t="str">
        <x:v>Unresolved</x:v>
      </x:c>
      <x:c r="L161" s="6" t="str"/>
      <x:c r="M161" s="6" t="str"/>
      <x:c r="N161" s="6" t="str">
        <x:v>Pending</x:v>
      </x:c>
      <x:c r="O161" s="12" t="str"/>
    </x:row>
    <x:row r="162">
      <x:c r="A162" s="6" t="str">
        <x:v>PARTR-000161</x:v>
      </x:c>
      <x:c r="B162" s="6" t="str">
        <x:v>SVC000161</x:v>
      </x:c>
      <x:c r="C162" s="6" t="str">
        <x:v>Galaxy S3 Battery Replacement</x:v>
      </x:c>
      <x:c r="D162" s="6"/>
      <x:c r="E162" s="6" t="str"/>
      <x:c r="F162" s="6" t="str"/>
      <x:c r="G162" s="6" t="str">
        <x:v>Unknown</x:v>
      </x:c>
      <x:c r="H162" s="6" t="str"/>
      <x:c r="I162" s="12" t="str">
        <x:v>Source Workbook</x:v>
      </x:c>
      <x:c r="J162" s="12" t="str">
        <x:v>Nocturnix_Master_Services_Catalog_v1.xlsx | 01 - Master Services | row 201</x:v>
      </x:c>
      <x:c r="K162" s="6" t="str">
        <x:v>Unresolved</x:v>
      </x:c>
      <x:c r="L162" s="6" t="str"/>
      <x:c r="M162" s="6" t="str"/>
      <x:c r="N162" s="6" t="str">
        <x:v>Pending</x:v>
      </x:c>
      <x:c r="O162" s="12" t="str"/>
    </x:row>
    <x:row r="163">
      <x:c r="A163" s="6" t="str">
        <x:v>PARTR-000162</x:v>
      </x:c>
      <x:c r="B163" s="6" t="str">
        <x:v>SVC000162</x:v>
      </x:c>
      <x:c r="C163" s="6" t="str">
        <x:v>Galaxy S3 Mini Battery Replacement</x:v>
      </x:c>
      <x:c r="D163" s="6"/>
      <x:c r="E163" s="6" t="str"/>
      <x:c r="F163" s="6" t="str"/>
      <x:c r="G163" s="6" t="str">
        <x:v>Unknown</x:v>
      </x:c>
      <x:c r="H163" s="6" t="str"/>
      <x:c r="I163" s="12" t="str">
        <x:v>Source Workbook</x:v>
      </x:c>
      <x:c r="J163" s="12" t="str">
        <x:v>Nocturnix_Master_Services_Catalog_v1.xlsx | 01 - Master Services | row 202</x:v>
      </x:c>
      <x:c r="K163" s="6" t="str">
        <x:v>Unresolved</x:v>
      </x:c>
      <x:c r="L163" s="6" t="str"/>
      <x:c r="M163" s="6" t="str"/>
      <x:c r="N163" s="6" t="str">
        <x:v>Pending</x:v>
      </x:c>
      <x:c r="O163" s="12" t="str"/>
    </x:row>
    <x:row r="164">
      <x:c r="A164" s="6" t="str">
        <x:v>PARTR-000163</x:v>
      </x:c>
      <x:c r="B164" s="6" t="str">
        <x:v>SVC000163</x:v>
      </x:c>
      <x:c r="C164" s="6" t="str">
        <x:v>Galaxy S3 Neo Battery Replacement</x:v>
      </x:c>
      <x:c r="D164" s="6"/>
      <x:c r="E164" s="6" t="str"/>
      <x:c r="F164" s="6" t="str"/>
      <x:c r="G164" s="6" t="str">
        <x:v>Unknown</x:v>
      </x:c>
      <x:c r="H164" s="6" t="str"/>
      <x:c r="I164" s="12" t="str">
        <x:v>Source Workbook</x:v>
      </x:c>
      <x:c r="J164" s="12" t="str">
        <x:v>Nocturnix_Master_Services_Catalog_v1.xlsx | 01 - Master Services | row 203</x:v>
      </x:c>
      <x:c r="K164" s="6" t="str">
        <x:v>Unresolved</x:v>
      </x:c>
      <x:c r="L164" s="6" t="str"/>
      <x:c r="M164" s="6" t="str"/>
      <x:c r="N164" s="6" t="str">
        <x:v>Pending</x:v>
      </x:c>
      <x:c r="O164" s="12" t="str"/>
    </x:row>
    <x:row r="165">
      <x:c r="A165" s="6" t="str">
        <x:v>PARTR-000164</x:v>
      </x:c>
      <x:c r="B165" s="6" t="str">
        <x:v>SVC000164</x:v>
      </x:c>
      <x:c r="C165" s="6" t="str">
        <x:v>Galaxy S4 Battery Replacement</x:v>
      </x:c>
      <x:c r="D165" s="6"/>
      <x:c r="E165" s="6" t="str"/>
      <x:c r="F165" s="6" t="str"/>
      <x:c r="G165" s="6" t="str">
        <x:v>Unknown</x:v>
      </x:c>
      <x:c r="H165" s="6" t="str"/>
      <x:c r="I165" s="12" t="str">
        <x:v>Source Workbook</x:v>
      </x:c>
      <x:c r="J165" s="12" t="str">
        <x:v>Nocturnix_Master_Services_Catalog_v1.xlsx | 01 - Master Services | row 204</x:v>
      </x:c>
      <x:c r="K165" s="6" t="str">
        <x:v>Unresolved</x:v>
      </x:c>
      <x:c r="L165" s="6" t="str"/>
      <x:c r="M165" s="6" t="str"/>
      <x:c r="N165" s="6" t="str">
        <x:v>Pending</x:v>
      </x:c>
      <x:c r="O165" s="12" t="str"/>
    </x:row>
    <x:row r="166">
      <x:c r="A166" s="6" t="str">
        <x:v>PARTR-000165</x:v>
      </x:c>
      <x:c r="B166" s="6" t="str">
        <x:v>SVC000165</x:v>
      </x:c>
      <x:c r="C166" s="6" t="str">
        <x:v>Galaxy S 4 Active Battery Replacement</x:v>
      </x:c>
      <x:c r="D166" s="6"/>
      <x:c r="E166" s="6" t="str"/>
      <x:c r="F166" s="6" t="str"/>
      <x:c r="G166" s="6" t="str">
        <x:v>Unknown</x:v>
      </x:c>
      <x:c r="H166" s="6" t="str"/>
      <x:c r="I166" s="12" t="str">
        <x:v>Source Workbook</x:v>
      </x:c>
      <x:c r="J166" s="12" t="str">
        <x:v>Nocturnix_Master_Services_Catalog_v1.xlsx | 01 - Master Services | row 205</x:v>
      </x:c>
      <x:c r="K166" s="6" t="str">
        <x:v>Unresolved</x:v>
      </x:c>
      <x:c r="L166" s="6" t="str"/>
      <x:c r="M166" s="6" t="str"/>
      <x:c r="N166" s="6" t="str">
        <x:v>Pending</x:v>
      </x:c>
      <x:c r="O166" s="12" t="str"/>
    </x:row>
    <x:row r="167">
      <x:c r="A167" s="6" t="str">
        <x:v>PARTR-000166</x:v>
      </x:c>
      <x:c r="B167" s="6" t="str">
        <x:v>SVC000166</x:v>
      </x:c>
      <x:c r="C167" s="6" t="str">
        <x:v>Galaxy S 5 Battery Replacement</x:v>
      </x:c>
      <x:c r="D167" s="6"/>
      <x:c r="E167" s="6" t="str"/>
      <x:c r="F167" s="6" t="str"/>
      <x:c r="G167" s="6" t="str">
        <x:v>Unknown</x:v>
      </x:c>
      <x:c r="H167" s="6" t="str"/>
      <x:c r="I167" s="12" t="str">
        <x:v>Source Workbook</x:v>
      </x:c>
      <x:c r="J167" s="12" t="str">
        <x:v>Nocturnix_Master_Services_Catalog_v1.xlsx | 01 - Master Services | row 206</x:v>
      </x:c>
      <x:c r="K167" s="6" t="str">
        <x:v>Unresolved</x:v>
      </x:c>
      <x:c r="L167" s="6" t="str"/>
      <x:c r="M167" s="6" t="str"/>
      <x:c r="N167" s="6" t="str">
        <x:v>Pending</x:v>
      </x:c>
      <x:c r="O167" s="12" t="str"/>
    </x:row>
    <x:row r="168">
      <x:c r="A168" s="6" t="str">
        <x:v>PARTR-000167</x:v>
      </x:c>
      <x:c r="B168" s="6" t="str">
        <x:v>SVC000167</x:v>
      </x:c>
      <x:c r="C168" s="6" t="str">
        <x:v>iPhone 7+ Battery Replacement</x:v>
      </x:c>
      <x:c r="D168" s="6"/>
      <x:c r="E168" s="6" t="str"/>
      <x:c r="F168" s="6" t="str"/>
      <x:c r="G168" s="6" t="str">
        <x:v>Unknown</x:v>
      </x:c>
      <x:c r="H168" s="6" t="str"/>
      <x:c r="I168" s="12" t="str">
        <x:v>Source Workbook</x:v>
      </x:c>
      <x:c r="J168" s="12" t="str">
        <x:v>Nocturnix_Master_Services_Catalog_v1.xlsx | 01 - Master Services | row 207</x:v>
      </x:c>
      <x:c r="K168" s="6" t="str">
        <x:v>Unresolved</x:v>
      </x:c>
      <x:c r="L168" s="6" t="str"/>
      <x:c r="M168" s="6" t="str"/>
      <x:c r="N168" s="6" t="str">
        <x:v>Pending</x:v>
      </x:c>
      <x:c r="O168" s="12" t="str"/>
    </x:row>
    <x:row r="169">
      <x:c r="A169" s="6" t="str">
        <x:v>PARTR-000168</x:v>
      </x:c>
      <x:c r="B169" s="6" t="str">
        <x:v>SVC000168</x:v>
      </x:c>
      <x:c r="C169" s="6" t="str">
        <x:v>iPhone Battery Replacement</x:v>
      </x:c>
      <x:c r="D169" s="6"/>
      <x:c r="E169" s="6" t="str"/>
      <x:c r="F169" s="6" t="str"/>
      <x:c r="G169" s="6" t="str">
        <x:v>Unknown</x:v>
      </x:c>
      <x:c r="H169" s="6" t="str"/>
      <x:c r="I169" s="12" t="str">
        <x:v>Source Workbook</x:v>
      </x:c>
      <x:c r="J169" s="12" t="str">
        <x:v>Nocturnix_Master_Services_Catalog_v1.xlsx | 01 - Master Services | row 208</x:v>
      </x:c>
      <x:c r="K169" s="6" t="str">
        <x:v>Unresolved</x:v>
      </x:c>
      <x:c r="L169" s="6" t="str"/>
      <x:c r="M169" s="6" t="str"/>
      <x:c r="N169" s="6" t="str">
        <x:v>Pending</x:v>
      </x:c>
      <x:c r="O169" s="12" t="str"/>
    </x:row>
    <x:row r="170">
      <x:c r="A170" s="6" t="str">
        <x:v>PARTR-000169</x:v>
      </x:c>
      <x:c r="B170" s="6" t="str">
        <x:v>SVC000169</x:v>
      </x:c>
      <x:c r="C170" s="6" t="str">
        <x:v>iPhone 3GS Battery Replacement</x:v>
      </x:c>
      <x:c r="D170" s="6"/>
      <x:c r="E170" s="6" t="str"/>
      <x:c r="F170" s="6" t="str"/>
      <x:c r="G170" s="6" t="str">
        <x:v>Unknown</x:v>
      </x:c>
      <x:c r="H170" s="6" t="str"/>
      <x:c r="I170" s="12" t="str">
        <x:v>Source Workbook</x:v>
      </x:c>
      <x:c r="J170" s="12" t="str">
        <x:v>Nocturnix_Master_Services_Catalog_v1.xlsx | 01 - Master Services | row 209</x:v>
      </x:c>
      <x:c r="K170" s="6" t="str">
        <x:v>Unresolved</x:v>
      </x:c>
      <x:c r="L170" s="6" t="str"/>
      <x:c r="M170" s="6" t="str"/>
      <x:c r="N170" s="6" t="str">
        <x:v>Pending</x:v>
      </x:c>
      <x:c r="O170" s="12" t="str"/>
    </x:row>
    <x:row r="171">
      <x:c r="A171" s="6" t="str">
        <x:v>PARTR-000170</x:v>
      </x:c>
      <x:c r="B171" s="6" t="str">
        <x:v>SVC000170</x:v>
      </x:c>
      <x:c r="C171" s="6" t="str">
        <x:v>iPhone 4S Battery Replacement</x:v>
      </x:c>
      <x:c r="D171" s="6"/>
      <x:c r="E171" s="6" t="str"/>
      <x:c r="F171" s="6" t="str"/>
      <x:c r="G171" s="6" t="str">
        <x:v>Unknown</x:v>
      </x:c>
      <x:c r="H171" s="6" t="str"/>
      <x:c r="I171" s="12" t="str">
        <x:v>Source Workbook</x:v>
      </x:c>
      <x:c r="J171" s="12" t="str">
        <x:v>Nocturnix_Master_Services_Catalog_v1.xlsx | 01 - Master Services | row 210</x:v>
      </x:c>
      <x:c r="K171" s="6" t="str">
        <x:v>Unresolved</x:v>
      </x:c>
      <x:c r="L171" s="6" t="str"/>
      <x:c r="M171" s="6" t="str"/>
      <x:c r="N171" s="6" t="str">
        <x:v>Pending</x:v>
      </x:c>
      <x:c r="O171" s="12" t="str"/>
    </x:row>
    <x:row r="172">
      <x:c r="A172" s="6" t="str">
        <x:v>PARTR-000171</x:v>
      </x:c>
      <x:c r="B172" s="6" t="str">
        <x:v>SVC000171</x:v>
      </x:c>
      <x:c r="C172" s="6" t="str">
        <x:v>iPhone 5 Battery Replacement</x:v>
      </x:c>
      <x:c r="D172" s="6"/>
      <x:c r="E172" s="6" t="str"/>
      <x:c r="F172" s="6" t="str"/>
      <x:c r="G172" s="6" t="str">
        <x:v>Unknown</x:v>
      </x:c>
      <x:c r="H172" s="6" t="str"/>
      <x:c r="I172" s="12" t="str">
        <x:v>Source Workbook</x:v>
      </x:c>
      <x:c r="J172" s="12" t="str">
        <x:v>Nocturnix_Master_Services_Catalog_v1.xlsx | 01 - Master Services | row 211</x:v>
      </x:c>
      <x:c r="K172" s="6" t="str">
        <x:v>Unresolved</x:v>
      </x:c>
      <x:c r="L172" s="6" t="str"/>
      <x:c r="M172" s="6" t="str"/>
      <x:c r="N172" s="6" t="str">
        <x:v>Pending</x:v>
      </x:c>
      <x:c r="O172" s="12" t="str"/>
    </x:row>
    <x:row r="173">
      <x:c r="A173" s="6" t="str">
        <x:v>PARTR-000172</x:v>
      </x:c>
      <x:c r="B173" s="6" t="str">
        <x:v>SVC000172</x:v>
      </x:c>
      <x:c r="C173" s="6" t="str">
        <x:v>iPhone 5C Battery Replacement</x:v>
      </x:c>
      <x:c r="D173" s="6"/>
      <x:c r="E173" s="6" t="str"/>
      <x:c r="F173" s="6" t="str"/>
      <x:c r="G173" s="6" t="str">
        <x:v>Unknown</x:v>
      </x:c>
      <x:c r="H173" s="6" t="str"/>
      <x:c r="I173" s="12" t="str">
        <x:v>Source Workbook</x:v>
      </x:c>
      <x:c r="J173" s="12" t="str">
        <x:v>Nocturnix_Master_Services_Catalog_v1.xlsx | 01 - Master Services | row 212</x:v>
      </x:c>
      <x:c r="K173" s="6" t="str">
        <x:v>Unresolved</x:v>
      </x:c>
      <x:c r="L173" s="6" t="str"/>
      <x:c r="M173" s="6" t="str"/>
      <x:c r="N173" s="6" t="str">
        <x:v>Pending</x:v>
      </x:c>
      <x:c r="O173" s="12" t="str"/>
    </x:row>
    <x:row r="174">
      <x:c r="A174" s="6" t="str">
        <x:v>PARTR-000173</x:v>
      </x:c>
      <x:c r="B174" s="6" t="str">
        <x:v>SVC000173</x:v>
      </x:c>
      <x:c r="C174" s="6" t="str">
        <x:v>iPhone 8+ Battery Replacement</x:v>
      </x:c>
      <x:c r="D174" s="6"/>
      <x:c r="E174" s="6" t="str"/>
      <x:c r="F174" s="6" t="str"/>
      <x:c r="G174" s="6" t="str">
        <x:v>Unknown</x:v>
      </x:c>
      <x:c r="H174" s="6" t="str"/>
      <x:c r="I174" s="12" t="str">
        <x:v>Source Workbook</x:v>
      </x:c>
      <x:c r="J174" s="12" t="str">
        <x:v>Nocturnix_Master_Services_Catalog_v1.xlsx | 01 - Master Services | row 213</x:v>
      </x:c>
      <x:c r="K174" s="6" t="str">
        <x:v>Unresolved</x:v>
      </x:c>
      <x:c r="L174" s="6" t="str"/>
      <x:c r="M174" s="6" t="str"/>
      <x:c r="N174" s="6" t="str">
        <x:v>Pending</x:v>
      </x:c>
      <x:c r="O174" s="12" t="str"/>
    </x:row>
    <x:row r="175">
      <x:c r="A175" s="6" t="str">
        <x:v>PARTR-000174</x:v>
      </x:c>
      <x:c r="B175" s="6" t="str">
        <x:v>SVC000174</x:v>
      </x:c>
      <x:c r="C175" s="6" t="str">
        <x:v>iPhone 6S Battery Replacement</x:v>
      </x:c>
      <x:c r="D175" s="6"/>
      <x:c r="E175" s="6" t="str"/>
      <x:c r="F175" s="6" t="str"/>
      <x:c r="G175" s="6" t="str">
        <x:v>Unknown</x:v>
      </x:c>
      <x:c r="H175" s="6" t="str"/>
      <x:c r="I175" s="12" t="str">
        <x:v>Source Workbook</x:v>
      </x:c>
      <x:c r="J175" s="12" t="str">
        <x:v>Nocturnix_Master_Services_Catalog_v1.xlsx | 01 - Master Services | row 214</x:v>
      </x:c>
      <x:c r="K175" s="6" t="str">
        <x:v>Unresolved</x:v>
      </x:c>
      <x:c r="L175" s="6" t="str"/>
      <x:c r="M175" s="6" t="str"/>
      <x:c r="N175" s="6" t="str">
        <x:v>Pending</x:v>
      </x:c>
      <x:c r="O175" s="12" t="str"/>
    </x:row>
    <x:row r="176">
      <x:c r="A176" s="6" t="str">
        <x:v>PARTR-000175</x:v>
      </x:c>
      <x:c r="B176" s="6" t="str">
        <x:v>SVC000175</x:v>
      </x:c>
      <x:c r="C176" s="6" t="str">
        <x:v>iPhone 8 Battery Replacement</x:v>
      </x:c>
      <x:c r="D176" s="6"/>
      <x:c r="E176" s="6" t="str"/>
      <x:c r="F176" s="6" t="str"/>
      <x:c r="G176" s="6" t="str">
        <x:v>Unknown</x:v>
      </x:c>
      <x:c r="H176" s="6" t="str"/>
      <x:c r="I176" s="12" t="str">
        <x:v>Source Workbook</x:v>
      </x:c>
      <x:c r="J176" s="12" t="str">
        <x:v>Nocturnix_Master_Services_Catalog_v1.xlsx | 01 - Master Services | row 215</x:v>
      </x:c>
      <x:c r="K176" s="6" t="str">
        <x:v>Unresolved</x:v>
      </x:c>
      <x:c r="L176" s="6" t="str"/>
      <x:c r="M176" s="6" t="str"/>
      <x:c r="N176" s="6" t="str">
        <x:v>Pending</x:v>
      </x:c>
      <x:c r="O176" s="12" t="str"/>
    </x:row>
    <x:row r="177">
      <x:c r="A177" s="6" t="str">
        <x:v>PARTR-000176</x:v>
      </x:c>
      <x:c r="B177" s="6" t="str">
        <x:v>SVC000176</x:v>
      </x:c>
      <x:c r="C177" s="6" t="str">
        <x:v>iPhone 6S+ Battery Replacement</x:v>
      </x:c>
      <x:c r="D177" s="6"/>
      <x:c r="E177" s="6" t="str"/>
      <x:c r="F177" s="6" t="str"/>
      <x:c r="G177" s="6" t="str">
        <x:v>Unknown</x:v>
      </x:c>
      <x:c r="H177" s="6" t="str"/>
      <x:c r="I177" s="12" t="str">
        <x:v>Source Workbook</x:v>
      </x:c>
      <x:c r="J177" s="12" t="str">
        <x:v>Nocturnix_Master_Services_Catalog_v1.xlsx | 01 - Master Services | row 216</x:v>
      </x:c>
      <x:c r="K177" s="6" t="str">
        <x:v>Unresolved</x:v>
      </x:c>
      <x:c r="L177" s="6" t="str"/>
      <x:c r="M177" s="6" t="str"/>
      <x:c r="N177" s="6" t="str">
        <x:v>Pending</x:v>
      </x:c>
      <x:c r="O177" s="12" t="str"/>
    </x:row>
    <x:row r="178">
      <x:c r="A178" s="6" t="str">
        <x:v>PARTR-000177</x:v>
      </x:c>
      <x:c r="B178" s="6" t="str">
        <x:v>SVC000177</x:v>
      </x:c>
      <x:c r="C178" s="6" t="str">
        <x:v>iPhone 6S+ Battery Replacement</x:v>
      </x:c>
      <x:c r="D178" s="6"/>
      <x:c r="E178" s="6" t="str"/>
      <x:c r="F178" s="6" t="str"/>
      <x:c r="G178" s="6" t="str">
        <x:v>Unknown</x:v>
      </x:c>
      <x:c r="H178" s="6" t="str"/>
      <x:c r="I178" s="12" t="str">
        <x:v>Source Workbook</x:v>
      </x:c>
      <x:c r="J178" s="12" t="str">
        <x:v>Nocturnix_Master_Services_Catalog_v1.xlsx | 01 - Master Services | row 217</x:v>
      </x:c>
      <x:c r="K178" s="6" t="str">
        <x:v>Unresolved</x:v>
      </x:c>
      <x:c r="L178" s="6" t="str"/>
      <x:c r="M178" s="6" t="str"/>
      <x:c r="N178" s="6" t="str">
        <x:v>Pending</x:v>
      </x:c>
      <x:c r="O178" s="12" t="str"/>
    </x:row>
    <x:row r="179">
      <x:c r="A179" s="6" t="str">
        <x:v>PARTR-000178</x:v>
      </x:c>
      <x:c r="B179" s="6" t="str">
        <x:v>SVC000178</x:v>
      </x:c>
      <x:c r="C179" s="6" t="str">
        <x:v>iPhone 5S Battery Replacement</x:v>
      </x:c>
      <x:c r="D179" s="6"/>
      <x:c r="E179" s="6" t="str"/>
      <x:c r="F179" s="6" t="str"/>
      <x:c r="G179" s="6" t="str">
        <x:v>Unknown</x:v>
      </x:c>
      <x:c r="H179" s="6" t="str"/>
      <x:c r="I179" s="12" t="str">
        <x:v>Source Workbook</x:v>
      </x:c>
      <x:c r="J179" s="12" t="str">
        <x:v>Nocturnix_Master_Services_Catalog_v1.xlsx | 01 - Master Services | row 218</x:v>
      </x:c>
      <x:c r="K179" s="6" t="str">
        <x:v>Unresolved</x:v>
      </x:c>
      <x:c r="L179" s="6" t="str"/>
      <x:c r="M179" s="6" t="str"/>
      <x:c r="N179" s="6" t="str">
        <x:v>Pending</x:v>
      </x:c>
      <x:c r="O179" s="12" t="str"/>
    </x:row>
    <x:row r="180">
      <x:c r="A180" s="6" t="str">
        <x:v>PARTR-000179</x:v>
      </x:c>
      <x:c r="B180" s="6" t="str">
        <x:v>SVC000179</x:v>
      </x:c>
      <x:c r="C180" s="6" t="str">
        <x:v>iPhone 14 Battery Replacement</x:v>
      </x:c>
      <x:c r="D180" s="6"/>
      <x:c r="E180" s="6" t="str"/>
      <x:c r="F180" s="6" t="str"/>
      <x:c r="G180" s="6" t="str">
        <x:v>Unknown</x:v>
      </x:c>
      <x:c r="H180" s="6" t="str"/>
      <x:c r="I180" s="12" t="str">
        <x:v>Source Workbook</x:v>
      </x:c>
      <x:c r="J180" s="12" t="str">
        <x:v>Nocturnix_Master_Services_Catalog_v1.xlsx | 01 - Master Services | row 219</x:v>
      </x:c>
      <x:c r="K180" s="6" t="str">
        <x:v>Unresolved</x:v>
      </x:c>
      <x:c r="L180" s="6" t="str"/>
      <x:c r="M180" s="6" t="str"/>
      <x:c r="N180" s="6" t="str">
        <x:v>Pending</x:v>
      </x:c>
      <x:c r="O180" s="12" t="str"/>
    </x:row>
    <x:row r="181">
      <x:c r="A181" s="6" t="str">
        <x:v>PARTR-000180</x:v>
      </x:c>
      <x:c r="B181" s="6" t="str">
        <x:v>SVC000180</x:v>
      </x:c>
      <x:c r="C181" s="6" t="str">
        <x:v>iPhone 6+ Battery Replacement</x:v>
      </x:c>
      <x:c r="D181" s="6"/>
      <x:c r="E181" s="6" t="str"/>
      <x:c r="F181" s="6" t="str"/>
      <x:c r="G181" s="6" t="str">
        <x:v>Unknown</x:v>
      </x:c>
      <x:c r="H181" s="6" t="str"/>
      <x:c r="I181" s="12" t="str">
        <x:v>Source Workbook</x:v>
      </x:c>
      <x:c r="J181" s="12" t="str">
        <x:v>Nocturnix_Master_Services_Catalog_v1.xlsx | 01 - Master Services | row 220</x:v>
      </x:c>
      <x:c r="K181" s="6" t="str">
        <x:v>Unresolved</x:v>
      </x:c>
      <x:c r="L181" s="6" t="str"/>
      <x:c r="M181" s="6" t="str"/>
      <x:c r="N181" s="6" t="str">
        <x:v>Pending</x:v>
      </x:c>
      <x:c r="O181" s="12" t="str"/>
    </x:row>
    <x:row r="182">
      <x:c r="A182" s="6" t="str">
        <x:v>PARTR-000181</x:v>
      </x:c>
      <x:c r="B182" s="6" t="str">
        <x:v>SVC000181</x:v>
      </x:c>
      <x:c r="C182" s="6" t="str">
        <x:v>iPhone 16E Battery Replacement</x:v>
      </x:c>
      <x:c r="D182" s="6"/>
      <x:c r="E182" s="6" t="str"/>
      <x:c r="F182" s="6" t="str"/>
      <x:c r="G182" s="6" t="str">
        <x:v>Unknown</x:v>
      </x:c>
      <x:c r="H182" s="6" t="str"/>
      <x:c r="I182" s="12" t="str">
        <x:v>Source Workbook</x:v>
      </x:c>
      <x:c r="J182" s="12" t="str">
        <x:v>Nocturnix_Master_Services_Catalog_v1.xlsx | 01 - Master Services | row 221</x:v>
      </x:c>
      <x:c r="K182" s="6" t="str">
        <x:v>Unresolved</x:v>
      </x:c>
      <x:c r="L182" s="6" t="str"/>
      <x:c r="M182" s="6" t="str"/>
      <x:c r="N182" s="6" t="str">
        <x:v>Pending</x:v>
      </x:c>
      <x:c r="O182" s="12" t="str"/>
    </x:row>
    <x:row r="183">
      <x:c r="A183" s="6" t="str">
        <x:v>PARTR-000182</x:v>
      </x:c>
      <x:c r="B183" s="6" t="str">
        <x:v>SVC000182</x:v>
      </x:c>
      <x:c r="C183" s="6" t="str">
        <x:v>iPhone 17 Battery Replacement</x:v>
      </x:c>
      <x:c r="D183" s="6"/>
      <x:c r="E183" s="6" t="str"/>
      <x:c r="F183" s="6" t="str"/>
      <x:c r="G183" s="6" t="str">
        <x:v>Unknown</x:v>
      </x:c>
      <x:c r="H183" s="6" t="str"/>
      <x:c r="I183" s="12" t="str">
        <x:v>Source Workbook</x:v>
      </x:c>
      <x:c r="J183" s="12" t="str">
        <x:v>Nocturnix_Master_Services_Catalog_v1.xlsx | 01 - Master Services | row 222</x:v>
      </x:c>
      <x:c r="K183" s="6" t="str">
        <x:v>Unresolved</x:v>
      </x:c>
      <x:c r="L183" s="6" t="str"/>
      <x:c r="M183" s="6" t="str"/>
      <x:c r="N183" s="6" t="str">
        <x:v>Pending</x:v>
      </x:c>
      <x:c r="O183" s="12" t="str"/>
    </x:row>
    <x:row r="184">
      <x:c r="A184" s="6" t="str">
        <x:v>PARTR-000183</x:v>
      </x:c>
      <x:c r="B184" s="6" t="str">
        <x:v>SVC000183</x:v>
      </x:c>
      <x:c r="C184" s="6" t="str">
        <x:v>iPhone 16 Plus Battery Replacement</x:v>
      </x:c>
      <x:c r="D184" s="6"/>
      <x:c r="E184" s="6" t="str"/>
      <x:c r="F184" s="6" t="str"/>
      <x:c r="G184" s="6" t="str">
        <x:v>Unknown</x:v>
      </x:c>
      <x:c r="H184" s="6" t="str"/>
      <x:c r="I184" s="12" t="str">
        <x:v>Source Workbook</x:v>
      </x:c>
      <x:c r="J184" s="12" t="str">
        <x:v>Nocturnix_Master_Services_Catalog_v1.xlsx | 01 - Master Services | row 223</x:v>
      </x:c>
      <x:c r="K184" s="6" t="str">
        <x:v>Unresolved</x:v>
      </x:c>
      <x:c r="L184" s="6" t="str"/>
      <x:c r="M184" s="6" t="str"/>
      <x:c r="N184" s="6" t="str">
        <x:v>Pending</x:v>
      </x:c>
      <x:c r="O184" s="12" t="str"/>
    </x:row>
    <x:row r="185">
      <x:c r="A185" s="6" t="str">
        <x:v>PARTR-000184</x:v>
      </x:c>
      <x:c r="B185" s="6" t="str">
        <x:v>SVC000184</x:v>
      </x:c>
      <x:c r="C185" s="6" t="str">
        <x:v>iPhone 16 Pro Max Battery Replacement</x:v>
      </x:c>
      <x:c r="D185" s="6"/>
      <x:c r="E185" s="6" t="str"/>
      <x:c r="F185" s="6" t="str"/>
      <x:c r="G185" s="6" t="str">
        <x:v>Unknown</x:v>
      </x:c>
      <x:c r="H185" s="6" t="str"/>
      <x:c r="I185" s="12" t="str">
        <x:v>Source Workbook</x:v>
      </x:c>
      <x:c r="J185" s="12" t="str">
        <x:v>Nocturnix_Master_Services_Catalog_v1.xlsx | 01 - Master Services | row 224</x:v>
      </x:c>
      <x:c r="K185" s="6" t="str">
        <x:v>Unresolved</x:v>
      </x:c>
      <x:c r="L185" s="6" t="str"/>
      <x:c r="M185" s="6" t="str"/>
      <x:c r="N185" s="6" t="str">
        <x:v>Pending</x:v>
      </x:c>
      <x:c r="O185" s="12" t="str"/>
    </x:row>
    <x:row r="186">
      <x:c r="A186" s="6" t="str">
        <x:v>PARTR-000185</x:v>
      </x:c>
      <x:c r="B186" s="6" t="str">
        <x:v>SVC000185</x:v>
      </x:c>
      <x:c r="C186" s="6" t="str">
        <x:v>iPhone 16 Battery Replacement</x:v>
      </x:c>
      <x:c r="D186" s="6"/>
      <x:c r="E186" s="6" t="str"/>
      <x:c r="F186" s="6" t="str"/>
      <x:c r="G186" s="6" t="str">
        <x:v>Unknown</x:v>
      </x:c>
      <x:c r="H186" s="6" t="str"/>
      <x:c r="I186" s="12" t="str">
        <x:v>Source Workbook</x:v>
      </x:c>
      <x:c r="J186" s="12" t="str">
        <x:v>Nocturnix_Master_Services_Catalog_v1.xlsx | 01 - Master Services | row 225</x:v>
      </x:c>
      <x:c r="K186" s="6" t="str">
        <x:v>Unresolved</x:v>
      </x:c>
      <x:c r="L186" s="6" t="str"/>
      <x:c r="M186" s="6" t="str"/>
      <x:c r="N186" s="6" t="str">
        <x:v>Pending</x:v>
      </x:c>
      <x:c r="O186" s="12" t="str"/>
    </x:row>
    <x:row r="187">
      <x:c r="A187" s="6" t="str">
        <x:v>PARTR-000186</x:v>
      </x:c>
      <x:c r="B187" s="6" t="str">
        <x:v>SVC000186</x:v>
      </x:c>
      <x:c r="C187" s="6" t="str">
        <x:v>iPhone 15 Pro Max Battery Replacement</x:v>
      </x:c>
      <x:c r="D187" s="6"/>
      <x:c r="E187" s="6" t="str"/>
      <x:c r="F187" s="6" t="str"/>
      <x:c r="G187" s="6" t="str">
        <x:v>Unknown</x:v>
      </x:c>
      <x:c r="H187" s="6" t="str"/>
      <x:c r="I187" s="12" t="str">
        <x:v>Source Workbook</x:v>
      </x:c>
      <x:c r="J187" s="12" t="str">
        <x:v>Nocturnix_Master_Services_Catalog_v1.xlsx | 01 - Master Services | row 226</x:v>
      </x:c>
      <x:c r="K187" s="6" t="str">
        <x:v>Unresolved</x:v>
      </x:c>
      <x:c r="L187" s="6" t="str"/>
      <x:c r="M187" s="6" t="str"/>
      <x:c r="N187" s="6" t="str">
        <x:v>Pending</x:v>
      </x:c>
      <x:c r="O187" s="12" t="str"/>
    </x:row>
    <x:row r="188">
      <x:c r="A188" s="6" t="str">
        <x:v>PARTR-000187</x:v>
      </x:c>
      <x:c r="B188" s="6" t="str">
        <x:v>SVC000187</x:v>
      </x:c>
      <x:c r="C188" s="6" t="str">
        <x:v>iPhone 15 Pro Phone Battery Replacement</x:v>
      </x:c>
      <x:c r="D188" s="6"/>
      <x:c r="E188" s="6" t="str"/>
      <x:c r="F188" s="6" t="str"/>
      <x:c r="G188" s="6" t="str">
        <x:v>Unknown</x:v>
      </x:c>
      <x:c r="H188" s="6" t="str"/>
      <x:c r="I188" s="12" t="str">
        <x:v>Source Workbook</x:v>
      </x:c>
      <x:c r="J188" s="12" t="str">
        <x:v>Nocturnix_Master_Services_Catalog_v1.xlsx | 01 - Master Services | row 227</x:v>
      </x:c>
      <x:c r="K188" s="6" t="str">
        <x:v>Unresolved</x:v>
      </x:c>
      <x:c r="L188" s="6" t="str"/>
      <x:c r="M188" s="6" t="str"/>
      <x:c r="N188" s="6" t="str">
        <x:v>Pending</x:v>
      </x:c>
      <x:c r="O188" s="12" t="str"/>
    </x:row>
    <x:row r="189">
      <x:c r="A189" s="6" t="str">
        <x:v>PARTR-000188</x:v>
      </x:c>
      <x:c r="B189" s="6" t="str">
        <x:v>SVC000188</x:v>
      </x:c>
      <x:c r="C189" s="6" t="str">
        <x:v>iPhone 15 Plus Battery Replacement</x:v>
      </x:c>
      <x:c r="D189" s="6"/>
      <x:c r="E189" s="6" t="str"/>
      <x:c r="F189" s="6" t="str"/>
      <x:c r="G189" s="6" t="str">
        <x:v>Unknown</x:v>
      </x:c>
      <x:c r="H189" s="6" t="str"/>
      <x:c r="I189" s="12" t="str">
        <x:v>Source Workbook</x:v>
      </x:c>
      <x:c r="J189" s="12" t="str">
        <x:v>Nocturnix_Master_Services_Catalog_v1.xlsx | 01 - Master Services | row 228</x:v>
      </x:c>
      <x:c r="K189" s="6" t="str">
        <x:v>Unresolved</x:v>
      </x:c>
      <x:c r="L189" s="6" t="str"/>
      <x:c r="M189" s="6" t="str"/>
      <x:c r="N189" s="6" t="str">
        <x:v>Pending</x:v>
      </x:c>
      <x:c r="O189" s="12" t="str"/>
    </x:row>
    <x:row r="190">
      <x:c r="A190" s="6" t="str">
        <x:v>PARTR-000189</x:v>
      </x:c>
      <x:c r="B190" s="6" t="str">
        <x:v>SVC000189</x:v>
      </x:c>
      <x:c r="C190" s="6" t="str">
        <x:v>iPhone 16 Pro Battery Replacement</x:v>
      </x:c>
      <x:c r="D190" s="6"/>
      <x:c r="E190" s="6" t="str"/>
      <x:c r="F190" s="6" t="str"/>
      <x:c r="G190" s="6" t="str">
        <x:v>Unknown</x:v>
      </x:c>
      <x:c r="H190" s="6" t="str"/>
      <x:c r="I190" s="12" t="str">
        <x:v>Source Workbook</x:v>
      </x:c>
      <x:c r="J190" s="12" t="str">
        <x:v>Nocturnix_Master_Services_Catalog_v1.xlsx | 01 - Master Services | row 229</x:v>
      </x:c>
      <x:c r="K190" s="6" t="str">
        <x:v>Unresolved</x:v>
      </x:c>
      <x:c r="L190" s="6" t="str"/>
      <x:c r="M190" s="6" t="str"/>
      <x:c r="N190" s="6" t="str">
        <x:v>Pending</x:v>
      </x:c>
      <x:c r="O190" s="12" t="str"/>
    </x:row>
    <x:row r="191">
      <x:c r="A191" s="6" t="str">
        <x:v>PARTR-000190</x:v>
      </x:c>
      <x:c r="B191" s="6" t="str">
        <x:v>SVC000190</x:v>
      </x:c>
      <x:c r="C191" s="6" t="str">
        <x:v>iPhone 15 Battery Replacement</x:v>
      </x:c>
      <x:c r="D191" s="6"/>
      <x:c r="E191" s="6" t="str"/>
      <x:c r="F191" s="6" t="str"/>
      <x:c r="G191" s="6" t="str">
        <x:v>Unknown</x:v>
      </x:c>
      <x:c r="H191" s="6" t="str"/>
      <x:c r="I191" s="12" t="str">
        <x:v>Source Workbook</x:v>
      </x:c>
      <x:c r="J191" s="12" t="str">
        <x:v>Nocturnix_Master_Services_Catalog_v1.xlsx | 01 - Master Services | row 230</x:v>
      </x:c>
      <x:c r="K191" s="6" t="str">
        <x:v>Unresolved</x:v>
      </x:c>
      <x:c r="L191" s="6" t="str"/>
      <x:c r="M191" s="6" t="str"/>
      <x:c r="N191" s="6" t="str">
        <x:v>Pending</x:v>
      </x:c>
      <x:c r="O191" s="12" t="str"/>
    </x:row>
    <x:row r="192">
      <x:c r="A192" s="6" t="str">
        <x:v>PARTR-000191</x:v>
      </x:c>
      <x:c r="B192" s="6" t="str">
        <x:v>SVC000191</x:v>
      </x:c>
      <x:c r="C192" s="6" t="str">
        <x:v>iPhone 14 Pro Battery Replacement</x:v>
      </x:c>
      <x:c r="D192" s="6"/>
      <x:c r="E192" s="6" t="str"/>
      <x:c r="F192" s="6" t="str"/>
      <x:c r="G192" s="6" t="str">
        <x:v>Unknown</x:v>
      </x:c>
      <x:c r="H192" s="6" t="str"/>
      <x:c r="I192" s="12" t="str">
        <x:v>Source Workbook</x:v>
      </x:c>
      <x:c r="J192" s="12" t="str">
        <x:v>Nocturnix_Master_Services_Catalog_v1.xlsx | 01 - Master Services | row 231</x:v>
      </x:c>
      <x:c r="K192" s="6" t="str">
        <x:v>Unresolved</x:v>
      </x:c>
      <x:c r="L192" s="6" t="str"/>
      <x:c r="M192" s="6" t="str"/>
      <x:c r="N192" s="6" t="str">
        <x:v>Pending</x:v>
      </x:c>
      <x:c r="O192" s="12" t="str"/>
    </x:row>
    <x:row r="193">
      <x:c r="A193" s="6" t="str">
        <x:v>PARTR-000192</x:v>
      </x:c>
      <x:c r="B193" s="6" t="str">
        <x:v>SVC000192</x:v>
      </x:c>
      <x:c r="C193" s="6" t="str">
        <x:v>iPhone 17 Pro Battery Replacement</x:v>
      </x:c>
      <x:c r="D193" s="6"/>
      <x:c r="E193" s="6" t="str"/>
      <x:c r="F193" s="6" t="str"/>
      <x:c r="G193" s="6" t="str">
        <x:v>Unknown</x:v>
      </x:c>
      <x:c r="H193" s="6" t="str"/>
      <x:c r="I193" s="12" t="str">
        <x:v>Source Workbook</x:v>
      </x:c>
      <x:c r="J193" s="12" t="str">
        <x:v>Nocturnix_Master_Services_Catalog_v1.xlsx | 01 - Master Services | row 232</x:v>
      </x:c>
      <x:c r="K193" s="6" t="str">
        <x:v>Unresolved</x:v>
      </x:c>
      <x:c r="L193" s="6" t="str"/>
      <x:c r="M193" s="6" t="str"/>
      <x:c r="N193" s="6" t="str">
        <x:v>Pending</x:v>
      </x:c>
      <x:c r="O193" s="12" t="str"/>
    </x:row>
    <x:row r="194">
      <x:c r="A194" s="6" t="str">
        <x:v>PARTR-000193</x:v>
      </x:c>
      <x:c r="B194" s="6" t="str">
        <x:v>SVC000193</x:v>
      </x:c>
      <x:c r="C194" s="6" t="str">
        <x:v>iPhone 17 Pro Max Phone* Battery Replacement</x:v>
      </x:c>
      <x:c r="D194" s="6"/>
      <x:c r="E194" s="6" t="str"/>
      <x:c r="F194" s="6" t="str"/>
      <x:c r="G194" s="6" t="str">
        <x:v>Unknown</x:v>
      </x:c>
      <x:c r="H194" s="6" t="str"/>
      <x:c r="I194" s="12" t="str">
        <x:v>Source Workbook</x:v>
      </x:c>
      <x:c r="J194" s="12" t="str">
        <x:v>Nocturnix_Master_Services_Catalog_v1.xlsx | 01 - Master Services | row 233</x:v>
      </x:c>
      <x:c r="K194" s="6" t="str">
        <x:v>Unresolved</x:v>
      </x:c>
      <x:c r="L194" s="6" t="str"/>
      <x:c r="M194" s="6" t="str"/>
      <x:c r="N194" s="6" t="str">
        <x:v>Pending</x:v>
      </x:c>
      <x:c r="O194" s="12" t="str"/>
    </x:row>
    <x:row r="195">
      <x:c r="A195" s="6" t="str">
        <x:v>PARTR-000194</x:v>
      </x:c>
      <x:c r="B195" s="6" t="str">
        <x:v>SVC000194</x:v>
      </x:c>
      <x:c r="C195" s="6" t="str">
        <x:v>iPhone Air Battery Replacement</x:v>
      </x:c>
      <x:c r="D195" s="6"/>
      <x:c r="E195" s="6" t="str"/>
      <x:c r="F195" s="6" t="str"/>
      <x:c r="G195" s="6" t="str">
        <x:v>Unknown</x:v>
      </x:c>
      <x:c r="H195" s="6" t="str"/>
      <x:c r="I195" s="12" t="str">
        <x:v>Source Workbook</x:v>
      </x:c>
      <x:c r="J195" s="12" t="str">
        <x:v>Nocturnix_Master_Services_Catalog_v1.xlsx | 01 - Master Services | row 234</x:v>
      </x:c>
      <x:c r="K195" s="6" t="str">
        <x:v>Unresolved</x:v>
      </x:c>
      <x:c r="L195" s="6" t="str"/>
      <x:c r="M195" s="6" t="str"/>
      <x:c r="N195" s="6" t="str">
        <x:v>Pending</x:v>
      </x:c>
      <x:c r="O195" s="12" t="str"/>
    </x:row>
    <x:row r="196">
      <x:c r="A196" s="6" t="str">
        <x:v>PARTR-000195</x:v>
      </x:c>
      <x:c r="B196" s="6" t="str">
        <x:v>SVC000195</x:v>
      </x:c>
      <x:c r="C196" s="6" t="str">
        <x:v>iPhone XR Battery Replacement</x:v>
      </x:c>
      <x:c r="D196" s="6"/>
      <x:c r="E196" s="6" t="str"/>
      <x:c r="F196" s="6" t="str"/>
      <x:c r="G196" s="6" t="str">
        <x:v>Unknown</x:v>
      </x:c>
      <x:c r="H196" s="6" t="str"/>
      <x:c r="I196" s="12" t="str">
        <x:v>Source Workbook</x:v>
      </x:c>
      <x:c r="J196" s="12" t="str">
        <x:v>Nocturnix_Master_Services_Catalog_v1.xlsx | 01 - Master Services | row 235</x:v>
      </x:c>
      <x:c r="K196" s="6" t="str">
        <x:v>Unresolved</x:v>
      </x:c>
      <x:c r="L196" s="6" t="str"/>
      <x:c r="M196" s="6" t="str"/>
      <x:c r="N196" s="6" t="str">
        <x:v>Pending</x:v>
      </x:c>
      <x:c r="O196" s="12" t="str"/>
    </x:row>
    <x:row r="197">
      <x:c r="A197" s="6" t="str">
        <x:v>PARTR-000196</x:v>
      </x:c>
      <x:c r="B197" s="6" t="str">
        <x:v>SVC000196</x:v>
      </x:c>
      <x:c r="C197" s="6" t="str">
        <x:v>iPhone XS Max Battery Replacement</x:v>
      </x:c>
      <x:c r="D197" s="6"/>
      <x:c r="E197" s="6" t="str"/>
      <x:c r="F197" s="6" t="str"/>
      <x:c r="G197" s="6" t="str">
        <x:v>Unknown</x:v>
      </x:c>
      <x:c r="H197" s="6" t="str"/>
      <x:c r="I197" s="12" t="str">
        <x:v>Source Workbook</x:v>
      </x:c>
      <x:c r="J197" s="12" t="str">
        <x:v>Nocturnix_Master_Services_Catalog_v1.xlsx | 01 - Master Services | row 236</x:v>
      </x:c>
      <x:c r="K197" s="6" t="str">
        <x:v>Unresolved</x:v>
      </x:c>
      <x:c r="L197" s="6" t="str"/>
      <x:c r="M197" s="6" t="str"/>
      <x:c r="N197" s="6" t="str">
        <x:v>Pending</x:v>
      </x:c>
      <x:c r="O197" s="12" t="str"/>
    </x:row>
    <x:row r="198">
      <x:c r="A198" s="6" t="str">
        <x:v>PARTR-000197</x:v>
      </x:c>
      <x:c r="B198" s="6" t="str">
        <x:v>SVC000197</x:v>
      </x:c>
      <x:c r="C198" s="6" t="str">
        <x:v>iPhone X Battery Replacement</x:v>
      </x:c>
      <x:c r="D198" s="6"/>
      <x:c r="E198" s="6" t="str"/>
      <x:c r="F198" s="6" t="str"/>
      <x:c r="G198" s="6" t="str">
        <x:v>Unknown</x:v>
      </x:c>
      <x:c r="H198" s="6" t="str"/>
      <x:c r="I198" s="12" t="str">
        <x:v>Source Workbook</x:v>
      </x:c>
      <x:c r="J198" s="12" t="str">
        <x:v>Nocturnix_Master_Services_Catalog_v1.xlsx | 01 - Master Services | row 237</x:v>
      </x:c>
      <x:c r="K198" s="6" t="str">
        <x:v>Unresolved</x:v>
      </x:c>
      <x:c r="L198" s="6" t="str"/>
      <x:c r="M198" s="6" t="str"/>
      <x:c r="N198" s="6" t="str">
        <x:v>Pending</x:v>
      </x:c>
      <x:c r="O198" s="12" t="str"/>
    </x:row>
    <x:row r="199">
      <x:c r="A199" s="6" t="str">
        <x:v>PARTR-000198</x:v>
      </x:c>
      <x:c r="B199" s="6" t="str">
        <x:v>SVC000198</x:v>
      </x:c>
      <x:c r="C199" s="6" t="str">
        <x:v>iPhone SE(1ST GEN) Battery Replacement</x:v>
      </x:c>
      <x:c r="D199" s="6"/>
      <x:c r="E199" s="6" t="str"/>
      <x:c r="F199" s="6" t="str"/>
      <x:c r="G199" s="6" t="str">
        <x:v>Unknown</x:v>
      </x:c>
      <x:c r="H199" s="6" t="str"/>
      <x:c r="I199" s="12" t="str">
        <x:v>Source Workbook</x:v>
      </x:c>
      <x:c r="J199" s="12" t="str">
        <x:v>Nocturnix_Master_Services_Catalog_v1.xlsx | 01 - Master Services | row 238</x:v>
      </x:c>
      <x:c r="K199" s="6" t="str">
        <x:v>Unresolved</x:v>
      </x:c>
      <x:c r="L199" s="6" t="str"/>
      <x:c r="M199" s="6" t="str"/>
      <x:c r="N199" s="6" t="str">
        <x:v>Pending</x:v>
      </x:c>
      <x:c r="O199" s="12" t="str"/>
    </x:row>
    <x:row r="200">
      <x:c r="A200" s="6" t="str">
        <x:v>PARTR-000199</x:v>
      </x:c>
      <x:c r="B200" s="6" t="str">
        <x:v>SVC000199</x:v>
      </x:c>
      <x:c r="C200" s="6" t="str">
        <x:v>iPhone XS Battery Replacement</x:v>
      </x:c>
      <x:c r="D200" s="6"/>
      <x:c r="E200" s="6" t="str"/>
      <x:c r="F200" s="6" t="str"/>
      <x:c r="G200" s="6" t="str">
        <x:v>Unknown</x:v>
      </x:c>
      <x:c r="H200" s="6" t="str"/>
      <x:c r="I200" s="12" t="str">
        <x:v>Source Workbook</x:v>
      </x:c>
      <x:c r="J200" s="12" t="str">
        <x:v>Nocturnix_Master_Services_Catalog_v1.xlsx | 01 - Master Services | row 239</x:v>
      </x:c>
      <x:c r="K200" s="6" t="str">
        <x:v>Unresolved</x:v>
      </x:c>
      <x:c r="L200" s="6" t="str"/>
      <x:c r="M200" s="6" t="str"/>
      <x:c r="N200" s="6" t="str">
        <x:v>Pending</x:v>
      </x:c>
      <x:c r="O200" s="12" t="str"/>
    </x:row>
    <x:row r="201">
      <x:c r="A201" s="6" t="str">
        <x:v>PARTR-000200</x:v>
      </x:c>
      <x:c r="B201" s="6" t="str">
        <x:v>SVC000200</x:v>
      </x:c>
      <x:c r="C201" s="6" t="str">
        <x:v>iPhone SE (3RD GEN) Battery Replacement</x:v>
      </x:c>
      <x:c r="D201" s="6"/>
      <x:c r="E201" s="6" t="str"/>
      <x:c r="F201" s="6" t="str"/>
      <x:c r="G201" s="6" t="str">
        <x:v>Unknown</x:v>
      </x:c>
      <x:c r="H201" s="6" t="str"/>
      <x:c r="I201" s="12" t="str">
        <x:v>Source Workbook</x:v>
      </x:c>
      <x:c r="J201" s="12" t="str">
        <x:v>Nocturnix_Master_Services_Catalog_v1.xlsx | 01 - Master Services | row 240</x:v>
      </x:c>
      <x:c r="K201" s="6" t="str">
        <x:v>Unresolved</x:v>
      </x:c>
      <x:c r="L201" s="6" t="str"/>
      <x:c r="M201" s="6" t="str"/>
      <x:c r="N201" s="6" t="str">
        <x:v>Pending</x:v>
      </x:c>
      <x:c r="O201" s="12" t="str"/>
    </x:row>
    <x:row r="202">
      <x:c r="A202" s="6" t="str">
        <x:v>PARTR-000201</x:v>
      </x:c>
      <x:c r="B202" s="6" t="str">
        <x:v>SVC000201</x:v>
      </x:c>
      <x:c r="C202" s="6" t="str">
        <x:v>iPhone SE (2ND GEN) Battery Replacement</x:v>
      </x:c>
      <x:c r="D202" s="6"/>
      <x:c r="E202" s="6" t="str"/>
      <x:c r="F202" s="6" t="str"/>
      <x:c r="G202" s="6" t="str">
        <x:v>Unknown</x:v>
      </x:c>
      <x:c r="H202" s="6" t="str"/>
      <x:c r="I202" s="12" t="str">
        <x:v>Source Workbook</x:v>
      </x:c>
      <x:c r="J202" s="12" t="str">
        <x:v>Nocturnix_Master_Services_Catalog_v1.xlsx | 01 - Master Services | row 241</x:v>
      </x:c>
      <x:c r="K202" s="6" t="str">
        <x:v>Unresolved</x:v>
      </x:c>
      <x:c r="L202" s="6" t="str"/>
      <x:c r="M202" s="6" t="str"/>
      <x:c r="N202" s="6" t="str">
        <x:v>Pending</x:v>
      </x:c>
      <x:c r="O202" s="12" t="str"/>
    </x:row>
    <x:row r="203">
      <x:c r="A203" s="6" t="str">
        <x:v>PARTR-000202</x:v>
      </x:c>
      <x:c r="B203" s="6" t="str">
        <x:v>SVC000202</x:v>
      </x:c>
      <x:c r="C203" s="6" t="str">
        <x:v>iPhone 7 Battery Replacement</x:v>
      </x:c>
      <x:c r="D203" s="6"/>
      <x:c r="E203" s="6" t="str"/>
      <x:c r="F203" s="6" t="str"/>
      <x:c r="G203" s="6" t="str">
        <x:v>Unknown</x:v>
      </x:c>
      <x:c r="H203" s="6" t="str"/>
      <x:c r="I203" s="12" t="str">
        <x:v>Source Workbook</x:v>
      </x:c>
      <x:c r="J203" s="12" t="str">
        <x:v>Nocturnix_Master_Services_Catalog_v1.xlsx | 01 - Master Services | row 242</x:v>
      </x:c>
      <x:c r="K203" s="6" t="str">
        <x:v>Unresolved</x:v>
      </x:c>
      <x:c r="L203" s="6" t="str"/>
      <x:c r="M203" s="6" t="str"/>
      <x:c r="N203" s="6" t="str">
        <x:v>Pending</x:v>
      </x:c>
      <x:c r="O203" s="12" t="str"/>
    </x:row>
    <x:row r="204">
      <x:c r="A204" s="6" t="str">
        <x:v>PARTR-000203</x:v>
      </x:c>
      <x:c r="B204" s="6" t="str">
        <x:v>SVC000203</x:v>
      </x:c>
      <x:c r="C204" s="6" t="str">
        <x:v>iPhone 4S Battery Replacement</x:v>
      </x:c>
      <x:c r="D204" s="6"/>
      <x:c r="E204" s="6" t="str"/>
      <x:c r="F204" s="6" t="str"/>
      <x:c r="G204" s="6" t="str">
        <x:v>Unknown</x:v>
      </x:c>
      <x:c r="H204" s="6" t="str"/>
      <x:c r="I204" s="12" t="str">
        <x:v>Source Workbook</x:v>
      </x:c>
      <x:c r="J204" s="12" t="str">
        <x:v>Nocturnix_Master_Services_Catalog_v1.xlsx | 01 - Master Services | row 243</x:v>
      </x:c>
      <x:c r="K204" s="6" t="str">
        <x:v>Unresolved</x:v>
      </x:c>
      <x:c r="L204" s="6" t="str"/>
      <x:c r="M204" s="6" t="str"/>
      <x:c r="N204" s="6" t="str">
        <x:v>Pending</x:v>
      </x:c>
      <x:c r="O204" s="12" t="str"/>
    </x:row>
    <x:row r="205">
      <x:c r="A205" s="6" t="str">
        <x:v>PARTR-000204</x:v>
      </x:c>
      <x:c r="B205" s="6" t="str">
        <x:v>SVC000204</x:v>
      </x:c>
      <x:c r="C205" s="6" t="str">
        <x:v>iPhone 4S Battery Replacement</x:v>
      </x:c>
      <x:c r="D205" s="6"/>
      <x:c r="E205" s="6" t="str"/>
      <x:c r="F205" s="6" t="str"/>
      <x:c r="G205" s="6" t="str">
        <x:v>Unknown</x:v>
      </x:c>
      <x:c r="H205" s="6" t="str"/>
      <x:c r="I205" s="12" t="str">
        <x:v>Source Workbook</x:v>
      </x:c>
      <x:c r="J205" s="12" t="str">
        <x:v>Nocturnix_Master_Services_Catalog_v1.xlsx | 01 - Master Services | row 244</x:v>
      </x:c>
      <x:c r="K205" s="6" t="str">
        <x:v>Unresolved</x:v>
      </x:c>
      <x:c r="L205" s="6" t="str"/>
      <x:c r="M205" s="6" t="str"/>
      <x:c r="N205" s="6" t="str">
        <x:v>Pending</x:v>
      </x:c>
      <x:c r="O205" s="12" t="str"/>
    </x:row>
    <x:row r="206">
      <x:c r="A206" s="6" t="str">
        <x:v>PARTR-000205</x:v>
      </x:c>
      <x:c r="B206" s="6" t="str">
        <x:v>SVC000205</x:v>
      </x:c>
      <x:c r="C206" s="6" t="str">
        <x:v>Galaxy S 25 FE Battery Replacement</x:v>
      </x:c>
      <x:c r="D206" s="6"/>
      <x:c r="E206" s="6" t="str"/>
      <x:c r="F206" s="6" t="str"/>
      <x:c r="G206" s="6" t="str">
        <x:v>Unknown</x:v>
      </x:c>
      <x:c r="H206" s="6" t="str"/>
      <x:c r="I206" s="12" t="str">
        <x:v>Source Workbook</x:v>
      </x:c>
      <x:c r="J206" s="12" t="str">
        <x:v>Nocturnix_Master_Services_Catalog_v1.xlsx | 01 - Master Services | row 245</x:v>
      </x:c>
      <x:c r="K206" s="6" t="str">
        <x:v>Unresolved</x:v>
      </x:c>
      <x:c r="L206" s="6" t="str"/>
      <x:c r="M206" s="6" t="str"/>
      <x:c r="N206" s="6" t="str">
        <x:v>Pending</x:v>
      </x:c>
      <x:c r="O206" s="12" t="str"/>
    </x:row>
    <x:row r="207">
      <x:c r="A207" s="6" t="str">
        <x:v>PARTR-000206</x:v>
      </x:c>
      <x:c r="B207" s="6" t="str">
        <x:v>SVC000206</x:v>
      </x:c>
      <x:c r="C207" s="6" t="str">
        <x:v>iPhone 6 Battery Replacement</x:v>
      </x:c>
      <x:c r="D207" s="6"/>
      <x:c r="E207" s="6" t="str"/>
      <x:c r="F207" s="6" t="str"/>
      <x:c r="G207" s="6" t="str">
        <x:v>Unknown</x:v>
      </x:c>
      <x:c r="H207" s="6" t="str"/>
      <x:c r="I207" s="12" t="str">
        <x:v>Source Workbook</x:v>
      </x:c>
      <x:c r="J207" s="12" t="str">
        <x:v>Nocturnix_Master_Services_Catalog_v1.xlsx | 01 - Master Services | row 246</x:v>
      </x:c>
      <x:c r="K207" s="6" t="str">
        <x:v>Unresolved</x:v>
      </x:c>
      <x:c r="L207" s="6" t="str"/>
      <x:c r="M207" s="6" t="str"/>
      <x:c r="N207" s="6" t="str">
        <x:v>Pending</x:v>
      </x:c>
      <x:c r="O207" s="12" t="str"/>
    </x:row>
    <x:row r="208">
      <x:c r="A208" s="6" t="str">
        <x:v>PARTR-000207</x:v>
      </x:c>
      <x:c r="B208" s="6" t="str">
        <x:v>SVC000207</x:v>
      </x:c>
      <x:c r="C208" s="6" t="str">
        <x:v>iPhone 6 Battery Replacement</x:v>
      </x:c>
      <x:c r="D208" s="6"/>
      <x:c r="E208" s="6" t="str"/>
      <x:c r="F208" s="6" t="str"/>
      <x:c r="G208" s="6" t="str">
        <x:v>Unknown</x:v>
      </x:c>
      <x:c r="H208" s="6" t="str"/>
      <x:c r="I208" s="12" t="str">
        <x:v>Source Workbook</x:v>
      </x:c>
      <x:c r="J208" s="12" t="str">
        <x:v>Nocturnix_Master_Services_Catalog_v1.xlsx | 01 - Master Services | row 247</x:v>
      </x:c>
      <x:c r="K208" s="6" t="str">
        <x:v>Unresolved</x:v>
      </x:c>
      <x:c r="L208" s="6" t="str"/>
      <x:c r="M208" s="6" t="str"/>
      <x:c r="N208" s="6" t="str">
        <x:v>Pending</x:v>
      </x:c>
      <x:c r="O208" s="12" t="str"/>
    </x:row>
    <x:row r="209">
      <x:c r="A209" s="6" t="str">
        <x:v>PARTR-000208</x:v>
      </x:c>
      <x:c r="B209" s="6" t="str">
        <x:v>SVC000208</x:v>
      </x:c>
      <x:c r="C209" s="6" t="str">
        <x:v>Galaxy Note 8 Battery Replacement</x:v>
      </x:c>
      <x:c r="D209" s="6"/>
      <x:c r="E209" s="6" t="str"/>
      <x:c r="F209" s="6" t="str"/>
      <x:c r="G209" s="6" t="str">
        <x:v>Unknown</x:v>
      </x:c>
      <x:c r="H209" s="6" t="str"/>
      <x:c r="I209" s="12" t="str">
        <x:v>Source Workbook</x:v>
      </x:c>
      <x:c r="J209" s="12" t="str">
        <x:v>Nocturnix_Master_Services_Catalog_v1.xlsx | 01 - Master Services | row 248</x:v>
      </x:c>
      <x:c r="K209" s="6" t="str">
        <x:v>Unresolved</x:v>
      </x:c>
      <x:c r="L209" s="6" t="str"/>
      <x:c r="M209" s="6" t="str"/>
      <x:c r="N209" s="6" t="str">
        <x:v>Pending</x:v>
      </x:c>
      <x:c r="O209" s="12" t="str"/>
    </x:row>
    <x:row r="210">
      <x:c r="A210" s="6" t="str">
        <x:v>PARTR-000209</x:v>
      </x:c>
      <x:c r="B210" s="6" t="str">
        <x:v>SVC000209</x:v>
      </x:c>
      <x:c r="C210" s="6" t="str">
        <x:v>Galaxy S 22 Battery Replacement</x:v>
      </x:c>
      <x:c r="D210" s="6"/>
      <x:c r="E210" s="6" t="str"/>
      <x:c r="F210" s="6" t="str"/>
      <x:c r="G210" s="6" t="str">
        <x:v>Unknown</x:v>
      </x:c>
      <x:c r="H210" s="6" t="str"/>
      <x:c r="I210" s="12" t="str">
        <x:v>Source Workbook</x:v>
      </x:c>
      <x:c r="J210" s="12" t="str">
        <x:v>Nocturnix_Master_Services_Catalog_v1.xlsx | 01 - Master Services | row 249</x:v>
      </x:c>
      <x:c r="K210" s="6" t="str">
        <x:v>Unresolved</x:v>
      </x:c>
      <x:c r="L210" s="6" t="str"/>
      <x:c r="M210" s="6" t="str"/>
      <x:c r="N210" s="6" t="str">
        <x:v>Pending</x:v>
      </x:c>
      <x:c r="O210" s="12" t="str"/>
    </x:row>
    <x:row r="211">
      <x:c r="A211" s="6" t="str">
        <x:v>PARTR-000210</x:v>
      </x:c>
      <x:c r="B211" s="6" t="str">
        <x:v>SVC000210</x:v>
      </x:c>
      <x:c r="C211" s="6" t="str">
        <x:v>iPhone 3G Battery Replacement</x:v>
      </x:c>
      <x:c r="D211" s="6"/>
      <x:c r="E211" s="6" t="str"/>
      <x:c r="F211" s="6" t="str"/>
      <x:c r="G211" s="6" t="str">
        <x:v>Unknown</x:v>
      </x:c>
      <x:c r="H211" s="6" t="str"/>
      <x:c r="I211" s="12" t="str">
        <x:v>Source Workbook</x:v>
      </x:c>
      <x:c r="J211" s="12" t="str">
        <x:v>Nocturnix_Master_Services_Catalog_v1.xlsx | 01 - Master Services | row 250</x:v>
      </x:c>
      <x:c r="K211" s="6" t="str">
        <x:v>Unresolved</x:v>
      </x:c>
      <x:c r="L211" s="6" t="str"/>
      <x:c r="M211" s="6" t="str"/>
      <x:c r="N211" s="6" t="str">
        <x:v>Pending</x:v>
      </x:c>
      <x:c r="O211" s="12" t="str"/>
    </x:row>
    <x:row r="212">
      <x:c r="A212" s="6" t="str">
        <x:v>PARTR-000211</x:v>
      </x:c>
      <x:c r="B212" s="6" t="str">
        <x:v>SVC000211</x:v>
      </x:c>
      <x:c r="C212" s="6" t="str">
        <x:v>iPhone 11 Battery Replacement</x:v>
      </x:c>
      <x:c r="D212" s="6"/>
      <x:c r="E212" s="6" t="str"/>
      <x:c r="F212" s="6" t="str"/>
      <x:c r="G212" s="6" t="str">
        <x:v>Unknown</x:v>
      </x:c>
      <x:c r="H212" s="6" t="str"/>
      <x:c r="I212" s="12" t="str">
        <x:v>Source Workbook</x:v>
      </x:c>
      <x:c r="J212" s="12" t="str">
        <x:v>Nocturnix_Master_Services_Catalog_v1.xlsx | 01 - Master Services | row 251</x:v>
      </x:c>
      <x:c r="K212" s="6" t="str">
        <x:v>Unresolved</x:v>
      </x:c>
      <x:c r="L212" s="6" t="str"/>
      <x:c r="M212" s="6" t="str"/>
      <x:c r="N212" s="6" t="str">
        <x:v>Pending</x:v>
      </x:c>
      <x:c r="O212" s="12" t="str"/>
    </x:row>
    <x:row r="213">
      <x:c r="A213" s="6" t="str">
        <x:v>PARTR-000212</x:v>
      </x:c>
      <x:c r="B213" s="6" t="str">
        <x:v>SVC000212</x:v>
      </x:c>
      <x:c r="C213" s="6" t="str">
        <x:v>iPhone 11 Pro Battery Replacement</x:v>
      </x:c>
      <x:c r="D213" s="6"/>
      <x:c r="E213" s="6" t="str"/>
      <x:c r="F213" s="6" t="str"/>
      <x:c r="G213" s="6" t="str">
        <x:v>Unknown</x:v>
      </x:c>
      <x:c r="H213" s="6" t="str"/>
      <x:c r="I213" s="12" t="str">
        <x:v>Source Workbook</x:v>
      </x:c>
      <x:c r="J213" s="12" t="str">
        <x:v>Nocturnix_Master_Services_Catalog_v1.xlsx | 01 - Master Services | row 252</x:v>
      </x:c>
      <x:c r="K213" s="6" t="str">
        <x:v>Unresolved</x:v>
      </x:c>
      <x:c r="L213" s="6" t="str"/>
      <x:c r="M213" s="6" t="str"/>
      <x:c r="N213" s="6" t="str">
        <x:v>Pending</x:v>
      </x:c>
      <x:c r="O213" s="12" t="str"/>
    </x:row>
    <x:row r="214">
      <x:c r="A214" s="6" t="str">
        <x:v>PARTR-000213</x:v>
      </x:c>
      <x:c r="B214" s="6" t="str">
        <x:v>SVC000213</x:v>
      </x:c>
      <x:c r="C214" s="6" t="str">
        <x:v>iPhone 11 Pro Max Battery Replacement</x:v>
      </x:c>
      <x:c r="D214" s="6"/>
      <x:c r="E214" s="6" t="str"/>
      <x:c r="F214" s="6" t="str"/>
      <x:c r="G214" s="6" t="str">
        <x:v>Unknown</x:v>
      </x:c>
      <x:c r="H214" s="6" t="str"/>
      <x:c r="I214" s="12" t="str">
        <x:v>Source Workbook</x:v>
      </x:c>
      <x:c r="J214" s="12" t="str">
        <x:v>Nocturnix_Master_Services_Catalog_v1.xlsx | 01 - Master Services | row 253</x:v>
      </x:c>
      <x:c r="K214" s="6" t="str">
        <x:v>Unresolved</x:v>
      </x:c>
      <x:c r="L214" s="6" t="str"/>
      <x:c r="M214" s="6" t="str"/>
      <x:c r="N214" s="6" t="str">
        <x:v>Pending</x:v>
      </x:c>
      <x:c r="O214" s="12" t="str"/>
    </x:row>
    <x:row r="215">
      <x:c r="A215" s="6" t="str">
        <x:v>PARTR-000214</x:v>
      </x:c>
      <x:c r="B215" s="6" t="str">
        <x:v>SVC000214</x:v>
      </x:c>
      <x:c r="C215" s="6" t="str">
        <x:v>iPhone Charge Port Replacement</x:v>
      </x:c>
      <x:c r="D215" s="6"/>
      <x:c r="E215" s="6" t="str"/>
      <x:c r="F215" s="6" t="str"/>
      <x:c r="G215" s="6" t="str">
        <x:v>Unknown</x:v>
      </x:c>
      <x:c r="H215" s="6" t="str"/>
      <x:c r="I215" s="12" t="str">
        <x:v>Source Workbook</x:v>
      </x:c>
      <x:c r="J215" s="12" t="str">
        <x:v>Nocturnix_Master_Services_Catalog_v1.xlsx | 01 - Master Services | row 254</x:v>
      </x:c>
      <x:c r="K215" s="6" t="str">
        <x:v>Unresolved</x:v>
      </x:c>
      <x:c r="L215" s="6" t="str"/>
      <x:c r="M215" s="6" t="str"/>
      <x:c r="N215" s="6" t="str">
        <x:v>Pending</x:v>
      </x:c>
      <x:c r="O215" s="12" t="str"/>
    </x:row>
    <x:row r="216">
      <x:c r="A216" s="6" t="str">
        <x:v>PARTR-000215</x:v>
      </x:c>
      <x:c r="B216" s="6" t="str">
        <x:v>SVC000215</x:v>
      </x:c>
      <x:c r="C216" s="6" t="str">
        <x:v>iPhone 3G Charge Port Replacement</x:v>
      </x:c>
      <x:c r="D216" s="6"/>
      <x:c r="E216" s="6" t="str"/>
      <x:c r="F216" s="6" t="str"/>
      <x:c r="G216" s="6" t="str">
        <x:v>Unknown</x:v>
      </x:c>
      <x:c r="H216" s="6" t="str"/>
      <x:c r="I216" s="12" t="str">
        <x:v>Source Workbook</x:v>
      </x:c>
      <x:c r="J216" s="12" t="str">
        <x:v>Nocturnix_Master_Services_Catalog_v1.xlsx | 01 - Master Services | row 255</x:v>
      </x:c>
      <x:c r="K216" s="6" t="str">
        <x:v>Unresolved</x:v>
      </x:c>
      <x:c r="L216" s="6" t="str"/>
      <x:c r="M216" s="6" t="str"/>
      <x:c r="N216" s="6" t="str">
        <x:v>Pending</x:v>
      </x:c>
      <x:c r="O216" s="12" t="str"/>
    </x:row>
    <x:row r="217">
      <x:c r="A217" s="6" t="str">
        <x:v>PARTR-000216</x:v>
      </x:c>
      <x:c r="B217" s="6" t="str">
        <x:v>SVC000216</x:v>
      </x:c>
      <x:c r="C217" s="6" t="str">
        <x:v>iPhone 3GS Charge Port Replacement</x:v>
      </x:c>
      <x:c r="D217" s="6"/>
      <x:c r="E217" s="6" t="str"/>
      <x:c r="F217" s="6" t="str"/>
      <x:c r="G217" s="6" t="str">
        <x:v>Unknown</x:v>
      </x:c>
      <x:c r="H217" s="6" t="str"/>
      <x:c r="I217" s="12" t="str">
        <x:v>Source Workbook</x:v>
      </x:c>
      <x:c r="J217" s="12" t="str">
        <x:v>Nocturnix_Master_Services_Catalog_v1.xlsx | 01 - Master Services | row 256</x:v>
      </x:c>
      <x:c r="K217" s="6" t="str">
        <x:v>Unresolved</x:v>
      </x:c>
      <x:c r="L217" s="6" t="str"/>
      <x:c r="M217" s="6" t="str"/>
      <x:c r="N217" s="6" t="str">
        <x:v>Pending</x:v>
      </x:c>
      <x:c r="O217" s="12" t="str"/>
    </x:row>
    <x:row r="218">
      <x:c r="A218" s="6" t="str">
        <x:v>PARTR-000217</x:v>
      </x:c>
      <x:c r="B218" s="6" t="str">
        <x:v>SVC000217</x:v>
      </x:c>
      <x:c r="C218" s="6" t="str">
        <x:v>iPhone 4S Charge Port Replacement</x:v>
      </x:c>
      <x:c r="D218" s="6"/>
      <x:c r="E218" s="6" t="str"/>
      <x:c r="F218" s="6" t="str"/>
      <x:c r="G218" s="6" t="str">
        <x:v>Unknown</x:v>
      </x:c>
      <x:c r="H218" s="6" t="str"/>
      <x:c r="I218" s="12" t="str">
        <x:v>Source Workbook</x:v>
      </x:c>
      <x:c r="J218" s="12" t="str">
        <x:v>Nocturnix_Master_Services_Catalog_v1.xlsx | 01 - Master Services | row 257</x:v>
      </x:c>
      <x:c r="K218" s="6" t="str">
        <x:v>Unresolved</x:v>
      </x:c>
      <x:c r="L218" s="6" t="str"/>
      <x:c r="M218" s="6" t="str"/>
      <x:c r="N218" s="6" t="str">
        <x:v>Pending</x:v>
      </x:c>
      <x:c r="O218" s="12" t="str"/>
    </x:row>
    <x:row r="219">
      <x:c r="A219" s="6" t="str">
        <x:v>PARTR-000218</x:v>
      </x:c>
      <x:c r="B219" s="6" t="str">
        <x:v>SVC000218</x:v>
      </x:c>
      <x:c r="C219" s="6" t="str">
        <x:v>iPhone 4S Charge Port Replacement</x:v>
      </x:c>
      <x:c r="D219" s="6"/>
      <x:c r="E219" s="6" t="str"/>
      <x:c r="F219" s="6" t="str"/>
      <x:c r="G219" s="6" t="str">
        <x:v>Unknown</x:v>
      </x:c>
      <x:c r="H219" s="6" t="str"/>
      <x:c r="I219" s="12" t="str">
        <x:v>Source Workbook</x:v>
      </x:c>
      <x:c r="J219" s="12" t="str">
        <x:v>Nocturnix_Master_Services_Catalog_v1.xlsx | 01 - Master Services | row 258</x:v>
      </x:c>
      <x:c r="K219" s="6" t="str">
        <x:v>Unresolved</x:v>
      </x:c>
      <x:c r="L219" s="6" t="str"/>
      <x:c r="M219" s="6" t="str"/>
      <x:c r="N219" s="6" t="str">
        <x:v>Pending</x:v>
      </x:c>
      <x:c r="O219" s="12" t="str"/>
    </x:row>
    <x:row r="220">
      <x:c r="A220" s="6" t="str">
        <x:v>PARTR-000219</x:v>
      </x:c>
      <x:c r="B220" s="6" t="str">
        <x:v>SVC000219</x:v>
      </x:c>
      <x:c r="C220" s="6" t="str">
        <x:v>iPhone 4S Charge Port Replacement</x:v>
      </x:c>
      <x:c r="D220" s="6"/>
      <x:c r="E220" s="6" t="str"/>
      <x:c r="F220" s="6" t="str"/>
      <x:c r="G220" s="6" t="str">
        <x:v>Unknown</x:v>
      </x:c>
      <x:c r="H220" s="6" t="str"/>
      <x:c r="I220" s="12" t="str">
        <x:v>Source Workbook</x:v>
      </x:c>
      <x:c r="J220" s="12" t="str">
        <x:v>Nocturnix_Master_Services_Catalog_v1.xlsx | 01 - Master Services | row 259</x:v>
      </x:c>
      <x:c r="K220" s="6" t="str">
        <x:v>Unresolved</x:v>
      </x:c>
      <x:c r="L220" s="6" t="str"/>
      <x:c r="M220" s="6" t="str"/>
      <x:c r="N220" s="6" t="str">
        <x:v>Pending</x:v>
      </x:c>
      <x:c r="O220" s="12" t="str"/>
    </x:row>
    <x:row r="221">
      <x:c r="A221" s="6" t="str">
        <x:v>PARTR-000220</x:v>
      </x:c>
      <x:c r="B221" s="6" t="str">
        <x:v>SVC000220</x:v>
      </x:c>
      <x:c r="C221" s="6" t="str">
        <x:v>iPhone 5 Charge Port Replacement</x:v>
      </x:c>
      <x:c r="D221" s="6"/>
      <x:c r="E221" s="6" t="str"/>
      <x:c r="F221" s="6" t="str"/>
      <x:c r="G221" s="6" t="str">
        <x:v>Unknown</x:v>
      </x:c>
      <x:c r="H221" s="6" t="str"/>
      <x:c r="I221" s="12" t="str">
        <x:v>Source Workbook</x:v>
      </x:c>
      <x:c r="J221" s="12" t="str">
        <x:v>Nocturnix_Master_Services_Catalog_v1.xlsx | 01 - Master Services | row 260</x:v>
      </x:c>
      <x:c r="K221" s="6" t="str">
        <x:v>Unresolved</x:v>
      </x:c>
      <x:c r="L221" s="6" t="str"/>
      <x:c r="M221" s="6" t="str"/>
      <x:c r="N221" s="6" t="str">
        <x:v>Pending</x:v>
      </x:c>
      <x:c r="O221" s="12" t="str"/>
    </x:row>
    <x:row r="222">
      <x:c r="A222" s="6" t="str">
        <x:v>PARTR-000221</x:v>
      </x:c>
      <x:c r="B222" s="6" t="str">
        <x:v>SVC000221</x:v>
      </x:c>
      <x:c r="C222" s="6" t="str">
        <x:v>iPhone 5C Charge Port Replacement</x:v>
      </x:c>
      <x:c r="D222" s="6"/>
      <x:c r="E222" s="6" t="str"/>
      <x:c r="F222" s="6" t="str"/>
      <x:c r="G222" s="6" t="str">
        <x:v>Unknown</x:v>
      </x:c>
      <x:c r="H222" s="6" t="str"/>
      <x:c r="I222" s="12" t="str">
        <x:v>Source Workbook</x:v>
      </x:c>
      <x:c r="J222" s="12" t="str">
        <x:v>Nocturnix_Master_Services_Catalog_v1.xlsx | 01 - Master Services | row 261</x:v>
      </x:c>
      <x:c r="K222" s="6" t="str">
        <x:v>Unresolved</x:v>
      </x:c>
      <x:c r="L222" s="6" t="str"/>
      <x:c r="M222" s="6" t="str"/>
      <x:c r="N222" s="6" t="str">
        <x:v>Pending</x:v>
      </x:c>
      <x:c r="O222" s="12" t="str"/>
    </x:row>
    <x:row r="223">
      <x:c r="A223" s="6" t="str">
        <x:v>PARTR-000222</x:v>
      </x:c>
      <x:c r="B223" s="6" t="str">
        <x:v>SVC000222</x:v>
      </x:c>
      <x:c r="C223" s="6" t="str">
        <x:v>iPhone 5S Charge Port Replacement</x:v>
      </x:c>
      <x:c r="D223" s="6"/>
      <x:c r="E223" s="6" t="str"/>
      <x:c r="F223" s="6" t="str"/>
      <x:c r="G223" s="6" t="str">
        <x:v>Unknown</x:v>
      </x:c>
      <x:c r="H223" s="6" t="str"/>
      <x:c r="I223" s="12" t="str">
        <x:v>Source Workbook</x:v>
      </x:c>
      <x:c r="J223" s="12" t="str">
        <x:v>Nocturnix_Master_Services_Catalog_v1.xlsx | 01 - Master Services | row 262</x:v>
      </x:c>
      <x:c r="K223" s="6" t="str">
        <x:v>Unresolved</x:v>
      </x:c>
      <x:c r="L223" s="6" t="str"/>
      <x:c r="M223" s="6" t="str"/>
      <x:c r="N223" s="6" t="str">
        <x:v>Pending</x:v>
      </x:c>
      <x:c r="O223" s="12" t="str"/>
    </x:row>
    <x:row r="224">
      <x:c r="A224" s="6" t="str">
        <x:v>PARTR-000223</x:v>
      </x:c>
      <x:c r="B224" s="6" t="str">
        <x:v>SVC000223</x:v>
      </x:c>
      <x:c r="C224" s="6" t="str">
        <x:v>iPhone 6 Charge Port Replacement</x:v>
      </x:c>
      <x:c r="D224" s="6"/>
      <x:c r="E224" s="6" t="str"/>
      <x:c r="F224" s="6" t="str"/>
      <x:c r="G224" s="6" t="str">
        <x:v>Unknown</x:v>
      </x:c>
      <x:c r="H224" s="6" t="str"/>
      <x:c r="I224" s="12" t="str">
        <x:v>Source Workbook</x:v>
      </x:c>
      <x:c r="J224" s="12" t="str">
        <x:v>Nocturnix_Master_Services_Catalog_v1.xlsx | 01 - Master Services | row 263</x:v>
      </x:c>
      <x:c r="K224" s="6" t="str">
        <x:v>Unresolved</x:v>
      </x:c>
      <x:c r="L224" s="6" t="str"/>
      <x:c r="M224" s="6" t="str"/>
      <x:c r="N224" s="6" t="str">
        <x:v>Pending</x:v>
      </x:c>
      <x:c r="O224" s="12" t="str"/>
    </x:row>
    <x:row r="225">
      <x:c r="A225" s="6" t="str">
        <x:v>PARTR-000224</x:v>
      </x:c>
      <x:c r="B225" s="6" t="str">
        <x:v>SVC000224</x:v>
      </x:c>
      <x:c r="C225" s="6" t="str">
        <x:v>iPhone 6+ Charge Port Replacement</x:v>
      </x:c>
      <x:c r="D225" s="6"/>
      <x:c r="E225" s="6" t="str"/>
      <x:c r="F225" s="6" t="str"/>
      <x:c r="G225" s="6" t="str">
        <x:v>Unknown</x:v>
      </x:c>
      <x:c r="H225" s="6" t="str"/>
      <x:c r="I225" s="12" t="str">
        <x:v>Source Workbook</x:v>
      </x:c>
      <x:c r="J225" s="12" t="str">
        <x:v>Nocturnix_Master_Services_Catalog_v1.xlsx | 01 - Master Services | row 264</x:v>
      </x:c>
      <x:c r="K225" s="6" t="str">
        <x:v>Unresolved</x:v>
      </x:c>
      <x:c r="L225" s="6" t="str"/>
      <x:c r="M225" s="6" t="str"/>
      <x:c r="N225" s="6" t="str">
        <x:v>Pending</x:v>
      </x:c>
      <x:c r="O225" s="12" t="str"/>
    </x:row>
    <x:row r="226">
      <x:c r="A226" s="6" t="str">
        <x:v>PARTR-000225</x:v>
      </x:c>
      <x:c r="B226" s="6" t="str">
        <x:v>SVC000225</x:v>
      </x:c>
      <x:c r="C226" s="6" t="str">
        <x:v>iPhone 6S Charge Port Replacement</x:v>
      </x:c>
      <x:c r="D226" s="6"/>
      <x:c r="E226" s="6" t="str"/>
      <x:c r="F226" s="6" t="str"/>
      <x:c r="G226" s="6" t="str">
        <x:v>Unknown</x:v>
      </x:c>
      <x:c r="H226" s="6" t="str"/>
      <x:c r="I226" s="12" t="str">
        <x:v>Source Workbook</x:v>
      </x:c>
      <x:c r="J226" s="12" t="str">
        <x:v>Nocturnix_Master_Services_Catalog_v1.xlsx | 01 - Master Services | row 265</x:v>
      </x:c>
      <x:c r="K226" s="6" t="str">
        <x:v>Unresolved</x:v>
      </x:c>
      <x:c r="L226" s="6" t="str"/>
      <x:c r="M226" s="6" t="str"/>
      <x:c r="N226" s="6" t="str">
        <x:v>Pending</x:v>
      </x:c>
      <x:c r="O226" s="12" t="str"/>
    </x:row>
    <x:row r="227">
      <x:c r="A227" s="6" t="str">
        <x:v>PARTR-000226</x:v>
      </x:c>
      <x:c r="B227" s="6" t="str">
        <x:v>SVC000226</x:v>
      </x:c>
      <x:c r="C227" s="6" t="str">
        <x:v>iPhone 6S+ Charge Port Replacement</x:v>
      </x:c>
      <x:c r="D227" s="6"/>
      <x:c r="E227" s="6" t="str"/>
      <x:c r="F227" s="6" t="str"/>
      <x:c r="G227" s="6" t="str">
        <x:v>Unknown</x:v>
      </x:c>
      <x:c r="H227" s="6" t="str"/>
      <x:c r="I227" s="12" t="str">
        <x:v>Source Workbook</x:v>
      </x:c>
      <x:c r="J227" s="12" t="str">
        <x:v>Nocturnix_Master_Services_Catalog_v1.xlsx | 01 - Master Services | row 266</x:v>
      </x:c>
      <x:c r="K227" s="6" t="str">
        <x:v>Unresolved</x:v>
      </x:c>
      <x:c r="L227" s="6" t="str"/>
      <x:c r="M227" s="6" t="str"/>
      <x:c r="N227" s="6" t="str">
        <x:v>Pending</x:v>
      </x:c>
      <x:c r="O227" s="12" t="str"/>
    </x:row>
    <x:row r="228">
      <x:c r="A228" s="6" t="str">
        <x:v>PARTR-000227</x:v>
      </x:c>
      <x:c r="B228" s="6" t="str">
        <x:v>SVC000227</x:v>
      </x:c>
      <x:c r="C228" s="6" t="str">
        <x:v>iPhone 6S+ Charge Port Replacement</x:v>
      </x:c>
      <x:c r="D228" s="6"/>
      <x:c r="E228" s="6" t="str"/>
      <x:c r="F228" s="6" t="str"/>
      <x:c r="G228" s="6" t="str">
        <x:v>Unknown</x:v>
      </x:c>
      <x:c r="H228" s="6" t="str"/>
      <x:c r="I228" s="12" t="str">
        <x:v>Source Workbook</x:v>
      </x:c>
      <x:c r="J228" s="12" t="str">
        <x:v>Nocturnix_Master_Services_Catalog_v1.xlsx | 01 - Master Services | row 267</x:v>
      </x:c>
      <x:c r="K228" s="6" t="str">
        <x:v>Unresolved</x:v>
      </x:c>
      <x:c r="L228" s="6" t="str"/>
      <x:c r="M228" s="6" t="str"/>
      <x:c r="N228" s="6" t="str">
        <x:v>Pending</x:v>
      </x:c>
      <x:c r="O228" s="12" t="str"/>
    </x:row>
    <x:row r="229">
      <x:c r="A229" s="6" t="str">
        <x:v>PARTR-000228</x:v>
      </x:c>
      <x:c r="B229" s="6" t="str">
        <x:v>SVC000228</x:v>
      </x:c>
      <x:c r="C229" s="6" t="str">
        <x:v>iPhone SE(1ST GEN) Charge Port Replacement</x:v>
      </x:c>
      <x:c r="D229" s="6"/>
      <x:c r="E229" s="6" t="str"/>
      <x:c r="F229" s="6" t="str"/>
      <x:c r="G229" s="6" t="str">
        <x:v>Unknown</x:v>
      </x:c>
      <x:c r="H229" s="6" t="str"/>
      <x:c r="I229" s="12" t="str">
        <x:v>Source Workbook</x:v>
      </x:c>
      <x:c r="J229" s="12" t="str">
        <x:v>Nocturnix_Master_Services_Catalog_v1.xlsx | 01 - Master Services | row 268</x:v>
      </x:c>
      <x:c r="K229" s="6" t="str">
        <x:v>Unresolved</x:v>
      </x:c>
      <x:c r="L229" s="6" t="str"/>
      <x:c r="M229" s="6" t="str"/>
      <x:c r="N229" s="6" t="str">
        <x:v>Pending</x:v>
      </x:c>
      <x:c r="O229" s="12" t="str"/>
    </x:row>
    <x:row r="230">
      <x:c r="A230" s="6" t="str">
        <x:v>PARTR-000229</x:v>
      </x:c>
      <x:c r="B230" s="6" t="str">
        <x:v>SVC000229</x:v>
      </x:c>
      <x:c r="C230" s="6" t="str">
        <x:v>iPhone 7 Charge Port Replacement</x:v>
      </x:c>
      <x:c r="D230" s="6"/>
      <x:c r="E230" s="6" t="str"/>
      <x:c r="F230" s="6" t="str"/>
      <x:c r="G230" s="6" t="str">
        <x:v>Unknown</x:v>
      </x:c>
      <x:c r="H230" s="6" t="str"/>
      <x:c r="I230" s="12" t="str">
        <x:v>Source Workbook</x:v>
      </x:c>
      <x:c r="J230" s="12" t="str">
        <x:v>Nocturnix_Master_Services_Catalog_v1.xlsx | 01 - Master Services | row 269</x:v>
      </x:c>
      <x:c r="K230" s="6" t="str">
        <x:v>Unresolved</x:v>
      </x:c>
      <x:c r="L230" s="6" t="str"/>
      <x:c r="M230" s="6" t="str"/>
      <x:c r="N230" s="6" t="str">
        <x:v>Pending</x:v>
      </x:c>
      <x:c r="O230" s="12" t="str"/>
    </x:row>
    <x:row r="231">
      <x:c r="A231" s="6" t="str">
        <x:v>PARTR-000230</x:v>
      </x:c>
      <x:c r="B231" s="6" t="str">
        <x:v>SVC000230</x:v>
      </x:c>
      <x:c r="C231" s="6" t="str">
        <x:v>iPhone 7+ Charge Port Replacement</x:v>
      </x:c>
      <x:c r="D231" s="6"/>
      <x:c r="E231" s="6" t="str"/>
      <x:c r="F231" s="6" t="str"/>
      <x:c r="G231" s="6" t="str">
        <x:v>Unknown</x:v>
      </x:c>
      <x:c r="H231" s="6" t="str"/>
      <x:c r="I231" s="12" t="str">
        <x:v>Source Workbook</x:v>
      </x:c>
      <x:c r="J231" s="12" t="str">
        <x:v>Nocturnix_Master_Services_Catalog_v1.xlsx | 01 - Master Services | row 270</x:v>
      </x:c>
      <x:c r="K231" s="6" t="str">
        <x:v>Unresolved</x:v>
      </x:c>
      <x:c r="L231" s="6" t="str"/>
      <x:c r="M231" s="6" t="str"/>
      <x:c r="N231" s="6" t="str">
        <x:v>Pending</x:v>
      </x:c>
      <x:c r="O231" s="12" t="str"/>
    </x:row>
    <x:row r="232">
      <x:c r="A232" s="6" t="str">
        <x:v>PARTR-000231</x:v>
      </x:c>
      <x:c r="B232" s="6" t="str">
        <x:v>SVC000231</x:v>
      </x:c>
      <x:c r="C232" s="6" t="str">
        <x:v>iPhone 8 Charge Port Replacement</x:v>
      </x:c>
      <x:c r="D232" s="6"/>
      <x:c r="E232" s="6" t="str"/>
      <x:c r="F232" s="6" t="str"/>
      <x:c r="G232" s="6" t="str">
        <x:v>Unknown</x:v>
      </x:c>
      <x:c r="H232" s="6" t="str"/>
      <x:c r="I232" s="12" t="str">
        <x:v>Source Workbook</x:v>
      </x:c>
      <x:c r="J232" s="12" t="str">
        <x:v>Nocturnix_Master_Services_Catalog_v1.xlsx | 01 - Master Services | row 271</x:v>
      </x:c>
      <x:c r="K232" s="6" t="str">
        <x:v>Unresolved</x:v>
      </x:c>
      <x:c r="L232" s="6" t="str"/>
      <x:c r="M232" s="6" t="str"/>
      <x:c r="N232" s="6" t="str">
        <x:v>Pending</x:v>
      </x:c>
      <x:c r="O232" s="12" t="str"/>
    </x:row>
    <x:row r="233">
      <x:c r="A233" s="6" t="str">
        <x:v>PARTR-000232</x:v>
      </x:c>
      <x:c r="B233" s="6" t="str">
        <x:v>SVC000232</x:v>
      </x:c>
      <x:c r="C233" s="6" t="str">
        <x:v>iPhone 8+ Charge Port Replacement</x:v>
      </x:c>
      <x:c r="D233" s="6"/>
      <x:c r="E233" s="6" t="str"/>
      <x:c r="F233" s="6" t="str"/>
      <x:c r="G233" s="6" t="str">
        <x:v>Unknown</x:v>
      </x:c>
      <x:c r="H233" s="6" t="str"/>
      <x:c r="I233" s="12" t="str">
        <x:v>Source Workbook</x:v>
      </x:c>
      <x:c r="J233" s="12" t="str">
        <x:v>Nocturnix_Master_Services_Catalog_v1.xlsx | 01 - Master Services | row 272</x:v>
      </x:c>
      <x:c r="K233" s="6" t="str">
        <x:v>Unresolved</x:v>
      </x:c>
      <x:c r="L233" s="6" t="str"/>
      <x:c r="M233" s="6" t="str"/>
      <x:c r="N233" s="6" t="str">
        <x:v>Pending</x:v>
      </x:c>
      <x:c r="O233" s="12" t="str"/>
    </x:row>
    <x:row r="234">
      <x:c r="A234" s="6" t="str">
        <x:v>PARTR-000233</x:v>
      </x:c>
      <x:c r="B234" s="6" t="str">
        <x:v>SVC000233</x:v>
      </x:c>
      <x:c r="C234" s="6" t="str">
        <x:v>iPhone X Charge Port Replacement</x:v>
      </x:c>
      <x:c r="D234" s="6"/>
      <x:c r="E234" s="6" t="str"/>
      <x:c r="F234" s="6" t="str"/>
      <x:c r="G234" s="6" t="str">
        <x:v>Unknown</x:v>
      </x:c>
      <x:c r="H234" s="6" t="str"/>
      <x:c r="I234" s="12" t="str">
        <x:v>Source Workbook</x:v>
      </x:c>
      <x:c r="J234" s="12" t="str">
        <x:v>Nocturnix_Master_Services_Catalog_v1.xlsx | 01 - Master Services | row 273</x:v>
      </x:c>
      <x:c r="K234" s="6" t="str">
        <x:v>Unresolved</x:v>
      </x:c>
      <x:c r="L234" s="6" t="str"/>
      <x:c r="M234" s="6" t="str"/>
      <x:c r="N234" s="6" t="str">
        <x:v>Pending</x:v>
      </x:c>
      <x:c r="O234" s="12" t="str"/>
    </x:row>
    <x:row r="235">
      <x:c r="A235" s="6" t="str">
        <x:v>PARTR-000234</x:v>
      </x:c>
      <x:c r="B235" s="6" t="str">
        <x:v>SVC000234</x:v>
      </x:c>
      <x:c r="C235" s="6" t="str">
        <x:v>iPhone XR Charge Port Replacement</x:v>
      </x:c>
      <x:c r="D235" s="6"/>
      <x:c r="E235" s="6" t="str"/>
      <x:c r="F235" s="6" t="str"/>
      <x:c r="G235" s="6" t="str">
        <x:v>Unknown</x:v>
      </x:c>
      <x:c r="H235" s="6" t="str"/>
      <x:c r="I235" s="12" t="str">
        <x:v>Source Workbook</x:v>
      </x:c>
      <x:c r="J235" s="12" t="str">
        <x:v>Nocturnix_Master_Services_Catalog_v1.xlsx | 01 - Master Services | row 274</x:v>
      </x:c>
      <x:c r="K235" s="6" t="str">
        <x:v>Unresolved</x:v>
      </x:c>
      <x:c r="L235" s="6" t="str"/>
      <x:c r="M235" s="6" t="str"/>
      <x:c r="N235" s="6" t="str">
        <x:v>Pending</x:v>
      </x:c>
      <x:c r="O235" s="12" t="str"/>
    </x:row>
    <x:row r="236">
      <x:c r="A236" s="6" t="str">
        <x:v>PARTR-000235</x:v>
      </x:c>
      <x:c r="B236" s="6" t="str">
        <x:v>SVC000235</x:v>
      </x:c>
      <x:c r="C236" s="6" t="str">
        <x:v>Galaxy S 23 Battery Replacement</x:v>
      </x:c>
      <x:c r="D236" s="6"/>
      <x:c r="E236" s="6" t="str"/>
      <x:c r="F236" s="6" t="str"/>
      <x:c r="G236" s="6" t="str">
        <x:v>Unknown</x:v>
      </x:c>
      <x:c r="H236" s="6" t="str"/>
      <x:c r="I236" s="12" t="str">
        <x:v>Source Workbook</x:v>
      </x:c>
      <x:c r="J236" s="12" t="str">
        <x:v>Nocturnix_Master_Services_Catalog_v1.xlsx | 01 - Master Services | row 275</x:v>
      </x:c>
      <x:c r="K236" s="6" t="str">
        <x:v>Unresolved</x:v>
      </x:c>
      <x:c r="L236" s="6" t="str"/>
      <x:c r="M236" s="6" t="str"/>
      <x:c r="N236" s="6" t="str">
        <x:v>Pending</x:v>
      </x:c>
      <x:c r="O236" s="12" t="str"/>
    </x:row>
    <x:row r="237">
      <x:c r="A237" s="6" t="str">
        <x:v>PARTR-000236</x:v>
      </x:c>
      <x:c r="B237" s="6" t="str">
        <x:v>SVC000236</x:v>
      </x:c>
      <x:c r="C237" s="6" t="str">
        <x:v>iPhone XS Charge Port Replacement</x:v>
      </x:c>
      <x:c r="D237" s="6"/>
      <x:c r="E237" s="6" t="str"/>
      <x:c r="F237" s="6" t="str"/>
      <x:c r="G237" s="6" t="str">
        <x:v>Unknown</x:v>
      </x:c>
      <x:c r="H237" s="6" t="str"/>
      <x:c r="I237" s="12" t="str">
        <x:v>Source Workbook</x:v>
      </x:c>
      <x:c r="J237" s="12" t="str">
        <x:v>Nocturnix_Master_Services_Catalog_v1.xlsx | 01 - Master Services | row 276</x:v>
      </x:c>
      <x:c r="K237" s="6" t="str">
        <x:v>Unresolved</x:v>
      </x:c>
      <x:c r="L237" s="6" t="str"/>
      <x:c r="M237" s="6" t="str"/>
      <x:c r="N237" s="6" t="str">
        <x:v>Pending</x:v>
      </x:c>
      <x:c r="O237" s="12" t="str"/>
    </x:row>
    <x:row r="238">
      <x:c r="A238" s="6" t="str">
        <x:v>PARTR-000237</x:v>
      </x:c>
      <x:c r="B238" s="6" t="str">
        <x:v>SVC000237</x:v>
      </x:c>
      <x:c r="C238" s="6" t="str">
        <x:v>iPhone XS Max Charge Port Replacement</x:v>
      </x:c>
      <x:c r="D238" s="6"/>
      <x:c r="E238" s="6" t="str"/>
      <x:c r="F238" s="6" t="str"/>
      <x:c r="G238" s="6" t="str">
        <x:v>Unknown</x:v>
      </x:c>
      <x:c r="H238" s="6" t="str"/>
      <x:c r="I238" s="12" t="str">
        <x:v>Source Workbook</x:v>
      </x:c>
      <x:c r="J238" s="12" t="str">
        <x:v>Nocturnix_Master_Services_Catalog_v1.xlsx | 01 - Master Services | row 277</x:v>
      </x:c>
      <x:c r="K238" s="6" t="str">
        <x:v>Unresolved</x:v>
      </x:c>
      <x:c r="L238" s="6" t="str"/>
      <x:c r="M238" s="6" t="str"/>
      <x:c r="N238" s="6" t="str">
        <x:v>Pending</x:v>
      </x:c>
      <x:c r="O238" s="12" t="str"/>
    </x:row>
    <x:row r="239">
      <x:c r="A239" s="6" t="str">
        <x:v>PARTR-000238</x:v>
      </x:c>
      <x:c r="B239" s="6" t="str">
        <x:v>SVC000238</x:v>
      </x:c>
      <x:c r="C239" s="6" t="str">
        <x:v>iPhone 11 Charge Port Replacement</x:v>
      </x:c>
      <x:c r="D239" s="6"/>
      <x:c r="E239" s="6" t="str"/>
      <x:c r="F239" s="6" t="str"/>
      <x:c r="G239" s="6" t="str">
        <x:v>Unknown</x:v>
      </x:c>
      <x:c r="H239" s="6" t="str"/>
      <x:c r="I239" s="12" t="str">
        <x:v>Source Workbook</x:v>
      </x:c>
      <x:c r="J239" s="12" t="str">
        <x:v>Nocturnix_Master_Services_Catalog_v1.xlsx | 01 - Master Services | row 278</x:v>
      </x:c>
      <x:c r="K239" s="6" t="str">
        <x:v>Unresolved</x:v>
      </x:c>
      <x:c r="L239" s="6" t="str"/>
      <x:c r="M239" s="6" t="str"/>
      <x:c r="N239" s="6" t="str">
        <x:v>Pending</x:v>
      </x:c>
      <x:c r="O239" s="12" t="str"/>
    </x:row>
    <x:row r="240">
      <x:c r="A240" s="6" t="str">
        <x:v>PARTR-000239</x:v>
      </x:c>
      <x:c r="B240" s="6" t="str">
        <x:v>SVC000239</x:v>
      </x:c>
      <x:c r="C240" s="6" t="str">
        <x:v>iPhone 11 Pro Charge Port Replacement</x:v>
      </x:c>
      <x:c r="D240" s="6"/>
      <x:c r="E240" s="6" t="str"/>
      <x:c r="F240" s="6" t="str"/>
      <x:c r="G240" s="6" t="str">
        <x:v>Unknown</x:v>
      </x:c>
      <x:c r="H240" s="6" t="str"/>
      <x:c r="I240" s="12" t="str">
        <x:v>Source Workbook</x:v>
      </x:c>
      <x:c r="J240" s="12" t="str">
        <x:v>Nocturnix_Master_Services_Catalog_v1.xlsx | 01 - Master Services | row 279</x:v>
      </x:c>
      <x:c r="K240" s="6" t="str">
        <x:v>Unresolved</x:v>
      </x:c>
      <x:c r="L240" s="6" t="str"/>
      <x:c r="M240" s="6" t="str"/>
      <x:c r="N240" s="6" t="str">
        <x:v>Pending</x:v>
      </x:c>
      <x:c r="O240" s="12" t="str"/>
    </x:row>
    <x:row r="241">
      <x:c r="A241" s="6" t="str">
        <x:v>PARTR-000240</x:v>
      </x:c>
      <x:c r="B241" s="6" t="str">
        <x:v>SVC000240</x:v>
      </x:c>
      <x:c r="C241" s="6" t="str">
        <x:v>iPhone 11 Pro Max Charge Port Replacement</x:v>
      </x:c>
      <x:c r="D241" s="6"/>
      <x:c r="E241" s="6" t="str"/>
      <x:c r="F241" s="6" t="str"/>
      <x:c r="G241" s="6" t="str">
        <x:v>Unknown</x:v>
      </x:c>
      <x:c r="H241" s="6" t="str"/>
      <x:c r="I241" s="12" t="str">
        <x:v>Source Workbook</x:v>
      </x:c>
      <x:c r="J241" s="12" t="str">
        <x:v>Nocturnix_Master_Services_Catalog_v1.xlsx | 01 - Master Services | row 280</x:v>
      </x:c>
      <x:c r="K241" s="6" t="str">
        <x:v>Unresolved</x:v>
      </x:c>
      <x:c r="L241" s="6" t="str"/>
      <x:c r="M241" s="6" t="str"/>
      <x:c r="N241" s="6" t="str">
        <x:v>Pending</x:v>
      </x:c>
      <x:c r="O241" s="12" t="str"/>
    </x:row>
    <x:row r="242">
      <x:c r="A242" s="6" t="str">
        <x:v>PARTR-000241</x:v>
      </x:c>
      <x:c r="B242" s="6" t="str">
        <x:v>SVC000241</x:v>
      </x:c>
      <x:c r="C242" s="6" t="str">
        <x:v>iPhone SE (2ND GEN) Charge Port Replacement</x:v>
      </x:c>
      <x:c r="D242" s="6"/>
      <x:c r="E242" s="6" t="str"/>
      <x:c r="F242" s="6" t="str"/>
      <x:c r="G242" s="6" t="str">
        <x:v>Unknown</x:v>
      </x:c>
      <x:c r="H242" s="6" t="str"/>
      <x:c r="I242" s="12" t="str">
        <x:v>Source Workbook</x:v>
      </x:c>
      <x:c r="J242" s="12" t="str">
        <x:v>Nocturnix_Master_Services_Catalog_v1.xlsx | 01 - Master Services | row 281</x:v>
      </x:c>
      <x:c r="K242" s="6" t="str">
        <x:v>Unresolved</x:v>
      </x:c>
      <x:c r="L242" s="6" t="str"/>
      <x:c r="M242" s="6" t="str"/>
      <x:c r="N242" s="6" t="str">
        <x:v>Pending</x:v>
      </x:c>
      <x:c r="O242" s="12" t="str"/>
    </x:row>
    <x:row r="243">
      <x:c r="A243" s="6" t="str">
        <x:v>PARTR-000242</x:v>
      </x:c>
      <x:c r="B243" s="6" t="str">
        <x:v>SVC000242</x:v>
      </x:c>
      <x:c r="C243" s="6" t="str">
        <x:v>iPhone 12 Charge Port Replacement</x:v>
      </x:c>
      <x:c r="D243" s="6"/>
      <x:c r="E243" s="6" t="str"/>
      <x:c r="F243" s="6" t="str"/>
      <x:c r="G243" s="6" t="str">
        <x:v>Unknown</x:v>
      </x:c>
      <x:c r="H243" s="6" t="str"/>
      <x:c r="I243" s="12" t="str">
        <x:v>Source Workbook</x:v>
      </x:c>
      <x:c r="J243" s="12" t="str">
        <x:v>Nocturnix_Master_Services_Catalog_v1.xlsx | 01 - Master Services | row 282</x:v>
      </x:c>
      <x:c r="K243" s="6" t="str">
        <x:v>Unresolved</x:v>
      </x:c>
      <x:c r="L243" s="6" t="str"/>
      <x:c r="M243" s="6" t="str"/>
      <x:c r="N243" s="6" t="str">
        <x:v>Pending</x:v>
      </x:c>
      <x:c r="O243" s="12" t="str"/>
    </x:row>
    <x:row r="244">
      <x:c r="A244" s="6" t="str">
        <x:v>PARTR-000243</x:v>
      </x:c>
      <x:c r="B244" s="6" t="str">
        <x:v>SVC000243</x:v>
      </x:c>
      <x:c r="C244" s="6" t="str">
        <x:v>iPhone 12 Mini Charge Port Replacement</x:v>
      </x:c>
      <x:c r="D244" s="6"/>
      <x:c r="E244" s="6" t="str"/>
      <x:c r="F244" s="6" t="str"/>
      <x:c r="G244" s="6" t="str">
        <x:v>Unknown</x:v>
      </x:c>
      <x:c r="H244" s="6" t="str"/>
      <x:c r="I244" s="12" t="str">
        <x:v>Source Workbook</x:v>
      </x:c>
      <x:c r="J244" s="12" t="str">
        <x:v>Nocturnix_Master_Services_Catalog_v1.xlsx | 01 - Master Services | row 283</x:v>
      </x:c>
      <x:c r="K244" s="6" t="str">
        <x:v>Unresolved</x:v>
      </x:c>
      <x:c r="L244" s="6" t="str"/>
      <x:c r="M244" s="6" t="str"/>
      <x:c r="N244" s="6" t="str">
        <x:v>Pending</x:v>
      </x:c>
      <x:c r="O244" s="12" t="str"/>
    </x:row>
    <x:row r="245">
      <x:c r="A245" s="6" t="str">
        <x:v>PARTR-000244</x:v>
      </x:c>
      <x:c r="B245" s="6" t="str">
        <x:v>SVC000244</x:v>
      </x:c>
      <x:c r="C245" s="6" t="str">
        <x:v>iPhone 12 Pro Charge Port Replacement</x:v>
      </x:c>
      <x:c r="D245" s="6"/>
      <x:c r="E245" s="6" t="str"/>
      <x:c r="F245" s="6" t="str"/>
      <x:c r="G245" s="6" t="str">
        <x:v>Unknown</x:v>
      </x:c>
      <x:c r="H245" s="6" t="str"/>
      <x:c r="I245" s="12" t="str">
        <x:v>Source Workbook</x:v>
      </x:c>
      <x:c r="J245" s="12" t="str">
        <x:v>Nocturnix_Master_Services_Catalog_v1.xlsx | 01 - Master Services | row 284</x:v>
      </x:c>
      <x:c r="K245" s="6" t="str">
        <x:v>Unresolved</x:v>
      </x:c>
      <x:c r="L245" s="6" t="str"/>
      <x:c r="M245" s="6" t="str"/>
      <x:c r="N245" s="6" t="str">
        <x:v>Pending</x:v>
      </x:c>
      <x:c r="O245" s="12" t="str"/>
    </x:row>
    <x:row r="246">
      <x:c r="A246" s="6" t="str">
        <x:v>PARTR-000245</x:v>
      </x:c>
      <x:c r="B246" s="6" t="str">
        <x:v>SVC000245</x:v>
      </x:c>
      <x:c r="C246" s="6" t="str">
        <x:v>iPhone 12 Pro Max Charge Port Replacement</x:v>
      </x:c>
      <x:c r="D246" s="6"/>
      <x:c r="E246" s="6" t="str"/>
      <x:c r="F246" s="6" t="str"/>
      <x:c r="G246" s="6" t="str">
        <x:v>Unknown</x:v>
      </x:c>
      <x:c r="H246" s="6" t="str"/>
      <x:c r="I246" s="12" t="str">
        <x:v>Source Workbook</x:v>
      </x:c>
      <x:c r="J246" s="12" t="str">
        <x:v>Nocturnix_Master_Services_Catalog_v1.xlsx | 01 - Master Services | row 285</x:v>
      </x:c>
      <x:c r="K246" s="6" t="str">
        <x:v>Unresolved</x:v>
      </x:c>
      <x:c r="L246" s="6" t="str"/>
      <x:c r="M246" s="6" t="str"/>
      <x:c r="N246" s="6" t="str">
        <x:v>Pending</x:v>
      </x:c>
      <x:c r="O246" s="12" t="str"/>
    </x:row>
    <x:row r="247">
      <x:c r="A247" s="6" t="str">
        <x:v>PARTR-000246</x:v>
      </x:c>
      <x:c r="B247" s="6" t="str">
        <x:v>SVC000246</x:v>
      </x:c>
      <x:c r="C247" s="6" t="str">
        <x:v>iPhone 13 Charge Port Replacement</x:v>
      </x:c>
      <x:c r="D247" s="6"/>
      <x:c r="E247" s="6" t="str"/>
      <x:c r="F247" s="6" t="str"/>
      <x:c r="G247" s="6" t="str">
        <x:v>Unknown</x:v>
      </x:c>
      <x:c r="H247" s="6" t="str"/>
      <x:c r="I247" s="12" t="str">
        <x:v>Source Workbook</x:v>
      </x:c>
      <x:c r="J247" s="12" t="str">
        <x:v>Nocturnix_Master_Services_Catalog_v1.xlsx | 01 - Master Services | row 286</x:v>
      </x:c>
      <x:c r="K247" s="6" t="str">
        <x:v>Unresolved</x:v>
      </x:c>
      <x:c r="L247" s="6" t="str"/>
      <x:c r="M247" s="6" t="str"/>
      <x:c r="N247" s="6" t="str">
        <x:v>Pending</x:v>
      </x:c>
      <x:c r="O247" s="12" t="str"/>
    </x:row>
    <x:row r="248">
      <x:c r="A248" s="6" t="str">
        <x:v>PARTR-000247</x:v>
      </x:c>
      <x:c r="B248" s="6" t="str">
        <x:v>SVC000247</x:v>
      </x:c>
      <x:c r="C248" s="6" t="str">
        <x:v>iPhone 13 Mini Charge Port Replacement</x:v>
      </x:c>
      <x:c r="D248" s="6"/>
      <x:c r="E248" s="6" t="str"/>
      <x:c r="F248" s="6" t="str"/>
      <x:c r="G248" s="6" t="str">
        <x:v>Unknown</x:v>
      </x:c>
      <x:c r="H248" s="6" t="str"/>
      <x:c r="I248" s="12" t="str">
        <x:v>Source Workbook</x:v>
      </x:c>
      <x:c r="J248" s="12" t="str">
        <x:v>Nocturnix_Master_Services_Catalog_v1.xlsx | 01 - Master Services | row 287</x:v>
      </x:c>
      <x:c r="K248" s="6" t="str">
        <x:v>Unresolved</x:v>
      </x:c>
      <x:c r="L248" s="6" t="str"/>
      <x:c r="M248" s="6" t="str"/>
      <x:c r="N248" s="6" t="str">
        <x:v>Pending</x:v>
      </x:c>
      <x:c r="O248" s="12" t="str"/>
    </x:row>
    <x:row r="249">
      <x:c r="A249" s="6" t="str">
        <x:v>PARTR-000248</x:v>
      </x:c>
      <x:c r="B249" s="6" t="str">
        <x:v>SVC000248</x:v>
      </x:c>
      <x:c r="C249" s="6" t="str">
        <x:v>iPhone 13 Pro Charge Port Replacement</x:v>
      </x:c>
      <x:c r="D249" s="6"/>
      <x:c r="E249" s="6" t="str"/>
      <x:c r="F249" s="6" t="str"/>
      <x:c r="G249" s="6" t="str">
        <x:v>Unknown</x:v>
      </x:c>
      <x:c r="H249" s="6" t="str"/>
      <x:c r="I249" s="12" t="str">
        <x:v>Source Workbook</x:v>
      </x:c>
      <x:c r="J249" s="12" t="str">
        <x:v>Nocturnix_Master_Services_Catalog_v1.xlsx | 01 - Master Services | row 288</x:v>
      </x:c>
      <x:c r="K249" s="6" t="str">
        <x:v>Unresolved</x:v>
      </x:c>
      <x:c r="L249" s="6" t="str"/>
      <x:c r="M249" s="6" t="str"/>
      <x:c r="N249" s="6" t="str">
        <x:v>Pending</x:v>
      </x:c>
      <x:c r="O249" s="12" t="str"/>
    </x:row>
    <x:row r="250">
      <x:c r="A250" s="6" t="str">
        <x:v>PARTR-000249</x:v>
      </x:c>
      <x:c r="B250" s="6" t="str">
        <x:v>SVC000249</x:v>
      </x:c>
      <x:c r="C250" s="6" t="str">
        <x:v>iPhone 13 Pro Max Charge Port Replacement</x:v>
      </x:c>
      <x:c r="D250" s="6"/>
      <x:c r="E250" s="6" t="str"/>
      <x:c r="F250" s="6" t="str"/>
      <x:c r="G250" s="6" t="str">
        <x:v>Unknown</x:v>
      </x:c>
      <x:c r="H250" s="6" t="str"/>
      <x:c r="I250" s="12" t="str">
        <x:v>Source Workbook</x:v>
      </x:c>
      <x:c r="J250" s="12" t="str">
        <x:v>Nocturnix_Master_Services_Catalog_v1.xlsx | 01 - Master Services | row 289</x:v>
      </x:c>
      <x:c r="K250" s="6" t="str">
        <x:v>Unresolved</x:v>
      </x:c>
      <x:c r="L250" s="6" t="str"/>
      <x:c r="M250" s="6" t="str"/>
      <x:c r="N250" s="6" t="str">
        <x:v>Pending</x:v>
      </x:c>
      <x:c r="O250" s="12" t="str"/>
    </x:row>
    <x:row r="251">
      <x:c r="A251" s="6" t="str">
        <x:v>PARTR-000250</x:v>
      </x:c>
      <x:c r="B251" s="6" t="str">
        <x:v>SVC000250</x:v>
      </x:c>
      <x:c r="C251" s="6" t="str">
        <x:v>iPhone SE (3RD GEN) Charge Port Replacement</x:v>
      </x:c>
      <x:c r="D251" s="6"/>
      <x:c r="E251" s="6" t="str"/>
      <x:c r="F251" s="6" t="str"/>
      <x:c r="G251" s="6" t="str">
        <x:v>Unknown</x:v>
      </x:c>
      <x:c r="H251" s="6" t="str"/>
      <x:c r="I251" s="12" t="str">
        <x:v>Source Workbook</x:v>
      </x:c>
      <x:c r="J251" s="12" t="str">
        <x:v>Nocturnix_Master_Services_Catalog_v1.xlsx | 01 - Master Services | row 290</x:v>
      </x:c>
      <x:c r="K251" s="6" t="str">
        <x:v>Unresolved</x:v>
      </x:c>
      <x:c r="L251" s="6" t="str"/>
      <x:c r="M251" s="6" t="str"/>
      <x:c r="N251" s="6" t="str">
        <x:v>Pending</x:v>
      </x:c>
      <x:c r="O251" s="12" t="str"/>
    </x:row>
    <x:row r="252">
      <x:c r="A252" s="6" t="str">
        <x:v>PARTR-000251</x:v>
      </x:c>
      <x:c r="B252" s="6" t="str">
        <x:v>SVC000251</x:v>
      </x:c>
      <x:c r="C252" s="6" t="str">
        <x:v>iPhone 14 Charge Port Replacement</x:v>
      </x:c>
      <x:c r="D252" s="6"/>
      <x:c r="E252" s="6" t="str"/>
      <x:c r="F252" s="6" t="str"/>
      <x:c r="G252" s="6" t="str">
        <x:v>Unknown</x:v>
      </x:c>
      <x:c r="H252" s="6" t="str"/>
      <x:c r="I252" s="12" t="str">
        <x:v>Source Workbook</x:v>
      </x:c>
      <x:c r="J252" s="12" t="str">
        <x:v>Nocturnix_Master_Services_Catalog_v1.xlsx | 01 - Master Services | row 291</x:v>
      </x:c>
      <x:c r="K252" s="6" t="str">
        <x:v>Unresolved</x:v>
      </x:c>
      <x:c r="L252" s="6" t="str"/>
      <x:c r="M252" s="6" t="str"/>
      <x:c r="N252" s="6" t="str">
        <x:v>Pending</x:v>
      </x:c>
      <x:c r="O252" s="12" t="str"/>
    </x:row>
    <x:row r="253">
      <x:c r="A253" s="6" t="str">
        <x:v>PARTR-000252</x:v>
      </x:c>
      <x:c r="B253" s="6" t="str">
        <x:v>SVC000252</x:v>
      </x:c>
      <x:c r="C253" s="6" t="str">
        <x:v>iPhone 14 Plus Charge Port Replacement</x:v>
      </x:c>
      <x:c r="D253" s="6"/>
      <x:c r="E253" s="6" t="str"/>
      <x:c r="F253" s="6" t="str"/>
      <x:c r="G253" s="6" t="str">
        <x:v>Unknown</x:v>
      </x:c>
      <x:c r="H253" s="6" t="str"/>
      <x:c r="I253" s="12" t="str">
        <x:v>Source Workbook</x:v>
      </x:c>
      <x:c r="J253" s="12" t="str">
        <x:v>Nocturnix_Master_Services_Catalog_v1.xlsx | 01 - Master Services | row 292</x:v>
      </x:c>
      <x:c r="K253" s="6" t="str">
        <x:v>Unresolved</x:v>
      </x:c>
      <x:c r="L253" s="6" t="str"/>
      <x:c r="M253" s="6" t="str"/>
      <x:c r="N253" s="6" t="str">
        <x:v>Pending</x:v>
      </x:c>
      <x:c r="O253" s="12" t="str"/>
    </x:row>
    <x:row r="254">
      <x:c r="A254" s="6" t="str">
        <x:v>PARTR-000253</x:v>
      </x:c>
      <x:c r="B254" s="6" t="str">
        <x:v>SVC000253</x:v>
      </x:c>
      <x:c r="C254" s="6" t="str">
        <x:v>iPhone 14 Pro Charge Port Replacement</x:v>
      </x:c>
      <x:c r="D254" s="6"/>
      <x:c r="E254" s="6" t="str"/>
      <x:c r="F254" s="6" t="str"/>
      <x:c r="G254" s="6" t="str">
        <x:v>Unknown</x:v>
      </x:c>
      <x:c r="H254" s="6" t="str"/>
      <x:c r="I254" s="12" t="str">
        <x:v>Source Workbook</x:v>
      </x:c>
      <x:c r="J254" s="12" t="str">
        <x:v>Nocturnix_Master_Services_Catalog_v1.xlsx | 01 - Master Services | row 293</x:v>
      </x:c>
      <x:c r="K254" s="6" t="str">
        <x:v>Unresolved</x:v>
      </x:c>
      <x:c r="L254" s="6" t="str"/>
      <x:c r="M254" s="6" t="str"/>
      <x:c r="N254" s="6" t="str">
        <x:v>Pending</x:v>
      </x:c>
      <x:c r="O254" s="12" t="str"/>
    </x:row>
    <x:row r="255">
      <x:c r="A255" s="6" t="str">
        <x:v>PARTR-000254</x:v>
      </x:c>
      <x:c r="B255" s="6" t="str">
        <x:v>SVC000254</x:v>
      </x:c>
      <x:c r="C255" s="6" t="str">
        <x:v>iPhone 14 Pro Max Charge Port Replacement</x:v>
      </x:c>
      <x:c r="D255" s="6"/>
      <x:c r="E255" s="6" t="str"/>
      <x:c r="F255" s="6" t="str"/>
      <x:c r="G255" s="6" t="str">
        <x:v>Unknown</x:v>
      </x:c>
      <x:c r="H255" s="6" t="str"/>
      <x:c r="I255" s="12" t="str">
        <x:v>Source Workbook</x:v>
      </x:c>
      <x:c r="J255" s="12" t="str">
        <x:v>Nocturnix_Master_Services_Catalog_v1.xlsx | 01 - Master Services | row 294</x:v>
      </x:c>
      <x:c r="K255" s="6" t="str">
        <x:v>Unresolved</x:v>
      </x:c>
      <x:c r="L255" s="6" t="str"/>
      <x:c r="M255" s="6" t="str"/>
      <x:c r="N255" s="6" t="str">
        <x:v>Pending</x:v>
      </x:c>
      <x:c r="O255" s="12" t="str"/>
    </x:row>
    <x:row r="256">
      <x:c r="A256" s="6" t="str">
        <x:v>PARTR-000255</x:v>
      </x:c>
      <x:c r="B256" s="6" t="str">
        <x:v>SVC000255</x:v>
      </x:c>
      <x:c r="C256" s="6" t="str">
        <x:v>iPhone 15 Charge Port Replacement</x:v>
      </x:c>
      <x:c r="D256" s="6"/>
      <x:c r="E256" s="6" t="str"/>
      <x:c r="F256" s="6" t="str"/>
      <x:c r="G256" s="6" t="str">
        <x:v>Unknown</x:v>
      </x:c>
      <x:c r="H256" s="6" t="str"/>
      <x:c r="I256" s="12" t="str">
        <x:v>Source Workbook</x:v>
      </x:c>
      <x:c r="J256" s="12" t="str">
        <x:v>Nocturnix_Master_Services_Catalog_v1.xlsx | 01 - Master Services | row 295</x:v>
      </x:c>
      <x:c r="K256" s="6" t="str">
        <x:v>Unresolved</x:v>
      </x:c>
      <x:c r="L256" s="6" t="str"/>
      <x:c r="M256" s="6" t="str"/>
      <x:c r="N256" s="6" t="str">
        <x:v>Pending</x:v>
      </x:c>
      <x:c r="O256" s="12" t="str"/>
    </x:row>
    <x:row r="257">
      <x:c r="A257" s="6" t="str">
        <x:v>PARTR-000256</x:v>
      </x:c>
      <x:c r="B257" s="6" t="str">
        <x:v>SVC000256</x:v>
      </x:c>
      <x:c r="C257" s="6" t="str">
        <x:v>iPhone 15 Plus Charge Port Replacement</x:v>
      </x:c>
      <x:c r="D257" s="6"/>
      <x:c r="E257" s="6" t="str"/>
      <x:c r="F257" s="6" t="str"/>
      <x:c r="G257" s="6" t="str">
        <x:v>Unknown</x:v>
      </x:c>
      <x:c r="H257" s="6" t="str"/>
      <x:c r="I257" s="12" t="str">
        <x:v>Source Workbook</x:v>
      </x:c>
      <x:c r="J257" s="12" t="str">
        <x:v>Nocturnix_Master_Services_Catalog_v1.xlsx | 01 - Master Services | row 296</x:v>
      </x:c>
      <x:c r="K257" s="6" t="str">
        <x:v>Unresolved</x:v>
      </x:c>
      <x:c r="L257" s="6" t="str"/>
      <x:c r="M257" s="6" t="str"/>
      <x:c r="N257" s="6" t="str">
        <x:v>Pending</x:v>
      </x:c>
      <x:c r="O257" s="12" t="str"/>
    </x:row>
    <x:row r="258">
      <x:c r="A258" s="6" t="str">
        <x:v>PARTR-000257</x:v>
      </x:c>
      <x:c r="B258" s="6" t="str">
        <x:v>SVC000257</x:v>
      </x:c>
      <x:c r="C258" s="6" t="str">
        <x:v>iPhone 15 Pro Phone Charge Port Replacement</x:v>
      </x:c>
      <x:c r="D258" s="6"/>
      <x:c r="E258" s="6" t="str"/>
      <x:c r="F258" s="6" t="str"/>
      <x:c r="G258" s="6" t="str">
        <x:v>Unknown</x:v>
      </x:c>
      <x:c r="H258" s="6" t="str"/>
      <x:c r="I258" s="12" t="str">
        <x:v>Source Workbook</x:v>
      </x:c>
      <x:c r="J258" s="12" t="str">
        <x:v>Nocturnix_Master_Services_Catalog_v1.xlsx | 01 - Master Services | row 297</x:v>
      </x:c>
      <x:c r="K258" s="6" t="str">
        <x:v>Unresolved</x:v>
      </x:c>
      <x:c r="L258" s="6" t="str"/>
      <x:c r="M258" s="6" t="str"/>
      <x:c r="N258" s="6" t="str">
        <x:v>Pending</x:v>
      </x:c>
      <x:c r="O258" s="12" t="str"/>
    </x:row>
    <x:row r="259">
      <x:c r="A259" s="6" t="str">
        <x:v>PARTR-000258</x:v>
      </x:c>
      <x:c r="B259" s="6" t="str">
        <x:v>SVC000258</x:v>
      </x:c>
      <x:c r="C259" s="6" t="str">
        <x:v>iPhone 15 Pro Max Charge Port Replacement</x:v>
      </x:c>
      <x:c r="D259" s="6"/>
      <x:c r="E259" s="6" t="str"/>
      <x:c r="F259" s="6" t="str"/>
      <x:c r="G259" s="6" t="str">
        <x:v>Unknown</x:v>
      </x:c>
      <x:c r="H259" s="6" t="str"/>
      <x:c r="I259" s="12" t="str">
        <x:v>Source Workbook</x:v>
      </x:c>
      <x:c r="J259" s="12" t="str">
        <x:v>Nocturnix_Master_Services_Catalog_v1.xlsx | 01 - Master Services | row 298</x:v>
      </x:c>
      <x:c r="K259" s="6" t="str">
        <x:v>Unresolved</x:v>
      </x:c>
      <x:c r="L259" s="6" t="str"/>
      <x:c r="M259" s="6" t="str"/>
      <x:c r="N259" s="6" t="str">
        <x:v>Pending</x:v>
      </x:c>
      <x:c r="O259" s="12" t="str"/>
    </x:row>
    <x:row r="260">
      <x:c r="A260" s="6" t="str">
        <x:v>PARTR-000259</x:v>
      </x:c>
      <x:c r="B260" s="6" t="str">
        <x:v>SVC000259</x:v>
      </x:c>
      <x:c r="C260" s="6" t="str">
        <x:v>iPhone 16 Charge Port Replacement</x:v>
      </x:c>
      <x:c r="D260" s="6"/>
      <x:c r="E260" s="6" t="str"/>
      <x:c r="F260" s="6" t="str"/>
      <x:c r="G260" s="6" t="str">
        <x:v>Unknown</x:v>
      </x:c>
      <x:c r="H260" s="6" t="str"/>
      <x:c r="I260" s="12" t="str">
        <x:v>Source Workbook</x:v>
      </x:c>
      <x:c r="J260" s="12" t="str">
        <x:v>Nocturnix_Master_Services_Catalog_v1.xlsx | 01 - Master Services | row 299</x:v>
      </x:c>
      <x:c r="K260" s="6" t="str">
        <x:v>Unresolved</x:v>
      </x:c>
      <x:c r="L260" s="6" t="str"/>
      <x:c r="M260" s="6" t="str"/>
      <x:c r="N260" s="6" t="str">
        <x:v>Pending</x:v>
      </x:c>
      <x:c r="O260" s="12" t="str"/>
    </x:row>
    <x:row r="261">
      <x:c r="A261" s="6" t="str">
        <x:v>PARTR-000260</x:v>
      </x:c>
      <x:c r="B261" s="6" t="str">
        <x:v>SVC000260</x:v>
      </x:c>
      <x:c r="C261" s="6" t="str">
        <x:v>iPhone 16 Plus Charge Port Replacement</x:v>
      </x:c>
      <x:c r="D261" s="6"/>
      <x:c r="E261" s="6" t="str"/>
      <x:c r="F261" s="6" t="str"/>
      <x:c r="G261" s="6" t="str">
        <x:v>Unknown</x:v>
      </x:c>
      <x:c r="H261" s="6" t="str"/>
      <x:c r="I261" s="12" t="str">
        <x:v>Source Workbook</x:v>
      </x:c>
      <x:c r="J261" s="12" t="str">
        <x:v>Nocturnix_Master_Services_Catalog_v1.xlsx | 01 - Master Services | row 300</x:v>
      </x:c>
      <x:c r="K261" s="6" t="str">
        <x:v>Unresolved</x:v>
      </x:c>
      <x:c r="L261" s="6" t="str"/>
      <x:c r="M261" s="6" t="str"/>
      <x:c r="N261" s="6" t="str">
        <x:v>Pending</x:v>
      </x:c>
      <x:c r="O261" s="12" t="str"/>
    </x:row>
    <x:row r="262">
      <x:c r="A262" s="6" t="str">
        <x:v>PARTR-000261</x:v>
      </x:c>
      <x:c r="B262" s="6" t="str">
        <x:v>SVC000261</x:v>
      </x:c>
      <x:c r="C262" s="6" t="str">
        <x:v>iPhone 16 Pro Charge Port Replacement</x:v>
      </x:c>
      <x:c r="D262" s="6"/>
      <x:c r="E262" s="6" t="str"/>
      <x:c r="F262" s="6" t="str"/>
      <x:c r="G262" s="6" t="str">
        <x:v>Unknown</x:v>
      </x:c>
      <x:c r="H262" s="6" t="str"/>
      <x:c r="I262" s="12" t="str">
        <x:v>Source Workbook</x:v>
      </x:c>
      <x:c r="J262" s="12" t="str">
        <x:v>Nocturnix_Master_Services_Catalog_v1.xlsx | 01 - Master Services | row 301</x:v>
      </x:c>
      <x:c r="K262" s="6" t="str">
        <x:v>Unresolved</x:v>
      </x:c>
      <x:c r="L262" s="6" t="str"/>
      <x:c r="M262" s="6" t="str"/>
      <x:c r="N262" s="6" t="str">
        <x:v>Pending</x:v>
      </x:c>
      <x:c r="O262" s="12" t="str"/>
    </x:row>
    <x:row r="263">
      <x:c r="A263" s="6" t="str">
        <x:v>PARTR-000262</x:v>
      </x:c>
      <x:c r="B263" s="6" t="str">
        <x:v>SVC000262</x:v>
      </x:c>
      <x:c r="C263" s="6" t="str">
        <x:v>iPhone 16 Pro Max Charge Port Replacement</x:v>
      </x:c>
      <x:c r="D263" s="6"/>
      <x:c r="E263" s="6" t="str"/>
      <x:c r="F263" s="6" t="str"/>
      <x:c r="G263" s="6" t="str">
        <x:v>Unknown</x:v>
      </x:c>
      <x:c r="H263" s="6" t="str"/>
      <x:c r="I263" s="12" t="str">
        <x:v>Source Workbook</x:v>
      </x:c>
      <x:c r="J263" s="12" t="str">
        <x:v>Nocturnix_Master_Services_Catalog_v1.xlsx | 01 - Master Services | row 302</x:v>
      </x:c>
      <x:c r="K263" s="6" t="str">
        <x:v>Unresolved</x:v>
      </x:c>
      <x:c r="L263" s="6" t="str"/>
      <x:c r="M263" s="6" t="str"/>
      <x:c r="N263" s="6" t="str">
        <x:v>Pending</x:v>
      </x:c>
      <x:c r="O263" s="12" t="str"/>
    </x:row>
    <x:row r="264">
      <x:c r="A264" s="6" t="str">
        <x:v>PARTR-000263</x:v>
      </x:c>
      <x:c r="B264" s="6" t="str">
        <x:v>SVC000263</x:v>
      </x:c>
      <x:c r="C264" s="6" t="str">
        <x:v>iPhone 16E Charge Port Replacement</x:v>
      </x:c>
      <x:c r="D264" s="6"/>
      <x:c r="E264" s="6" t="str"/>
      <x:c r="F264" s="6" t="str"/>
      <x:c r="G264" s="6" t="str">
        <x:v>Unknown</x:v>
      </x:c>
      <x:c r="H264" s="6" t="str"/>
      <x:c r="I264" s="12" t="str">
        <x:v>Source Workbook</x:v>
      </x:c>
      <x:c r="J264" s="12" t="str">
        <x:v>Nocturnix_Master_Services_Catalog_v1.xlsx | 01 - Master Services | row 303</x:v>
      </x:c>
      <x:c r="K264" s="6" t="str">
        <x:v>Unresolved</x:v>
      </x:c>
      <x:c r="L264" s="6" t="str"/>
      <x:c r="M264" s="6" t="str"/>
      <x:c r="N264" s="6" t="str">
        <x:v>Pending</x:v>
      </x:c>
      <x:c r="O264" s="12" t="str"/>
    </x:row>
    <x:row r="265">
      <x:c r="A265" s="6" t="str">
        <x:v>PARTR-000264</x:v>
      </x:c>
      <x:c r="B265" s="6" t="str">
        <x:v>SVC000264</x:v>
      </x:c>
      <x:c r="C265" s="6" t="str">
        <x:v>iPhone 17 Charge Port Replacement</x:v>
      </x:c>
      <x:c r="D265" s="6"/>
      <x:c r="E265" s="6" t="str"/>
      <x:c r="F265" s="6" t="str"/>
      <x:c r="G265" s="6" t="str">
        <x:v>Unknown</x:v>
      </x:c>
      <x:c r="H265" s="6" t="str"/>
      <x:c r="I265" s="12" t="str">
        <x:v>Source Workbook</x:v>
      </x:c>
      <x:c r="J265" s="12" t="str">
        <x:v>Nocturnix_Master_Services_Catalog_v1.xlsx | 01 - Master Services | row 304</x:v>
      </x:c>
      <x:c r="K265" s="6" t="str">
        <x:v>Unresolved</x:v>
      </x:c>
      <x:c r="L265" s="6" t="str"/>
      <x:c r="M265" s="6" t="str"/>
      <x:c r="N265" s="6" t="str">
        <x:v>Pending</x:v>
      </x:c>
      <x:c r="O265" s="12" t="str"/>
    </x:row>
    <x:row r="266">
      <x:c r="A266" s="6" t="str">
        <x:v>PARTR-000265</x:v>
      </x:c>
      <x:c r="B266" s="6" t="str">
        <x:v>SVC000265</x:v>
      </x:c>
      <x:c r="C266" s="6" t="str">
        <x:v>iPhone 17 Pro Charge Port Replacement</x:v>
      </x:c>
      <x:c r="D266" s="6"/>
      <x:c r="E266" s="6" t="str"/>
      <x:c r="F266" s="6" t="str"/>
      <x:c r="G266" s="6" t="str">
        <x:v>Unknown</x:v>
      </x:c>
      <x:c r="H266" s="6" t="str"/>
      <x:c r="I266" s="12" t="str">
        <x:v>Source Workbook</x:v>
      </x:c>
      <x:c r="J266" s="12" t="str">
        <x:v>Nocturnix_Master_Services_Catalog_v1.xlsx | 01 - Master Services | row 305</x:v>
      </x:c>
      <x:c r="K266" s="6" t="str">
        <x:v>Unresolved</x:v>
      </x:c>
      <x:c r="L266" s="6" t="str"/>
      <x:c r="M266" s="6" t="str"/>
      <x:c r="N266" s="6" t="str">
        <x:v>Pending</x:v>
      </x:c>
      <x:c r="O266" s="12" t="str"/>
    </x:row>
    <x:row r="267">
      <x:c r="A267" s="6" t="str">
        <x:v>PARTR-000266</x:v>
      </x:c>
      <x:c r="B267" s="6" t="str">
        <x:v>SVC000266</x:v>
      </x:c>
      <x:c r="C267" s="6" t="str">
        <x:v>iPhone 17 Pro Max Phone* Charge Port Replacement</x:v>
      </x:c>
      <x:c r="D267" s="6"/>
      <x:c r="E267" s="6" t="str"/>
      <x:c r="F267" s="6" t="str"/>
      <x:c r="G267" s="6" t="str">
        <x:v>Unknown</x:v>
      </x:c>
      <x:c r="H267" s="6" t="str"/>
      <x:c r="I267" s="12" t="str">
        <x:v>Source Workbook</x:v>
      </x:c>
      <x:c r="J267" s="12" t="str">
        <x:v>Nocturnix_Master_Services_Catalog_v1.xlsx | 01 - Master Services | row 306</x:v>
      </x:c>
      <x:c r="K267" s="6" t="str">
        <x:v>Unresolved</x:v>
      </x:c>
      <x:c r="L267" s="6" t="str"/>
      <x:c r="M267" s="6" t="str"/>
      <x:c r="N267" s="6" t="str">
        <x:v>Pending</x:v>
      </x:c>
      <x:c r="O267" s="12" t="str"/>
    </x:row>
    <x:row r="268">
      <x:c r="A268" s="6" t="str">
        <x:v>PARTR-000267</x:v>
      </x:c>
      <x:c r="B268" s="6" t="str">
        <x:v>SVC000267</x:v>
      </x:c>
      <x:c r="C268" s="6" t="str">
        <x:v>iPhone Air Charge Port Replacement</x:v>
      </x:c>
      <x:c r="D268" s="6"/>
      <x:c r="E268" s="6" t="str"/>
      <x:c r="F268" s="6" t="str"/>
      <x:c r="G268" s="6" t="str">
        <x:v>Unknown</x:v>
      </x:c>
      <x:c r="H268" s="6" t="str"/>
      <x:c r="I268" s="12" t="str">
        <x:v>Source Workbook</x:v>
      </x:c>
      <x:c r="J268" s="12" t="str">
        <x:v>Nocturnix_Master_Services_Catalog_v1.xlsx | 01 - Master Services | row 307</x:v>
      </x:c>
      <x:c r="K268" s="6" t="str">
        <x:v>Unresolved</x:v>
      </x:c>
      <x:c r="L268" s="6" t="str"/>
      <x:c r="M268" s="6" t="str"/>
      <x:c r="N268" s="6" t="str">
        <x:v>Pending</x:v>
      </x:c>
      <x:c r="O268" s="12" t="str"/>
    </x:row>
    <x:row r="269">
      <x:c r="A269" s="6" t="str">
        <x:v>PARTR-000268</x:v>
      </x:c>
      <x:c r="B269" s="6" t="str">
        <x:v>SVC000268</x:v>
      </x:c>
      <x:c r="C269" s="6" t="str">
        <x:v>nan Charge Port Replacement</x:v>
      </x:c>
      <x:c r="D269" s="6"/>
      <x:c r="E269" s="6" t="str"/>
      <x:c r="F269" s="6" t="str"/>
      <x:c r="G269" s="6" t="str">
        <x:v>Unknown</x:v>
      </x:c>
      <x:c r="H269" s="6" t="str"/>
      <x:c r="I269" s="12" t="str">
        <x:v>Source Workbook</x:v>
      </x:c>
      <x:c r="J269" s="12" t="str">
        <x:v>Nocturnix_Master_Services_Catalog_v1.xlsx | 01 - Master Services | row 308</x:v>
      </x:c>
      <x:c r="K269" s="6" t="str">
        <x:v>Unresolved</x:v>
      </x:c>
      <x:c r="L269" s="6" t="str"/>
      <x:c r="M269" s="6" t="str"/>
      <x:c r="N269" s="6" t="str">
        <x:v>Pending</x:v>
      </x:c>
      <x:c r="O269" s="12" t="str"/>
    </x:row>
    <x:row r="270">
      <x:c r="A270" s="6" t="str">
        <x:v>PARTR-000269</x:v>
      </x:c>
      <x:c r="B270" s="6" t="str">
        <x:v>SVC000269</x:v>
      </x:c>
      <x:c r="C270" s="6" t="str">
        <x:v>Galaxy S Classic Charge Port Replacement</x:v>
      </x:c>
      <x:c r="D270" s="6"/>
      <x:c r="E270" s="6" t="str"/>
      <x:c r="F270" s="6" t="str"/>
      <x:c r="G270" s="6" t="str">
        <x:v>Unknown</x:v>
      </x:c>
      <x:c r="H270" s="6" t="str"/>
      <x:c r="I270" s="12" t="str">
        <x:v>Source Workbook</x:v>
      </x:c>
      <x:c r="J270" s="12" t="str">
        <x:v>Nocturnix_Master_Services_Catalog_v1.xlsx | 01 - Master Services | row 309</x:v>
      </x:c>
      <x:c r="K270" s="6" t="str">
        <x:v>Unresolved</x:v>
      </x:c>
      <x:c r="L270" s="6" t="str"/>
      <x:c r="M270" s="6" t="str"/>
      <x:c r="N270" s="6" t="str">
        <x:v>Pending</x:v>
      </x:c>
      <x:c r="O270" s="12" t="str"/>
    </x:row>
    <x:row r="271">
      <x:c r="A271" s="6" t="str">
        <x:v>PARTR-000270</x:v>
      </x:c>
      <x:c r="B271" s="6" t="str">
        <x:v>SVC000270</x:v>
      </x:c>
      <x:c r="C271" s="6" t="str">
        <x:v>Galaxy S2 Charge Port Replacement</x:v>
      </x:c>
      <x:c r="D271" s="6"/>
      <x:c r="E271" s="6" t="str"/>
      <x:c r="F271" s="6" t="str"/>
      <x:c r="G271" s="6" t="str">
        <x:v>Unknown</x:v>
      </x:c>
      <x:c r="H271" s="6" t="str"/>
      <x:c r="I271" s="12" t="str">
        <x:v>Source Workbook</x:v>
      </x:c>
      <x:c r="J271" s="12" t="str">
        <x:v>Nocturnix_Master_Services_Catalog_v1.xlsx | 01 - Master Services | row 310</x:v>
      </x:c>
      <x:c r="K271" s="6" t="str">
        <x:v>Unresolved</x:v>
      </x:c>
      <x:c r="L271" s="6" t="str"/>
      <x:c r="M271" s="6" t="str"/>
      <x:c r="N271" s="6" t="str">
        <x:v>Pending</x:v>
      </x:c>
      <x:c r="O271" s="12" t="str"/>
    </x:row>
    <x:row r="272">
      <x:c r="A272" s="6" t="str">
        <x:v>PARTR-000271</x:v>
      </x:c>
      <x:c r="B272" s="6" t="str">
        <x:v>SVC000271</x:v>
      </x:c>
      <x:c r="C272" s="6" t="str">
        <x:v>Galaxy S3 Charge Port Replacement</x:v>
      </x:c>
      <x:c r="D272" s="6"/>
      <x:c r="E272" s="6" t="str"/>
      <x:c r="F272" s="6" t="str"/>
      <x:c r="G272" s="6" t="str">
        <x:v>Unknown</x:v>
      </x:c>
      <x:c r="H272" s="6" t="str"/>
      <x:c r="I272" s="12" t="str">
        <x:v>Source Workbook</x:v>
      </x:c>
      <x:c r="J272" s="12" t="str">
        <x:v>Nocturnix_Master_Services_Catalog_v1.xlsx | 01 - Master Services | row 311</x:v>
      </x:c>
      <x:c r="K272" s="6" t="str">
        <x:v>Unresolved</x:v>
      </x:c>
      <x:c r="L272" s="6" t="str"/>
      <x:c r="M272" s="6" t="str"/>
      <x:c r="N272" s="6" t="str">
        <x:v>Pending</x:v>
      </x:c>
      <x:c r="O272" s="12" t="str"/>
    </x:row>
    <x:row r="273">
      <x:c r="A273" s="6" t="str">
        <x:v>PARTR-000272</x:v>
      </x:c>
      <x:c r="B273" s="6" t="str">
        <x:v>SVC000272</x:v>
      </x:c>
      <x:c r="C273" s="6" t="str">
        <x:v>Galaxy S3 Mini Charge Port Replacement</x:v>
      </x:c>
      <x:c r="D273" s="6"/>
      <x:c r="E273" s="6" t="str"/>
      <x:c r="F273" s="6" t="str"/>
      <x:c r="G273" s="6" t="str">
        <x:v>Unknown</x:v>
      </x:c>
      <x:c r="H273" s="6" t="str"/>
      <x:c r="I273" s="12" t="str">
        <x:v>Source Workbook</x:v>
      </x:c>
      <x:c r="J273" s="12" t="str">
        <x:v>Nocturnix_Master_Services_Catalog_v1.xlsx | 01 - Master Services | row 312</x:v>
      </x:c>
      <x:c r="K273" s="6" t="str">
        <x:v>Unresolved</x:v>
      </x:c>
      <x:c r="L273" s="6" t="str"/>
      <x:c r="M273" s="6" t="str"/>
      <x:c r="N273" s="6" t="str">
        <x:v>Pending</x:v>
      </x:c>
      <x:c r="O273" s="12" t="str"/>
    </x:row>
    <x:row r="274">
      <x:c r="A274" s="6" t="str">
        <x:v>PARTR-000273</x:v>
      </x:c>
      <x:c r="B274" s="6" t="str">
        <x:v>SVC000273</x:v>
      </x:c>
      <x:c r="C274" s="6" t="str">
        <x:v>Galaxy S3 Neo Charge Port Replacement</x:v>
      </x:c>
      <x:c r="D274" s="6"/>
      <x:c r="E274" s="6" t="str"/>
      <x:c r="F274" s="6" t="str"/>
      <x:c r="G274" s="6" t="str">
        <x:v>Unknown</x:v>
      </x:c>
      <x:c r="H274" s="6" t="str"/>
      <x:c r="I274" s="12" t="str">
        <x:v>Source Workbook</x:v>
      </x:c>
      <x:c r="J274" s="12" t="str">
        <x:v>Nocturnix_Master_Services_Catalog_v1.xlsx | 01 - Master Services | row 313</x:v>
      </x:c>
      <x:c r="K274" s="6" t="str">
        <x:v>Unresolved</x:v>
      </x:c>
      <x:c r="L274" s="6" t="str"/>
      <x:c r="M274" s="6" t="str"/>
      <x:c r="N274" s="6" t="str">
        <x:v>Pending</x:v>
      </x:c>
      <x:c r="O274" s="12" t="str"/>
    </x:row>
    <x:row r="275">
      <x:c r="A275" s="6" t="str">
        <x:v>PARTR-000274</x:v>
      </x:c>
      <x:c r="B275" s="6" t="str">
        <x:v>SVC000274</x:v>
      </x:c>
      <x:c r="C275" s="6" t="str">
        <x:v>Galaxy S4 Charge Port Replacement</x:v>
      </x:c>
      <x:c r="D275" s="6"/>
      <x:c r="E275" s="6" t="str"/>
      <x:c r="F275" s="6" t="str"/>
      <x:c r="G275" s="6" t="str">
        <x:v>Unknown</x:v>
      </x:c>
      <x:c r="H275" s="6" t="str"/>
      <x:c r="I275" s="12" t="str">
        <x:v>Source Workbook</x:v>
      </x:c>
      <x:c r="J275" s="12" t="str">
        <x:v>Nocturnix_Master_Services_Catalog_v1.xlsx | 01 - Master Services | row 314</x:v>
      </x:c>
      <x:c r="K275" s="6" t="str">
        <x:v>Unresolved</x:v>
      </x:c>
      <x:c r="L275" s="6" t="str"/>
      <x:c r="M275" s="6" t="str"/>
      <x:c r="N275" s="6" t="str">
        <x:v>Pending</x:v>
      </x:c>
      <x:c r="O275" s="12" t="str"/>
    </x:row>
    <x:row r="276">
      <x:c r="A276" s="6" t="str">
        <x:v>PARTR-000275</x:v>
      </x:c>
      <x:c r="B276" s="6" t="str">
        <x:v>SVC000275</x:v>
      </x:c>
      <x:c r="C276" s="6" t="str">
        <x:v>Galaxy S 4 Mini Charge Port Replacement</x:v>
      </x:c>
      <x:c r="D276" s="6"/>
      <x:c r="E276" s="6" t="str"/>
      <x:c r="F276" s="6" t="str"/>
      <x:c r="G276" s="6" t="str">
        <x:v>Unknown</x:v>
      </x:c>
      <x:c r="H276" s="6" t="str"/>
      <x:c r="I276" s="12" t="str">
        <x:v>Source Workbook</x:v>
      </x:c>
      <x:c r="J276" s="12" t="str">
        <x:v>Nocturnix_Master_Services_Catalog_v1.xlsx | 01 - Master Services | row 315</x:v>
      </x:c>
      <x:c r="K276" s="6" t="str">
        <x:v>Unresolved</x:v>
      </x:c>
      <x:c r="L276" s="6" t="str"/>
      <x:c r="M276" s="6" t="str"/>
      <x:c r="N276" s="6" t="str">
        <x:v>Pending</x:v>
      </x:c>
      <x:c r="O276" s="12" t="str"/>
    </x:row>
    <x:row r="277">
      <x:c r="A277" s="6" t="str">
        <x:v>PARTR-000276</x:v>
      </x:c>
      <x:c r="B277" s="6" t="str">
        <x:v>SVC000276</x:v>
      </x:c>
      <x:c r="C277" s="6" t="str">
        <x:v>Galaxy S 4 Active Charge Port Replacement</x:v>
      </x:c>
      <x:c r="D277" s="6"/>
      <x:c r="E277" s="6" t="str"/>
      <x:c r="F277" s="6" t="str"/>
      <x:c r="G277" s="6" t="str">
        <x:v>Unknown</x:v>
      </x:c>
      <x:c r="H277" s="6" t="str"/>
      <x:c r="I277" s="12" t="str">
        <x:v>Source Workbook</x:v>
      </x:c>
      <x:c r="J277" s="12" t="str">
        <x:v>Nocturnix_Master_Services_Catalog_v1.xlsx | 01 - Master Services | row 316</x:v>
      </x:c>
      <x:c r="K277" s="6" t="str">
        <x:v>Unresolved</x:v>
      </x:c>
      <x:c r="L277" s="6" t="str"/>
      <x:c r="M277" s="6" t="str"/>
      <x:c r="N277" s="6" t="str">
        <x:v>Pending</x:v>
      </x:c>
      <x:c r="O277" s="12" t="str"/>
    </x:row>
    <x:row r="278">
      <x:c r="A278" s="6" t="str">
        <x:v>PARTR-000277</x:v>
      </x:c>
      <x:c r="B278" s="6" t="str">
        <x:v>SVC000277</x:v>
      </x:c>
      <x:c r="C278" s="6" t="str">
        <x:v>Galaxy S 5 Charge Port Replacement</x:v>
      </x:c>
      <x:c r="D278" s="6"/>
      <x:c r="E278" s="6" t="str"/>
      <x:c r="F278" s="6" t="str"/>
      <x:c r="G278" s="6" t="str">
        <x:v>Unknown</x:v>
      </x:c>
      <x:c r="H278" s="6" t="str"/>
      <x:c r="I278" s="12" t="str">
        <x:v>Source Workbook</x:v>
      </x:c>
      <x:c r="J278" s="12" t="str">
        <x:v>Nocturnix_Master_Services_Catalog_v1.xlsx | 01 - Master Services | row 317</x:v>
      </x:c>
      <x:c r="K278" s="6" t="str">
        <x:v>Unresolved</x:v>
      </x:c>
      <x:c r="L278" s="6" t="str"/>
      <x:c r="M278" s="6" t="str"/>
      <x:c r="N278" s="6" t="str">
        <x:v>Pending</x:v>
      </x:c>
      <x:c r="O278" s="12" t="str"/>
    </x:row>
    <x:row r="279">
      <x:c r="A279" s="6" t="str">
        <x:v>PARTR-000278</x:v>
      </x:c>
      <x:c r="B279" s="6" t="str">
        <x:v>SVC000278</x:v>
      </x:c>
      <x:c r="C279" s="6" t="str">
        <x:v>Galaxy S 5 Neo Charge Port Replacement</x:v>
      </x:c>
      <x:c r="D279" s="6"/>
      <x:c r="E279" s="6" t="str"/>
      <x:c r="F279" s="6" t="str"/>
      <x:c r="G279" s="6" t="str">
        <x:v>Unknown</x:v>
      </x:c>
      <x:c r="H279" s="6" t="str"/>
      <x:c r="I279" s="12" t="str">
        <x:v>Source Workbook</x:v>
      </x:c>
      <x:c r="J279" s="12" t="str">
        <x:v>Nocturnix_Master_Services_Catalog_v1.xlsx | 01 - Master Services | row 318</x:v>
      </x:c>
      <x:c r="K279" s="6" t="str">
        <x:v>Unresolved</x:v>
      </x:c>
      <x:c r="L279" s="6" t="str"/>
      <x:c r="M279" s="6" t="str"/>
      <x:c r="N279" s="6" t="str">
        <x:v>Pending</x:v>
      </x:c>
      <x:c r="O279" s="12" t="str"/>
    </x:row>
    <x:row r="280">
      <x:c r="A280" s="6" t="str">
        <x:v>PARTR-000279</x:v>
      </x:c>
      <x:c r="B280" s="6" t="str">
        <x:v>SVC000279</x:v>
      </x:c>
      <x:c r="C280" s="6" t="str">
        <x:v>Galaxy S 5 Active Charge Port Replacement</x:v>
      </x:c>
      <x:c r="D280" s="6"/>
      <x:c r="E280" s="6" t="str"/>
      <x:c r="F280" s="6" t="str"/>
      <x:c r="G280" s="6" t="str">
        <x:v>Unknown</x:v>
      </x:c>
      <x:c r="H280" s="6" t="str"/>
      <x:c r="I280" s="12" t="str">
        <x:v>Source Workbook</x:v>
      </x:c>
      <x:c r="J280" s="12" t="str">
        <x:v>Nocturnix_Master_Services_Catalog_v1.xlsx | 01 - Master Services | row 319</x:v>
      </x:c>
      <x:c r="K280" s="6" t="str">
        <x:v>Unresolved</x:v>
      </x:c>
      <x:c r="L280" s="6" t="str"/>
      <x:c r="M280" s="6" t="str"/>
      <x:c r="N280" s="6" t="str">
        <x:v>Pending</x:v>
      </x:c>
      <x:c r="O280" s="12" t="str"/>
    </x:row>
    <x:row r="281">
      <x:c r="A281" s="6" t="str">
        <x:v>PARTR-000280</x:v>
      </x:c>
      <x:c r="B281" s="6" t="str">
        <x:v>SVC000280</x:v>
      </x:c>
      <x:c r="C281" s="6" t="str">
        <x:v>Galaxy S 6 Charge Port Replacement</x:v>
      </x:c>
      <x:c r="D281" s="6"/>
      <x:c r="E281" s="6" t="str"/>
      <x:c r="F281" s="6" t="str"/>
      <x:c r="G281" s="6" t="str">
        <x:v>Unknown</x:v>
      </x:c>
      <x:c r="H281" s="6" t="str"/>
      <x:c r="I281" s="12" t="str">
        <x:v>Source Workbook</x:v>
      </x:c>
      <x:c r="J281" s="12" t="str">
        <x:v>Nocturnix_Master_Services_Catalog_v1.xlsx | 01 - Master Services | row 320</x:v>
      </x:c>
      <x:c r="K281" s="6" t="str">
        <x:v>Unresolved</x:v>
      </x:c>
      <x:c r="L281" s="6" t="str"/>
      <x:c r="M281" s="6" t="str"/>
      <x:c r="N281" s="6" t="str">
        <x:v>Pending</x:v>
      </x:c>
      <x:c r="O281" s="12" t="str"/>
    </x:row>
    <x:row r="282">
      <x:c r="A282" s="6" t="str">
        <x:v>PARTR-000281</x:v>
      </x:c>
      <x:c r="B282" s="6" t="str">
        <x:v>SVC000281</x:v>
      </x:c>
      <x:c r="C282" s="6" t="str">
        <x:v>Galaxy S 6 Edge Charge Port Replacement</x:v>
      </x:c>
      <x:c r="D282" s="6"/>
      <x:c r="E282" s="6" t="str"/>
      <x:c r="F282" s="6" t="str"/>
      <x:c r="G282" s="6" t="str">
        <x:v>Unknown</x:v>
      </x:c>
      <x:c r="H282" s="6" t="str"/>
      <x:c r="I282" s="12" t="str">
        <x:v>Source Workbook</x:v>
      </x:c>
      <x:c r="J282" s="12" t="str">
        <x:v>Nocturnix_Master_Services_Catalog_v1.xlsx | 01 - Master Services | row 321</x:v>
      </x:c>
      <x:c r="K282" s="6" t="str">
        <x:v>Unresolved</x:v>
      </x:c>
      <x:c r="L282" s="6" t="str"/>
      <x:c r="M282" s="6" t="str"/>
      <x:c r="N282" s="6" t="str">
        <x:v>Pending</x:v>
      </x:c>
      <x:c r="O282" s="12" t="str"/>
    </x:row>
    <x:row r="283">
      <x:c r="A283" s="6" t="str">
        <x:v>PARTR-000282</x:v>
      </x:c>
      <x:c r="B283" s="6" t="str">
        <x:v>SVC000282</x:v>
      </x:c>
      <x:c r="C283" s="6" t="str">
        <x:v>Galaxy S 6 Edge Plus Charge Port Replacement</x:v>
      </x:c>
      <x:c r="D283" s="6"/>
      <x:c r="E283" s="6" t="str"/>
      <x:c r="F283" s="6" t="str"/>
      <x:c r="G283" s="6" t="str">
        <x:v>Unknown</x:v>
      </x:c>
      <x:c r="H283" s="6" t="str"/>
      <x:c r="I283" s="12" t="str">
        <x:v>Source Workbook</x:v>
      </x:c>
      <x:c r="J283" s="12" t="str">
        <x:v>Nocturnix_Master_Services_Catalog_v1.xlsx | 01 - Master Services | row 322</x:v>
      </x:c>
      <x:c r="K283" s="6" t="str">
        <x:v>Unresolved</x:v>
      </x:c>
      <x:c r="L283" s="6" t="str"/>
      <x:c r="M283" s="6" t="str"/>
      <x:c r="N283" s="6" t="str">
        <x:v>Pending</x:v>
      </x:c>
      <x:c r="O283" s="12" t="str"/>
    </x:row>
    <x:row r="284">
      <x:c r="A284" s="6" t="str">
        <x:v>PARTR-000283</x:v>
      </x:c>
      <x:c r="B284" s="6" t="str">
        <x:v>SVC000283</x:v>
      </x:c>
      <x:c r="C284" s="6" t="str">
        <x:v>Galaxy S 6 Active Charge Port Replacement</x:v>
      </x:c>
      <x:c r="D284" s="6"/>
      <x:c r="E284" s="6" t="str"/>
      <x:c r="F284" s="6" t="str"/>
      <x:c r="G284" s="6" t="str">
        <x:v>Unknown</x:v>
      </x:c>
      <x:c r="H284" s="6" t="str"/>
      <x:c r="I284" s="12" t="str">
        <x:v>Source Workbook</x:v>
      </x:c>
      <x:c r="J284" s="12" t="str">
        <x:v>Nocturnix_Master_Services_Catalog_v1.xlsx | 01 - Master Services | row 323</x:v>
      </x:c>
      <x:c r="K284" s="6" t="str">
        <x:v>Unresolved</x:v>
      </x:c>
      <x:c r="L284" s="6" t="str"/>
      <x:c r="M284" s="6" t="str"/>
      <x:c r="N284" s="6" t="str">
        <x:v>Pending</x:v>
      </x:c>
      <x:c r="O284" s="12" t="str"/>
    </x:row>
    <x:row r="285">
      <x:c r="A285" s="6" t="str">
        <x:v>PARTR-000284</x:v>
      </x:c>
      <x:c r="B285" s="6" t="str">
        <x:v>SVC000284</x:v>
      </x:c>
      <x:c r="C285" s="6" t="str">
        <x:v>Galaxy S 7 Charge Port Replacement</x:v>
      </x:c>
      <x:c r="D285" s="6"/>
      <x:c r="E285" s="6" t="str"/>
      <x:c r="F285" s="6" t="str"/>
      <x:c r="G285" s="6" t="str">
        <x:v>Unknown</x:v>
      </x:c>
      <x:c r="H285" s="6" t="str"/>
      <x:c r="I285" s="12" t="str">
        <x:v>Source Workbook</x:v>
      </x:c>
      <x:c r="J285" s="12" t="str">
        <x:v>Nocturnix_Master_Services_Catalog_v1.xlsx | 01 - Master Services | row 324</x:v>
      </x:c>
      <x:c r="K285" s="6" t="str">
        <x:v>Unresolved</x:v>
      </x:c>
      <x:c r="L285" s="6" t="str"/>
      <x:c r="M285" s="6" t="str"/>
      <x:c r="N285" s="6" t="str">
        <x:v>Pending</x:v>
      </x:c>
      <x:c r="O285" s="12" t="str"/>
    </x:row>
    <x:row r="286">
      <x:c r="A286" s="6" t="str">
        <x:v>PARTR-000285</x:v>
      </x:c>
      <x:c r="B286" s="6" t="str">
        <x:v>SVC000285</x:v>
      </x:c>
      <x:c r="C286" s="6" t="str">
        <x:v>Galaxy S 7 Edge Charge Port Replacement</x:v>
      </x:c>
      <x:c r="D286" s="6"/>
      <x:c r="E286" s="6" t="str"/>
      <x:c r="F286" s="6" t="str"/>
      <x:c r="G286" s="6" t="str">
        <x:v>Unknown</x:v>
      </x:c>
      <x:c r="H286" s="6" t="str"/>
      <x:c r="I286" s="12" t="str">
        <x:v>Source Workbook</x:v>
      </x:c>
      <x:c r="J286" s="12" t="str">
        <x:v>Nocturnix_Master_Services_Catalog_v1.xlsx | 01 - Master Services | row 325</x:v>
      </x:c>
      <x:c r="K286" s="6" t="str">
        <x:v>Unresolved</x:v>
      </x:c>
      <x:c r="L286" s="6" t="str"/>
      <x:c r="M286" s="6" t="str"/>
      <x:c r="N286" s="6" t="str">
        <x:v>Pending</x:v>
      </x:c>
      <x:c r="O286" s="12" t="str"/>
    </x:row>
    <x:row r="287">
      <x:c r="A287" s="6" t="str">
        <x:v>PARTR-000286</x:v>
      </x:c>
      <x:c r="B287" s="6" t="str">
        <x:v>SVC000286</x:v>
      </x:c>
      <x:c r="C287" s="6" t="str">
        <x:v>Galaxy S 7 Active Charge Port Replacement</x:v>
      </x:c>
      <x:c r="D287" s="6"/>
      <x:c r="E287" s="6" t="str"/>
      <x:c r="F287" s="6" t="str"/>
      <x:c r="G287" s="6" t="str">
        <x:v>Unknown</x:v>
      </x:c>
      <x:c r="H287" s="6" t="str"/>
      <x:c r="I287" s="12" t="str">
        <x:v>Source Workbook</x:v>
      </x:c>
      <x:c r="J287" s="12" t="str">
        <x:v>Nocturnix_Master_Services_Catalog_v1.xlsx | 01 - Master Services | row 326</x:v>
      </x:c>
      <x:c r="K287" s="6" t="str">
        <x:v>Unresolved</x:v>
      </x:c>
      <x:c r="L287" s="6" t="str"/>
      <x:c r="M287" s="6" t="str"/>
      <x:c r="N287" s="6" t="str">
        <x:v>Pending</x:v>
      </x:c>
      <x:c r="O287" s="12" t="str"/>
    </x:row>
    <x:row r="288">
      <x:c r="A288" s="6" t="str">
        <x:v>PARTR-000287</x:v>
      </x:c>
      <x:c r="B288" s="6" t="str">
        <x:v>SVC000287</x:v>
      </x:c>
      <x:c r="C288" s="6" t="str">
        <x:v>Galaxy S 8 Charge Port Replacement</x:v>
      </x:c>
      <x:c r="D288" s="6"/>
      <x:c r="E288" s="6" t="str"/>
      <x:c r="F288" s="6" t="str"/>
      <x:c r="G288" s="6" t="str">
        <x:v>Unknown</x:v>
      </x:c>
      <x:c r="H288" s="6" t="str"/>
      <x:c r="I288" s="12" t="str">
        <x:v>Source Workbook</x:v>
      </x:c>
      <x:c r="J288" s="12" t="str">
        <x:v>Nocturnix_Master_Services_Catalog_v1.xlsx | 01 - Master Services | row 327</x:v>
      </x:c>
      <x:c r="K288" s="6" t="str">
        <x:v>Unresolved</x:v>
      </x:c>
      <x:c r="L288" s="6" t="str"/>
      <x:c r="M288" s="6" t="str"/>
      <x:c r="N288" s="6" t="str">
        <x:v>Pending</x:v>
      </x:c>
      <x:c r="O288" s="12" t="str"/>
    </x:row>
    <x:row r="289">
      <x:c r="A289" s="6" t="str">
        <x:v>PARTR-000288</x:v>
      </x:c>
      <x:c r="B289" s="6" t="str">
        <x:v>SVC000288</x:v>
      </x:c>
      <x:c r="C289" s="6" t="str">
        <x:v>Galaxy S 8 Plus Charge Port Replacement</x:v>
      </x:c>
      <x:c r="D289" s="6"/>
      <x:c r="E289" s="6" t="str"/>
      <x:c r="F289" s="6" t="str"/>
      <x:c r="G289" s="6" t="str">
        <x:v>Unknown</x:v>
      </x:c>
      <x:c r="H289" s="6" t="str"/>
      <x:c r="I289" s="12" t="str">
        <x:v>Source Workbook</x:v>
      </x:c>
      <x:c r="J289" s="12" t="str">
        <x:v>Nocturnix_Master_Services_Catalog_v1.xlsx | 01 - Master Services | row 328</x:v>
      </x:c>
      <x:c r="K289" s="6" t="str">
        <x:v>Unresolved</x:v>
      </x:c>
      <x:c r="L289" s="6" t="str"/>
      <x:c r="M289" s="6" t="str"/>
      <x:c r="N289" s="6" t="str">
        <x:v>Pending</x:v>
      </x:c>
      <x:c r="O289" s="12" t="str"/>
    </x:row>
    <x:row r="290">
      <x:c r="A290" s="6" t="str">
        <x:v>PARTR-000289</x:v>
      </x:c>
      <x:c r="B290" s="6" t="str">
        <x:v>SVC000289</x:v>
      </x:c>
      <x:c r="C290" s="6" t="str">
        <x:v>Galaxy S 8 Active Charge Port Replacement</x:v>
      </x:c>
      <x:c r="D290" s="6"/>
      <x:c r="E290" s="6" t="str"/>
      <x:c r="F290" s="6" t="str"/>
      <x:c r="G290" s="6" t="str">
        <x:v>Unknown</x:v>
      </x:c>
      <x:c r="H290" s="6" t="str"/>
      <x:c r="I290" s="12" t="str">
        <x:v>Source Workbook</x:v>
      </x:c>
      <x:c r="J290" s="12" t="str">
        <x:v>Nocturnix_Master_Services_Catalog_v1.xlsx | 01 - Master Services | row 329</x:v>
      </x:c>
      <x:c r="K290" s="6" t="str">
        <x:v>Unresolved</x:v>
      </x:c>
      <x:c r="L290" s="6" t="str"/>
      <x:c r="M290" s="6" t="str"/>
      <x:c r="N290" s="6" t="str">
        <x:v>Pending</x:v>
      </x:c>
      <x:c r="O290" s="12" t="str"/>
    </x:row>
    <x:row r="291">
      <x:c r="A291" s="6" t="str">
        <x:v>PARTR-000290</x:v>
      </x:c>
      <x:c r="B291" s="6" t="str">
        <x:v>SVC000290</x:v>
      </x:c>
      <x:c r="C291" s="6" t="str">
        <x:v>Galaxy S 9 Charge Port Replacement</x:v>
      </x:c>
      <x:c r="D291" s="6"/>
      <x:c r="E291" s="6" t="str"/>
      <x:c r="F291" s="6" t="str"/>
      <x:c r="G291" s="6" t="str">
        <x:v>Unknown</x:v>
      </x:c>
      <x:c r="H291" s="6" t="str"/>
      <x:c r="I291" s="12" t="str">
        <x:v>Source Workbook</x:v>
      </x:c>
      <x:c r="J291" s="12" t="str">
        <x:v>Nocturnix_Master_Services_Catalog_v1.xlsx | 01 - Master Services | row 330</x:v>
      </x:c>
      <x:c r="K291" s="6" t="str">
        <x:v>Unresolved</x:v>
      </x:c>
      <x:c r="L291" s="6" t="str"/>
      <x:c r="M291" s="6" t="str"/>
      <x:c r="N291" s="6" t="str">
        <x:v>Pending</x:v>
      </x:c>
      <x:c r="O291" s="12" t="str"/>
    </x:row>
    <x:row r="292">
      <x:c r="A292" s="6" t="str">
        <x:v>PARTR-000291</x:v>
      </x:c>
      <x:c r="B292" s="6" t="str">
        <x:v>SVC000291</x:v>
      </x:c>
      <x:c r="C292" s="6" t="str">
        <x:v>Galaxy S 9 Plus Charge Port Replacement</x:v>
      </x:c>
      <x:c r="D292" s="6"/>
      <x:c r="E292" s="6" t="str"/>
      <x:c r="F292" s="6" t="str"/>
      <x:c r="G292" s="6" t="str">
        <x:v>Unknown</x:v>
      </x:c>
      <x:c r="H292" s="6" t="str"/>
      <x:c r="I292" s="12" t="str">
        <x:v>Source Workbook</x:v>
      </x:c>
      <x:c r="J292" s="12" t="str">
        <x:v>Nocturnix_Master_Services_Catalog_v1.xlsx | 01 - Master Services | row 331</x:v>
      </x:c>
      <x:c r="K292" s="6" t="str">
        <x:v>Unresolved</x:v>
      </x:c>
      <x:c r="L292" s="6" t="str"/>
      <x:c r="M292" s="6" t="str"/>
      <x:c r="N292" s="6" t="str">
        <x:v>Pending</x:v>
      </x:c>
      <x:c r="O292" s="12" t="str"/>
    </x:row>
    <x:row r="293">
      <x:c r="A293" s="6" t="str">
        <x:v>PARTR-000292</x:v>
      </x:c>
      <x:c r="B293" s="6" t="str">
        <x:v>SVC000292</x:v>
      </x:c>
      <x:c r="C293" s="6" t="str">
        <x:v>Galaxy S 10 Charge Port Replacement</x:v>
      </x:c>
      <x:c r="D293" s="6"/>
      <x:c r="E293" s="6" t="str"/>
      <x:c r="F293" s="6" t="str"/>
      <x:c r="G293" s="6" t="str">
        <x:v>Unknown</x:v>
      </x:c>
      <x:c r="H293" s="6" t="str"/>
      <x:c r="I293" s="12" t="str">
        <x:v>Source Workbook</x:v>
      </x:c>
      <x:c r="J293" s="12" t="str">
        <x:v>Nocturnix_Master_Services_Catalog_v1.xlsx | 01 - Master Services | row 332</x:v>
      </x:c>
      <x:c r="K293" s="6" t="str">
        <x:v>Unresolved</x:v>
      </x:c>
      <x:c r="L293" s="6" t="str"/>
      <x:c r="M293" s="6" t="str"/>
      <x:c r="N293" s="6" t="str">
        <x:v>Pending</x:v>
      </x:c>
      <x:c r="O293" s="12" t="str"/>
    </x:row>
    <x:row r="294">
      <x:c r="A294" s="6" t="str">
        <x:v>PARTR-000293</x:v>
      </x:c>
      <x:c r="B294" s="6" t="str">
        <x:v>SVC000293</x:v>
      </x:c>
      <x:c r="C294" s="6" t="str">
        <x:v>Galaxy S 10 Plus Charge Port Replacement</x:v>
      </x:c>
      <x:c r="D294" s="6"/>
      <x:c r="E294" s="6" t="str"/>
      <x:c r="F294" s="6" t="str"/>
      <x:c r="G294" s="6" t="str">
        <x:v>Unknown</x:v>
      </x:c>
      <x:c r="H294" s="6" t="str"/>
      <x:c r="I294" s="12" t="str">
        <x:v>Source Workbook</x:v>
      </x:c>
      <x:c r="J294" s="12" t="str">
        <x:v>Nocturnix_Master_Services_Catalog_v1.xlsx | 01 - Master Services | row 333</x:v>
      </x:c>
      <x:c r="K294" s="6" t="str">
        <x:v>Unresolved</x:v>
      </x:c>
      <x:c r="L294" s="6" t="str"/>
      <x:c r="M294" s="6" t="str"/>
      <x:c r="N294" s="6" t="str">
        <x:v>Pending</x:v>
      </x:c>
      <x:c r="O294" s="12" t="str"/>
    </x:row>
    <x:row r="295">
      <x:c r="A295" s="6" t="str">
        <x:v>PARTR-000294</x:v>
      </x:c>
      <x:c r="B295" s="6" t="str">
        <x:v>SVC000294</x:v>
      </x:c>
      <x:c r="C295" s="6" t="str">
        <x:v>Galaxy S 10 E Charge Port Replacement</x:v>
      </x:c>
      <x:c r="D295" s="6"/>
      <x:c r="E295" s="6" t="str"/>
      <x:c r="F295" s="6" t="str"/>
      <x:c r="G295" s="6" t="str">
        <x:v>Unknown</x:v>
      </x:c>
      <x:c r="H295" s="6" t="str"/>
      <x:c r="I295" s="12" t="str">
        <x:v>Source Workbook</x:v>
      </x:c>
      <x:c r="J295" s="12" t="str">
        <x:v>Nocturnix_Master_Services_Catalog_v1.xlsx | 01 - Master Services | row 334</x:v>
      </x:c>
      <x:c r="K295" s="6" t="str">
        <x:v>Unresolved</x:v>
      </x:c>
      <x:c r="L295" s="6" t="str"/>
      <x:c r="M295" s="6" t="str"/>
      <x:c r="N295" s="6" t="str">
        <x:v>Pending</x:v>
      </x:c>
      <x:c r="O295" s="12" t="str"/>
    </x:row>
    <x:row r="296">
      <x:c r="A296" s="6" t="str">
        <x:v>PARTR-000295</x:v>
      </x:c>
      <x:c r="B296" s="6" t="str">
        <x:v>SVC000295</x:v>
      </x:c>
      <x:c r="C296" s="6" t="str">
        <x:v>Galaxy Note 8 Charge Port Replacement</x:v>
      </x:c>
      <x:c r="D296" s="6"/>
      <x:c r="E296" s="6" t="str"/>
      <x:c r="F296" s="6" t="str"/>
      <x:c r="G296" s="6" t="str">
        <x:v>Unknown</x:v>
      </x:c>
      <x:c r="H296" s="6" t="str"/>
      <x:c r="I296" s="12" t="str">
        <x:v>Source Workbook</x:v>
      </x:c>
      <x:c r="J296" s="12" t="str">
        <x:v>Nocturnix_Master_Services_Catalog_v1.xlsx | 01 - Master Services | row 335</x:v>
      </x:c>
      <x:c r="K296" s="6" t="str">
        <x:v>Unresolved</x:v>
      </x:c>
      <x:c r="L296" s="6" t="str"/>
      <x:c r="M296" s="6" t="str"/>
      <x:c r="N296" s="6" t="str">
        <x:v>Pending</x:v>
      </x:c>
      <x:c r="O296" s="12" t="str"/>
    </x:row>
    <x:row r="297">
      <x:c r="A297" s="6" t="str">
        <x:v>PARTR-000296</x:v>
      </x:c>
      <x:c r="B297" s="6" t="str">
        <x:v>SVC000296</x:v>
      </x:c>
      <x:c r="C297" s="6" t="str">
        <x:v>Galaxy Note 9 Charge Port Replacement</x:v>
      </x:c>
      <x:c r="D297" s="6"/>
      <x:c r="E297" s="6" t="str"/>
      <x:c r="F297" s="6" t="str"/>
      <x:c r="G297" s="6" t="str">
        <x:v>Unknown</x:v>
      </x:c>
      <x:c r="H297" s="6" t="str"/>
      <x:c r="I297" s="12" t="str">
        <x:v>Source Workbook</x:v>
      </x:c>
      <x:c r="J297" s="12" t="str">
        <x:v>Nocturnix_Master_Services_Catalog_v1.xlsx | 01 - Master Services | row 336</x:v>
      </x:c>
      <x:c r="K297" s="6" t="str">
        <x:v>Unresolved</x:v>
      </x:c>
      <x:c r="L297" s="6" t="str"/>
      <x:c r="M297" s="6" t="str"/>
      <x:c r="N297" s="6" t="str">
        <x:v>Pending</x:v>
      </x:c>
      <x:c r="O297" s="12" t="str"/>
    </x:row>
    <x:row r="298">
      <x:c r="A298" s="6" t="str">
        <x:v>PARTR-000297</x:v>
      </x:c>
      <x:c r="B298" s="6" t="str">
        <x:v>SVC000297</x:v>
      </x:c>
      <x:c r="C298" s="6" t="str">
        <x:v>Galaxy Note 10 Plus Charge Port Replacement</x:v>
      </x:c>
      <x:c r="D298" s="6"/>
      <x:c r="E298" s="6" t="str"/>
      <x:c r="F298" s="6" t="str"/>
      <x:c r="G298" s="6" t="str">
        <x:v>Unknown</x:v>
      </x:c>
      <x:c r="H298" s="6" t="str"/>
      <x:c r="I298" s="12" t="str">
        <x:v>Source Workbook</x:v>
      </x:c>
      <x:c r="J298" s="12" t="str">
        <x:v>Nocturnix_Master_Services_Catalog_v1.xlsx | 01 - Master Services | row 337</x:v>
      </x:c>
      <x:c r="K298" s="6" t="str">
        <x:v>Unresolved</x:v>
      </x:c>
      <x:c r="L298" s="6" t="str"/>
      <x:c r="M298" s="6" t="str"/>
      <x:c r="N298" s="6" t="str">
        <x:v>Pending</x:v>
      </x:c>
      <x:c r="O298" s="12" t="str"/>
    </x:row>
    <x:row r="299">
      <x:c r="A299" s="6" t="str">
        <x:v>PARTR-000298</x:v>
      </x:c>
      <x:c r="B299" s="6" t="str">
        <x:v>SVC000298</x:v>
      </x:c>
      <x:c r="C299" s="6" t="str">
        <x:v>Galaxy S 20 Charge Port Replacement</x:v>
      </x:c>
      <x:c r="D299" s="6"/>
      <x:c r="E299" s="6" t="str"/>
      <x:c r="F299" s="6" t="str"/>
      <x:c r="G299" s="6" t="str">
        <x:v>Unknown</x:v>
      </x:c>
      <x:c r="H299" s="6" t="str"/>
      <x:c r="I299" s="12" t="str">
        <x:v>Source Workbook</x:v>
      </x:c>
      <x:c r="J299" s="12" t="str">
        <x:v>Nocturnix_Master_Services_Catalog_v1.xlsx | 01 - Master Services | row 338</x:v>
      </x:c>
      <x:c r="K299" s="6" t="str">
        <x:v>Unresolved</x:v>
      </x:c>
      <x:c r="L299" s="6" t="str"/>
      <x:c r="M299" s="6" t="str"/>
      <x:c r="N299" s="6" t="str">
        <x:v>Pending</x:v>
      </x:c>
      <x:c r="O299" s="12" t="str"/>
    </x:row>
    <x:row r="300">
      <x:c r="A300" s="6" t="str">
        <x:v>PARTR-000299</x:v>
      </x:c>
      <x:c r="B300" s="6" t="str">
        <x:v>SVC000299</x:v>
      </x:c>
      <x:c r="C300" s="6" t="str">
        <x:v>Galaxy S 20 Plus Charge Port Replacement</x:v>
      </x:c>
      <x:c r="D300" s="6"/>
      <x:c r="E300" s="6" t="str"/>
      <x:c r="F300" s="6" t="str"/>
      <x:c r="G300" s="6" t="str">
        <x:v>Unknown</x:v>
      </x:c>
      <x:c r="H300" s="6" t="str"/>
      <x:c r="I300" s="12" t="str">
        <x:v>Source Workbook</x:v>
      </x:c>
      <x:c r="J300" s="12" t="str">
        <x:v>Nocturnix_Master_Services_Catalog_v1.xlsx | 01 - Master Services | row 339</x:v>
      </x:c>
      <x:c r="K300" s="6" t="str">
        <x:v>Unresolved</x:v>
      </x:c>
      <x:c r="L300" s="6" t="str"/>
      <x:c r="M300" s="6" t="str"/>
      <x:c r="N300" s="6" t="str">
        <x:v>Pending</x:v>
      </x:c>
      <x:c r="O300" s="12" t="str"/>
    </x:row>
    <x:row r="301">
      <x:c r="A301" s="6" t="str">
        <x:v>PARTR-000300</x:v>
      </x:c>
      <x:c r="B301" s="6" t="str">
        <x:v>SVC000300</x:v>
      </x:c>
      <x:c r="C301" s="6" t="str">
        <x:v>Galaxy S 20 Ultra Charge Port Replacement</x:v>
      </x:c>
      <x:c r="D301" s="6"/>
      <x:c r="E301" s="6" t="str"/>
      <x:c r="F301" s="6" t="str"/>
      <x:c r="G301" s="6" t="str">
        <x:v>Unknown</x:v>
      </x:c>
      <x:c r="H301" s="6" t="str"/>
      <x:c r="I301" s="12" t="str">
        <x:v>Source Workbook</x:v>
      </x:c>
      <x:c r="J301" s="12" t="str">
        <x:v>Nocturnix_Master_Services_Catalog_v1.xlsx | 01 - Master Services | row 340</x:v>
      </x:c>
      <x:c r="K301" s="6" t="str">
        <x:v>Unresolved</x:v>
      </x:c>
      <x:c r="L301" s="6" t="str"/>
      <x:c r="M301" s="6" t="str"/>
      <x:c r="N301" s="6" t="str">
        <x:v>Pending</x:v>
      </x:c>
      <x:c r="O301" s="12" t="str"/>
    </x:row>
    <x:row r="302">
      <x:c r="A302" s="6" t="str">
        <x:v>PARTR-000301</x:v>
      </x:c>
      <x:c r="B302" s="6" t="str">
        <x:v>SVC000301</x:v>
      </x:c>
      <x:c r="C302" s="6" t="str">
        <x:v>Galaxy S 20 FE Charge Port Replacement</x:v>
      </x:c>
      <x:c r="D302" s="6"/>
      <x:c r="E302" s="6" t="str"/>
      <x:c r="F302" s="6" t="str"/>
      <x:c r="G302" s="6" t="str">
        <x:v>Unknown</x:v>
      </x:c>
      <x:c r="H302" s="6" t="str"/>
      <x:c r="I302" s="12" t="str">
        <x:v>Source Workbook</x:v>
      </x:c>
      <x:c r="J302" s="12" t="str">
        <x:v>Nocturnix_Master_Services_Catalog_v1.xlsx | 01 - Master Services | row 341</x:v>
      </x:c>
      <x:c r="K302" s="6" t="str">
        <x:v>Unresolved</x:v>
      </x:c>
      <x:c r="L302" s="6" t="str"/>
      <x:c r="M302" s="6" t="str"/>
      <x:c r="N302" s="6" t="str">
        <x:v>Pending</x:v>
      </x:c>
      <x:c r="O302" s="12" t="str"/>
    </x:row>
    <x:row r="303">
      <x:c r="A303" s="6" t="str">
        <x:v>PARTR-000302</x:v>
      </x:c>
      <x:c r="B303" s="6" t="str">
        <x:v>SVC000302</x:v>
      </x:c>
      <x:c r="C303" s="6" t="str">
        <x:v>Galaxy S 21 Charge Port Replacement</x:v>
      </x:c>
      <x:c r="D303" s="6"/>
      <x:c r="E303" s="6" t="str"/>
      <x:c r="F303" s="6" t="str"/>
      <x:c r="G303" s="6" t="str">
        <x:v>Unknown</x:v>
      </x:c>
      <x:c r="H303" s="6" t="str"/>
      <x:c r="I303" s="12" t="str">
        <x:v>Source Workbook</x:v>
      </x:c>
      <x:c r="J303" s="12" t="str">
        <x:v>Nocturnix_Master_Services_Catalog_v1.xlsx | 01 - Master Services | row 342</x:v>
      </x:c>
      <x:c r="K303" s="6" t="str">
        <x:v>Unresolved</x:v>
      </x:c>
      <x:c r="L303" s="6" t="str"/>
      <x:c r="M303" s="6" t="str"/>
      <x:c r="N303" s="6" t="str">
        <x:v>Pending</x:v>
      </x:c>
      <x:c r="O303" s="12" t="str"/>
    </x:row>
    <x:row r="304">
      <x:c r="A304" s="6" t="str">
        <x:v>PARTR-000303</x:v>
      </x:c>
      <x:c r="B304" s="6" t="str">
        <x:v>SVC000303</x:v>
      </x:c>
      <x:c r="C304" s="6" t="str">
        <x:v>Galaxy S 21 Plus Charge Port Replacement</x:v>
      </x:c>
      <x:c r="D304" s="6"/>
      <x:c r="E304" s="6" t="str"/>
      <x:c r="F304" s="6" t="str"/>
      <x:c r="G304" s="6" t="str">
        <x:v>Unknown</x:v>
      </x:c>
      <x:c r="H304" s="6" t="str"/>
      <x:c r="I304" s="12" t="str">
        <x:v>Source Workbook</x:v>
      </x:c>
      <x:c r="J304" s="12" t="str">
        <x:v>Nocturnix_Master_Services_Catalog_v1.xlsx | 01 - Master Services | row 343</x:v>
      </x:c>
      <x:c r="K304" s="6" t="str">
        <x:v>Unresolved</x:v>
      </x:c>
      <x:c r="L304" s="6" t="str"/>
      <x:c r="M304" s="6" t="str"/>
      <x:c r="N304" s="6" t="str">
        <x:v>Pending</x:v>
      </x:c>
      <x:c r="O304" s="12" t="str"/>
    </x:row>
    <x:row r="305">
      <x:c r="A305" s="6" t="str">
        <x:v>PARTR-000304</x:v>
      </x:c>
      <x:c r="B305" s="6" t="str">
        <x:v>SVC000304</x:v>
      </x:c>
      <x:c r="C305" s="6" t="str">
        <x:v>Galaxy S 21 FE Charge Port Replacement</x:v>
      </x:c>
      <x:c r="D305" s="6"/>
      <x:c r="E305" s="6" t="str"/>
      <x:c r="F305" s="6" t="str"/>
      <x:c r="G305" s="6" t="str">
        <x:v>Unknown</x:v>
      </x:c>
      <x:c r="H305" s="6" t="str"/>
      <x:c r="I305" s="12" t="str">
        <x:v>Source Workbook</x:v>
      </x:c>
      <x:c r="J305" s="12" t="str">
        <x:v>Nocturnix_Master_Services_Catalog_v1.xlsx | 01 - Master Services | row 344</x:v>
      </x:c>
      <x:c r="K305" s="6" t="str">
        <x:v>Unresolved</x:v>
      </x:c>
      <x:c r="L305" s="6" t="str"/>
      <x:c r="M305" s="6" t="str"/>
      <x:c r="N305" s="6" t="str">
        <x:v>Pending</x:v>
      </x:c>
      <x:c r="O305" s="12" t="str"/>
    </x:row>
    <x:row r="306">
      <x:c r="A306" s="6" t="str">
        <x:v>PARTR-000305</x:v>
      </x:c>
      <x:c r="B306" s="6" t="str">
        <x:v>SVC000305</x:v>
      </x:c>
      <x:c r="C306" s="6" t="str">
        <x:v>Galaxy S 22 Charge Port Replacement</x:v>
      </x:c>
      <x:c r="D306" s="6"/>
      <x:c r="E306" s="6" t="str"/>
      <x:c r="F306" s="6" t="str"/>
      <x:c r="G306" s="6" t="str">
        <x:v>Unknown</x:v>
      </x:c>
      <x:c r="H306" s="6" t="str"/>
      <x:c r="I306" s="12" t="str">
        <x:v>Source Workbook</x:v>
      </x:c>
      <x:c r="J306" s="12" t="str">
        <x:v>Nocturnix_Master_Services_Catalog_v1.xlsx | 01 - Master Services | row 345</x:v>
      </x:c>
      <x:c r="K306" s="6" t="str">
        <x:v>Unresolved</x:v>
      </x:c>
      <x:c r="L306" s="6" t="str"/>
      <x:c r="M306" s="6" t="str"/>
      <x:c r="N306" s="6" t="str">
        <x:v>Pending</x:v>
      </x:c>
      <x:c r="O306" s="12" t="str"/>
    </x:row>
    <x:row r="307">
      <x:c r="A307" s="6" t="str">
        <x:v>PARTR-000306</x:v>
      </x:c>
      <x:c r="B307" s="6" t="str">
        <x:v>SVC000306</x:v>
      </x:c>
      <x:c r="C307" s="6" t="str">
        <x:v>Galaxy S 22 Plus Charge Port Replacement</x:v>
      </x:c>
      <x:c r="D307" s="6"/>
      <x:c r="E307" s="6" t="str"/>
      <x:c r="F307" s="6" t="str"/>
      <x:c r="G307" s="6" t="str">
        <x:v>Unknown</x:v>
      </x:c>
      <x:c r="H307" s="6" t="str"/>
      <x:c r="I307" s="12" t="str">
        <x:v>Source Workbook</x:v>
      </x:c>
      <x:c r="J307" s="12" t="str">
        <x:v>Nocturnix_Master_Services_Catalog_v1.xlsx | 01 - Master Services | row 346</x:v>
      </x:c>
      <x:c r="K307" s="6" t="str">
        <x:v>Unresolved</x:v>
      </x:c>
      <x:c r="L307" s="6" t="str"/>
      <x:c r="M307" s="6" t="str"/>
      <x:c r="N307" s="6" t="str">
        <x:v>Pending</x:v>
      </x:c>
      <x:c r="O307" s="12" t="str"/>
    </x:row>
    <x:row r="308">
      <x:c r="A308" s="6" t="str">
        <x:v>PARTR-000307</x:v>
      </x:c>
      <x:c r="B308" s="6" t="str">
        <x:v>SVC000307</x:v>
      </x:c>
      <x:c r="C308" s="6" t="str">
        <x:v>Galaxy S 22 Ultra Charge Port Replacement</x:v>
      </x:c>
      <x:c r="D308" s="6"/>
      <x:c r="E308" s="6" t="str"/>
      <x:c r="F308" s="6" t="str"/>
      <x:c r="G308" s="6" t="str">
        <x:v>Unknown</x:v>
      </x:c>
      <x:c r="H308" s="6" t="str"/>
      <x:c r="I308" s="12" t="str">
        <x:v>Source Workbook</x:v>
      </x:c>
      <x:c r="J308" s="12" t="str">
        <x:v>Nocturnix_Master_Services_Catalog_v1.xlsx | 01 - Master Services | row 347</x:v>
      </x:c>
      <x:c r="K308" s="6" t="str">
        <x:v>Unresolved</x:v>
      </x:c>
      <x:c r="L308" s="6" t="str"/>
      <x:c r="M308" s="6" t="str"/>
      <x:c r="N308" s="6" t="str">
        <x:v>Pending</x:v>
      </x:c>
      <x:c r="O308" s="12" t="str"/>
    </x:row>
    <x:row r="309">
      <x:c r="A309" s="6" t="str">
        <x:v>PARTR-000308</x:v>
      </x:c>
      <x:c r="B309" s="6" t="str">
        <x:v>SVC000308</x:v>
      </x:c>
      <x:c r="C309" s="6" t="str">
        <x:v>Galaxy S 23 Charge Port Replacement</x:v>
      </x:c>
      <x:c r="D309" s="6"/>
      <x:c r="E309" s="6" t="str"/>
      <x:c r="F309" s="6" t="str"/>
      <x:c r="G309" s="6" t="str">
        <x:v>Unknown</x:v>
      </x:c>
      <x:c r="H309" s="6" t="str"/>
      <x:c r="I309" s="12" t="str">
        <x:v>Source Workbook</x:v>
      </x:c>
      <x:c r="J309" s="12" t="str">
        <x:v>Nocturnix_Master_Services_Catalog_v1.xlsx | 01 - Master Services | row 348</x:v>
      </x:c>
      <x:c r="K309" s="6" t="str">
        <x:v>Unresolved</x:v>
      </x:c>
      <x:c r="L309" s="6" t="str"/>
      <x:c r="M309" s="6" t="str"/>
      <x:c r="N309" s="6" t="str">
        <x:v>Pending</x:v>
      </x:c>
      <x:c r="O309" s="12" t="str"/>
    </x:row>
    <x:row r="310">
      <x:c r="A310" s="6" t="str">
        <x:v>PARTR-000309</x:v>
      </x:c>
      <x:c r="B310" s="6" t="str">
        <x:v>SVC000309</x:v>
      </x:c>
      <x:c r="C310" s="6" t="str">
        <x:v>Galaxy S 23 Plus Charge Port Replacement</x:v>
      </x:c>
      <x:c r="D310" s="6"/>
      <x:c r="E310" s="6" t="str"/>
      <x:c r="F310" s="6" t="str"/>
      <x:c r="G310" s="6" t="str">
        <x:v>Unknown</x:v>
      </x:c>
      <x:c r="H310" s="6" t="str"/>
      <x:c r="I310" s="12" t="str">
        <x:v>Source Workbook</x:v>
      </x:c>
      <x:c r="J310" s="12" t="str">
        <x:v>Nocturnix_Master_Services_Catalog_v1.xlsx | 01 - Master Services | row 349</x:v>
      </x:c>
      <x:c r="K310" s="6" t="str">
        <x:v>Unresolved</x:v>
      </x:c>
      <x:c r="L310" s="6" t="str"/>
      <x:c r="M310" s="6" t="str"/>
      <x:c r="N310" s="6" t="str">
        <x:v>Pending</x:v>
      </x:c>
      <x:c r="O310" s="12" t="str"/>
    </x:row>
    <x:row r="311">
      <x:c r="A311" s="6" t="str">
        <x:v>PARTR-000310</x:v>
      </x:c>
      <x:c r="B311" s="6" t="str">
        <x:v>SVC000310</x:v>
      </x:c>
      <x:c r="C311" s="6" t="str">
        <x:v>Galaxy S 23 Ultra Charge Port Replacement</x:v>
      </x:c>
      <x:c r="D311" s="6"/>
      <x:c r="E311" s="6" t="str"/>
      <x:c r="F311" s="6" t="str"/>
      <x:c r="G311" s="6" t="str">
        <x:v>Unknown</x:v>
      </x:c>
      <x:c r="H311" s="6" t="str"/>
      <x:c r="I311" s="12" t="str">
        <x:v>Source Workbook</x:v>
      </x:c>
      <x:c r="J311" s="12" t="str">
        <x:v>Nocturnix_Master_Services_Catalog_v1.xlsx | 01 - Master Services | row 350</x:v>
      </x:c>
      <x:c r="K311" s="6" t="str">
        <x:v>Unresolved</x:v>
      </x:c>
      <x:c r="L311" s="6" t="str"/>
      <x:c r="M311" s="6" t="str"/>
      <x:c r="N311" s="6" t="str">
        <x:v>Pending</x:v>
      </x:c>
      <x:c r="O311" s="12" t="str"/>
    </x:row>
    <x:row r="312">
      <x:c r="A312" s="6" t="str">
        <x:v>PARTR-000311</x:v>
      </x:c>
      <x:c r="B312" s="6" t="str">
        <x:v>SVC000311</x:v>
      </x:c>
      <x:c r="C312" s="6" t="str">
        <x:v>Galaxy S 23 FE Charge Port Replacement</x:v>
      </x:c>
      <x:c r="D312" s="6"/>
      <x:c r="E312" s="6" t="str"/>
      <x:c r="F312" s="6" t="str"/>
      <x:c r="G312" s="6" t="str">
        <x:v>Unknown</x:v>
      </x:c>
      <x:c r="H312" s="6" t="str"/>
      <x:c r="I312" s="12" t="str">
        <x:v>Source Workbook</x:v>
      </x:c>
      <x:c r="J312" s="12" t="str">
        <x:v>Nocturnix_Master_Services_Catalog_v1.xlsx | 01 - Master Services | row 351</x:v>
      </x:c>
      <x:c r="K312" s="6" t="str">
        <x:v>Unresolved</x:v>
      </x:c>
      <x:c r="L312" s="6" t="str"/>
      <x:c r="M312" s="6" t="str"/>
      <x:c r="N312" s="6" t="str">
        <x:v>Pending</x:v>
      </x:c>
      <x:c r="O312" s="12" t="str"/>
    </x:row>
    <x:row r="313">
      <x:c r="A313" s="6" t="str">
        <x:v>PARTR-000312</x:v>
      </x:c>
      <x:c r="B313" s="6" t="str">
        <x:v>SVC000312</x:v>
      </x:c>
      <x:c r="C313" s="6" t="str">
        <x:v>Galaxy S 24 Charge Port Replacement</x:v>
      </x:c>
      <x:c r="D313" s="6"/>
      <x:c r="E313" s="6" t="str"/>
      <x:c r="F313" s="6" t="str"/>
      <x:c r="G313" s="6" t="str">
        <x:v>Unknown</x:v>
      </x:c>
      <x:c r="H313" s="6" t="str"/>
      <x:c r="I313" s="12" t="str">
        <x:v>Source Workbook</x:v>
      </x:c>
      <x:c r="J313" s="12" t="str">
        <x:v>Nocturnix_Master_Services_Catalog_v1.xlsx | 01 - Master Services | row 352</x:v>
      </x:c>
      <x:c r="K313" s="6" t="str">
        <x:v>Unresolved</x:v>
      </x:c>
      <x:c r="L313" s="6" t="str"/>
      <x:c r="M313" s="6" t="str"/>
      <x:c r="N313" s="6" t="str">
        <x:v>Pending</x:v>
      </x:c>
      <x:c r="O313" s="12" t="str"/>
    </x:row>
    <x:row r="314">
      <x:c r="A314" s="6" t="str">
        <x:v>PARTR-000313</x:v>
      </x:c>
      <x:c r="B314" s="6" t="str">
        <x:v>SVC000313</x:v>
      </x:c>
      <x:c r="C314" s="6" t="str">
        <x:v>Galaxy S 24 Plus Charge Port Replacement</x:v>
      </x:c>
      <x:c r="D314" s="6"/>
      <x:c r="E314" s="6" t="str"/>
      <x:c r="F314" s="6" t="str"/>
      <x:c r="G314" s="6" t="str">
        <x:v>Unknown</x:v>
      </x:c>
      <x:c r="H314" s="6" t="str"/>
      <x:c r="I314" s="12" t="str">
        <x:v>Source Workbook</x:v>
      </x:c>
      <x:c r="J314" s="12" t="str">
        <x:v>Nocturnix_Master_Services_Catalog_v1.xlsx | 01 - Master Services | row 353</x:v>
      </x:c>
      <x:c r="K314" s="6" t="str">
        <x:v>Unresolved</x:v>
      </x:c>
      <x:c r="L314" s="6" t="str"/>
      <x:c r="M314" s="6" t="str"/>
      <x:c r="N314" s="6" t="str">
        <x:v>Pending</x:v>
      </x:c>
      <x:c r="O314" s="12" t="str"/>
    </x:row>
    <x:row r="315">
      <x:c r="A315" s="6" t="str">
        <x:v>PARTR-000314</x:v>
      </x:c>
      <x:c r="B315" s="6" t="str">
        <x:v>SVC000314</x:v>
      </x:c>
      <x:c r="C315" s="6" t="str">
        <x:v>Galaxy S 24 Ultra Charge Port Replacement</x:v>
      </x:c>
      <x:c r="D315" s="6"/>
      <x:c r="E315" s="6" t="str"/>
      <x:c r="F315" s="6" t="str"/>
      <x:c r="G315" s="6" t="str">
        <x:v>Unknown</x:v>
      </x:c>
      <x:c r="H315" s="6" t="str"/>
      <x:c r="I315" s="12" t="str">
        <x:v>Source Workbook</x:v>
      </x:c>
      <x:c r="J315" s="12" t="str">
        <x:v>Nocturnix_Master_Services_Catalog_v1.xlsx | 01 - Master Services | row 354</x:v>
      </x:c>
      <x:c r="K315" s="6" t="str">
        <x:v>Unresolved</x:v>
      </x:c>
      <x:c r="L315" s="6" t="str"/>
      <x:c r="M315" s="6" t="str"/>
      <x:c r="N315" s="6" t="str">
        <x:v>Pending</x:v>
      </x:c>
      <x:c r="O315" s="12" t="str"/>
    </x:row>
  </x:sheetData>
  <x:dataValidations count="6">
    <x:dataValidation type="list" sqref="G2:G315">
      <x:formula1>"Required,Optional,Conditional,Consumable,Tool,Unknown,Not Applicable"</x:formula1>
    </x:dataValidation>
    <x:dataValidation type="list" sqref="I2:I315">
      <x:formula1>"Source Workbook,Registry,Reviewer Evidence,Manual Research,Unsupported Observation,Not Provided"</x:formula1>
    </x:dataValidation>
    <x:dataValidation type="list" sqref="K2:K315">
      <x:formula1>"Confirm Current Identity,Propose Identity Change,Keep Separate,Suspected Duplicate,Reject Source Record,Escalate,Unresolved"</x:formula1>
    </x:dataValidation>
    <x:dataValidation type="list" sqref="N2:N315">
      <x:formula1>"Pending,Approved,Rejected,Escalated,Not Approved"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E2:E315">
      <x:formula1>"PRT000001,PRT000002,PRT000003,PRT000004,PRT000005,PRT000006,PRT000007,PRT000008,PRT000009,PRT000010,PRT000011,PRT000012,PRT000013,PRT000014,PRT000015,PRT000016,PRT000017,PRT000018,PRT000019,PRT000020,PRT000021,PRT000022,PRT000023,PRT000024,PRT000025,PRT000026,PRT000027,PRT000028,PRT000029,PRT000030,PRT000031,PRT000032,PRT000033,PRT000034,PRT000035,PRT000036,PRT000037,PRT000038,PRT000039,PRT000040,PRT000041,PRT000042,PRT000043,PRT000044,PRT000045,PRT000046,PRT000047,PRT000048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f888096ffe41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5" hidden="0" customWidth="1"/>
    <x:col min="2" max="2" width="10.75" hidden="0" customWidth="1"/>
    <x:col min="3" max="3" width="38.130001068115234" hidden="0" customWidth="1"/>
    <x:col min="4" max="4" width="17.1299991607666" hidden="0" customWidth="1"/>
    <x:col min="5" max="5" width="19.8799991607666" hidden="0" customWidth="1"/>
    <x:col min="6" max="6" width="17.25" hidden="0" customWidth="1"/>
    <x:col min="7" max="7" width="18.3799991607666" hidden="0" customWidth="1"/>
    <x:col min="8" max="8" width="23.1299991607666" hidden="0" customWidth="1"/>
    <x:col min="9" max="9" width="17.25" hidden="0" customWidth="1"/>
    <x:col min="10" max="10" width="18.25" hidden="0" customWidth="1"/>
    <x:col min="11" max="11" width="13.880000114440918" hidden="0" customWidth="1"/>
    <x:col min="12" max="12" width="54.630001068115234" hidden="0" customWidth="1"/>
    <x:col min="13" max="13" width="17" hidden="0" customWidth="1"/>
    <x:col min="14" max="14" width="14.880000114440918" hidden="0" customWidth="1"/>
    <x:col min="15" max="15" width="12.380000114440918" hidden="0" customWidth="1"/>
    <x:col min="16" max="16" width="25.75" hidden="0" customWidth="1"/>
    <x:col min="17" max="17" width="7.630000114440918" hidden="0" customWidth="1"/>
  </x:cols>
  <x:sheetData>
    <x:row r="1">
      <x:c r="A1" s="5" t="str">
        <x:v>Labor Review ID</x:v>
      </x:c>
      <x:c r="B1" s="5" t="str">
        <x:v>Service ID</x:v>
      </x:c>
      <x:c r="C1" s="5" t="str">
        <x:v>Canonical Service Name</x:v>
      </x:c>
      <x:c r="D1" s="5" t="str">
        <x:v>Observed Labor ID</x:v>
      </x:c>
      <x:c r="E1" s="5" t="str">
        <x:v>Observed Labor Name</x:v>
      </x:c>
      <x:c r="F1" s="5" t="str">
        <x:v>Observed Duration</x:v>
      </x:c>
      <x:c r="G1" s="5" t="str">
        <x:v>Observed Skill Level</x:v>
      </x:c>
      <x:c r="H1" s="5" t="str">
        <x:v>Proposed Labor Reference</x:v>
      </x:c>
      <x:c r="I1" s="5" t="str">
        <x:v>Proposed Duration</x:v>
      </x:c>
      <x:c r="J1" s="5" t="str">
        <x:v>Proposed Skill Level</x:v>
      </x:c>
      <x:c r="K1" s="5" t="str">
        <x:v>Evidence Type</x:v>
      </x:c>
      <x:c r="L1" s="5" t="str">
        <x:v>Evidence Reference</x:v>
      </x:c>
      <x:c r="M1" s="5" t="str">
        <x:v>Reviewer Decision</x:v>
      </x:c>
      <x:c r="N1" s="5" t="str">
        <x:v>Reviewer Name</x:v>
      </x:c>
      <x:c r="O1" s="5" t="str">
        <x:v>Review Date</x:v>
      </x:c>
      <x:c r="P1" s="5" t="str">
        <x:v>Second-Level Approval Status</x:v>
      </x:c>
      <x:c r="Q1" s="5" t="str">
        <x:v>Notes</x:v>
      </x:c>
    </x:row>
    <x:row r="2">
      <x:c r="A2" s="6" t="str">
        <x:v>LABR-000001</x:v>
      </x:c>
      <x:c r="B2" s="6" t="str">
        <x:v>SVC000001</x:v>
      </x:c>
      <x:c r="C2" s="6" t="str">
        <x:v>Galaxy Note 9 Screen replacement</x:v>
      </x:c>
      <x:c r="D2" s="6"/>
      <x:c r="E2" s="6"/>
      <x:c r="F2" s="6"/>
      <x:c r="G2" s="6"/>
      <x:c r="H2" s="6" t="str"/>
      <x:c r="I2" s="6" t="str"/>
      <x:c r="J2" s="6" t="str"/>
      <x:c r="K2" s="12" t="str">
        <x:v>Source Workbook</x:v>
      </x:c>
      <x:c r="L2" s="12" t="str">
        <x:v>Nocturnix_Master_Services_Catalog_v1.xlsx | 01 - Master Services | row 41</x:v>
      </x:c>
      <x:c r="M2" s="6" t="str">
        <x:v>Unresolved</x:v>
      </x:c>
      <x:c r="N2" s="6" t="str"/>
      <x:c r="O2" s="6" t="str"/>
      <x:c r="P2" s="6" t="str">
        <x:v>Pending</x:v>
      </x:c>
      <x:c r="Q2" s="12" t="str"/>
    </x:row>
    <x:row r="3">
      <x:c r="A3" s="6" t="str">
        <x:v>LABR-000002</x:v>
      </x:c>
      <x:c r="B3" s="6" t="str">
        <x:v>SVC000002</x:v>
      </x:c>
      <x:c r="C3" s="6" t="str">
        <x:v>Galaxy S 8 Active Screen replacement</x:v>
      </x:c>
      <x:c r="D3" s="6"/>
      <x:c r="E3" s="6"/>
      <x:c r="F3" s="6"/>
      <x:c r="G3" s="6"/>
      <x:c r="H3" s="6" t="str"/>
      <x:c r="I3" s="6" t="str"/>
      <x:c r="J3" s="6" t="str"/>
      <x:c r="K3" s="12" t="str">
        <x:v>Source Workbook</x:v>
      </x:c>
      <x:c r="L3" s="12" t="str">
        <x:v>Nocturnix_Master_Services_Catalog_v1.xlsx | 01 - Master Services | row 42</x:v>
      </x:c>
      <x:c r="M3" s="6" t="str">
        <x:v>Unresolved</x:v>
      </x:c>
      <x:c r="N3" s="6" t="str"/>
      <x:c r="O3" s="6" t="str"/>
      <x:c r="P3" s="6" t="str">
        <x:v>Pending</x:v>
      </x:c>
      <x:c r="Q3" s="12" t="str"/>
    </x:row>
    <x:row r="4">
      <x:c r="A4" s="6" t="str">
        <x:v>LABR-000003</x:v>
      </x:c>
      <x:c r="B4" s="6" t="str">
        <x:v>SVC000003</x:v>
      </x:c>
      <x:c r="C4" s="6" t="str">
        <x:v>Galaxy S 24 Screen replacement</x:v>
      </x:c>
      <x:c r="D4" s="6"/>
      <x:c r="E4" s="6"/>
      <x:c r="F4" s="6"/>
      <x:c r="G4" s="6"/>
      <x:c r="H4" s="6" t="str"/>
      <x:c r="I4" s="6" t="str"/>
      <x:c r="J4" s="6" t="str"/>
      <x:c r="K4" s="12" t="str">
        <x:v>Source Workbook</x:v>
      </x:c>
      <x:c r="L4" s="12" t="str">
        <x:v>Nocturnix_Master_Services_Catalog_v1.xlsx | 01 - Master Services | row 43</x:v>
      </x:c>
      <x:c r="M4" s="6" t="str">
        <x:v>Unresolved</x:v>
      </x:c>
      <x:c r="N4" s="6" t="str"/>
      <x:c r="O4" s="6" t="str"/>
      <x:c r="P4" s="6" t="str">
        <x:v>Pending</x:v>
      </x:c>
      <x:c r="Q4" s="12" t="str"/>
    </x:row>
    <x:row r="5">
      <x:c r="A5" s="6" t="str">
        <x:v>LABR-000004</x:v>
      </x:c>
      <x:c r="B5" s="6" t="str">
        <x:v>SVC000004</x:v>
      </x:c>
      <x:c r="C5" s="6" t="str">
        <x:v>Galaxy Note 10 Plus Screen replacement</x:v>
      </x:c>
      <x:c r="D5" s="6"/>
      <x:c r="E5" s="6"/>
      <x:c r="F5" s="6"/>
      <x:c r="G5" s="6"/>
      <x:c r="H5" s="6" t="str"/>
      <x:c r="I5" s="6" t="str"/>
      <x:c r="J5" s="6" t="str"/>
      <x:c r="K5" s="12" t="str">
        <x:v>Source Workbook</x:v>
      </x:c>
      <x:c r="L5" s="12" t="str">
        <x:v>Nocturnix_Master_Services_Catalog_v1.xlsx | 01 - Master Services | row 44</x:v>
      </x:c>
      <x:c r="M5" s="6" t="str">
        <x:v>Unresolved</x:v>
      </x:c>
      <x:c r="N5" s="6" t="str"/>
      <x:c r="O5" s="6" t="str"/>
      <x:c r="P5" s="6" t="str">
        <x:v>Pending</x:v>
      </x:c>
      <x:c r="Q5" s="12" t="str"/>
    </x:row>
    <x:row r="6">
      <x:c r="A6" s="6" t="str">
        <x:v>LABR-000005</x:v>
      </x:c>
      <x:c r="B6" s="6" t="str">
        <x:v>SVC000005</x:v>
      </x:c>
      <x:c r="C6" s="6" t="str">
        <x:v>Galaxy Note 8 Screen replacement</x:v>
      </x:c>
      <x:c r="D6" s="6"/>
      <x:c r="E6" s="6"/>
      <x:c r="F6" s="6"/>
      <x:c r="G6" s="6"/>
      <x:c r="H6" s="6" t="str"/>
      <x:c r="I6" s="6" t="str"/>
      <x:c r="J6" s="6" t="str"/>
      <x:c r="K6" s="12" t="str">
        <x:v>Source Workbook</x:v>
      </x:c>
      <x:c r="L6" s="12" t="str">
        <x:v>Nocturnix_Master_Services_Catalog_v1.xlsx | 01 - Master Services | row 45</x:v>
      </x:c>
      <x:c r="M6" s="6" t="str">
        <x:v>Unresolved</x:v>
      </x:c>
      <x:c r="N6" s="6" t="str"/>
      <x:c r="O6" s="6" t="str"/>
      <x:c r="P6" s="6" t="str">
        <x:v>Pending</x:v>
      </x:c>
      <x:c r="Q6" s="12" t="str"/>
    </x:row>
    <x:row r="7">
      <x:c r="A7" s="6" t="str">
        <x:v>LABR-000006</x:v>
      </x:c>
      <x:c r="B7" s="6" t="str">
        <x:v>SVC000006</x:v>
      </x:c>
      <x:c r="C7" s="6" t="str">
        <x:v>Galaxy S 25 Edge Screen replacement</x:v>
      </x:c>
      <x:c r="D7" s="6"/>
      <x:c r="E7" s="6"/>
      <x:c r="F7" s="6"/>
      <x:c r="G7" s="6"/>
      <x:c r="H7" s="6" t="str"/>
      <x:c r="I7" s="6" t="str"/>
      <x:c r="J7" s="6" t="str"/>
      <x:c r="K7" s="12" t="str">
        <x:v>Source Workbook</x:v>
      </x:c>
      <x:c r="L7" s="12" t="str">
        <x:v>Nocturnix_Master_Services_Catalog_v1.xlsx | 01 - Master Services | row 46</x:v>
      </x:c>
      <x:c r="M7" s="6" t="str">
        <x:v>Unresolved</x:v>
      </x:c>
      <x:c r="N7" s="6" t="str"/>
      <x:c r="O7" s="6" t="str"/>
      <x:c r="P7" s="6" t="str">
        <x:v>Pending</x:v>
      </x:c>
      <x:c r="Q7" s="12" t="str"/>
    </x:row>
    <x:row r="8">
      <x:c r="A8" s="6" t="str">
        <x:v>LABR-000007</x:v>
      </x:c>
      <x:c r="B8" s="6" t="str">
        <x:v>SVC000007</x:v>
      </x:c>
      <x:c r="C8" s="6" t="str">
        <x:v>Galaxy S 25 FE Screen replacement</x:v>
      </x:c>
      <x:c r="D8" s="6"/>
      <x:c r="E8" s="6"/>
      <x:c r="F8" s="6"/>
      <x:c r="G8" s="6"/>
      <x:c r="H8" s="6" t="str"/>
      <x:c r="I8" s="6" t="str"/>
      <x:c r="J8" s="6" t="str"/>
      <x:c r="K8" s="12" t="str">
        <x:v>Source Workbook</x:v>
      </x:c>
      <x:c r="L8" s="12" t="str">
        <x:v>Nocturnix_Master_Services_Catalog_v1.xlsx | 01 - Master Services | row 47</x:v>
      </x:c>
      <x:c r="M8" s="6" t="str">
        <x:v>Unresolved</x:v>
      </x:c>
      <x:c r="N8" s="6" t="str"/>
      <x:c r="O8" s="6" t="str"/>
      <x:c r="P8" s="6" t="str">
        <x:v>Pending</x:v>
      </x:c>
      <x:c r="Q8" s="12" t="str"/>
    </x:row>
    <x:row r="9">
      <x:c r="A9" s="6" t="str">
        <x:v>LABR-000008</x:v>
      </x:c>
      <x:c r="B9" s="6" t="str">
        <x:v>SVC000008</x:v>
      </x:c>
      <x:c r="C9" s="6" t="str">
        <x:v>iPhone 6 Screen replacement</x:v>
      </x:c>
      <x:c r="D9" s="6"/>
      <x:c r="E9" s="6"/>
      <x:c r="F9" s="6"/>
      <x:c r="G9" s="6"/>
      <x:c r="H9" s="6" t="str"/>
      <x:c r="I9" s="6" t="str"/>
      <x:c r="J9" s="6" t="str"/>
      <x:c r="K9" s="12" t="str">
        <x:v>Source Workbook</x:v>
      </x:c>
      <x:c r="L9" s="12" t="str">
        <x:v>Nocturnix_Master_Services_Catalog_v1.xlsx | 01 - Master Services | row 48</x:v>
      </x:c>
      <x:c r="M9" s="6" t="str">
        <x:v>Unresolved</x:v>
      </x:c>
      <x:c r="N9" s="6" t="str"/>
      <x:c r="O9" s="6" t="str"/>
      <x:c r="P9" s="6" t="str">
        <x:v>Pending</x:v>
      </x:c>
      <x:c r="Q9" s="12" t="str"/>
    </x:row>
    <x:row r="10">
      <x:c r="A10" s="6" t="str">
        <x:v>LABR-000009</x:v>
      </x:c>
      <x:c r="B10" s="6" t="str">
        <x:v>SVC000009</x:v>
      </x:c>
      <x:c r="C10" s="6" t="str">
        <x:v>iPhone 6S+ Screen replacement</x:v>
      </x:c>
      <x:c r="D10" s="6"/>
      <x:c r="E10" s="6"/>
      <x:c r="F10" s="6"/>
      <x:c r="G10" s="6"/>
      <x:c r="H10" s="6" t="str"/>
      <x:c r="I10" s="6" t="str"/>
      <x:c r="J10" s="6" t="str"/>
      <x:c r="K10" s="12" t="str">
        <x:v>Source Workbook</x:v>
      </x:c>
      <x:c r="L10" s="12" t="str">
        <x:v>Nocturnix_Master_Services_Catalog_v1.xlsx | 01 - Master Services | row 49</x:v>
      </x:c>
      <x:c r="M10" s="6" t="str">
        <x:v>Unresolved</x:v>
      </x:c>
      <x:c r="N10" s="6" t="str"/>
      <x:c r="O10" s="6" t="str"/>
      <x:c r="P10" s="6" t="str">
        <x:v>Pending</x:v>
      </x:c>
      <x:c r="Q10" s="12" t="str"/>
    </x:row>
    <x:row r="11">
      <x:c r="A11" s="6" t="str">
        <x:v>LABR-000010</x:v>
      </x:c>
      <x:c r="B11" s="6" t="str">
        <x:v>SVC000010</x:v>
      </x:c>
      <x:c r="C11" s="6" t="str">
        <x:v>Galaxy S 22 Screen replacement</x:v>
      </x:c>
      <x:c r="D11" s="6"/>
      <x:c r="E11" s="6"/>
      <x:c r="F11" s="6"/>
      <x:c r="G11" s="6"/>
      <x:c r="H11" s="6" t="str"/>
      <x:c r="I11" s="6" t="str"/>
      <x:c r="J11" s="6" t="str"/>
      <x:c r="K11" s="12" t="str">
        <x:v>Source Workbook</x:v>
      </x:c>
      <x:c r="L11" s="12" t="str">
        <x:v>Nocturnix_Master_Services_Catalog_v1.xlsx | 01 - Master Services | row 50</x:v>
      </x:c>
      <x:c r="M11" s="6" t="str">
        <x:v>Unresolved</x:v>
      </x:c>
      <x:c r="N11" s="6" t="str"/>
      <x:c r="O11" s="6" t="str"/>
      <x:c r="P11" s="6" t="str">
        <x:v>Pending</x:v>
      </x:c>
      <x:c r="Q11" s="12" t="str"/>
    </x:row>
    <x:row r="12">
      <x:c r="A12" s="6" t="str">
        <x:v>LABR-000011</x:v>
      </x:c>
      <x:c r="B12" s="6" t="str">
        <x:v>SVC000011</x:v>
      </x:c>
      <x:c r="C12" s="6" t="str">
        <x:v>Galaxy S 20 Plus Screen replacement</x:v>
      </x:c>
      <x:c r="D12" s="6"/>
      <x:c r="E12" s="6"/>
      <x:c r="F12" s="6"/>
      <x:c r="G12" s="6"/>
      <x:c r="H12" s="6" t="str"/>
      <x:c r="I12" s="6" t="str"/>
      <x:c r="J12" s="6" t="str"/>
      <x:c r="K12" s="12" t="str">
        <x:v>Source Workbook</x:v>
      </x:c>
      <x:c r="L12" s="12" t="str">
        <x:v>Nocturnix_Master_Services_Catalog_v1.xlsx | 01 - Master Services | row 51</x:v>
      </x:c>
      <x:c r="M12" s="6" t="str">
        <x:v>Unresolved</x:v>
      </x:c>
      <x:c r="N12" s="6" t="str"/>
      <x:c r="O12" s="6" t="str"/>
      <x:c r="P12" s="6" t="str">
        <x:v>Pending</x:v>
      </x:c>
      <x:c r="Q12" s="12" t="str"/>
    </x:row>
    <x:row r="13">
      <x:c r="A13" s="6" t="str">
        <x:v>LABR-000012</x:v>
      </x:c>
      <x:c r="B13" s="6" t="str">
        <x:v>SVC000012</x:v>
      </x:c>
      <x:c r="C13" s="6" t="str">
        <x:v>Galaxy S 23 Ultra Screen replacement</x:v>
      </x:c>
      <x:c r="D13" s="6"/>
      <x:c r="E13" s="6"/>
      <x:c r="F13" s="6"/>
      <x:c r="G13" s="6"/>
      <x:c r="H13" s="6" t="str"/>
      <x:c r="I13" s="6" t="str"/>
      <x:c r="J13" s="6" t="str"/>
      <x:c r="K13" s="12" t="str">
        <x:v>Source Workbook</x:v>
      </x:c>
      <x:c r="L13" s="12" t="str">
        <x:v>Nocturnix_Master_Services_Catalog_v1.xlsx | 01 - Master Services | row 52</x:v>
      </x:c>
      <x:c r="M13" s="6" t="str">
        <x:v>Unresolved</x:v>
      </x:c>
      <x:c r="N13" s="6" t="str"/>
      <x:c r="O13" s="6" t="str"/>
      <x:c r="P13" s="6" t="str">
        <x:v>Pending</x:v>
      </x:c>
      <x:c r="Q13" s="12" t="str"/>
    </x:row>
    <x:row r="14">
      <x:c r="A14" s="6" t="str">
        <x:v>LABR-000013</x:v>
      </x:c>
      <x:c r="B14" s="6" t="str">
        <x:v>SVC000013</x:v>
      </x:c>
      <x:c r="C14" s="6" t="str">
        <x:v>Galaxy S 24 Ultra Screen replacement</x:v>
      </x:c>
      <x:c r="D14" s="6"/>
      <x:c r="E14" s="6"/>
      <x:c r="F14" s="6"/>
      <x:c r="G14" s="6"/>
      <x:c r="H14" s="6" t="str"/>
      <x:c r="I14" s="6" t="str"/>
      <x:c r="J14" s="6" t="str"/>
      <x:c r="K14" s="12" t="str">
        <x:v>Source Workbook</x:v>
      </x:c>
      <x:c r="L14" s="12" t="str">
        <x:v>Nocturnix_Master_Services_Catalog_v1.xlsx | 01 - Master Services | row 53</x:v>
      </x:c>
      <x:c r="M14" s="6" t="str">
        <x:v>Unresolved</x:v>
      </x:c>
      <x:c r="N14" s="6" t="str"/>
      <x:c r="O14" s="6" t="str"/>
      <x:c r="P14" s="6" t="str">
        <x:v>Pending</x:v>
      </x:c>
      <x:c r="Q14" s="12" t="str"/>
    </x:row>
    <x:row r="15">
      <x:c r="A15" s="6" t="str">
        <x:v>LABR-000014</x:v>
      </x:c>
      <x:c r="B15" s="6" t="str">
        <x:v>SVC000014</x:v>
      </x:c>
      <x:c r="C15" s="6" t="str">
        <x:v>Galaxy S 20 FE Screen replacement</x:v>
      </x:c>
      <x:c r="D15" s="6"/>
      <x:c r="E15" s="6"/>
      <x:c r="F15" s="6"/>
      <x:c r="G15" s="6"/>
      <x:c r="H15" s="6" t="str"/>
      <x:c r="I15" s="6" t="str"/>
      <x:c r="J15" s="6" t="str"/>
      <x:c r="K15" s="12" t="str">
        <x:v>Source Workbook</x:v>
      </x:c>
      <x:c r="L15" s="12" t="str">
        <x:v>Nocturnix_Master_Services_Catalog_v1.xlsx | 01 - Master Services | row 54</x:v>
      </x:c>
      <x:c r="M15" s="6" t="str">
        <x:v>Unresolved</x:v>
      </x:c>
      <x:c r="N15" s="6" t="str"/>
      <x:c r="O15" s="6" t="str"/>
      <x:c r="P15" s="6" t="str">
        <x:v>Pending</x:v>
      </x:c>
      <x:c r="Q15" s="12" t="str"/>
    </x:row>
    <x:row r="16">
      <x:c r="A16" s="6" t="str">
        <x:v>LABR-000015</x:v>
      </x:c>
      <x:c r="B16" s="6" t="str">
        <x:v>SVC000015</x:v>
      </x:c>
      <x:c r="C16" s="6" t="str">
        <x:v>Galaxy S 9 Plus Screen replacement</x:v>
      </x:c>
      <x:c r="D16" s="6"/>
      <x:c r="E16" s="6"/>
      <x:c r="F16" s="6"/>
      <x:c r="G16" s="6"/>
      <x:c r="H16" s="6" t="str"/>
      <x:c r="I16" s="6" t="str"/>
      <x:c r="J16" s="6" t="str"/>
      <x:c r="K16" s="12" t="str">
        <x:v>Source Workbook</x:v>
      </x:c>
      <x:c r="L16" s="12" t="str">
        <x:v>Nocturnix_Master_Services_Catalog_v1.xlsx | 01 - Master Services | row 55</x:v>
      </x:c>
      <x:c r="M16" s="6" t="str">
        <x:v>Unresolved</x:v>
      </x:c>
      <x:c r="N16" s="6" t="str"/>
      <x:c r="O16" s="6" t="str"/>
      <x:c r="P16" s="6" t="str">
        <x:v>Pending</x:v>
      </x:c>
      <x:c r="Q16" s="12" t="str"/>
    </x:row>
    <x:row r="17">
      <x:c r="A17" s="6" t="str">
        <x:v>LABR-000016</x:v>
      </x:c>
      <x:c r="B17" s="6" t="str">
        <x:v>SVC000016</x:v>
      </x:c>
      <x:c r="C17" s="6" t="str">
        <x:v>Galaxy S 24 FE Screen replacement</x:v>
      </x:c>
      <x:c r="D17" s="6"/>
      <x:c r="E17" s="6"/>
      <x:c r="F17" s="6"/>
      <x:c r="G17" s="6"/>
      <x:c r="H17" s="6" t="str"/>
      <x:c r="I17" s="6" t="str"/>
      <x:c r="J17" s="6" t="str"/>
      <x:c r="K17" s="12" t="str">
        <x:v>Source Workbook</x:v>
      </x:c>
      <x:c r="L17" s="12" t="str">
        <x:v>Nocturnix_Master_Services_Catalog_v1.xlsx | 01 - Master Services | row 56</x:v>
      </x:c>
      <x:c r="M17" s="6" t="str">
        <x:v>Unresolved</x:v>
      </x:c>
      <x:c r="N17" s="6" t="str"/>
      <x:c r="O17" s="6" t="str"/>
      <x:c r="P17" s="6" t="str">
        <x:v>Pending</x:v>
      </x:c>
      <x:c r="Q17" s="12" t="str"/>
    </x:row>
    <x:row r="18">
      <x:c r="A18" s="6" t="str">
        <x:v>LABR-000017</x:v>
      </x:c>
      <x:c r="B18" s="6" t="str">
        <x:v>SVC000017</x:v>
      </x:c>
      <x:c r="C18" s="6" t="str">
        <x:v>Galaxy S 8 Plus Screen replacement</x:v>
      </x:c>
      <x:c r="D18" s="6"/>
      <x:c r="E18" s="6"/>
      <x:c r="F18" s="6"/>
      <x:c r="G18" s="6"/>
      <x:c r="H18" s="6" t="str"/>
      <x:c r="I18" s="6" t="str"/>
      <x:c r="J18" s="6" t="str"/>
      <x:c r="K18" s="12" t="str">
        <x:v>Source Workbook</x:v>
      </x:c>
      <x:c r="L18" s="12" t="str">
        <x:v>Nocturnix_Master_Services_Catalog_v1.xlsx | 01 - Master Services | row 57</x:v>
      </x:c>
      <x:c r="M18" s="6" t="str">
        <x:v>Unresolved</x:v>
      </x:c>
      <x:c r="N18" s="6" t="str"/>
      <x:c r="O18" s="6" t="str"/>
      <x:c r="P18" s="6" t="str">
        <x:v>Pending</x:v>
      </x:c>
      <x:c r="Q18" s="12" t="str"/>
    </x:row>
    <x:row r="19">
      <x:c r="A19" s="6" t="str">
        <x:v>LABR-000018</x:v>
      </x:c>
      <x:c r="B19" s="6" t="str">
        <x:v>SVC000018</x:v>
      </x:c>
      <x:c r="C19" s="6" t="str">
        <x:v>Galaxy S 25 Plus Screen replacement</x:v>
      </x:c>
      <x:c r="D19" s="6"/>
      <x:c r="E19" s="6"/>
      <x:c r="F19" s="6"/>
      <x:c r="G19" s="6"/>
      <x:c r="H19" s="6" t="str"/>
      <x:c r="I19" s="6" t="str"/>
      <x:c r="J19" s="6" t="str"/>
      <x:c r="K19" s="12" t="str">
        <x:v>Source Workbook</x:v>
      </x:c>
      <x:c r="L19" s="12" t="str">
        <x:v>Nocturnix_Master_Services_Catalog_v1.xlsx | 01 - Master Services | row 58</x:v>
      </x:c>
      <x:c r="M19" s="6" t="str">
        <x:v>Unresolved</x:v>
      </x:c>
      <x:c r="N19" s="6" t="str"/>
      <x:c r="O19" s="6" t="str"/>
      <x:c r="P19" s="6" t="str">
        <x:v>Pending</x:v>
      </x:c>
      <x:c r="Q19" s="12" t="str"/>
    </x:row>
    <x:row r="20">
      <x:c r="A20" s="6" t="str">
        <x:v>LABR-000019</x:v>
      </x:c>
      <x:c r="B20" s="6" t="str">
        <x:v>SVC000019</x:v>
      </x:c>
      <x:c r="C20" s="6" t="str">
        <x:v>Galaxy S 21 Screen replacement</x:v>
      </x:c>
      <x:c r="D20" s="6"/>
      <x:c r="E20" s="6"/>
      <x:c r="F20" s="6"/>
      <x:c r="G20" s="6"/>
      <x:c r="H20" s="6" t="str"/>
      <x:c r="I20" s="6" t="str"/>
      <x:c r="J20" s="6" t="str"/>
      <x:c r="K20" s="12" t="str">
        <x:v>Source Workbook</x:v>
      </x:c>
      <x:c r="L20" s="12" t="str">
        <x:v>Nocturnix_Master_Services_Catalog_v1.xlsx | 01 - Master Services | row 59</x:v>
      </x:c>
      <x:c r="M20" s="6" t="str">
        <x:v>Unresolved</x:v>
      </x:c>
      <x:c r="N20" s="6" t="str"/>
      <x:c r="O20" s="6" t="str"/>
      <x:c r="P20" s="6" t="str">
        <x:v>Pending</x:v>
      </x:c>
      <x:c r="Q20" s="12" t="str"/>
    </x:row>
    <x:row r="21">
      <x:c r="A21" s="6" t="str">
        <x:v>LABR-000020</x:v>
      </x:c>
      <x:c r="B21" s="6" t="str">
        <x:v>SVC000020</x:v>
      </x:c>
      <x:c r="C21" s="6" t="str">
        <x:v>Galaxy S 22 Plus Screen replacement</x:v>
      </x:c>
      <x:c r="D21" s="6"/>
      <x:c r="E21" s="6"/>
      <x:c r="F21" s="6"/>
      <x:c r="G21" s="6"/>
      <x:c r="H21" s="6" t="str"/>
      <x:c r="I21" s="6" t="str"/>
      <x:c r="J21" s="6" t="str"/>
      <x:c r="K21" s="12" t="str">
        <x:v>Source Workbook</x:v>
      </x:c>
      <x:c r="L21" s="12" t="str">
        <x:v>Nocturnix_Master_Services_Catalog_v1.xlsx | 01 - Master Services | row 60</x:v>
      </x:c>
      <x:c r="M21" s="6" t="str">
        <x:v>Unresolved</x:v>
      </x:c>
      <x:c r="N21" s="6" t="str"/>
      <x:c r="O21" s="6" t="str"/>
      <x:c r="P21" s="6" t="str">
        <x:v>Pending</x:v>
      </x:c>
      <x:c r="Q21" s="12" t="str"/>
    </x:row>
    <x:row r="22">
      <x:c r="A22" s="6" t="str">
        <x:v>LABR-000021</x:v>
      </x:c>
      <x:c r="B22" s="6" t="str">
        <x:v>SVC000021</x:v>
      </x:c>
      <x:c r="C22" s="6" t="str">
        <x:v>Galaxy S 22 Ultra Screen replacement</x:v>
      </x:c>
      <x:c r="D22" s="6"/>
      <x:c r="E22" s="6"/>
      <x:c r="F22" s="6"/>
      <x:c r="G22" s="6"/>
      <x:c r="H22" s="6" t="str"/>
      <x:c r="I22" s="6" t="str"/>
      <x:c r="J22" s="6" t="str"/>
      <x:c r="K22" s="12" t="str">
        <x:v>Source Workbook</x:v>
      </x:c>
      <x:c r="L22" s="12" t="str">
        <x:v>Nocturnix_Master_Services_Catalog_v1.xlsx | 01 - Master Services | row 61</x:v>
      </x:c>
      <x:c r="M22" s="6" t="str">
        <x:v>Unresolved</x:v>
      </x:c>
      <x:c r="N22" s="6" t="str"/>
      <x:c r="O22" s="6" t="str"/>
      <x:c r="P22" s="6" t="str">
        <x:v>Pending</x:v>
      </x:c>
      <x:c r="Q22" s="12" t="str"/>
    </x:row>
    <x:row r="23">
      <x:c r="A23" s="6" t="str">
        <x:v>LABR-000022</x:v>
      </x:c>
      <x:c r="B23" s="6" t="str">
        <x:v>SVC000022</x:v>
      </x:c>
      <x:c r="C23" s="6" t="str">
        <x:v>Galaxy S 24 FE Battery Replacement</x:v>
      </x:c>
      <x:c r="D23" s="6"/>
      <x:c r="E23" s="6"/>
      <x:c r="F23" s="6"/>
      <x:c r="G23" s="6"/>
      <x:c r="H23" s="6" t="str"/>
      <x:c r="I23" s="6" t="str"/>
      <x:c r="J23" s="6" t="str"/>
      <x:c r="K23" s="12" t="str">
        <x:v>Source Workbook</x:v>
      </x:c>
      <x:c r="L23" s="12" t="str">
        <x:v>Nocturnix_Master_Services_Catalog_v1.xlsx | 01 - Master Services | row 62</x:v>
      </x:c>
      <x:c r="M23" s="6" t="str">
        <x:v>Unresolved</x:v>
      </x:c>
      <x:c r="N23" s="6" t="str"/>
      <x:c r="O23" s="6" t="str"/>
      <x:c r="P23" s="6" t="str">
        <x:v>Pending</x:v>
      </x:c>
      <x:c r="Q23" s="12" t="str"/>
    </x:row>
    <x:row r="24">
      <x:c r="A24" s="6" t="str">
        <x:v>LABR-000023</x:v>
      </x:c>
      <x:c r="B24" s="6" t="str">
        <x:v>SVC000023</x:v>
      </x:c>
      <x:c r="C24" s="6" t="str">
        <x:v>Galaxy S 7 Active Screen replacement</x:v>
      </x:c>
      <x:c r="D24" s="6"/>
      <x:c r="E24" s="6"/>
      <x:c r="F24" s="6"/>
      <x:c r="G24" s="6"/>
      <x:c r="H24" s="6" t="str"/>
      <x:c r="I24" s="6" t="str"/>
      <x:c r="J24" s="6" t="str"/>
      <x:c r="K24" s="12" t="str">
        <x:v>Source Workbook</x:v>
      </x:c>
      <x:c r="L24" s="12" t="str">
        <x:v>Nocturnix_Master_Services_Catalog_v1.xlsx | 01 - Master Services | row 63</x:v>
      </x:c>
      <x:c r="M24" s="6" t="str">
        <x:v>Unresolved</x:v>
      </x:c>
      <x:c r="N24" s="6" t="str"/>
      <x:c r="O24" s="6" t="str"/>
      <x:c r="P24" s="6" t="str">
        <x:v>Pending</x:v>
      </x:c>
      <x:c r="Q24" s="12" t="str"/>
    </x:row>
    <x:row r="25">
      <x:c r="A25" s="6" t="str">
        <x:v>LABR-000024</x:v>
      </x:c>
      <x:c r="B25" s="6" t="str">
        <x:v>SVC000024</x:v>
      </x:c>
      <x:c r="C25" s="6" t="str">
        <x:v>Galaxy S 10 Plus Screen replacement</x:v>
      </x:c>
      <x:c r="D25" s="6"/>
      <x:c r="E25" s="6"/>
      <x:c r="F25" s="6"/>
      <x:c r="G25" s="6"/>
      <x:c r="H25" s="6" t="str"/>
      <x:c r="I25" s="6" t="str"/>
      <x:c r="J25" s="6" t="str"/>
      <x:c r="K25" s="12" t="str">
        <x:v>Source Workbook</x:v>
      </x:c>
      <x:c r="L25" s="12" t="str">
        <x:v>Nocturnix_Master_Services_Catalog_v1.xlsx | 01 - Master Services | row 64</x:v>
      </x:c>
      <x:c r="M25" s="6" t="str">
        <x:v>Unresolved</x:v>
      </x:c>
      <x:c r="N25" s="6" t="str"/>
      <x:c r="O25" s="6" t="str"/>
      <x:c r="P25" s="6" t="str">
        <x:v>Pending</x:v>
      </x:c>
      <x:c r="Q25" s="12" t="str"/>
    </x:row>
    <x:row r="26">
      <x:c r="A26" s="6" t="str">
        <x:v>LABR-000025</x:v>
      </x:c>
      <x:c r="B26" s="6" t="str">
        <x:v>SVC000025</x:v>
      </x:c>
      <x:c r="C26" s="6" t="str">
        <x:v>Galaxy S 6 Active Screen replacement</x:v>
      </x:c>
      <x:c r="D26" s="6"/>
      <x:c r="E26" s="6"/>
      <x:c r="F26" s="6"/>
      <x:c r="G26" s="6"/>
      <x:c r="H26" s="6" t="str"/>
      <x:c r="I26" s="6" t="str"/>
      <x:c r="J26" s="6" t="str"/>
      <x:c r="K26" s="12" t="str">
        <x:v>Source Workbook</x:v>
      </x:c>
      <x:c r="L26" s="12" t="str">
        <x:v>Nocturnix_Master_Services_Catalog_v1.xlsx | 01 - Master Services | row 65</x:v>
      </x:c>
      <x:c r="M26" s="6" t="str">
        <x:v>Unresolved</x:v>
      </x:c>
      <x:c r="N26" s="6" t="str"/>
      <x:c r="O26" s="6" t="str"/>
      <x:c r="P26" s="6" t="str">
        <x:v>Pending</x:v>
      </x:c>
      <x:c r="Q26" s="12" t="str"/>
    </x:row>
    <x:row r="27">
      <x:c r="A27" s="6" t="str">
        <x:v>LABR-000026</x:v>
      </x:c>
      <x:c r="B27" s="6" t="str">
        <x:v>SVC000026</x:v>
      </x:c>
      <x:c r="C27" s="6" t="str">
        <x:v>Galaxy S 6 Screen replacement</x:v>
      </x:c>
      <x:c r="D27" s="6"/>
      <x:c r="E27" s="6"/>
      <x:c r="F27" s="6"/>
      <x:c r="G27" s="6"/>
      <x:c r="H27" s="6" t="str"/>
      <x:c r="I27" s="6" t="str"/>
      <x:c r="J27" s="6" t="str"/>
      <x:c r="K27" s="12" t="str">
        <x:v>Source Workbook</x:v>
      </x:c>
      <x:c r="L27" s="12" t="str">
        <x:v>Nocturnix_Master_Services_Catalog_v1.xlsx | 01 - Master Services | row 66</x:v>
      </x:c>
      <x:c r="M27" s="6" t="str">
        <x:v>Unresolved</x:v>
      </x:c>
      <x:c r="N27" s="6" t="str"/>
      <x:c r="O27" s="6" t="str"/>
      <x:c r="P27" s="6" t="str">
        <x:v>Pending</x:v>
      </x:c>
      <x:c r="Q27" s="12" t="str"/>
    </x:row>
    <x:row r="28">
      <x:c r="A28" s="6" t="str">
        <x:v>LABR-000027</x:v>
      </x:c>
      <x:c r="B28" s="6" t="str">
        <x:v>SVC000027</x:v>
      </x:c>
      <x:c r="C28" s="6" t="str">
        <x:v>Galaxy S 21 FE Screen replacement</x:v>
      </x:c>
      <x:c r="D28" s="6"/>
      <x:c r="E28" s="6"/>
      <x:c r="F28" s="6"/>
      <x:c r="G28" s="6"/>
      <x:c r="H28" s="6" t="str"/>
      <x:c r="I28" s="6" t="str"/>
      <x:c r="J28" s="6" t="str"/>
      <x:c r="K28" s="12" t="str">
        <x:v>Source Workbook</x:v>
      </x:c>
      <x:c r="L28" s="12" t="str">
        <x:v>Nocturnix_Master_Services_Catalog_v1.xlsx | 01 - Master Services | row 67</x:v>
      </x:c>
      <x:c r="M28" s="6" t="str">
        <x:v>Unresolved</x:v>
      </x:c>
      <x:c r="N28" s="6" t="str"/>
      <x:c r="O28" s="6" t="str"/>
      <x:c r="P28" s="6" t="str">
        <x:v>Pending</x:v>
      </x:c>
      <x:c r="Q28" s="12" t="str"/>
    </x:row>
    <x:row r="29">
      <x:c r="A29" s="6" t="str">
        <x:v>LABR-000028</x:v>
      </x:c>
      <x:c r="B29" s="6" t="str">
        <x:v>SVC000028</x:v>
      </x:c>
      <x:c r="C29" s="6" t="str">
        <x:v>Galaxy S 6 Edge Screen replacement</x:v>
      </x:c>
      <x:c r="D29" s="6"/>
      <x:c r="E29" s="6"/>
      <x:c r="F29" s="6"/>
      <x:c r="G29" s="6"/>
      <x:c r="H29" s="6" t="str"/>
      <x:c r="I29" s="6" t="str"/>
      <x:c r="J29" s="6" t="str"/>
      <x:c r="K29" s="12" t="str">
        <x:v>Source Workbook</x:v>
      </x:c>
      <x:c r="L29" s="12" t="str">
        <x:v>Nocturnix_Master_Services_Catalog_v1.xlsx | 01 - Master Services | row 68</x:v>
      </x:c>
      <x:c r="M29" s="6" t="str">
        <x:v>Unresolved</x:v>
      </x:c>
      <x:c r="N29" s="6" t="str"/>
      <x:c r="O29" s="6" t="str"/>
      <x:c r="P29" s="6" t="str">
        <x:v>Pending</x:v>
      </x:c>
      <x:c r="Q29" s="12" t="str"/>
    </x:row>
    <x:row r="30">
      <x:c r="A30" s="6" t="str">
        <x:v>LABR-000029</x:v>
      </x:c>
      <x:c r="B30" s="6" t="str">
        <x:v>SVC000029</x:v>
      </x:c>
      <x:c r="C30" s="6" t="str">
        <x:v>Galaxy S 21 Plus Screen replacement</x:v>
      </x:c>
      <x:c r="D30" s="6"/>
      <x:c r="E30" s="6"/>
      <x:c r="F30" s="6"/>
      <x:c r="G30" s="6"/>
      <x:c r="H30" s="6" t="str"/>
      <x:c r="I30" s="6" t="str"/>
      <x:c r="J30" s="6" t="str"/>
      <x:c r="K30" s="12" t="str">
        <x:v>Source Workbook</x:v>
      </x:c>
      <x:c r="L30" s="12" t="str">
        <x:v>Nocturnix_Master_Services_Catalog_v1.xlsx | 01 - Master Services | row 69</x:v>
      </x:c>
      <x:c r="M30" s="6" t="str">
        <x:v>Unresolved</x:v>
      </x:c>
      <x:c r="N30" s="6" t="str"/>
      <x:c r="O30" s="6" t="str"/>
      <x:c r="P30" s="6" t="str">
        <x:v>Pending</x:v>
      </x:c>
      <x:c r="Q30" s="12" t="str"/>
    </x:row>
    <x:row r="31">
      <x:c r="A31" s="6" t="str">
        <x:v>LABR-000030</x:v>
      </x:c>
      <x:c r="B31" s="6" t="str">
        <x:v>SVC000030</x:v>
      </x:c>
      <x:c r="C31" s="6" t="str">
        <x:v>Galaxy S 6 Edge Plus Screen replacement</x:v>
      </x:c>
      <x:c r="D31" s="6"/>
      <x:c r="E31" s="6"/>
      <x:c r="F31" s="6"/>
      <x:c r="G31" s="6"/>
      <x:c r="H31" s="6" t="str"/>
      <x:c r="I31" s="6" t="str"/>
      <x:c r="J31" s="6" t="str"/>
      <x:c r="K31" s="12" t="str">
        <x:v>Source Workbook</x:v>
      </x:c>
      <x:c r="L31" s="12" t="str">
        <x:v>Nocturnix_Master_Services_Catalog_v1.xlsx | 01 - Master Services | row 70</x:v>
      </x:c>
      <x:c r="M31" s="6" t="str">
        <x:v>Unresolved</x:v>
      </x:c>
      <x:c r="N31" s="6" t="str"/>
      <x:c r="O31" s="6" t="str"/>
      <x:c r="P31" s="6" t="str">
        <x:v>Pending</x:v>
      </x:c>
      <x:c r="Q31" s="12" t="str"/>
    </x:row>
    <x:row r="32">
      <x:c r="A32" s="6" t="str">
        <x:v>LABR-000031</x:v>
      </x:c>
      <x:c r="B32" s="6" t="str">
        <x:v>SVC000031</x:v>
      </x:c>
      <x:c r="C32" s="6" t="str">
        <x:v>Galaxy S 25 Screen replacement</x:v>
      </x:c>
      <x:c r="D32" s="6"/>
      <x:c r="E32" s="6"/>
      <x:c r="F32" s="6"/>
      <x:c r="G32" s="6"/>
      <x:c r="H32" s="6" t="str"/>
      <x:c r="I32" s="6" t="str"/>
      <x:c r="J32" s="6" t="str"/>
      <x:c r="K32" s="12" t="str">
        <x:v>Source Workbook</x:v>
      </x:c>
      <x:c r="L32" s="12" t="str">
        <x:v>Nocturnix_Master_Services_Catalog_v1.xlsx | 01 - Master Services | row 71</x:v>
      </x:c>
      <x:c r="M32" s="6" t="str">
        <x:v>Unresolved</x:v>
      </x:c>
      <x:c r="N32" s="6" t="str"/>
      <x:c r="O32" s="6" t="str"/>
      <x:c r="P32" s="6" t="str">
        <x:v>Pending</x:v>
      </x:c>
      <x:c r="Q32" s="12" t="str"/>
    </x:row>
    <x:row r="33">
      <x:c r="A33" s="6" t="str">
        <x:v>LABR-000032</x:v>
      </x:c>
      <x:c r="B33" s="6" t="str">
        <x:v>SVC000032</x:v>
      </x:c>
      <x:c r="C33" s="6" t="str">
        <x:v>Galaxy S 10 E Screen replacement</x:v>
      </x:c>
      <x:c r="D33" s="6"/>
      <x:c r="E33" s="6"/>
      <x:c r="F33" s="6"/>
      <x:c r="G33" s="6"/>
      <x:c r="H33" s="6" t="str"/>
      <x:c r="I33" s="6" t="str"/>
      <x:c r="J33" s="6" t="str"/>
      <x:c r="K33" s="12" t="str">
        <x:v>Source Workbook</x:v>
      </x:c>
      <x:c r="L33" s="12" t="str">
        <x:v>Nocturnix_Master_Services_Catalog_v1.xlsx | 01 - Master Services | row 72</x:v>
      </x:c>
      <x:c r="M33" s="6" t="str">
        <x:v>Unresolved</x:v>
      </x:c>
      <x:c r="N33" s="6" t="str"/>
      <x:c r="O33" s="6" t="str"/>
      <x:c r="P33" s="6" t="str">
        <x:v>Pending</x:v>
      </x:c>
      <x:c r="Q33" s="12" t="str"/>
    </x:row>
    <x:row r="34">
      <x:c r="A34" s="6" t="str">
        <x:v>LABR-000033</x:v>
      </x:c>
      <x:c r="B34" s="6" t="str">
        <x:v>SVC000033</x:v>
      </x:c>
      <x:c r="C34" s="6" t="str">
        <x:v>Galaxy S 23 Plus Screen replacement</x:v>
      </x:c>
      <x:c r="D34" s="6"/>
      <x:c r="E34" s="6"/>
      <x:c r="F34" s="6"/>
      <x:c r="G34" s="6"/>
      <x:c r="H34" s="6" t="str"/>
      <x:c r="I34" s="6" t="str"/>
      <x:c r="J34" s="6" t="str"/>
      <x:c r="K34" s="12" t="str">
        <x:v>Source Workbook</x:v>
      </x:c>
      <x:c r="L34" s="12" t="str">
        <x:v>Nocturnix_Master_Services_Catalog_v1.xlsx | 01 - Master Services | row 73</x:v>
      </x:c>
      <x:c r="M34" s="6" t="str">
        <x:v>Unresolved</x:v>
      </x:c>
      <x:c r="N34" s="6" t="str"/>
      <x:c r="O34" s="6" t="str"/>
      <x:c r="P34" s="6" t="str">
        <x:v>Pending</x:v>
      </x:c>
      <x:c r="Q34" s="12" t="str"/>
    </x:row>
    <x:row r="35">
      <x:c r="A35" s="6" t="str">
        <x:v>LABR-000034</x:v>
      </x:c>
      <x:c r="B35" s="6" t="str">
        <x:v>SVC000034</x:v>
      </x:c>
      <x:c r="C35" s="6" t="str">
        <x:v>Galaxy S 8 Screen replacement</x:v>
      </x:c>
      <x:c r="D35" s="6"/>
      <x:c r="E35" s="6"/>
      <x:c r="F35" s="6"/>
      <x:c r="G35" s="6"/>
      <x:c r="H35" s="6" t="str"/>
      <x:c r="I35" s="6" t="str"/>
      <x:c r="J35" s="6" t="str"/>
      <x:c r="K35" s="12" t="str">
        <x:v>Source Workbook</x:v>
      </x:c>
      <x:c r="L35" s="12" t="str">
        <x:v>Nocturnix_Master_Services_Catalog_v1.xlsx | 01 - Master Services | row 74</x:v>
      </x:c>
      <x:c r="M35" s="6" t="str">
        <x:v>Unresolved</x:v>
      </x:c>
      <x:c r="N35" s="6" t="str"/>
      <x:c r="O35" s="6" t="str"/>
      <x:c r="P35" s="6" t="str">
        <x:v>Pending</x:v>
      </x:c>
      <x:c r="Q35" s="12" t="str"/>
    </x:row>
    <x:row r="36">
      <x:c r="A36" s="6" t="str">
        <x:v>LABR-000035</x:v>
      </x:c>
      <x:c r="B36" s="6" t="str">
        <x:v>SVC000035</x:v>
      </x:c>
      <x:c r="C36" s="6" t="str">
        <x:v>Galaxy S 20 Screen replacement</x:v>
      </x:c>
      <x:c r="D36" s="6"/>
      <x:c r="E36" s="6"/>
      <x:c r="F36" s="6"/>
      <x:c r="G36" s="6"/>
      <x:c r="H36" s="6" t="str"/>
      <x:c r="I36" s="6" t="str"/>
      <x:c r="J36" s="6" t="str"/>
      <x:c r="K36" s="12" t="str">
        <x:v>Source Workbook</x:v>
      </x:c>
      <x:c r="L36" s="12" t="str">
        <x:v>Nocturnix_Master_Services_Catalog_v1.xlsx | 01 - Master Services | row 75</x:v>
      </x:c>
      <x:c r="M36" s="6" t="str">
        <x:v>Unresolved</x:v>
      </x:c>
      <x:c r="N36" s="6" t="str"/>
      <x:c r="O36" s="6" t="str"/>
      <x:c r="P36" s="6" t="str">
        <x:v>Pending</x:v>
      </x:c>
      <x:c r="Q36" s="12" t="str"/>
    </x:row>
    <x:row r="37">
      <x:c r="A37" s="6" t="str">
        <x:v>LABR-000036</x:v>
      </x:c>
      <x:c r="B37" s="6" t="str">
        <x:v>SVC000036</x:v>
      </x:c>
      <x:c r="C37" s="6" t="str">
        <x:v>Galaxy S 20 Ultra Screen replacement</x:v>
      </x:c>
      <x:c r="D37" s="6"/>
      <x:c r="E37" s="6"/>
      <x:c r="F37" s="6"/>
      <x:c r="G37" s="6"/>
      <x:c r="H37" s="6" t="str"/>
      <x:c r="I37" s="6" t="str"/>
      <x:c r="J37" s="6" t="str"/>
      <x:c r="K37" s="12" t="str">
        <x:v>Source Workbook</x:v>
      </x:c>
      <x:c r="L37" s="12" t="str">
        <x:v>Nocturnix_Master_Services_Catalog_v1.xlsx | 01 - Master Services | row 76</x:v>
      </x:c>
      <x:c r="M37" s="6" t="str">
        <x:v>Unresolved</x:v>
      </x:c>
      <x:c r="N37" s="6" t="str"/>
      <x:c r="O37" s="6" t="str"/>
      <x:c r="P37" s="6" t="str">
        <x:v>Pending</x:v>
      </x:c>
      <x:c r="Q37" s="12" t="str"/>
    </x:row>
    <x:row r="38">
      <x:c r="A38" s="6" t="str">
        <x:v>LABR-000037</x:v>
      </x:c>
      <x:c r="B38" s="6" t="str">
        <x:v>SVC000037</x:v>
      </x:c>
      <x:c r="C38" s="6" t="str">
        <x:v>Galaxy S 24 Plus Screen replacement</x:v>
      </x:c>
      <x:c r="D38" s="6"/>
      <x:c r="E38" s="6"/>
      <x:c r="F38" s="6"/>
      <x:c r="G38" s="6"/>
      <x:c r="H38" s="6" t="str"/>
      <x:c r="I38" s="6" t="str"/>
      <x:c r="J38" s="6" t="str"/>
      <x:c r="K38" s="12" t="str">
        <x:v>Source Workbook</x:v>
      </x:c>
      <x:c r="L38" s="12" t="str">
        <x:v>Nocturnix_Master_Services_Catalog_v1.xlsx | 01 - Master Services | row 77</x:v>
      </x:c>
      <x:c r="M38" s="6" t="str">
        <x:v>Unresolved</x:v>
      </x:c>
      <x:c r="N38" s="6" t="str"/>
      <x:c r="O38" s="6" t="str"/>
      <x:c r="P38" s="6" t="str">
        <x:v>Pending</x:v>
      </x:c>
      <x:c r="Q38" s="12" t="str"/>
    </x:row>
    <x:row r="39">
      <x:c r="A39" s="6" t="str">
        <x:v>LABR-000038</x:v>
      </x:c>
      <x:c r="B39" s="6" t="str">
        <x:v>SVC000038</x:v>
      </x:c>
      <x:c r="C39" s="6" t="str">
        <x:v>Galaxy S 7 Screen replacement</x:v>
      </x:c>
      <x:c r="D39" s="6"/>
      <x:c r="E39" s="6"/>
      <x:c r="F39" s="6"/>
      <x:c r="G39" s="6"/>
      <x:c r="H39" s="6" t="str"/>
      <x:c r="I39" s="6" t="str"/>
      <x:c r="J39" s="6" t="str"/>
      <x:c r="K39" s="12" t="str">
        <x:v>Source Workbook</x:v>
      </x:c>
      <x:c r="L39" s="12" t="str">
        <x:v>Nocturnix_Master_Services_Catalog_v1.xlsx | 01 - Master Services | row 78</x:v>
      </x:c>
      <x:c r="M39" s="6" t="str">
        <x:v>Unresolved</x:v>
      </x:c>
      <x:c r="N39" s="6" t="str"/>
      <x:c r="O39" s="6" t="str"/>
      <x:c r="P39" s="6" t="str">
        <x:v>Pending</x:v>
      </x:c>
      <x:c r="Q39" s="12" t="str"/>
    </x:row>
    <x:row r="40">
      <x:c r="A40" s="6" t="str">
        <x:v>LABR-000039</x:v>
      </x:c>
      <x:c r="B40" s="6" t="str">
        <x:v>SVC000039</x:v>
      </x:c>
      <x:c r="C40" s="6" t="str">
        <x:v>Galaxy S 10 Screen replacement</x:v>
      </x:c>
      <x:c r="D40" s="6"/>
      <x:c r="E40" s="6"/>
      <x:c r="F40" s="6"/>
      <x:c r="G40" s="6"/>
      <x:c r="H40" s="6" t="str"/>
      <x:c r="I40" s="6" t="str"/>
      <x:c r="J40" s="6" t="str"/>
      <x:c r="K40" s="12" t="str">
        <x:v>Source Workbook</x:v>
      </x:c>
      <x:c r="L40" s="12" t="str">
        <x:v>Nocturnix_Master_Services_Catalog_v1.xlsx | 01 - Master Services | row 79</x:v>
      </x:c>
      <x:c r="M40" s="6" t="str">
        <x:v>Unresolved</x:v>
      </x:c>
      <x:c r="N40" s="6" t="str"/>
      <x:c r="O40" s="6" t="str"/>
      <x:c r="P40" s="6" t="str">
        <x:v>Pending</x:v>
      </x:c>
      <x:c r="Q40" s="12" t="str"/>
    </x:row>
    <x:row r="41">
      <x:c r="A41" s="6" t="str">
        <x:v>LABR-000040</x:v>
      </x:c>
      <x:c r="B41" s="6" t="str">
        <x:v>SVC000040</x:v>
      </x:c>
      <x:c r="C41" s="6" t="str">
        <x:v>Galaxy S 7 Edge Screen replacement</x:v>
      </x:c>
      <x:c r="D41" s="6"/>
      <x:c r="E41" s="6"/>
      <x:c r="F41" s="6"/>
      <x:c r="G41" s="6"/>
      <x:c r="H41" s="6" t="str"/>
      <x:c r="I41" s="6" t="str"/>
      <x:c r="J41" s="6" t="str"/>
      <x:c r="K41" s="12" t="str">
        <x:v>Source Workbook</x:v>
      </x:c>
      <x:c r="L41" s="12" t="str">
        <x:v>Nocturnix_Master_Services_Catalog_v1.xlsx | 01 - Master Services | row 80</x:v>
      </x:c>
      <x:c r="M41" s="6" t="str">
        <x:v>Unresolved</x:v>
      </x:c>
      <x:c r="N41" s="6" t="str"/>
      <x:c r="O41" s="6" t="str"/>
      <x:c r="P41" s="6" t="str">
        <x:v>Pending</x:v>
      </x:c>
      <x:c r="Q41" s="12" t="str"/>
    </x:row>
    <x:row r="42">
      <x:c r="A42" s="6" t="str">
        <x:v>LABR-000041</x:v>
      </x:c>
      <x:c r="B42" s="6" t="str">
        <x:v>SVC000041</x:v>
      </x:c>
      <x:c r="C42" s="6" t="str">
        <x:v>Galaxy S 9 Screen replacement</x:v>
      </x:c>
      <x:c r="D42" s="6"/>
      <x:c r="E42" s="6"/>
      <x:c r="F42" s="6"/>
      <x:c r="G42" s="6"/>
      <x:c r="H42" s="6" t="str"/>
      <x:c r="I42" s="6" t="str"/>
      <x:c r="J42" s="6" t="str"/>
      <x:c r="K42" s="12" t="str">
        <x:v>Source Workbook</x:v>
      </x:c>
      <x:c r="L42" s="12" t="str">
        <x:v>Nocturnix_Master_Services_Catalog_v1.xlsx | 01 - Master Services | row 81</x:v>
      </x:c>
      <x:c r="M42" s="6" t="str">
        <x:v>Unresolved</x:v>
      </x:c>
      <x:c r="N42" s="6" t="str"/>
      <x:c r="O42" s="6" t="str"/>
      <x:c r="P42" s="6" t="str">
        <x:v>Pending</x:v>
      </x:c>
      <x:c r="Q42" s="12" t="str"/>
    </x:row>
    <x:row r="43">
      <x:c r="A43" s="6" t="str">
        <x:v>LABR-000042</x:v>
      </x:c>
      <x:c r="B43" s="6" t="str">
        <x:v>SVC000042</x:v>
      </x:c>
      <x:c r="C43" s="6" t="str">
        <x:v>Galaxy S 23 Screen replacement</x:v>
      </x:c>
      <x:c r="D43" s="6"/>
      <x:c r="E43" s="6"/>
      <x:c r="F43" s="6"/>
      <x:c r="G43" s="6"/>
      <x:c r="H43" s="6" t="str"/>
      <x:c r="I43" s="6" t="str"/>
      <x:c r="J43" s="6" t="str"/>
      <x:c r="K43" s="12" t="str">
        <x:v>Source Workbook</x:v>
      </x:c>
      <x:c r="L43" s="12" t="str">
        <x:v>Nocturnix_Master_Services_Catalog_v1.xlsx | 01 - Master Services | row 82</x:v>
      </x:c>
      <x:c r="M43" s="6" t="str">
        <x:v>Unresolved</x:v>
      </x:c>
      <x:c r="N43" s="6" t="str"/>
      <x:c r="O43" s="6" t="str"/>
      <x:c r="P43" s="6" t="str">
        <x:v>Pending</x:v>
      </x:c>
      <x:c r="Q43" s="12" t="str"/>
    </x:row>
    <x:row r="44">
      <x:c r="A44" s="6" t="str">
        <x:v>LABR-000043</x:v>
      </x:c>
      <x:c r="B44" s="6" t="str">
        <x:v>SVC000043</x:v>
      </x:c>
      <x:c r="C44" s="6" t="str">
        <x:v>Galaxy S 23 FE Screen replacement</x:v>
      </x:c>
      <x:c r="D44" s="6"/>
      <x:c r="E44" s="6"/>
      <x:c r="F44" s="6"/>
      <x:c r="G44" s="6"/>
      <x:c r="H44" s="6" t="str"/>
      <x:c r="I44" s="6" t="str"/>
      <x:c r="J44" s="6" t="str"/>
      <x:c r="K44" s="12" t="str">
        <x:v>Source Workbook</x:v>
      </x:c>
      <x:c r="L44" s="12" t="str">
        <x:v>Nocturnix_Master_Services_Catalog_v1.xlsx | 01 - Master Services | row 83</x:v>
      </x:c>
      <x:c r="M44" s="6" t="str">
        <x:v>Unresolved</x:v>
      </x:c>
      <x:c r="N44" s="6" t="str"/>
      <x:c r="O44" s="6" t="str"/>
      <x:c r="P44" s="6" t="str">
        <x:v>Pending</x:v>
      </x:c>
      <x:c r="Q44" s="12" t="str"/>
    </x:row>
    <x:row r="45">
      <x:c r="A45" s="6" t="str">
        <x:v>LABR-000044</x:v>
      </x:c>
      <x:c r="B45" s="6" t="str">
        <x:v>SVC000044</x:v>
      </x:c>
      <x:c r="C45" s="6" t="str">
        <x:v>Galaxy S3 Mini Screen replacement</x:v>
      </x:c>
      <x:c r="D45" s="6"/>
      <x:c r="E45" s="6"/>
      <x:c r="F45" s="6"/>
      <x:c r="G45" s="6"/>
      <x:c r="H45" s="6" t="str"/>
      <x:c r="I45" s="6" t="str"/>
      <x:c r="J45" s="6" t="str"/>
      <x:c r="K45" s="12" t="str">
        <x:v>Source Workbook</x:v>
      </x:c>
      <x:c r="L45" s="12" t="str">
        <x:v>Nocturnix_Master_Services_Catalog_v1.xlsx | 01 - Master Services | row 84</x:v>
      </x:c>
      <x:c r="M45" s="6" t="str">
        <x:v>Unresolved</x:v>
      </x:c>
      <x:c r="N45" s="6" t="str"/>
      <x:c r="O45" s="6" t="str"/>
      <x:c r="P45" s="6" t="str">
        <x:v>Pending</x:v>
      </x:c>
      <x:c r="Q45" s="12" t="str"/>
    </x:row>
    <x:row r="46">
      <x:c r="A46" s="6" t="str">
        <x:v>LABR-000045</x:v>
      </x:c>
      <x:c r="B46" s="6" t="str">
        <x:v>SVC000045</x:v>
      </x:c>
      <x:c r="C46" s="6" t="str">
        <x:v>Galaxy S 4 Mini Screen replacement</x:v>
      </x:c>
      <x:c r="D46" s="6"/>
      <x:c r="E46" s="6"/>
      <x:c r="F46" s="6"/>
      <x:c r="G46" s="6"/>
      <x:c r="H46" s="6" t="str"/>
      <x:c r="I46" s="6" t="str"/>
      <x:c r="J46" s="6" t="str"/>
      <x:c r="K46" s="12" t="str">
        <x:v>Source Workbook</x:v>
      </x:c>
      <x:c r="L46" s="12" t="str">
        <x:v>Nocturnix_Master_Services_Catalog_v1.xlsx | 01 - Master Services | row 85</x:v>
      </x:c>
      <x:c r="M46" s="6" t="str">
        <x:v>Unresolved</x:v>
      </x:c>
      <x:c r="N46" s="6" t="str"/>
      <x:c r="O46" s="6" t="str"/>
      <x:c r="P46" s="6" t="str">
        <x:v>Pending</x:v>
      </x:c>
      <x:c r="Q46" s="12" t="str"/>
    </x:row>
    <x:row r="47">
      <x:c r="A47" s="6" t="str">
        <x:v>LABR-000046</x:v>
      </x:c>
      <x:c r="B47" s="6" t="str">
        <x:v>SVC000046</x:v>
      </x:c>
      <x:c r="C47" s="6" t="str">
        <x:v>Galaxy S Classic Screen replacement</x:v>
      </x:c>
      <x:c r="D47" s="6"/>
      <x:c r="E47" s="6"/>
      <x:c r="F47" s="6"/>
      <x:c r="G47" s="6"/>
      <x:c r="H47" s="6" t="str"/>
      <x:c r="I47" s="6" t="str"/>
      <x:c r="J47" s="6" t="str"/>
      <x:c r="K47" s="12" t="str">
        <x:v>Source Workbook</x:v>
      </x:c>
      <x:c r="L47" s="12" t="str">
        <x:v>Nocturnix_Master_Services_Catalog_v1.xlsx | 01 - Master Services | row 86</x:v>
      </x:c>
      <x:c r="M47" s="6" t="str">
        <x:v>Unresolved</x:v>
      </x:c>
      <x:c r="N47" s="6" t="str"/>
      <x:c r="O47" s="6" t="str"/>
      <x:c r="P47" s="6" t="str">
        <x:v>Pending</x:v>
      </x:c>
      <x:c r="Q47" s="12" t="str"/>
    </x:row>
    <x:row r="48">
      <x:c r="A48" s="6" t="str">
        <x:v>LABR-000047</x:v>
      </x:c>
      <x:c r="B48" s="6" t="str">
        <x:v>SVC000047</x:v>
      </x:c>
      <x:c r="C48" s="6" t="str">
        <x:v>Galaxy S 5 Active Screen replacement</x:v>
      </x:c>
      <x:c r="D48" s="6"/>
      <x:c r="E48" s="6"/>
      <x:c r="F48" s="6"/>
      <x:c r="G48" s="6"/>
      <x:c r="H48" s="6" t="str"/>
      <x:c r="I48" s="6" t="str"/>
      <x:c r="J48" s="6" t="str"/>
      <x:c r="K48" s="12" t="str">
        <x:v>Source Workbook</x:v>
      </x:c>
      <x:c r="L48" s="12" t="str">
        <x:v>Nocturnix_Master_Services_Catalog_v1.xlsx | 01 - Master Services | row 87</x:v>
      </x:c>
      <x:c r="M48" s="6" t="str">
        <x:v>Unresolved</x:v>
      </x:c>
      <x:c r="N48" s="6" t="str"/>
      <x:c r="O48" s="6" t="str"/>
      <x:c r="P48" s="6" t="str">
        <x:v>Pending</x:v>
      </x:c>
      <x:c r="Q48" s="12" t="str"/>
    </x:row>
    <x:row r="49">
      <x:c r="A49" s="6" t="str">
        <x:v>LABR-000048</x:v>
      </x:c>
      <x:c r="B49" s="6" t="str">
        <x:v>SVC000048</x:v>
      </x:c>
      <x:c r="C49" s="6" t="str">
        <x:v>Galaxy S 5 Neo Screen replacement</x:v>
      </x:c>
      <x:c r="D49" s="6"/>
      <x:c r="E49" s="6"/>
      <x:c r="F49" s="6"/>
      <x:c r="G49" s="6"/>
      <x:c r="H49" s="6" t="str"/>
      <x:c r="I49" s="6" t="str"/>
      <x:c r="J49" s="6" t="str"/>
      <x:c r="K49" s="12" t="str">
        <x:v>Source Workbook</x:v>
      </x:c>
      <x:c r="L49" s="12" t="str">
        <x:v>Nocturnix_Master_Services_Catalog_v1.xlsx | 01 - Master Services | row 88</x:v>
      </x:c>
      <x:c r="M49" s="6" t="str">
        <x:v>Unresolved</x:v>
      </x:c>
      <x:c r="N49" s="6" t="str"/>
      <x:c r="O49" s="6" t="str"/>
      <x:c r="P49" s="6" t="str">
        <x:v>Pending</x:v>
      </x:c>
      <x:c r="Q49" s="12" t="str"/>
    </x:row>
    <x:row r="50">
      <x:c r="A50" s="6" t="str">
        <x:v>LABR-000049</x:v>
      </x:c>
      <x:c r="B50" s="6" t="str">
        <x:v>SVC000049</x:v>
      </x:c>
      <x:c r="C50" s="6" t="str">
        <x:v>Galaxy S2 Screen replacement</x:v>
      </x:c>
      <x:c r="D50" s="6"/>
      <x:c r="E50" s="6"/>
      <x:c r="F50" s="6"/>
      <x:c r="G50" s="6"/>
      <x:c r="H50" s="6" t="str"/>
      <x:c r="I50" s="6" t="str"/>
      <x:c r="J50" s="6" t="str"/>
      <x:c r="K50" s="12" t="str">
        <x:v>Source Workbook</x:v>
      </x:c>
      <x:c r="L50" s="12" t="str">
        <x:v>Nocturnix_Master_Services_Catalog_v1.xlsx | 01 - Master Services | row 89</x:v>
      </x:c>
      <x:c r="M50" s="6" t="str">
        <x:v>Unresolved</x:v>
      </x:c>
      <x:c r="N50" s="6" t="str"/>
      <x:c r="O50" s="6" t="str"/>
      <x:c r="P50" s="6" t="str">
        <x:v>Pending</x:v>
      </x:c>
      <x:c r="Q50" s="12" t="str"/>
    </x:row>
    <x:row r="51">
      <x:c r="A51" s="6" t="str">
        <x:v>LABR-000050</x:v>
      </x:c>
      <x:c r="B51" s="6" t="str">
        <x:v>SVC000050</x:v>
      </x:c>
      <x:c r="C51" s="6" t="str">
        <x:v>Galaxy S3 Neo Screen replacement</x:v>
      </x:c>
      <x:c r="D51" s="6"/>
      <x:c r="E51" s="6"/>
      <x:c r="F51" s="6"/>
      <x:c r="G51" s="6"/>
      <x:c r="H51" s="6" t="str"/>
      <x:c r="I51" s="6" t="str"/>
      <x:c r="J51" s="6" t="str"/>
      <x:c r="K51" s="12" t="str">
        <x:v>Source Workbook</x:v>
      </x:c>
      <x:c r="L51" s="12" t="str">
        <x:v>Nocturnix_Master_Services_Catalog_v1.xlsx | 01 - Master Services | row 90</x:v>
      </x:c>
      <x:c r="M51" s="6" t="str">
        <x:v>Unresolved</x:v>
      </x:c>
      <x:c r="N51" s="6" t="str"/>
      <x:c r="O51" s="6" t="str"/>
      <x:c r="P51" s="6" t="str">
        <x:v>Pending</x:v>
      </x:c>
      <x:c r="Q51" s="12" t="str"/>
    </x:row>
    <x:row r="52">
      <x:c r="A52" s="6" t="str">
        <x:v>LABR-000051</x:v>
      </x:c>
      <x:c r="B52" s="6" t="str">
        <x:v>SVC000051</x:v>
      </x:c>
      <x:c r="C52" s="6" t="str">
        <x:v>Galaxy S3 Screen replacement</x:v>
      </x:c>
      <x:c r="D52" s="6"/>
      <x:c r="E52" s="6"/>
      <x:c r="F52" s="6"/>
      <x:c r="G52" s="6"/>
      <x:c r="H52" s="6" t="str"/>
      <x:c r="I52" s="6" t="str"/>
      <x:c r="J52" s="6" t="str"/>
      <x:c r="K52" s="12" t="str">
        <x:v>Source Workbook</x:v>
      </x:c>
      <x:c r="L52" s="12" t="str">
        <x:v>Nocturnix_Master_Services_Catalog_v1.xlsx | 01 - Master Services | row 91</x:v>
      </x:c>
      <x:c r="M52" s="6" t="str">
        <x:v>Unresolved</x:v>
      </x:c>
      <x:c r="N52" s="6" t="str"/>
      <x:c r="O52" s="6" t="str"/>
      <x:c r="P52" s="6" t="str">
        <x:v>Pending</x:v>
      </x:c>
      <x:c r="Q52" s="12" t="str"/>
    </x:row>
    <x:row r="53">
      <x:c r="A53" s="6" t="str">
        <x:v>LABR-000052</x:v>
      </x:c>
      <x:c r="B53" s="6" t="str">
        <x:v>SVC000052</x:v>
      </x:c>
      <x:c r="C53" s="6" t="str">
        <x:v>Galaxy S4 Screen replacement</x:v>
      </x:c>
      <x:c r="D53" s="6"/>
      <x:c r="E53" s="6"/>
      <x:c r="F53" s="6"/>
      <x:c r="G53" s="6"/>
      <x:c r="H53" s="6" t="str"/>
      <x:c r="I53" s="6" t="str"/>
      <x:c r="J53" s="6" t="str"/>
      <x:c r="K53" s="12" t="str">
        <x:v>Source Workbook</x:v>
      </x:c>
      <x:c r="L53" s="12" t="str">
        <x:v>Nocturnix_Master_Services_Catalog_v1.xlsx | 01 - Master Services | row 92</x:v>
      </x:c>
      <x:c r="M53" s="6" t="str">
        <x:v>Unresolved</x:v>
      </x:c>
      <x:c r="N53" s="6" t="str"/>
      <x:c r="O53" s="6" t="str"/>
      <x:c r="P53" s="6" t="str">
        <x:v>Pending</x:v>
      </x:c>
      <x:c r="Q53" s="12" t="str"/>
    </x:row>
    <x:row r="54">
      <x:c r="A54" s="6" t="str">
        <x:v>LABR-000053</x:v>
      </x:c>
      <x:c r="B54" s="6" t="str">
        <x:v>SVC000053</x:v>
      </x:c>
      <x:c r="C54" s="6" t="str">
        <x:v>Galaxy S 4 Active Screen replacement</x:v>
      </x:c>
      <x:c r="D54" s="6"/>
      <x:c r="E54" s="6"/>
      <x:c r="F54" s="6"/>
      <x:c r="G54" s="6"/>
      <x:c r="H54" s="6" t="str"/>
      <x:c r="I54" s="6" t="str"/>
      <x:c r="J54" s="6" t="str"/>
      <x:c r="K54" s="12" t="str">
        <x:v>Source Workbook</x:v>
      </x:c>
      <x:c r="L54" s="12" t="str">
        <x:v>Nocturnix_Master_Services_Catalog_v1.xlsx | 01 - Master Services | row 93</x:v>
      </x:c>
      <x:c r="M54" s="6" t="str">
        <x:v>Unresolved</x:v>
      </x:c>
      <x:c r="N54" s="6" t="str"/>
      <x:c r="O54" s="6" t="str"/>
      <x:c r="P54" s="6" t="str">
        <x:v>Pending</x:v>
      </x:c>
      <x:c r="Q54" s="12" t="str"/>
    </x:row>
    <x:row r="55">
      <x:c r="A55" s="6" t="str">
        <x:v>LABR-000054</x:v>
      </x:c>
      <x:c r="B55" s="6" t="str">
        <x:v>SVC000054</x:v>
      </x:c>
      <x:c r="C55" s="6" t="str">
        <x:v>Galaxy S 5 Screen replacement</x:v>
      </x:c>
      <x:c r="D55" s="6"/>
      <x:c r="E55" s="6"/>
      <x:c r="F55" s="6"/>
      <x:c r="G55" s="6"/>
      <x:c r="H55" s="6" t="str"/>
      <x:c r="I55" s="6" t="str"/>
      <x:c r="J55" s="6" t="str"/>
      <x:c r="K55" s="12" t="str">
        <x:v>Source Workbook</x:v>
      </x:c>
      <x:c r="L55" s="12" t="str">
        <x:v>Nocturnix_Master_Services_Catalog_v1.xlsx | 01 - Master Services | row 94</x:v>
      </x:c>
      <x:c r="M55" s="6" t="str">
        <x:v>Unresolved</x:v>
      </x:c>
      <x:c r="N55" s="6" t="str"/>
      <x:c r="O55" s="6" t="str"/>
      <x:c r="P55" s="6" t="str">
        <x:v>Pending</x:v>
      </x:c>
      <x:c r="Q55" s="12" t="str"/>
    </x:row>
    <x:row r="56">
      <x:c r="A56" s="6" t="str">
        <x:v>LABR-000055</x:v>
      </x:c>
      <x:c r="B56" s="6" t="str">
        <x:v>SVC000055</x:v>
      </x:c>
      <x:c r="C56" s="6" t="str">
        <x:v>iPhone X Screen replacement</x:v>
      </x:c>
      <x:c r="D56" s="6"/>
      <x:c r="E56" s="6"/>
      <x:c r="F56" s="6"/>
      <x:c r="G56" s="6"/>
      <x:c r="H56" s="6" t="str"/>
      <x:c r="I56" s="6" t="str"/>
      <x:c r="J56" s="6" t="str"/>
      <x:c r="K56" s="12" t="str">
        <x:v>Source Workbook</x:v>
      </x:c>
      <x:c r="L56" s="12" t="str">
        <x:v>Nocturnix_Master_Services_Catalog_v1.xlsx | 01 - Master Services | row 95</x:v>
      </x:c>
      <x:c r="M56" s="6" t="str">
        <x:v>Unresolved</x:v>
      </x:c>
      <x:c r="N56" s="6" t="str"/>
      <x:c r="O56" s="6" t="str"/>
      <x:c r="P56" s="6" t="str">
        <x:v>Pending</x:v>
      </x:c>
      <x:c r="Q56" s="12" t="str"/>
    </x:row>
    <x:row r="57">
      <x:c r="A57" s="6" t="str">
        <x:v>LABR-000056</x:v>
      </x:c>
      <x:c r="B57" s="6" t="str">
        <x:v>SVC000056</x:v>
      </x:c>
      <x:c r="C57" s="6" t="str">
        <x:v>iPhone XS Max Screen replacement</x:v>
      </x:c>
      <x:c r="D57" s="6"/>
      <x:c r="E57" s="6"/>
      <x:c r="F57" s="6"/>
      <x:c r="G57" s="6"/>
      <x:c r="H57" s="6" t="str"/>
      <x:c r="I57" s="6" t="str"/>
      <x:c r="J57" s="6" t="str"/>
      <x:c r="K57" s="12" t="str">
        <x:v>Source Workbook</x:v>
      </x:c>
      <x:c r="L57" s="12" t="str">
        <x:v>Nocturnix_Master_Services_Catalog_v1.xlsx | 01 - Master Services | row 96</x:v>
      </x:c>
      <x:c r="M57" s="6" t="str">
        <x:v>Unresolved</x:v>
      </x:c>
      <x:c r="N57" s="6" t="str"/>
      <x:c r="O57" s="6" t="str"/>
      <x:c r="P57" s="6" t="str">
        <x:v>Pending</x:v>
      </x:c>
      <x:c r="Q57" s="12" t="str"/>
    </x:row>
    <x:row r="58">
      <x:c r="A58" s="6" t="str">
        <x:v>LABR-000057</x:v>
      </x:c>
      <x:c r="B58" s="6" t="str">
        <x:v>SVC000057</x:v>
      </x:c>
      <x:c r="C58" s="6" t="str">
        <x:v>iPhone 12 Screen replacement</x:v>
      </x:c>
      <x:c r="D58" s="6"/>
      <x:c r="E58" s="6"/>
      <x:c r="F58" s="6"/>
      <x:c r="G58" s="6"/>
      <x:c r="H58" s="6" t="str"/>
      <x:c r="I58" s="6" t="str"/>
      <x:c r="J58" s="6" t="str"/>
      <x:c r="K58" s="12" t="str">
        <x:v>Source Workbook</x:v>
      </x:c>
      <x:c r="L58" s="12" t="str">
        <x:v>Nocturnix_Master_Services_Catalog_v1.xlsx | 01 - Master Services | row 97</x:v>
      </x:c>
      <x:c r="M58" s="6" t="str">
        <x:v>Unresolved</x:v>
      </x:c>
      <x:c r="N58" s="6" t="str"/>
      <x:c r="O58" s="6" t="str"/>
      <x:c r="P58" s="6" t="str">
        <x:v>Pending</x:v>
      </x:c>
      <x:c r="Q58" s="12" t="str"/>
    </x:row>
    <x:row r="59">
      <x:c r="A59" s="6" t="str">
        <x:v>LABR-000058</x:v>
      </x:c>
      <x:c r="B59" s="6" t="str">
        <x:v>SVC000058</x:v>
      </x:c>
      <x:c r="C59" s="6" t="str">
        <x:v>iPhone 12 Pro Max Screen replacement</x:v>
      </x:c>
      <x:c r="D59" s="6"/>
      <x:c r="E59" s="6"/>
      <x:c r="F59" s="6"/>
      <x:c r="G59" s="6"/>
      <x:c r="H59" s="6" t="str"/>
      <x:c r="I59" s="6" t="str"/>
      <x:c r="J59" s="6" t="str"/>
      <x:c r="K59" s="12" t="str">
        <x:v>Source Workbook</x:v>
      </x:c>
      <x:c r="L59" s="12" t="str">
        <x:v>Nocturnix_Master_Services_Catalog_v1.xlsx | 01 - Master Services | row 98</x:v>
      </x:c>
      <x:c r="M59" s="6" t="str">
        <x:v>Unresolved</x:v>
      </x:c>
      <x:c r="N59" s="6" t="str"/>
      <x:c r="O59" s="6" t="str"/>
      <x:c r="P59" s="6" t="str">
        <x:v>Pending</x:v>
      </x:c>
      <x:c r="Q59" s="12" t="str"/>
    </x:row>
    <x:row r="60">
      <x:c r="A60" s="6" t="str">
        <x:v>LABR-000059</x:v>
      </x:c>
      <x:c r="B60" s="6" t="str">
        <x:v>SVC000059</x:v>
      </x:c>
      <x:c r="C60" s="6" t="str">
        <x:v>iPhone 12 Mini Screen replacement</x:v>
      </x:c>
      <x:c r="D60" s="6"/>
      <x:c r="E60" s="6"/>
      <x:c r="F60" s="6"/>
      <x:c r="G60" s="6"/>
      <x:c r="H60" s="6" t="str"/>
      <x:c r="I60" s="6" t="str"/>
      <x:c r="J60" s="6" t="str"/>
      <x:c r="K60" s="12" t="str">
        <x:v>Source Workbook</x:v>
      </x:c>
      <x:c r="L60" s="12" t="str">
        <x:v>Nocturnix_Master_Services_Catalog_v1.xlsx | 01 - Master Services | row 99</x:v>
      </x:c>
      <x:c r="M60" s="6" t="str">
        <x:v>Unresolved</x:v>
      </x:c>
      <x:c r="N60" s="6" t="str"/>
      <x:c r="O60" s="6" t="str"/>
      <x:c r="P60" s="6" t="str">
        <x:v>Pending</x:v>
      </x:c>
      <x:c r="Q60" s="12" t="str"/>
    </x:row>
    <x:row r="61">
      <x:c r="A61" s="6" t="str">
        <x:v>LABR-000060</x:v>
      </x:c>
      <x:c r="B61" s="6" t="str">
        <x:v>SVC000060</x:v>
      </x:c>
      <x:c r="C61" s="6" t="str">
        <x:v>iPhone 11 Pro Screen replacement</x:v>
      </x:c>
      <x:c r="D61" s="6"/>
      <x:c r="E61" s="6"/>
      <x:c r="F61" s="6"/>
      <x:c r="G61" s="6"/>
      <x:c r="H61" s="6" t="str"/>
      <x:c r="I61" s="6" t="str"/>
      <x:c r="J61" s="6" t="str"/>
      <x:c r="K61" s="12" t="str">
        <x:v>Source Workbook</x:v>
      </x:c>
      <x:c r="L61" s="12" t="str">
        <x:v>Nocturnix_Master_Services_Catalog_v1.xlsx | 01 - Master Services | row 100</x:v>
      </x:c>
      <x:c r="M61" s="6" t="str">
        <x:v>Unresolved</x:v>
      </x:c>
      <x:c r="N61" s="6" t="str"/>
      <x:c r="O61" s="6" t="str"/>
      <x:c r="P61" s="6" t="str">
        <x:v>Pending</x:v>
      </x:c>
      <x:c r="Q61" s="12" t="str"/>
    </x:row>
    <x:row r="62">
      <x:c r="A62" s="6" t="str">
        <x:v>LABR-000061</x:v>
      </x:c>
      <x:c r="B62" s="6" t="str">
        <x:v>SVC000061</x:v>
      </x:c>
      <x:c r="C62" s="6" t="str">
        <x:v>iPhone 11 Screen replacement</x:v>
      </x:c>
      <x:c r="D62" s="6"/>
      <x:c r="E62" s="6"/>
      <x:c r="F62" s="6"/>
      <x:c r="G62" s="6"/>
      <x:c r="H62" s="6" t="str"/>
      <x:c r="I62" s="6" t="str"/>
      <x:c r="J62" s="6" t="str"/>
      <x:c r="K62" s="12" t="str">
        <x:v>Source Workbook</x:v>
      </x:c>
      <x:c r="L62" s="12" t="str">
        <x:v>Nocturnix_Master_Services_Catalog_v1.xlsx | 01 - Master Services | row 101</x:v>
      </x:c>
      <x:c r="M62" s="6" t="str">
        <x:v>Unresolved</x:v>
      </x:c>
      <x:c r="N62" s="6" t="str"/>
      <x:c r="O62" s="6" t="str"/>
      <x:c r="P62" s="6" t="str">
        <x:v>Pending</x:v>
      </x:c>
      <x:c r="Q62" s="12" t="str"/>
    </x:row>
    <x:row r="63">
      <x:c r="A63" s="6" t="str">
        <x:v>LABR-000062</x:v>
      </x:c>
      <x:c r="B63" s="6" t="str">
        <x:v>SVC000062</x:v>
      </x:c>
      <x:c r="C63" s="6" t="str">
        <x:v>iPhone 11 Pro Max Screen replacement</x:v>
      </x:c>
      <x:c r="D63" s="6"/>
      <x:c r="E63" s="6"/>
      <x:c r="F63" s="6"/>
      <x:c r="G63" s="6"/>
      <x:c r="H63" s="6" t="str"/>
      <x:c r="I63" s="6" t="str"/>
      <x:c r="J63" s="6" t="str"/>
      <x:c r="K63" s="12" t="str">
        <x:v>Source Workbook</x:v>
      </x:c>
      <x:c r="L63" s="12" t="str">
        <x:v>Nocturnix_Master_Services_Catalog_v1.xlsx | 01 - Master Services | row 102</x:v>
      </x:c>
      <x:c r="M63" s="6" t="str">
        <x:v>Unresolved</x:v>
      </x:c>
      <x:c r="N63" s="6" t="str"/>
      <x:c r="O63" s="6" t="str"/>
      <x:c r="P63" s="6" t="str">
        <x:v>Pending</x:v>
      </x:c>
      <x:c r="Q63" s="12" t="str"/>
    </x:row>
    <x:row r="64">
      <x:c r="A64" s="6" t="str">
        <x:v>LABR-000063</x:v>
      </x:c>
      <x:c r="B64" s="6" t="str">
        <x:v>SVC000063</x:v>
      </x:c>
      <x:c r="C64" s="6" t="str">
        <x:v>iPhone 12 Pro Screen replacement</x:v>
      </x:c>
      <x:c r="D64" s="6"/>
      <x:c r="E64" s="6"/>
      <x:c r="F64" s="6"/>
      <x:c r="G64" s="6"/>
      <x:c r="H64" s="6" t="str"/>
      <x:c r="I64" s="6" t="str"/>
      <x:c r="J64" s="6" t="str"/>
      <x:c r="K64" s="12" t="str">
        <x:v>Source Workbook</x:v>
      </x:c>
      <x:c r="L64" s="12" t="str">
        <x:v>Nocturnix_Master_Services_Catalog_v1.xlsx | 01 - Master Services | row 103</x:v>
      </x:c>
      <x:c r="M64" s="6" t="str">
        <x:v>Unresolved</x:v>
      </x:c>
      <x:c r="N64" s="6" t="str"/>
      <x:c r="O64" s="6" t="str"/>
      <x:c r="P64" s="6" t="str">
        <x:v>Pending</x:v>
      </x:c>
      <x:c r="Q64" s="12" t="str"/>
    </x:row>
    <x:row r="65">
      <x:c r="A65" s="6" t="str">
        <x:v>LABR-000064</x:v>
      </x:c>
      <x:c r="B65" s="6" t="str">
        <x:v>SVC000064</x:v>
      </x:c>
      <x:c r="C65" s="6" t="str">
        <x:v>iPhone 13 Pro Screen replacement</x:v>
      </x:c>
      <x:c r="D65" s="6"/>
      <x:c r="E65" s="6"/>
      <x:c r="F65" s="6"/>
      <x:c r="G65" s="6"/>
      <x:c r="H65" s="6" t="str"/>
      <x:c r="I65" s="6" t="str"/>
      <x:c r="J65" s="6" t="str"/>
      <x:c r="K65" s="12" t="str">
        <x:v>Source Workbook</x:v>
      </x:c>
      <x:c r="L65" s="12" t="str">
        <x:v>Nocturnix_Master_Services_Catalog_v1.xlsx | 01 - Master Services | row 104</x:v>
      </x:c>
      <x:c r="M65" s="6" t="str">
        <x:v>Unresolved</x:v>
      </x:c>
      <x:c r="N65" s="6" t="str"/>
      <x:c r="O65" s="6" t="str"/>
      <x:c r="P65" s="6" t="str">
        <x:v>Pending</x:v>
      </x:c>
      <x:c r="Q65" s="12" t="str"/>
    </x:row>
    <x:row r="66">
      <x:c r="A66" s="6" t="str">
        <x:v>LABR-000065</x:v>
      </x:c>
      <x:c r="B66" s="6" t="str">
        <x:v>SVC000065</x:v>
      </x:c>
      <x:c r="C66" s="6" t="str">
        <x:v>iPhone 13 Screen replacement</x:v>
      </x:c>
      <x:c r="D66" s="6"/>
      <x:c r="E66" s="6"/>
      <x:c r="F66" s="6"/>
      <x:c r="G66" s="6"/>
      <x:c r="H66" s="6" t="str"/>
      <x:c r="I66" s="6" t="str"/>
      <x:c r="J66" s="6" t="str"/>
      <x:c r="K66" s="12" t="str">
        <x:v>Source Workbook</x:v>
      </x:c>
      <x:c r="L66" s="12" t="str">
        <x:v>Nocturnix_Master_Services_Catalog_v1.xlsx | 01 - Master Services | row 105</x:v>
      </x:c>
      <x:c r="M66" s="6" t="str">
        <x:v>Unresolved</x:v>
      </x:c>
      <x:c r="N66" s="6" t="str"/>
      <x:c r="O66" s="6" t="str"/>
      <x:c r="P66" s="6" t="str">
        <x:v>Pending</x:v>
      </x:c>
      <x:c r="Q66" s="12" t="str"/>
    </x:row>
    <x:row r="67">
      <x:c r="A67" s="6" t="str">
        <x:v>LABR-000066</x:v>
      </x:c>
      <x:c r="B67" s="6" t="str">
        <x:v>SVC000066</x:v>
      </x:c>
      <x:c r="C67" s="6" t="str">
        <x:v>iPhone 13 Pro Max Screen replacement</x:v>
      </x:c>
      <x:c r="D67" s="6"/>
      <x:c r="E67" s="6"/>
      <x:c r="F67" s="6"/>
      <x:c r="G67" s="6"/>
      <x:c r="H67" s="6" t="str"/>
      <x:c r="I67" s="6" t="str"/>
      <x:c r="J67" s="6" t="str"/>
      <x:c r="K67" s="12" t="str">
        <x:v>Source Workbook</x:v>
      </x:c>
      <x:c r="L67" s="12" t="str">
        <x:v>Nocturnix_Master_Services_Catalog_v1.xlsx | 01 - Master Services | row 106</x:v>
      </x:c>
      <x:c r="M67" s="6" t="str">
        <x:v>Unresolved</x:v>
      </x:c>
      <x:c r="N67" s="6" t="str"/>
      <x:c r="O67" s="6" t="str"/>
      <x:c r="P67" s="6" t="str">
        <x:v>Pending</x:v>
      </x:c>
      <x:c r="Q67" s="12" t="str"/>
    </x:row>
    <x:row r="68">
      <x:c r="A68" s="6" t="str">
        <x:v>LABR-000067</x:v>
      </x:c>
      <x:c r="B68" s="6" t="str">
        <x:v>SVC000067</x:v>
      </x:c>
      <x:c r="C68" s="6" t="str">
        <x:v>iPhone 13 Mini Screen replacement</x:v>
      </x:c>
      <x:c r="D68" s="6"/>
      <x:c r="E68" s="6"/>
      <x:c r="F68" s="6"/>
      <x:c r="G68" s="6"/>
      <x:c r="H68" s="6" t="str"/>
      <x:c r="I68" s="6" t="str"/>
      <x:c r="J68" s="6" t="str"/>
      <x:c r="K68" s="12" t="str">
        <x:v>Source Workbook</x:v>
      </x:c>
      <x:c r="L68" s="12" t="str">
        <x:v>Nocturnix_Master_Services_Catalog_v1.xlsx | 01 - Master Services | row 107</x:v>
      </x:c>
      <x:c r="M68" s="6" t="str">
        <x:v>Unresolved</x:v>
      </x:c>
      <x:c r="N68" s="6" t="str"/>
      <x:c r="O68" s="6" t="str"/>
      <x:c r="P68" s="6" t="str">
        <x:v>Pending</x:v>
      </x:c>
      <x:c r="Q68" s="12" t="str"/>
    </x:row>
    <x:row r="69">
      <x:c r="A69" s="6" t="str">
        <x:v>LABR-000068</x:v>
      </x:c>
      <x:c r="B69" s="6" t="str">
        <x:v>SVC000068</x:v>
      </x:c>
      <x:c r="C69" s="6" t="str">
        <x:v>iPhone 14 Screen replacement</x:v>
      </x:c>
      <x:c r="D69" s="6"/>
      <x:c r="E69" s="6"/>
      <x:c r="F69" s="6"/>
      <x:c r="G69" s="6"/>
      <x:c r="H69" s="6" t="str"/>
      <x:c r="I69" s="6" t="str"/>
      <x:c r="J69" s="6" t="str"/>
      <x:c r="K69" s="12" t="str">
        <x:v>Source Workbook</x:v>
      </x:c>
      <x:c r="L69" s="12" t="str">
        <x:v>Nocturnix_Master_Services_Catalog_v1.xlsx | 01 - Master Services | row 108</x:v>
      </x:c>
      <x:c r="M69" s="6" t="str">
        <x:v>Unresolved</x:v>
      </x:c>
      <x:c r="N69" s="6" t="str"/>
      <x:c r="O69" s="6" t="str"/>
      <x:c r="P69" s="6" t="str">
        <x:v>Pending</x:v>
      </x:c>
      <x:c r="Q69" s="12" t="str"/>
    </x:row>
    <x:row r="70">
      <x:c r="A70" s="6" t="str">
        <x:v>LABR-000069</x:v>
      </x:c>
      <x:c r="B70" s="6" t="str">
        <x:v>SVC000069</x:v>
      </x:c>
      <x:c r="C70" s="6" t="str">
        <x:v>iPhone 14 Pro Max Screen replacement</x:v>
      </x:c>
      <x:c r="D70" s="6"/>
      <x:c r="E70" s="6"/>
      <x:c r="F70" s="6"/>
      <x:c r="G70" s="6"/>
      <x:c r="H70" s="6" t="str"/>
      <x:c r="I70" s="6" t="str"/>
      <x:c r="J70" s="6" t="str"/>
      <x:c r="K70" s="12" t="str">
        <x:v>Source Workbook</x:v>
      </x:c>
      <x:c r="L70" s="12" t="str">
        <x:v>Nocturnix_Master_Services_Catalog_v1.xlsx | 01 - Master Services | row 109</x:v>
      </x:c>
      <x:c r="M70" s="6" t="str">
        <x:v>Unresolved</x:v>
      </x:c>
      <x:c r="N70" s="6" t="str"/>
      <x:c r="O70" s="6" t="str"/>
      <x:c r="P70" s="6" t="str">
        <x:v>Pending</x:v>
      </x:c>
      <x:c r="Q70" s="12" t="str"/>
    </x:row>
    <x:row r="71">
      <x:c r="A71" s="6" t="str">
        <x:v>LABR-000070</x:v>
      </x:c>
      <x:c r="B71" s="6" t="str">
        <x:v>SVC000070</x:v>
      </x:c>
      <x:c r="C71" s="6" t="str">
        <x:v>iPhone 14 Plus Screen replacement</x:v>
      </x:c>
      <x:c r="D71" s="6"/>
      <x:c r="E71" s="6"/>
      <x:c r="F71" s="6"/>
      <x:c r="G71" s="6"/>
      <x:c r="H71" s="6" t="str"/>
      <x:c r="I71" s="6" t="str"/>
      <x:c r="J71" s="6" t="str"/>
      <x:c r="K71" s="12" t="str">
        <x:v>Source Workbook</x:v>
      </x:c>
      <x:c r="L71" s="12" t="str">
        <x:v>Nocturnix_Master_Services_Catalog_v1.xlsx | 01 - Master Services | row 110</x:v>
      </x:c>
      <x:c r="M71" s="6" t="str">
        <x:v>Unresolved</x:v>
      </x:c>
      <x:c r="N71" s="6" t="str"/>
      <x:c r="O71" s="6" t="str"/>
      <x:c r="P71" s="6" t="str">
        <x:v>Pending</x:v>
      </x:c>
      <x:c r="Q71" s="12" t="str"/>
    </x:row>
    <x:row r="72">
      <x:c r="A72" s="6" t="str">
        <x:v>LABR-000071</x:v>
      </x:c>
      <x:c r="B72" s="6" t="str">
        <x:v>SVC000071</x:v>
      </x:c>
      <x:c r="C72" s="6" t="str">
        <x:v>iPhone 14 Pro Screen replacement</x:v>
      </x:c>
      <x:c r="D72" s="6"/>
      <x:c r="E72" s="6"/>
      <x:c r="F72" s="6"/>
      <x:c r="G72" s="6"/>
      <x:c r="H72" s="6" t="str"/>
      <x:c r="I72" s="6" t="str"/>
      <x:c r="J72" s="6" t="str"/>
      <x:c r="K72" s="12" t="str">
        <x:v>Source Workbook</x:v>
      </x:c>
      <x:c r="L72" s="12" t="str">
        <x:v>Nocturnix_Master_Services_Catalog_v1.xlsx | 01 - Master Services | row 111</x:v>
      </x:c>
      <x:c r="M72" s="6" t="str">
        <x:v>Unresolved</x:v>
      </x:c>
      <x:c r="N72" s="6" t="str"/>
      <x:c r="O72" s="6" t="str"/>
      <x:c r="P72" s="6" t="str">
        <x:v>Pending</x:v>
      </x:c>
      <x:c r="Q72" s="12" t="str"/>
    </x:row>
    <x:row r="73">
      <x:c r="A73" s="6" t="str">
        <x:v>LABR-000072</x:v>
      </x:c>
      <x:c r="B73" s="6" t="str">
        <x:v>SVC000072</x:v>
      </x:c>
      <x:c r="C73" s="6" t="str">
        <x:v>iPhone 15 Pro Screen replacement</x:v>
      </x:c>
      <x:c r="D73" s="6"/>
      <x:c r="E73" s="6"/>
      <x:c r="F73" s="6"/>
      <x:c r="G73" s="6"/>
      <x:c r="H73" s="6" t="str"/>
      <x:c r="I73" s="6" t="str"/>
      <x:c r="J73" s="6" t="str"/>
      <x:c r="K73" s="12" t="str">
        <x:v>Source Workbook</x:v>
      </x:c>
      <x:c r="L73" s="12" t="str">
        <x:v>Nocturnix_Master_Services_Catalog_v1.xlsx | 01 - Master Services | row 112</x:v>
      </x:c>
      <x:c r="M73" s="6" t="str">
        <x:v>Unresolved</x:v>
      </x:c>
      <x:c r="N73" s="6" t="str"/>
      <x:c r="O73" s="6" t="str"/>
      <x:c r="P73" s="6" t="str">
        <x:v>Pending</x:v>
      </x:c>
      <x:c r="Q73" s="12" t="str"/>
    </x:row>
    <x:row r="74">
      <x:c r="A74" s="6" t="str">
        <x:v>LABR-000073</x:v>
      </x:c>
      <x:c r="B74" s="6" t="str">
        <x:v>SVC000073</x:v>
      </x:c>
      <x:c r="C74" s="6" t="str">
        <x:v>iPhone 15 Pro Max Screen replacement</x:v>
      </x:c>
      <x:c r="D74" s="6"/>
      <x:c r="E74" s="6"/>
      <x:c r="F74" s="6"/>
      <x:c r="G74" s="6"/>
      <x:c r="H74" s="6" t="str"/>
      <x:c r="I74" s="6" t="str"/>
      <x:c r="J74" s="6" t="str"/>
      <x:c r="K74" s="12" t="str">
        <x:v>Source Workbook</x:v>
      </x:c>
      <x:c r="L74" s="12" t="str">
        <x:v>Nocturnix_Master_Services_Catalog_v1.xlsx | 01 - Master Services | row 113</x:v>
      </x:c>
      <x:c r="M74" s="6" t="str">
        <x:v>Unresolved</x:v>
      </x:c>
      <x:c r="N74" s="6" t="str"/>
      <x:c r="O74" s="6" t="str"/>
      <x:c r="P74" s="6" t="str">
        <x:v>Pending</x:v>
      </x:c>
      <x:c r="Q74" s="12" t="str"/>
    </x:row>
    <x:row r="75">
      <x:c r="A75" s="6" t="str">
        <x:v>LABR-000074</x:v>
      </x:c>
      <x:c r="B75" s="6" t="str">
        <x:v>SVC000074</x:v>
      </x:c>
      <x:c r="C75" s="6" t="str">
        <x:v>iPhone 15 Screen replacement</x:v>
      </x:c>
      <x:c r="D75" s="6"/>
      <x:c r="E75" s="6"/>
      <x:c r="F75" s="6"/>
      <x:c r="G75" s="6"/>
      <x:c r="H75" s="6" t="str"/>
      <x:c r="I75" s="6" t="str"/>
      <x:c r="J75" s="6" t="str"/>
      <x:c r="K75" s="12" t="str">
        <x:v>Source Workbook</x:v>
      </x:c>
      <x:c r="L75" s="12" t="str">
        <x:v>Nocturnix_Master_Services_Catalog_v1.xlsx | 01 - Master Services | row 114</x:v>
      </x:c>
      <x:c r="M75" s="6" t="str">
        <x:v>Unresolved</x:v>
      </x:c>
      <x:c r="N75" s="6" t="str"/>
      <x:c r="O75" s="6" t="str"/>
      <x:c r="P75" s="6" t="str">
        <x:v>Pending</x:v>
      </x:c>
      <x:c r="Q75" s="12" t="str"/>
    </x:row>
    <x:row r="76">
      <x:c r="A76" s="6" t="str">
        <x:v>LABR-000075</x:v>
      </x:c>
      <x:c r="B76" s="6" t="str">
        <x:v>SVC000075</x:v>
      </x:c>
      <x:c r="C76" s="6" t="str">
        <x:v>iPhone 15 Plus Screen replacement</x:v>
      </x:c>
      <x:c r="D76" s="6"/>
      <x:c r="E76" s="6"/>
      <x:c r="F76" s="6"/>
      <x:c r="G76" s="6"/>
      <x:c r="H76" s="6" t="str"/>
      <x:c r="I76" s="6" t="str"/>
      <x:c r="J76" s="6" t="str"/>
      <x:c r="K76" s="12" t="str">
        <x:v>Source Workbook</x:v>
      </x:c>
      <x:c r="L76" s="12" t="str">
        <x:v>Nocturnix_Master_Services_Catalog_v1.xlsx | 01 - Master Services | row 115</x:v>
      </x:c>
      <x:c r="M76" s="6" t="str">
        <x:v>Unresolved</x:v>
      </x:c>
      <x:c r="N76" s="6" t="str"/>
      <x:c r="O76" s="6" t="str"/>
      <x:c r="P76" s="6" t="str">
        <x:v>Pending</x:v>
      </x:c>
      <x:c r="Q76" s="12" t="str"/>
    </x:row>
    <x:row r="77">
      <x:c r="A77" s="6" t="str">
        <x:v>LABR-000076</x:v>
      </x:c>
      <x:c r="B77" s="6" t="str">
        <x:v>SVC000076</x:v>
      </x:c>
      <x:c r="C77" s="6" t="str">
        <x:v>iPhone 16 Plus Screen replacement</x:v>
      </x:c>
      <x:c r="D77" s="6"/>
      <x:c r="E77" s="6"/>
      <x:c r="F77" s="6"/>
      <x:c r="G77" s="6"/>
      <x:c r="H77" s="6" t="str"/>
      <x:c r="I77" s="6" t="str"/>
      <x:c r="J77" s="6" t="str"/>
      <x:c r="K77" s="12" t="str">
        <x:v>Source Workbook</x:v>
      </x:c>
      <x:c r="L77" s="12" t="str">
        <x:v>Nocturnix_Master_Services_Catalog_v1.xlsx | 01 - Master Services | row 116</x:v>
      </x:c>
      <x:c r="M77" s="6" t="str">
        <x:v>Unresolved</x:v>
      </x:c>
      <x:c r="N77" s="6" t="str"/>
      <x:c r="O77" s="6" t="str"/>
      <x:c r="P77" s="6" t="str">
        <x:v>Pending</x:v>
      </x:c>
      <x:c r="Q77" s="12" t="str"/>
    </x:row>
    <x:row r="78">
      <x:c r="A78" s="6" t="str">
        <x:v>LABR-000077</x:v>
      </x:c>
      <x:c r="B78" s="6" t="str">
        <x:v>SVC000077</x:v>
      </x:c>
      <x:c r="C78" s="6" t="str">
        <x:v>iPhone 16 Pro Max Screen replacement</x:v>
      </x:c>
      <x:c r="D78" s="6"/>
      <x:c r="E78" s="6"/>
      <x:c r="F78" s="6"/>
      <x:c r="G78" s="6"/>
      <x:c r="H78" s="6" t="str"/>
      <x:c r="I78" s="6" t="str"/>
      <x:c r="J78" s="6" t="str"/>
      <x:c r="K78" s="12" t="str">
        <x:v>Source Workbook</x:v>
      </x:c>
      <x:c r="L78" s="12" t="str">
        <x:v>Nocturnix_Master_Services_Catalog_v1.xlsx | 01 - Master Services | row 117</x:v>
      </x:c>
      <x:c r="M78" s="6" t="str">
        <x:v>Unresolved</x:v>
      </x:c>
      <x:c r="N78" s="6" t="str"/>
      <x:c r="O78" s="6" t="str"/>
      <x:c r="P78" s="6" t="str">
        <x:v>Pending</x:v>
      </x:c>
      <x:c r="Q78" s="12" t="str"/>
    </x:row>
    <x:row r="79">
      <x:c r="A79" s="6" t="str">
        <x:v>LABR-000078</x:v>
      </x:c>
      <x:c r="B79" s="6" t="str">
        <x:v>SVC000078</x:v>
      </x:c>
      <x:c r="C79" s="6" t="str">
        <x:v>iPhone 16 Screen replacement</x:v>
      </x:c>
      <x:c r="D79" s="6"/>
      <x:c r="E79" s="6"/>
      <x:c r="F79" s="6"/>
      <x:c r="G79" s="6"/>
      <x:c r="H79" s="6" t="str"/>
      <x:c r="I79" s="6" t="str"/>
      <x:c r="J79" s="6" t="str"/>
      <x:c r="K79" s="12" t="str">
        <x:v>Source Workbook</x:v>
      </x:c>
      <x:c r="L79" s="12" t="str">
        <x:v>Nocturnix_Master_Services_Catalog_v1.xlsx | 01 - Master Services | row 118</x:v>
      </x:c>
      <x:c r="M79" s="6" t="str">
        <x:v>Unresolved</x:v>
      </x:c>
      <x:c r="N79" s="6" t="str"/>
      <x:c r="O79" s="6" t="str"/>
      <x:c r="P79" s="6" t="str">
        <x:v>Pending</x:v>
      </x:c>
      <x:c r="Q79" s="12" t="str"/>
    </x:row>
    <x:row r="80">
      <x:c r="A80" s="6" t="str">
        <x:v>LABR-000079</x:v>
      </x:c>
      <x:c r="B80" s="6" t="str">
        <x:v>SVC000079</x:v>
      </x:c>
      <x:c r="C80" s="6" t="str">
        <x:v>iPhone 16 Pro Screen replacement</x:v>
      </x:c>
      <x:c r="D80" s="6"/>
      <x:c r="E80" s="6"/>
      <x:c r="F80" s="6"/>
      <x:c r="G80" s="6"/>
      <x:c r="H80" s="6" t="str"/>
      <x:c r="I80" s="6" t="str"/>
      <x:c r="J80" s="6" t="str"/>
      <x:c r="K80" s="12" t="str">
        <x:v>Source Workbook</x:v>
      </x:c>
      <x:c r="L80" s="12" t="str">
        <x:v>Nocturnix_Master_Services_Catalog_v1.xlsx | 01 - Master Services | row 119</x:v>
      </x:c>
      <x:c r="M80" s="6" t="str">
        <x:v>Unresolved</x:v>
      </x:c>
      <x:c r="N80" s="6" t="str"/>
      <x:c r="O80" s="6" t="str"/>
      <x:c r="P80" s="6" t="str">
        <x:v>Pending</x:v>
      </x:c>
      <x:c r="Q80" s="12" t="str"/>
    </x:row>
    <x:row r="81">
      <x:c r="A81" s="6" t="str">
        <x:v>LABR-000080</x:v>
      </x:c>
      <x:c r="B81" s="6" t="str">
        <x:v>SVC000080</x:v>
      </x:c>
      <x:c r="C81" s="6" t="str">
        <x:v>iPhone 16E Screen replacement</x:v>
      </x:c>
      <x:c r="D81" s="6"/>
      <x:c r="E81" s="6"/>
      <x:c r="F81" s="6"/>
      <x:c r="G81" s="6"/>
      <x:c r="H81" s="6" t="str"/>
      <x:c r="I81" s="6" t="str"/>
      <x:c r="J81" s="6" t="str"/>
      <x:c r="K81" s="12" t="str">
        <x:v>Source Workbook</x:v>
      </x:c>
      <x:c r="L81" s="12" t="str">
        <x:v>Nocturnix_Master_Services_Catalog_v1.xlsx | 01 - Master Services | row 120</x:v>
      </x:c>
      <x:c r="M81" s="6" t="str">
        <x:v>Unresolved</x:v>
      </x:c>
      <x:c r="N81" s="6" t="str"/>
      <x:c r="O81" s="6" t="str"/>
      <x:c r="P81" s="6" t="str">
        <x:v>Pending</x:v>
      </x:c>
      <x:c r="Q81" s="12" t="str"/>
    </x:row>
    <x:row r="82">
      <x:c r="A82" s="6" t="str">
        <x:v>LABR-000081</x:v>
      </x:c>
      <x:c r="B82" s="6" t="str">
        <x:v>SVC000081</x:v>
      </x:c>
      <x:c r="C82" s="6" t="str">
        <x:v>iPhone 17 Pro Max Phone* Screen replacement</x:v>
      </x:c>
      <x:c r="D82" s="6"/>
      <x:c r="E82" s="6"/>
      <x:c r="F82" s="6"/>
      <x:c r="G82" s="6"/>
      <x:c r="H82" s="6" t="str"/>
      <x:c r="I82" s="6" t="str"/>
      <x:c r="J82" s="6" t="str"/>
      <x:c r="K82" s="12" t="str">
        <x:v>Source Workbook</x:v>
      </x:c>
      <x:c r="L82" s="12" t="str">
        <x:v>Nocturnix_Master_Services_Catalog_v1.xlsx | 01 - Master Services | row 121</x:v>
      </x:c>
      <x:c r="M82" s="6" t="str">
        <x:v>Unresolved</x:v>
      </x:c>
      <x:c r="N82" s="6" t="str"/>
      <x:c r="O82" s="6" t="str"/>
      <x:c r="P82" s="6" t="str">
        <x:v>Pending</x:v>
      </x:c>
      <x:c r="Q82" s="12" t="str"/>
    </x:row>
    <x:row r="83">
      <x:c r="A83" s="6" t="str">
        <x:v>LABR-000082</x:v>
      </x:c>
      <x:c r="B83" s="6" t="str">
        <x:v>SVC000082</x:v>
      </x:c>
      <x:c r="C83" s="6" t="str">
        <x:v>iPhone 17 Pro Screen replacement</x:v>
      </x:c>
      <x:c r="D83" s="6"/>
      <x:c r="E83" s="6"/>
      <x:c r="F83" s="6"/>
      <x:c r="G83" s="6"/>
      <x:c r="H83" s="6" t="str"/>
      <x:c r="I83" s="6" t="str"/>
      <x:c r="J83" s="6" t="str"/>
      <x:c r="K83" s="12" t="str">
        <x:v>Source Workbook</x:v>
      </x:c>
      <x:c r="L83" s="12" t="str">
        <x:v>Nocturnix_Master_Services_Catalog_v1.xlsx | 01 - Master Services | row 122</x:v>
      </x:c>
      <x:c r="M83" s="6" t="str">
        <x:v>Unresolved</x:v>
      </x:c>
      <x:c r="N83" s="6" t="str"/>
      <x:c r="O83" s="6" t="str"/>
      <x:c r="P83" s="6" t="str">
        <x:v>Pending</x:v>
      </x:c>
      <x:c r="Q83" s="12" t="str"/>
    </x:row>
    <x:row r="84">
      <x:c r="A84" s="6" t="str">
        <x:v>LABR-000083</x:v>
      </x:c>
      <x:c r="B84" s="6" t="str">
        <x:v>SVC000083</x:v>
      </x:c>
      <x:c r="C84" s="6" t="str">
        <x:v>iPhone 17 Screen replacement</x:v>
      </x:c>
      <x:c r="D84" s="6"/>
      <x:c r="E84" s="6"/>
      <x:c r="F84" s="6"/>
      <x:c r="G84" s="6"/>
      <x:c r="H84" s="6" t="str"/>
      <x:c r="I84" s="6" t="str"/>
      <x:c r="J84" s="6" t="str"/>
      <x:c r="K84" s="12" t="str">
        <x:v>Source Workbook</x:v>
      </x:c>
      <x:c r="L84" s="12" t="str">
        <x:v>Nocturnix_Master_Services_Catalog_v1.xlsx | 01 - Master Services | row 123</x:v>
      </x:c>
      <x:c r="M84" s="6" t="str">
        <x:v>Unresolved</x:v>
      </x:c>
      <x:c r="N84" s="6" t="str"/>
      <x:c r="O84" s="6" t="str"/>
      <x:c r="P84" s="6" t="str">
        <x:v>Pending</x:v>
      </x:c>
      <x:c r="Q84" s="12" t="str"/>
    </x:row>
    <x:row r="85">
      <x:c r="A85" s="6" t="str">
        <x:v>LABR-000084</x:v>
      </x:c>
      <x:c r="B85" s="6" t="str">
        <x:v>SVC000084</x:v>
      </x:c>
      <x:c r="C85" s="6" t="str">
        <x:v>iPhone 5C Screen replacement</x:v>
      </x:c>
      <x:c r="D85" s="6"/>
      <x:c r="E85" s="6"/>
      <x:c r="F85" s="6"/>
      <x:c r="G85" s="6"/>
      <x:c r="H85" s="6" t="str"/>
      <x:c r="I85" s="6" t="str"/>
      <x:c r="J85" s="6" t="str"/>
      <x:c r="K85" s="12" t="str">
        <x:v>Source Workbook</x:v>
      </x:c>
      <x:c r="L85" s="12" t="str">
        <x:v>Nocturnix_Master_Services_Catalog_v1.xlsx | 01 - Master Services | row 124</x:v>
      </x:c>
      <x:c r="M85" s="6" t="str">
        <x:v>Unresolved</x:v>
      </x:c>
      <x:c r="N85" s="6" t="str"/>
      <x:c r="O85" s="6" t="str"/>
      <x:c r="P85" s="6" t="str">
        <x:v>Pending</x:v>
      </x:c>
      <x:c r="Q85" s="12" t="str"/>
    </x:row>
    <x:row r="86">
      <x:c r="A86" s="6" t="str">
        <x:v>LABR-000085</x:v>
      </x:c>
      <x:c r="B86" s="6" t="str">
        <x:v>SVC000085</x:v>
      </x:c>
      <x:c r="C86" s="6" t="str">
        <x:v>iPhone 5S Screen replacement</x:v>
      </x:c>
      <x:c r="D86" s="6"/>
      <x:c r="E86" s="6"/>
      <x:c r="F86" s="6"/>
      <x:c r="G86" s="6"/>
      <x:c r="H86" s="6" t="str"/>
      <x:c r="I86" s="6" t="str"/>
      <x:c r="J86" s="6" t="str"/>
      <x:c r="K86" s="12" t="str">
        <x:v>Source Workbook</x:v>
      </x:c>
      <x:c r="L86" s="12" t="str">
        <x:v>Nocturnix_Master_Services_Catalog_v1.xlsx | 01 - Master Services | row 125</x:v>
      </x:c>
      <x:c r="M86" s="6" t="str">
        <x:v>Unresolved</x:v>
      </x:c>
      <x:c r="N86" s="6" t="str"/>
      <x:c r="O86" s="6" t="str"/>
      <x:c r="P86" s="6" t="str">
        <x:v>Pending</x:v>
      </x:c>
      <x:c r="Q86" s="12" t="str"/>
    </x:row>
    <x:row r="87">
      <x:c r="A87" s="6" t="str">
        <x:v>LABR-000086</x:v>
      </x:c>
      <x:c r="B87" s="6" t="str">
        <x:v>SVC000086</x:v>
      </x:c>
      <x:c r="C87" s="6" t="str">
        <x:v>iPhone 6+ Screen replacement</x:v>
      </x:c>
      <x:c r="D87" s="6"/>
      <x:c r="E87" s="6"/>
      <x:c r="F87" s="6"/>
      <x:c r="G87" s="6"/>
      <x:c r="H87" s="6" t="str"/>
      <x:c r="I87" s="6" t="str"/>
      <x:c r="J87" s="6" t="str"/>
      <x:c r="K87" s="12" t="str">
        <x:v>Source Workbook</x:v>
      </x:c>
      <x:c r="L87" s="12" t="str">
        <x:v>Nocturnix_Master_Services_Catalog_v1.xlsx | 01 - Master Services | row 126</x:v>
      </x:c>
      <x:c r="M87" s="6" t="str">
        <x:v>Unresolved</x:v>
      </x:c>
      <x:c r="N87" s="6" t="str"/>
      <x:c r="O87" s="6" t="str"/>
      <x:c r="P87" s="6" t="str">
        <x:v>Pending</x:v>
      </x:c>
      <x:c r="Q87" s="12" t="str"/>
    </x:row>
    <x:row r="88">
      <x:c r="A88" s="6" t="str">
        <x:v>LABR-000087</x:v>
      </x:c>
      <x:c r="B88" s="6" t="str">
        <x:v>SVC000087</x:v>
      </x:c>
      <x:c r="C88" s="6" t="str">
        <x:v>iPhone 6 Screen replacement</x:v>
      </x:c>
      <x:c r="D88" s="6"/>
      <x:c r="E88" s="6"/>
      <x:c r="F88" s="6"/>
      <x:c r="G88" s="6"/>
      <x:c r="H88" s="6" t="str"/>
      <x:c r="I88" s="6" t="str"/>
      <x:c r="J88" s="6" t="str"/>
      <x:c r="K88" s="12" t="str">
        <x:v>Source Workbook</x:v>
      </x:c>
      <x:c r="L88" s="12" t="str">
        <x:v>Nocturnix_Master_Services_Catalog_v1.xlsx | 01 - Master Services | row 127</x:v>
      </x:c>
      <x:c r="M88" s="6" t="str">
        <x:v>Unresolved</x:v>
      </x:c>
      <x:c r="N88" s="6" t="str"/>
      <x:c r="O88" s="6" t="str"/>
      <x:c r="P88" s="6" t="str">
        <x:v>Pending</x:v>
      </x:c>
      <x:c r="Q88" s="12" t="str"/>
    </x:row>
    <x:row r="89">
      <x:c r="A89" s="6" t="str">
        <x:v>LABR-000088</x:v>
      </x:c>
      <x:c r="B89" s="6" t="str">
        <x:v>SVC000088</x:v>
      </x:c>
      <x:c r="C89" s="6" t="str">
        <x:v>iPhone 6S+ Screen replacement</x:v>
      </x:c>
      <x:c r="D89" s="6"/>
      <x:c r="E89" s="6"/>
      <x:c r="F89" s="6"/>
      <x:c r="G89" s="6"/>
      <x:c r="H89" s="6" t="str"/>
      <x:c r="I89" s="6" t="str"/>
      <x:c r="J89" s="6" t="str"/>
      <x:c r="K89" s="12" t="str">
        <x:v>Source Workbook</x:v>
      </x:c>
      <x:c r="L89" s="12" t="str">
        <x:v>Nocturnix_Master_Services_Catalog_v1.xlsx | 01 - Master Services | row 128</x:v>
      </x:c>
      <x:c r="M89" s="6" t="str">
        <x:v>Unresolved</x:v>
      </x:c>
      <x:c r="N89" s="6" t="str"/>
      <x:c r="O89" s="6" t="str"/>
      <x:c r="P89" s="6" t="str">
        <x:v>Pending</x:v>
      </x:c>
      <x:c r="Q89" s="12" t="str"/>
    </x:row>
    <x:row r="90">
      <x:c r="A90" s="6" t="str">
        <x:v>LABR-000089</x:v>
      </x:c>
      <x:c r="B90" s="6" t="str">
        <x:v>SVC000089</x:v>
      </x:c>
      <x:c r="C90" s="6" t="str">
        <x:v>iPhone 6S Screen replacement</x:v>
      </x:c>
      <x:c r="D90" s="6"/>
      <x:c r="E90" s="6"/>
      <x:c r="F90" s="6"/>
      <x:c r="G90" s="6"/>
      <x:c r="H90" s="6" t="str"/>
      <x:c r="I90" s="6" t="str"/>
      <x:c r="J90" s="6" t="str"/>
      <x:c r="K90" s="12" t="str">
        <x:v>Source Workbook</x:v>
      </x:c>
      <x:c r="L90" s="12" t="str">
        <x:v>Nocturnix_Master_Services_Catalog_v1.xlsx | 01 - Master Services | row 129</x:v>
      </x:c>
      <x:c r="M90" s="6" t="str">
        <x:v>Unresolved</x:v>
      </x:c>
      <x:c r="N90" s="6" t="str"/>
      <x:c r="O90" s="6" t="str"/>
      <x:c r="P90" s="6" t="str">
        <x:v>Pending</x:v>
      </x:c>
      <x:c r="Q90" s="12" t="str"/>
    </x:row>
    <x:row r="91">
      <x:c r="A91" s="6" t="str">
        <x:v>LABR-000090</x:v>
      </x:c>
      <x:c r="B91" s="6" t="str">
        <x:v>SVC000090</x:v>
      </x:c>
      <x:c r="C91" s="6" t="str">
        <x:v>iPhone 7+ Screen replacement</x:v>
      </x:c>
      <x:c r="D91" s="6"/>
      <x:c r="E91" s="6"/>
      <x:c r="F91" s="6"/>
      <x:c r="G91" s="6"/>
      <x:c r="H91" s="6" t="str"/>
      <x:c r="I91" s="6" t="str"/>
      <x:c r="J91" s="6" t="str"/>
      <x:c r="K91" s="12" t="str">
        <x:v>Source Workbook</x:v>
      </x:c>
      <x:c r="L91" s="12" t="str">
        <x:v>Nocturnix_Master_Services_Catalog_v1.xlsx | 01 - Master Services | row 130</x:v>
      </x:c>
      <x:c r="M91" s="6" t="str">
        <x:v>Unresolved</x:v>
      </x:c>
      <x:c r="N91" s="6" t="str"/>
      <x:c r="O91" s="6" t="str"/>
      <x:c r="P91" s="6" t="str">
        <x:v>Pending</x:v>
      </x:c>
      <x:c r="Q91" s="12" t="str"/>
    </x:row>
    <x:row r="92">
      <x:c r="A92" s="6" t="str">
        <x:v>LABR-000091</x:v>
      </x:c>
      <x:c r="B92" s="6" t="str">
        <x:v>SVC000091</x:v>
      </x:c>
      <x:c r="C92" s="6" t="str">
        <x:v>iPhone 7 Screen replacement</x:v>
      </x:c>
      <x:c r="D92" s="6"/>
      <x:c r="E92" s="6"/>
      <x:c r="F92" s="6"/>
      <x:c r="G92" s="6"/>
      <x:c r="H92" s="6" t="str"/>
      <x:c r="I92" s="6" t="str"/>
      <x:c r="J92" s="6" t="str"/>
      <x:c r="K92" s="12" t="str">
        <x:v>Source Workbook</x:v>
      </x:c>
      <x:c r="L92" s="12" t="str">
        <x:v>Nocturnix_Master_Services_Catalog_v1.xlsx | 01 - Master Services | row 131</x:v>
      </x:c>
      <x:c r="M92" s="6" t="str">
        <x:v>Unresolved</x:v>
      </x:c>
      <x:c r="N92" s="6" t="str"/>
      <x:c r="O92" s="6" t="str"/>
      <x:c r="P92" s="6" t="str">
        <x:v>Pending</x:v>
      </x:c>
      <x:c r="Q92" s="12" t="str"/>
    </x:row>
    <x:row r="93">
      <x:c r="A93" s="6" t="str">
        <x:v>LABR-000092</x:v>
      </x:c>
      <x:c r="B93" s="6" t="str">
        <x:v>SVC000092</x:v>
      </x:c>
      <x:c r="C93" s="6" t="str">
        <x:v>iPhone 8+ Screen replacement</x:v>
      </x:c>
      <x:c r="D93" s="6"/>
      <x:c r="E93" s="6"/>
      <x:c r="F93" s="6"/>
      <x:c r="G93" s="6"/>
      <x:c r="H93" s="6" t="str"/>
      <x:c r="I93" s="6" t="str"/>
      <x:c r="J93" s="6" t="str"/>
      <x:c r="K93" s="12" t="str">
        <x:v>Source Workbook</x:v>
      </x:c>
      <x:c r="L93" s="12" t="str">
        <x:v>Nocturnix_Master_Services_Catalog_v1.xlsx | 01 - Master Services | row 132</x:v>
      </x:c>
      <x:c r="M93" s="6" t="str">
        <x:v>Unresolved</x:v>
      </x:c>
      <x:c r="N93" s="6" t="str"/>
      <x:c r="O93" s="6" t="str"/>
      <x:c r="P93" s="6" t="str">
        <x:v>Pending</x:v>
      </x:c>
      <x:c r="Q93" s="12" t="str"/>
    </x:row>
    <x:row r="94">
      <x:c r="A94" s="6" t="str">
        <x:v>LABR-000093</x:v>
      </x:c>
      <x:c r="B94" s="6" t="str">
        <x:v>SVC000093</x:v>
      </x:c>
      <x:c r="C94" s="6" t="str">
        <x:v>iPhone 8 Screen replacement</x:v>
      </x:c>
      <x:c r="D94" s="6"/>
      <x:c r="E94" s="6"/>
      <x:c r="F94" s="6"/>
      <x:c r="G94" s="6"/>
      <x:c r="H94" s="6" t="str"/>
      <x:c r="I94" s="6" t="str"/>
      <x:c r="J94" s="6" t="str"/>
      <x:c r="K94" s="12" t="str">
        <x:v>Source Workbook</x:v>
      </x:c>
      <x:c r="L94" s="12" t="str">
        <x:v>Nocturnix_Master_Services_Catalog_v1.xlsx | 01 - Master Services | row 133</x:v>
      </x:c>
      <x:c r="M94" s="6" t="str">
        <x:v>Unresolved</x:v>
      </x:c>
      <x:c r="N94" s="6" t="str"/>
      <x:c r="O94" s="6" t="str"/>
      <x:c r="P94" s="6" t="str">
        <x:v>Pending</x:v>
      </x:c>
      <x:c r="Q94" s="12" t="str"/>
    </x:row>
    <x:row r="95">
      <x:c r="A95" s="6" t="str">
        <x:v>LABR-000094</x:v>
      </x:c>
      <x:c r="B95" s="6" t="str">
        <x:v>SVC000094</x:v>
      </x:c>
      <x:c r="C95" s="6" t="str">
        <x:v>iPhone Air Screen replacement</x:v>
      </x:c>
      <x:c r="D95" s="6"/>
      <x:c r="E95" s="6"/>
      <x:c r="F95" s="6"/>
      <x:c r="G95" s="6"/>
      <x:c r="H95" s="6" t="str"/>
      <x:c r="I95" s="6" t="str"/>
      <x:c r="J95" s="6" t="str"/>
      <x:c r="K95" s="12" t="str">
        <x:v>Source Workbook</x:v>
      </x:c>
      <x:c r="L95" s="12" t="str">
        <x:v>Nocturnix_Master_Services_Catalog_v1.xlsx | 01 - Master Services | row 134</x:v>
      </x:c>
      <x:c r="M95" s="6" t="str">
        <x:v>Unresolved</x:v>
      </x:c>
      <x:c r="N95" s="6" t="str"/>
      <x:c r="O95" s="6" t="str"/>
      <x:c r="P95" s="6" t="str">
        <x:v>Pending</x:v>
      </x:c>
      <x:c r="Q95" s="12" t="str"/>
    </x:row>
    <x:row r="96">
      <x:c r="A96" s="6" t="str">
        <x:v>LABR-000095</x:v>
      </x:c>
      <x:c r="B96" s="6" t="str">
        <x:v>SVC000095</x:v>
      </x:c>
      <x:c r="C96" s="6" t="str">
        <x:v>iPhone SE(1ST GEN) Screen replacement</x:v>
      </x:c>
      <x:c r="D96" s="6"/>
      <x:c r="E96" s="6"/>
      <x:c r="F96" s="6"/>
      <x:c r="G96" s="6"/>
      <x:c r="H96" s="6" t="str"/>
      <x:c r="I96" s="6" t="str"/>
      <x:c r="J96" s="6" t="str"/>
      <x:c r="K96" s="12" t="str">
        <x:v>Source Workbook</x:v>
      </x:c>
      <x:c r="L96" s="12" t="str">
        <x:v>Nocturnix_Master_Services_Catalog_v1.xlsx | 01 - Master Services | row 135</x:v>
      </x:c>
      <x:c r="M96" s="6" t="str">
        <x:v>Unresolved</x:v>
      </x:c>
      <x:c r="N96" s="6" t="str"/>
      <x:c r="O96" s="6" t="str"/>
      <x:c r="P96" s="6" t="str">
        <x:v>Pending</x:v>
      </x:c>
      <x:c r="Q96" s="12" t="str"/>
    </x:row>
    <x:row r="97">
      <x:c r="A97" s="6" t="str">
        <x:v>LABR-000096</x:v>
      </x:c>
      <x:c r="B97" s="6" t="str">
        <x:v>SVC000096</x:v>
      </x:c>
      <x:c r="C97" s="6" t="str">
        <x:v>iPhone SE (2ND GEN) Screen replacement</x:v>
      </x:c>
      <x:c r="D97" s="6"/>
      <x:c r="E97" s="6"/>
      <x:c r="F97" s="6"/>
      <x:c r="G97" s="6"/>
      <x:c r="H97" s="6" t="str"/>
      <x:c r="I97" s="6" t="str"/>
      <x:c r="J97" s="6" t="str"/>
      <x:c r="K97" s="12" t="str">
        <x:v>Source Workbook</x:v>
      </x:c>
      <x:c r="L97" s="12" t="str">
        <x:v>Nocturnix_Master_Services_Catalog_v1.xlsx | 01 - Master Services | row 136</x:v>
      </x:c>
      <x:c r="M97" s="6" t="str">
        <x:v>Unresolved</x:v>
      </x:c>
      <x:c r="N97" s="6" t="str"/>
      <x:c r="O97" s="6" t="str"/>
      <x:c r="P97" s="6" t="str">
        <x:v>Pending</x:v>
      </x:c>
      <x:c r="Q97" s="12" t="str"/>
    </x:row>
    <x:row r="98">
      <x:c r="A98" s="6" t="str">
        <x:v>LABR-000097</x:v>
      </x:c>
      <x:c r="B98" s="6" t="str">
        <x:v>SVC000097</x:v>
      </x:c>
      <x:c r="C98" s="6" t="str">
        <x:v>iPhone SE (3RD GEN) Screen replacement</x:v>
      </x:c>
      <x:c r="D98" s="6"/>
      <x:c r="E98" s="6"/>
      <x:c r="F98" s="6"/>
      <x:c r="G98" s="6"/>
      <x:c r="H98" s="6" t="str"/>
      <x:c r="I98" s="6" t="str"/>
      <x:c r="J98" s="6" t="str"/>
      <x:c r="K98" s="12" t="str">
        <x:v>Source Workbook</x:v>
      </x:c>
      <x:c r="L98" s="12" t="str">
        <x:v>Nocturnix_Master_Services_Catalog_v1.xlsx | 01 - Master Services | row 137</x:v>
      </x:c>
      <x:c r="M98" s="6" t="str">
        <x:v>Unresolved</x:v>
      </x:c>
      <x:c r="N98" s="6" t="str"/>
      <x:c r="O98" s="6" t="str"/>
      <x:c r="P98" s="6" t="str">
        <x:v>Pending</x:v>
      </x:c>
      <x:c r="Q98" s="12" t="str"/>
    </x:row>
    <x:row r="99">
      <x:c r="A99" s="6" t="str">
        <x:v>LABR-000098</x:v>
      </x:c>
      <x:c r="B99" s="6" t="str">
        <x:v>SVC000098</x:v>
      </x:c>
      <x:c r="C99" s="6" t="str">
        <x:v>iPhone XR Screen replacement</x:v>
      </x:c>
      <x:c r="D99" s="6"/>
      <x:c r="E99" s="6"/>
      <x:c r="F99" s="6"/>
      <x:c r="G99" s="6"/>
      <x:c r="H99" s="6" t="str"/>
      <x:c r="I99" s="6" t="str"/>
      <x:c r="J99" s="6" t="str"/>
      <x:c r="K99" s="12" t="str">
        <x:v>Source Workbook</x:v>
      </x:c>
      <x:c r="L99" s="12" t="str">
        <x:v>Nocturnix_Master_Services_Catalog_v1.xlsx | 01 - Master Services | row 138</x:v>
      </x:c>
      <x:c r="M99" s="6" t="str">
        <x:v>Unresolved</x:v>
      </x:c>
      <x:c r="N99" s="6" t="str"/>
      <x:c r="O99" s="6" t="str"/>
      <x:c r="P99" s="6" t="str">
        <x:v>Pending</x:v>
      </x:c>
      <x:c r="Q99" s="12" t="str"/>
    </x:row>
    <x:row r="100">
      <x:c r="A100" s="6" t="str">
        <x:v>LABR-000099</x:v>
      </x:c>
      <x:c r="B100" s="6" t="str">
        <x:v>SVC000099</x:v>
      </x:c>
      <x:c r="C100" s="6" t="str">
        <x:v>iPhone XS Screen replacement</x:v>
      </x:c>
      <x:c r="D100" s="6"/>
      <x:c r="E100" s="6"/>
      <x:c r="F100" s="6"/>
      <x:c r="G100" s="6"/>
      <x:c r="H100" s="6" t="str"/>
      <x:c r="I100" s="6" t="str"/>
      <x:c r="J100" s="6" t="str"/>
      <x:c r="K100" s="12" t="str">
        <x:v>Source Workbook</x:v>
      </x:c>
      <x:c r="L100" s="12" t="str">
        <x:v>Nocturnix_Master_Services_Catalog_v1.xlsx | 01 - Master Services | row 139</x:v>
      </x:c>
      <x:c r="M100" s="6" t="str">
        <x:v>Unresolved</x:v>
      </x:c>
      <x:c r="N100" s="6" t="str"/>
      <x:c r="O100" s="6" t="str"/>
      <x:c r="P100" s="6" t="str">
        <x:v>Pending</x:v>
      </x:c>
      <x:c r="Q100" s="12" t="str"/>
    </x:row>
    <x:row r="101">
      <x:c r="A101" s="6" t="str">
        <x:v>LABR-000100</x:v>
      </x:c>
      <x:c r="B101" s="6" t="str">
        <x:v>SVC000100</x:v>
      </x:c>
      <x:c r="C101" s="6" t="str">
        <x:v>iPhone 5 Screen replacement</x:v>
      </x:c>
      <x:c r="D101" s="6"/>
      <x:c r="E101" s="6"/>
      <x:c r="F101" s="6"/>
      <x:c r="G101" s="6"/>
      <x:c r="H101" s="6" t="str"/>
      <x:c r="I101" s="6" t="str"/>
      <x:c r="J101" s="6" t="str"/>
      <x:c r="K101" s="12" t="str">
        <x:v>Source Workbook</x:v>
      </x:c>
      <x:c r="L101" s="12" t="str">
        <x:v>Nocturnix_Master_Services_Catalog_v1.xlsx | 01 - Master Services | row 140</x:v>
      </x:c>
      <x:c r="M101" s="6" t="str">
        <x:v>Unresolved</x:v>
      </x:c>
      <x:c r="N101" s="6" t="str"/>
      <x:c r="O101" s="6" t="str"/>
      <x:c r="P101" s="6" t="str">
        <x:v>Pending</x:v>
      </x:c>
      <x:c r="Q101" s="12" t="str"/>
    </x:row>
    <x:row r="102">
      <x:c r="A102" s="6" t="str">
        <x:v>LABR-000101</x:v>
      </x:c>
      <x:c r="B102" s="6" t="str">
        <x:v>SVC000101</x:v>
      </x:c>
      <x:c r="C102" s="6" t="str">
        <x:v>iPhone 4S Screen replacement</x:v>
      </x:c>
      <x:c r="D102" s="6"/>
      <x:c r="E102" s="6"/>
      <x:c r="F102" s="6"/>
      <x:c r="G102" s="6"/>
      <x:c r="H102" s="6" t="str"/>
      <x:c r="I102" s="6" t="str"/>
      <x:c r="J102" s="6" t="str"/>
      <x:c r="K102" s="12" t="str">
        <x:v>Source Workbook</x:v>
      </x:c>
      <x:c r="L102" s="12" t="str">
        <x:v>Nocturnix_Master_Services_Catalog_v1.xlsx | 01 - Master Services | row 141</x:v>
      </x:c>
      <x:c r="M102" s="6" t="str">
        <x:v>Unresolved</x:v>
      </x:c>
      <x:c r="N102" s="6" t="str"/>
      <x:c r="O102" s="6" t="str"/>
      <x:c r="P102" s="6" t="str">
        <x:v>Pending</x:v>
      </x:c>
      <x:c r="Q102" s="12" t="str"/>
    </x:row>
    <x:row r="103">
      <x:c r="A103" s="6" t="str">
        <x:v>LABR-000102</x:v>
      </x:c>
      <x:c r="B103" s="6" t="str">
        <x:v>SVC000102</x:v>
      </x:c>
      <x:c r="C103" s="6" t="str">
        <x:v>iPhone 4S Screen replacement</x:v>
      </x:c>
      <x:c r="D103" s="6"/>
      <x:c r="E103" s="6"/>
      <x:c r="F103" s="6"/>
      <x:c r="G103" s="6"/>
      <x:c r="H103" s="6" t="str"/>
      <x:c r="I103" s="6" t="str"/>
      <x:c r="J103" s="6" t="str"/>
      <x:c r="K103" s="12" t="str">
        <x:v>Source Workbook</x:v>
      </x:c>
      <x:c r="L103" s="12" t="str">
        <x:v>Nocturnix_Master_Services_Catalog_v1.xlsx | 01 - Master Services | row 142</x:v>
      </x:c>
      <x:c r="M103" s="6" t="str">
        <x:v>Unresolved</x:v>
      </x:c>
      <x:c r="N103" s="6" t="str"/>
      <x:c r="O103" s="6" t="str"/>
      <x:c r="P103" s="6" t="str">
        <x:v>Pending</x:v>
      </x:c>
      <x:c r="Q103" s="12" t="str"/>
    </x:row>
    <x:row r="104">
      <x:c r="A104" s="6" t="str">
        <x:v>LABR-000103</x:v>
      </x:c>
      <x:c r="B104" s="6" t="str">
        <x:v>SVC000103</x:v>
      </x:c>
      <x:c r="C104" s="6" t="str">
        <x:v>iPhone 4S Screen replacement</x:v>
      </x:c>
      <x:c r="D104" s="6"/>
      <x:c r="E104" s="6"/>
      <x:c r="F104" s="6"/>
      <x:c r="G104" s="6"/>
      <x:c r="H104" s="6" t="str"/>
      <x:c r="I104" s="6" t="str"/>
      <x:c r="J104" s="6" t="str"/>
      <x:c r="K104" s="12" t="str">
        <x:v>Source Workbook</x:v>
      </x:c>
      <x:c r="L104" s="12" t="str">
        <x:v>Nocturnix_Master_Services_Catalog_v1.xlsx | 01 - Master Services | row 143</x:v>
      </x:c>
      <x:c r="M104" s="6" t="str">
        <x:v>Unresolved</x:v>
      </x:c>
      <x:c r="N104" s="6" t="str"/>
      <x:c r="O104" s="6" t="str"/>
      <x:c r="P104" s="6" t="str">
        <x:v>Pending</x:v>
      </x:c>
      <x:c r="Q104" s="12" t="str"/>
    </x:row>
    <x:row r="105">
      <x:c r="A105" s="6" t="str">
        <x:v>LABR-000104</x:v>
      </x:c>
      <x:c r="B105" s="6" t="str">
        <x:v>SVC000104</x:v>
      </x:c>
      <x:c r="C105" s="6" t="str">
        <x:v>iPhone 3GS Screen replacement</x:v>
      </x:c>
      <x:c r="D105" s="6"/>
      <x:c r="E105" s="6"/>
      <x:c r="F105" s="6"/>
      <x:c r="G105" s="6"/>
      <x:c r="H105" s="6" t="str"/>
      <x:c r="I105" s="6" t="str"/>
      <x:c r="J105" s="6" t="str"/>
      <x:c r="K105" s="12" t="str">
        <x:v>Source Workbook</x:v>
      </x:c>
      <x:c r="L105" s="12" t="str">
        <x:v>Nocturnix_Master_Services_Catalog_v1.xlsx | 01 - Master Services | row 144</x:v>
      </x:c>
      <x:c r="M105" s="6" t="str">
        <x:v>Unresolved</x:v>
      </x:c>
      <x:c r="N105" s="6" t="str"/>
      <x:c r="O105" s="6" t="str"/>
      <x:c r="P105" s="6" t="str">
        <x:v>Pending</x:v>
      </x:c>
      <x:c r="Q105" s="12" t="str"/>
    </x:row>
    <x:row r="106">
      <x:c r="A106" s="6" t="str">
        <x:v>LABR-000105</x:v>
      </x:c>
      <x:c r="B106" s="6" t="str">
        <x:v>SVC000105</x:v>
      </x:c>
      <x:c r="C106" s="6" t="str">
        <x:v>iPhone 3G Screen replacement</x:v>
      </x:c>
      <x:c r="D106" s="6"/>
      <x:c r="E106" s="6"/>
      <x:c r="F106" s="6"/>
      <x:c r="G106" s="6"/>
      <x:c r="H106" s="6" t="str"/>
      <x:c r="I106" s="6" t="str"/>
      <x:c r="J106" s="6" t="str"/>
      <x:c r="K106" s="12" t="str">
        <x:v>Source Workbook</x:v>
      </x:c>
      <x:c r="L106" s="12" t="str">
        <x:v>Nocturnix_Master_Services_Catalog_v1.xlsx | 01 - Master Services | row 145</x:v>
      </x:c>
      <x:c r="M106" s="6" t="str">
        <x:v>Unresolved</x:v>
      </x:c>
      <x:c r="N106" s="6" t="str"/>
      <x:c r="O106" s="6" t="str"/>
      <x:c r="P106" s="6" t="str">
        <x:v>Pending</x:v>
      </x:c>
      <x:c r="Q106" s="12" t="str"/>
    </x:row>
    <x:row r="107">
      <x:c r="A107" s="6" t="str">
        <x:v>LABR-000106</x:v>
      </x:c>
      <x:c r="B107" s="6" t="str">
        <x:v>SVC000106</x:v>
      </x:c>
      <x:c r="C107" s="6" t="str">
        <x:v>iPhone Screen replacement</x:v>
      </x:c>
      <x:c r="D107" s="6"/>
      <x:c r="E107" s="6"/>
      <x:c r="F107" s="6"/>
      <x:c r="G107" s="6"/>
      <x:c r="H107" s="6" t="str"/>
      <x:c r="I107" s="6" t="str"/>
      <x:c r="J107" s="6" t="str"/>
      <x:c r="K107" s="12" t="str">
        <x:v>Source Workbook</x:v>
      </x:c>
      <x:c r="L107" s="12" t="str">
        <x:v>Nocturnix_Master_Services_Catalog_v1.xlsx | 01 - Master Services | row 146</x:v>
      </x:c>
      <x:c r="M107" s="6" t="str">
        <x:v>Unresolved</x:v>
      </x:c>
      <x:c r="N107" s="6" t="str"/>
      <x:c r="O107" s="6" t="str"/>
      <x:c r="P107" s="6" t="str">
        <x:v>Pending</x:v>
      </x:c>
      <x:c r="Q107" s="12" t="str"/>
    </x:row>
    <x:row r="108">
      <x:c r="A108" s="6" t="str">
        <x:v>LABR-000107</x:v>
      </x:c>
      <x:c r="B108" s="6" t="str">
        <x:v>SVC000107</x:v>
      </x:c>
      <x:c r="C108" s="6" t="str">
        <x:v>Galaxy S 24 FE Charge Port Replacement</x:v>
      </x:c>
      <x:c r="D108" s="6"/>
      <x:c r="E108" s="6"/>
      <x:c r="F108" s="6"/>
      <x:c r="G108" s="6"/>
      <x:c r="H108" s="6" t="str"/>
      <x:c r="I108" s="6" t="str"/>
      <x:c r="J108" s="6" t="str"/>
      <x:c r="K108" s="12" t="str">
        <x:v>Source Workbook</x:v>
      </x:c>
      <x:c r="L108" s="12" t="str">
        <x:v>Nocturnix_Master_Services_Catalog_v1.xlsx | 01 - Master Services | row 147</x:v>
      </x:c>
      <x:c r="M108" s="6" t="str">
        <x:v>Unresolved</x:v>
      </x:c>
      <x:c r="N108" s="6" t="str"/>
      <x:c r="O108" s="6" t="str"/>
      <x:c r="P108" s="6" t="str">
        <x:v>Pending</x:v>
      </x:c>
      <x:c r="Q108" s="12" t="str"/>
    </x:row>
    <x:row r="109">
      <x:c r="A109" s="6" t="str">
        <x:v>LABR-000108</x:v>
      </x:c>
      <x:c r="B109" s="6" t="str">
        <x:v>SVC000108</x:v>
      </x:c>
      <x:c r="C109" s="6" t="str">
        <x:v>Galaxy S 25 Charge Port Replacement</x:v>
      </x:c>
      <x:c r="D109" s="6"/>
      <x:c r="E109" s="6"/>
      <x:c r="F109" s="6"/>
      <x:c r="G109" s="6"/>
      <x:c r="H109" s="6" t="str"/>
      <x:c r="I109" s="6" t="str"/>
      <x:c r="J109" s="6" t="str"/>
      <x:c r="K109" s="12" t="str">
        <x:v>Source Workbook</x:v>
      </x:c>
      <x:c r="L109" s="12" t="str">
        <x:v>Nocturnix_Master_Services_Catalog_v1.xlsx | 01 - Master Services | row 148</x:v>
      </x:c>
      <x:c r="M109" s="6" t="str">
        <x:v>Unresolved</x:v>
      </x:c>
      <x:c r="N109" s="6" t="str"/>
      <x:c r="O109" s="6" t="str"/>
      <x:c r="P109" s="6" t="str">
        <x:v>Pending</x:v>
      </x:c>
      <x:c r="Q109" s="12" t="str"/>
    </x:row>
    <x:row r="110">
      <x:c r="A110" s="6" t="str">
        <x:v>LABR-000109</x:v>
      </x:c>
      <x:c r="B110" s="6" t="str">
        <x:v>SVC000109</x:v>
      </x:c>
      <x:c r="C110" s="6" t="str">
        <x:v>Galaxy S 25 Plus Charge Port Replacement</x:v>
      </x:c>
      <x:c r="D110" s="6"/>
      <x:c r="E110" s="6"/>
      <x:c r="F110" s="6"/>
      <x:c r="G110" s="6"/>
      <x:c r="H110" s="6" t="str"/>
      <x:c r="I110" s="6" t="str"/>
      <x:c r="J110" s="6" t="str"/>
      <x:c r="K110" s="12" t="str">
        <x:v>Source Workbook</x:v>
      </x:c>
      <x:c r="L110" s="12" t="str">
        <x:v>Nocturnix_Master_Services_Catalog_v1.xlsx | 01 - Master Services | row 149</x:v>
      </x:c>
      <x:c r="M110" s="6" t="str">
        <x:v>Unresolved</x:v>
      </x:c>
      <x:c r="N110" s="6" t="str"/>
      <x:c r="O110" s="6" t="str"/>
      <x:c r="P110" s="6" t="str">
        <x:v>Pending</x:v>
      </x:c>
      <x:c r="Q110" s="12" t="str"/>
    </x:row>
    <x:row r="111">
      <x:c r="A111" s="6" t="str">
        <x:v>LABR-000110</x:v>
      </x:c>
      <x:c r="B111" s="6" t="str">
        <x:v>SVC000110</x:v>
      </x:c>
      <x:c r="C111" s="6" t="str">
        <x:v>Galaxy S 25 Edge Charge Port Replacement</x:v>
      </x:c>
      <x:c r="D111" s="6"/>
      <x:c r="E111" s="6"/>
      <x:c r="F111" s="6"/>
      <x:c r="G111" s="6"/>
      <x:c r="H111" s="6" t="str"/>
      <x:c r="I111" s="6" t="str"/>
      <x:c r="J111" s="6" t="str"/>
      <x:c r="K111" s="12" t="str">
        <x:v>Source Workbook</x:v>
      </x:c>
      <x:c r="L111" s="12" t="str">
        <x:v>Nocturnix_Master_Services_Catalog_v1.xlsx | 01 - Master Services | row 150</x:v>
      </x:c>
      <x:c r="M111" s="6" t="str">
        <x:v>Unresolved</x:v>
      </x:c>
      <x:c r="N111" s="6" t="str"/>
      <x:c r="O111" s="6" t="str"/>
      <x:c r="P111" s="6" t="str">
        <x:v>Pending</x:v>
      </x:c>
      <x:c r="Q111" s="12" t="str"/>
    </x:row>
    <x:row r="112">
      <x:c r="A112" s="6" t="str">
        <x:v>LABR-000111</x:v>
      </x:c>
      <x:c r="B112" s="6" t="str">
        <x:v>SVC000111</x:v>
      </x:c>
      <x:c r="C112" s="6" t="str">
        <x:v>Galaxy S 22 Plus Battery Replacement</x:v>
      </x:c>
      <x:c r="D112" s="6"/>
      <x:c r="E112" s="6"/>
      <x:c r="F112" s="6"/>
      <x:c r="G112" s="6"/>
      <x:c r="H112" s="6" t="str"/>
      <x:c r="I112" s="6" t="str"/>
      <x:c r="J112" s="6" t="str"/>
      <x:c r="K112" s="12" t="str">
        <x:v>Source Workbook</x:v>
      </x:c>
      <x:c r="L112" s="12" t="str">
        <x:v>Nocturnix_Master_Services_Catalog_v1.xlsx | 01 - Master Services | row 151</x:v>
      </x:c>
      <x:c r="M112" s="6" t="str">
        <x:v>Unresolved</x:v>
      </x:c>
      <x:c r="N112" s="6" t="str"/>
      <x:c r="O112" s="6" t="str"/>
      <x:c r="P112" s="6" t="str">
        <x:v>Pending</x:v>
      </x:c>
      <x:c r="Q112" s="12" t="str"/>
    </x:row>
    <x:row r="113">
      <x:c r="A113" s="6" t="str">
        <x:v>LABR-000112</x:v>
      </x:c>
      <x:c r="B113" s="6" t="str">
        <x:v>SVC000112</x:v>
      </x:c>
      <x:c r="C113" s="6" t="str">
        <x:v>Galaxy S 22 Ultra Battery Replacement</x:v>
      </x:c>
      <x:c r="D113" s="6"/>
      <x:c r="E113" s="6"/>
      <x:c r="F113" s="6"/>
      <x:c r="G113" s="6"/>
      <x:c r="H113" s="6" t="str"/>
      <x:c r="I113" s="6" t="str"/>
      <x:c r="J113" s="6" t="str"/>
      <x:c r="K113" s="12" t="str">
        <x:v>Source Workbook</x:v>
      </x:c>
      <x:c r="L113" s="12" t="str">
        <x:v>Nocturnix_Master_Services_Catalog_v1.xlsx | 01 - Master Services | row 152</x:v>
      </x:c>
      <x:c r="M113" s="6" t="str">
        <x:v>Unresolved</x:v>
      </x:c>
      <x:c r="N113" s="6" t="str"/>
      <x:c r="O113" s="6" t="str"/>
      <x:c r="P113" s="6" t="str">
        <x:v>Pending</x:v>
      </x:c>
      <x:c r="Q113" s="12" t="str"/>
    </x:row>
    <x:row r="114">
      <x:c r="A114" s="6" t="str">
        <x:v>LABR-000113</x:v>
      </x:c>
      <x:c r="B114" s="6" t="str">
        <x:v>SVC000113</x:v>
      </x:c>
      <x:c r="C114" s="6" t="str">
        <x:v>Galaxy S 23 Plus Battery Replacement</x:v>
      </x:c>
      <x:c r="D114" s="6"/>
      <x:c r="E114" s="6"/>
      <x:c r="F114" s="6"/>
      <x:c r="G114" s="6"/>
      <x:c r="H114" s="6" t="str"/>
      <x:c r="I114" s="6" t="str"/>
      <x:c r="J114" s="6" t="str"/>
      <x:c r="K114" s="12" t="str">
        <x:v>Source Workbook</x:v>
      </x:c>
      <x:c r="L114" s="12" t="str">
        <x:v>Nocturnix_Master_Services_Catalog_v1.xlsx | 01 - Master Services | row 153</x:v>
      </x:c>
      <x:c r="M114" s="6" t="str">
        <x:v>Unresolved</x:v>
      </x:c>
      <x:c r="N114" s="6" t="str"/>
      <x:c r="O114" s="6" t="str"/>
      <x:c r="P114" s="6" t="str">
        <x:v>Pending</x:v>
      </x:c>
      <x:c r="Q114" s="12" t="str"/>
    </x:row>
    <x:row r="115">
      <x:c r="A115" s="6" t="str">
        <x:v>LABR-000114</x:v>
      </x:c>
      <x:c r="B115" s="6" t="str">
        <x:v>SVC000114</x:v>
      </x:c>
      <x:c r="C115" s="6" t="str">
        <x:v>Galaxy S 24 Battery Replacement</x:v>
      </x:c>
      <x:c r="D115" s="6"/>
      <x:c r="E115" s="6"/>
      <x:c r="F115" s="6"/>
      <x:c r="G115" s="6"/>
      <x:c r="H115" s="6" t="str"/>
      <x:c r="I115" s="6" t="str"/>
      <x:c r="J115" s="6" t="str"/>
      <x:c r="K115" s="12" t="str">
        <x:v>Source Workbook</x:v>
      </x:c>
      <x:c r="L115" s="12" t="str">
        <x:v>Nocturnix_Master_Services_Catalog_v1.xlsx | 01 - Master Services | row 154</x:v>
      </x:c>
      <x:c r="M115" s="6" t="str">
        <x:v>Unresolved</x:v>
      </x:c>
      <x:c r="N115" s="6" t="str"/>
      <x:c r="O115" s="6" t="str"/>
      <x:c r="P115" s="6" t="str">
        <x:v>Pending</x:v>
      </x:c>
      <x:c r="Q115" s="12" t="str"/>
    </x:row>
    <x:row r="116">
      <x:c r="A116" s="6" t="str">
        <x:v>LABR-000115</x:v>
      </x:c>
      <x:c r="B116" s="6" t="str">
        <x:v>SVC000115</x:v>
      </x:c>
      <x:c r="C116" s="6" t="str">
        <x:v>Galaxy S 24 Plus Battery Replacement</x:v>
      </x:c>
      <x:c r="D116" s="6"/>
      <x:c r="E116" s="6"/>
      <x:c r="F116" s="6"/>
      <x:c r="G116" s="6"/>
      <x:c r="H116" s="6" t="str"/>
      <x:c r="I116" s="6" t="str"/>
      <x:c r="J116" s="6" t="str"/>
      <x:c r="K116" s="12" t="str">
        <x:v>Source Workbook</x:v>
      </x:c>
      <x:c r="L116" s="12" t="str">
        <x:v>Nocturnix_Master_Services_Catalog_v1.xlsx | 01 - Master Services | row 155</x:v>
      </x:c>
      <x:c r="M116" s="6" t="str">
        <x:v>Unresolved</x:v>
      </x:c>
      <x:c r="N116" s="6" t="str"/>
      <x:c r="O116" s="6" t="str"/>
      <x:c r="P116" s="6" t="str">
        <x:v>Pending</x:v>
      </x:c>
      <x:c r="Q116" s="12" t="str"/>
    </x:row>
    <x:row r="117">
      <x:c r="A117" s="6" t="str">
        <x:v>LABR-000116</x:v>
      </x:c>
      <x:c r="B117" s="6" t="str">
        <x:v>SVC000116</x:v>
      </x:c>
      <x:c r="C117" s="6" t="str">
        <x:v>Galaxy S 24 Ultra Battery Replacement</x:v>
      </x:c>
      <x:c r="D117" s="6"/>
      <x:c r="E117" s="6"/>
      <x:c r="F117" s="6"/>
      <x:c r="G117" s="6"/>
      <x:c r="H117" s="6" t="str"/>
      <x:c r="I117" s="6" t="str"/>
      <x:c r="J117" s="6" t="str"/>
      <x:c r="K117" s="12" t="str">
        <x:v>Source Workbook</x:v>
      </x:c>
      <x:c r="L117" s="12" t="str">
        <x:v>Nocturnix_Master_Services_Catalog_v1.xlsx | 01 - Master Services | row 156</x:v>
      </x:c>
      <x:c r="M117" s="6" t="str">
        <x:v>Unresolved</x:v>
      </x:c>
      <x:c r="N117" s="6" t="str"/>
      <x:c r="O117" s="6" t="str"/>
      <x:c r="P117" s="6" t="str">
        <x:v>Pending</x:v>
      </x:c>
      <x:c r="Q117" s="12" t="str"/>
    </x:row>
    <x:row r="118">
      <x:c r="A118" s="6" t="str">
        <x:v>LABR-000117</x:v>
      </x:c>
      <x:c r="B118" s="6" t="str">
        <x:v>SVC000117</x:v>
      </x:c>
      <x:c r="C118" s="6" t="str">
        <x:v>Galaxy S 25 Plus Battery Replacement</x:v>
      </x:c>
      <x:c r="D118" s="6"/>
      <x:c r="E118" s="6"/>
      <x:c r="F118" s="6"/>
      <x:c r="G118" s="6"/>
      <x:c r="H118" s="6" t="str"/>
      <x:c r="I118" s="6" t="str"/>
      <x:c r="J118" s="6" t="str"/>
      <x:c r="K118" s="12" t="str">
        <x:v>Source Workbook</x:v>
      </x:c>
      <x:c r="L118" s="12" t="str">
        <x:v>Nocturnix_Master_Services_Catalog_v1.xlsx | 01 - Master Services | row 157</x:v>
      </x:c>
      <x:c r="M118" s="6" t="str">
        <x:v>Unresolved</x:v>
      </x:c>
      <x:c r="N118" s="6" t="str"/>
      <x:c r="O118" s="6" t="str"/>
      <x:c r="P118" s="6" t="str">
        <x:v>Pending</x:v>
      </x:c>
      <x:c r="Q118" s="12" t="str"/>
    </x:row>
    <x:row r="119">
      <x:c r="A119" s="6" t="str">
        <x:v>LABR-000118</x:v>
      </x:c>
      <x:c r="B119" s="6" t="str">
        <x:v>SVC000118</x:v>
      </x:c>
      <x:c r="C119" s="6" t="str">
        <x:v>Galaxy S 10 Battery Replacement</x:v>
      </x:c>
      <x:c r="D119" s="6"/>
      <x:c r="E119" s="6"/>
      <x:c r="F119" s="6"/>
      <x:c r="G119" s="6"/>
      <x:c r="H119" s="6" t="str"/>
      <x:c r="I119" s="6" t="str"/>
      <x:c r="J119" s="6" t="str"/>
      <x:c r="K119" s="12" t="str">
        <x:v>Source Workbook</x:v>
      </x:c>
      <x:c r="L119" s="12" t="str">
        <x:v>Nocturnix_Master_Services_Catalog_v1.xlsx | 01 - Master Services | row 158</x:v>
      </x:c>
      <x:c r="M119" s="6" t="str">
        <x:v>Unresolved</x:v>
      </x:c>
      <x:c r="N119" s="6" t="str"/>
      <x:c r="O119" s="6" t="str"/>
      <x:c r="P119" s="6" t="str">
        <x:v>Pending</x:v>
      </x:c>
      <x:c r="Q119" s="12" t="str"/>
    </x:row>
    <x:row r="120">
      <x:c r="A120" s="6" t="str">
        <x:v>LABR-000119</x:v>
      </x:c>
      <x:c r="B120" s="6" t="str">
        <x:v>SVC000119</x:v>
      </x:c>
      <x:c r="C120" s="6" t="str">
        <x:v>Galaxy S 10 Plus Battery Replacement</x:v>
      </x:c>
      <x:c r="D120" s="6"/>
      <x:c r="E120" s="6"/>
      <x:c r="F120" s="6"/>
      <x:c r="G120" s="6"/>
      <x:c r="H120" s="6" t="str"/>
      <x:c r="I120" s="6" t="str"/>
      <x:c r="J120" s="6" t="str"/>
      <x:c r="K120" s="12" t="str">
        <x:v>Source Workbook</x:v>
      </x:c>
      <x:c r="L120" s="12" t="str">
        <x:v>Nocturnix_Master_Services_Catalog_v1.xlsx | 01 - Master Services | row 159</x:v>
      </x:c>
      <x:c r="M120" s="6" t="str">
        <x:v>Unresolved</x:v>
      </x:c>
      <x:c r="N120" s="6" t="str"/>
      <x:c r="O120" s="6" t="str"/>
      <x:c r="P120" s="6" t="str">
        <x:v>Pending</x:v>
      </x:c>
      <x:c r="Q120" s="12" t="str"/>
    </x:row>
    <x:row r="121">
      <x:c r="A121" s="6" t="str">
        <x:v>LABR-000120</x:v>
      </x:c>
      <x:c r="B121" s="6" t="str">
        <x:v>SVC000120</x:v>
      </x:c>
      <x:c r="C121" s="6" t="str">
        <x:v>Galaxy S 10 E Battery Replacement</x:v>
      </x:c>
      <x:c r="D121" s="6"/>
      <x:c r="E121" s="6"/>
      <x:c r="F121" s="6"/>
      <x:c r="G121" s="6"/>
      <x:c r="H121" s="6" t="str"/>
      <x:c r="I121" s="6" t="str"/>
      <x:c r="J121" s="6" t="str"/>
      <x:c r="K121" s="12" t="str">
        <x:v>Source Workbook</x:v>
      </x:c>
      <x:c r="L121" s="12" t="str">
        <x:v>Nocturnix_Master_Services_Catalog_v1.xlsx | 01 - Master Services | row 160</x:v>
      </x:c>
      <x:c r="M121" s="6" t="str">
        <x:v>Unresolved</x:v>
      </x:c>
      <x:c r="N121" s="6" t="str"/>
      <x:c r="O121" s="6" t="str"/>
      <x:c r="P121" s="6" t="str">
        <x:v>Pending</x:v>
      </x:c>
      <x:c r="Q121" s="12" t="str"/>
    </x:row>
    <x:row r="122">
      <x:c r="A122" s="6" t="str">
        <x:v>LABR-000121</x:v>
      </x:c>
      <x:c r="B122" s="6" t="str">
        <x:v>SVC000121</x:v>
      </x:c>
      <x:c r="C122" s="6" t="str">
        <x:v>Galaxy Note 9 Battery Replacement</x:v>
      </x:c>
      <x:c r="D122" s="6"/>
      <x:c r="E122" s="6"/>
      <x:c r="F122" s="6"/>
      <x:c r="G122" s="6"/>
      <x:c r="H122" s="6" t="str"/>
      <x:c r="I122" s="6" t="str"/>
      <x:c r="J122" s="6" t="str"/>
      <x:c r="K122" s="12" t="str">
        <x:v>Source Workbook</x:v>
      </x:c>
      <x:c r="L122" s="12" t="str">
        <x:v>Nocturnix_Master_Services_Catalog_v1.xlsx | 01 - Master Services | row 161</x:v>
      </x:c>
      <x:c r="M122" s="6" t="str">
        <x:v>Unresolved</x:v>
      </x:c>
      <x:c r="N122" s="6" t="str"/>
      <x:c r="O122" s="6" t="str"/>
      <x:c r="P122" s="6" t="str">
        <x:v>Pending</x:v>
      </x:c>
      <x:c r="Q122" s="12" t="str"/>
    </x:row>
    <x:row r="123">
      <x:c r="A123" s="6" t="str">
        <x:v>LABR-000122</x:v>
      </x:c>
      <x:c r="B123" s="6" t="str">
        <x:v>SVC000122</x:v>
      </x:c>
      <x:c r="C123" s="6" t="str">
        <x:v>Galaxy Note 10 Plus Battery Replacement</x:v>
      </x:c>
      <x:c r="D123" s="6"/>
      <x:c r="E123" s="6"/>
      <x:c r="F123" s="6"/>
      <x:c r="G123" s="6"/>
      <x:c r="H123" s="6" t="str"/>
      <x:c r="I123" s="6" t="str"/>
      <x:c r="J123" s="6" t="str"/>
      <x:c r="K123" s="12" t="str">
        <x:v>Source Workbook</x:v>
      </x:c>
      <x:c r="L123" s="12" t="str">
        <x:v>Nocturnix_Master_Services_Catalog_v1.xlsx | 01 - Master Services | row 162</x:v>
      </x:c>
      <x:c r="M123" s="6" t="str">
        <x:v>Unresolved</x:v>
      </x:c>
      <x:c r="N123" s="6" t="str"/>
      <x:c r="O123" s="6" t="str"/>
      <x:c r="P123" s="6" t="str">
        <x:v>Pending</x:v>
      </x:c>
      <x:c r="Q123" s="12" t="str"/>
    </x:row>
    <x:row r="124">
      <x:c r="A124" s="6" t="str">
        <x:v>LABR-000123</x:v>
      </x:c>
      <x:c r="B124" s="6" t="str">
        <x:v>SVC000123</x:v>
      </x:c>
      <x:c r="C124" s="6" t="str">
        <x:v>Galaxy S 20 Battery Replacement</x:v>
      </x:c>
      <x:c r="D124" s="6"/>
      <x:c r="E124" s="6"/>
      <x:c r="F124" s="6"/>
      <x:c r="G124" s="6"/>
      <x:c r="H124" s="6" t="str"/>
      <x:c r="I124" s="6" t="str"/>
      <x:c r="J124" s="6" t="str"/>
      <x:c r="K124" s="12" t="str">
        <x:v>Source Workbook</x:v>
      </x:c>
      <x:c r="L124" s="12" t="str">
        <x:v>Nocturnix_Master_Services_Catalog_v1.xlsx | 01 - Master Services | row 163</x:v>
      </x:c>
      <x:c r="M124" s="6" t="str">
        <x:v>Unresolved</x:v>
      </x:c>
      <x:c r="N124" s="6" t="str"/>
      <x:c r="O124" s="6" t="str"/>
      <x:c r="P124" s="6" t="str">
        <x:v>Pending</x:v>
      </x:c>
      <x:c r="Q124" s="12" t="str"/>
    </x:row>
    <x:row r="125">
      <x:c r="A125" s="6" t="str">
        <x:v>LABR-000124</x:v>
      </x:c>
      <x:c r="B125" s="6" t="str">
        <x:v>SVC000124</x:v>
      </x:c>
      <x:c r="C125" s="6" t="str">
        <x:v>Galaxy S 20 Plus Battery Replacement</x:v>
      </x:c>
      <x:c r="D125" s="6"/>
      <x:c r="E125" s="6"/>
      <x:c r="F125" s="6"/>
      <x:c r="G125" s="6"/>
      <x:c r="H125" s="6" t="str"/>
      <x:c r="I125" s="6" t="str"/>
      <x:c r="J125" s="6" t="str"/>
      <x:c r="K125" s="12" t="str">
        <x:v>Source Workbook</x:v>
      </x:c>
      <x:c r="L125" s="12" t="str">
        <x:v>Nocturnix_Master_Services_Catalog_v1.xlsx | 01 - Master Services | row 164</x:v>
      </x:c>
      <x:c r="M125" s="6" t="str">
        <x:v>Unresolved</x:v>
      </x:c>
      <x:c r="N125" s="6" t="str"/>
      <x:c r="O125" s="6" t="str"/>
      <x:c r="P125" s="6" t="str">
        <x:v>Pending</x:v>
      </x:c>
      <x:c r="Q125" s="12" t="str"/>
    </x:row>
    <x:row r="126">
      <x:c r="A126" s="6" t="str">
        <x:v>LABR-000125</x:v>
      </x:c>
      <x:c r="B126" s="6" t="str">
        <x:v>SVC000125</x:v>
      </x:c>
      <x:c r="C126" s="6" t="str">
        <x:v>Galaxy S 21 Plus Battery Replacement</x:v>
      </x:c>
      <x:c r="D126" s="6"/>
      <x:c r="E126" s="6"/>
      <x:c r="F126" s="6"/>
      <x:c r="G126" s="6"/>
      <x:c r="H126" s="6" t="str"/>
      <x:c r="I126" s="6" t="str"/>
      <x:c r="J126" s="6" t="str"/>
      <x:c r="K126" s="12" t="str">
        <x:v>Source Workbook</x:v>
      </x:c>
      <x:c r="L126" s="12" t="str">
        <x:v>Nocturnix_Master_Services_Catalog_v1.xlsx | 01 - Master Services | row 165</x:v>
      </x:c>
      <x:c r="M126" s="6" t="str">
        <x:v>Unresolved</x:v>
      </x:c>
      <x:c r="N126" s="6" t="str"/>
      <x:c r="O126" s="6" t="str"/>
      <x:c r="P126" s="6" t="str">
        <x:v>Pending</x:v>
      </x:c>
      <x:c r="Q126" s="12" t="str"/>
    </x:row>
    <x:row r="127">
      <x:c r="A127" s="6" t="str">
        <x:v>LABR-000126</x:v>
      </x:c>
      <x:c r="B127" s="6" t="str">
        <x:v>SVC000126</x:v>
      </x:c>
      <x:c r="C127" s="6" t="str">
        <x:v>Galaxy S 7 Battery Replacement</x:v>
      </x:c>
      <x:c r="D127" s="6"/>
      <x:c r="E127" s="6"/>
      <x:c r="F127" s="6"/>
      <x:c r="G127" s="6"/>
      <x:c r="H127" s="6" t="str"/>
      <x:c r="I127" s="6" t="str"/>
      <x:c r="J127" s="6" t="str"/>
      <x:c r="K127" s="12" t="str">
        <x:v>Source Workbook</x:v>
      </x:c>
      <x:c r="L127" s="12" t="str">
        <x:v>Nocturnix_Master_Services_Catalog_v1.xlsx | 01 - Master Services | row 166</x:v>
      </x:c>
      <x:c r="M127" s="6" t="str">
        <x:v>Unresolved</x:v>
      </x:c>
      <x:c r="N127" s="6" t="str"/>
      <x:c r="O127" s="6" t="str"/>
      <x:c r="P127" s="6" t="str">
        <x:v>Pending</x:v>
      </x:c>
      <x:c r="Q127" s="12" t="str"/>
    </x:row>
    <x:row r="128">
      <x:c r="A128" s="6" t="str">
        <x:v>LABR-000127</x:v>
      </x:c>
      <x:c r="B128" s="6" t="str">
        <x:v>SVC000127</x:v>
      </x:c>
      <x:c r="C128" s="6" t="str">
        <x:v>Galaxy S 7 Edge Battery Replacement</x:v>
      </x:c>
      <x:c r="D128" s="6"/>
      <x:c r="E128" s="6"/>
      <x:c r="F128" s="6"/>
      <x:c r="G128" s="6"/>
      <x:c r="H128" s="6" t="str"/>
      <x:c r="I128" s="6" t="str"/>
      <x:c r="J128" s="6" t="str"/>
      <x:c r="K128" s="12" t="str">
        <x:v>Source Workbook</x:v>
      </x:c>
      <x:c r="L128" s="12" t="str">
        <x:v>Nocturnix_Master_Services_Catalog_v1.xlsx | 01 - Master Services | row 167</x:v>
      </x:c>
      <x:c r="M128" s="6" t="str">
        <x:v>Unresolved</x:v>
      </x:c>
      <x:c r="N128" s="6" t="str"/>
      <x:c r="O128" s="6" t="str"/>
      <x:c r="P128" s="6" t="str">
        <x:v>Pending</x:v>
      </x:c>
      <x:c r="Q128" s="12" t="str"/>
    </x:row>
    <x:row r="129">
      <x:c r="A129" s="6" t="str">
        <x:v>LABR-000128</x:v>
      </x:c>
      <x:c r="B129" s="6" t="str">
        <x:v>SVC000128</x:v>
      </x:c>
      <x:c r="C129" s="6" t="str">
        <x:v>Galaxy S 5 Active Battery Replacement</x:v>
      </x:c>
      <x:c r="D129" s="6"/>
      <x:c r="E129" s="6"/>
      <x:c r="F129" s="6"/>
      <x:c r="G129" s="6"/>
      <x:c r="H129" s="6" t="str"/>
      <x:c r="I129" s="6" t="str"/>
      <x:c r="J129" s="6" t="str"/>
      <x:c r="K129" s="12" t="str">
        <x:v>Source Workbook</x:v>
      </x:c>
      <x:c r="L129" s="12" t="str">
        <x:v>Nocturnix_Master_Services_Catalog_v1.xlsx | 01 - Master Services | row 168</x:v>
      </x:c>
      <x:c r="M129" s="6" t="str">
        <x:v>Unresolved</x:v>
      </x:c>
      <x:c r="N129" s="6" t="str"/>
      <x:c r="O129" s="6" t="str"/>
      <x:c r="P129" s="6" t="str">
        <x:v>Pending</x:v>
      </x:c>
      <x:c r="Q129" s="12" t="str"/>
    </x:row>
    <x:row r="130">
      <x:c r="A130" s="6" t="str">
        <x:v>LABR-000129</x:v>
      </x:c>
      <x:c r="B130" s="6" t="str">
        <x:v>SVC000129</x:v>
      </x:c>
      <x:c r="C130" s="6" t="str">
        <x:v>Galaxy S 6 Edge Battery Replacement</x:v>
      </x:c>
      <x:c r="D130" s="6"/>
      <x:c r="E130" s="6"/>
      <x:c r="F130" s="6"/>
      <x:c r="G130" s="6"/>
      <x:c r="H130" s="6" t="str"/>
      <x:c r="I130" s="6" t="str"/>
      <x:c r="J130" s="6" t="str"/>
      <x:c r="K130" s="12" t="str">
        <x:v>Source Workbook</x:v>
      </x:c>
      <x:c r="L130" s="12" t="str">
        <x:v>Nocturnix_Master_Services_Catalog_v1.xlsx | 01 - Master Services | row 169</x:v>
      </x:c>
      <x:c r="M130" s="6" t="str">
        <x:v>Unresolved</x:v>
      </x:c>
      <x:c r="N130" s="6" t="str"/>
      <x:c r="O130" s="6" t="str"/>
      <x:c r="P130" s="6" t="str">
        <x:v>Pending</x:v>
      </x:c>
      <x:c r="Q130" s="12" t="str"/>
    </x:row>
    <x:row r="131">
      <x:c r="A131" s="6" t="str">
        <x:v>LABR-000130</x:v>
      </x:c>
      <x:c r="B131" s="6" t="str">
        <x:v>SVC000130</x:v>
      </x:c>
      <x:c r="C131" s="6" t="str">
        <x:v>Galaxy S 8 Plus Battery Replacement</x:v>
      </x:c>
      <x:c r="D131" s="6"/>
      <x:c r="E131" s="6"/>
      <x:c r="F131" s="6"/>
      <x:c r="G131" s="6"/>
      <x:c r="H131" s="6" t="str"/>
      <x:c r="I131" s="6" t="str"/>
      <x:c r="J131" s="6" t="str"/>
      <x:c r="K131" s="12" t="str">
        <x:v>Source Workbook</x:v>
      </x:c>
      <x:c r="L131" s="12" t="str">
        <x:v>Nocturnix_Master_Services_Catalog_v1.xlsx | 01 - Master Services | row 170</x:v>
      </x:c>
      <x:c r="M131" s="6" t="str">
        <x:v>Unresolved</x:v>
      </x:c>
      <x:c r="N131" s="6" t="str"/>
      <x:c r="O131" s="6" t="str"/>
      <x:c r="P131" s="6" t="str">
        <x:v>Pending</x:v>
      </x:c>
      <x:c r="Q131" s="12" t="str"/>
    </x:row>
    <x:row r="132">
      <x:c r="A132" s="6" t="str">
        <x:v>LABR-000131</x:v>
      </x:c>
      <x:c r="B132" s="6" t="str">
        <x:v>SVC000131</x:v>
      </x:c>
      <x:c r="C132" s="6" t="str">
        <x:v>Galaxy S 8 Active Battery Replacement</x:v>
      </x:c>
      <x:c r="D132" s="6"/>
      <x:c r="E132" s="6"/>
      <x:c r="F132" s="6"/>
      <x:c r="G132" s="6"/>
      <x:c r="H132" s="6" t="str"/>
      <x:c r="I132" s="6" t="str"/>
      <x:c r="J132" s="6" t="str"/>
      <x:c r="K132" s="12" t="str">
        <x:v>Source Workbook</x:v>
      </x:c>
      <x:c r="L132" s="12" t="str">
        <x:v>Nocturnix_Master_Services_Catalog_v1.xlsx | 01 - Master Services | row 171</x:v>
      </x:c>
      <x:c r="M132" s="6" t="str">
        <x:v>Unresolved</x:v>
      </x:c>
      <x:c r="N132" s="6" t="str"/>
      <x:c r="O132" s="6" t="str"/>
      <x:c r="P132" s="6" t="str">
        <x:v>Pending</x:v>
      </x:c>
      <x:c r="Q132" s="12" t="str"/>
    </x:row>
    <x:row r="133">
      <x:c r="A133" s="6" t="str">
        <x:v>LABR-000132</x:v>
      </x:c>
      <x:c r="B133" s="6" t="str">
        <x:v>SVC000132</x:v>
      </x:c>
      <x:c r="C133" s="6" t="str">
        <x:v>Galaxy S 9 Plus Battery Replacement</x:v>
      </x:c>
      <x:c r="D133" s="6"/>
      <x:c r="E133" s="6"/>
      <x:c r="F133" s="6"/>
      <x:c r="G133" s="6"/>
      <x:c r="H133" s="6" t="str"/>
      <x:c r="I133" s="6" t="str"/>
      <x:c r="J133" s="6" t="str"/>
      <x:c r="K133" s="12" t="str">
        <x:v>Source Workbook</x:v>
      </x:c>
      <x:c r="L133" s="12" t="str">
        <x:v>Nocturnix_Master_Services_Catalog_v1.xlsx | 01 - Master Services | row 172</x:v>
      </x:c>
      <x:c r="M133" s="6" t="str">
        <x:v>Unresolved</x:v>
      </x:c>
      <x:c r="N133" s="6" t="str"/>
      <x:c r="O133" s="6" t="str"/>
      <x:c r="P133" s="6" t="str">
        <x:v>Pending</x:v>
      </x:c>
      <x:c r="Q133" s="12" t="str"/>
    </x:row>
    <x:row r="134">
      <x:c r="A134" s="6" t="str">
        <x:v>LABR-000133</x:v>
      </x:c>
      <x:c r="B134" s="6" t="str">
        <x:v>SVC000133</x:v>
      </x:c>
      <x:c r="C134" s="6" t="str">
        <x:v>Galaxy S 20 Ultra Battery Replacement</x:v>
      </x:c>
      <x:c r="D134" s="6"/>
      <x:c r="E134" s="6"/>
      <x:c r="F134" s="6"/>
      <x:c r="G134" s="6"/>
      <x:c r="H134" s="6" t="str"/>
      <x:c r="I134" s="6" t="str"/>
      <x:c r="J134" s="6" t="str"/>
      <x:c r="K134" s="12" t="str">
        <x:v>Source Workbook</x:v>
      </x:c>
      <x:c r="L134" s="12" t="str">
        <x:v>Nocturnix_Master_Services_Catalog_v1.xlsx | 01 - Master Services | row 173</x:v>
      </x:c>
      <x:c r="M134" s="6" t="str">
        <x:v>Unresolved</x:v>
      </x:c>
      <x:c r="N134" s="6" t="str"/>
      <x:c r="O134" s="6" t="str"/>
      <x:c r="P134" s="6" t="str">
        <x:v>Pending</x:v>
      </x:c>
      <x:c r="Q134" s="12" t="str"/>
    </x:row>
    <x:row r="135">
      <x:c r="A135" s="6" t="str">
        <x:v>LABR-000134</x:v>
      </x:c>
      <x:c r="B135" s="6" t="str">
        <x:v>SVC000134</x:v>
      </x:c>
      <x:c r="C135" s="6" t="str">
        <x:v>Galaxy S 5 Neo Battery Replacement</x:v>
      </x:c>
      <x:c r="D135" s="6"/>
      <x:c r="E135" s="6"/>
      <x:c r="F135" s="6"/>
      <x:c r="G135" s="6"/>
      <x:c r="H135" s="6" t="str"/>
      <x:c r="I135" s="6" t="str"/>
      <x:c r="J135" s="6" t="str"/>
      <x:c r="K135" s="12" t="str">
        <x:v>Source Workbook</x:v>
      </x:c>
      <x:c r="L135" s="12" t="str">
        <x:v>Nocturnix_Master_Services_Catalog_v1.xlsx | 01 - Master Services | row 174</x:v>
      </x:c>
      <x:c r="M135" s="6" t="str">
        <x:v>Unresolved</x:v>
      </x:c>
      <x:c r="N135" s="6" t="str"/>
      <x:c r="O135" s="6" t="str"/>
      <x:c r="P135" s="6" t="str">
        <x:v>Pending</x:v>
      </x:c>
      <x:c r="Q135" s="12" t="str"/>
    </x:row>
    <x:row r="136">
      <x:c r="A136" s="6" t="str">
        <x:v>LABR-000135</x:v>
      </x:c>
      <x:c r="B136" s="6" t="str">
        <x:v>SVC000135</x:v>
      </x:c>
      <x:c r="C136" s="6" t="str">
        <x:v>Galaxy S 4 Mini Battery Replacement</x:v>
      </x:c>
      <x:c r="D136" s="6"/>
      <x:c r="E136" s="6"/>
      <x:c r="F136" s="6"/>
      <x:c r="G136" s="6"/>
      <x:c r="H136" s="6" t="str"/>
      <x:c r="I136" s="6" t="str"/>
      <x:c r="J136" s="6" t="str"/>
      <x:c r="K136" s="12" t="str">
        <x:v>Source Workbook</x:v>
      </x:c>
      <x:c r="L136" s="12" t="str">
        <x:v>Nocturnix_Master_Services_Catalog_v1.xlsx | 01 - Master Services | row 175</x:v>
      </x:c>
      <x:c r="M136" s="6" t="str">
        <x:v>Unresolved</x:v>
      </x:c>
      <x:c r="N136" s="6" t="str"/>
      <x:c r="O136" s="6" t="str"/>
      <x:c r="P136" s="6" t="str">
        <x:v>Pending</x:v>
      </x:c>
      <x:c r="Q136" s="12" t="str"/>
    </x:row>
    <x:row r="137">
      <x:c r="A137" s="6" t="str">
        <x:v>LABR-000136</x:v>
      </x:c>
      <x:c r="B137" s="6" t="str">
        <x:v>SVC000136</x:v>
      </x:c>
      <x:c r="C137" s="6" t="str">
        <x:v>Galaxy S 23 Ultra Battery Replacement</x:v>
      </x:c>
      <x:c r="D137" s="6"/>
      <x:c r="E137" s="6"/>
      <x:c r="F137" s="6"/>
      <x:c r="G137" s="6"/>
      <x:c r="H137" s="6" t="str"/>
      <x:c r="I137" s="6" t="str"/>
      <x:c r="J137" s="6" t="str"/>
      <x:c r="K137" s="12" t="str">
        <x:v>Source Workbook</x:v>
      </x:c>
      <x:c r="L137" s="12" t="str">
        <x:v>Nocturnix_Master_Services_Catalog_v1.xlsx | 01 - Master Services | row 176</x:v>
      </x:c>
      <x:c r="M137" s="6" t="str">
        <x:v>Unresolved</x:v>
      </x:c>
      <x:c r="N137" s="6" t="str"/>
      <x:c r="O137" s="6" t="str"/>
      <x:c r="P137" s="6" t="str">
        <x:v>Pending</x:v>
      </x:c>
      <x:c r="Q137" s="12" t="str"/>
    </x:row>
    <x:row r="138">
      <x:c r="A138" s="6" t="str">
        <x:v>LABR-000137</x:v>
      </x:c>
      <x:c r="B138" s="6" t="str">
        <x:v>SVC000137</x:v>
      </x:c>
      <x:c r="C138" s="6" t="str">
        <x:v>Galaxy S 23 FE Battery Replacement</x:v>
      </x:c>
      <x:c r="D138" s="6"/>
      <x:c r="E138" s="6"/>
      <x:c r="F138" s="6"/>
      <x:c r="G138" s="6"/>
      <x:c r="H138" s="6" t="str"/>
      <x:c r="I138" s="6" t="str"/>
      <x:c r="J138" s="6" t="str"/>
      <x:c r="K138" s="12" t="str">
        <x:v>Source Workbook</x:v>
      </x:c>
      <x:c r="L138" s="12" t="str">
        <x:v>Nocturnix_Master_Services_Catalog_v1.xlsx | 01 - Master Services | row 177</x:v>
      </x:c>
      <x:c r="M138" s="6" t="str">
        <x:v>Unresolved</x:v>
      </x:c>
      <x:c r="N138" s="6" t="str"/>
      <x:c r="O138" s="6" t="str"/>
      <x:c r="P138" s="6" t="str">
        <x:v>Pending</x:v>
      </x:c>
      <x:c r="Q138" s="12" t="str"/>
    </x:row>
    <x:row r="139">
      <x:c r="A139" s="6" t="str">
        <x:v>LABR-000138</x:v>
      </x:c>
      <x:c r="B139" s="6" t="str">
        <x:v>SVC000138</x:v>
      </x:c>
      <x:c r="C139" s="6" t="str">
        <x:v>Galaxy S 25 Battery Replacement</x:v>
      </x:c>
      <x:c r="D139" s="6"/>
      <x:c r="E139" s="6"/>
      <x:c r="F139" s="6"/>
      <x:c r="G139" s="6"/>
      <x:c r="H139" s="6" t="str"/>
      <x:c r="I139" s="6" t="str"/>
      <x:c r="J139" s="6" t="str"/>
      <x:c r="K139" s="12" t="str">
        <x:v>Source Workbook</x:v>
      </x:c>
      <x:c r="L139" s="12" t="str">
        <x:v>Nocturnix_Master_Services_Catalog_v1.xlsx | 01 - Master Services | row 178</x:v>
      </x:c>
      <x:c r="M139" s="6" t="str">
        <x:v>Unresolved</x:v>
      </x:c>
      <x:c r="N139" s="6" t="str"/>
      <x:c r="O139" s="6" t="str"/>
      <x:c r="P139" s="6" t="str">
        <x:v>Pending</x:v>
      </x:c>
      <x:c r="Q139" s="12" t="str"/>
    </x:row>
    <x:row r="140">
      <x:c r="A140" s="6" t="str">
        <x:v>LABR-000139</x:v>
      </x:c>
      <x:c r="B140" s="6" t="str">
        <x:v>SVC000139</x:v>
      </x:c>
      <x:c r="C140" s="6" t="str">
        <x:v>Galaxy S 25 Edge Battery Replacement</x:v>
      </x:c>
      <x:c r="D140" s="6"/>
      <x:c r="E140" s="6"/>
      <x:c r="F140" s="6"/>
      <x:c r="G140" s="6"/>
      <x:c r="H140" s="6" t="str"/>
      <x:c r="I140" s="6" t="str"/>
      <x:c r="J140" s="6" t="str"/>
      <x:c r="K140" s="12" t="str">
        <x:v>Source Workbook</x:v>
      </x:c>
      <x:c r="L140" s="12" t="str">
        <x:v>Nocturnix_Master_Services_Catalog_v1.xlsx | 01 - Master Services | row 179</x:v>
      </x:c>
      <x:c r="M140" s="6" t="str">
        <x:v>Unresolved</x:v>
      </x:c>
      <x:c r="N140" s="6" t="str"/>
      <x:c r="O140" s="6" t="str"/>
      <x:c r="P140" s="6" t="str">
        <x:v>Pending</x:v>
      </x:c>
      <x:c r="Q140" s="12" t="str"/>
    </x:row>
    <x:row r="141">
      <x:c r="A141" s="6" t="str">
        <x:v>LABR-000140</x:v>
      </x:c>
      <x:c r="B141" s="6" t="str">
        <x:v>SVC000140</x:v>
      </x:c>
      <x:c r="C141" s="6" t="str">
        <x:v>iPhone 14 Plus Battery Replacement</x:v>
      </x:c>
      <x:c r="D141" s="6"/>
      <x:c r="E141" s="6"/>
      <x:c r="F141" s="6"/>
      <x:c r="G141" s="6"/>
      <x:c r="H141" s="6" t="str"/>
      <x:c r="I141" s="6" t="str"/>
      <x:c r="J141" s="6" t="str"/>
      <x:c r="K141" s="12" t="str">
        <x:v>Source Workbook</x:v>
      </x:c>
      <x:c r="L141" s="12" t="str">
        <x:v>Nocturnix_Master_Services_Catalog_v1.xlsx | 01 - Master Services | row 180</x:v>
      </x:c>
      <x:c r="M141" s="6" t="str">
        <x:v>Unresolved</x:v>
      </x:c>
      <x:c r="N141" s="6" t="str"/>
      <x:c r="O141" s="6" t="str"/>
      <x:c r="P141" s="6" t="str">
        <x:v>Pending</x:v>
      </x:c>
      <x:c r="Q141" s="12" t="str"/>
    </x:row>
    <x:row r="142">
      <x:c r="A142" s="6" t="str">
        <x:v>LABR-000141</x:v>
      </x:c>
      <x:c r="B142" s="6" t="str">
        <x:v>SVC000141</x:v>
      </x:c>
      <x:c r="C142" s="6" t="str">
        <x:v>iPhone 13 Pro Battery Replacement</x:v>
      </x:c>
      <x:c r="D142" s="6"/>
      <x:c r="E142" s="6"/>
      <x:c r="F142" s="6"/>
      <x:c r="G142" s="6"/>
      <x:c r="H142" s="6" t="str"/>
      <x:c r="I142" s="6" t="str"/>
      <x:c r="J142" s="6" t="str"/>
      <x:c r="K142" s="12" t="str">
        <x:v>Source Workbook</x:v>
      </x:c>
      <x:c r="L142" s="12" t="str">
        <x:v>Nocturnix_Master_Services_Catalog_v1.xlsx | 01 - Master Services | row 181</x:v>
      </x:c>
      <x:c r="M142" s="6" t="str">
        <x:v>Unresolved</x:v>
      </x:c>
      <x:c r="N142" s="6" t="str"/>
      <x:c r="O142" s="6" t="str"/>
      <x:c r="P142" s="6" t="str">
        <x:v>Pending</x:v>
      </x:c>
      <x:c r="Q142" s="12" t="str"/>
    </x:row>
    <x:row r="143">
      <x:c r="A143" s="6" t="str">
        <x:v>LABR-000142</x:v>
      </x:c>
      <x:c r="B143" s="6" t="str">
        <x:v>SVC000142</x:v>
      </x:c>
      <x:c r="C143" s="6" t="str">
        <x:v>iPhone 13 Mini Battery Replacement</x:v>
      </x:c>
      <x:c r="D143" s="6"/>
      <x:c r="E143" s="6"/>
      <x:c r="F143" s="6"/>
      <x:c r="G143" s="6"/>
      <x:c r="H143" s="6" t="str"/>
      <x:c r="I143" s="6" t="str"/>
      <x:c r="J143" s="6" t="str"/>
      <x:c r="K143" s="12" t="str">
        <x:v>Source Workbook</x:v>
      </x:c>
      <x:c r="L143" s="12" t="str">
        <x:v>Nocturnix_Master_Services_Catalog_v1.xlsx | 01 - Master Services | row 182</x:v>
      </x:c>
      <x:c r="M143" s="6" t="str">
        <x:v>Unresolved</x:v>
      </x:c>
      <x:c r="N143" s="6" t="str"/>
      <x:c r="O143" s="6" t="str"/>
      <x:c r="P143" s="6" t="str">
        <x:v>Pending</x:v>
      </x:c>
      <x:c r="Q143" s="12" t="str"/>
    </x:row>
    <x:row r="144">
      <x:c r="A144" s="6" t="str">
        <x:v>LABR-000143</x:v>
      </x:c>
      <x:c r="B144" s="6" t="str">
        <x:v>SVC000143</x:v>
      </x:c>
      <x:c r="C144" s="6" t="str">
        <x:v>iPhone 13 Battery Replacement</x:v>
      </x:c>
      <x:c r="D144" s="6"/>
      <x:c r="E144" s="6"/>
      <x:c r="F144" s="6"/>
      <x:c r="G144" s="6"/>
      <x:c r="H144" s="6" t="str"/>
      <x:c r="I144" s="6" t="str"/>
      <x:c r="J144" s="6" t="str"/>
      <x:c r="K144" s="12" t="str">
        <x:v>Source Workbook</x:v>
      </x:c>
      <x:c r="L144" s="12" t="str">
        <x:v>Nocturnix_Master_Services_Catalog_v1.xlsx | 01 - Master Services | row 183</x:v>
      </x:c>
      <x:c r="M144" s="6" t="str">
        <x:v>Unresolved</x:v>
      </x:c>
      <x:c r="N144" s="6" t="str"/>
      <x:c r="O144" s="6" t="str"/>
      <x:c r="P144" s="6" t="str">
        <x:v>Pending</x:v>
      </x:c>
      <x:c r="Q144" s="12" t="str"/>
    </x:row>
    <x:row r="145">
      <x:c r="A145" s="6" t="str">
        <x:v>LABR-000144</x:v>
      </x:c>
      <x:c r="B145" s="6" t="str">
        <x:v>SVC000144</x:v>
      </x:c>
      <x:c r="C145" s="6" t="str">
        <x:v>iPhone 12 Battery Replacement</x:v>
      </x:c>
      <x:c r="D145" s="6"/>
      <x:c r="E145" s="6"/>
      <x:c r="F145" s="6"/>
      <x:c r="G145" s="6"/>
      <x:c r="H145" s="6" t="str"/>
      <x:c r="I145" s="6" t="str"/>
      <x:c r="J145" s="6" t="str"/>
      <x:c r="K145" s="12" t="str">
        <x:v>Source Workbook</x:v>
      </x:c>
      <x:c r="L145" s="12" t="str">
        <x:v>Nocturnix_Master_Services_Catalog_v1.xlsx | 01 - Master Services | row 184</x:v>
      </x:c>
      <x:c r="M145" s="6" t="str">
        <x:v>Unresolved</x:v>
      </x:c>
      <x:c r="N145" s="6" t="str"/>
      <x:c r="O145" s="6" t="str"/>
      <x:c r="P145" s="6" t="str">
        <x:v>Pending</x:v>
      </x:c>
      <x:c r="Q145" s="12" t="str"/>
    </x:row>
    <x:row r="146">
      <x:c r="A146" s="6" t="str">
        <x:v>LABR-000145</x:v>
      </x:c>
      <x:c r="B146" s="6" t="str">
        <x:v>SVC000145</x:v>
      </x:c>
      <x:c r="C146" s="6" t="str">
        <x:v>iPhone 12 Pro Max Battery Replacement</x:v>
      </x:c>
      <x:c r="D146" s="6"/>
      <x:c r="E146" s="6"/>
      <x:c r="F146" s="6"/>
      <x:c r="G146" s="6"/>
      <x:c r="H146" s="6" t="str"/>
      <x:c r="I146" s="6" t="str"/>
      <x:c r="J146" s="6" t="str"/>
      <x:c r="K146" s="12" t="str">
        <x:v>Source Workbook</x:v>
      </x:c>
      <x:c r="L146" s="12" t="str">
        <x:v>Nocturnix_Master_Services_Catalog_v1.xlsx | 01 - Master Services | row 185</x:v>
      </x:c>
      <x:c r="M146" s="6" t="str">
        <x:v>Unresolved</x:v>
      </x:c>
      <x:c r="N146" s="6" t="str"/>
      <x:c r="O146" s="6" t="str"/>
      <x:c r="P146" s="6" t="str">
        <x:v>Pending</x:v>
      </x:c>
      <x:c r="Q146" s="12" t="str"/>
    </x:row>
    <x:row r="147">
      <x:c r="A147" s="6" t="str">
        <x:v>LABR-000146</x:v>
      </x:c>
      <x:c r="B147" s="6" t="str">
        <x:v>SVC000146</x:v>
      </x:c>
      <x:c r="C147" s="6" t="str">
        <x:v>iPhone 12 Pro Battery Replacement</x:v>
      </x:c>
      <x:c r="D147" s="6"/>
      <x:c r="E147" s="6"/>
      <x:c r="F147" s="6"/>
      <x:c r="G147" s="6"/>
      <x:c r="H147" s="6" t="str"/>
      <x:c r="I147" s="6" t="str"/>
      <x:c r="J147" s="6" t="str"/>
      <x:c r="K147" s="12" t="str">
        <x:v>Source Workbook</x:v>
      </x:c>
      <x:c r="L147" s="12" t="str">
        <x:v>Nocturnix_Master_Services_Catalog_v1.xlsx | 01 - Master Services | row 186</x:v>
      </x:c>
      <x:c r="M147" s="6" t="str">
        <x:v>Unresolved</x:v>
      </x:c>
      <x:c r="N147" s="6" t="str"/>
      <x:c r="O147" s="6" t="str"/>
      <x:c r="P147" s="6" t="str">
        <x:v>Pending</x:v>
      </x:c>
      <x:c r="Q147" s="12" t="str"/>
    </x:row>
    <x:row r="148">
      <x:c r="A148" s="6" t="str">
        <x:v>LABR-000147</x:v>
      </x:c>
      <x:c r="B148" s="6" t="str">
        <x:v>SVC000147</x:v>
      </x:c>
      <x:c r="C148" s="6" t="str">
        <x:v>iPhone 13 Pro Max Battery Replacement</x:v>
      </x:c>
      <x:c r="D148" s="6"/>
      <x:c r="E148" s="6"/>
      <x:c r="F148" s="6"/>
      <x:c r="G148" s="6"/>
      <x:c r="H148" s="6" t="str"/>
      <x:c r="I148" s="6" t="str"/>
      <x:c r="J148" s="6" t="str"/>
      <x:c r="K148" s="12" t="str">
        <x:v>Source Workbook</x:v>
      </x:c>
      <x:c r="L148" s="12" t="str">
        <x:v>Nocturnix_Master_Services_Catalog_v1.xlsx | 01 - Master Services | row 187</x:v>
      </x:c>
      <x:c r="M148" s="6" t="str">
        <x:v>Unresolved</x:v>
      </x:c>
      <x:c r="N148" s="6" t="str"/>
      <x:c r="O148" s="6" t="str"/>
      <x:c r="P148" s="6" t="str">
        <x:v>Pending</x:v>
      </x:c>
      <x:c r="Q148" s="12" t="str"/>
    </x:row>
    <x:row r="149">
      <x:c r="A149" s="6" t="str">
        <x:v>LABR-000148</x:v>
      </x:c>
      <x:c r="B149" s="6" t="str">
        <x:v>SVC000148</x:v>
      </x:c>
      <x:c r="C149" s="6" t="str">
        <x:v>iPhone 12 Mini Battery Replacement</x:v>
      </x:c>
      <x:c r="D149" s="6"/>
      <x:c r="E149" s="6"/>
      <x:c r="F149" s="6"/>
      <x:c r="G149" s="6"/>
      <x:c r="H149" s="6" t="str"/>
      <x:c r="I149" s="6" t="str"/>
      <x:c r="J149" s="6" t="str"/>
      <x:c r="K149" s="12" t="str">
        <x:v>Source Workbook</x:v>
      </x:c>
      <x:c r="L149" s="12" t="str">
        <x:v>Nocturnix_Master_Services_Catalog_v1.xlsx | 01 - Master Services | row 188</x:v>
      </x:c>
      <x:c r="M149" s="6" t="str">
        <x:v>Unresolved</x:v>
      </x:c>
      <x:c r="N149" s="6" t="str"/>
      <x:c r="O149" s="6" t="str"/>
      <x:c r="P149" s="6" t="str">
        <x:v>Pending</x:v>
      </x:c>
      <x:c r="Q149" s="12" t="str"/>
    </x:row>
    <x:row r="150">
      <x:c r="A150" s="6" t="str">
        <x:v>LABR-000149</x:v>
      </x:c>
      <x:c r="B150" s="6" t="str">
        <x:v>SVC000149</x:v>
      </x:c>
      <x:c r="C150" s="6" t="str">
        <x:v>iPhone 14 Pro Max Battery Replacement</x:v>
      </x:c>
      <x:c r="D150" s="6"/>
      <x:c r="E150" s="6"/>
      <x:c r="F150" s="6"/>
      <x:c r="G150" s="6"/>
      <x:c r="H150" s="6" t="str"/>
      <x:c r="I150" s="6" t="str"/>
      <x:c r="J150" s="6" t="str"/>
      <x:c r="K150" s="12" t="str">
        <x:v>Source Workbook</x:v>
      </x:c>
      <x:c r="L150" s="12" t="str">
        <x:v>Nocturnix_Master_Services_Catalog_v1.xlsx | 01 - Master Services | row 189</x:v>
      </x:c>
      <x:c r="M150" s="6" t="str">
        <x:v>Unresolved</x:v>
      </x:c>
      <x:c r="N150" s="6" t="str"/>
      <x:c r="O150" s="6" t="str"/>
      <x:c r="P150" s="6" t="str">
        <x:v>Pending</x:v>
      </x:c>
      <x:c r="Q150" s="12" t="str"/>
    </x:row>
    <x:row r="151">
      <x:c r="A151" s="6" t="str">
        <x:v>LABR-000150</x:v>
      </x:c>
      <x:c r="B151" s="6" t="str">
        <x:v>SVC000150</x:v>
      </x:c>
      <x:c r="C151" s="6" t="str">
        <x:v>Galaxy S 21 FE Battery Replacement</x:v>
      </x:c>
      <x:c r="D151" s="6"/>
      <x:c r="E151" s="6"/>
      <x:c r="F151" s="6"/>
      <x:c r="G151" s="6"/>
      <x:c r="H151" s="6" t="str"/>
      <x:c r="I151" s="6" t="str"/>
      <x:c r="J151" s="6" t="str"/>
      <x:c r="K151" s="12" t="str">
        <x:v>Source Workbook</x:v>
      </x:c>
      <x:c r="L151" s="12" t="str">
        <x:v>Nocturnix_Master_Services_Catalog_v1.xlsx | 01 - Master Services | row 190</x:v>
      </x:c>
      <x:c r="M151" s="6" t="str">
        <x:v>Unresolved</x:v>
      </x:c>
      <x:c r="N151" s="6" t="str"/>
      <x:c r="O151" s="6" t="str"/>
      <x:c r="P151" s="6" t="str">
        <x:v>Pending</x:v>
      </x:c>
      <x:c r="Q151" s="12" t="str"/>
    </x:row>
    <x:row r="152">
      <x:c r="A152" s="6" t="str">
        <x:v>LABR-000151</x:v>
      </x:c>
      <x:c r="B152" s="6" t="str">
        <x:v>SVC000151</x:v>
      </x:c>
      <x:c r="C152" s="6" t="str">
        <x:v>Galaxy S 6 Active Battery Replacement</x:v>
      </x:c>
      <x:c r="D152" s="6"/>
      <x:c r="E152" s="6"/>
      <x:c r="F152" s="6"/>
      <x:c r="G152" s="6"/>
      <x:c r="H152" s="6" t="str"/>
      <x:c r="I152" s="6" t="str"/>
      <x:c r="J152" s="6" t="str"/>
      <x:c r="K152" s="12" t="str">
        <x:v>Source Workbook</x:v>
      </x:c>
      <x:c r="L152" s="12" t="str">
        <x:v>Nocturnix_Master_Services_Catalog_v1.xlsx | 01 - Master Services | row 191</x:v>
      </x:c>
      <x:c r="M152" s="6" t="str">
        <x:v>Unresolved</x:v>
      </x:c>
      <x:c r="N152" s="6" t="str"/>
      <x:c r="O152" s="6" t="str"/>
      <x:c r="P152" s="6" t="str">
        <x:v>Pending</x:v>
      </x:c>
      <x:c r="Q152" s="12" t="str"/>
    </x:row>
    <x:row r="153">
      <x:c r="A153" s="6" t="str">
        <x:v>LABR-000152</x:v>
      </x:c>
      <x:c r="B153" s="6" t="str">
        <x:v>SVC000152</x:v>
      </x:c>
      <x:c r="C153" s="6" t="str">
        <x:v>Galaxy S 21 Battery Replacement</x:v>
      </x:c>
      <x:c r="D153" s="6"/>
      <x:c r="E153" s="6"/>
      <x:c r="F153" s="6"/>
      <x:c r="G153" s="6"/>
      <x:c r="H153" s="6" t="str"/>
      <x:c r="I153" s="6" t="str"/>
      <x:c r="J153" s="6" t="str"/>
      <x:c r="K153" s="12" t="str">
        <x:v>Source Workbook</x:v>
      </x:c>
      <x:c r="L153" s="12" t="str">
        <x:v>Nocturnix_Master_Services_Catalog_v1.xlsx | 01 - Master Services | row 192</x:v>
      </x:c>
      <x:c r="M153" s="6" t="str">
        <x:v>Unresolved</x:v>
      </x:c>
      <x:c r="N153" s="6" t="str"/>
      <x:c r="O153" s="6" t="str"/>
      <x:c r="P153" s="6" t="str">
        <x:v>Pending</x:v>
      </x:c>
      <x:c r="Q153" s="12" t="str"/>
    </x:row>
    <x:row r="154">
      <x:c r="A154" s="6" t="str">
        <x:v>LABR-000153</x:v>
      </x:c>
      <x:c r="B154" s="6" t="str">
        <x:v>SVC000153</x:v>
      </x:c>
      <x:c r="C154" s="6" t="str">
        <x:v>Galaxy S 6 Battery Replacement</x:v>
      </x:c>
      <x:c r="D154" s="6"/>
      <x:c r="E154" s="6"/>
      <x:c r="F154" s="6"/>
      <x:c r="G154" s="6"/>
      <x:c r="H154" s="6" t="str"/>
      <x:c r="I154" s="6" t="str"/>
      <x:c r="J154" s="6" t="str"/>
      <x:c r="K154" s="12" t="str">
        <x:v>Source Workbook</x:v>
      </x:c>
      <x:c r="L154" s="12" t="str">
        <x:v>Nocturnix_Master_Services_Catalog_v1.xlsx | 01 - Master Services | row 193</x:v>
      </x:c>
      <x:c r="M154" s="6" t="str">
        <x:v>Unresolved</x:v>
      </x:c>
      <x:c r="N154" s="6" t="str"/>
      <x:c r="O154" s="6" t="str"/>
      <x:c r="P154" s="6" t="str">
        <x:v>Pending</x:v>
      </x:c>
      <x:c r="Q154" s="12" t="str"/>
    </x:row>
    <x:row r="155">
      <x:c r="A155" s="6" t="str">
        <x:v>LABR-000154</x:v>
      </x:c>
      <x:c r="B155" s="6" t="str">
        <x:v>SVC000154</x:v>
      </x:c>
      <x:c r="C155" s="6" t="str">
        <x:v>Galaxy S 6 Edge Plus Battery Replacement</x:v>
      </x:c>
      <x:c r="D155" s="6"/>
      <x:c r="E155" s="6"/>
      <x:c r="F155" s="6"/>
      <x:c r="G155" s="6"/>
      <x:c r="H155" s="6" t="str"/>
      <x:c r="I155" s="6" t="str"/>
      <x:c r="J155" s="6" t="str"/>
      <x:c r="K155" s="12" t="str">
        <x:v>Source Workbook</x:v>
      </x:c>
      <x:c r="L155" s="12" t="str">
        <x:v>Nocturnix_Master_Services_Catalog_v1.xlsx | 01 - Master Services | row 194</x:v>
      </x:c>
      <x:c r="M155" s="6" t="str">
        <x:v>Unresolved</x:v>
      </x:c>
      <x:c r="N155" s="6" t="str"/>
      <x:c r="O155" s="6" t="str"/>
      <x:c r="P155" s="6" t="str">
        <x:v>Pending</x:v>
      </x:c>
      <x:c r="Q155" s="12" t="str"/>
    </x:row>
    <x:row r="156">
      <x:c r="A156" s="6" t="str">
        <x:v>LABR-000155</x:v>
      </x:c>
      <x:c r="B156" s="6" t="str">
        <x:v>SVC000155</x:v>
      </x:c>
      <x:c r="C156" s="6" t="str">
        <x:v>Galaxy S 7 Active Battery Replacement</x:v>
      </x:c>
      <x:c r="D156" s="6"/>
      <x:c r="E156" s="6"/>
      <x:c r="F156" s="6"/>
      <x:c r="G156" s="6"/>
      <x:c r="H156" s="6" t="str"/>
      <x:c r="I156" s="6" t="str"/>
      <x:c r="J156" s="6" t="str"/>
      <x:c r="K156" s="12" t="str">
        <x:v>Source Workbook</x:v>
      </x:c>
      <x:c r="L156" s="12" t="str">
        <x:v>Nocturnix_Master_Services_Catalog_v1.xlsx | 01 - Master Services | row 195</x:v>
      </x:c>
      <x:c r="M156" s="6" t="str">
        <x:v>Unresolved</x:v>
      </x:c>
      <x:c r="N156" s="6" t="str"/>
      <x:c r="O156" s="6" t="str"/>
      <x:c r="P156" s="6" t="str">
        <x:v>Pending</x:v>
      </x:c>
      <x:c r="Q156" s="12" t="str"/>
    </x:row>
    <x:row r="157">
      <x:c r="A157" s="6" t="str">
        <x:v>LABR-000156</x:v>
      </x:c>
      <x:c r="B157" s="6" t="str">
        <x:v>SVC000156</x:v>
      </x:c>
      <x:c r="C157" s="6" t="str">
        <x:v>Galaxy S 8 Battery Replacement</x:v>
      </x:c>
      <x:c r="D157" s="6"/>
      <x:c r="E157" s="6"/>
      <x:c r="F157" s="6"/>
      <x:c r="G157" s="6"/>
      <x:c r="H157" s="6" t="str"/>
      <x:c r="I157" s="6" t="str"/>
      <x:c r="J157" s="6" t="str"/>
      <x:c r="K157" s="12" t="str">
        <x:v>Source Workbook</x:v>
      </x:c>
      <x:c r="L157" s="12" t="str">
        <x:v>Nocturnix_Master_Services_Catalog_v1.xlsx | 01 - Master Services | row 196</x:v>
      </x:c>
      <x:c r="M157" s="6" t="str">
        <x:v>Unresolved</x:v>
      </x:c>
      <x:c r="N157" s="6" t="str"/>
      <x:c r="O157" s="6" t="str"/>
      <x:c r="P157" s="6" t="str">
        <x:v>Pending</x:v>
      </x:c>
      <x:c r="Q157" s="12" t="str"/>
    </x:row>
    <x:row r="158">
      <x:c r="A158" s="6" t="str">
        <x:v>LABR-000157</x:v>
      </x:c>
      <x:c r="B158" s="6" t="str">
        <x:v>SVC000157</x:v>
      </x:c>
      <x:c r="C158" s="6" t="str">
        <x:v>Galaxy S 9 Battery Replacement</x:v>
      </x:c>
      <x:c r="D158" s="6"/>
      <x:c r="E158" s="6"/>
      <x:c r="F158" s="6"/>
      <x:c r="G158" s="6"/>
      <x:c r="H158" s="6" t="str"/>
      <x:c r="I158" s="6" t="str"/>
      <x:c r="J158" s="6" t="str"/>
      <x:c r="K158" s="12" t="str">
        <x:v>Source Workbook</x:v>
      </x:c>
      <x:c r="L158" s="12" t="str">
        <x:v>Nocturnix_Master_Services_Catalog_v1.xlsx | 01 - Master Services | row 197</x:v>
      </x:c>
      <x:c r="M158" s="6" t="str">
        <x:v>Unresolved</x:v>
      </x:c>
      <x:c r="N158" s="6" t="str"/>
      <x:c r="O158" s="6" t="str"/>
      <x:c r="P158" s="6" t="str">
        <x:v>Pending</x:v>
      </x:c>
      <x:c r="Q158" s="12" t="str"/>
    </x:row>
    <x:row r="159">
      <x:c r="A159" s="6" t="str">
        <x:v>LABR-000158</x:v>
      </x:c>
      <x:c r="B159" s="6" t="str">
        <x:v>SVC000158</x:v>
      </x:c>
      <x:c r="C159" s="6" t="str">
        <x:v>Galaxy S 20 FE Battery Replacement</x:v>
      </x:c>
      <x:c r="D159" s="6"/>
      <x:c r="E159" s="6"/>
      <x:c r="F159" s="6"/>
      <x:c r="G159" s="6"/>
      <x:c r="H159" s="6" t="str"/>
      <x:c r="I159" s="6" t="str"/>
      <x:c r="J159" s="6" t="str"/>
      <x:c r="K159" s="12" t="str">
        <x:v>Source Workbook</x:v>
      </x:c>
      <x:c r="L159" s="12" t="str">
        <x:v>Nocturnix_Master_Services_Catalog_v1.xlsx | 01 - Master Services | row 198</x:v>
      </x:c>
      <x:c r="M159" s="6" t="str">
        <x:v>Unresolved</x:v>
      </x:c>
      <x:c r="N159" s="6" t="str"/>
      <x:c r="O159" s="6" t="str"/>
      <x:c r="P159" s="6" t="str">
        <x:v>Pending</x:v>
      </x:c>
      <x:c r="Q159" s="12" t="str"/>
    </x:row>
    <x:row r="160">
      <x:c r="A160" s="6" t="str">
        <x:v>LABR-000159</x:v>
      </x:c>
      <x:c r="B160" s="6" t="str">
        <x:v>SVC000159</x:v>
      </x:c>
      <x:c r="C160" s="6" t="str">
        <x:v>Galaxy S Classic Battery Replacement</x:v>
      </x:c>
      <x:c r="D160" s="6"/>
      <x:c r="E160" s="6"/>
      <x:c r="F160" s="6"/>
      <x:c r="G160" s="6"/>
      <x:c r="H160" s="6" t="str"/>
      <x:c r="I160" s="6" t="str"/>
      <x:c r="J160" s="6" t="str"/>
      <x:c r="K160" s="12" t="str">
        <x:v>Source Workbook</x:v>
      </x:c>
      <x:c r="L160" s="12" t="str">
        <x:v>Nocturnix_Master_Services_Catalog_v1.xlsx | 01 - Master Services | row 199</x:v>
      </x:c>
      <x:c r="M160" s="6" t="str">
        <x:v>Unresolved</x:v>
      </x:c>
      <x:c r="N160" s="6" t="str"/>
      <x:c r="O160" s="6" t="str"/>
      <x:c r="P160" s="6" t="str">
        <x:v>Pending</x:v>
      </x:c>
      <x:c r="Q160" s="12" t="str"/>
    </x:row>
    <x:row r="161">
      <x:c r="A161" s="6" t="str">
        <x:v>LABR-000160</x:v>
      </x:c>
      <x:c r="B161" s="6" t="str">
        <x:v>SVC000160</x:v>
      </x:c>
      <x:c r="C161" s="6" t="str">
        <x:v>Galaxy S2 Battery Replacement</x:v>
      </x:c>
      <x:c r="D161" s="6"/>
      <x:c r="E161" s="6"/>
      <x:c r="F161" s="6"/>
      <x:c r="G161" s="6"/>
      <x:c r="H161" s="6" t="str"/>
      <x:c r="I161" s="6" t="str"/>
      <x:c r="J161" s="6" t="str"/>
      <x:c r="K161" s="12" t="str">
        <x:v>Source Workbook</x:v>
      </x:c>
      <x:c r="L161" s="12" t="str">
        <x:v>Nocturnix_Master_Services_Catalog_v1.xlsx | 01 - Master Services | row 200</x:v>
      </x:c>
      <x:c r="M161" s="6" t="str">
        <x:v>Unresolved</x:v>
      </x:c>
      <x:c r="N161" s="6" t="str"/>
      <x:c r="O161" s="6" t="str"/>
      <x:c r="P161" s="6" t="str">
        <x:v>Pending</x:v>
      </x:c>
      <x:c r="Q161" s="12" t="str"/>
    </x:row>
    <x:row r="162">
      <x:c r="A162" s="6" t="str">
        <x:v>LABR-000161</x:v>
      </x:c>
      <x:c r="B162" s="6" t="str">
        <x:v>SVC000161</x:v>
      </x:c>
      <x:c r="C162" s="6" t="str">
        <x:v>Galaxy S3 Battery Replacement</x:v>
      </x:c>
      <x:c r="D162" s="6"/>
      <x:c r="E162" s="6"/>
      <x:c r="F162" s="6"/>
      <x:c r="G162" s="6"/>
      <x:c r="H162" s="6" t="str"/>
      <x:c r="I162" s="6" t="str"/>
      <x:c r="J162" s="6" t="str"/>
      <x:c r="K162" s="12" t="str">
        <x:v>Source Workbook</x:v>
      </x:c>
      <x:c r="L162" s="12" t="str">
        <x:v>Nocturnix_Master_Services_Catalog_v1.xlsx | 01 - Master Services | row 201</x:v>
      </x:c>
      <x:c r="M162" s="6" t="str">
        <x:v>Unresolved</x:v>
      </x:c>
      <x:c r="N162" s="6" t="str"/>
      <x:c r="O162" s="6" t="str"/>
      <x:c r="P162" s="6" t="str">
        <x:v>Pending</x:v>
      </x:c>
      <x:c r="Q162" s="12" t="str"/>
    </x:row>
    <x:row r="163">
      <x:c r="A163" s="6" t="str">
        <x:v>LABR-000162</x:v>
      </x:c>
      <x:c r="B163" s="6" t="str">
        <x:v>SVC000162</x:v>
      </x:c>
      <x:c r="C163" s="6" t="str">
        <x:v>Galaxy S3 Mini Battery Replacement</x:v>
      </x:c>
      <x:c r="D163" s="6"/>
      <x:c r="E163" s="6"/>
      <x:c r="F163" s="6"/>
      <x:c r="G163" s="6"/>
      <x:c r="H163" s="6" t="str"/>
      <x:c r="I163" s="6" t="str"/>
      <x:c r="J163" s="6" t="str"/>
      <x:c r="K163" s="12" t="str">
        <x:v>Source Workbook</x:v>
      </x:c>
      <x:c r="L163" s="12" t="str">
        <x:v>Nocturnix_Master_Services_Catalog_v1.xlsx | 01 - Master Services | row 202</x:v>
      </x:c>
      <x:c r="M163" s="6" t="str">
        <x:v>Unresolved</x:v>
      </x:c>
      <x:c r="N163" s="6" t="str"/>
      <x:c r="O163" s="6" t="str"/>
      <x:c r="P163" s="6" t="str">
        <x:v>Pending</x:v>
      </x:c>
      <x:c r="Q163" s="12" t="str"/>
    </x:row>
    <x:row r="164">
      <x:c r="A164" s="6" t="str">
        <x:v>LABR-000163</x:v>
      </x:c>
      <x:c r="B164" s="6" t="str">
        <x:v>SVC000163</x:v>
      </x:c>
      <x:c r="C164" s="6" t="str">
        <x:v>Galaxy S3 Neo Battery Replacement</x:v>
      </x:c>
      <x:c r="D164" s="6"/>
      <x:c r="E164" s="6"/>
      <x:c r="F164" s="6"/>
      <x:c r="G164" s="6"/>
      <x:c r="H164" s="6" t="str"/>
      <x:c r="I164" s="6" t="str"/>
      <x:c r="J164" s="6" t="str"/>
      <x:c r="K164" s="12" t="str">
        <x:v>Source Workbook</x:v>
      </x:c>
      <x:c r="L164" s="12" t="str">
        <x:v>Nocturnix_Master_Services_Catalog_v1.xlsx | 01 - Master Services | row 203</x:v>
      </x:c>
      <x:c r="M164" s="6" t="str">
        <x:v>Unresolved</x:v>
      </x:c>
      <x:c r="N164" s="6" t="str"/>
      <x:c r="O164" s="6" t="str"/>
      <x:c r="P164" s="6" t="str">
        <x:v>Pending</x:v>
      </x:c>
      <x:c r="Q164" s="12" t="str"/>
    </x:row>
    <x:row r="165">
      <x:c r="A165" s="6" t="str">
        <x:v>LABR-000164</x:v>
      </x:c>
      <x:c r="B165" s="6" t="str">
        <x:v>SVC000164</x:v>
      </x:c>
      <x:c r="C165" s="6" t="str">
        <x:v>Galaxy S4 Battery Replacement</x:v>
      </x:c>
      <x:c r="D165" s="6"/>
      <x:c r="E165" s="6"/>
      <x:c r="F165" s="6"/>
      <x:c r="G165" s="6"/>
      <x:c r="H165" s="6" t="str"/>
      <x:c r="I165" s="6" t="str"/>
      <x:c r="J165" s="6" t="str"/>
      <x:c r="K165" s="12" t="str">
        <x:v>Source Workbook</x:v>
      </x:c>
      <x:c r="L165" s="12" t="str">
        <x:v>Nocturnix_Master_Services_Catalog_v1.xlsx | 01 - Master Services | row 204</x:v>
      </x:c>
      <x:c r="M165" s="6" t="str">
        <x:v>Unresolved</x:v>
      </x:c>
      <x:c r="N165" s="6" t="str"/>
      <x:c r="O165" s="6" t="str"/>
      <x:c r="P165" s="6" t="str">
        <x:v>Pending</x:v>
      </x:c>
      <x:c r="Q165" s="12" t="str"/>
    </x:row>
    <x:row r="166">
      <x:c r="A166" s="6" t="str">
        <x:v>LABR-000165</x:v>
      </x:c>
      <x:c r="B166" s="6" t="str">
        <x:v>SVC000165</x:v>
      </x:c>
      <x:c r="C166" s="6" t="str">
        <x:v>Galaxy S 4 Active Battery Replacement</x:v>
      </x:c>
      <x:c r="D166" s="6"/>
      <x:c r="E166" s="6"/>
      <x:c r="F166" s="6"/>
      <x:c r="G166" s="6"/>
      <x:c r="H166" s="6" t="str"/>
      <x:c r="I166" s="6" t="str"/>
      <x:c r="J166" s="6" t="str"/>
      <x:c r="K166" s="12" t="str">
        <x:v>Source Workbook</x:v>
      </x:c>
      <x:c r="L166" s="12" t="str">
        <x:v>Nocturnix_Master_Services_Catalog_v1.xlsx | 01 - Master Services | row 205</x:v>
      </x:c>
      <x:c r="M166" s="6" t="str">
        <x:v>Unresolved</x:v>
      </x:c>
      <x:c r="N166" s="6" t="str"/>
      <x:c r="O166" s="6" t="str"/>
      <x:c r="P166" s="6" t="str">
        <x:v>Pending</x:v>
      </x:c>
      <x:c r="Q166" s="12" t="str"/>
    </x:row>
    <x:row r="167">
      <x:c r="A167" s="6" t="str">
        <x:v>LABR-000166</x:v>
      </x:c>
      <x:c r="B167" s="6" t="str">
        <x:v>SVC000166</x:v>
      </x:c>
      <x:c r="C167" s="6" t="str">
        <x:v>Galaxy S 5 Battery Replacement</x:v>
      </x:c>
      <x:c r="D167" s="6"/>
      <x:c r="E167" s="6"/>
      <x:c r="F167" s="6"/>
      <x:c r="G167" s="6"/>
      <x:c r="H167" s="6" t="str"/>
      <x:c r="I167" s="6" t="str"/>
      <x:c r="J167" s="6" t="str"/>
      <x:c r="K167" s="12" t="str">
        <x:v>Source Workbook</x:v>
      </x:c>
      <x:c r="L167" s="12" t="str">
        <x:v>Nocturnix_Master_Services_Catalog_v1.xlsx | 01 - Master Services | row 206</x:v>
      </x:c>
      <x:c r="M167" s="6" t="str">
        <x:v>Unresolved</x:v>
      </x:c>
      <x:c r="N167" s="6" t="str"/>
      <x:c r="O167" s="6" t="str"/>
      <x:c r="P167" s="6" t="str">
        <x:v>Pending</x:v>
      </x:c>
      <x:c r="Q167" s="12" t="str"/>
    </x:row>
    <x:row r="168">
      <x:c r="A168" s="6" t="str">
        <x:v>LABR-000167</x:v>
      </x:c>
      <x:c r="B168" s="6" t="str">
        <x:v>SVC000167</x:v>
      </x:c>
      <x:c r="C168" s="6" t="str">
        <x:v>iPhone 7+ Battery Replacement</x:v>
      </x:c>
      <x:c r="D168" s="6"/>
      <x:c r="E168" s="6"/>
      <x:c r="F168" s="6"/>
      <x:c r="G168" s="6"/>
      <x:c r="H168" s="6" t="str"/>
      <x:c r="I168" s="6" t="str"/>
      <x:c r="J168" s="6" t="str"/>
      <x:c r="K168" s="12" t="str">
        <x:v>Source Workbook</x:v>
      </x:c>
      <x:c r="L168" s="12" t="str">
        <x:v>Nocturnix_Master_Services_Catalog_v1.xlsx | 01 - Master Services | row 207</x:v>
      </x:c>
      <x:c r="M168" s="6" t="str">
        <x:v>Unresolved</x:v>
      </x:c>
      <x:c r="N168" s="6" t="str"/>
      <x:c r="O168" s="6" t="str"/>
      <x:c r="P168" s="6" t="str">
        <x:v>Pending</x:v>
      </x:c>
      <x:c r="Q168" s="12" t="str"/>
    </x:row>
    <x:row r="169">
      <x:c r="A169" s="6" t="str">
        <x:v>LABR-000168</x:v>
      </x:c>
      <x:c r="B169" s="6" t="str">
        <x:v>SVC000168</x:v>
      </x:c>
      <x:c r="C169" s="6" t="str">
        <x:v>iPhone Battery Replacement</x:v>
      </x:c>
      <x:c r="D169" s="6"/>
      <x:c r="E169" s="6"/>
      <x:c r="F169" s="6"/>
      <x:c r="G169" s="6"/>
      <x:c r="H169" s="6" t="str"/>
      <x:c r="I169" s="6" t="str"/>
      <x:c r="J169" s="6" t="str"/>
      <x:c r="K169" s="12" t="str">
        <x:v>Source Workbook</x:v>
      </x:c>
      <x:c r="L169" s="12" t="str">
        <x:v>Nocturnix_Master_Services_Catalog_v1.xlsx | 01 - Master Services | row 208</x:v>
      </x:c>
      <x:c r="M169" s="6" t="str">
        <x:v>Unresolved</x:v>
      </x:c>
      <x:c r="N169" s="6" t="str"/>
      <x:c r="O169" s="6" t="str"/>
      <x:c r="P169" s="6" t="str">
        <x:v>Pending</x:v>
      </x:c>
      <x:c r="Q169" s="12" t="str"/>
    </x:row>
    <x:row r="170">
      <x:c r="A170" s="6" t="str">
        <x:v>LABR-000169</x:v>
      </x:c>
      <x:c r="B170" s="6" t="str">
        <x:v>SVC000169</x:v>
      </x:c>
      <x:c r="C170" s="6" t="str">
        <x:v>iPhone 3GS Battery Replacement</x:v>
      </x:c>
      <x:c r="D170" s="6"/>
      <x:c r="E170" s="6"/>
      <x:c r="F170" s="6"/>
      <x:c r="G170" s="6"/>
      <x:c r="H170" s="6" t="str"/>
      <x:c r="I170" s="6" t="str"/>
      <x:c r="J170" s="6" t="str"/>
      <x:c r="K170" s="12" t="str">
        <x:v>Source Workbook</x:v>
      </x:c>
      <x:c r="L170" s="12" t="str">
        <x:v>Nocturnix_Master_Services_Catalog_v1.xlsx | 01 - Master Services | row 209</x:v>
      </x:c>
      <x:c r="M170" s="6" t="str">
        <x:v>Unresolved</x:v>
      </x:c>
      <x:c r="N170" s="6" t="str"/>
      <x:c r="O170" s="6" t="str"/>
      <x:c r="P170" s="6" t="str">
        <x:v>Pending</x:v>
      </x:c>
      <x:c r="Q170" s="12" t="str"/>
    </x:row>
    <x:row r="171">
      <x:c r="A171" s="6" t="str">
        <x:v>LABR-000170</x:v>
      </x:c>
      <x:c r="B171" s="6" t="str">
        <x:v>SVC000170</x:v>
      </x:c>
      <x:c r="C171" s="6" t="str">
        <x:v>iPhone 4S Battery Replacement</x:v>
      </x:c>
      <x:c r="D171" s="6"/>
      <x:c r="E171" s="6"/>
      <x:c r="F171" s="6"/>
      <x:c r="G171" s="6"/>
      <x:c r="H171" s="6" t="str"/>
      <x:c r="I171" s="6" t="str"/>
      <x:c r="J171" s="6" t="str"/>
      <x:c r="K171" s="12" t="str">
        <x:v>Source Workbook</x:v>
      </x:c>
      <x:c r="L171" s="12" t="str">
        <x:v>Nocturnix_Master_Services_Catalog_v1.xlsx | 01 - Master Services | row 210</x:v>
      </x:c>
      <x:c r="M171" s="6" t="str">
        <x:v>Unresolved</x:v>
      </x:c>
      <x:c r="N171" s="6" t="str"/>
      <x:c r="O171" s="6" t="str"/>
      <x:c r="P171" s="6" t="str">
        <x:v>Pending</x:v>
      </x:c>
      <x:c r="Q171" s="12" t="str"/>
    </x:row>
    <x:row r="172">
      <x:c r="A172" s="6" t="str">
        <x:v>LABR-000171</x:v>
      </x:c>
      <x:c r="B172" s="6" t="str">
        <x:v>SVC000171</x:v>
      </x:c>
      <x:c r="C172" s="6" t="str">
        <x:v>iPhone 5 Battery Replacement</x:v>
      </x:c>
      <x:c r="D172" s="6"/>
      <x:c r="E172" s="6"/>
      <x:c r="F172" s="6"/>
      <x:c r="G172" s="6"/>
      <x:c r="H172" s="6" t="str"/>
      <x:c r="I172" s="6" t="str"/>
      <x:c r="J172" s="6" t="str"/>
      <x:c r="K172" s="12" t="str">
        <x:v>Source Workbook</x:v>
      </x:c>
      <x:c r="L172" s="12" t="str">
        <x:v>Nocturnix_Master_Services_Catalog_v1.xlsx | 01 - Master Services | row 211</x:v>
      </x:c>
      <x:c r="M172" s="6" t="str">
        <x:v>Unresolved</x:v>
      </x:c>
      <x:c r="N172" s="6" t="str"/>
      <x:c r="O172" s="6" t="str"/>
      <x:c r="P172" s="6" t="str">
        <x:v>Pending</x:v>
      </x:c>
      <x:c r="Q172" s="12" t="str"/>
    </x:row>
    <x:row r="173">
      <x:c r="A173" s="6" t="str">
        <x:v>LABR-000172</x:v>
      </x:c>
      <x:c r="B173" s="6" t="str">
        <x:v>SVC000172</x:v>
      </x:c>
      <x:c r="C173" s="6" t="str">
        <x:v>iPhone 5C Battery Replacement</x:v>
      </x:c>
      <x:c r="D173" s="6"/>
      <x:c r="E173" s="6"/>
      <x:c r="F173" s="6"/>
      <x:c r="G173" s="6"/>
      <x:c r="H173" s="6" t="str"/>
      <x:c r="I173" s="6" t="str"/>
      <x:c r="J173" s="6" t="str"/>
      <x:c r="K173" s="12" t="str">
        <x:v>Source Workbook</x:v>
      </x:c>
      <x:c r="L173" s="12" t="str">
        <x:v>Nocturnix_Master_Services_Catalog_v1.xlsx | 01 - Master Services | row 212</x:v>
      </x:c>
      <x:c r="M173" s="6" t="str">
        <x:v>Unresolved</x:v>
      </x:c>
      <x:c r="N173" s="6" t="str"/>
      <x:c r="O173" s="6" t="str"/>
      <x:c r="P173" s="6" t="str">
        <x:v>Pending</x:v>
      </x:c>
      <x:c r="Q173" s="12" t="str"/>
    </x:row>
    <x:row r="174">
      <x:c r="A174" s="6" t="str">
        <x:v>LABR-000173</x:v>
      </x:c>
      <x:c r="B174" s="6" t="str">
        <x:v>SVC000173</x:v>
      </x:c>
      <x:c r="C174" s="6" t="str">
        <x:v>iPhone 8+ Battery Replacement</x:v>
      </x:c>
      <x:c r="D174" s="6"/>
      <x:c r="E174" s="6"/>
      <x:c r="F174" s="6"/>
      <x:c r="G174" s="6"/>
      <x:c r="H174" s="6" t="str"/>
      <x:c r="I174" s="6" t="str"/>
      <x:c r="J174" s="6" t="str"/>
      <x:c r="K174" s="12" t="str">
        <x:v>Source Workbook</x:v>
      </x:c>
      <x:c r="L174" s="12" t="str">
        <x:v>Nocturnix_Master_Services_Catalog_v1.xlsx | 01 - Master Services | row 213</x:v>
      </x:c>
      <x:c r="M174" s="6" t="str">
        <x:v>Unresolved</x:v>
      </x:c>
      <x:c r="N174" s="6" t="str"/>
      <x:c r="O174" s="6" t="str"/>
      <x:c r="P174" s="6" t="str">
        <x:v>Pending</x:v>
      </x:c>
      <x:c r="Q174" s="12" t="str"/>
    </x:row>
    <x:row r="175">
      <x:c r="A175" s="6" t="str">
        <x:v>LABR-000174</x:v>
      </x:c>
      <x:c r="B175" s="6" t="str">
        <x:v>SVC000174</x:v>
      </x:c>
      <x:c r="C175" s="6" t="str">
        <x:v>iPhone 6S Battery Replacement</x:v>
      </x:c>
      <x:c r="D175" s="6"/>
      <x:c r="E175" s="6"/>
      <x:c r="F175" s="6"/>
      <x:c r="G175" s="6"/>
      <x:c r="H175" s="6" t="str"/>
      <x:c r="I175" s="6" t="str"/>
      <x:c r="J175" s="6" t="str"/>
      <x:c r="K175" s="12" t="str">
        <x:v>Source Workbook</x:v>
      </x:c>
      <x:c r="L175" s="12" t="str">
        <x:v>Nocturnix_Master_Services_Catalog_v1.xlsx | 01 - Master Services | row 214</x:v>
      </x:c>
      <x:c r="M175" s="6" t="str">
        <x:v>Unresolved</x:v>
      </x:c>
      <x:c r="N175" s="6" t="str"/>
      <x:c r="O175" s="6" t="str"/>
      <x:c r="P175" s="6" t="str">
        <x:v>Pending</x:v>
      </x:c>
      <x:c r="Q175" s="12" t="str"/>
    </x:row>
    <x:row r="176">
      <x:c r="A176" s="6" t="str">
        <x:v>LABR-000175</x:v>
      </x:c>
      <x:c r="B176" s="6" t="str">
        <x:v>SVC000175</x:v>
      </x:c>
      <x:c r="C176" s="6" t="str">
        <x:v>iPhone 8 Battery Replacement</x:v>
      </x:c>
      <x:c r="D176" s="6"/>
      <x:c r="E176" s="6"/>
      <x:c r="F176" s="6"/>
      <x:c r="G176" s="6"/>
      <x:c r="H176" s="6" t="str"/>
      <x:c r="I176" s="6" t="str"/>
      <x:c r="J176" s="6" t="str"/>
      <x:c r="K176" s="12" t="str">
        <x:v>Source Workbook</x:v>
      </x:c>
      <x:c r="L176" s="12" t="str">
        <x:v>Nocturnix_Master_Services_Catalog_v1.xlsx | 01 - Master Services | row 215</x:v>
      </x:c>
      <x:c r="M176" s="6" t="str">
        <x:v>Unresolved</x:v>
      </x:c>
      <x:c r="N176" s="6" t="str"/>
      <x:c r="O176" s="6" t="str"/>
      <x:c r="P176" s="6" t="str">
        <x:v>Pending</x:v>
      </x:c>
      <x:c r="Q176" s="12" t="str"/>
    </x:row>
    <x:row r="177">
      <x:c r="A177" s="6" t="str">
        <x:v>LABR-000176</x:v>
      </x:c>
      <x:c r="B177" s="6" t="str">
        <x:v>SVC000176</x:v>
      </x:c>
      <x:c r="C177" s="6" t="str">
        <x:v>iPhone 6S+ Battery Replacement</x:v>
      </x:c>
      <x:c r="D177" s="6"/>
      <x:c r="E177" s="6"/>
      <x:c r="F177" s="6"/>
      <x:c r="G177" s="6"/>
      <x:c r="H177" s="6" t="str"/>
      <x:c r="I177" s="6" t="str"/>
      <x:c r="J177" s="6" t="str"/>
      <x:c r="K177" s="12" t="str">
        <x:v>Source Workbook</x:v>
      </x:c>
      <x:c r="L177" s="12" t="str">
        <x:v>Nocturnix_Master_Services_Catalog_v1.xlsx | 01 - Master Services | row 216</x:v>
      </x:c>
      <x:c r="M177" s="6" t="str">
        <x:v>Unresolved</x:v>
      </x:c>
      <x:c r="N177" s="6" t="str"/>
      <x:c r="O177" s="6" t="str"/>
      <x:c r="P177" s="6" t="str">
        <x:v>Pending</x:v>
      </x:c>
      <x:c r="Q177" s="12" t="str"/>
    </x:row>
    <x:row r="178">
      <x:c r="A178" s="6" t="str">
        <x:v>LABR-000177</x:v>
      </x:c>
      <x:c r="B178" s="6" t="str">
        <x:v>SVC000177</x:v>
      </x:c>
      <x:c r="C178" s="6" t="str">
        <x:v>iPhone 6S+ Battery Replacement</x:v>
      </x:c>
      <x:c r="D178" s="6"/>
      <x:c r="E178" s="6"/>
      <x:c r="F178" s="6"/>
      <x:c r="G178" s="6"/>
      <x:c r="H178" s="6" t="str"/>
      <x:c r="I178" s="6" t="str"/>
      <x:c r="J178" s="6" t="str"/>
      <x:c r="K178" s="12" t="str">
        <x:v>Source Workbook</x:v>
      </x:c>
      <x:c r="L178" s="12" t="str">
        <x:v>Nocturnix_Master_Services_Catalog_v1.xlsx | 01 - Master Services | row 217</x:v>
      </x:c>
      <x:c r="M178" s="6" t="str">
        <x:v>Unresolved</x:v>
      </x:c>
      <x:c r="N178" s="6" t="str"/>
      <x:c r="O178" s="6" t="str"/>
      <x:c r="P178" s="6" t="str">
        <x:v>Pending</x:v>
      </x:c>
      <x:c r="Q178" s="12" t="str"/>
    </x:row>
    <x:row r="179">
      <x:c r="A179" s="6" t="str">
        <x:v>LABR-000178</x:v>
      </x:c>
      <x:c r="B179" s="6" t="str">
        <x:v>SVC000178</x:v>
      </x:c>
      <x:c r="C179" s="6" t="str">
        <x:v>iPhone 5S Battery Replacement</x:v>
      </x:c>
      <x:c r="D179" s="6"/>
      <x:c r="E179" s="6"/>
      <x:c r="F179" s="6"/>
      <x:c r="G179" s="6"/>
      <x:c r="H179" s="6" t="str"/>
      <x:c r="I179" s="6" t="str"/>
      <x:c r="J179" s="6" t="str"/>
      <x:c r="K179" s="12" t="str">
        <x:v>Source Workbook</x:v>
      </x:c>
      <x:c r="L179" s="12" t="str">
        <x:v>Nocturnix_Master_Services_Catalog_v1.xlsx | 01 - Master Services | row 218</x:v>
      </x:c>
      <x:c r="M179" s="6" t="str">
        <x:v>Unresolved</x:v>
      </x:c>
      <x:c r="N179" s="6" t="str"/>
      <x:c r="O179" s="6" t="str"/>
      <x:c r="P179" s="6" t="str">
        <x:v>Pending</x:v>
      </x:c>
      <x:c r="Q179" s="12" t="str"/>
    </x:row>
    <x:row r="180">
      <x:c r="A180" s="6" t="str">
        <x:v>LABR-000179</x:v>
      </x:c>
      <x:c r="B180" s="6" t="str">
        <x:v>SVC000179</x:v>
      </x:c>
      <x:c r="C180" s="6" t="str">
        <x:v>iPhone 14 Battery Replacement</x:v>
      </x:c>
      <x:c r="D180" s="6"/>
      <x:c r="E180" s="6"/>
      <x:c r="F180" s="6"/>
      <x:c r="G180" s="6"/>
      <x:c r="H180" s="6" t="str"/>
      <x:c r="I180" s="6" t="str"/>
      <x:c r="J180" s="6" t="str"/>
      <x:c r="K180" s="12" t="str">
        <x:v>Source Workbook</x:v>
      </x:c>
      <x:c r="L180" s="12" t="str">
        <x:v>Nocturnix_Master_Services_Catalog_v1.xlsx | 01 - Master Services | row 219</x:v>
      </x:c>
      <x:c r="M180" s="6" t="str">
        <x:v>Unresolved</x:v>
      </x:c>
      <x:c r="N180" s="6" t="str"/>
      <x:c r="O180" s="6" t="str"/>
      <x:c r="P180" s="6" t="str">
        <x:v>Pending</x:v>
      </x:c>
      <x:c r="Q180" s="12" t="str"/>
    </x:row>
    <x:row r="181">
      <x:c r="A181" s="6" t="str">
        <x:v>LABR-000180</x:v>
      </x:c>
      <x:c r="B181" s="6" t="str">
        <x:v>SVC000180</x:v>
      </x:c>
      <x:c r="C181" s="6" t="str">
        <x:v>iPhone 6+ Battery Replacement</x:v>
      </x:c>
      <x:c r="D181" s="6"/>
      <x:c r="E181" s="6"/>
      <x:c r="F181" s="6"/>
      <x:c r="G181" s="6"/>
      <x:c r="H181" s="6" t="str"/>
      <x:c r="I181" s="6" t="str"/>
      <x:c r="J181" s="6" t="str"/>
      <x:c r="K181" s="12" t="str">
        <x:v>Source Workbook</x:v>
      </x:c>
      <x:c r="L181" s="12" t="str">
        <x:v>Nocturnix_Master_Services_Catalog_v1.xlsx | 01 - Master Services | row 220</x:v>
      </x:c>
      <x:c r="M181" s="6" t="str">
        <x:v>Unresolved</x:v>
      </x:c>
      <x:c r="N181" s="6" t="str"/>
      <x:c r="O181" s="6" t="str"/>
      <x:c r="P181" s="6" t="str">
        <x:v>Pending</x:v>
      </x:c>
      <x:c r="Q181" s="12" t="str"/>
    </x:row>
    <x:row r="182">
      <x:c r="A182" s="6" t="str">
        <x:v>LABR-000181</x:v>
      </x:c>
      <x:c r="B182" s="6" t="str">
        <x:v>SVC000181</x:v>
      </x:c>
      <x:c r="C182" s="6" t="str">
        <x:v>iPhone 16E Battery Replacement</x:v>
      </x:c>
      <x:c r="D182" s="6"/>
      <x:c r="E182" s="6"/>
      <x:c r="F182" s="6"/>
      <x:c r="G182" s="6"/>
      <x:c r="H182" s="6" t="str"/>
      <x:c r="I182" s="6" t="str"/>
      <x:c r="J182" s="6" t="str"/>
      <x:c r="K182" s="12" t="str">
        <x:v>Source Workbook</x:v>
      </x:c>
      <x:c r="L182" s="12" t="str">
        <x:v>Nocturnix_Master_Services_Catalog_v1.xlsx | 01 - Master Services | row 221</x:v>
      </x:c>
      <x:c r="M182" s="6" t="str">
        <x:v>Unresolved</x:v>
      </x:c>
      <x:c r="N182" s="6" t="str"/>
      <x:c r="O182" s="6" t="str"/>
      <x:c r="P182" s="6" t="str">
        <x:v>Pending</x:v>
      </x:c>
      <x:c r="Q182" s="12" t="str"/>
    </x:row>
    <x:row r="183">
      <x:c r="A183" s="6" t="str">
        <x:v>LABR-000182</x:v>
      </x:c>
      <x:c r="B183" s="6" t="str">
        <x:v>SVC000182</x:v>
      </x:c>
      <x:c r="C183" s="6" t="str">
        <x:v>iPhone 17 Battery Replacement</x:v>
      </x:c>
      <x:c r="D183" s="6"/>
      <x:c r="E183" s="6"/>
      <x:c r="F183" s="6"/>
      <x:c r="G183" s="6"/>
      <x:c r="H183" s="6" t="str"/>
      <x:c r="I183" s="6" t="str"/>
      <x:c r="J183" s="6" t="str"/>
      <x:c r="K183" s="12" t="str">
        <x:v>Source Workbook</x:v>
      </x:c>
      <x:c r="L183" s="12" t="str">
        <x:v>Nocturnix_Master_Services_Catalog_v1.xlsx | 01 - Master Services | row 222</x:v>
      </x:c>
      <x:c r="M183" s="6" t="str">
        <x:v>Unresolved</x:v>
      </x:c>
      <x:c r="N183" s="6" t="str"/>
      <x:c r="O183" s="6" t="str"/>
      <x:c r="P183" s="6" t="str">
        <x:v>Pending</x:v>
      </x:c>
      <x:c r="Q183" s="12" t="str"/>
    </x:row>
    <x:row r="184">
      <x:c r="A184" s="6" t="str">
        <x:v>LABR-000183</x:v>
      </x:c>
      <x:c r="B184" s="6" t="str">
        <x:v>SVC000183</x:v>
      </x:c>
      <x:c r="C184" s="6" t="str">
        <x:v>iPhone 16 Plus Battery Replacement</x:v>
      </x:c>
      <x:c r="D184" s="6"/>
      <x:c r="E184" s="6"/>
      <x:c r="F184" s="6"/>
      <x:c r="G184" s="6"/>
      <x:c r="H184" s="6" t="str"/>
      <x:c r="I184" s="6" t="str"/>
      <x:c r="J184" s="6" t="str"/>
      <x:c r="K184" s="12" t="str">
        <x:v>Source Workbook</x:v>
      </x:c>
      <x:c r="L184" s="12" t="str">
        <x:v>Nocturnix_Master_Services_Catalog_v1.xlsx | 01 - Master Services | row 223</x:v>
      </x:c>
      <x:c r="M184" s="6" t="str">
        <x:v>Unresolved</x:v>
      </x:c>
      <x:c r="N184" s="6" t="str"/>
      <x:c r="O184" s="6" t="str"/>
      <x:c r="P184" s="6" t="str">
        <x:v>Pending</x:v>
      </x:c>
      <x:c r="Q184" s="12" t="str"/>
    </x:row>
    <x:row r="185">
      <x:c r="A185" s="6" t="str">
        <x:v>LABR-000184</x:v>
      </x:c>
      <x:c r="B185" s="6" t="str">
        <x:v>SVC000184</x:v>
      </x:c>
      <x:c r="C185" s="6" t="str">
        <x:v>iPhone 16 Pro Max Battery Replacement</x:v>
      </x:c>
      <x:c r="D185" s="6"/>
      <x:c r="E185" s="6"/>
      <x:c r="F185" s="6"/>
      <x:c r="G185" s="6"/>
      <x:c r="H185" s="6" t="str"/>
      <x:c r="I185" s="6" t="str"/>
      <x:c r="J185" s="6" t="str"/>
      <x:c r="K185" s="12" t="str">
        <x:v>Source Workbook</x:v>
      </x:c>
      <x:c r="L185" s="12" t="str">
        <x:v>Nocturnix_Master_Services_Catalog_v1.xlsx | 01 - Master Services | row 224</x:v>
      </x:c>
      <x:c r="M185" s="6" t="str">
        <x:v>Unresolved</x:v>
      </x:c>
      <x:c r="N185" s="6" t="str"/>
      <x:c r="O185" s="6" t="str"/>
      <x:c r="P185" s="6" t="str">
        <x:v>Pending</x:v>
      </x:c>
      <x:c r="Q185" s="12" t="str"/>
    </x:row>
    <x:row r="186">
      <x:c r="A186" s="6" t="str">
        <x:v>LABR-000185</x:v>
      </x:c>
      <x:c r="B186" s="6" t="str">
        <x:v>SVC000185</x:v>
      </x:c>
      <x:c r="C186" s="6" t="str">
        <x:v>iPhone 16 Battery Replacement</x:v>
      </x:c>
      <x:c r="D186" s="6"/>
      <x:c r="E186" s="6"/>
      <x:c r="F186" s="6"/>
      <x:c r="G186" s="6"/>
      <x:c r="H186" s="6" t="str"/>
      <x:c r="I186" s="6" t="str"/>
      <x:c r="J186" s="6" t="str"/>
      <x:c r="K186" s="12" t="str">
        <x:v>Source Workbook</x:v>
      </x:c>
      <x:c r="L186" s="12" t="str">
        <x:v>Nocturnix_Master_Services_Catalog_v1.xlsx | 01 - Master Services | row 225</x:v>
      </x:c>
      <x:c r="M186" s="6" t="str">
        <x:v>Unresolved</x:v>
      </x:c>
      <x:c r="N186" s="6" t="str"/>
      <x:c r="O186" s="6" t="str"/>
      <x:c r="P186" s="6" t="str">
        <x:v>Pending</x:v>
      </x:c>
      <x:c r="Q186" s="12" t="str"/>
    </x:row>
    <x:row r="187">
      <x:c r="A187" s="6" t="str">
        <x:v>LABR-000186</x:v>
      </x:c>
      <x:c r="B187" s="6" t="str">
        <x:v>SVC000186</x:v>
      </x:c>
      <x:c r="C187" s="6" t="str">
        <x:v>iPhone 15 Pro Max Battery Replacement</x:v>
      </x:c>
      <x:c r="D187" s="6"/>
      <x:c r="E187" s="6"/>
      <x:c r="F187" s="6"/>
      <x:c r="G187" s="6"/>
      <x:c r="H187" s="6" t="str"/>
      <x:c r="I187" s="6" t="str"/>
      <x:c r="J187" s="6" t="str"/>
      <x:c r="K187" s="12" t="str">
        <x:v>Source Workbook</x:v>
      </x:c>
      <x:c r="L187" s="12" t="str">
        <x:v>Nocturnix_Master_Services_Catalog_v1.xlsx | 01 - Master Services | row 226</x:v>
      </x:c>
      <x:c r="M187" s="6" t="str">
        <x:v>Unresolved</x:v>
      </x:c>
      <x:c r="N187" s="6" t="str"/>
      <x:c r="O187" s="6" t="str"/>
      <x:c r="P187" s="6" t="str">
        <x:v>Pending</x:v>
      </x:c>
      <x:c r="Q187" s="12" t="str"/>
    </x:row>
    <x:row r="188">
      <x:c r="A188" s="6" t="str">
        <x:v>LABR-000187</x:v>
      </x:c>
      <x:c r="B188" s="6" t="str">
        <x:v>SVC000187</x:v>
      </x:c>
      <x:c r="C188" s="6" t="str">
        <x:v>iPhone 15 Pro Phone Battery Replacement</x:v>
      </x:c>
      <x:c r="D188" s="6"/>
      <x:c r="E188" s="6"/>
      <x:c r="F188" s="6"/>
      <x:c r="G188" s="6"/>
      <x:c r="H188" s="6" t="str"/>
      <x:c r="I188" s="6" t="str"/>
      <x:c r="J188" s="6" t="str"/>
      <x:c r="K188" s="12" t="str">
        <x:v>Source Workbook</x:v>
      </x:c>
      <x:c r="L188" s="12" t="str">
        <x:v>Nocturnix_Master_Services_Catalog_v1.xlsx | 01 - Master Services | row 227</x:v>
      </x:c>
      <x:c r="M188" s="6" t="str">
        <x:v>Unresolved</x:v>
      </x:c>
      <x:c r="N188" s="6" t="str"/>
      <x:c r="O188" s="6" t="str"/>
      <x:c r="P188" s="6" t="str">
        <x:v>Pending</x:v>
      </x:c>
      <x:c r="Q188" s="12" t="str"/>
    </x:row>
    <x:row r="189">
      <x:c r="A189" s="6" t="str">
        <x:v>LABR-000188</x:v>
      </x:c>
      <x:c r="B189" s="6" t="str">
        <x:v>SVC000188</x:v>
      </x:c>
      <x:c r="C189" s="6" t="str">
        <x:v>iPhone 15 Plus Battery Replacement</x:v>
      </x:c>
      <x:c r="D189" s="6"/>
      <x:c r="E189" s="6"/>
      <x:c r="F189" s="6"/>
      <x:c r="G189" s="6"/>
      <x:c r="H189" s="6" t="str"/>
      <x:c r="I189" s="6" t="str"/>
      <x:c r="J189" s="6" t="str"/>
      <x:c r="K189" s="12" t="str">
        <x:v>Source Workbook</x:v>
      </x:c>
      <x:c r="L189" s="12" t="str">
        <x:v>Nocturnix_Master_Services_Catalog_v1.xlsx | 01 - Master Services | row 228</x:v>
      </x:c>
      <x:c r="M189" s="6" t="str">
        <x:v>Unresolved</x:v>
      </x:c>
      <x:c r="N189" s="6" t="str"/>
      <x:c r="O189" s="6" t="str"/>
      <x:c r="P189" s="6" t="str">
        <x:v>Pending</x:v>
      </x:c>
      <x:c r="Q189" s="12" t="str"/>
    </x:row>
    <x:row r="190">
      <x:c r="A190" s="6" t="str">
        <x:v>LABR-000189</x:v>
      </x:c>
      <x:c r="B190" s="6" t="str">
        <x:v>SVC000189</x:v>
      </x:c>
      <x:c r="C190" s="6" t="str">
        <x:v>iPhone 16 Pro Battery Replacement</x:v>
      </x:c>
      <x:c r="D190" s="6"/>
      <x:c r="E190" s="6"/>
      <x:c r="F190" s="6"/>
      <x:c r="G190" s="6"/>
      <x:c r="H190" s="6" t="str"/>
      <x:c r="I190" s="6" t="str"/>
      <x:c r="J190" s="6" t="str"/>
      <x:c r="K190" s="12" t="str">
        <x:v>Source Workbook</x:v>
      </x:c>
      <x:c r="L190" s="12" t="str">
        <x:v>Nocturnix_Master_Services_Catalog_v1.xlsx | 01 - Master Services | row 229</x:v>
      </x:c>
      <x:c r="M190" s="6" t="str">
        <x:v>Unresolved</x:v>
      </x:c>
      <x:c r="N190" s="6" t="str"/>
      <x:c r="O190" s="6" t="str"/>
      <x:c r="P190" s="6" t="str">
        <x:v>Pending</x:v>
      </x:c>
      <x:c r="Q190" s="12" t="str"/>
    </x:row>
    <x:row r="191">
      <x:c r="A191" s="6" t="str">
        <x:v>LABR-000190</x:v>
      </x:c>
      <x:c r="B191" s="6" t="str">
        <x:v>SVC000190</x:v>
      </x:c>
      <x:c r="C191" s="6" t="str">
        <x:v>iPhone 15 Battery Replacement</x:v>
      </x:c>
      <x:c r="D191" s="6"/>
      <x:c r="E191" s="6"/>
      <x:c r="F191" s="6"/>
      <x:c r="G191" s="6"/>
      <x:c r="H191" s="6" t="str"/>
      <x:c r="I191" s="6" t="str"/>
      <x:c r="J191" s="6" t="str"/>
      <x:c r="K191" s="12" t="str">
        <x:v>Source Workbook</x:v>
      </x:c>
      <x:c r="L191" s="12" t="str">
        <x:v>Nocturnix_Master_Services_Catalog_v1.xlsx | 01 - Master Services | row 230</x:v>
      </x:c>
      <x:c r="M191" s="6" t="str">
        <x:v>Unresolved</x:v>
      </x:c>
      <x:c r="N191" s="6" t="str"/>
      <x:c r="O191" s="6" t="str"/>
      <x:c r="P191" s="6" t="str">
        <x:v>Pending</x:v>
      </x:c>
      <x:c r="Q191" s="12" t="str"/>
    </x:row>
    <x:row r="192">
      <x:c r="A192" s="6" t="str">
        <x:v>LABR-000191</x:v>
      </x:c>
      <x:c r="B192" s="6" t="str">
        <x:v>SVC000191</x:v>
      </x:c>
      <x:c r="C192" s="6" t="str">
        <x:v>iPhone 14 Pro Battery Replacement</x:v>
      </x:c>
      <x:c r="D192" s="6"/>
      <x:c r="E192" s="6"/>
      <x:c r="F192" s="6"/>
      <x:c r="G192" s="6"/>
      <x:c r="H192" s="6" t="str"/>
      <x:c r="I192" s="6" t="str"/>
      <x:c r="J192" s="6" t="str"/>
      <x:c r="K192" s="12" t="str">
        <x:v>Source Workbook</x:v>
      </x:c>
      <x:c r="L192" s="12" t="str">
        <x:v>Nocturnix_Master_Services_Catalog_v1.xlsx | 01 - Master Services | row 231</x:v>
      </x:c>
      <x:c r="M192" s="6" t="str">
        <x:v>Unresolved</x:v>
      </x:c>
      <x:c r="N192" s="6" t="str"/>
      <x:c r="O192" s="6" t="str"/>
      <x:c r="P192" s="6" t="str">
        <x:v>Pending</x:v>
      </x:c>
      <x:c r="Q192" s="12" t="str"/>
    </x:row>
    <x:row r="193">
      <x:c r="A193" s="6" t="str">
        <x:v>LABR-000192</x:v>
      </x:c>
      <x:c r="B193" s="6" t="str">
        <x:v>SVC000192</x:v>
      </x:c>
      <x:c r="C193" s="6" t="str">
        <x:v>iPhone 17 Pro Battery Replacement</x:v>
      </x:c>
      <x:c r="D193" s="6"/>
      <x:c r="E193" s="6"/>
      <x:c r="F193" s="6"/>
      <x:c r="G193" s="6"/>
      <x:c r="H193" s="6" t="str"/>
      <x:c r="I193" s="6" t="str"/>
      <x:c r="J193" s="6" t="str"/>
      <x:c r="K193" s="12" t="str">
        <x:v>Source Workbook</x:v>
      </x:c>
      <x:c r="L193" s="12" t="str">
        <x:v>Nocturnix_Master_Services_Catalog_v1.xlsx | 01 - Master Services | row 232</x:v>
      </x:c>
      <x:c r="M193" s="6" t="str">
        <x:v>Unresolved</x:v>
      </x:c>
      <x:c r="N193" s="6" t="str"/>
      <x:c r="O193" s="6" t="str"/>
      <x:c r="P193" s="6" t="str">
        <x:v>Pending</x:v>
      </x:c>
      <x:c r="Q193" s="12" t="str"/>
    </x:row>
    <x:row r="194">
      <x:c r="A194" s="6" t="str">
        <x:v>LABR-000193</x:v>
      </x:c>
      <x:c r="B194" s="6" t="str">
        <x:v>SVC000193</x:v>
      </x:c>
      <x:c r="C194" s="6" t="str">
        <x:v>iPhone 17 Pro Max Phone* Battery Replacement</x:v>
      </x:c>
      <x:c r="D194" s="6"/>
      <x:c r="E194" s="6"/>
      <x:c r="F194" s="6"/>
      <x:c r="G194" s="6"/>
      <x:c r="H194" s="6" t="str"/>
      <x:c r="I194" s="6" t="str"/>
      <x:c r="J194" s="6" t="str"/>
      <x:c r="K194" s="12" t="str">
        <x:v>Source Workbook</x:v>
      </x:c>
      <x:c r="L194" s="12" t="str">
        <x:v>Nocturnix_Master_Services_Catalog_v1.xlsx | 01 - Master Services | row 233</x:v>
      </x:c>
      <x:c r="M194" s="6" t="str">
        <x:v>Unresolved</x:v>
      </x:c>
      <x:c r="N194" s="6" t="str"/>
      <x:c r="O194" s="6" t="str"/>
      <x:c r="P194" s="6" t="str">
        <x:v>Pending</x:v>
      </x:c>
      <x:c r="Q194" s="12" t="str"/>
    </x:row>
    <x:row r="195">
      <x:c r="A195" s="6" t="str">
        <x:v>LABR-000194</x:v>
      </x:c>
      <x:c r="B195" s="6" t="str">
        <x:v>SVC000194</x:v>
      </x:c>
      <x:c r="C195" s="6" t="str">
        <x:v>iPhone Air Battery Replacement</x:v>
      </x:c>
      <x:c r="D195" s="6"/>
      <x:c r="E195" s="6"/>
      <x:c r="F195" s="6"/>
      <x:c r="G195" s="6"/>
      <x:c r="H195" s="6" t="str"/>
      <x:c r="I195" s="6" t="str"/>
      <x:c r="J195" s="6" t="str"/>
      <x:c r="K195" s="12" t="str">
        <x:v>Source Workbook</x:v>
      </x:c>
      <x:c r="L195" s="12" t="str">
        <x:v>Nocturnix_Master_Services_Catalog_v1.xlsx | 01 - Master Services | row 234</x:v>
      </x:c>
      <x:c r="M195" s="6" t="str">
        <x:v>Unresolved</x:v>
      </x:c>
      <x:c r="N195" s="6" t="str"/>
      <x:c r="O195" s="6" t="str"/>
      <x:c r="P195" s="6" t="str">
        <x:v>Pending</x:v>
      </x:c>
      <x:c r="Q195" s="12" t="str"/>
    </x:row>
    <x:row r="196">
      <x:c r="A196" s="6" t="str">
        <x:v>LABR-000195</x:v>
      </x:c>
      <x:c r="B196" s="6" t="str">
        <x:v>SVC000195</x:v>
      </x:c>
      <x:c r="C196" s="6" t="str">
        <x:v>iPhone XR Battery Replacement</x:v>
      </x:c>
      <x:c r="D196" s="6"/>
      <x:c r="E196" s="6"/>
      <x:c r="F196" s="6"/>
      <x:c r="G196" s="6"/>
      <x:c r="H196" s="6" t="str"/>
      <x:c r="I196" s="6" t="str"/>
      <x:c r="J196" s="6" t="str"/>
      <x:c r="K196" s="12" t="str">
        <x:v>Source Workbook</x:v>
      </x:c>
      <x:c r="L196" s="12" t="str">
        <x:v>Nocturnix_Master_Services_Catalog_v1.xlsx | 01 - Master Services | row 235</x:v>
      </x:c>
      <x:c r="M196" s="6" t="str">
        <x:v>Unresolved</x:v>
      </x:c>
      <x:c r="N196" s="6" t="str"/>
      <x:c r="O196" s="6" t="str"/>
      <x:c r="P196" s="6" t="str">
        <x:v>Pending</x:v>
      </x:c>
      <x:c r="Q196" s="12" t="str"/>
    </x:row>
    <x:row r="197">
      <x:c r="A197" s="6" t="str">
        <x:v>LABR-000196</x:v>
      </x:c>
      <x:c r="B197" s="6" t="str">
        <x:v>SVC000196</x:v>
      </x:c>
      <x:c r="C197" s="6" t="str">
        <x:v>iPhone XS Max Battery Replacement</x:v>
      </x:c>
      <x:c r="D197" s="6"/>
      <x:c r="E197" s="6"/>
      <x:c r="F197" s="6"/>
      <x:c r="G197" s="6"/>
      <x:c r="H197" s="6" t="str"/>
      <x:c r="I197" s="6" t="str"/>
      <x:c r="J197" s="6" t="str"/>
      <x:c r="K197" s="12" t="str">
        <x:v>Source Workbook</x:v>
      </x:c>
      <x:c r="L197" s="12" t="str">
        <x:v>Nocturnix_Master_Services_Catalog_v1.xlsx | 01 - Master Services | row 236</x:v>
      </x:c>
      <x:c r="M197" s="6" t="str">
        <x:v>Unresolved</x:v>
      </x:c>
      <x:c r="N197" s="6" t="str"/>
      <x:c r="O197" s="6" t="str"/>
      <x:c r="P197" s="6" t="str">
        <x:v>Pending</x:v>
      </x:c>
      <x:c r="Q197" s="12" t="str"/>
    </x:row>
    <x:row r="198">
      <x:c r="A198" s="6" t="str">
        <x:v>LABR-000197</x:v>
      </x:c>
      <x:c r="B198" s="6" t="str">
        <x:v>SVC000197</x:v>
      </x:c>
      <x:c r="C198" s="6" t="str">
        <x:v>iPhone X Battery Replacement</x:v>
      </x:c>
      <x:c r="D198" s="6"/>
      <x:c r="E198" s="6"/>
      <x:c r="F198" s="6"/>
      <x:c r="G198" s="6"/>
      <x:c r="H198" s="6" t="str"/>
      <x:c r="I198" s="6" t="str"/>
      <x:c r="J198" s="6" t="str"/>
      <x:c r="K198" s="12" t="str">
        <x:v>Source Workbook</x:v>
      </x:c>
      <x:c r="L198" s="12" t="str">
        <x:v>Nocturnix_Master_Services_Catalog_v1.xlsx | 01 - Master Services | row 237</x:v>
      </x:c>
      <x:c r="M198" s="6" t="str">
        <x:v>Unresolved</x:v>
      </x:c>
      <x:c r="N198" s="6" t="str"/>
      <x:c r="O198" s="6" t="str"/>
      <x:c r="P198" s="6" t="str">
        <x:v>Pending</x:v>
      </x:c>
      <x:c r="Q198" s="12" t="str"/>
    </x:row>
    <x:row r="199">
      <x:c r="A199" s="6" t="str">
        <x:v>LABR-000198</x:v>
      </x:c>
      <x:c r="B199" s="6" t="str">
        <x:v>SVC000198</x:v>
      </x:c>
      <x:c r="C199" s="6" t="str">
        <x:v>iPhone SE(1ST GEN) Battery Replacement</x:v>
      </x:c>
      <x:c r="D199" s="6"/>
      <x:c r="E199" s="6"/>
      <x:c r="F199" s="6"/>
      <x:c r="G199" s="6"/>
      <x:c r="H199" s="6" t="str"/>
      <x:c r="I199" s="6" t="str"/>
      <x:c r="J199" s="6" t="str"/>
      <x:c r="K199" s="12" t="str">
        <x:v>Source Workbook</x:v>
      </x:c>
      <x:c r="L199" s="12" t="str">
        <x:v>Nocturnix_Master_Services_Catalog_v1.xlsx | 01 - Master Services | row 238</x:v>
      </x:c>
      <x:c r="M199" s="6" t="str">
        <x:v>Unresolved</x:v>
      </x:c>
      <x:c r="N199" s="6" t="str"/>
      <x:c r="O199" s="6" t="str"/>
      <x:c r="P199" s="6" t="str">
        <x:v>Pending</x:v>
      </x:c>
      <x:c r="Q199" s="12" t="str"/>
    </x:row>
    <x:row r="200">
      <x:c r="A200" s="6" t="str">
        <x:v>LABR-000199</x:v>
      </x:c>
      <x:c r="B200" s="6" t="str">
        <x:v>SVC000199</x:v>
      </x:c>
      <x:c r="C200" s="6" t="str">
        <x:v>iPhone XS Battery Replacement</x:v>
      </x:c>
      <x:c r="D200" s="6"/>
      <x:c r="E200" s="6"/>
      <x:c r="F200" s="6"/>
      <x:c r="G200" s="6"/>
      <x:c r="H200" s="6" t="str"/>
      <x:c r="I200" s="6" t="str"/>
      <x:c r="J200" s="6" t="str"/>
      <x:c r="K200" s="12" t="str">
        <x:v>Source Workbook</x:v>
      </x:c>
      <x:c r="L200" s="12" t="str">
        <x:v>Nocturnix_Master_Services_Catalog_v1.xlsx | 01 - Master Services | row 239</x:v>
      </x:c>
      <x:c r="M200" s="6" t="str">
        <x:v>Unresolved</x:v>
      </x:c>
      <x:c r="N200" s="6" t="str"/>
      <x:c r="O200" s="6" t="str"/>
      <x:c r="P200" s="6" t="str">
        <x:v>Pending</x:v>
      </x:c>
      <x:c r="Q200" s="12" t="str"/>
    </x:row>
    <x:row r="201">
      <x:c r="A201" s="6" t="str">
        <x:v>LABR-000200</x:v>
      </x:c>
      <x:c r="B201" s="6" t="str">
        <x:v>SVC000200</x:v>
      </x:c>
      <x:c r="C201" s="6" t="str">
        <x:v>iPhone SE (3RD GEN) Battery Replacement</x:v>
      </x:c>
      <x:c r="D201" s="6"/>
      <x:c r="E201" s="6"/>
      <x:c r="F201" s="6"/>
      <x:c r="G201" s="6"/>
      <x:c r="H201" s="6" t="str"/>
      <x:c r="I201" s="6" t="str"/>
      <x:c r="J201" s="6" t="str"/>
      <x:c r="K201" s="12" t="str">
        <x:v>Source Workbook</x:v>
      </x:c>
      <x:c r="L201" s="12" t="str">
        <x:v>Nocturnix_Master_Services_Catalog_v1.xlsx | 01 - Master Services | row 240</x:v>
      </x:c>
      <x:c r="M201" s="6" t="str">
        <x:v>Unresolved</x:v>
      </x:c>
      <x:c r="N201" s="6" t="str"/>
      <x:c r="O201" s="6" t="str"/>
      <x:c r="P201" s="6" t="str">
        <x:v>Pending</x:v>
      </x:c>
      <x:c r="Q201" s="12" t="str"/>
    </x:row>
    <x:row r="202">
      <x:c r="A202" s="6" t="str">
        <x:v>LABR-000201</x:v>
      </x:c>
      <x:c r="B202" s="6" t="str">
        <x:v>SVC000201</x:v>
      </x:c>
      <x:c r="C202" s="6" t="str">
        <x:v>iPhone SE (2ND GEN) Battery Replacement</x:v>
      </x:c>
      <x:c r="D202" s="6"/>
      <x:c r="E202" s="6"/>
      <x:c r="F202" s="6"/>
      <x:c r="G202" s="6"/>
      <x:c r="H202" s="6" t="str"/>
      <x:c r="I202" s="6" t="str"/>
      <x:c r="J202" s="6" t="str"/>
      <x:c r="K202" s="12" t="str">
        <x:v>Source Workbook</x:v>
      </x:c>
      <x:c r="L202" s="12" t="str">
        <x:v>Nocturnix_Master_Services_Catalog_v1.xlsx | 01 - Master Services | row 241</x:v>
      </x:c>
      <x:c r="M202" s="6" t="str">
        <x:v>Unresolved</x:v>
      </x:c>
      <x:c r="N202" s="6" t="str"/>
      <x:c r="O202" s="6" t="str"/>
      <x:c r="P202" s="6" t="str">
        <x:v>Pending</x:v>
      </x:c>
      <x:c r="Q202" s="12" t="str"/>
    </x:row>
    <x:row r="203">
      <x:c r="A203" s="6" t="str">
        <x:v>LABR-000202</x:v>
      </x:c>
      <x:c r="B203" s="6" t="str">
        <x:v>SVC000202</x:v>
      </x:c>
      <x:c r="C203" s="6" t="str">
        <x:v>iPhone 7 Battery Replacement</x:v>
      </x:c>
      <x:c r="D203" s="6"/>
      <x:c r="E203" s="6"/>
      <x:c r="F203" s="6"/>
      <x:c r="G203" s="6"/>
      <x:c r="H203" s="6" t="str"/>
      <x:c r="I203" s="6" t="str"/>
      <x:c r="J203" s="6" t="str"/>
      <x:c r="K203" s="12" t="str">
        <x:v>Source Workbook</x:v>
      </x:c>
      <x:c r="L203" s="12" t="str">
        <x:v>Nocturnix_Master_Services_Catalog_v1.xlsx | 01 - Master Services | row 242</x:v>
      </x:c>
      <x:c r="M203" s="6" t="str">
        <x:v>Unresolved</x:v>
      </x:c>
      <x:c r="N203" s="6" t="str"/>
      <x:c r="O203" s="6" t="str"/>
      <x:c r="P203" s="6" t="str">
        <x:v>Pending</x:v>
      </x:c>
      <x:c r="Q203" s="12" t="str"/>
    </x:row>
    <x:row r="204">
      <x:c r="A204" s="6" t="str">
        <x:v>LABR-000203</x:v>
      </x:c>
      <x:c r="B204" s="6" t="str">
        <x:v>SVC000203</x:v>
      </x:c>
      <x:c r="C204" s="6" t="str">
        <x:v>iPhone 4S Battery Replacement</x:v>
      </x:c>
      <x:c r="D204" s="6"/>
      <x:c r="E204" s="6"/>
      <x:c r="F204" s="6"/>
      <x:c r="G204" s="6"/>
      <x:c r="H204" s="6" t="str"/>
      <x:c r="I204" s="6" t="str"/>
      <x:c r="J204" s="6" t="str"/>
      <x:c r="K204" s="12" t="str">
        <x:v>Source Workbook</x:v>
      </x:c>
      <x:c r="L204" s="12" t="str">
        <x:v>Nocturnix_Master_Services_Catalog_v1.xlsx | 01 - Master Services | row 243</x:v>
      </x:c>
      <x:c r="M204" s="6" t="str">
        <x:v>Unresolved</x:v>
      </x:c>
      <x:c r="N204" s="6" t="str"/>
      <x:c r="O204" s="6" t="str"/>
      <x:c r="P204" s="6" t="str">
        <x:v>Pending</x:v>
      </x:c>
      <x:c r="Q204" s="12" t="str"/>
    </x:row>
    <x:row r="205">
      <x:c r="A205" s="6" t="str">
        <x:v>LABR-000204</x:v>
      </x:c>
      <x:c r="B205" s="6" t="str">
        <x:v>SVC000204</x:v>
      </x:c>
      <x:c r="C205" s="6" t="str">
        <x:v>iPhone 4S Battery Replacement</x:v>
      </x:c>
      <x:c r="D205" s="6"/>
      <x:c r="E205" s="6"/>
      <x:c r="F205" s="6"/>
      <x:c r="G205" s="6"/>
      <x:c r="H205" s="6" t="str"/>
      <x:c r="I205" s="6" t="str"/>
      <x:c r="J205" s="6" t="str"/>
      <x:c r="K205" s="12" t="str">
        <x:v>Source Workbook</x:v>
      </x:c>
      <x:c r="L205" s="12" t="str">
        <x:v>Nocturnix_Master_Services_Catalog_v1.xlsx | 01 - Master Services | row 244</x:v>
      </x:c>
      <x:c r="M205" s="6" t="str">
        <x:v>Unresolved</x:v>
      </x:c>
      <x:c r="N205" s="6" t="str"/>
      <x:c r="O205" s="6" t="str"/>
      <x:c r="P205" s="6" t="str">
        <x:v>Pending</x:v>
      </x:c>
      <x:c r="Q205" s="12" t="str"/>
    </x:row>
    <x:row r="206">
      <x:c r="A206" s="6" t="str">
        <x:v>LABR-000205</x:v>
      </x:c>
      <x:c r="B206" s="6" t="str">
        <x:v>SVC000205</x:v>
      </x:c>
      <x:c r="C206" s="6" t="str">
        <x:v>Galaxy S 25 FE Battery Replacement</x:v>
      </x:c>
      <x:c r="D206" s="6"/>
      <x:c r="E206" s="6"/>
      <x:c r="F206" s="6"/>
      <x:c r="G206" s="6"/>
      <x:c r="H206" s="6" t="str"/>
      <x:c r="I206" s="6" t="str"/>
      <x:c r="J206" s="6" t="str"/>
      <x:c r="K206" s="12" t="str">
        <x:v>Source Workbook</x:v>
      </x:c>
      <x:c r="L206" s="12" t="str">
        <x:v>Nocturnix_Master_Services_Catalog_v1.xlsx | 01 - Master Services | row 245</x:v>
      </x:c>
      <x:c r="M206" s="6" t="str">
        <x:v>Unresolved</x:v>
      </x:c>
      <x:c r="N206" s="6" t="str"/>
      <x:c r="O206" s="6" t="str"/>
      <x:c r="P206" s="6" t="str">
        <x:v>Pending</x:v>
      </x:c>
      <x:c r="Q206" s="12" t="str"/>
    </x:row>
    <x:row r="207">
      <x:c r="A207" s="6" t="str">
        <x:v>LABR-000206</x:v>
      </x:c>
      <x:c r="B207" s="6" t="str">
        <x:v>SVC000206</x:v>
      </x:c>
      <x:c r="C207" s="6" t="str">
        <x:v>iPhone 6 Battery Replacement</x:v>
      </x:c>
      <x:c r="D207" s="6"/>
      <x:c r="E207" s="6"/>
      <x:c r="F207" s="6"/>
      <x:c r="G207" s="6"/>
      <x:c r="H207" s="6" t="str"/>
      <x:c r="I207" s="6" t="str"/>
      <x:c r="J207" s="6" t="str"/>
      <x:c r="K207" s="12" t="str">
        <x:v>Source Workbook</x:v>
      </x:c>
      <x:c r="L207" s="12" t="str">
        <x:v>Nocturnix_Master_Services_Catalog_v1.xlsx | 01 - Master Services | row 246</x:v>
      </x:c>
      <x:c r="M207" s="6" t="str">
        <x:v>Unresolved</x:v>
      </x:c>
      <x:c r="N207" s="6" t="str"/>
      <x:c r="O207" s="6" t="str"/>
      <x:c r="P207" s="6" t="str">
        <x:v>Pending</x:v>
      </x:c>
      <x:c r="Q207" s="12" t="str"/>
    </x:row>
    <x:row r="208">
      <x:c r="A208" s="6" t="str">
        <x:v>LABR-000207</x:v>
      </x:c>
      <x:c r="B208" s="6" t="str">
        <x:v>SVC000207</x:v>
      </x:c>
      <x:c r="C208" s="6" t="str">
        <x:v>iPhone 6 Battery Replacement</x:v>
      </x:c>
      <x:c r="D208" s="6"/>
      <x:c r="E208" s="6"/>
      <x:c r="F208" s="6"/>
      <x:c r="G208" s="6"/>
      <x:c r="H208" s="6" t="str"/>
      <x:c r="I208" s="6" t="str"/>
      <x:c r="J208" s="6" t="str"/>
      <x:c r="K208" s="12" t="str">
        <x:v>Source Workbook</x:v>
      </x:c>
      <x:c r="L208" s="12" t="str">
        <x:v>Nocturnix_Master_Services_Catalog_v1.xlsx | 01 - Master Services | row 247</x:v>
      </x:c>
      <x:c r="M208" s="6" t="str">
        <x:v>Unresolved</x:v>
      </x:c>
      <x:c r="N208" s="6" t="str"/>
      <x:c r="O208" s="6" t="str"/>
      <x:c r="P208" s="6" t="str">
        <x:v>Pending</x:v>
      </x:c>
      <x:c r="Q208" s="12" t="str"/>
    </x:row>
    <x:row r="209">
      <x:c r="A209" s="6" t="str">
        <x:v>LABR-000208</x:v>
      </x:c>
      <x:c r="B209" s="6" t="str">
        <x:v>SVC000208</x:v>
      </x:c>
      <x:c r="C209" s="6" t="str">
        <x:v>Galaxy Note 8 Battery Replacement</x:v>
      </x:c>
      <x:c r="D209" s="6"/>
      <x:c r="E209" s="6"/>
      <x:c r="F209" s="6"/>
      <x:c r="G209" s="6"/>
      <x:c r="H209" s="6" t="str"/>
      <x:c r="I209" s="6" t="str"/>
      <x:c r="J209" s="6" t="str"/>
      <x:c r="K209" s="12" t="str">
        <x:v>Source Workbook</x:v>
      </x:c>
      <x:c r="L209" s="12" t="str">
        <x:v>Nocturnix_Master_Services_Catalog_v1.xlsx | 01 - Master Services | row 248</x:v>
      </x:c>
      <x:c r="M209" s="6" t="str">
        <x:v>Unresolved</x:v>
      </x:c>
      <x:c r="N209" s="6" t="str"/>
      <x:c r="O209" s="6" t="str"/>
      <x:c r="P209" s="6" t="str">
        <x:v>Pending</x:v>
      </x:c>
      <x:c r="Q209" s="12" t="str"/>
    </x:row>
    <x:row r="210">
      <x:c r="A210" s="6" t="str">
        <x:v>LABR-000209</x:v>
      </x:c>
      <x:c r="B210" s="6" t="str">
        <x:v>SVC000209</x:v>
      </x:c>
      <x:c r="C210" s="6" t="str">
        <x:v>Galaxy S 22 Battery Replacement</x:v>
      </x:c>
      <x:c r="D210" s="6"/>
      <x:c r="E210" s="6"/>
      <x:c r="F210" s="6"/>
      <x:c r="G210" s="6"/>
      <x:c r="H210" s="6" t="str"/>
      <x:c r="I210" s="6" t="str"/>
      <x:c r="J210" s="6" t="str"/>
      <x:c r="K210" s="12" t="str">
        <x:v>Source Workbook</x:v>
      </x:c>
      <x:c r="L210" s="12" t="str">
        <x:v>Nocturnix_Master_Services_Catalog_v1.xlsx | 01 - Master Services | row 249</x:v>
      </x:c>
      <x:c r="M210" s="6" t="str">
        <x:v>Unresolved</x:v>
      </x:c>
      <x:c r="N210" s="6" t="str"/>
      <x:c r="O210" s="6" t="str"/>
      <x:c r="P210" s="6" t="str">
        <x:v>Pending</x:v>
      </x:c>
      <x:c r="Q210" s="12" t="str"/>
    </x:row>
    <x:row r="211">
      <x:c r="A211" s="6" t="str">
        <x:v>LABR-000210</x:v>
      </x:c>
      <x:c r="B211" s="6" t="str">
        <x:v>SVC000210</x:v>
      </x:c>
      <x:c r="C211" s="6" t="str">
        <x:v>iPhone 3G Battery Replacement</x:v>
      </x:c>
      <x:c r="D211" s="6"/>
      <x:c r="E211" s="6"/>
      <x:c r="F211" s="6"/>
      <x:c r="G211" s="6"/>
      <x:c r="H211" s="6" t="str"/>
      <x:c r="I211" s="6" t="str"/>
      <x:c r="J211" s="6" t="str"/>
      <x:c r="K211" s="12" t="str">
        <x:v>Source Workbook</x:v>
      </x:c>
      <x:c r="L211" s="12" t="str">
        <x:v>Nocturnix_Master_Services_Catalog_v1.xlsx | 01 - Master Services | row 250</x:v>
      </x:c>
      <x:c r="M211" s="6" t="str">
        <x:v>Unresolved</x:v>
      </x:c>
      <x:c r="N211" s="6" t="str"/>
      <x:c r="O211" s="6" t="str"/>
      <x:c r="P211" s="6" t="str">
        <x:v>Pending</x:v>
      </x:c>
      <x:c r="Q211" s="12" t="str"/>
    </x:row>
    <x:row r="212">
      <x:c r="A212" s="6" t="str">
        <x:v>LABR-000211</x:v>
      </x:c>
      <x:c r="B212" s="6" t="str">
        <x:v>SVC000211</x:v>
      </x:c>
      <x:c r="C212" s="6" t="str">
        <x:v>iPhone 11 Battery Replacement</x:v>
      </x:c>
      <x:c r="D212" s="6"/>
      <x:c r="E212" s="6"/>
      <x:c r="F212" s="6"/>
      <x:c r="G212" s="6"/>
      <x:c r="H212" s="6" t="str"/>
      <x:c r="I212" s="6" t="str"/>
      <x:c r="J212" s="6" t="str"/>
      <x:c r="K212" s="12" t="str">
        <x:v>Source Workbook</x:v>
      </x:c>
      <x:c r="L212" s="12" t="str">
        <x:v>Nocturnix_Master_Services_Catalog_v1.xlsx | 01 - Master Services | row 251</x:v>
      </x:c>
      <x:c r="M212" s="6" t="str">
        <x:v>Unresolved</x:v>
      </x:c>
      <x:c r="N212" s="6" t="str"/>
      <x:c r="O212" s="6" t="str"/>
      <x:c r="P212" s="6" t="str">
        <x:v>Pending</x:v>
      </x:c>
      <x:c r="Q212" s="12" t="str"/>
    </x:row>
    <x:row r="213">
      <x:c r="A213" s="6" t="str">
        <x:v>LABR-000212</x:v>
      </x:c>
      <x:c r="B213" s="6" t="str">
        <x:v>SVC000212</x:v>
      </x:c>
      <x:c r="C213" s="6" t="str">
        <x:v>iPhone 11 Pro Battery Replacement</x:v>
      </x:c>
      <x:c r="D213" s="6"/>
      <x:c r="E213" s="6"/>
      <x:c r="F213" s="6"/>
      <x:c r="G213" s="6"/>
      <x:c r="H213" s="6" t="str"/>
      <x:c r="I213" s="6" t="str"/>
      <x:c r="J213" s="6" t="str"/>
      <x:c r="K213" s="12" t="str">
        <x:v>Source Workbook</x:v>
      </x:c>
      <x:c r="L213" s="12" t="str">
        <x:v>Nocturnix_Master_Services_Catalog_v1.xlsx | 01 - Master Services | row 252</x:v>
      </x:c>
      <x:c r="M213" s="6" t="str">
        <x:v>Unresolved</x:v>
      </x:c>
      <x:c r="N213" s="6" t="str"/>
      <x:c r="O213" s="6" t="str"/>
      <x:c r="P213" s="6" t="str">
        <x:v>Pending</x:v>
      </x:c>
      <x:c r="Q213" s="12" t="str"/>
    </x:row>
    <x:row r="214">
      <x:c r="A214" s="6" t="str">
        <x:v>LABR-000213</x:v>
      </x:c>
      <x:c r="B214" s="6" t="str">
        <x:v>SVC000213</x:v>
      </x:c>
      <x:c r="C214" s="6" t="str">
        <x:v>iPhone 11 Pro Max Battery Replacement</x:v>
      </x:c>
      <x:c r="D214" s="6"/>
      <x:c r="E214" s="6"/>
      <x:c r="F214" s="6"/>
      <x:c r="G214" s="6"/>
      <x:c r="H214" s="6" t="str"/>
      <x:c r="I214" s="6" t="str"/>
      <x:c r="J214" s="6" t="str"/>
      <x:c r="K214" s="12" t="str">
        <x:v>Source Workbook</x:v>
      </x:c>
      <x:c r="L214" s="12" t="str">
        <x:v>Nocturnix_Master_Services_Catalog_v1.xlsx | 01 - Master Services | row 253</x:v>
      </x:c>
      <x:c r="M214" s="6" t="str">
        <x:v>Unresolved</x:v>
      </x:c>
      <x:c r="N214" s="6" t="str"/>
      <x:c r="O214" s="6" t="str"/>
      <x:c r="P214" s="6" t="str">
        <x:v>Pending</x:v>
      </x:c>
      <x:c r="Q214" s="12" t="str"/>
    </x:row>
    <x:row r="215">
      <x:c r="A215" s="6" t="str">
        <x:v>LABR-000214</x:v>
      </x:c>
      <x:c r="B215" s="6" t="str">
        <x:v>SVC000214</x:v>
      </x:c>
      <x:c r="C215" s="6" t="str">
        <x:v>iPhone Charge Port Replacement</x:v>
      </x:c>
      <x:c r="D215" s="6"/>
      <x:c r="E215" s="6"/>
      <x:c r="F215" s="6"/>
      <x:c r="G215" s="6"/>
      <x:c r="H215" s="6" t="str"/>
      <x:c r="I215" s="6" t="str"/>
      <x:c r="J215" s="6" t="str"/>
      <x:c r="K215" s="12" t="str">
        <x:v>Source Workbook</x:v>
      </x:c>
      <x:c r="L215" s="12" t="str">
        <x:v>Nocturnix_Master_Services_Catalog_v1.xlsx | 01 - Master Services | row 254</x:v>
      </x:c>
      <x:c r="M215" s="6" t="str">
        <x:v>Unresolved</x:v>
      </x:c>
      <x:c r="N215" s="6" t="str"/>
      <x:c r="O215" s="6" t="str"/>
      <x:c r="P215" s="6" t="str">
        <x:v>Pending</x:v>
      </x:c>
      <x:c r="Q215" s="12" t="str"/>
    </x:row>
    <x:row r="216">
      <x:c r="A216" s="6" t="str">
        <x:v>LABR-000215</x:v>
      </x:c>
      <x:c r="B216" s="6" t="str">
        <x:v>SVC000215</x:v>
      </x:c>
      <x:c r="C216" s="6" t="str">
        <x:v>iPhone 3G Charge Port Replacement</x:v>
      </x:c>
      <x:c r="D216" s="6"/>
      <x:c r="E216" s="6"/>
      <x:c r="F216" s="6"/>
      <x:c r="G216" s="6"/>
      <x:c r="H216" s="6" t="str"/>
      <x:c r="I216" s="6" t="str"/>
      <x:c r="J216" s="6" t="str"/>
      <x:c r="K216" s="12" t="str">
        <x:v>Source Workbook</x:v>
      </x:c>
      <x:c r="L216" s="12" t="str">
        <x:v>Nocturnix_Master_Services_Catalog_v1.xlsx | 01 - Master Services | row 255</x:v>
      </x:c>
      <x:c r="M216" s="6" t="str">
        <x:v>Unresolved</x:v>
      </x:c>
      <x:c r="N216" s="6" t="str"/>
      <x:c r="O216" s="6" t="str"/>
      <x:c r="P216" s="6" t="str">
        <x:v>Pending</x:v>
      </x:c>
      <x:c r="Q216" s="12" t="str"/>
    </x:row>
    <x:row r="217">
      <x:c r="A217" s="6" t="str">
        <x:v>LABR-000216</x:v>
      </x:c>
      <x:c r="B217" s="6" t="str">
        <x:v>SVC000216</x:v>
      </x:c>
      <x:c r="C217" s="6" t="str">
        <x:v>iPhone 3GS Charge Port Replacement</x:v>
      </x:c>
      <x:c r="D217" s="6"/>
      <x:c r="E217" s="6"/>
      <x:c r="F217" s="6"/>
      <x:c r="G217" s="6"/>
      <x:c r="H217" s="6" t="str"/>
      <x:c r="I217" s="6" t="str"/>
      <x:c r="J217" s="6" t="str"/>
      <x:c r="K217" s="12" t="str">
        <x:v>Source Workbook</x:v>
      </x:c>
      <x:c r="L217" s="12" t="str">
        <x:v>Nocturnix_Master_Services_Catalog_v1.xlsx | 01 - Master Services | row 256</x:v>
      </x:c>
      <x:c r="M217" s="6" t="str">
        <x:v>Unresolved</x:v>
      </x:c>
      <x:c r="N217" s="6" t="str"/>
      <x:c r="O217" s="6" t="str"/>
      <x:c r="P217" s="6" t="str">
        <x:v>Pending</x:v>
      </x:c>
      <x:c r="Q217" s="12" t="str"/>
    </x:row>
    <x:row r="218">
      <x:c r="A218" s="6" t="str">
        <x:v>LABR-000217</x:v>
      </x:c>
      <x:c r="B218" s="6" t="str">
        <x:v>SVC000217</x:v>
      </x:c>
      <x:c r="C218" s="6" t="str">
        <x:v>iPhone 4S Charge Port Replacement</x:v>
      </x:c>
      <x:c r="D218" s="6"/>
      <x:c r="E218" s="6"/>
      <x:c r="F218" s="6"/>
      <x:c r="G218" s="6"/>
      <x:c r="H218" s="6" t="str"/>
      <x:c r="I218" s="6" t="str"/>
      <x:c r="J218" s="6" t="str"/>
      <x:c r="K218" s="12" t="str">
        <x:v>Source Workbook</x:v>
      </x:c>
      <x:c r="L218" s="12" t="str">
        <x:v>Nocturnix_Master_Services_Catalog_v1.xlsx | 01 - Master Services | row 257</x:v>
      </x:c>
      <x:c r="M218" s="6" t="str">
        <x:v>Unresolved</x:v>
      </x:c>
      <x:c r="N218" s="6" t="str"/>
      <x:c r="O218" s="6" t="str"/>
      <x:c r="P218" s="6" t="str">
        <x:v>Pending</x:v>
      </x:c>
      <x:c r="Q218" s="12" t="str"/>
    </x:row>
    <x:row r="219">
      <x:c r="A219" s="6" t="str">
        <x:v>LABR-000218</x:v>
      </x:c>
      <x:c r="B219" s="6" t="str">
        <x:v>SVC000218</x:v>
      </x:c>
      <x:c r="C219" s="6" t="str">
        <x:v>iPhone 4S Charge Port Replacement</x:v>
      </x:c>
      <x:c r="D219" s="6"/>
      <x:c r="E219" s="6"/>
      <x:c r="F219" s="6"/>
      <x:c r="G219" s="6"/>
      <x:c r="H219" s="6" t="str"/>
      <x:c r="I219" s="6" t="str"/>
      <x:c r="J219" s="6" t="str"/>
      <x:c r="K219" s="12" t="str">
        <x:v>Source Workbook</x:v>
      </x:c>
      <x:c r="L219" s="12" t="str">
        <x:v>Nocturnix_Master_Services_Catalog_v1.xlsx | 01 - Master Services | row 258</x:v>
      </x:c>
      <x:c r="M219" s="6" t="str">
        <x:v>Unresolved</x:v>
      </x:c>
      <x:c r="N219" s="6" t="str"/>
      <x:c r="O219" s="6" t="str"/>
      <x:c r="P219" s="6" t="str">
        <x:v>Pending</x:v>
      </x:c>
      <x:c r="Q219" s="12" t="str"/>
    </x:row>
    <x:row r="220">
      <x:c r="A220" s="6" t="str">
        <x:v>LABR-000219</x:v>
      </x:c>
      <x:c r="B220" s="6" t="str">
        <x:v>SVC000219</x:v>
      </x:c>
      <x:c r="C220" s="6" t="str">
        <x:v>iPhone 4S Charge Port Replacement</x:v>
      </x:c>
      <x:c r="D220" s="6"/>
      <x:c r="E220" s="6"/>
      <x:c r="F220" s="6"/>
      <x:c r="G220" s="6"/>
      <x:c r="H220" s="6" t="str"/>
      <x:c r="I220" s="6" t="str"/>
      <x:c r="J220" s="6" t="str"/>
      <x:c r="K220" s="12" t="str">
        <x:v>Source Workbook</x:v>
      </x:c>
      <x:c r="L220" s="12" t="str">
        <x:v>Nocturnix_Master_Services_Catalog_v1.xlsx | 01 - Master Services | row 259</x:v>
      </x:c>
      <x:c r="M220" s="6" t="str">
        <x:v>Unresolved</x:v>
      </x:c>
      <x:c r="N220" s="6" t="str"/>
      <x:c r="O220" s="6" t="str"/>
      <x:c r="P220" s="6" t="str">
        <x:v>Pending</x:v>
      </x:c>
      <x:c r="Q220" s="12" t="str"/>
    </x:row>
    <x:row r="221">
      <x:c r="A221" s="6" t="str">
        <x:v>LABR-000220</x:v>
      </x:c>
      <x:c r="B221" s="6" t="str">
        <x:v>SVC000220</x:v>
      </x:c>
      <x:c r="C221" s="6" t="str">
        <x:v>iPhone 5 Charge Port Replacement</x:v>
      </x:c>
      <x:c r="D221" s="6"/>
      <x:c r="E221" s="6"/>
      <x:c r="F221" s="6"/>
      <x:c r="G221" s="6"/>
      <x:c r="H221" s="6" t="str"/>
      <x:c r="I221" s="6" t="str"/>
      <x:c r="J221" s="6" t="str"/>
      <x:c r="K221" s="12" t="str">
        <x:v>Source Workbook</x:v>
      </x:c>
      <x:c r="L221" s="12" t="str">
        <x:v>Nocturnix_Master_Services_Catalog_v1.xlsx | 01 - Master Services | row 260</x:v>
      </x:c>
      <x:c r="M221" s="6" t="str">
        <x:v>Unresolved</x:v>
      </x:c>
      <x:c r="N221" s="6" t="str"/>
      <x:c r="O221" s="6" t="str"/>
      <x:c r="P221" s="6" t="str">
        <x:v>Pending</x:v>
      </x:c>
      <x:c r="Q221" s="12" t="str"/>
    </x:row>
    <x:row r="222">
      <x:c r="A222" s="6" t="str">
        <x:v>LABR-000221</x:v>
      </x:c>
      <x:c r="B222" s="6" t="str">
        <x:v>SVC000221</x:v>
      </x:c>
      <x:c r="C222" s="6" t="str">
        <x:v>iPhone 5C Charge Port Replacement</x:v>
      </x:c>
      <x:c r="D222" s="6"/>
      <x:c r="E222" s="6"/>
      <x:c r="F222" s="6"/>
      <x:c r="G222" s="6"/>
      <x:c r="H222" s="6" t="str"/>
      <x:c r="I222" s="6" t="str"/>
      <x:c r="J222" s="6" t="str"/>
      <x:c r="K222" s="12" t="str">
        <x:v>Source Workbook</x:v>
      </x:c>
      <x:c r="L222" s="12" t="str">
        <x:v>Nocturnix_Master_Services_Catalog_v1.xlsx | 01 - Master Services | row 261</x:v>
      </x:c>
      <x:c r="M222" s="6" t="str">
        <x:v>Unresolved</x:v>
      </x:c>
      <x:c r="N222" s="6" t="str"/>
      <x:c r="O222" s="6" t="str"/>
      <x:c r="P222" s="6" t="str">
        <x:v>Pending</x:v>
      </x:c>
      <x:c r="Q222" s="12" t="str"/>
    </x:row>
    <x:row r="223">
      <x:c r="A223" s="6" t="str">
        <x:v>LABR-000222</x:v>
      </x:c>
      <x:c r="B223" s="6" t="str">
        <x:v>SVC000222</x:v>
      </x:c>
      <x:c r="C223" s="6" t="str">
        <x:v>iPhone 5S Charge Port Replacement</x:v>
      </x:c>
      <x:c r="D223" s="6"/>
      <x:c r="E223" s="6"/>
      <x:c r="F223" s="6"/>
      <x:c r="G223" s="6"/>
      <x:c r="H223" s="6" t="str"/>
      <x:c r="I223" s="6" t="str"/>
      <x:c r="J223" s="6" t="str"/>
      <x:c r="K223" s="12" t="str">
        <x:v>Source Workbook</x:v>
      </x:c>
      <x:c r="L223" s="12" t="str">
        <x:v>Nocturnix_Master_Services_Catalog_v1.xlsx | 01 - Master Services | row 262</x:v>
      </x:c>
      <x:c r="M223" s="6" t="str">
        <x:v>Unresolved</x:v>
      </x:c>
      <x:c r="N223" s="6" t="str"/>
      <x:c r="O223" s="6" t="str"/>
      <x:c r="P223" s="6" t="str">
        <x:v>Pending</x:v>
      </x:c>
      <x:c r="Q223" s="12" t="str"/>
    </x:row>
    <x:row r="224">
      <x:c r="A224" s="6" t="str">
        <x:v>LABR-000223</x:v>
      </x:c>
      <x:c r="B224" s="6" t="str">
        <x:v>SVC000223</x:v>
      </x:c>
      <x:c r="C224" s="6" t="str">
        <x:v>iPhone 6 Charge Port Replacement</x:v>
      </x:c>
      <x:c r="D224" s="6"/>
      <x:c r="E224" s="6"/>
      <x:c r="F224" s="6"/>
      <x:c r="G224" s="6"/>
      <x:c r="H224" s="6" t="str"/>
      <x:c r="I224" s="6" t="str"/>
      <x:c r="J224" s="6" t="str"/>
      <x:c r="K224" s="12" t="str">
        <x:v>Source Workbook</x:v>
      </x:c>
      <x:c r="L224" s="12" t="str">
        <x:v>Nocturnix_Master_Services_Catalog_v1.xlsx | 01 - Master Services | row 263</x:v>
      </x:c>
      <x:c r="M224" s="6" t="str">
        <x:v>Unresolved</x:v>
      </x:c>
      <x:c r="N224" s="6" t="str"/>
      <x:c r="O224" s="6" t="str"/>
      <x:c r="P224" s="6" t="str">
        <x:v>Pending</x:v>
      </x:c>
      <x:c r="Q224" s="12" t="str"/>
    </x:row>
    <x:row r="225">
      <x:c r="A225" s="6" t="str">
        <x:v>LABR-000224</x:v>
      </x:c>
      <x:c r="B225" s="6" t="str">
        <x:v>SVC000224</x:v>
      </x:c>
      <x:c r="C225" s="6" t="str">
        <x:v>iPhone 6+ Charge Port Replacement</x:v>
      </x:c>
      <x:c r="D225" s="6"/>
      <x:c r="E225" s="6"/>
      <x:c r="F225" s="6"/>
      <x:c r="G225" s="6"/>
      <x:c r="H225" s="6" t="str"/>
      <x:c r="I225" s="6" t="str"/>
      <x:c r="J225" s="6" t="str"/>
      <x:c r="K225" s="12" t="str">
        <x:v>Source Workbook</x:v>
      </x:c>
      <x:c r="L225" s="12" t="str">
        <x:v>Nocturnix_Master_Services_Catalog_v1.xlsx | 01 - Master Services | row 264</x:v>
      </x:c>
      <x:c r="M225" s="6" t="str">
        <x:v>Unresolved</x:v>
      </x:c>
      <x:c r="N225" s="6" t="str"/>
      <x:c r="O225" s="6" t="str"/>
      <x:c r="P225" s="6" t="str">
        <x:v>Pending</x:v>
      </x:c>
      <x:c r="Q225" s="12" t="str"/>
    </x:row>
    <x:row r="226">
      <x:c r="A226" s="6" t="str">
        <x:v>LABR-000225</x:v>
      </x:c>
      <x:c r="B226" s="6" t="str">
        <x:v>SVC000225</x:v>
      </x:c>
      <x:c r="C226" s="6" t="str">
        <x:v>iPhone 6S Charge Port Replacement</x:v>
      </x:c>
      <x:c r="D226" s="6"/>
      <x:c r="E226" s="6"/>
      <x:c r="F226" s="6"/>
      <x:c r="G226" s="6"/>
      <x:c r="H226" s="6" t="str"/>
      <x:c r="I226" s="6" t="str"/>
      <x:c r="J226" s="6" t="str"/>
      <x:c r="K226" s="12" t="str">
        <x:v>Source Workbook</x:v>
      </x:c>
      <x:c r="L226" s="12" t="str">
        <x:v>Nocturnix_Master_Services_Catalog_v1.xlsx | 01 - Master Services | row 265</x:v>
      </x:c>
      <x:c r="M226" s="6" t="str">
        <x:v>Unresolved</x:v>
      </x:c>
      <x:c r="N226" s="6" t="str"/>
      <x:c r="O226" s="6" t="str"/>
      <x:c r="P226" s="6" t="str">
        <x:v>Pending</x:v>
      </x:c>
      <x:c r="Q226" s="12" t="str"/>
    </x:row>
    <x:row r="227">
      <x:c r="A227" s="6" t="str">
        <x:v>LABR-000226</x:v>
      </x:c>
      <x:c r="B227" s="6" t="str">
        <x:v>SVC000226</x:v>
      </x:c>
      <x:c r="C227" s="6" t="str">
        <x:v>iPhone 6S+ Charge Port Replacement</x:v>
      </x:c>
      <x:c r="D227" s="6"/>
      <x:c r="E227" s="6"/>
      <x:c r="F227" s="6"/>
      <x:c r="G227" s="6"/>
      <x:c r="H227" s="6" t="str"/>
      <x:c r="I227" s="6" t="str"/>
      <x:c r="J227" s="6" t="str"/>
      <x:c r="K227" s="12" t="str">
        <x:v>Source Workbook</x:v>
      </x:c>
      <x:c r="L227" s="12" t="str">
        <x:v>Nocturnix_Master_Services_Catalog_v1.xlsx | 01 - Master Services | row 266</x:v>
      </x:c>
      <x:c r="M227" s="6" t="str">
        <x:v>Unresolved</x:v>
      </x:c>
      <x:c r="N227" s="6" t="str"/>
      <x:c r="O227" s="6" t="str"/>
      <x:c r="P227" s="6" t="str">
        <x:v>Pending</x:v>
      </x:c>
      <x:c r="Q227" s="12" t="str"/>
    </x:row>
    <x:row r="228">
      <x:c r="A228" s="6" t="str">
        <x:v>LABR-000227</x:v>
      </x:c>
      <x:c r="B228" s="6" t="str">
        <x:v>SVC000227</x:v>
      </x:c>
      <x:c r="C228" s="6" t="str">
        <x:v>iPhone 6S+ Charge Port Replacement</x:v>
      </x:c>
      <x:c r="D228" s="6"/>
      <x:c r="E228" s="6"/>
      <x:c r="F228" s="6"/>
      <x:c r="G228" s="6"/>
      <x:c r="H228" s="6" t="str"/>
      <x:c r="I228" s="6" t="str"/>
      <x:c r="J228" s="6" t="str"/>
      <x:c r="K228" s="12" t="str">
        <x:v>Source Workbook</x:v>
      </x:c>
      <x:c r="L228" s="12" t="str">
        <x:v>Nocturnix_Master_Services_Catalog_v1.xlsx | 01 - Master Services | row 267</x:v>
      </x:c>
      <x:c r="M228" s="6" t="str">
        <x:v>Unresolved</x:v>
      </x:c>
      <x:c r="N228" s="6" t="str"/>
      <x:c r="O228" s="6" t="str"/>
      <x:c r="P228" s="6" t="str">
        <x:v>Pending</x:v>
      </x:c>
      <x:c r="Q228" s="12" t="str"/>
    </x:row>
    <x:row r="229">
      <x:c r="A229" s="6" t="str">
        <x:v>LABR-000228</x:v>
      </x:c>
      <x:c r="B229" s="6" t="str">
        <x:v>SVC000228</x:v>
      </x:c>
      <x:c r="C229" s="6" t="str">
        <x:v>iPhone SE(1ST GEN) Charge Port Replacement</x:v>
      </x:c>
      <x:c r="D229" s="6"/>
      <x:c r="E229" s="6"/>
      <x:c r="F229" s="6"/>
      <x:c r="G229" s="6"/>
      <x:c r="H229" s="6" t="str"/>
      <x:c r="I229" s="6" t="str"/>
      <x:c r="J229" s="6" t="str"/>
      <x:c r="K229" s="12" t="str">
        <x:v>Source Workbook</x:v>
      </x:c>
      <x:c r="L229" s="12" t="str">
        <x:v>Nocturnix_Master_Services_Catalog_v1.xlsx | 01 - Master Services | row 268</x:v>
      </x:c>
      <x:c r="M229" s="6" t="str">
        <x:v>Unresolved</x:v>
      </x:c>
      <x:c r="N229" s="6" t="str"/>
      <x:c r="O229" s="6" t="str"/>
      <x:c r="P229" s="6" t="str">
        <x:v>Pending</x:v>
      </x:c>
      <x:c r="Q229" s="12" t="str"/>
    </x:row>
    <x:row r="230">
      <x:c r="A230" s="6" t="str">
        <x:v>LABR-000229</x:v>
      </x:c>
      <x:c r="B230" s="6" t="str">
        <x:v>SVC000229</x:v>
      </x:c>
      <x:c r="C230" s="6" t="str">
        <x:v>iPhone 7 Charge Port Replacement</x:v>
      </x:c>
      <x:c r="D230" s="6"/>
      <x:c r="E230" s="6"/>
      <x:c r="F230" s="6"/>
      <x:c r="G230" s="6"/>
      <x:c r="H230" s="6" t="str"/>
      <x:c r="I230" s="6" t="str"/>
      <x:c r="J230" s="6" t="str"/>
      <x:c r="K230" s="12" t="str">
        <x:v>Source Workbook</x:v>
      </x:c>
      <x:c r="L230" s="12" t="str">
        <x:v>Nocturnix_Master_Services_Catalog_v1.xlsx | 01 - Master Services | row 269</x:v>
      </x:c>
      <x:c r="M230" s="6" t="str">
        <x:v>Unresolved</x:v>
      </x:c>
      <x:c r="N230" s="6" t="str"/>
      <x:c r="O230" s="6" t="str"/>
      <x:c r="P230" s="6" t="str">
        <x:v>Pending</x:v>
      </x:c>
      <x:c r="Q230" s="12" t="str"/>
    </x:row>
    <x:row r="231">
      <x:c r="A231" s="6" t="str">
        <x:v>LABR-000230</x:v>
      </x:c>
      <x:c r="B231" s="6" t="str">
        <x:v>SVC000230</x:v>
      </x:c>
      <x:c r="C231" s="6" t="str">
        <x:v>iPhone 7+ Charge Port Replacement</x:v>
      </x:c>
      <x:c r="D231" s="6"/>
      <x:c r="E231" s="6"/>
      <x:c r="F231" s="6"/>
      <x:c r="G231" s="6"/>
      <x:c r="H231" s="6" t="str"/>
      <x:c r="I231" s="6" t="str"/>
      <x:c r="J231" s="6" t="str"/>
      <x:c r="K231" s="12" t="str">
        <x:v>Source Workbook</x:v>
      </x:c>
      <x:c r="L231" s="12" t="str">
        <x:v>Nocturnix_Master_Services_Catalog_v1.xlsx | 01 - Master Services | row 270</x:v>
      </x:c>
      <x:c r="M231" s="6" t="str">
        <x:v>Unresolved</x:v>
      </x:c>
      <x:c r="N231" s="6" t="str"/>
      <x:c r="O231" s="6" t="str"/>
      <x:c r="P231" s="6" t="str">
        <x:v>Pending</x:v>
      </x:c>
      <x:c r="Q231" s="12" t="str"/>
    </x:row>
    <x:row r="232">
      <x:c r="A232" s="6" t="str">
        <x:v>LABR-000231</x:v>
      </x:c>
      <x:c r="B232" s="6" t="str">
        <x:v>SVC000231</x:v>
      </x:c>
      <x:c r="C232" s="6" t="str">
        <x:v>iPhone 8 Charge Port Replacement</x:v>
      </x:c>
      <x:c r="D232" s="6"/>
      <x:c r="E232" s="6"/>
      <x:c r="F232" s="6"/>
      <x:c r="G232" s="6"/>
      <x:c r="H232" s="6" t="str"/>
      <x:c r="I232" s="6" t="str"/>
      <x:c r="J232" s="6" t="str"/>
      <x:c r="K232" s="12" t="str">
        <x:v>Source Workbook</x:v>
      </x:c>
      <x:c r="L232" s="12" t="str">
        <x:v>Nocturnix_Master_Services_Catalog_v1.xlsx | 01 - Master Services | row 271</x:v>
      </x:c>
      <x:c r="M232" s="6" t="str">
        <x:v>Unresolved</x:v>
      </x:c>
      <x:c r="N232" s="6" t="str"/>
      <x:c r="O232" s="6" t="str"/>
      <x:c r="P232" s="6" t="str">
        <x:v>Pending</x:v>
      </x:c>
      <x:c r="Q232" s="12" t="str"/>
    </x:row>
    <x:row r="233">
      <x:c r="A233" s="6" t="str">
        <x:v>LABR-000232</x:v>
      </x:c>
      <x:c r="B233" s="6" t="str">
        <x:v>SVC000232</x:v>
      </x:c>
      <x:c r="C233" s="6" t="str">
        <x:v>iPhone 8+ Charge Port Replacement</x:v>
      </x:c>
      <x:c r="D233" s="6"/>
      <x:c r="E233" s="6"/>
      <x:c r="F233" s="6"/>
      <x:c r="G233" s="6"/>
      <x:c r="H233" s="6" t="str"/>
      <x:c r="I233" s="6" t="str"/>
      <x:c r="J233" s="6" t="str"/>
      <x:c r="K233" s="12" t="str">
        <x:v>Source Workbook</x:v>
      </x:c>
      <x:c r="L233" s="12" t="str">
        <x:v>Nocturnix_Master_Services_Catalog_v1.xlsx | 01 - Master Services | row 272</x:v>
      </x:c>
      <x:c r="M233" s="6" t="str">
        <x:v>Unresolved</x:v>
      </x:c>
      <x:c r="N233" s="6" t="str"/>
      <x:c r="O233" s="6" t="str"/>
      <x:c r="P233" s="6" t="str">
        <x:v>Pending</x:v>
      </x:c>
      <x:c r="Q233" s="12" t="str"/>
    </x:row>
    <x:row r="234">
      <x:c r="A234" s="6" t="str">
        <x:v>LABR-000233</x:v>
      </x:c>
      <x:c r="B234" s="6" t="str">
        <x:v>SVC000233</x:v>
      </x:c>
      <x:c r="C234" s="6" t="str">
        <x:v>iPhone X Charge Port Replacement</x:v>
      </x:c>
      <x:c r="D234" s="6"/>
      <x:c r="E234" s="6"/>
      <x:c r="F234" s="6"/>
      <x:c r="G234" s="6"/>
      <x:c r="H234" s="6" t="str"/>
      <x:c r="I234" s="6" t="str"/>
      <x:c r="J234" s="6" t="str"/>
      <x:c r="K234" s="12" t="str">
        <x:v>Source Workbook</x:v>
      </x:c>
      <x:c r="L234" s="12" t="str">
        <x:v>Nocturnix_Master_Services_Catalog_v1.xlsx | 01 - Master Services | row 273</x:v>
      </x:c>
      <x:c r="M234" s="6" t="str">
        <x:v>Unresolved</x:v>
      </x:c>
      <x:c r="N234" s="6" t="str"/>
      <x:c r="O234" s="6" t="str"/>
      <x:c r="P234" s="6" t="str">
        <x:v>Pending</x:v>
      </x:c>
      <x:c r="Q234" s="12" t="str"/>
    </x:row>
    <x:row r="235">
      <x:c r="A235" s="6" t="str">
        <x:v>LABR-000234</x:v>
      </x:c>
      <x:c r="B235" s="6" t="str">
        <x:v>SVC000234</x:v>
      </x:c>
      <x:c r="C235" s="6" t="str">
        <x:v>iPhone XR Charge Port Replacement</x:v>
      </x:c>
      <x:c r="D235" s="6"/>
      <x:c r="E235" s="6"/>
      <x:c r="F235" s="6"/>
      <x:c r="G235" s="6"/>
      <x:c r="H235" s="6" t="str"/>
      <x:c r="I235" s="6" t="str"/>
      <x:c r="J235" s="6" t="str"/>
      <x:c r="K235" s="12" t="str">
        <x:v>Source Workbook</x:v>
      </x:c>
      <x:c r="L235" s="12" t="str">
        <x:v>Nocturnix_Master_Services_Catalog_v1.xlsx | 01 - Master Services | row 274</x:v>
      </x:c>
      <x:c r="M235" s="6" t="str">
        <x:v>Unresolved</x:v>
      </x:c>
      <x:c r="N235" s="6" t="str"/>
      <x:c r="O235" s="6" t="str"/>
      <x:c r="P235" s="6" t="str">
        <x:v>Pending</x:v>
      </x:c>
      <x:c r="Q235" s="12" t="str"/>
    </x:row>
    <x:row r="236">
      <x:c r="A236" s="6" t="str">
        <x:v>LABR-000235</x:v>
      </x:c>
      <x:c r="B236" s="6" t="str">
        <x:v>SVC000235</x:v>
      </x:c>
      <x:c r="C236" s="6" t="str">
        <x:v>Galaxy S 23 Battery Replacement</x:v>
      </x:c>
      <x:c r="D236" s="6"/>
      <x:c r="E236" s="6"/>
      <x:c r="F236" s="6"/>
      <x:c r="G236" s="6"/>
      <x:c r="H236" s="6" t="str"/>
      <x:c r="I236" s="6" t="str"/>
      <x:c r="J236" s="6" t="str"/>
      <x:c r="K236" s="12" t="str">
        <x:v>Source Workbook</x:v>
      </x:c>
      <x:c r="L236" s="12" t="str">
        <x:v>Nocturnix_Master_Services_Catalog_v1.xlsx | 01 - Master Services | row 275</x:v>
      </x:c>
      <x:c r="M236" s="6" t="str">
        <x:v>Unresolved</x:v>
      </x:c>
      <x:c r="N236" s="6" t="str"/>
      <x:c r="O236" s="6" t="str"/>
      <x:c r="P236" s="6" t="str">
        <x:v>Pending</x:v>
      </x:c>
      <x:c r="Q236" s="12" t="str"/>
    </x:row>
    <x:row r="237">
      <x:c r="A237" s="6" t="str">
        <x:v>LABR-000236</x:v>
      </x:c>
      <x:c r="B237" s="6" t="str">
        <x:v>SVC000236</x:v>
      </x:c>
      <x:c r="C237" s="6" t="str">
        <x:v>iPhone XS Charge Port Replacement</x:v>
      </x:c>
      <x:c r="D237" s="6"/>
      <x:c r="E237" s="6"/>
      <x:c r="F237" s="6"/>
      <x:c r="G237" s="6"/>
      <x:c r="H237" s="6" t="str"/>
      <x:c r="I237" s="6" t="str"/>
      <x:c r="J237" s="6" t="str"/>
      <x:c r="K237" s="12" t="str">
        <x:v>Source Workbook</x:v>
      </x:c>
      <x:c r="L237" s="12" t="str">
        <x:v>Nocturnix_Master_Services_Catalog_v1.xlsx | 01 - Master Services | row 276</x:v>
      </x:c>
      <x:c r="M237" s="6" t="str">
        <x:v>Unresolved</x:v>
      </x:c>
      <x:c r="N237" s="6" t="str"/>
      <x:c r="O237" s="6" t="str"/>
      <x:c r="P237" s="6" t="str">
        <x:v>Pending</x:v>
      </x:c>
      <x:c r="Q237" s="12" t="str"/>
    </x:row>
    <x:row r="238">
      <x:c r="A238" s="6" t="str">
        <x:v>LABR-000237</x:v>
      </x:c>
      <x:c r="B238" s="6" t="str">
        <x:v>SVC000237</x:v>
      </x:c>
      <x:c r="C238" s="6" t="str">
        <x:v>iPhone XS Max Charge Port Replacement</x:v>
      </x:c>
      <x:c r="D238" s="6"/>
      <x:c r="E238" s="6"/>
      <x:c r="F238" s="6"/>
      <x:c r="G238" s="6"/>
      <x:c r="H238" s="6" t="str"/>
      <x:c r="I238" s="6" t="str"/>
      <x:c r="J238" s="6" t="str"/>
      <x:c r="K238" s="12" t="str">
        <x:v>Source Workbook</x:v>
      </x:c>
      <x:c r="L238" s="12" t="str">
        <x:v>Nocturnix_Master_Services_Catalog_v1.xlsx | 01 - Master Services | row 277</x:v>
      </x:c>
      <x:c r="M238" s="6" t="str">
        <x:v>Unresolved</x:v>
      </x:c>
      <x:c r="N238" s="6" t="str"/>
      <x:c r="O238" s="6" t="str"/>
      <x:c r="P238" s="6" t="str">
        <x:v>Pending</x:v>
      </x:c>
      <x:c r="Q238" s="12" t="str"/>
    </x:row>
    <x:row r="239">
      <x:c r="A239" s="6" t="str">
        <x:v>LABR-000238</x:v>
      </x:c>
      <x:c r="B239" s="6" t="str">
        <x:v>SVC000238</x:v>
      </x:c>
      <x:c r="C239" s="6" t="str">
        <x:v>iPhone 11 Charge Port Replacement</x:v>
      </x:c>
      <x:c r="D239" s="6"/>
      <x:c r="E239" s="6"/>
      <x:c r="F239" s="6"/>
      <x:c r="G239" s="6"/>
      <x:c r="H239" s="6" t="str"/>
      <x:c r="I239" s="6" t="str"/>
      <x:c r="J239" s="6" t="str"/>
      <x:c r="K239" s="12" t="str">
        <x:v>Source Workbook</x:v>
      </x:c>
      <x:c r="L239" s="12" t="str">
        <x:v>Nocturnix_Master_Services_Catalog_v1.xlsx | 01 - Master Services | row 278</x:v>
      </x:c>
      <x:c r="M239" s="6" t="str">
        <x:v>Unresolved</x:v>
      </x:c>
      <x:c r="N239" s="6" t="str"/>
      <x:c r="O239" s="6" t="str"/>
      <x:c r="P239" s="6" t="str">
        <x:v>Pending</x:v>
      </x:c>
      <x:c r="Q239" s="12" t="str"/>
    </x:row>
    <x:row r="240">
      <x:c r="A240" s="6" t="str">
        <x:v>LABR-000239</x:v>
      </x:c>
      <x:c r="B240" s="6" t="str">
        <x:v>SVC000239</x:v>
      </x:c>
      <x:c r="C240" s="6" t="str">
        <x:v>iPhone 11 Pro Charge Port Replacement</x:v>
      </x:c>
      <x:c r="D240" s="6"/>
      <x:c r="E240" s="6"/>
      <x:c r="F240" s="6"/>
      <x:c r="G240" s="6"/>
      <x:c r="H240" s="6" t="str"/>
      <x:c r="I240" s="6" t="str"/>
      <x:c r="J240" s="6" t="str"/>
      <x:c r="K240" s="12" t="str">
        <x:v>Source Workbook</x:v>
      </x:c>
      <x:c r="L240" s="12" t="str">
        <x:v>Nocturnix_Master_Services_Catalog_v1.xlsx | 01 - Master Services | row 279</x:v>
      </x:c>
      <x:c r="M240" s="6" t="str">
        <x:v>Unresolved</x:v>
      </x:c>
      <x:c r="N240" s="6" t="str"/>
      <x:c r="O240" s="6" t="str"/>
      <x:c r="P240" s="6" t="str">
        <x:v>Pending</x:v>
      </x:c>
      <x:c r="Q240" s="12" t="str"/>
    </x:row>
    <x:row r="241">
      <x:c r="A241" s="6" t="str">
        <x:v>LABR-000240</x:v>
      </x:c>
      <x:c r="B241" s="6" t="str">
        <x:v>SVC000240</x:v>
      </x:c>
      <x:c r="C241" s="6" t="str">
        <x:v>iPhone 11 Pro Max Charge Port Replacement</x:v>
      </x:c>
      <x:c r="D241" s="6"/>
      <x:c r="E241" s="6"/>
      <x:c r="F241" s="6"/>
      <x:c r="G241" s="6"/>
      <x:c r="H241" s="6" t="str"/>
      <x:c r="I241" s="6" t="str"/>
      <x:c r="J241" s="6" t="str"/>
      <x:c r="K241" s="12" t="str">
        <x:v>Source Workbook</x:v>
      </x:c>
      <x:c r="L241" s="12" t="str">
        <x:v>Nocturnix_Master_Services_Catalog_v1.xlsx | 01 - Master Services | row 280</x:v>
      </x:c>
      <x:c r="M241" s="6" t="str">
        <x:v>Unresolved</x:v>
      </x:c>
      <x:c r="N241" s="6" t="str"/>
      <x:c r="O241" s="6" t="str"/>
      <x:c r="P241" s="6" t="str">
        <x:v>Pending</x:v>
      </x:c>
      <x:c r="Q241" s="12" t="str"/>
    </x:row>
    <x:row r="242">
      <x:c r="A242" s="6" t="str">
        <x:v>LABR-000241</x:v>
      </x:c>
      <x:c r="B242" s="6" t="str">
        <x:v>SVC000241</x:v>
      </x:c>
      <x:c r="C242" s="6" t="str">
        <x:v>iPhone SE (2ND GEN) Charge Port Replacement</x:v>
      </x:c>
      <x:c r="D242" s="6"/>
      <x:c r="E242" s="6"/>
      <x:c r="F242" s="6"/>
      <x:c r="G242" s="6"/>
      <x:c r="H242" s="6" t="str"/>
      <x:c r="I242" s="6" t="str"/>
      <x:c r="J242" s="6" t="str"/>
      <x:c r="K242" s="12" t="str">
        <x:v>Source Workbook</x:v>
      </x:c>
      <x:c r="L242" s="12" t="str">
        <x:v>Nocturnix_Master_Services_Catalog_v1.xlsx | 01 - Master Services | row 281</x:v>
      </x:c>
      <x:c r="M242" s="6" t="str">
        <x:v>Unresolved</x:v>
      </x:c>
      <x:c r="N242" s="6" t="str"/>
      <x:c r="O242" s="6" t="str"/>
      <x:c r="P242" s="6" t="str">
        <x:v>Pending</x:v>
      </x:c>
      <x:c r="Q242" s="12" t="str"/>
    </x:row>
    <x:row r="243">
      <x:c r="A243" s="6" t="str">
        <x:v>LABR-000242</x:v>
      </x:c>
      <x:c r="B243" s="6" t="str">
        <x:v>SVC000242</x:v>
      </x:c>
      <x:c r="C243" s="6" t="str">
        <x:v>iPhone 12 Charge Port Replacement</x:v>
      </x:c>
      <x:c r="D243" s="6"/>
      <x:c r="E243" s="6"/>
      <x:c r="F243" s="6"/>
      <x:c r="G243" s="6"/>
      <x:c r="H243" s="6" t="str"/>
      <x:c r="I243" s="6" t="str"/>
      <x:c r="J243" s="6" t="str"/>
      <x:c r="K243" s="12" t="str">
        <x:v>Source Workbook</x:v>
      </x:c>
      <x:c r="L243" s="12" t="str">
        <x:v>Nocturnix_Master_Services_Catalog_v1.xlsx | 01 - Master Services | row 282</x:v>
      </x:c>
      <x:c r="M243" s="6" t="str">
        <x:v>Unresolved</x:v>
      </x:c>
      <x:c r="N243" s="6" t="str"/>
      <x:c r="O243" s="6" t="str"/>
      <x:c r="P243" s="6" t="str">
        <x:v>Pending</x:v>
      </x:c>
      <x:c r="Q243" s="12" t="str"/>
    </x:row>
    <x:row r="244">
      <x:c r="A244" s="6" t="str">
        <x:v>LABR-000243</x:v>
      </x:c>
      <x:c r="B244" s="6" t="str">
        <x:v>SVC000243</x:v>
      </x:c>
      <x:c r="C244" s="6" t="str">
        <x:v>iPhone 12 Mini Charge Port Replacement</x:v>
      </x:c>
      <x:c r="D244" s="6"/>
      <x:c r="E244" s="6"/>
      <x:c r="F244" s="6"/>
      <x:c r="G244" s="6"/>
      <x:c r="H244" s="6" t="str"/>
      <x:c r="I244" s="6" t="str"/>
      <x:c r="J244" s="6" t="str"/>
      <x:c r="K244" s="12" t="str">
        <x:v>Source Workbook</x:v>
      </x:c>
      <x:c r="L244" s="12" t="str">
        <x:v>Nocturnix_Master_Services_Catalog_v1.xlsx | 01 - Master Services | row 283</x:v>
      </x:c>
      <x:c r="M244" s="6" t="str">
        <x:v>Unresolved</x:v>
      </x:c>
      <x:c r="N244" s="6" t="str"/>
      <x:c r="O244" s="6" t="str"/>
      <x:c r="P244" s="6" t="str">
        <x:v>Pending</x:v>
      </x:c>
      <x:c r="Q244" s="12" t="str"/>
    </x:row>
    <x:row r="245">
      <x:c r="A245" s="6" t="str">
        <x:v>LABR-000244</x:v>
      </x:c>
      <x:c r="B245" s="6" t="str">
        <x:v>SVC000244</x:v>
      </x:c>
      <x:c r="C245" s="6" t="str">
        <x:v>iPhone 12 Pro Charge Port Replacement</x:v>
      </x:c>
      <x:c r="D245" s="6"/>
      <x:c r="E245" s="6"/>
      <x:c r="F245" s="6"/>
      <x:c r="G245" s="6"/>
      <x:c r="H245" s="6" t="str"/>
      <x:c r="I245" s="6" t="str"/>
      <x:c r="J245" s="6" t="str"/>
      <x:c r="K245" s="12" t="str">
        <x:v>Source Workbook</x:v>
      </x:c>
      <x:c r="L245" s="12" t="str">
        <x:v>Nocturnix_Master_Services_Catalog_v1.xlsx | 01 - Master Services | row 284</x:v>
      </x:c>
      <x:c r="M245" s="6" t="str">
        <x:v>Unresolved</x:v>
      </x:c>
      <x:c r="N245" s="6" t="str"/>
      <x:c r="O245" s="6" t="str"/>
      <x:c r="P245" s="6" t="str">
        <x:v>Pending</x:v>
      </x:c>
      <x:c r="Q245" s="12" t="str"/>
    </x:row>
    <x:row r="246">
      <x:c r="A246" s="6" t="str">
        <x:v>LABR-000245</x:v>
      </x:c>
      <x:c r="B246" s="6" t="str">
        <x:v>SVC000245</x:v>
      </x:c>
      <x:c r="C246" s="6" t="str">
        <x:v>iPhone 12 Pro Max Charge Port Replacement</x:v>
      </x:c>
      <x:c r="D246" s="6"/>
      <x:c r="E246" s="6"/>
      <x:c r="F246" s="6"/>
      <x:c r="G246" s="6"/>
      <x:c r="H246" s="6" t="str"/>
      <x:c r="I246" s="6" t="str"/>
      <x:c r="J246" s="6" t="str"/>
      <x:c r="K246" s="12" t="str">
        <x:v>Source Workbook</x:v>
      </x:c>
      <x:c r="L246" s="12" t="str">
        <x:v>Nocturnix_Master_Services_Catalog_v1.xlsx | 01 - Master Services | row 285</x:v>
      </x:c>
      <x:c r="M246" s="6" t="str">
        <x:v>Unresolved</x:v>
      </x:c>
      <x:c r="N246" s="6" t="str"/>
      <x:c r="O246" s="6" t="str"/>
      <x:c r="P246" s="6" t="str">
        <x:v>Pending</x:v>
      </x:c>
      <x:c r="Q246" s="12" t="str"/>
    </x:row>
    <x:row r="247">
      <x:c r="A247" s="6" t="str">
        <x:v>LABR-000246</x:v>
      </x:c>
      <x:c r="B247" s="6" t="str">
        <x:v>SVC000246</x:v>
      </x:c>
      <x:c r="C247" s="6" t="str">
        <x:v>iPhone 13 Charge Port Replacement</x:v>
      </x:c>
      <x:c r="D247" s="6"/>
      <x:c r="E247" s="6"/>
      <x:c r="F247" s="6"/>
      <x:c r="G247" s="6"/>
      <x:c r="H247" s="6" t="str"/>
      <x:c r="I247" s="6" t="str"/>
      <x:c r="J247" s="6" t="str"/>
      <x:c r="K247" s="12" t="str">
        <x:v>Source Workbook</x:v>
      </x:c>
      <x:c r="L247" s="12" t="str">
        <x:v>Nocturnix_Master_Services_Catalog_v1.xlsx | 01 - Master Services | row 286</x:v>
      </x:c>
      <x:c r="M247" s="6" t="str">
        <x:v>Unresolved</x:v>
      </x:c>
      <x:c r="N247" s="6" t="str"/>
      <x:c r="O247" s="6" t="str"/>
      <x:c r="P247" s="6" t="str">
        <x:v>Pending</x:v>
      </x:c>
      <x:c r="Q247" s="12" t="str"/>
    </x:row>
    <x:row r="248">
      <x:c r="A248" s="6" t="str">
        <x:v>LABR-000247</x:v>
      </x:c>
      <x:c r="B248" s="6" t="str">
        <x:v>SVC000247</x:v>
      </x:c>
      <x:c r="C248" s="6" t="str">
        <x:v>iPhone 13 Mini Charge Port Replacement</x:v>
      </x:c>
      <x:c r="D248" s="6"/>
      <x:c r="E248" s="6"/>
      <x:c r="F248" s="6"/>
      <x:c r="G248" s="6"/>
      <x:c r="H248" s="6" t="str"/>
      <x:c r="I248" s="6" t="str"/>
      <x:c r="J248" s="6" t="str"/>
      <x:c r="K248" s="12" t="str">
        <x:v>Source Workbook</x:v>
      </x:c>
      <x:c r="L248" s="12" t="str">
        <x:v>Nocturnix_Master_Services_Catalog_v1.xlsx | 01 - Master Services | row 287</x:v>
      </x:c>
      <x:c r="M248" s="6" t="str">
        <x:v>Unresolved</x:v>
      </x:c>
      <x:c r="N248" s="6" t="str"/>
      <x:c r="O248" s="6" t="str"/>
      <x:c r="P248" s="6" t="str">
        <x:v>Pending</x:v>
      </x:c>
      <x:c r="Q248" s="12" t="str"/>
    </x:row>
    <x:row r="249">
      <x:c r="A249" s="6" t="str">
        <x:v>LABR-000248</x:v>
      </x:c>
      <x:c r="B249" s="6" t="str">
        <x:v>SVC000248</x:v>
      </x:c>
      <x:c r="C249" s="6" t="str">
        <x:v>iPhone 13 Pro Charge Port Replacement</x:v>
      </x:c>
      <x:c r="D249" s="6"/>
      <x:c r="E249" s="6"/>
      <x:c r="F249" s="6"/>
      <x:c r="G249" s="6"/>
      <x:c r="H249" s="6" t="str"/>
      <x:c r="I249" s="6" t="str"/>
      <x:c r="J249" s="6" t="str"/>
      <x:c r="K249" s="12" t="str">
        <x:v>Source Workbook</x:v>
      </x:c>
      <x:c r="L249" s="12" t="str">
        <x:v>Nocturnix_Master_Services_Catalog_v1.xlsx | 01 - Master Services | row 288</x:v>
      </x:c>
      <x:c r="M249" s="6" t="str">
        <x:v>Unresolved</x:v>
      </x:c>
      <x:c r="N249" s="6" t="str"/>
      <x:c r="O249" s="6" t="str"/>
      <x:c r="P249" s="6" t="str">
        <x:v>Pending</x:v>
      </x:c>
      <x:c r="Q249" s="12" t="str"/>
    </x:row>
    <x:row r="250">
      <x:c r="A250" s="6" t="str">
        <x:v>LABR-000249</x:v>
      </x:c>
      <x:c r="B250" s="6" t="str">
        <x:v>SVC000249</x:v>
      </x:c>
      <x:c r="C250" s="6" t="str">
        <x:v>iPhone 13 Pro Max Charge Port Replacement</x:v>
      </x:c>
      <x:c r="D250" s="6"/>
      <x:c r="E250" s="6"/>
      <x:c r="F250" s="6"/>
      <x:c r="G250" s="6"/>
      <x:c r="H250" s="6" t="str"/>
      <x:c r="I250" s="6" t="str"/>
      <x:c r="J250" s="6" t="str"/>
      <x:c r="K250" s="12" t="str">
        <x:v>Source Workbook</x:v>
      </x:c>
      <x:c r="L250" s="12" t="str">
        <x:v>Nocturnix_Master_Services_Catalog_v1.xlsx | 01 - Master Services | row 289</x:v>
      </x:c>
      <x:c r="M250" s="6" t="str">
        <x:v>Unresolved</x:v>
      </x:c>
      <x:c r="N250" s="6" t="str"/>
      <x:c r="O250" s="6" t="str"/>
      <x:c r="P250" s="6" t="str">
        <x:v>Pending</x:v>
      </x:c>
      <x:c r="Q250" s="12" t="str"/>
    </x:row>
    <x:row r="251">
      <x:c r="A251" s="6" t="str">
        <x:v>LABR-000250</x:v>
      </x:c>
      <x:c r="B251" s="6" t="str">
        <x:v>SVC000250</x:v>
      </x:c>
      <x:c r="C251" s="6" t="str">
        <x:v>iPhone SE (3RD GEN) Charge Port Replacement</x:v>
      </x:c>
      <x:c r="D251" s="6"/>
      <x:c r="E251" s="6"/>
      <x:c r="F251" s="6"/>
      <x:c r="G251" s="6"/>
      <x:c r="H251" s="6" t="str"/>
      <x:c r="I251" s="6" t="str"/>
      <x:c r="J251" s="6" t="str"/>
      <x:c r="K251" s="12" t="str">
        <x:v>Source Workbook</x:v>
      </x:c>
      <x:c r="L251" s="12" t="str">
        <x:v>Nocturnix_Master_Services_Catalog_v1.xlsx | 01 - Master Services | row 290</x:v>
      </x:c>
      <x:c r="M251" s="6" t="str">
        <x:v>Unresolved</x:v>
      </x:c>
      <x:c r="N251" s="6" t="str"/>
      <x:c r="O251" s="6" t="str"/>
      <x:c r="P251" s="6" t="str">
        <x:v>Pending</x:v>
      </x:c>
      <x:c r="Q251" s="12" t="str"/>
    </x:row>
    <x:row r="252">
      <x:c r="A252" s="6" t="str">
        <x:v>LABR-000251</x:v>
      </x:c>
      <x:c r="B252" s="6" t="str">
        <x:v>SVC000251</x:v>
      </x:c>
      <x:c r="C252" s="6" t="str">
        <x:v>iPhone 14 Charge Port Replacement</x:v>
      </x:c>
      <x:c r="D252" s="6"/>
      <x:c r="E252" s="6"/>
      <x:c r="F252" s="6"/>
      <x:c r="G252" s="6"/>
      <x:c r="H252" s="6" t="str"/>
      <x:c r="I252" s="6" t="str"/>
      <x:c r="J252" s="6" t="str"/>
      <x:c r="K252" s="12" t="str">
        <x:v>Source Workbook</x:v>
      </x:c>
      <x:c r="L252" s="12" t="str">
        <x:v>Nocturnix_Master_Services_Catalog_v1.xlsx | 01 - Master Services | row 291</x:v>
      </x:c>
      <x:c r="M252" s="6" t="str">
        <x:v>Unresolved</x:v>
      </x:c>
      <x:c r="N252" s="6" t="str"/>
      <x:c r="O252" s="6" t="str"/>
      <x:c r="P252" s="6" t="str">
        <x:v>Pending</x:v>
      </x:c>
      <x:c r="Q252" s="12" t="str"/>
    </x:row>
    <x:row r="253">
      <x:c r="A253" s="6" t="str">
        <x:v>LABR-000252</x:v>
      </x:c>
      <x:c r="B253" s="6" t="str">
        <x:v>SVC000252</x:v>
      </x:c>
      <x:c r="C253" s="6" t="str">
        <x:v>iPhone 14 Plus Charge Port Replacement</x:v>
      </x:c>
      <x:c r="D253" s="6"/>
      <x:c r="E253" s="6"/>
      <x:c r="F253" s="6"/>
      <x:c r="G253" s="6"/>
      <x:c r="H253" s="6" t="str"/>
      <x:c r="I253" s="6" t="str"/>
      <x:c r="J253" s="6" t="str"/>
      <x:c r="K253" s="12" t="str">
        <x:v>Source Workbook</x:v>
      </x:c>
      <x:c r="L253" s="12" t="str">
        <x:v>Nocturnix_Master_Services_Catalog_v1.xlsx | 01 - Master Services | row 292</x:v>
      </x:c>
      <x:c r="M253" s="6" t="str">
        <x:v>Unresolved</x:v>
      </x:c>
      <x:c r="N253" s="6" t="str"/>
      <x:c r="O253" s="6" t="str"/>
      <x:c r="P253" s="6" t="str">
        <x:v>Pending</x:v>
      </x:c>
      <x:c r="Q253" s="12" t="str"/>
    </x:row>
    <x:row r="254">
      <x:c r="A254" s="6" t="str">
        <x:v>LABR-000253</x:v>
      </x:c>
      <x:c r="B254" s="6" t="str">
        <x:v>SVC000253</x:v>
      </x:c>
      <x:c r="C254" s="6" t="str">
        <x:v>iPhone 14 Pro Charge Port Replacement</x:v>
      </x:c>
      <x:c r="D254" s="6"/>
      <x:c r="E254" s="6"/>
      <x:c r="F254" s="6"/>
      <x:c r="G254" s="6"/>
      <x:c r="H254" s="6" t="str"/>
      <x:c r="I254" s="6" t="str"/>
      <x:c r="J254" s="6" t="str"/>
      <x:c r="K254" s="12" t="str">
        <x:v>Source Workbook</x:v>
      </x:c>
      <x:c r="L254" s="12" t="str">
        <x:v>Nocturnix_Master_Services_Catalog_v1.xlsx | 01 - Master Services | row 293</x:v>
      </x:c>
      <x:c r="M254" s="6" t="str">
        <x:v>Unresolved</x:v>
      </x:c>
      <x:c r="N254" s="6" t="str"/>
      <x:c r="O254" s="6" t="str"/>
      <x:c r="P254" s="6" t="str">
        <x:v>Pending</x:v>
      </x:c>
      <x:c r="Q254" s="12" t="str"/>
    </x:row>
    <x:row r="255">
      <x:c r="A255" s="6" t="str">
        <x:v>LABR-000254</x:v>
      </x:c>
      <x:c r="B255" s="6" t="str">
        <x:v>SVC000254</x:v>
      </x:c>
      <x:c r="C255" s="6" t="str">
        <x:v>iPhone 14 Pro Max Charge Port Replacement</x:v>
      </x:c>
      <x:c r="D255" s="6"/>
      <x:c r="E255" s="6"/>
      <x:c r="F255" s="6"/>
      <x:c r="G255" s="6"/>
      <x:c r="H255" s="6" t="str"/>
      <x:c r="I255" s="6" t="str"/>
      <x:c r="J255" s="6" t="str"/>
      <x:c r="K255" s="12" t="str">
        <x:v>Source Workbook</x:v>
      </x:c>
      <x:c r="L255" s="12" t="str">
        <x:v>Nocturnix_Master_Services_Catalog_v1.xlsx | 01 - Master Services | row 294</x:v>
      </x:c>
      <x:c r="M255" s="6" t="str">
        <x:v>Unresolved</x:v>
      </x:c>
      <x:c r="N255" s="6" t="str"/>
      <x:c r="O255" s="6" t="str"/>
      <x:c r="P255" s="6" t="str">
        <x:v>Pending</x:v>
      </x:c>
      <x:c r="Q255" s="12" t="str"/>
    </x:row>
    <x:row r="256">
      <x:c r="A256" s="6" t="str">
        <x:v>LABR-000255</x:v>
      </x:c>
      <x:c r="B256" s="6" t="str">
        <x:v>SVC000255</x:v>
      </x:c>
      <x:c r="C256" s="6" t="str">
        <x:v>iPhone 15 Charge Port Replacement</x:v>
      </x:c>
      <x:c r="D256" s="6"/>
      <x:c r="E256" s="6"/>
      <x:c r="F256" s="6"/>
      <x:c r="G256" s="6"/>
      <x:c r="H256" s="6" t="str"/>
      <x:c r="I256" s="6" t="str"/>
      <x:c r="J256" s="6" t="str"/>
      <x:c r="K256" s="12" t="str">
        <x:v>Source Workbook</x:v>
      </x:c>
      <x:c r="L256" s="12" t="str">
        <x:v>Nocturnix_Master_Services_Catalog_v1.xlsx | 01 - Master Services | row 295</x:v>
      </x:c>
      <x:c r="M256" s="6" t="str">
        <x:v>Unresolved</x:v>
      </x:c>
      <x:c r="N256" s="6" t="str"/>
      <x:c r="O256" s="6" t="str"/>
      <x:c r="P256" s="6" t="str">
        <x:v>Pending</x:v>
      </x:c>
      <x:c r="Q256" s="12" t="str"/>
    </x:row>
    <x:row r="257">
      <x:c r="A257" s="6" t="str">
        <x:v>LABR-000256</x:v>
      </x:c>
      <x:c r="B257" s="6" t="str">
        <x:v>SVC000256</x:v>
      </x:c>
      <x:c r="C257" s="6" t="str">
        <x:v>iPhone 15 Plus Charge Port Replacement</x:v>
      </x:c>
      <x:c r="D257" s="6"/>
      <x:c r="E257" s="6"/>
      <x:c r="F257" s="6"/>
      <x:c r="G257" s="6"/>
      <x:c r="H257" s="6" t="str"/>
      <x:c r="I257" s="6" t="str"/>
      <x:c r="J257" s="6" t="str"/>
      <x:c r="K257" s="12" t="str">
        <x:v>Source Workbook</x:v>
      </x:c>
      <x:c r="L257" s="12" t="str">
        <x:v>Nocturnix_Master_Services_Catalog_v1.xlsx | 01 - Master Services | row 296</x:v>
      </x:c>
      <x:c r="M257" s="6" t="str">
        <x:v>Unresolved</x:v>
      </x:c>
      <x:c r="N257" s="6" t="str"/>
      <x:c r="O257" s="6" t="str"/>
      <x:c r="P257" s="6" t="str">
        <x:v>Pending</x:v>
      </x:c>
      <x:c r="Q257" s="12" t="str"/>
    </x:row>
    <x:row r="258">
      <x:c r="A258" s="6" t="str">
        <x:v>LABR-000257</x:v>
      </x:c>
      <x:c r="B258" s="6" t="str">
        <x:v>SVC000257</x:v>
      </x:c>
      <x:c r="C258" s="6" t="str">
        <x:v>iPhone 15 Pro Phone Charge Port Replacement</x:v>
      </x:c>
      <x:c r="D258" s="6"/>
      <x:c r="E258" s="6"/>
      <x:c r="F258" s="6"/>
      <x:c r="G258" s="6"/>
      <x:c r="H258" s="6" t="str"/>
      <x:c r="I258" s="6" t="str"/>
      <x:c r="J258" s="6" t="str"/>
      <x:c r="K258" s="12" t="str">
        <x:v>Source Workbook</x:v>
      </x:c>
      <x:c r="L258" s="12" t="str">
        <x:v>Nocturnix_Master_Services_Catalog_v1.xlsx | 01 - Master Services | row 297</x:v>
      </x:c>
      <x:c r="M258" s="6" t="str">
        <x:v>Unresolved</x:v>
      </x:c>
      <x:c r="N258" s="6" t="str"/>
      <x:c r="O258" s="6" t="str"/>
      <x:c r="P258" s="6" t="str">
        <x:v>Pending</x:v>
      </x:c>
      <x:c r="Q258" s="12" t="str"/>
    </x:row>
    <x:row r="259">
      <x:c r="A259" s="6" t="str">
        <x:v>LABR-000258</x:v>
      </x:c>
      <x:c r="B259" s="6" t="str">
        <x:v>SVC000258</x:v>
      </x:c>
      <x:c r="C259" s="6" t="str">
        <x:v>iPhone 15 Pro Max Charge Port Replacement</x:v>
      </x:c>
      <x:c r="D259" s="6"/>
      <x:c r="E259" s="6"/>
      <x:c r="F259" s="6"/>
      <x:c r="G259" s="6"/>
      <x:c r="H259" s="6" t="str"/>
      <x:c r="I259" s="6" t="str"/>
      <x:c r="J259" s="6" t="str"/>
      <x:c r="K259" s="12" t="str">
        <x:v>Source Workbook</x:v>
      </x:c>
      <x:c r="L259" s="12" t="str">
        <x:v>Nocturnix_Master_Services_Catalog_v1.xlsx | 01 - Master Services | row 298</x:v>
      </x:c>
      <x:c r="M259" s="6" t="str">
        <x:v>Unresolved</x:v>
      </x:c>
      <x:c r="N259" s="6" t="str"/>
      <x:c r="O259" s="6" t="str"/>
      <x:c r="P259" s="6" t="str">
        <x:v>Pending</x:v>
      </x:c>
      <x:c r="Q259" s="12" t="str"/>
    </x:row>
    <x:row r="260">
      <x:c r="A260" s="6" t="str">
        <x:v>LABR-000259</x:v>
      </x:c>
      <x:c r="B260" s="6" t="str">
        <x:v>SVC000259</x:v>
      </x:c>
      <x:c r="C260" s="6" t="str">
        <x:v>iPhone 16 Charge Port Replacement</x:v>
      </x:c>
      <x:c r="D260" s="6"/>
      <x:c r="E260" s="6"/>
      <x:c r="F260" s="6"/>
      <x:c r="G260" s="6"/>
      <x:c r="H260" s="6" t="str"/>
      <x:c r="I260" s="6" t="str"/>
      <x:c r="J260" s="6" t="str"/>
      <x:c r="K260" s="12" t="str">
        <x:v>Source Workbook</x:v>
      </x:c>
      <x:c r="L260" s="12" t="str">
        <x:v>Nocturnix_Master_Services_Catalog_v1.xlsx | 01 - Master Services | row 299</x:v>
      </x:c>
      <x:c r="M260" s="6" t="str">
        <x:v>Unresolved</x:v>
      </x:c>
      <x:c r="N260" s="6" t="str"/>
      <x:c r="O260" s="6" t="str"/>
      <x:c r="P260" s="6" t="str">
        <x:v>Pending</x:v>
      </x:c>
      <x:c r="Q260" s="12" t="str"/>
    </x:row>
    <x:row r="261">
      <x:c r="A261" s="6" t="str">
        <x:v>LABR-000260</x:v>
      </x:c>
      <x:c r="B261" s="6" t="str">
        <x:v>SVC000260</x:v>
      </x:c>
      <x:c r="C261" s="6" t="str">
        <x:v>iPhone 16 Plus Charge Port Replacement</x:v>
      </x:c>
      <x:c r="D261" s="6"/>
      <x:c r="E261" s="6"/>
      <x:c r="F261" s="6"/>
      <x:c r="G261" s="6"/>
      <x:c r="H261" s="6" t="str"/>
      <x:c r="I261" s="6" t="str"/>
      <x:c r="J261" s="6" t="str"/>
      <x:c r="K261" s="12" t="str">
        <x:v>Source Workbook</x:v>
      </x:c>
      <x:c r="L261" s="12" t="str">
        <x:v>Nocturnix_Master_Services_Catalog_v1.xlsx | 01 - Master Services | row 300</x:v>
      </x:c>
      <x:c r="M261" s="6" t="str">
        <x:v>Unresolved</x:v>
      </x:c>
      <x:c r="N261" s="6" t="str"/>
      <x:c r="O261" s="6" t="str"/>
      <x:c r="P261" s="6" t="str">
        <x:v>Pending</x:v>
      </x:c>
      <x:c r="Q261" s="12" t="str"/>
    </x:row>
    <x:row r="262">
      <x:c r="A262" s="6" t="str">
        <x:v>LABR-000261</x:v>
      </x:c>
      <x:c r="B262" s="6" t="str">
        <x:v>SVC000261</x:v>
      </x:c>
      <x:c r="C262" s="6" t="str">
        <x:v>iPhone 16 Pro Charge Port Replacement</x:v>
      </x:c>
      <x:c r="D262" s="6"/>
      <x:c r="E262" s="6"/>
      <x:c r="F262" s="6"/>
      <x:c r="G262" s="6"/>
      <x:c r="H262" s="6" t="str"/>
      <x:c r="I262" s="6" t="str"/>
      <x:c r="J262" s="6" t="str"/>
      <x:c r="K262" s="12" t="str">
        <x:v>Source Workbook</x:v>
      </x:c>
      <x:c r="L262" s="12" t="str">
        <x:v>Nocturnix_Master_Services_Catalog_v1.xlsx | 01 - Master Services | row 301</x:v>
      </x:c>
      <x:c r="M262" s="6" t="str">
        <x:v>Unresolved</x:v>
      </x:c>
      <x:c r="N262" s="6" t="str"/>
      <x:c r="O262" s="6" t="str"/>
      <x:c r="P262" s="6" t="str">
        <x:v>Pending</x:v>
      </x:c>
      <x:c r="Q262" s="12" t="str"/>
    </x:row>
    <x:row r="263">
      <x:c r="A263" s="6" t="str">
        <x:v>LABR-000262</x:v>
      </x:c>
      <x:c r="B263" s="6" t="str">
        <x:v>SVC000262</x:v>
      </x:c>
      <x:c r="C263" s="6" t="str">
        <x:v>iPhone 16 Pro Max Charge Port Replacement</x:v>
      </x:c>
      <x:c r="D263" s="6"/>
      <x:c r="E263" s="6"/>
      <x:c r="F263" s="6"/>
      <x:c r="G263" s="6"/>
      <x:c r="H263" s="6" t="str"/>
      <x:c r="I263" s="6" t="str"/>
      <x:c r="J263" s="6" t="str"/>
      <x:c r="K263" s="12" t="str">
        <x:v>Source Workbook</x:v>
      </x:c>
      <x:c r="L263" s="12" t="str">
        <x:v>Nocturnix_Master_Services_Catalog_v1.xlsx | 01 - Master Services | row 302</x:v>
      </x:c>
      <x:c r="M263" s="6" t="str">
        <x:v>Unresolved</x:v>
      </x:c>
      <x:c r="N263" s="6" t="str"/>
      <x:c r="O263" s="6" t="str"/>
      <x:c r="P263" s="6" t="str">
        <x:v>Pending</x:v>
      </x:c>
      <x:c r="Q263" s="12" t="str"/>
    </x:row>
    <x:row r="264">
      <x:c r="A264" s="6" t="str">
        <x:v>LABR-000263</x:v>
      </x:c>
      <x:c r="B264" s="6" t="str">
        <x:v>SVC000263</x:v>
      </x:c>
      <x:c r="C264" s="6" t="str">
        <x:v>iPhone 16E Charge Port Replacement</x:v>
      </x:c>
      <x:c r="D264" s="6"/>
      <x:c r="E264" s="6"/>
      <x:c r="F264" s="6"/>
      <x:c r="G264" s="6"/>
      <x:c r="H264" s="6" t="str"/>
      <x:c r="I264" s="6" t="str"/>
      <x:c r="J264" s="6" t="str"/>
      <x:c r="K264" s="12" t="str">
        <x:v>Source Workbook</x:v>
      </x:c>
      <x:c r="L264" s="12" t="str">
        <x:v>Nocturnix_Master_Services_Catalog_v1.xlsx | 01 - Master Services | row 303</x:v>
      </x:c>
      <x:c r="M264" s="6" t="str">
        <x:v>Unresolved</x:v>
      </x:c>
      <x:c r="N264" s="6" t="str"/>
      <x:c r="O264" s="6" t="str"/>
      <x:c r="P264" s="6" t="str">
        <x:v>Pending</x:v>
      </x:c>
      <x:c r="Q264" s="12" t="str"/>
    </x:row>
    <x:row r="265">
      <x:c r="A265" s="6" t="str">
        <x:v>LABR-000264</x:v>
      </x:c>
      <x:c r="B265" s="6" t="str">
        <x:v>SVC000264</x:v>
      </x:c>
      <x:c r="C265" s="6" t="str">
        <x:v>iPhone 17 Charge Port Replacement</x:v>
      </x:c>
      <x:c r="D265" s="6"/>
      <x:c r="E265" s="6"/>
      <x:c r="F265" s="6"/>
      <x:c r="G265" s="6"/>
      <x:c r="H265" s="6" t="str"/>
      <x:c r="I265" s="6" t="str"/>
      <x:c r="J265" s="6" t="str"/>
      <x:c r="K265" s="12" t="str">
        <x:v>Source Workbook</x:v>
      </x:c>
      <x:c r="L265" s="12" t="str">
        <x:v>Nocturnix_Master_Services_Catalog_v1.xlsx | 01 - Master Services | row 304</x:v>
      </x:c>
      <x:c r="M265" s="6" t="str">
        <x:v>Unresolved</x:v>
      </x:c>
      <x:c r="N265" s="6" t="str"/>
      <x:c r="O265" s="6" t="str"/>
      <x:c r="P265" s="6" t="str">
        <x:v>Pending</x:v>
      </x:c>
      <x:c r="Q265" s="12" t="str"/>
    </x:row>
    <x:row r="266">
      <x:c r="A266" s="6" t="str">
        <x:v>LABR-000265</x:v>
      </x:c>
      <x:c r="B266" s="6" t="str">
        <x:v>SVC000265</x:v>
      </x:c>
      <x:c r="C266" s="6" t="str">
        <x:v>iPhone 17 Pro Charge Port Replacement</x:v>
      </x:c>
      <x:c r="D266" s="6"/>
      <x:c r="E266" s="6"/>
      <x:c r="F266" s="6"/>
      <x:c r="G266" s="6"/>
      <x:c r="H266" s="6" t="str"/>
      <x:c r="I266" s="6" t="str"/>
      <x:c r="J266" s="6" t="str"/>
      <x:c r="K266" s="12" t="str">
        <x:v>Source Workbook</x:v>
      </x:c>
      <x:c r="L266" s="12" t="str">
        <x:v>Nocturnix_Master_Services_Catalog_v1.xlsx | 01 - Master Services | row 305</x:v>
      </x:c>
      <x:c r="M266" s="6" t="str">
        <x:v>Unresolved</x:v>
      </x:c>
      <x:c r="N266" s="6" t="str"/>
      <x:c r="O266" s="6" t="str"/>
      <x:c r="P266" s="6" t="str">
        <x:v>Pending</x:v>
      </x:c>
      <x:c r="Q266" s="12" t="str"/>
    </x:row>
    <x:row r="267">
      <x:c r="A267" s="6" t="str">
        <x:v>LABR-000266</x:v>
      </x:c>
      <x:c r="B267" s="6" t="str">
        <x:v>SVC000266</x:v>
      </x:c>
      <x:c r="C267" s="6" t="str">
        <x:v>iPhone 17 Pro Max Phone* Charge Port Replacement</x:v>
      </x:c>
      <x:c r="D267" s="6"/>
      <x:c r="E267" s="6"/>
      <x:c r="F267" s="6"/>
      <x:c r="G267" s="6"/>
      <x:c r="H267" s="6" t="str"/>
      <x:c r="I267" s="6" t="str"/>
      <x:c r="J267" s="6" t="str"/>
      <x:c r="K267" s="12" t="str">
        <x:v>Source Workbook</x:v>
      </x:c>
      <x:c r="L267" s="12" t="str">
        <x:v>Nocturnix_Master_Services_Catalog_v1.xlsx | 01 - Master Services | row 306</x:v>
      </x:c>
      <x:c r="M267" s="6" t="str">
        <x:v>Unresolved</x:v>
      </x:c>
      <x:c r="N267" s="6" t="str"/>
      <x:c r="O267" s="6" t="str"/>
      <x:c r="P267" s="6" t="str">
        <x:v>Pending</x:v>
      </x:c>
      <x:c r="Q267" s="12" t="str"/>
    </x:row>
    <x:row r="268">
      <x:c r="A268" s="6" t="str">
        <x:v>LABR-000267</x:v>
      </x:c>
      <x:c r="B268" s="6" t="str">
        <x:v>SVC000267</x:v>
      </x:c>
      <x:c r="C268" s="6" t="str">
        <x:v>iPhone Air Charge Port Replacement</x:v>
      </x:c>
      <x:c r="D268" s="6"/>
      <x:c r="E268" s="6"/>
      <x:c r="F268" s="6"/>
      <x:c r="G268" s="6"/>
      <x:c r="H268" s="6" t="str"/>
      <x:c r="I268" s="6" t="str"/>
      <x:c r="J268" s="6" t="str"/>
      <x:c r="K268" s="12" t="str">
        <x:v>Source Workbook</x:v>
      </x:c>
      <x:c r="L268" s="12" t="str">
        <x:v>Nocturnix_Master_Services_Catalog_v1.xlsx | 01 - Master Services | row 307</x:v>
      </x:c>
      <x:c r="M268" s="6" t="str">
        <x:v>Unresolved</x:v>
      </x:c>
      <x:c r="N268" s="6" t="str"/>
      <x:c r="O268" s="6" t="str"/>
      <x:c r="P268" s="6" t="str">
        <x:v>Pending</x:v>
      </x:c>
      <x:c r="Q268" s="12" t="str"/>
    </x:row>
    <x:row r="269">
      <x:c r="A269" s="6" t="str">
        <x:v>LABR-000268</x:v>
      </x:c>
      <x:c r="B269" s="6" t="str">
        <x:v>SVC000268</x:v>
      </x:c>
      <x:c r="C269" s="6" t="str">
        <x:v>nan Charge Port Replacement</x:v>
      </x:c>
      <x:c r="D269" s="6"/>
      <x:c r="E269" s="6"/>
      <x:c r="F269" s="6"/>
      <x:c r="G269" s="6"/>
      <x:c r="H269" s="6" t="str"/>
      <x:c r="I269" s="6" t="str"/>
      <x:c r="J269" s="6" t="str"/>
      <x:c r="K269" s="12" t="str">
        <x:v>Source Workbook</x:v>
      </x:c>
      <x:c r="L269" s="12" t="str">
        <x:v>Nocturnix_Master_Services_Catalog_v1.xlsx | 01 - Master Services | row 308</x:v>
      </x:c>
      <x:c r="M269" s="6" t="str">
        <x:v>Unresolved</x:v>
      </x:c>
      <x:c r="N269" s="6" t="str"/>
      <x:c r="O269" s="6" t="str"/>
      <x:c r="P269" s="6" t="str">
        <x:v>Pending</x:v>
      </x:c>
      <x:c r="Q269" s="12" t="str"/>
    </x:row>
    <x:row r="270">
      <x:c r="A270" s="6" t="str">
        <x:v>LABR-000269</x:v>
      </x:c>
      <x:c r="B270" s="6" t="str">
        <x:v>SVC000269</x:v>
      </x:c>
      <x:c r="C270" s="6" t="str">
        <x:v>Galaxy S Classic Charge Port Replacement</x:v>
      </x:c>
      <x:c r="D270" s="6"/>
      <x:c r="E270" s="6"/>
      <x:c r="F270" s="6"/>
      <x:c r="G270" s="6"/>
      <x:c r="H270" s="6" t="str"/>
      <x:c r="I270" s="6" t="str"/>
      <x:c r="J270" s="6" t="str"/>
      <x:c r="K270" s="12" t="str">
        <x:v>Source Workbook</x:v>
      </x:c>
      <x:c r="L270" s="12" t="str">
        <x:v>Nocturnix_Master_Services_Catalog_v1.xlsx | 01 - Master Services | row 309</x:v>
      </x:c>
      <x:c r="M270" s="6" t="str">
        <x:v>Unresolved</x:v>
      </x:c>
      <x:c r="N270" s="6" t="str"/>
      <x:c r="O270" s="6" t="str"/>
      <x:c r="P270" s="6" t="str">
        <x:v>Pending</x:v>
      </x:c>
      <x:c r="Q270" s="12" t="str"/>
    </x:row>
    <x:row r="271">
      <x:c r="A271" s="6" t="str">
        <x:v>LABR-000270</x:v>
      </x:c>
      <x:c r="B271" s="6" t="str">
        <x:v>SVC000270</x:v>
      </x:c>
      <x:c r="C271" s="6" t="str">
        <x:v>Galaxy S2 Charge Port Replacement</x:v>
      </x:c>
      <x:c r="D271" s="6"/>
      <x:c r="E271" s="6"/>
      <x:c r="F271" s="6"/>
      <x:c r="G271" s="6"/>
      <x:c r="H271" s="6" t="str"/>
      <x:c r="I271" s="6" t="str"/>
      <x:c r="J271" s="6" t="str"/>
      <x:c r="K271" s="12" t="str">
        <x:v>Source Workbook</x:v>
      </x:c>
      <x:c r="L271" s="12" t="str">
        <x:v>Nocturnix_Master_Services_Catalog_v1.xlsx | 01 - Master Services | row 310</x:v>
      </x:c>
      <x:c r="M271" s="6" t="str">
        <x:v>Unresolved</x:v>
      </x:c>
      <x:c r="N271" s="6" t="str"/>
      <x:c r="O271" s="6" t="str"/>
      <x:c r="P271" s="6" t="str">
        <x:v>Pending</x:v>
      </x:c>
      <x:c r="Q271" s="12" t="str"/>
    </x:row>
    <x:row r="272">
      <x:c r="A272" s="6" t="str">
        <x:v>LABR-000271</x:v>
      </x:c>
      <x:c r="B272" s="6" t="str">
        <x:v>SVC000271</x:v>
      </x:c>
      <x:c r="C272" s="6" t="str">
        <x:v>Galaxy S3 Charge Port Replacement</x:v>
      </x:c>
      <x:c r="D272" s="6"/>
      <x:c r="E272" s="6"/>
      <x:c r="F272" s="6"/>
      <x:c r="G272" s="6"/>
      <x:c r="H272" s="6" t="str"/>
      <x:c r="I272" s="6" t="str"/>
      <x:c r="J272" s="6" t="str"/>
      <x:c r="K272" s="12" t="str">
        <x:v>Source Workbook</x:v>
      </x:c>
      <x:c r="L272" s="12" t="str">
        <x:v>Nocturnix_Master_Services_Catalog_v1.xlsx | 01 - Master Services | row 311</x:v>
      </x:c>
      <x:c r="M272" s="6" t="str">
        <x:v>Unresolved</x:v>
      </x:c>
      <x:c r="N272" s="6" t="str"/>
      <x:c r="O272" s="6" t="str"/>
      <x:c r="P272" s="6" t="str">
        <x:v>Pending</x:v>
      </x:c>
      <x:c r="Q272" s="12" t="str"/>
    </x:row>
    <x:row r="273">
      <x:c r="A273" s="6" t="str">
        <x:v>LABR-000272</x:v>
      </x:c>
      <x:c r="B273" s="6" t="str">
        <x:v>SVC000272</x:v>
      </x:c>
      <x:c r="C273" s="6" t="str">
        <x:v>Galaxy S3 Mini Charge Port Replacement</x:v>
      </x:c>
      <x:c r="D273" s="6"/>
      <x:c r="E273" s="6"/>
      <x:c r="F273" s="6"/>
      <x:c r="G273" s="6"/>
      <x:c r="H273" s="6" t="str"/>
      <x:c r="I273" s="6" t="str"/>
      <x:c r="J273" s="6" t="str"/>
      <x:c r="K273" s="12" t="str">
        <x:v>Source Workbook</x:v>
      </x:c>
      <x:c r="L273" s="12" t="str">
        <x:v>Nocturnix_Master_Services_Catalog_v1.xlsx | 01 - Master Services | row 312</x:v>
      </x:c>
      <x:c r="M273" s="6" t="str">
        <x:v>Unresolved</x:v>
      </x:c>
      <x:c r="N273" s="6" t="str"/>
      <x:c r="O273" s="6" t="str"/>
      <x:c r="P273" s="6" t="str">
        <x:v>Pending</x:v>
      </x:c>
      <x:c r="Q273" s="12" t="str"/>
    </x:row>
    <x:row r="274">
      <x:c r="A274" s="6" t="str">
        <x:v>LABR-000273</x:v>
      </x:c>
      <x:c r="B274" s="6" t="str">
        <x:v>SVC000273</x:v>
      </x:c>
      <x:c r="C274" s="6" t="str">
        <x:v>Galaxy S3 Neo Charge Port Replacement</x:v>
      </x:c>
      <x:c r="D274" s="6"/>
      <x:c r="E274" s="6"/>
      <x:c r="F274" s="6"/>
      <x:c r="G274" s="6"/>
      <x:c r="H274" s="6" t="str"/>
      <x:c r="I274" s="6" t="str"/>
      <x:c r="J274" s="6" t="str"/>
      <x:c r="K274" s="12" t="str">
        <x:v>Source Workbook</x:v>
      </x:c>
      <x:c r="L274" s="12" t="str">
        <x:v>Nocturnix_Master_Services_Catalog_v1.xlsx | 01 - Master Services | row 313</x:v>
      </x:c>
      <x:c r="M274" s="6" t="str">
        <x:v>Unresolved</x:v>
      </x:c>
      <x:c r="N274" s="6" t="str"/>
      <x:c r="O274" s="6" t="str"/>
      <x:c r="P274" s="6" t="str">
        <x:v>Pending</x:v>
      </x:c>
      <x:c r="Q274" s="12" t="str"/>
    </x:row>
    <x:row r="275">
      <x:c r="A275" s="6" t="str">
        <x:v>LABR-000274</x:v>
      </x:c>
      <x:c r="B275" s="6" t="str">
        <x:v>SVC000274</x:v>
      </x:c>
      <x:c r="C275" s="6" t="str">
        <x:v>Galaxy S4 Charge Port Replacement</x:v>
      </x:c>
      <x:c r="D275" s="6"/>
      <x:c r="E275" s="6"/>
      <x:c r="F275" s="6"/>
      <x:c r="G275" s="6"/>
      <x:c r="H275" s="6" t="str"/>
      <x:c r="I275" s="6" t="str"/>
      <x:c r="J275" s="6" t="str"/>
      <x:c r="K275" s="12" t="str">
        <x:v>Source Workbook</x:v>
      </x:c>
      <x:c r="L275" s="12" t="str">
        <x:v>Nocturnix_Master_Services_Catalog_v1.xlsx | 01 - Master Services | row 314</x:v>
      </x:c>
      <x:c r="M275" s="6" t="str">
        <x:v>Unresolved</x:v>
      </x:c>
      <x:c r="N275" s="6" t="str"/>
      <x:c r="O275" s="6" t="str"/>
      <x:c r="P275" s="6" t="str">
        <x:v>Pending</x:v>
      </x:c>
      <x:c r="Q275" s="12" t="str"/>
    </x:row>
    <x:row r="276">
      <x:c r="A276" s="6" t="str">
        <x:v>LABR-000275</x:v>
      </x:c>
      <x:c r="B276" s="6" t="str">
        <x:v>SVC000275</x:v>
      </x:c>
      <x:c r="C276" s="6" t="str">
        <x:v>Galaxy S 4 Mini Charge Port Replacement</x:v>
      </x:c>
      <x:c r="D276" s="6"/>
      <x:c r="E276" s="6"/>
      <x:c r="F276" s="6"/>
      <x:c r="G276" s="6"/>
      <x:c r="H276" s="6" t="str"/>
      <x:c r="I276" s="6" t="str"/>
      <x:c r="J276" s="6" t="str"/>
      <x:c r="K276" s="12" t="str">
        <x:v>Source Workbook</x:v>
      </x:c>
      <x:c r="L276" s="12" t="str">
        <x:v>Nocturnix_Master_Services_Catalog_v1.xlsx | 01 - Master Services | row 315</x:v>
      </x:c>
      <x:c r="M276" s="6" t="str">
        <x:v>Unresolved</x:v>
      </x:c>
      <x:c r="N276" s="6" t="str"/>
      <x:c r="O276" s="6" t="str"/>
      <x:c r="P276" s="6" t="str">
        <x:v>Pending</x:v>
      </x:c>
      <x:c r="Q276" s="12" t="str"/>
    </x:row>
    <x:row r="277">
      <x:c r="A277" s="6" t="str">
        <x:v>LABR-000276</x:v>
      </x:c>
      <x:c r="B277" s="6" t="str">
        <x:v>SVC000276</x:v>
      </x:c>
      <x:c r="C277" s="6" t="str">
        <x:v>Galaxy S 4 Active Charge Port Replacement</x:v>
      </x:c>
      <x:c r="D277" s="6"/>
      <x:c r="E277" s="6"/>
      <x:c r="F277" s="6"/>
      <x:c r="G277" s="6"/>
      <x:c r="H277" s="6" t="str"/>
      <x:c r="I277" s="6" t="str"/>
      <x:c r="J277" s="6" t="str"/>
      <x:c r="K277" s="12" t="str">
        <x:v>Source Workbook</x:v>
      </x:c>
      <x:c r="L277" s="12" t="str">
        <x:v>Nocturnix_Master_Services_Catalog_v1.xlsx | 01 - Master Services | row 316</x:v>
      </x:c>
      <x:c r="M277" s="6" t="str">
        <x:v>Unresolved</x:v>
      </x:c>
      <x:c r="N277" s="6" t="str"/>
      <x:c r="O277" s="6" t="str"/>
      <x:c r="P277" s="6" t="str">
        <x:v>Pending</x:v>
      </x:c>
      <x:c r="Q277" s="12" t="str"/>
    </x:row>
    <x:row r="278">
      <x:c r="A278" s="6" t="str">
        <x:v>LABR-000277</x:v>
      </x:c>
      <x:c r="B278" s="6" t="str">
        <x:v>SVC000277</x:v>
      </x:c>
      <x:c r="C278" s="6" t="str">
        <x:v>Galaxy S 5 Charge Port Replacement</x:v>
      </x:c>
      <x:c r="D278" s="6"/>
      <x:c r="E278" s="6"/>
      <x:c r="F278" s="6"/>
      <x:c r="G278" s="6"/>
      <x:c r="H278" s="6" t="str"/>
      <x:c r="I278" s="6" t="str"/>
      <x:c r="J278" s="6" t="str"/>
      <x:c r="K278" s="12" t="str">
        <x:v>Source Workbook</x:v>
      </x:c>
      <x:c r="L278" s="12" t="str">
        <x:v>Nocturnix_Master_Services_Catalog_v1.xlsx | 01 - Master Services | row 317</x:v>
      </x:c>
      <x:c r="M278" s="6" t="str">
        <x:v>Unresolved</x:v>
      </x:c>
      <x:c r="N278" s="6" t="str"/>
      <x:c r="O278" s="6" t="str"/>
      <x:c r="P278" s="6" t="str">
        <x:v>Pending</x:v>
      </x:c>
      <x:c r="Q278" s="12" t="str"/>
    </x:row>
    <x:row r="279">
      <x:c r="A279" s="6" t="str">
        <x:v>LABR-000278</x:v>
      </x:c>
      <x:c r="B279" s="6" t="str">
        <x:v>SVC000278</x:v>
      </x:c>
      <x:c r="C279" s="6" t="str">
        <x:v>Galaxy S 5 Neo Charge Port Replacement</x:v>
      </x:c>
      <x:c r="D279" s="6"/>
      <x:c r="E279" s="6"/>
      <x:c r="F279" s="6"/>
      <x:c r="G279" s="6"/>
      <x:c r="H279" s="6" t="str"/>
      <x:c r="I279" s="6" t="str"/>
      <x:c r="J279" s="6" t="str"/>
      <x:c r="K279" s="12" t="str">
        <x:v>Source Workbook</x:v>
      </x:c>
      <x:c r="L279" s="12" t="str">
        <x:v>Nocturnix_Master_Services_Catalog_v1.xlsx | 01 - Master Services | row 318</x:v>
      </x:c>
      <x:c r="M279" s="6" t="str">
        <x:v>Unresolved</x:v>
      </x:c>
      <x:c r="N279" s="6" t="str"/>
      <x:c r="O279" s="6" t="str"/>
      <x:c r="P279" s="6" t="str">
        <x:v>Pending</x:v>
      </x:c>
      <x:c r="Q279" s="12" t="str"/>
    </x:row>
    <x:row r="280">
      <x:c r="A280" s="6" t="str">
        <x:v>LABR-000279</x:v>
      </x:c>
      <x:c r="B280" s="6" t="str">
        <x:v>SVC000279</x:v>
      </x:c>
      <x:c r="C280" s="6" t="str">
        <x:v>Galaxy S 5 Active Charge Port Replacement</x:v>
      </x:c>
      <x:c r="D280" s="6"/>
      <x:c r="E280" s="6"/>
      <x:c r="F280" s="6"/>
      <x:c r="G280" s="6"/>
      <x:c r="H280" s="6" t="str"/>
      <x:c r="I280" s="6" t="str"/>
      <x:c r="J280" s="6" t="str"/>
      <x:c r="K280" s="12" t="str">
        <x:v>Source Workbook</x:v>
      </x:c>
      <x:c r="L280" s="12" t="str">
        <x:v>Nocturnix_Master_Services_Catalog_v1.xlsx | 01 - Master Services | row 319</x:v>
      </x:c>
      <x:c r="M280" s="6" t="str">
        <x:v>Unresolved</x:v>
      </x:c>
      <x:c r="N280" s="6" t="str"/>
      <x:c r="O280" s="6" t="str"/>
      <x:c r="P280" s="6" t="str">
        <x:v>Pending</x:v>
      </x:c>
      <x:c r="Q280" s="12" t="str"/>
    </x:row>
    <x:row r="281">
      <x:c r="A281" s="6" t="str">
        <x:v>LABR-000280</x:v>
      </x:c>
      <x:c r="B281" s="6" t="str">
        <x:v>SVC000280</x:v>
      </x:c>
      <x:c r="C281" s="6" t="str">
        <x:v>Galaxy S 6 Charge Port Replacement</x:v>
      </x:c>
      <x:c r="D281" s="6"/>
      <x:c r="E281" s="6"/>
      <x:c r="F281" s="6"/>
      <x:c r="G281" s="6"/>
      <x:c r="H281" s="6" t="str"/>
      <x:c r="I281" s="6" t="str"/>
      <x:c r="J281" s="6" t="str"/>
      <x:c r="K281" s="12" t="str">
        <x:v>Source Workbook</x:v>
      </x:c>
      <x:c r="L281" s="12" t="str">
        <x:v>Nocturnix_Master_Services_Catalog_v1.xlsx | 01 - Master Services | row 320</x:v>
      </x:c>
      <x:c r="M281" s="6" t="str">
        <x:v>Unresolved</x:v>
      </x:c>
      <x:c r="N281" s="6" t="str"/>
      <x:c r="O281" s="6" t="str"/>
      <x:c r="P281" s="6" t="str">
        <x:v>Pending</x:v>
      </x:c>
      <x:c r="Q281" s="12" t="str"/>
    </x:row>
    <x:row r="282">
      <x:c r="A282" s="6" t="str">
        <x:v>LABR-000281</x:v>
      </x:c>
      <x:c r="B282" s="6" t="str">
        <x:v>SVC000281</x:v>
      </x:c>
      <x:c r="C282" s="6" t="str">
        <x:v>Galaxy S 6 Edge Charge Port Replacement</x:v>
      </x:c>
      <x:c r="D282" s="6"/>
      <x:c r="E282" s="6"/>
      <x:c r="F282" s="6"/>
      <x:c r="G282" s="6"/>
      <x:c r="H282" s="6" t="str"/>
      <x:c r="I282" s="6" t="str"/>
      <x:c r="J282" s="6" t="str"/>
      <x:c r="K282" s="12" t="str">
        <x:v>Source Workbook</x:v>
      </x:c>
      <x:c r="L282" s="12" t="str">
        <x:v>Nocturnix_Master_Services_Catalog_v1.xlsx | 01 - Master Services | row 321</x:v>
      </x:c>
      <x:c r="M282" s="6" t="str">
        <x:v>Unresolved</x:v>
      </x:c>
      <x:c r="N282" s="6" t="str"/>
      <x:c r="O282" s="6" t="str"/>
      <x:c r="P282" s="6" t="str">
        <x:v>Pending</x:v>
      </x:c>
      <x:c r="Q282" s="12" t="str"/>
    </x:row>
    <x:row r="283">
      <x:c r="A283" s="6" t="str">
        <x:v>LABR-000282</x:v>
      </x:c>
      <x:c r="B283" s="6" t="str">
        <x:v>SVC000282</x:v>
      </x:c>
      <x:c r="C283" s="6" t="str">
        <x:v>Galaxy S 6 Edge Plus Charge Port Replacement</x:v>
      </x:c>
      <x:c r="D283" s="6"/>
      <x:c r="E283" s="6"/>
      <x:c r="F283" s="6"/>
      <x:c r="G283" s="6"/>
      <x:c r="H283" s="6" t="str"/>
      <x:c r="I283" s="6" t="str"/>
      <x:c r="J283" s="6" t="str"/>
      <x:c r="K283" s="12" t="str">
        <x:v>Source Workbook</x:v>
      </x:c>
      <x:c r="L283" s="12" t="str">
        <x:v>Nocturnix_Master_Services_Catalog_v1.xlsx | 01 - Master Services | row 322</x:v>
      </x:c>
      <x:c r="M283" s="6" t="str">
        <x:v>Unresolved</x:v>
      </x:c>
      <x:c r="N283" s="6" t="str"/>
      <x:c r="O283" s="6" t="str"/>
      <x:c r="P283" s="6" t="str">
        <x:v>Pending</x:v>
      </x:c>
      <x:c r="Q283" s="12" t="str"/>
    </x:row>
    <x:row r="284">
      <x:c r="A284" s="6" t="str">
        <x:v>LABR-000283</x:v>
      </x:c>
      <x:c r="B284" s="6" t="str">
        <x:v>SVC000283</x:v>
      </x:c>
      <x:c r="C284" s="6" t="str">
        <x:v>Galaxy S 6 Active Charge Port Replacement</x:v>
      </x:c>
      <x:c r="D284" s="6"/>
      <x:c r="E284" s="6"/>
      <x:c r="F284" s="6"/>
      <x:c r="G284" s="6"/>
      <x:c r="H284" s="6" t="str"/>
      <x:c r="I284" s="6" t="str"/>
      <x:c r="J284" s="6" t="str"/>
      <x:c r="K284" s="12" t="str">
        <x:v>Source Workbook</x:v>
      </x:c>
      <x:c r="L284" s="12" t="str">
        <x:v>Nocturnix_Master_Services_Catalog_v1.xlsx | 01 - Master Services | row 323</x:v>
      </x:c>
      <x:c r="M284" s="6" t="str">
        <x:v>Unresolved</x:v>
      </x:c>
      <x:c r="N284" s="6" t="str"/>
      <x:c r="O284" s="6" t="str"/>
      <x:c r="P284" s="6" t="str">
        <x:v>Pending</x:v>
      </x:c>
      <x:c r="Q284" s="12" t="str"/>
    </x:row>
    <x:row r="285">
      <x:c r="A285" s="6" t="str">
        <x:v>LABR-000284</x:v>
      </x:c>
      <x:c r="B285" s="6" t="str">
        <x:v>SVC000284</x:v>
      </x:c>
      <x:c r="C285" s="6" t="str">
        <x:v>Galaxy S 7 Charge Port Replacement</x:v>
      </x:c>
      <x:c r="D285" s="6"/>
      <x:c r="E285" s="6"/>
      <x:c r="F285" s="6"/>
      <x:c r="G285" s="6"/>
      <x:c r="H285" s="6" t="str"/>
      <x:c r="I285" s="6" t="str"/>
      <x:c r="J285" s="6" t="str"/>
      <x:c r="K285" s="12" t="str">
        <x:v>Source Workbook</x:v>
      </x:c>
      <x:c r="L285" s="12" t="str">
        <x:v>Nocturnix_Master_Services_Catalog_v1.xlsx | 01 - Master Services | row 324</x:v>
      </x:c>
      <x:c r="M285" s="6" t="str">
        <x:v>Unresolved</x:v>
      </x:c>
      <x:c r="N285" s="6" t="str"/>
      <x:c r="O285" s="6" t="str"/>
      <x:c r="P285" s="6" t="str">
        <x:v>Pending</x:v>
      </x:c>
      <x:c r="Q285" s="12" t="str"/>
    </x:row>
    <x:row r="286">
      <x:c r="A286" s="6" t="str">
        <x:v>LABR-000285</x:v>
      </x:c>
      <x:c r="B286" s="6" t="str">
        <x:v>SVC000285</x:v>
      </x:c>
      <x:c r="C286" s="6" t="str">
        <x:v>Galaxy S 7 Edge Charge Port Replacement</x:v>
      </x:c>
      <x:c r="D286" s="6"/>
      <x:c r="E286" s="6"/>
      <x:c r="F286" s="6"/>
      <x:c r="G286" s="6"/>
      <x:c r="H286" s="6" t="str"/>
      <x:c r="I286" s="6" t="str"/>
      <x:c r="J286" s="6" t="str"/>
      <x:c r="K286" s="12" t="str">
        <x:v>Source Workbook</x:v>
      </x:c>
      <x:c r="L286" s="12" t="str">
        <x:v>Nocturnix_Master_Services_Catalog_v1.xlsx | 01 - Master Services | row 325</x:v>
      </x:c>
      <x:c r="M286" s="6" t="str">
        <x:v>Unresolved</x:v>
      </x:c>
      <x:c r="N286" s="6" t="str"/>
      <x:c r="O286" s="6" t="str"/>
      <x:c r="P286" s="6" t="str">
        <x:v>Pending</x:v>
      </x:c>
      <x:c r="Q286" s="12" t="str"/>
    </x:row>
    <x:row r="287">
      <x:c r="A287" s="6" t="str">
        <x:v>LABR-000286</x:v>
      </x:c>
      <x:c r="B287" s="6" t="str">
        <x:v>SVC000286</x:v>
      </x:c>
      <x:c r="C287" s="6" t="str">
        <x:v>Galaxy S 7 Active Charge Port Replacement</x:v>
      </x:c>
      <x:c r="D287" s="6"/>
      <x:c r="E287" s="6"/>
      <x:c r="F287" s="6"/>
      <x:c r="G287" s="6"/>
      <x:c r="H287" s="6" t="str"/>
      <x:c r="I287" s="6" t="str"/>
      <x:c r="J287" s="6" t="str"/>
      <x:c r="K287" s="12" t="str">
        <x:v>Source Workbook</x:v>
      </x:c>
      <x:c r="L287" s="12" t="str">
        <x:v>Nocturnix_Master_Services_Catalog_v1.xlsx | 01 - Master Services | row 326</x:v>
      </x:c>
      <x:c r="M287" s="6" t="str">
        <x:v>Unresolved</x:v>
      </x:c>
      <x:c r="N287" s="6" t="str"/>
      <x:c r="O287" s="6" t="str"/>
      <x:c r="P287" s="6" t="str">
        <x:v>Pending</x:v>
      </x:c>
      <x:c r="Q287" s="12" t="str"/>
    </x:row>
    <x:row r="288">
      <x:c r="A288" s="6" t="str">
        <x:v>LABR-000287</x:v>
      </x:c>
      <x:c r="B288" s="6" t="str">
        <x:v>SVC000287</x:v>
      </x:c>
      <x:c r="C288" s="6" t="str">
        <x:v>Galaxy S 8 Charge Port Replacement</x:v>
      </x:c>
      <x:c r="D288" s="6"/>
      <x:c r="E288" s="6"/>
      <x:c r="F288" s="6"/>
      <x:c r="G288" s="6"/>
      <x:c r="H288" s="6" t="str"/>
      <x:c r="I288" s="6" t="str"/>
      <x:c r="J288" s="6" t="str"/>
      <x:c r="K288" s="12" t="str">
        <x:v>Source Workbook</x:v>
      </x:c>
      <x:c r="L288" s="12" t="str">
        <x:v>Nocturnix_Master_Services_Catalog_v1.xlsx | 01 - Master Services | row 327</x:v>
      </x:c>
      <x:c r="M288" s="6" t="str">
        <x:v>Unresolved</x:v>
      </x:c>
      <x:c r="N288" s="6" t="str"/>
      <x:c r="O288" s="6" t="str"/>
      <x:c r="P288" s="6" t="str">
        <x:v>Pending</x:v>
      </x:c>
      <x:c r="Q288" s="12" t="str"/>
    </x:row>
    <x:row r="289">
      <x:c r="A289" s="6" t="str">
        <x:v>LABR-000288</x:v>
      </x:c>
      <x:c r="B289" s="6" t="str">
        <x:v>SVC000288</x:v>
      </x:c>
      <x:c r="C289" s="6" t="str">
        <x:v>Galaxy S 8 Plus Charge Port Replacement</x:v>
      </x:c>
      <x:c r="D289" s="6"/>
      <x:c r="E289" s="6"/>
      <x:c r="F289" s="6"/>
      <x:c r="G289" s="6"/>
      <x:c r="H289" s="6" t="str"/>
      <x:c r="I289" s="6" t="str"/>
      <x:c r="J289" s="6" t="str"/>
      <x:c r="K289" s="12" t="str">
        <x:v>Source Workbook</x:v>
      </x:c>
      <x:c r="L289" s="12" t="str">
        <x:v>Nocturnix_Master_Services_Catalog_v1.xlsx | 01 - Master Services | row 328</x:v>
      </x:c>
      <x:c r="M289" s="6" t="str">
        <x:v>Unresolved</x:v>
      </x:c>
      <x:c r="N289" s="6" t="str"/>
      <x:c r="O289" s="6" t="str"/>
      <x:c r="P289" s="6" t="str">
        <x:v>Pending</x:v>
      </x:c>
      <x:c r="Q289" s="12" t="str"/>
    </x:row>
    <x:row r="290">
      <x:c r="A290" s="6" t="str">
        <x:v>LABR-000289</x:v>
      </x:c>
      <x:c r="B290" s="6" t="str">
        <x:v>SVC000289</x:v>
      </x:c>
      <x:c r="C290" s="6" t="str">
        <x:v>Galaxy S 8 Active Charge Port Replacement</x:v>
      </x:c>
      <x:c r="D290" s="6"/>
      <x:c r="E290" s="6"/>
      <x:c r="F290" s="6"/>
      <x:c r="G290" s="6"/>
      <x:c r="H290" s="6" t="str"/>
      <x:c r="I290" s="6" t="str"/>
      <x:c r="J290" s="6" t="str"/>
      <x:c r="K290" s="12" t="str">
        <x:v>Source Workbook</x:v>
      </x:c>
      <x:c r="L290" s="12" t="str">
        <x:v>Nocturnix_Master_Services_Catalog_v1.xlsx | 01 - Master Services | row 329</x:v>
      </x:c>
      <x:c r="M290" s="6" t="str">
        <x:v>Unresolved</x:v>
      </x:c>
      <x:c r="N290" s="6" t="str"/>
      <x:c r="O290" s="6" t="str"/>
      <x:c r="P290" s="6" t="str">
        <x:v>Pending</x:v>
      </x:c>
      <x:c r="Q290" s="12" t="str"/>
    </x:row>
    <x:row r="291">
      <x:c r="A291" s="6" t="str">
        <x:v>LABR-000290</x:v>
      </x:c>
      <x:c r="B291" s="6" t="str">
        <x:v>SVC000290</x:v>
      </x:c>
      <x:c r="C291" s="6" t="str">
        <x:v>Galaxy S 9 Charge Port Replacement</x:v>
      </x:c>
      <x:c r="D291" s="6"/>
      <x:c r="E291" s="6"/>
      <x:c r="F291" s="6"/>
      <x:c r="G291" s="6"/>
      <x:c r="H291" s="6" t="str"/>
      <x:c r="I291" s="6" t="str"/>
      <x:c r="J291" s="6" t="str"/>
      <x:c r="K291" s="12" t="str">
        <x:v>Source Workbook</x:v>
      </x:c>
      <x:c r="L291" s="12" t="str">
        <x:v>Nocturnix_Master_Services_Catalog_v1.xlsx | 01 - Master Services | row 330</x:v>
      </x:c>
      <x:c r="M291" s="6" t="str">
        <x:v>Unresolved</x:v>
      </x:c>
      <x:c r="N291" s="6" t="str"/>
      <x:c r="O291" s="6" t="str"/>
      <x:c r="P291" s="6" t="str">
        <x:v>Pending</x:v>
      </x:c>
      <x:c r="Q291" s="12" t="str"/>
    </x:row>
    <x:row r="292">
      <x:c r="A292" s="6" t="str">
        <x:v>LABR-000291</x:v>
      </x:c>
      <x:c r="B292" s="6" t="str">
        <x:v>SVC000291</x:v>
      </x:c>
      <x:c r="C292" s="6" t="str">
        <x:v>Galaxy S 9 Plus Charge Port Replacement</x:v>
      </x:c>
      <x:c r="D292" s="6"/>
      <x:c r="E292" s="6"/>
      <x:c r="F292" s="6"/>
      <x:c r="G292" s="6"/>
      <x:c r="H292" s="6" t="str"/>
      <x:c r="I292" s="6" t="str"/>
      <x:c r="J292" s="6" t="str"/>
      <x:c r="K292" s="12" t="str">
        <x:v>Source Workbook</x:v>
      </x:c>
      <x:c r="L292" s="12" t="str">
        <x:v>Nocturnix_Master_Services_Catalog_v1.xlsx | 01 - Master Services | row 331</x:v>
      </x:c>
      <x:c r="M292" s="6" t="str">
        <x:v>Unresolved</x:v>
      </x:c>
      <x:c r="N292" s="6" t="str"/>
      <x:c r="O292" s="6" t="str"/>
      <x:c r="P292" s="6" t="str">
        <x:v>Pending</x:v>
      </x:c>
      <x:c r="Q292" s="12" t="str"/>
    </x:row>
    <x:row r="293">
      <x:c r="A293" s="6" t="str">
        <x:v>LABR-000292</x:v>
      </x:c>
      <x:c r="B293" s="6" t="str">
        <x:v>SVC000292</x:v>
      </x:c>
      <x:c r="C293" s="6" t="str">
        <x:v>Galaxy S 10 Charge Port Replacement</x:v>
      </x:c>
      <x:c r="D293" s="6"/>
      <x:c r="E293" s="6"/>
      <x:c r="F293" s="6"/>
      <x:c r="G293" s="6"/>
      <x:c r="H293" s="6" t="str"/>
      <x:c r="I293" s="6" t="str"/>
      <x:c r="J293" s="6" t="str"/>
      <x:c r="K293" s="12" t="str">
        <x:v>Source Workbook</x:v>
      </x:c>
      <x:c r="L293" s="12" t="str">
        <x:v>Nocturnix_Master_Services_Catalog_v1.xlsx | 01 - Master Services | row 332</x:v>
      </x:c>
      <x:c r="M293" s="6" t="str">
        <x:v>Unresolved</x:v>
      </x:c>
      <x:c r="N293" s="6" t="str"/>
      <x:c r="O293" s="6" t="str"/>
      <x:c r="P293" s="6" t="str">
        <x:v>Pending</x:v>
      </x:c>
      <x:c r="Q293" s="12" t="str"/>
    </x:row>
    <x:row r="294">
      <x:c r="A294" s="6" t="str">
        <x:v>LABR-000293</x:v>
      </x:c>
      <x:c r="B294" s="6" t="str">
        <x:v>SVC000293</x:v>
      </x:c>
      <x:c r="C294" s="6" t="str">
        <x:v>Galaxy S 10 Plus Charge Port Replacement</x:v>
      </x:c>
      <x:c r="D294" s="6"/>
      <x:c r="E294" s="6"/>
      <x:c r="F294" s="6"/>
      <x:c r="G294" s="6"/>
      <x:c r="H294" s="6" t="str"/>
      <x:c r="I294" s="6" t="str"/>
      <x:c r="J294" s="6" t="str"/>
      <x:c r="K294" s="12" t="str">
        <x:v>Source Workbook</x:v>
      </x:c>
      <x:c r="L294" s="12" t="str">
        <x:v>Nocturnix_Master_Services_Catalog_v1.xlsx | 01 - Master Services | row 333</x:v>
      </x:c>
      <x:c r="M294" s="6" t="str">
        <x:v>Unresolved</x:v>
      </x:c>
      <x:c r="N294" s="6" t="str"/>
      <x:c r="O294" s="6" t="str"/>
      <x:c r="P294" s="6" t="str">
        <x:v>Pending</x:v>
      </x:c>
      <x:c r="Q294" s="12" t="str"/>
    </x:row>
    <x:row r="295">
      <x:c r="A295" s="6" t="str">
        <x:v>LABR-000294</x:v>
      </x:c>
      <x:c r="B295" s="6" t="str">
        <x:v>SVC000294</x:v>
      </x:c>
      <x:c r="C295" s="6" t="str">
        <x:v>Galaxy S 10 E Charge Port Replacement</x:v>
      </x:c>
      <x:c r="D295" s="6"/>
      <x:c r="E295" s="6"/>
      <x:c r="F295" s="6"/>
      <x:c r="G295" s="6"/>
      <x:c r="H295" s="6" t="str"/>
      <x:c r="I295" s="6" t="str"/>
      <x:c r="J295" s="6" t="str"/>
      <x:c r="K295" s="12" t="str">
        <x:v>Source Workbook</x:v>
      </x:c>
      <x:c r="L295" s="12" t="str">
        <x:v>Nocturnix_Master_Services_Catalog_v1.xlsx | 01 - Master Services | row 334</x:v>
      </x:c>
      <x:c r="M295" s="6" t="str">
        <x:v>Unresolved</x:v>
      </x:c>
      <x:c r="N295" s="6" t="str"/>
      <x:c r="O295" s="6" t="str"/>
      <x:c r="P295" s="6" t="str">
        <x:v>Pending</x:v>
      </x:c>
      <x:c r="Q295" s="12" t="str"/>
    </x:row>
    <x:row r="296">
      <x:c r="A296" s="6" t="str">
        <x:v>LABR-000295</x:v>
      </x:c>
      <x:c r="B296" s="6" t="str">
        <x:v>SVC000295</x:v>
      </x:c>
      <x:c r="C296" s="6" t="str">
        <x:v>Galaxy Note 8 Charge Port Replacement</x:v>
      </x:c>
      <x:c r="D296" s="6"/>
      <x:c r="E296" s="6"/>
      <x:c r="F296" s="6"/>
      <x:c r="G296" s="6"/>
      <x:c r="H296" s="6" t="str"/>
      <x:c r="I296" s="6" t="str"/>
      <x:c r="J296" s="6" t="str"/>
      <x:c r="K296" s="12" t="str">
        <x:v>Source Workbook</x:v>
      </x:c>
      <x:c r="L296" s="12" t="str">
        <x:v>Nocturnix_Master_Services_Catalog_v1.xlsx | 01 - Master Services | row 335</x:v>
      </x:c>
      <x:c r="M296" s="6" t="str">
        <x:v>Unresolved</x:v>
      </x:c>
      <x:c r="N296" s="6" t="str"/>
      <x:c r="O296" s="6" t="str"/>
      <x:c r="P296" s="6" t="str">
        <x:v>Pending</x:v>
      </x:c>
      <x:c r="Q296" s="12" t="str"/>
    </x:row>
    <x:row r="297">
      <x:c r="A297" s="6" t="str">
        <x:v>LABR-000296</x:v>
      </x:c>
      <x:c r="B297" s="6" t="str">
        <x:v>SVC000296</x:v>
      </x:c>
      <x:c r="C297" s="6" t="str">
        <x:v>Galaxy Note 9 Charge Port Replacement</x:v>
      </x:c>
      <x:c r="D297" s="6"/>
      <x:c r="E297" s="6"/>
      <x:c r="F297" s="6"/>
      <x:c r="G297" s="6"/>
      <x:c r="H297" s="6" t="str"/>
      <x:c r="I297" s="6" t="str"/>
      <x:c r="J297" s="6" t="str"/>
      <x:c r="K297" s="12" t="str">
        <x:v>Source Workbook</x:v>
      </x:c>
      <x:c r="L297" s="12" t="str">
        <x:v>Nocturnix_Master_Services_Catalog_v1.xlsx | 01 - Master Services | row 336</x:v>
      </x:c>
      <x:c r="M297" s="6" t="str">
        <x:v>Unresolved</x:v>
      </x:c>
      <x:c r="N297" s="6" t="str"/>
      <x:c r="O297" s="6" t="str"/>
      <x:c r="P297" s="6" t="str">
        <x:v>Pending</x:v>
      </x:c>
      <x:c r="Q297" s="12" t="str"/>
    </x:row>
    <x:row r="298">
      <x:c r="A298" s="6" t="str">
        <x:v>LABR-000297</x:v>
      </x:c>
      <x:c r="B298" s="6" t="str">
        <x:v>SVC000297</x:v>
      </x:c>
      <x:c r="C298" s="6" t="str">
        <x:v>Galaxy Note 10 Plus Charge Port Replacement</x:v>
      </x:c>
      <x:c r="D298" s="6"/>
      <x:c r="E298" s="6"/>
      <x:c r="F298" s="6"/>
      <x:c r="G298" s="6"/>
      <x:c r="H298" s="6" t="str"/>
      <x:c r="I298" s="6" t="str"/>
      <x:c r="J298" s="6" t="str"/>
      <x:c r="K298" s="12" t="str">
        <x:v>Source Workbook</x:v>
      </x:c>
      <x:c r="L298" s="12" t="str">
        <x:v>Nocturnix_Master_Services_Catalog_v1.xlsx | 01 - Master Services | row 337</x:v>
      </x:c>
      <x:c r="M298" s="6" t="str">
        <x:v>Unresolved</x:v>
      </x:c>
      <x:c r="N298" s="6" t="str"/>
      <x:c r="O298" s="6" t="str"/>
      <x:c r="P298" s="6" t="str">
        <x:v>Pending</x:v>
      </x:c>
      <x:c r="Q298" s="12" t="str"/>
    </x:row>
    <x:row r="299">
      <x:c r="A299" s="6" t="str">
        <x:v>LABR-000298</x:v>
      </x:c>
      <x:c r="B299" s="6" t="str">
        <x:v>SVC000298</x:v>
      </x:c>
      <x:c r="C299" s="6" t="str">
        <x:v>Galaxy S 20 Charge Port Replacement</x:v>
      </x:c>
      <x:c r="D299" s="6"/>
      <x:c r="E299" s="6"/>
      <x:c r="F299" s="6"/>
      <x:c r="G299" s="6"/>
      <x:c r="H299" s="6" t="str"/>
      <x:c r="I299" s="6" t="str"/>
      <x:c r="J299" s="6" t="str"/>
      <x:c r="K299" s="12" t="str">
        <x:v>Source Workbook</x:v>
      </x:c>
      <x:c r="L299" s="12" t="str">
        <x:v>Nocturnix_Master_Services_Catalog_v1.xlsx | 01 - Master Services | row 338</x:v>
      </x:c>
      <x:c r="M299" s="6" t="str">
        <x:v>Unresolved</x:v>
      </x:c>
      <x:c r="N299" s="6" t="str"/>
      <x:c r="O299" s="6" t="str"/>
      <x:c r="P299" s="6" t="str">
        <x:v>Pending</x:v>
      </x:c>
      <x:c r="Q299" s="12" t="str"/>
    </x:row>
    <x:row r="300">
      <x:c r="A300" s="6" t="str">
        <x:v>LABR-000299</x:v>
      </x:c>
      <x:c r="B300" s="6" t="str">
        <x:v>SVC000299</x:v>
      </x:c>
      <x:c r="C300" s="6" t="str">
        <x:v>Galaxy S 20 Plus Charge Port Replacement</x:v>
      </x:c>
      <x:c r="D300" s="6"/>
      <x:c r="E300" s="6"/>
      <x:c r="F300" s="6"/>
      <x:c r="G300" s="6"/>
      <x:c r="H300" s="6" t="str"/>
      <x:c r="I300" s="6" t="str"/>
      <x:c r="J300" s="6" t="str"/>
      <x:c r="K300" s="12" t="str">
        <x:v>Source Workbook</x:v>
      </x:c>
      <x:c r="L300" s="12" t="str">
        <x:v>Nocturnix_Master_Services_Catalog_v1.xlsx | 01 - Master Services | row 339</x:v>
      </x:c>
      <x:c r="M300" s="6" t="str">
        <x:v>Unresolved</x:v>
      </x:c>
      <x:c r="N300" s="6" t="str"/>
      <x:c r="O300" s="6" t="str"/>
      <x:c r="P300" s="6" t="str">
        <x:v>Pending</x:v>
      </x:c>
      <x:c r="Q300" s="12" t="str"/>
    </x:row>
    <x:row r="301">
      <x:c r="A301" s="6" t="str">
        <x:v>LABR-000300</x:v>
      </x:c>
      <x:c r="B301" s="6" t="str">
        <x:v>SVC000300</x:v>
      </x:c>
      <x:c r="C301" s="6" t="str">
        <x:v>Galaxy S 20 Ultra Charge Port Replacement</x:v>
      </x:c>
      <x:c r="D301" s="6"/>
      <x:c r="E301" s="6"/>
      <x:c r="F301" s="6"/>
      <x:c r="G301" s="6"/>
      <x:c r="H301" s="6" t="str"/>
      <x:c r="I301" s="6" t="str"/>
      <x:c r="J301" s="6" t="str"/>
      <x:c r="K301" s="12" t="str">
        <x:v>Source Workbook</x:v>
      </x:c>
      <x:c r="L301" s="12" t="str">
        <x:v>Nocturnix_Master_Services_Catalog_v1.xlsx | 01 - Master Services | row 340</x:v>
      </x:c>
      <x:c r="M301" s="6" t="str">
        <x:v>Unresolved</x:v>
      </x:c>
      <x:c r="N301" s="6" t="str"/>
      <x:c r="O301" s="6" t="str"/>
      <x:c r="P301" s="6" t="str">
        <x:v>Pending</x:v>
      </x:c>
      <x:c r="Q301" s="12" t="str"/>
    </x:row>
    <x:row r="302">
      <x:c r="A302" s="6" t="str">
        <x:v>LABR-000301</x:v>
      </x:c>
      <x:c r="B302" s="6" t="str">
        <x:v>SVC000301</x:v>
      </x:c>
      <x:c r="C302" s="6" t="str">
        <x:v>Galaxy S 20 FE Charge Port Replacement</x:v>
      </x:c>
      <x:c r="D302" s="6"/>
      <x:c r="E302" s="6"/>
      <x:c r="F302" s="6"/>
      <x:c r="G302" s="6"/>
      <x:c r="H302" s="6" t="str"/>
      <x:c r="I302" s="6" t="str"/>
      <x:c r="J302" s="6" t="str"/>
      <x:c r="K302" s="12" t="str">
        <x:v>Source Workbook</x:v>
      </x:c>
      <x:c r="L302" s="12" t="str">
        <x:v>Nocturnix_Master_Services_Catalog_v1.xlsx | 01 - Master Services | row 341</x:v>
      </x:c>
      <x:c r="M302" s="6" t="str">
        <x:v>Unresolved</x:v>
      </x:c>
      <x:c r="N302" s="6" t="str"/>
      <x:c r="O302" s="6" t="str"/>
      <x:c r="P302" s="6" t="str">
        <x:v>Pending</x:v>
      </x:c>
      <x:c r="Q302" s="12" t="str"/>
    </x:row>
    <x:row r="303">
      <x:c r="A303" s="6" t="str">
        <x:v>LABR-000302</x:v>
      </x:c>
      <x:c r="B303" s="6" t="str">
        <x:v>SVC000302</x:v>
      </x:c>
      <x:c r="C303" s="6" t="str">
        <x:v>Galaxy S 21 Charge Port Replacement</x:v>
      </x:c>
      <x:c r="D303" s="6"/>
      <x:c r="E303" s="6"/>
      <x:c r="F303" s="6"/>
      <x:c r="G303" s="6"/>
      <x:c r="H303" s="6" t="str"/>
      <x:c r="I303" s="6" t="str"/>
      <x:c r="J303" s="6" t="str"/>
      <x:c r="K303" s="12" t="str">
        <x:v>Source Workbook</x:v>
      </x:c>
      <x:c r="L303" s="12" t="str">
        <x:v>Nocturnix_Master_Services_Catalog_v1.xlsx | 01 - Master Services | row 342</x:v>
      </x:c>
      <x:c r="M303" s="6" t="str">
        <x:v>Unresolved</x:v>
      </x:c>
      <x:c r="N303" s="6" t="str"/>
      <x:c r="O303" s="6" t="str"/>
      <x:c r="P303" s="6" t="str">
        <x:v>Pending</x:v>
      </x:c>
      <x:c r="Q303" s="12" t="str"/>
    </x:row>
    <x:row r="304">
      <x:c r="A304" s="6" t="str">
        <x:v>LABR-000303</x:v>
      </x:c>
      <x:c r="B304" s="6" t="str">
        <x:v>SVC000303</x:v>
      </x:c>
      <x:c r="C304" s="6" t="str">
        <x:v>Galaxy S 21 Plus Charge Port Replacement</x:v>
      </x:c>
      <x:c r="D304" s="6"/>
      <x:c r="E304" s="6"/>
      <x:c r="F304" s="6"/>
      <x:c r="G304" s="6"/>
      <x:c r="H304" s="6" t="str"/>
      <x:c r="I304" s="6" t="str"/>
      <x:c r="J304" s="6" t="str"/>
      <x:c r="K304" s="12" t="str">
        <x:v>Source Workbook</x:v>
      </x:c>
      <x:c r="L304" s="12" t="str">
        <x:v>Nocturnix_Master_Services_Catalog_v1.xlsx | 01 - Master Services | row 343</x:v>
      </x:c>
      <x:c r="M304" s="6" t="str">
        <x:v>Unresolved</x:v>
      </x:c>
      <x:c r="N304" s="6" t="str"/>
      <x:c r="O304" s="6" t="str"/>
      <x:c r="P304" s="6" t="str">
        <x:v>Pending</x:v>
      </x:c>
      <x:c r="Q304" s="12" t="str"/>
    </x:row>
    <x:row r="305">
      <x:c r="A305" s="6" t="str">
        <x:v>LABR-000304</x:v>
      </x:c>
      <x:c r="B305" s="6" t="str">
        <x:v>SVC000304</x:v>
      </x:c>
      <x:c r="C305" s="6" t="str">
        <x:v>Galaxy S 21 FE Charge Port Replacement</x:v>
      </x:c>
      <x:c r="D305" s="6"/>
      <x:c r="E305" s="6"/>
      <x:c r="F305" s="6"/>
      <x:c r="G305" s="6"/>
      <x:c r="H305" s="6" t="str"/>
      <x:c r="I305" s="6" t="str"/>
      <x:c r="J305" s="6" t="str"/>
      <x:c r="K305" s="12" t="str">
        <x:v>Source Workbook</x:v>
      </x:c>
      <x:c r="L305" s="12" t="str">
        <x:v>Nocturnix_Master_Services_Catalog_v1.xlsx | 01 - Master Services | row 344</x:v>
      </x:c>
      <x:c r="M305" s="6" t="str">
        <x:v>Unresolved</x:v>
      </x:c>
      <x:c r="N305" s="6" t="str"/>
      <x:c r="O305" s="6" t="str"/>
      <x:c r="P305" s="6" t="str">
        <x:v>Pending</x:v>
      </x:c>
      <x:c r="Q305" s="12" t="str"/>
    </x:row>
    <x:row r="306">
      <x:c r="A306" s="6" t="str">
        <x:v>LABR-000305</x:v>
      </x:c>
      <x:c r="B306" s="6" t="str">
        <x:v>SVC000305</x:v>
      </x:c>
      <x:c r="C306" s="6" t="str">
        <x:v>Galaxy S 22 Charge Port Replacement</x:v>
      </x:c>
      <x:c r="D306" s="6"/>
      <x:c r="E306" s="6"/>
      <x:c r="F306" s="6"/>
      <x:c r="G306" s="6"/>
      <x:c r="H306" s="6" t="str"/>
      <x:c r="I306" s="6" t="str"/>
      <x:c r="J306" s="6" t="str"/>
      <x:c r="K306" s="12" t="str">
        <x:v>Source Workbook</x:v>
      </x:c>
      <x:c r="L306" s="12" t="str">
        <x:v>Nocturnix_Master_Services_Catalog_v1.xlsx | 01 - Master Services | row 345</x:v>
      </x:c>
      <x:c r="M306" s="6" t="str">
        <x:v>Unresolved</x:v>
      </x:c>
      <x:c r="N306" s="6" t="str"/>
      <x:c r="O306" s="6" t="str"/>
      <x:c r="P306" s="6" t="str">
        <x:v>Pending</x:v>
      </x:c>
      <x:c r="Q306" s="12" t="str"/>
    </x:row>
    <x:row r="307">
      <x:c r="A307" s="6" t="str">
        <x:v>LABR-000306</x:v>
      </x:c>
      <x:c r="B307" s="6" t="str">
        <x:v>SVC000306</x:v>
      </x:c>
      <x:c r="C307" s="6" t="str">
        <x:v>Galaxy S 22 Plus Charge Port Replacement</x:v>
      </x:c>
      <x:c r="D307" s="6"/>
      <x:c r="E307" s="6"/>
      <x:c r="F307" s="6"/>
      <x:c r="G307" s="6"/>
      <x:c r="H307" s="6" t="str"/>
      <x:c r="I307" s="6" t="str"/>
      <x:c r="J307" s="6" t="str"/>
      <x:c r="K307" s="12" t="str">
        <x:v>Source Workbook</x:v>
      </x:c>
      <x:c r="L307" s="12" t="str">
        <x:v>Nocturnix_Master_Services_Catalog_v1.xlsx | 01 - Master Services | row 346</x:v>
      </x:c>
      <x:c r="M307" s="6" t="str">
        <x:v>Unresolved</x:v>
      </x:c>
      <x:c r="N307" s="6" t="str"/>
      <x:c r="O307" s="6" t="str"/>
      <x:c r="P307" s="6" t="str">
        <x:v>Pending</x:v>
      </x:c>
      <x:c r="Q307" s="12" t="str"/>
    </x:row>
    <x:row r="308">
      <x:c r="A308" s="6" t="str">
        <x:v>LABR-000307</x:v>
      </x:c>
      <x:c r="B308" s="6" t="str">
        <x:v>SVC000307</x:v>
      </x:c>
      <x:c r="C308" s="6" t="str">
        <x:v>Galaxy S 22 Ultra Charge Port Replacement</x:v>
      </x:c>
      <x:c r="D308" s="6"/>
      <x:c r="E308" s="6"/>
      <x:c r="F308" s="6"/>
      <x:c r="G308" s="6"/>
      <x:c r="H308" s="6" t="str"/>
      <x:c r="I308" s="6" t="str"/>
      <x:c r="J308" s="6" t="str"/>
      <x:c r="K308" s="12" t="str">
        <x:v>Source Workbook</x:v>
      </x:c>
      <x:c r="L308" s="12" t="str">
        <x:v>Nocturnix_Master_Services_Catalog_v1.xlsx | 01 - Master Services | row 347</x:v>
      </x:c>
      <x:c r="M308" s="6" t="str">
        <x:v>Unresolved</x:v>
      </x:c>
      <x:c r="N308" s="6" t="str"/>
      <x:c r="O308" s="6" t="str"/>
      <x:c r="P308" s="6" t="str">
        <x:v>Pending</x:v>
      </x:c>
      <x:c r="Q308" s="12" t="str"/>
    </x:row>
    <x:row r="309">
      <x:c r="A309" s="6" t="str">
        <x:v>LABR-000308</x:v>
      </x:c>
      <x:c r="B309" s="6" t="str">
        <x:v>SVC000308</x:v>
      </x:c>
      <x:c r="C309" s="6" t="str">
        <x:v>Galaxy S 23 Charge Port Replacement</x:v>
      </x:c>
      <x:c r="D309" s="6"/>
      <x:c r="E309" s="6"/>
      <x:c r="F309" s="6"/>
      <x:c r="G309" s="6"/>
      <x:c r="H309" s="6" t="str"/>
      <x:c r="I309" s="6" t="str"/>
      <x:c r="J309" s="6" t="str"/>
      <x:c r="K309" s="12" t="str">
        <x:v>Source Workbook</x:v>
      </x:c>
      <x:c r="L309" s="12" t="str">
        <x:v>Nocturnix_Master_Services_Catalog_v1.xlsx | 01 - Master Services | row 348</x:v>
      </x:c>
      <x:c r="M309" s="6" t="str">
        <x:v>Unresolved</x:v>
      </x:c>
      <x:c r="N309" s="6" t="str"/>
      <x:c r="O309" s="6" t="str"/>
      <x:c r="P309" s="6" t="str">
        <x:v>Pending</x:v>
      </x:c>
      <x:c r="Q309" s="12" t="str"/>
    </x:row>
    <x:row r="310">
      <x:c r="A310" s="6" t="str">
        <x:v>LABR-000309</x:v>
      </x:c>
      <x:c r="B310" s="6" t="str">
        <x:v>SVC000309</x:v>
      </x:c>
      <x:c r="C310" s="6" t="str">
        <x:v>Galaxy S 23 Plus Charge Port Replacement</x:v>
      </x:c>
      <x:c r="D310" s="6"/>
      <x:c r="E310" s="6"/>
      <x:c r="F310" s="6"/>
      <x:c r="G310" s="6"/>
      <x:c r="H310" s="6" t="str"/>
      <x:c r="I310" s="6" t="str"/>
      <x:c r="J310" s="6" t="str"/>
      <x:c r="K310" s="12" t="str">
        <x:v>Source Workbook</x:v>
      </x:c>
      <x:c r="L310" s="12" t="str">
        <x:v>Nocturnix_Master_Services_Catalog_v1.xlsx | 01 - Master Services | row 349</x:v>
      </x:c>
      <x:c r="M310" s="6" t="str">
        <x:v>Unresolved</x:v>
      </x:c>
      <x:c r="N310" s="6" t="str"/>
      <x:c r="O310" s="6" t="str"/>
      <x:c r="P310" s="6" t="str">
        <x:v>Pending</x:v>
      </x:c>
      <x:c r="Q310" s="12" t="str"/>
    </x:row>
    <x:row r="311">
      <x:c r="A311" s="6" t="str">
        <x:v>LABR-000310</x:v>
      </x:c>
      <x:c r="B311" s="6" t="str">
        <x:v>SVC000310</x:v>
      </x:c>
      <x:c r="C311" s="6" t="str">
        <x:v>Galaxy S 23 Ultra Charge Port Replacement</x:v>
      </x:c>
      <x:c r="D311" s="6"/>
      <x:c r="E311" s="6"/>
      <x:c r="F311" s="6"/>
      <x:c r="G311" s="6"/>
      <x:c r="H311" s="6" t="str"/>
      <x:c r="I311" s="6" t="str"/>
      <x:c r="J311" s="6" t="str"/>
      <x:c r="K311" s="12" t="str">
        <x:v>Source Workbook</x:v>
      </x:c>
      <x:c r="L311" s="12" t="str">
        <x:v>Nocturnix_Master_Services_Catalog_v1.xlsx | 01 - Master Services | row 350</x:v>
      </x:c>
      <x:c r="M311" s="6" t="str">
        <x:v>Unresolved</x:v>
      </x:c>
      <x:c r="N311" s="6" t="str"/>
      <x:c r="O311" s="6" t="str"/>
      <x:c r="P311" s="6" t="str">
        <x:v>Pending</x:v>
      </x:c>
      <x:c r="Q311" s="12" t="str"/>
    </x:row>
    <x:row r="312">
      <x:c r="A312" s="6" t="str">
        <x:v>LABR-000311</x:v>
      </x:c>
      <x:c r="B312" s="6" t="str">
        <x:v>SVC000311</x:v>
      </x:c>
      <x:c r="C312" s="6" t="str">
        <x:v>Galaxy S 23 FE Charge Port Replacement</x:v>
      </x:c>
      <x:c r="D312" s="6"/>
      <x:c r="E312" s="6"/>
      <x:c r="F312" s="6"/>
      <x:c r="G312" s="6"/>
      <x:c r="H312" s="6" t="str"/>
      <x:c r="I312" s="6" t="str"/>
      <x:c r="J312" s="6" t="str"/>
      <x:c r="K312" s="12" t="str">
        <x:v>Source Workbook</x:v>
      </x:c>
      <x:c r="L312" s="12" t="str">
        <x:v>Nocturnix_Master_Services_Catalog_v1.xlsx | 01 - Master Services | row 351</x:v>
      </x:c>
      <x:c r="M312" s="6" t="str">
        <x:v>Unresolved</x:v>
      </x:c>
      <x:c r="N312" s="6" t="str"/>
      <x:c r="O312" s="6" t="str"/>
      <x:c r="P312" s="6" t="str">
        <x:v>Pending</x:v>
      </x:c>
      <x:c r="Q312" s="12" t="str"/>
    </x:row>
    <x:row r="313">
      <x:c r="A313" s="6" t="str">
        <x:v>LABR-000312</x:v>
      </x:c>
      <x:c r="B313" s="6" t="str">
        <x:v>SVC000312</x:v>
      </x:c>
      <x:c r="C313" s="6" t="str">
        <x:v>Galaxy S 24 Charge Port Replacement</x:v>
      </x:c>
      <x:c r="D313" s="6"/>
      <x:c r="E313" s="6"/>
      <x:c r="F313" s="6"/>
      <x:c r="G313" s="6"/>
      <x:c r="H313" s="6" t="str"/>
      <x:c r="I313" s="6" t="str"/>
      <x:c r="J313" s="6" t="str"/>
      <x:c r="K313" s="12" t="str">
        <x:v>Source Workbook</x:v>
      </x:c>
      <x:c r="L313" s="12" t="str">
        <x:v>Nocturnix_Master_Services_Catalog_v1.xlsx | 01 - Master Services | row 352</x:v>
      </x:c>
      <x:c r="M313" s="6" t="str">
        <x:v>Unresolved</x:v>
      </x:c>
      <x:c r="N313" s="6" t="str"/>
      <x:c r="O313" s="6" t="str"/>
      <x:c r="P313" s="6" t="str">
        <x:v>Pending</x:v>
      </x:c>
      <x:c r="Q313" s="12" t="str"/>
    </x:row>
    <x:row r="314">
      <x:c r="A314" s="6" t="str">
        <x:v>LABR-000313</x:v>
      </x:c>
      <x:c r="B314" s="6" t="str">
        <x:v>SVC000313</x:v>
      </x:c>
      <x:c r="C314" s="6" t="str">
        <x:v>Galaxy S 24 Plus Charge Port Replacement</x:v>
      </x:c>
      <x:c r="D314" s="6"/>
      <x:c r="E314" s="6"/>
      <x:c r="F314" s="6"/>
      <x:c r="G314" s="6"/>
      <x:c r="H314" s="6" t="str"/>
      <x:c r="I314" s="6" t="str"/>
      <x:c r="J314" s="6" t="str"/>
      <x:c r="K314" s="12" t="str">
        <x:v>Source Workbook</x:v>
      </x:c>
      <x:c r="L314" s="12" t="str">
        <x:v>Nocturnix_Master_Services_Catalog_v1.xlsx | 01 - Master Services | row 353</x:v>
      </x:c>
      <x:c r="M314" s="6" t="str">
        <x:v>Unresolved</x:v>
      </x:c>
      <x:c r="N314" s="6" t="str"/>
      <x:c r="O314" s="6" t="str"/>
      <x:c r="P314" s="6" t="str">
        <x:v>Pending</x:v>
      </x:c>
      <x:c r="Q314" s="12" t="str"/>
    </x:row>
    <x:row r="315">
      <x:c r="A315" s="6" t="str">
        <x:v>LABR-000314</x:v>
      </x:c>
      <x:c r="B315" s="6" t="str">
        <x:v>SVC000314</x:v>
      </x:c>
      <x:c r="C315" s="6" t="str">
        <x:v>Galaxy S 24 Ultra Charge Port Replacement</x:v>
      </x:c>
      <x:c r="D315" s="6"/>
      <x:c r="E315" s="6"/>
      <x:c r="F315" s="6"/>
      <x:c r="G315" s="6"/>
      <x:c r="H315" s="6" t="str"/>
      <x:c r="I315" s="6" t="str"/>
      <x:c r="J315" s="6" t="str"/>
      <x:c r="K315" s="12" t="str">
        <x:v>Source Workbook</x:v>
      </x:c>
      <x:c r="L315" s="12" t="str">
        <x:v>Nocturnix_Master_Services_Catalog_v1.xlsx | 01 - Master Services | row 354</x:v>
      </x:c>
      <x:c r="M315" s="6" t="str">
        <x:v>Unresolved</x:v>
      </x:c>
      <x:c r="N315" s="6" t="str"/>
      <x:c r="O315" s="6" t="str"/>
      <x:c r="P315" s="6" t="str">
        <x:v>Pending</x:v>
      </x:c>
      <x:c r="Q315" s="12" t="str"/>
    </x:row>
  </x:sheetData>
  <x:dataValidations count="4">
    <x:dataValidation type="list" sqref="K2:K315">
      <x:formula1>"Source Workbook,Registry,Reviewer Evidence,Manual Research,Unsupported Observation,Not Provided"</x:formula1>
    </x:dataValidation>
    <x:dataValidation type="list" sqref="M2:M315">
      <x:formula1>"Confirm Current Identity,Propose Identity Change,Keep Separate,Suspected Duplicate,Reject Source Record,Escalate,Unresolved"</x:formula1>
    </x:dataValidation>
    <x:dataValidation type="list" sqref="P2:P315">
      <x:formula1>"Pending,Approved,Rejected,Escalated,Not Approved"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e637a3669b45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5" hidden="0" customWidth="1"/>
    <x:col min="2" max="2" width="17.5" hidden="0" customWidth="1"/>
    <x:col min="3" max="3" width="27.25" hidden="0" customWidth="1"/>
    <x:col min="4" max="4" width="81.62999725341797" hidden="0" customWidth="1"/>
    <x:col min="5" max="5" width="27.25" hidden="0" customWidth="1"/>
    <x:col min="6" max="6" width="71.25" hidden="0" customWidth="1"/>
    <x:col min="7" max="7" width="20.6299991607666" hidden="0" customWidth="1"/>
    <x:col min="8" max="8" width="81.62999725341797" hidden="0" customWidth="1"/>
    <x:col min="9" max="9" width="13.380000114440918" hidden="0" customWidth="1"/>
    <x:col min="10" max="10" width="14.75" hidden="0" customWidth="1"/>
    <x:col min="11" max="11" width="45.880001068115234" hidden="0" customWidth="1"/>
    <x:col min="12" max="12" width="19.25" hidden="0" customWidth="1"/>
    <x:col min="13" max="13" width="18.1299991607666" hidden="0" customWidth="1"/>
    <x:col min="14" max="14" width="17.5" hidden="0" customWidth="1"/>
    <x:col min="15" max="15" width="17" hidden="0" customWidth="1"/>
    <x:col min="16" max="16" width="14.25" hidden="0" customWidth="1"/>
    <x:col min="17" max="17" width="14.880000114440918" hidden="0" customWidth="1"/>
    <x:col min="18" max="18" width="12.380000114440918" hidden="0" customWidth="1"/>
    <x:col min="19" max="19" width="25.75" hidden="0" customWidth="1"/>
    <x:col min="20" max="20" width="7.630000114440918" hidden="0" customWidth="1"/>
  </x:cols>
  <x:sheetData>
    <x:row r="1">
      <x:c r="A1" s="5" t="str">
        <x:v>Duplicate Review ID</x:v>
      </x:c>
      <x:c r="B1" s="5" t="str">
        <x:v>Duplicate Group ID</x:v>
      </x:c>
      <x:c r="C1" s="5" t="str">
        <x:v>Service IDs</x:v>
      </x:c>
      <x:c r="D1" s="5" t="str">
        <x:v>Service Names</x:v>
      </x:c>
      <x:c r="E1" s="5" t="str">
        <x:v>Source Service IDs</x:v>
      </x:c>
      <x:c r="F1" s="5" t="str">
        <x:v>Normalized Names</x:v>
      </x:c>
      <x:c r="G1" s="5" t="str">
        <x:v>Manufacturer Evidence</x:v>
      </x:c>
      <x:c r="H1" s="5" t="str">
        <x:v>Device Evidence</x:v>
      </x:c>
      <x:c r="I1" s="5" t="str">
        <x:v>Part Evidence</x:v>
      </x:c>
      <x:c r="J1" s="5" t="str">
        <x:v>Labor Evidence</x:v>
      </x:c>
      <x:c r="K1" s="5" t="str">
        <x:v>Duplicate Reason</x:v>
      </x:c>
      <x:c r="L1" s="5" t="str">
        <x:v>Proposed Disposition</x:v>
      </x:c>
      <x:c r="M1" s="5" t="str">
        <x:v>Surviving Service ID</x:v>
      </x:c>
      <x:c r="N1" s="5" t="str">
        <x:v>Retired Service IDs</x:v>
      </x:c>
      <x:c r="O1" s="5" t="str">
        <x:v>Reviewer Decision</x:v>
      </x:c>
      <x:c r="P1" s="5" t="str">
        <x:v>Decision Basis</x:v>
      </x:c>
      <x:c r="Q1" s="5" t="str">
        <x:v>Reviewer Name</x:v>
      </x:c>
      <x:c r="R1" s="5" t="str">
        <x:v>Review Date</x:v>
      </x:c>
      <x:c r="S1" s="5" t="str">
        <x:v>Second-Level Approval Status</x:v>
      </x:c>
      <x:c r="T1" s="5" t="str">
        <x:v>Notes</x:v>
      </x:c>
    </x:row>
    <x:row r="2">
      <x:c r="A2" s="6" t="str">
        <x:v>DUPR-000001</x:v>
      </x:c>
      <x:c r="B2" s="6" t="str">
        <x:v>DUP000001</x:v>
      </x:c>
      <x:c r="C2" s="6" t="str">
        <x:v>SVC000008; SVC000086; SVC000087</x:v>
      </x:c>
      <x:c r="D2" s="12" t="str">
        <x:v>iPhone 6 Screen replacement; iPhone 6+ Screen replacement; iPhone 6 Screen replacement</x:v>
      </x:c>
      <x:c r="E2" s="6" t="str">
        <x:v>SVC000083; SVC000161; SVC000162</x:v>
      </x:c>
      <x:c r="F2" s="12" t="str">
        <x:v>iphone 6 screen replacement|repair|iphone screen repair|iphone 6 screen replacement</x:v>
      </x:c>
      <x:c r="G2" s="12" t="str">
        <x:v>; ; </x:v>
      </x:c>
      <x:c r="H2" s="12" t="str">
        <x:v>iPhone 6 Screen replacement; iPhone 6+ Screen replacement; iPhone 6 Screen replacement</x:v>
      </x:c>
      <x:c r="I2" s="12" t="str">
        <x:v>; ; </x:v>
      </x:c>
      <x:c r="J2" s="12" t="str">
        <x:v>; ; </x:v>
      </x:c>
      <x:c r="K2" s="6" t="str">
        <x:v>Exact normalized service identity fields match multiple records.</x:v>
      </x:c>
      <x:c r="L2" s="6" t="str">
        <x:v>Unresolved</x:v>
      </x:c>
      <x:c r="M2" s="6" t="str"/>
      <x:c r="N2" s="6" t="str"/>
      <x:c r="O2" s="6" t="str">
        <x:v>Unresolved</x:v>
      </x:c>
      <x:c r="P2" s="12" t="str"/>
      <x:c r="Q2" s="6" t="str"/>
      <x:c r="R2" s="6" t="str"/>
      <x:c r="S2" s="6" t="str">
        <x:v>Pending</x:v>
      </x:c>
      <x:c r="T2" s="12" t="str"/>
    </x:row>
    <x:row r="3">
      <x:c r="A3" s="6" t="str">
        <x:v>DUPR-000002</x:v>
      </x:c>
      <x:c r="B3" s="6" t="str">
        <x:v>DUP000002</x:v>
      </x:c>
      <x:c r="C3" s="6" t="str">
        <x:v>SVC000009; SVC000088; SVC000089</x:v>
      </x:c>
      <x:c r="D3" s="12" t="str">
        <x:v>iPhone 6S+ Screen replacement; iPhone 6S+ Screen replacement; iPhone 6S Screen replacement</x:v>
      </x:c>
      <x:c r="E3" s="6" t="str">
        <x:v>SVC000084; SVC000163; SVC000164</x:v>
      </x:c>
      <x:c r="F3" s="12" t="str">
        <x:v>iphone 6s screen replacement|repair|iphone screen repair|iphone 6s screen replacement</x:v>
      </x:c>
      <x:c r="G3" s="12" t="str">
        <x:v>; ; </x:v>
      </x:c>
      <x:c r="H3" s="12" t="str">
        <x:v>iPhone 6S+ Screen replacement; iPhone 6S+ Screen replacement; iPhone 6S Screen replacement</x:v>
      </x:c>
      <x:c r="I3" s="12" t="str">
        <x:v>; ; </x:v>
      </x:c>
      <x:c r="J3" s="12" t="str">
        <x:v>; ; </x:v>
      </x:c>
      <x:c r="K3" s="6" t="str">
        <x:v>Exact normalized service identity fields match multiple records.</x:v>
      </x:c>
      <x:c r="L3" s="6" t="str">
        <x:v>Unresolved</x:v>
      </x:c>
      <x:c r="M3" s="6" t="str"/>
      <x:c r="N3" s="6" t="str"/>
      <x:c r="O3" s="6" t="str">
        <x:v>Unresolved</x:v>
      </x:c>
      <x:c r="P3" s="12" t="str"/>
      <x:c r="Q3" s="6" t="str"/>
      <x:c r="R3" s="6" t="str"/>
      <x:c r="S3" s="6" t="str">
        <x:v>Pending</x:v>
      </x:c>
      <x:c r="T3" s="12" t="str"/>
    </x:row>
    <x:row r="4">
      <x:c r="A4" s="6" t="str">
        <x:v>DUPR-000003</x:v>
      </x:c>
      <x:c r="B4" s="6" t="str">
        <x:v>DUP000003</x:v>
      </x:c>
      <x:c r="C4" s="6" t="str">
        <x:v>SVC000090; SVC000091</x:v>
      </x:c>
      <x:c r="D4" s="12" t="str">
        <x:v>iPhone 7+ Screen replacement; iPhone 7 Screen replacement</x:v>
      </x:c>
      <x:c r="E4" s="6" t="str">
        <x:v>SVC000165; SVC000166</x:v>
      </x:c>
      <x:c r="F4" s="12" t="str">
        <x:v>iphone 7 screen replacement|repair|iphone screen repair|iphone 7 screen replacement</x:v>
      </x:c>
      <x:c r="G4" s="12" t="str">
        <x:v>; </x:v>
      </x:c>
      <x:c r="H4" s="12" t="str">
        <x:v>iPhone 7+ Screen replacement; iPhone 7 Screen replacement</x:v>
      </x:c>
      <x:c r="I4" s="12" t="str">
        <x:v>; </x:v>
      </x:c>
      <x:c r="J4" s="12" t="str">
        <x:v>; </x:v>
      </x:c>
      <x:c r="K4" s="6" t="str">
        <x:v>Exact normalized service identity fields match multiple records.</x:v>
      </x:c>
      <x:c r="L4" s="6" t="str">
        <x:v>Unresolved</x:v>
      </x:c>
      <x:c r="M4" s="6" t="str"/>
      <x:c r="N4" s="6" t="str"/>
      <x:c r="O4" s="6" t="str">
        <x:v>Unresolved</x:v>
      </x:c>
      <x:c r="P4" s="12" t="str"/>
      <x:c r="Q4" s="6" t="str"/>
      <x:c r="R4" s="6" t="str"/>
      <x:c r="S4" s="6" t="str">
        <x:v>Pending</x:v>
      </x:c>
      <x:c r="T4" s="12" t="str"/>
    </x:row>
    <x:row r="5">
      <x:c r="A5" s="6" t="str">
        <x:v>DUPR-000004</x:v>
      </x:c>
      <x:c r="B5" s="6" t="str">
        <x:v>DUP000004</x:v>
      </x:c>
      <x:c r="C5" s="6" t="str">
        <x:v>SVC000092; SVC000093</x:v>
      </x:c>
      <x:c r="D5" s="12" t="str">
        <x:v>iPhone 8+ Screen replacement; iPhone 8 Screen replacement</x:v>
      </x:c>
      <x:c r="E5" s="6" t="str">
        <x:v>SVC000167; SVC000168</x:v>
      </x:c>
      <x:c r="F5" s="12" t="str">
        <x:v>iphone 8 screen replacement|repair|iphone screen repair|iphone 8 screen replacement</x:v>
      </x:c>
      <x:c r="G5" s="12" t="str">
        <x:v>; </x:v>
      </x:c>
      <x:c r="H5" s="12" t="str">
        <x:v>iPhone 8+ Screen replacement; iPhone 8 Screen replacement</x:v>
      </x:c>
      <x:c r="I5" s="12" t="str">
        <x:v>; </x:v>
      </x:c>
      <x:c r="J5" s="12" t="str">
        <x:v>; </x:v>
      </x:c>
      <x:c r="K5" s="6" t="str">
        <x:v>Exact normalized service identity fields match multiple records.</x:v>
      </x:c>
      <x:c r="L5" s="6" t="str">
        <x:v>Unresolved</x:v>
      </x:c>
      <x:c r="M5" s="6" t="str"/>
      <x:c r="N5" s="6" t="str"/>
      <x:c r="O5" s="6" t="str">
        <x:v>Unresolved</x:v>
      </x:c>
      <x:c r="P5" s="12" t="str"/>
      <x:c r="Q5" s="6" t="str"/>
      <x:c r="R5" s="6" t="str"/>
      <x:c r="S5" s="6" t="str">
        <x:v>Pending</x:v>
      </x:c>
      <x:c r="T5" s="12" t="str"/>
    </x:row>
    <x:row r="6">
      <x:c r="A6" s="6" t="str">
        <x:v>DUPR-000005</x:v>
      </x:c>
      <x:c r="B6" s="6" t="str">
        <x:v>DUP000005</x:v>
      </x:c>
      <x:c r="C6" s="6" t="str">
        <x:v>SVC000101; SVC000102; SVC000103</x:v>
      </x:c>
      <x:c r="D6" s="12" t="str">
        <x:v>iPhone 4S Screen replacement; iPhone 4S Screen replacement; iPhone 4S Screen replacement</x:v>
      </x:c>
      <x:c r="E6" s="6" t="str">
        <x:v>SVC000176; SVC000177; SVC000178</x:v>
      </x:c>
      <x:c r="F6" s="12" t="str">
        <x:v>iphone 4s screen replacement|repair|iphone screen repair|iphone 4s screen replacement</x:v>
      </x:c>
      <x:c r="G6" s="12" t="str">
        <x:v>; ; </x:v>
      </x:c>
      <x:c r="H6" s="12" t="str">
        <x:v>iPhone 4S Screen replacement; iPhone 4S Screen replacement; iPhone 4S Screen replacement</x:v>
      </x:c>
      <x:c r="I6" s="12" t="str">
        <x:v>; ; </x:v>
      </x:c>
      <x:c r="J6" s="12" t="str">
        <x:v>; ; </x:v>
      </x:c>
      <x:c r="K6" s="6" t="str">
        <x:v>Exact normalized service identity fields match multiple records.</x:v>
      </x:c>
      <x:c r="L6" s="6" t="str">
        <x:v>Unresolved</x:v>
      </x:c>
      <x:c r="M6" s="6" t="str"/>
      <x:c r="N6" s="6" t="str"/>
      <x:c r="O6" s="6" t="str">
        <x:v>Unresolved</x:v>
      </x:c>
      <x:c r="P6" s="12" t="str"/>
      <x:c r="Q6" s="6" t="str"/>
      <x:c r="R6" s="6" t="str"/>
      <x:c r="S6" s="6" t="str">
        <x:v>Pending</x:v>
      </x:c>
      <x:c r="T6" s="12" t="str"/>
    </x:row>
    <x:row r="7">
      <x:c r="A7" s="6" t="str">
        <x:v>DUPR-000006</x:v>
      </x:c>
      <x:c r="B7" s="6" t="str">
        <x:v>DUP000006</x:v>
      </x:c>
      <x:c r="C7" s="6" t="str">
        <x:v>SVC000167; SVC000202</x:v>
      </x:c>
      <x:c r="D7" s="12" t="str">
        <x:v>iPhone 7+ Battery Replacement; iPhone 7 Battery Replacement</x:v>
      </x:c>
      <x:c r="E7" s="6" t="str">
        <x:v>SVC000242; SVC000277</x:v>
      </x:c>
      <x:c r="F7" s="12" t="str">
        <x:v>iphone 7 battery replacement|repair|miscellaneous repair|iphone 7 battery replacement</x:v>
      </x:c>
      <x:c r="G7" s="12" t="str">
        <x:v>; </x:v>
      </x:c>
      <x:c r="H7" s="12" t="str">
        <x:v>iPhone 7+ Battery Replacement; iPhone 7 Battery Replacement</x:v>
      </x:c>
      <x:c r="I7" s="12" t="str">
        <x:v>; </x:v>
      </x:c>
      <x:c r="J7" s="12" t="str">
        <x:v>; </x:v>
      </x:c>
      <x:c r="K7" s="6" t="str">
        <x:v>Exact normalized service identity fields match multiple records.</x:v>
      </x:c>
      <x:c r="L7" s="6" t="str">
        <x:v>Unresolved</x:v>
      </x:c>
      <x:c r="M7" s="6" t="str"/>
      <x:c r="N7" s="6" t="str"/>
      <x:c r="O7" s="6" t="str">
        <x:v>Unresolved</x:v>
      </x:c>
      <x:c r="P7" s="12" t="str"/>
      <x:c r="Q7" s="6" t="str"/>
      <x:c r="R7" s="6" t="str"/>
      <x:c r="S7" s="6" t="str">
        <x:v>Pending</x:v>
      </x:c>
      <x:c r="T7" s="12" t="str"/>
    </x:row>
    <x:row r="8">
      <x:c r="A8" s="6" t="str">
        <x:v>DUPR-000007</x:v>
      </x:c>
      <x:c r="B8" s="6" t="str">
        <x:v>DUP000007</x:v>
      </x:c>
      <x:c r="C8" s="6" t="str">
        <x:v>SVC000170; SVC000203; SVC000204</x:v>
      </x:c>
      <x:c r="D8" s="12" t="str">
        <x:v>iPhone 4S Battery Replacement; iPhone 4S Battery Replacement; iPhone 4S Battery Replacement</x:v>
      </x:c>
      <x:c r="E8" s="6" t="str">
        <x:v>SVC000245; SVC000278; SVC000279</x:v>
      </x:c>
      <x:c r="F8" s="12" t="str">
        <x:v>iphone 4s battery replacement|repair|miscellaneous repair|iphone 4s battery replacement</x:v>
      </x:c>
      <x:c r="G8" s="12" t="str">
        <x:v>; ; </x:v>
      </x:c>
      <x:c r="H8" s="12" t="str">
        <x:v>iPhone 4S Battery Replacement; iPhone 4S Battery Replacement; iPhone 4S Battery Replacement</x:v>
      </x:c>
      <x:c r="I8" s="12" t="str">
        <x:v>; ; </x:v>
      </x:c>
      <x:c r="J8" s="12" t="str">
        <x:v>; ; </x:v>
      </x:c>
      <x:c r="K8" s="6" t="str">
        <x:v>Exact normalized service identity fields match multiple records.</x:v>
      </x:c>
      <x:c r="L8" s="6" t="str">
        <x:v>Unresolved</x:v>
      </x:c>
      <x:c r="M8" s="6" t="str"/>
      <x:c r="N8" s="6" t="str"/>
      <x:c r="O8" s="6" t="str">
        <x:v>Unresolved</x:v>
      </x:c>
      <x:c r="P8" s="12" t="str"/>
      <x:c r="Q8" s="6" t="str"/>
      <x:c r="R8" s="6" t="str"/>
      <x:c r="S8" s="6" t="str">
        <x:v>Pending</x:v>
      </x:c>
      <x:c r="T8" s="12" t="str"/>
    </x:row>
    <x:row r="9">
      <x:c r="A9" s="6" t="str">
        <x:v>DUPR-000008</x:v>
      </x:c>
      <x:c r="B9" s="6" t="str">
        <x:v>DUP000008</x:v>
      </x:c>
      <x:c r="C9" s="6" t="str">
        <x:v>SVC000173; SVC000175</x:v>
      </x:c>
      <x:c r="D9" s="12" t="str">
        <x:v>iPhone 8+ Battery Replacement; iPhone 8 Battery Replacement</x:v>
      </x:c>
      <x:c r="E9" s="6" t="str">
        <x:v>SVC000248; SVC000250</x:v>
      </x:c>
      <x:c r="F9" s="12" t="str">
        <x:v>iphone 8 battery replacement|repair|miscellaneous repair|iphone 8 battery replacement</x:v>
      </x:c>
      <x:c r="G9" s="12" t="str">
        <x:v>; </x:v>
      </x:c>
      <x:c r="H9" s="12" t="str">
        <x:v>iPhone 8+ Battery Replacement; iPhone 8 Battery Replacement</x:v>
      </x:c>
      <x:c r="I9" s="12" t="str">
        <x:v>; </x:v>
      </x:c>
      <x:c r="J9" s="12" t="str">
        <x:v>; </x:v>
      </x:c>
      <x:c r="K9" s="6" t="str">
        <x:v>Exact normalized service identity fields match multiple records.</x:v>
      </x:c>
      <x:c r="L9" s="6" t="str">
        <x:v>Unresolved</x:v>
      </x:c>
      <x:c r="M9" s="6" t="str"/>
      <x:c r="N9" s="6" t="str"/>
      <x:c r="O9" s="6" t="str">
        <x:v>Unresolved</x:v>
      </x:c>
      <x:c r="P9" s="12" t="str"/>
      <x:c r="Q9" s="6" t="str"/>
      <x:c r="R9" s="6" t="str"/>
      <x:c r="S9" s="6" t="str">
        <x:v>Pending</x:v>
      </x:c>
      <x:c r="T9" s="12" t="str"/>
    </x:row>
    <x:row r="10">
      <x:c r="A10" s="6" t="str">
        <x:v>DUPR-000009</x:v>
      </x:c>
      <x:c r="B10" s="6" t="str">
        <x:v>DUP000009</x:v>
      </x:c>
      <x:c r="C10" s="6" t="str">
        <x:v>SVC000174; SVC000176; SVC000177</x:v>
      </x:c>
      <x:c r="D10" s="12" t="str">
        <x:v>iPhone 6S Battery Replacement; iPhone 6S+ Battery Replacement; iPhone 6S+ Battery Replacement</x:v>
      </x:c>
      <x:c r="E10" s="6" t="str">
        <x:v>SVC000249; SVC000251; SVC000252</x:v>
      </x:c>
      <x:c r="F10" s="12" t="str">
        <x:v>iphone 6s battery replacement|repair|miscellaneous repair|iphone 6s battery replacement</x:v>
      </x:c>
      <x:c r="G10" s="12" t="str">
        <x:v>; ; </x:v>
      </x:c>
      <x:c r="H10" s="12" t="str">
        <x:v>iPhone 6S Battery Replacement; iPhone 6S+ Battery Replacement; iPhone 6S+ Battery Replacement</x:v>
      </x:c>
      <x:c r="I10" s="12" t="str">
        <x:v>; ; </x:v>
      </x:c>
      <x:c r="J10" s="12" t="str">
        <x:v>; ; </x:v>
      </x:c>
      <x:c r="K10" s="6" t="str">
        <x:v>Exact normalized service identity fields match multiple records.</x:v>
      </x:c>
      <x:c r="L10" s="6" t="str">
        <x:v>Unresolved</x:v>
      </x:c>
      <x:c r="M10" s="6" t="str"/>
      <x:c r="N10" s="6" t="str"/>
      <x:c r="O10" s="6" t="str">
        <x:v>Unresolved</x:v>
      </x:c>
      <x:c r="P10" s="12" t="str"/>
      <x:c r="Q10" s="6" t="str"/>
      <x:c r="R10" s="6" t="str"/>
      <x:c r="S10" s="6" t="str">
        <x:v>Pending</x:v>
      </x:c>
      <x:c r="T10" s="12" t="str"/>
    </x:row>
    <x:row r="11">
      <x:c r="A11" s="6" t="str">
        <x:v>DUPR-000010</x:v>
      </x:c>
      <x:c r="B11" s="6" t="str">
        <x:v>DUP000010</x:v>
      </x:c>
      <x:c r="C11" s="6" t="str">
        <x:v>SVC000180; SVC000206; SVC000207</x:v>
      </x:c>
      <x:c r="D11" s="12" t="str">
        <x:v>iPhone 6+ Battery Replacement; iPhone 6 Battery Replacement; iPhone 6 Battery Replacement</x:v>
      </x:c>
      <x:c r="E11" s="6" t="str">
        <x:v>SVC000255; SVC000281; SVC000282</x:v>
      </x:c>
      <x:c r="F11" s="12" t="str">
        <x:v>iphone 6 battery replacement|repair|miscellaneous repair|iphone 6 battery replacement</x:v>
      </x:c>
      <x:c r="G11" s="12" t="str">
        <x:v>; ; </x:v>
      </x:c>
      <x:c r="H11" s="12" t="str">
        <x:v>iPhone 6+ Battery Replacement; iPhone 6 Battery Replacement; iPhone 6 Battery Replacement</x:v>
      </x:c>
      <x:c r="I11" s="12" t="str">
        <x:v>; ; </x:v>
      </x:c>
      <x:c r="J11" s="12" t="str">
        <x:v>; ; </x:v>
      </x:c>
      <x:c r="K11" s="6" t="str">
        <x:v>Exact normalized service identity fields match multiple records.</x:v>
      </x:c>
      <x:c r="L11" s="6" t="str">
        <x:v>Unresolved</x:v>
      </x:c>
      <x:c r="M11" s="6" t="str"/>
      <x:c r="N11" s="6" t="str"/>
      <x:c r="O11" s="6" t="str">
        <x:v>Unresolved</x:v>
      </x:c>
      <x:c r="P11" s="12" t="str"/>
      <x:c r="Q11" s="6" t="str"/>
      <x:c r="R11" s="6" t="str"/>
      <x:c r="S11" s="6" t="str">
        <x:v>Pending</x:v>
      </x:c>
      <x:c r="T11" s="12" t="str"/>
    </x:row>
    <x:row r="12">
      <x:c r="A12" s="6" t="str">
        <x:v>DUPR-000011</x:v>
      </x:c>
      <x:c r="B12" s="6" t="str">
        <x:v>DUP000011</x:v>
      </x:c>
      <x:c r="C12" s="6" t="str">
        <x:v>SVC000217; SVC000218; SVC000219</x:v>
      </x:c>
      <x:c r="D12" s="12" t="str">
        <x:v>iPhone 4S Charge Port Replacement; iPhone 4S Charge Port Replacement; iPhone 4S Charge Port Replacement</x:v>
      </x:c>
      <x:c r="E12" s="6" t="str">
        <x:v>SVC000292; SVC000293; SVC000294</x:v>
      </x:c>
      <x:c r="F12" s="12" t="str">
        <x:v>iphone 4s charge port replacement|repair|miscellaneous repair|iphone 4s charge port replacement</x:v>
      </x:c>
      <x:c r="G12" s="12" t="str">
        <x:v>; ; </x:v>
      </x:c>
      <x:c r="H12" s="12" t="str">
        <x:v>iPhone 4S Charge Port Replacement; iPhone 4S Charge Port Replacement; iPhone 4S Charge Port Replacement</x:v>
      </x:c>
      <x:c r="I12" s="12" t="str">
        <x:v>; ; </x:v>
      </x:c>
      <x:c r="J12" s="12" t="str">
        <x:v>; ; </x:v>
      </x:c>
      <x:c r="K12" s="6" t="str">
        <x:v>Exact normalized service identity fields match multiple records.</x:v>
      </x:c>
      <x:c r="L12" s="6" t="str">
        <x:v>Unresolved</x:v>
      </x:c>
      <x:c r="M12" s="6" t="str"/>
      <x:c r="N12" s="6" t="str"/>
      <x:c r="O12" s="6" t="str">
        <x:v>Unresolved</x:v>
      </x:c>
      <x:c r="P12" s="12" t="str"/>
      <x:c r="Q12" s="6" t="str"/>
      <x:c r="R12" s="6" t="str"/>
      <x:c r="S12" s="6" t="str">
        <x:v>Pending</x:v>
      </x:c>
      <x:c r="T12" s="12" t="str"/>
    </x:row>
    <x:row r="13">
      <x:c r="A13" s="6" t="str">
        <x:v>DUPR-000012</x:v>
      </x:c>
      <x:c r="B13" s="6" t="str">
        <x:v>DUP000012</x:v>
      </x:c>
      <x:c r="C13" s="6" t="str">
        <x:v>SVC000223; SVC000224</x:v>
      </x:c>
      <x:c r="D13" s="12" t="str">
        <x:v>iPhone 6 Charge Port Replacement; iPhone 6+ Charge Port Replacement</x:v>
      </x:c>
      <x:c r="E13" s="6" t="str">
        <x:v>SVC000298; SVC000299</x:v>
      </x:c>
      <x:c r="F13" s="12" t="str">
        <x:v>iphone 6 charge port replacement|repair|miscellaneous repair|iphone 6 charge port replacement</x:v>
      </x:c>
      <x:c r="G13" s="12" t="str">
        <x:v>; </x:v>
      </x:c>
      <x:c r="H13" s="12" t="str">
        <x:v>iPhone 6 Charge Port Replacement; iPhone 6+ Charge Port Replacement</x:v>
      </x:c>
      <x:c r="I13" s="12" t="str">
        <x:v>; </x:v>
      </x:c>
      <x:c r="J13" s="12" t="str">
        <x:v>; </x:v>
      </x:c>
      <x:c r="K13" s="6" t="str">
        <x:v>Exact normalized service identity fields match multiple records.</x:v>
      </x:c>
      <x:c r="L13" s="6" t="str">
        <x:v>Unresolved</x:v>
      </x:c>
      <x:c r="M13" s="6" t="str"/>
      <x:c r="N13" s="6" t="str"/>
      <x:c r="O13" s="6" t="str">
        <x:v>Unresolved</x:v>
      </x:c>
      <x:c r="P13" s="12" t="str"/>
      <x:c r="Q13" s="6" t="str"/>
      <x:c r="R13" s="6" t="str"/>
      <x:c r="S13" s="6" t="str">
        <x:v>Pending</x:v>
      </x:c>
      <x:c r="T13" s="12" t="str"/>
    </x:row>
    <x:row r="14">
      <x:c r="A14" s="6" t="str">
        <x:v>DUPR-000013</x:v>
      </x:c>
      <x:c r="B14" s="6" t="str">
        <x:v>DUP000013</x:v>
      </x:c>
      <x:c r="C14" s="6" t="str">
        <x:v>SVC000225; SVC000226; SVC000227</x:v>
      </x:c>
      <x:c r="D14" s="12" t="str">
        <x:v>iPhone 6S Charge Port Replacement; iPhone 6S+ Charge Port Replacement; iPhone 6S+ Charge Port Replacement</x:v>
      </x:c>
      <x:c r="E14" s="6" t="str">
        <x:v>SVC000300; SVC000301; SVC000302</x:v>
      </x:c>
      <x:c r="F14" s="12" t="str">
        <x:v>iphone 6s charge port replacement|repair|miscellaneous repair|iphone 6s charge port replacement</x:v>
      </x:c>
      <x:c r="G14" s="12" t="str">
        <x:v>; ; </x:v>
      </x:c>
      <x:c r="H14" s="12" t="str">
        <x:v>iPhone 6S Charge Port Replacement; iPhone 6S+ Charge Port Replacement; iPhone 6S+ Charge Port Replacement</x:v>
      </x:c>
      <x:c r="I14" s="12" t="str">
        <x:v>; ; </x:v>
      </x:c>
      <x:c r="J14" s="12" t="str">
        <x:v>; ; </x:v>
      </x:c>
      <x:c r="K14" s="6" t="str">
        <x:v>Exact normalized service identity fields match multiple records.</x:v>
      </x:c>
      <x:c r="L14" s="6" t="str">
        <x:v>Unresolved</x:v>
      </x:c>
      <x:c r="M14" s="6" t="str"/>
      <x:c r="N14" s="6" t="str"/>
      <x:c r="O14" s="6" t="str">
        <x:v>Unresolved</x:v>
      </x:c>
      <x:c r="P14" s="12" t="str"/>
      <x:c r="Q14" s="6" t="str"/>
      <x:c r="R14" s="6" t="str"/>
      <x:c r="S14" s="6" t="str">
        <x:v>Pending</x:v>
      </x:c>
      <x:c r="T14" s="12" t="str"/>
    </x:row>
    <x:row r="15">
      <x:c r="A15" s="6" t="str">
        <x:v>DUPR-000014</x:v>
      </x:c>
      <x:c r="B15" s="6" t="str">
        <x:v>DUP000014</x:v>
      </x:c>
      <x:c r="C15" s="6" t="str">
        <x:v>SVC000229; SVC000230</x:v>
      </x:c>
      <x:c r="D15" s="12" t="str">
        <x:v>iPhone 7 Charge Port Replacement; iPhone 7+ Charge Port Replacement</x:v>
      </x:c>
      <x:c r="E15" s="6" t="str">
        <x:v>SVC000304; SVC000305</x:v>
      </x:c>
      <x:c r="F15" s="12" t="str">
        <x:v>iphone 7 charge port replacement|repair|miscellaneous repair|iphone 7 charge port replacement</x:v>
      </x:c>
      <x:c r="G15" s="12" t="str">
        <x:v>; </x:v>
      </x:c>
      <x:c r="H15" s="12" t="str">
        <x:v>iPhone 7 Charge Port Replacement; iPhone 7+ Charge Port Replacement</x:v>
      </x:c>
      <x:c r="I15" s="12" t="str">
        <x:v>; </x:v>
      </x:c>
      <x:c r="J15" s="12" t="str">
        <x:v>; </x:v>
      </x:c>
      <x:c r="K15" s="6" t="str">
        <x:v>Exact normalized service identity fields match multiple records.</x:v>
      </x:c>
      <x:c r="L15" s="6" t="str">
        <x:v>Unresolved</x:v>
      </x:c>
      <x:c r="M15" s="6" t="str"/>
      <x:c r="N15" s="6" t="str"/>
      <x:c r="O15" s="6" t="str">
        <x:v>Unresolved</x:v>
      </x:c>
      <x:c r="P15" s="12" t="str"/>
      <x:c r="Q15" s="6" t="str"/>
      <x:c r="R15" s="6" t="str"/>
      <x:c r="S15" s="6" t="str">
        <x:v>Pending</x:v>
      </x:c>
      <x:c r="T15" s="12" t="str"/>
    </x:row>
    <x:row r="16">
      <x:c r="A16" s="6" t="str">
        <x:v>DUPR-000015</x:v>
      </x:c>
      <x:c r="B16" s="6" t="str">
        <x:v>DUP000015</x:v>
      </x:c>
      <x:c r="C16" s="6" t="str">
        <x:v>SVC000231; SVC000232</x:v>
      </x:c>
      <x:c r="D16" s="12" t="str">
        <x:v>iPhone 8 Charge Port Replacement; iPhone 8+ Charge Port Replacement</x:v>
      </x:c>
      <x:c r="E16" s="6" t="str">
        <x:v>SVC000306; SVC000307</x:v>
      </x:c>
      <x:c r="F16" s="12" t="str">
        <x:v>iphone 8 charge port replacement|repair|miscellaneous repair|iphone 8 charge port replacement</x:v>
      </x:c>
      <x:c r="G16" s="12" t="str">
        <x:v>; </x:v>
      </x:c>
      <x:c r="H16" s="12" t="str">
        <x:v>iPhone 8 Charge Port Replacement; iPhone 8+ Charge Port Replacement</x:v>
      </x:c>
      <x:c r="I16" s="12" t="str">
        <x:v>; </x:v>
      </x:c>
      <x:c r="J16" s="12" t="str">
        <x:v>; </x:v>
      </x:c>
      <x:c r="K16" s="6" t="str">
        <x:v>Exact normalized service identity fields match multiple records.</x:v>
      </x:c>
      <x:c r="L16" s="6" t="str">
        <x:v>Unresolved</x:v>
      </x:c>
      <x:c r="M16" s="6" t="str"/>
      <x:c r="N16" s="6" t="str"/>
      <x:c r="O16" s="6" t="str">
        <x:v>Unresolved</x:v>
      </x:c>
      <x:c r="P16" s="12" t="str"/>
      <x:c r="Q16" s="6" t="str"/>
      <x:c r="R16" s="6" t="str"/>
      <x:c r="S16" s="6" t="str">
        <x:v>Pending</x:v>
      </x:c>
      <x:c r="T16" s="12" t="str"/>
    </x:row>
  </x:sheetData>
  <x:dataValidations count="4">
    <x:dataValidation type="list" sqref="L2:L16">
      <x:formula1>"Keep Separate,Merge Proposed,Rename Proposed,Parent-Child Relationship,Reject Source Record,Escalate,Unresolved"</x:formula1>
    </x:dataValidation>
    <x:dataValidation type="list" sqref="O2:O16">
      <x:formula1>"Confirm Current Identity,Propose Identity Change,Keep Separate,Suspected Duplicate,Reject Source Record,Escalate,Unresolved"</x:formula1>
    </x:dataValidation>
    <x:dataValidation type="list" sqref="S2:S16">
      <x:formula1>"Pending,Approved,Rejected,Escalated,Not Approved"</x:formula1>
    </x:dataValidation>
    <x:dataValidation type="list" sqref="M2:M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0c93767dc84c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.75" hidden="0" customWidth="1"/>
    <x:col min="3" max="3" width="38.130001068115234" hidden="0" customWidth="1"/>
    <x:col min="4" max="4" width="19.6299991607666" hidden="0" customWidth="1"/>
    <x:col min="5" max="5" width="15" hidden="0" customWidth="1"/>
    <x:col min="6" max="6" width="43.130001068115234" hidden="0" customWidth="1"/>
    <x:col min="7" max="7" width="35.75" hidden="0" customWidth="1"/>
    <x:col min="8" max="8" width="19.6299991607666" hidden="0" customWidth="1"/>
    <x:col min="9" max="9" width="14.25" hidden="0" customWidth="1"/>
    <x:col min="10" max="10" width="36.630001068115234" hidden="0" customWidth="1"/>
    <x:col min="11" max="11" width="19" hidden="0" customWidth="1"/>
    <x:col min="12" max="12" width="18.25" hidden="0" customWidth="1"/>
    <x:col min="13" max="13" width="14.880000114440918" hidden="0" customWidth="1"/>
    <x:col min="14" max="14" width="12.380000114440918" hidden="0" customWidth="1"/>
    <x:col min="15" max="15" width="7.630000114440918" hidden="0" customWidth="1"/>
  </x:cols>
  <x:sheetData>
    <x:row r="1">
      <x:c r="A1" s="5" t="str">
        <x:v>Unsupported Relationship ID</x:v>
      </x:c>
      <x:c r="B1" s="5" t="str">
        <x:v>Service ID</x:v>
      </x:c>
      <x:c r="C1" s="5" t="str">
        <x:v>Canonical Service Name</x:v>
      </x:c>
      <x:c r="D1" s="5" t="str">
        <x:v>Relationship Type</x:v>
      </x:c>
      <x:c r="E1" s="5" t="str">
        <x:v>Observed Value</x:v>
      </x:c>
      <x:c r="F1" s="5" t="str">
        <x:v>Reason Unsupported</x:v>
      </x:c>
      <x:c r="G1" s="5" t="str">
        <x:v>Source Workbook</x:v>
      </x:c>
      <x:c r="H1" s="5" t="str">
        <x:v>Source Worksheet</x:v>
      </x:c>
      <x:c r="I1" s="5" t="str">
        <x:v>Source Record</x:v>
      </x:c>
      <x:c r="J1" s="5" t="str">
        <x:v>Additional Evidence Required</x:v>
      </x:c>
      <x:c r="K1" s="5" t="str">
        <x:v>Reviewer Disposition</x:v>
      </x:c>
      <x:c r="L1" s="5" t="str">
        <x:v>Escalation Required</x:v>
      </x:c>
      <x:c r="M1" s="5" t="str">
        <x:v>Reviewer Name</x:v>
      </x:c>
      <x:c r="N1" s="5" t="str">
        <x:v>Review Date</x:v>
      </x:c>
      <x:c r="O1" s="5" t="str">
        <x:v>Notes</x:v>
      </x:c>
    </x:row>
    <x:row r="2">
      <x:c r="A2" s="6" t="str">
        <x:v>UNS000001</x:v>
      </x:c>
      <x:c r="B2" s="6" t="str">
        <x:v>SVC000001</x:v>
      </x:c>
      <x:c r="C2" s="6" t="str">
        <x:v>Galaxy Note 9 Screen replacement</x:v>
      </x:c>
      <x:c r="D2" s="6" t="str">
        <x:v>Family-Level Compatibility</x:v>
      </x:c>
      <x:c r="E2" s="6" t="str">
        <x:v>PHN</x:v>
      </x:c>
      <x:c r="F2" s="6" t="str">
        <x:v>Device family alone is insufficient for governed relationship.</x:v>
      </x:c>
      <x:c r="G2" s="6" t="str">
        <x:v>Nocturnix_Master_Compatibility_Catalog_v1.xlsx</x:v>
      </x:c>
      <x:c r="H2" s="6" t="str">
        <x:v>01 - Compatibility Records</x:v>
      </x:c>
      <x:c r="I2" s="6" t="n">
        <x:v>41</x:v>
      </x:c>
      <x:c r="J2" s="12" t="str">
        <x:v>Explicit governed evidence supporting relationship</x:v>
      </x:c>
      <x:c r="K2" s="6" t="str">
        <x:v>Unresolved</x:v>
      </x:c>
      <x:c r="L2" s="6" t="str">
        <x:v>Yes</x:v>
      </x:c>
      <x:c r="M2" s="6" t="str"/>
      <x:c r="N2" s="6" t="str"/>
      <x:c r="O2" s="12" t="str"/>
    </x:row>
    <x:row r="3">
      <x:c r="A3" s="6" t="str">
        <x:v>UNS000002</x:v>
      </x:c>
      <x:c r="B3" s="6" t="str">
        <x:v>SVC000002</x:v>
      </x:c>
      <x:c r="C3" s="6" t="str">
        <x:v>Galaxy S 8 Active Screen replacement</x:v>
      </x:c>
      <x:c r="D3" s="6" t="str">
        <x:v>Family-Level Compatibility</x:v>
      </x:c>
      <x:c r="E3" s="6" t="str">
        <x:v>PHN</x:v>
      </x:c>
      <x:c r="F3" s="6" t="str">
        <x:v>Device family alone is insufficient for governed relationship.</x:v>
      </x:c>
      <x:c r="G3" s="6" t="str">
        <x:v>Nocturnix_Master_Compatibility_Catalog_v1.xlsx</x:v>
      </x:c>
      <x:c r="H3" s="6" t="str">
        <x:v>01 - Compatibility Records</x:v>
      </x:c>
      <x:c r="I3" s="6" t="n">
        <x:v>42</x:v>
      </x:c>
      <x:c r="J3" s="12" t="str">
        <x:v>Explicit governed evidence supporting relationship</x:v>
      </x:c>
      <x:c r="K3" s="6" t="str">
        <x:v>Unresolved</x:v>
      </x:c>
      <x:c r="L3" s="6" t="str">
        <x:v>Yes</x:v>
      </x:c>
      <x:c r="M3" s="6" t="str"/>
      <x:c r="N3" s="6" t="str"/>
      <x:c r="O3" s="12" t="str"/>
    </x:row>
    <x:row r="4">
      <x:c r="A4" s="6" t="str">
        <x:v>UNS000003</x:v>
      </x:c>
      <x:c r="B4" s="6" t="str">
        <x:v>SVC000003</x:v>
      </x:c>
      <x:c r="C4" s="6" t="str">
        <x:v>Galaxy S 24 Screen replacement</x:v>
      </x:c>
      <x:c r="D4" s="6" t="str">
        <x:v>Family-Level Compatibility</x:v>
      </x:c>
      <x:c r="E4" s="6" t="str">
        <x:v>PHN</x:v>
      </x:c>
      <x:c r="F4" s="6" t="str">
        <x:v>Device family alone is insufficient for governed relationship.</x:v>
      </x:c>
      <x:c r="G4" s="6" t="str">
        <x:v>Nocturnix_Master_Compatibility_Catalog_v1.xlsx</x:v>
      </x:c>
      <x:c r="H4" s="6" t="str">
        <x:v>01 - Compatibility Records</x:v>
      </x:c>
      <x:c r="I4" s="6" t="n">
        <x:v>43</x:v>
      </x:c>
      <x:c r="J4" s="12" t="str">
        <x:v>Explicit governed evidence supporting relationship</x:v>
      </x:c>
      <x:c r="K4" s="6" t="str">
        <x:v>Unresolved</x:v>
      </x:c>
      <x:c r="L4" s="6" t="str">
        <x:v>Yes</x:v>
      </x:c>
      <x:c r="M4" s="6" t="str"/>
      <x:c r="N4" s="6" t="str"/>
      <x:c r="O4" s="12" t="str"/>
    </x:row>
    <x:row r="5">
      <x:c r="A5" s="6" t="str">
        <x:v>UNS000004</x:v>
      </x:c>
      <x:c r="B5" s="6" t="str">
        <x:v>SVC000004</x:v>
      </x:c>
      <x:c r="C5" s="6" t="str">
        <x:v>Galaxy Note 10 Plus Screen replacement</x:v>
      </x:c>
      <x:c r="D5" s="6" t="str">
        <x:v>Family-Level Compatibility</x:v>
      </x:c>
      <x:c r="E5" s="6" t="str">
        <x:v>PHN</x:v>
      </x:c>
      <x:c r="F5" s="6" t="str">
        <x:v>Device family alone is insufficient for governed relationship.</x:v>
      </x:c>
      <x:c r="G5" s="6" t="str">
        <x:v>Nocturnix_Master_Compatibility_Catalog_v1.xlsx</x:v>
      </x:c>
      <x:c r="H5" s="6" t="str">
        <x:v>01 - Compatibility Records</x:v>
      </x:c>
      <x:c r="I5" s="6" t="n">
        <x:v>44</x:v>
      </x:c>
      <x:c r="J5" s="12" t="str">
        <x:v>Explicit governed evidence supporting relationship</x:v>
      </x:c>
      <x:c r="K5" s="6" t="str">
        <x:v>Unresolved</x:v>
      </x:c>
      <x:c r="L5" s="6" t="str">
        <x:v>Yes</x:v>
      </x:c>
      <x:c r="M5" s="6" t="str"/>
      <x:c r="N5" s="6" t="str"/>
      <x:c r="O5" s="12" t="str"/>
    </x:row>
    <x:row r="6">
      <x:c r="A6" s="6" t="str">
        <x:v>UNS000005</x:v>
      </x:c>
      <x:c r="B6" s="6" t="str">
        <x:v>SVC000005</x:v>
      </x:c>
      <x:c r="C6" s="6" t="str">
        <x:v>Galaxy Note 8 Screen replacement</x:v>
      </x:c>
      <x:c r="D6" s="6" t="str">
        <x:v>Family-Level Compatibility</x:v>
      </x:c>
      <x:c r="E6" s="6" t="str">
        <x:v>PHN</x:v>
      </x:c>
      <x:c r="F6" s="6" t="str">
        <x:v>Device family alone is insufficient for governed relationship.</x:v>
      </x:c>
      <x:c r="G6" s="6" t="str">
        <x:v>Nocturnix_Master_Compatibility_Catalog_v1.xlsx</x:v>
      </x:c>
      <x:c r="H6" s="6" t="str">
        <x:v>01 - Compatibility Records</x:v>
      </x:c>
      <x:c r="I6" s="6" t="n">
        <x:v>45</x:v>
      </x:c>
      <x:c r="J6" s="12" t="str">
        <x:v>Explicit governed evidence supporting relationship</x:v>
      </x:c>
      <x:c r="K6" s="6" t="str">
        <x:v>Unresolved</x:v>
      </x:c>
      <x:c r="L6" s="6" t="str">
        <x:v>Yes</x:v>
      </x:c>
      <x:c r="M6" s="6" t="str"/>
      <x:c r="N6" s="6" t="str"/>
      <x:c r="O6" s="12" t="str"/>
    </x:row>
    <x:row r="7">
      <x:c r="A7" s="6" t="str">
        <x:v>UNS000006</x:v>
      </x:c>
      <x:c r="B7" s="6" t="str">
        <x:v>SVC000006</x:v>
      </x:c>
      <x:c r="C7" s="6" t="str">
        <x:v>Galaxy S 25 Edge Screen replacement</x:v>
      </x:c>
      <x:c r="D7" s="6" t="str">
        <x:v>Family-Level Compatibility</x:v>
      </x:c>
      <x:c r="E7" s="6" t="str">
        <x:v>PHN</x:v>
      </x:c>
      <x:c r="F7" s="6" t="str">
        <x:v>Device family alone is insufficient for governed relationship.</x:v>
      </x:c>
      <x:c r="G7" s="6" t="str">
        <x:v>Nocturnix_Master_Compatibility_Catalog_v1.xlsx</x:v>
      </x:c>
      <x:c r="H7" s="6" t="str">
        <x:v>01 - Compatibility Records</x:v>
      </x:c>
      <x:c r="I7" s="6" t="n">
        <x:v>46</x:v>
      </x:c>
      <x:c r="J7" s="12" t="str">
        <x:v>Explicit governed evidence supporting relationship</x:v>
      </x:c>
      <x:c r="K7" s="6" t="str">
        <x:v>Unresolved</x:v>
      </x:c>
      <x:c r="L7" s="6" t="str">
        <x:v>Yes</x:v>
      </x:c>
      <x:c r="M7" s="6" t="str"/>
      <x:c r="N7" s="6" t="str"/>
      <x:c r="O7" s="12" t="str"/>
    </x:row>
    <x:row r="8">
      <x:c r="A8" s="6" t="str">
        <x:v>UNS000007</x:v>
      </x:c>
      <x:c r="B8" s="6" t="str">
        <x:v>SVC000007</x:v>
      </x:c>
      <x:c r="C8" s="6" t="str">
        <x:v>Galaxy S 25 FE Screen replacement</x:v>
      </x:c>
      <x:c r="D8" s="6" t="str">
        <x:v>Family-Level Compatibility</x:v>
      </x:c>
      <x:c r="E8" s="6" t="str">
        <x:v>PHN</x:v>
      </x:c>
      <x:c r="F8" s="6" t="str">
        <x:v>Device family alone is insufficient for governed relationship.</x:v>
      </x:c>
      <x:c r="G8" s="6" t="str">
        <x:v>Nocturnix_Master_Compatibility_Catalog_v1.xlsx</x:v>
      </x:c>
      <x:c r="H8" s="6" t="str">
        <x:v>01 - Compatibility Records</x:v>
      </x:c>
      <x:c r="I8" s="6" t="n">
        <x:v>47</x:v>
      </x:c>
      <x:c r="J8" s="12" t="str">
        <x:v>Explicit governed evidence supporting relationship</x:v>
      </x:c>
      <x:c r="K8" s="6" t="str">
        <x:v>Unresolved</x:v>
      </x:c>
      <x:c r="L8" s="6" t="str">
        <x:v>Yes</x:v>
      </x:c>
      <x:c r="M8" s="6" t="str"/>
      <x:c r="N8" s="6" t="str"/>
      <x:c r="O8" s="12" t="str"/>
    </x:row>
    <x:row r="9">
      <x:c r="A9" s="6" t="str">
        <x:v>UNS000008</x:v>
      </x:c>
      <x:c r="B9" s="6" t="str">
        <x:v>SVC000008</x:v>
      </x:c>
      <x:c r="C9" s="6" t="str">
        <x:v>iPhone 6 Screen replacement</x:v>
      </x:c>
      <x:c r="D9" s="6" t="str">
        <x:v>Family-Level Compatibility</x:v>
      </x:c>
      <x:c r="E9" s="6" t="str">
        <x:v>PHN</x:v>
      </x:c>
      <x:c r="F9" s="6" t="str">
        <x:v>Device family alone is insufficient for governed relationship.</x:v>
      </x:c>
      <x:c r="G9" s="6" t="str">
        <x:v>Nocturnix_Master_Compatibility_Catalog_v1.xlsx</x:v>
      </x:c>
      <x:c r="H9" s="6" t="str">
        <x:v>01 - Compatibility Records</x:v>
      </x:c>
      <x:c r="I9" s="6" t="n">
        <x:v>48</x:v>
      </x:c>
      <x:c r="J9" s="12" t="str">
        <x:v>Explicit governed evidence supporting relationship</x:v>
      </x:c>
      <x:c r="K9" s="6" t="str">
        <x:v>Unresolved</x:v>
      </x:c>
      <x:c r="L9" s="6" t="str">
        <x:v>Yes</x:v>
      </x:c>
      <x:c r="M9" s="6" t="str"/>
      <x:c r="N9" s="6" t="str"/>
      <x:c r="O9" s="12" t="str"/>
    </x:row>
    <x:row r="10">
      <x:c r="A10" s="6" t="str">
        <x:v>UNS000009</x:v>
      </x:c>
      <x:c r="B10" s="6" t="str">
        <x:v>SVC000009</x:v>
      </x:c>
      <x:c r="C10" s="6" t="str">
        <x:v>iPhone 6S+ Screen replacement</x:v>
      </x:c>
      <x:c r="D10" s="6" t="str">
        <x:v>Family-Level Compatibility</x:v>
      </x:c>
      <x:c r="E10" s="6" t="str">
        <x:v>PHN</x:v>
      </x:c>
      <x:c r="F10" s="6" t="str">
        <x:v>Device family alone is insufficient for governed relationship.</x:v>
      </x:c>
      <x:c r="G10" s="6" t="str">
        <x:v>Nocturnix_Master_Compatibility_Catalog_v1.xlsx</x:v>
      </x:c>
      <x:c r="H10" s="6" t="str">
        <x:v>01 - Compatibility Records</x:v>
      </x:c>
      <x:c r="I10" s="6" t="n">
        <x:v>49</x:v>
      </x:c>
      <x:c r="J10" s="12" t="str">
        <x:v>Explicit governed evidence supporting relationship</x:v>
      </x:c>
      <x:c r="K10" s="6" t="str">
        <x:v>Unresolved</x:v>
      </x:c>
      <x:c r="L10" s="6" t="str">
        <x:v>Yes</x:v>
      </x:c>
      <x:c r="M10" s="6" t="str"/>
      <x:c r="N10" s="6" t="str"/>
      <x:c r="O10" s="12" t="str"/>
    </x:row>
    <x:row r="11">
      <x:c r="A11" s="6" t="str">
        <x:v>UNS000010</x:v>
      </x:c>
      <x:c r="B11" s="6" t="str">
        <x:v>SVC000010</x:v>
      </x:c>
      <x:c r="C11" s="6" t="str">
        <x:v>Galaxy S 22 Screen replacement</x:v>
      </x:c>
      <x:c r="D11" s="6" t="str">
        <x:v>Family-Level Compatibility</x:v>
      </x:c>
      <x:c r="E11" s="6" t="str">
        <x:v>PHN</x:v>
      </x:c>
      <x:c r="F11" s="6" t="str">
        <x:v>Device family alone is insufficient for governed relationship.</x:v>
      </x:c>
      <x:c r="G11" s="6" t="str">
        <x:v>Nocturnix_Master_Compatibility_Catalog_v1.xlsx</x:v>
      </x:c>
      <x:c r="H11" s="6" t="str">
        <x:v>01 - Compatibility Records</x:v>
      </x:c>
      <x:c r="I11" s="6" t="n">
        <x:v>50</x:v>
      </x:c>
      <x:c r="J11" s="12" t="str">
        <x:v>Explicit governed evidence supporting relationship</x:v>
      </x:c>
      <x:c r="K11" s="6" t="str">
        <x:v>Unresolved</x:v>
      </x:c>
      <x:c r="L11" s="6" t="str">
        <x:v>Yes</x:v>
      </x:c>
      <x:c r="M11" s="6" t="str"/>
      <x:c r="N11" s="6" t="str"/>
      <x:c r="O11" s="12" t="str"/>
    </x:row>
    <x:row r="12">
      <x:c r="A12" s="6" t="str">
        <x:v>UNS000011</x:v>
      </x:c>
      <x:c r="B12" s="6" t="str">
        <x:v>SVC000011</x:v>
      </x:c>
      <x:c r="C12" s="6" t="str">
        <x:v>Galaxy S 20 Plus Screen replacement</x:v>
      </x:c>
      <x:c r="D12" s="6" t="str">
        <x:v>Family-Level Compatibility</x:v>
      </x:c>
      <x:c r="E12" s="6" t="str">
        <x:v>PHN</x:v>
      </x:c>
      <x:c r="F12" s="6" t="str">
        <x:v>Device family alone is insufficient for governed relationship.</x:v>
      </x:c>
      <x:c r="G12" s="6" t="str">
        <x:v>Nocturnix_Master_Compatibility_Catalog_v1.xlsx</x:v>
      </x:c>
      <x:c r="H12" s="6" t="str">
        <x:v>01 - Compatibility Records</x:v>
      </x:c>
      <x:c r="I12" s="6" t="n">
        <x:v>51</x:v>
      </x:c>
      <x:c r="J12" s="12" t="str">
        <x:v>Explicit governed evidence supporting relationship</x:v>
      </x:c>
      <x:c r="K12" s="6" t="str">
        <x:v>Unresolved</x:v>
      </x:c>
      <x:c r="L12" s="6" t="str">
        <x:v>Yes</x:v>
      </x:c>
      <x:c r="M12" s="6" t="str"/>
      <x:c r="N12" s="6" t="str"/>
      <x:c r="O12" s="12" t="str"/>
    </x:row>
    <x:row r="13">
      <x:c r="A13" s="6" t="str">
        <x:v>UNS000012</x:v>
      </x:c>
      <x:c r="B13" s="6" t="str">
        <x:v>SVC000012</x:v>
      </x:c>
      <x:c r="C13" s="6" t="str">
        <x:v>Galaxy S 23 Ultra Screen replacement</x:v>
      </x:c>
      <x:c r="D13" s="6" t="str">
        <x:v>Family-Level Compatibility</x:v>
      </x:c>
      <x:c r="E13" s="6" t="str">
        <x:v>PHN</x:v>
      </x:c>
      <x:c r="F13" s="6" t="str">
        <x:v>Device family alone is insufficient for governed relationship.</x:v>
      </x:c>
      <x:c r="G13" s="6" t="str">
        <x:v>Nocturnix_Master_Compatibility_Catalog_v1.xlsx</x:v>
      </x:c>
      <x:c r="H13" s="6" t="str">
        <x:v>01 - Compatibility Records</x:v>
      </x:c>
      <x:c r="I13" s="6" t="n">
        <x:v>52</x:v>
      </x:c>
      <x:c r="J13" s="12" t="str">
        <x:v>Explicit governed evidence supporting relationship</x:v>
      </x:c>
      <x:c r="K13" s="6" t="str">
        <x:v>Unresolved</x:v>
      </x:c>
      <x:c r="L13" s="6" t="str">
        <x:v>Yes</x:v>
      </x:c>
      <x:c r="M13" s="6" t="str"/>
      <x:c r="N13" s="6" t="str"/>
      <x:c r="O13" s="12" t="str"/>
    </x:row>
    <x:row r="14">
      <x:c r="A14" s="6" t="str">
        <x:v>UNS000013</x:v>
      </x:c>
      <x:c r="B14" s="6" t="str">
        <x:v>SVC000013</x:v>
      </x:c>
      <x:c r="C14" s="6" t="str">
        <x:v>Galaxy S 24 Ultra Screen replacement</x:v>
      </x:c>
      <x:c r="D14" s="6" t="str">
        <x:v>Family-Level Compatibility</x:v>
      </x:c>
      <x:c r="E14" s="6" t="str">
        <x:v>PHN</x:v>
      </x:c>
      <x:c r="F14" s="6" t="str">
        <x:v>Device family alone is insufficient for governed relationship.</x:v>
      </x:c>
      <x:c r="G14" s="6" t="str">
        <x:v>Nocturnix_Master_Compatibility_Catalog_v1.xlsx</x:v>
      </x:c>
      <x:c r="H14" s="6" t="str">
        <x:v>01 - Compatibility Records</x:v>
      </x:c>
      <x:c r="I14" s="6" t="n">
        <x:v>53</x:v>
      </x:c>
      <x:c r="J14" s="12" t="str">
        <x:v>Explicit governed evidence supporting relationship</x:v>
      </x:c>
      <x:c r="K14" s="6" t="str">
        <x:v>Unresolved</x:v>
      </x:c>
      <x:c r="L14" s="6" t="str">
        <x:v>Yes</x:v>
      </x:c>
      <x:c r="M14" s="6" t="str"/>
      <x:c r="N14" s="6" t="str"/>
      <x:c r="O14" s="12" t="str"/>
    </x:row>
    <x:row r="15">
      <x:c r="A15" s="6" t="str">
        <x:v>UNS000014</x:v>
      </x:c>
      <x:c r="B15" s="6" t="str">
        <x:v>SVC000014</x:v>
      </x:c>
      <x:c r="C15" s="6" t="str">
        <x:v>Galaxy S 20 FE Screen replacement</x:v>
      </x:c>
      <x:c r="D15" s="6" t="str">
        <x:v>Family-Level Compatibility</x:v>
      </x:c>
      <x:c r="E15" s="6" t="str">
        <x:v>PHN</x:v>
      </x:c>
      <x:c r="F15" s="6" t="str">
        <x:v>Device family alone is insufficient for governed relationship.</x:v>
      </x:c>
      <x:c r="G15" s="6" t="str">
        <x:v>Nocturnix_Master_Compatibility_Catalog_v1.xlsx</x:v>
      </x:c>
      <x:c r="H15" s="6" t="str">
        <x:v>01 - Compatibility Records</x:v>
      </x:c>
      <x:c r="I15" s="6" t="n">
        <x:v>54</x:v>
      </x:c>
      <x:c r="J15" s="12" t="str">
        <x:v>Explicit governed evidence supporting relationship</x:v>
      </x:c>
      <x:c r="K15" s="6" t="str">
        <x:v>Unresolved</x:v>
      </x:c>
      <x:c r="L15" s="6" t="str">
        <x:v>Yes</x:v>
      </x:c>
      <x:c r="M15" s="6" t="str"/>
      <x:c r="N15" s="6" t="str"/>
      <x:c r="O15" s="12" t="str"/>
    </x:row>
    <x:row r="16">
      <x:c r="A16" s="6" t="str">
        <x:v>UNS000015</x:v>
      </x:c>
      <x:c r="B16" s="6" t="str">
        <x:v>SVC000015</x:v>
      </x:c>
      <x:c r="C16" s="6" t="str">
        <x:v>Galaxy S 9 Plus Screen replacement</x:v>
      </x:c>
      <x:c r="D16" s="6" t="str">
        <x:v>Family-Level Compatibility</x:v>
      </x:c>
      <x:c r="E16" s="6" t="str">
        <x:v>PHN</x:v>
      </x:c>
      <x:c r="F16" s="6" t="str">
        <x:v>Device family alone is insufficient for governed relationship.</x:v>
      </x:c>
      <x:c r="G16" s="6" t="str">
        <x:v>Nocturnix_Master_Compatibility_Catalog_v1.xlsx</x:v>
      </x:c>
      <x:c r="H16" s="6" t="str">
        <x:v>01 - Compatibility Records</x:v>
      </x:c>
      <x:c r="I16" s="6" t="n">
        <x:v>55</x:v>
      </x:c>
      <x:c r="J16" s="12" t="str">
        <x:v>Explicit governed evidence supporting relationship</x:v>
      </x:c>
      <x:c r="K16" s="6" t="str">
        <x:v>Unresolved</x:v>
      </x:c>
      <x:c r="L16" s="6" t="str">
        <x:v>Yes</x:v>
      </x:c>
      <x:c r="M16" s="6" t="str"/>
      <x:c r="N16" s="6" t="str"/>
      <x:c r="O16" s="12" t="str"/>
    </x:row>
    <x:row r="17">
      <x:c r="A17" s="6" t="str">
        <x:v>UNS000016</x:v>
      </x:c>
      <x:c r="B17" s="6" t="str">
        <x:v>SVC000016</x:v>
      </x:c>
      <x:c r="C17" s="6" t="str">
        <x:v>Galaxy S 24 FE Screen replacement</x:v>
      </x:c>
      <x:c r="D17" s="6" t="str">
        <x:v>Family-Level Compatibility</x:v>
      </x:c>
      <x:c r="E17" s="6" t="str">
        <x:v>PHN</x:v>
      </x:c>
      <x:c r="F17" s="6" t="str">
        <x:v>Device family alone is insufficient for governed relationship.</x:v>
      </x:c>
      <x:c r="G17" s="6" t="str">
        <x:v>Nocturnix_Master_Compatibility_Catalog_v1.xlsx</x:v>
      </x:c>
      <x:c r="H17" s="6" t="str">
        <x:v>01 - Compatibility Records</x:v>
      </x:c>
      <x:c r="I17" s="6" t="n">
        <x:v>56</x:v>
      </x:c>
      <x:c r="J17" s="12" t="str">
        <x:v>Explicit governed evidence supporting relationship</x:v>
      </x:c>
      <x:c r="K17" s="6" t="str">
        <x:v>Unresolved</x:v>
      </x:c>
      <x:c r="L17" s="6" t="str">
        <x:v>Yes</x:v>
      </x:c>
      <x:c r="M17" s="6" t="str"/>
      <x:c r="N17" s="6" t="str"/>
      <x:c r="O17" s="12" t="str"/>
    </x:row>
    <x:row r="18">
      <x:c r="A18" s="6" t="str">
        <x:v>UNS000017</x:v>
      </x:c>
      <x:c r="B18" s="6" t="str">
        <x:v>SVC000017</x:v>
      </x:c>
      <x:c r="C18" s="6" t="str">
        <x:v>Galaxy S 8 Plus Screen replacement</x:v>
      </x:c>
      <x:c r="D18" s="6" t="str">
        <x:v>Family-Level Compatibility</x:v>
      </x:c>
      <x:c r="E18" s="6" t="str">
        <x:v>PHN</x:v>
      </x:c>
      <x:c r="F18" s="6" t="str">
        <x:v>Device family alone is insufficient for governed relationship.</x:v>
      </x:c>
      <x:c r="G18" s="6" t="str">
        <x:v>Nocturnix_Master_Compatibility_Catalog_v1.xlsx</x:v>
      </x:c>
      <x:c r="H18" s="6" t="str">
        <x:v>01 - Compatibility Records</x:v>
      </x:c>
      <x:c r="I18" s="6" t="n">
        <x:v>57</x:v>
      </x:c>
      <x:c r="J18" s="12" t="str">
        <x:v>Explicit governed evidence supporting relationship</x:v>
      </x:c>
      <x:c r="K18" s="6" t="str">
        <x:v>Unresolved</x:v>
      </x:c>
      <x:c r="L18" s="6" t="str">
        <x:v>Yes</x:v>
      </x:c>
      <x:c r="M18" s="6" t="str"/>
      <x:c r="N18" s="6" t="str"/>
      <x:c r="O18" s="12" t="str"/>
    </x:row>
    <x:row r="19">
      <x:c r="A19" s="6" t="str">
        <x:v>UNS000018</x:v>
      </x:c>
      <x:c r="B19" s="6" t="str">
        <x:v>SVC000018</x:v>
      </x:c>
      <x:c r="C19" s="6" t="str">
        <x:v>Galaxy S 25 Plus Screen replacement</x:v>
      </x:c>
      <x:c r="D19" s="6" t="str">
        <x:v>Family-Level Compatibility</x:v>
      </x:c>
      <x:c r="E19" s="6" t="str">
        <x:v>PHN</x:v>
      </x:c>
      <x:c r="F19" s="6" t="str">
        <x:v>Device family alone is insufficient for governed relationship.</x:v>
      </x:c>
      <x:c r="G19" s="6" t="str">
        <x:v>Nocturnix_Master_Compatibility_Catalog_v1.xlsx</x:v>
      </x:c>
      <x:c r="H19" s="6" t="str">
        <x:v>01 - Compatibility Records</x:v>
      </x:c>
      <x:c r="I19" s="6" t="n">
        <x:v>58</x:v>
      </x:c>
      <x:c r="J19" s="12" t="str">
        <x:v>Explicit governed evidence supporting relationship</x:v>
      </x:c>
      <x:c r="K19" s="6" t="str">
        <x:v>Unresolved</x:v>
      </x:c>
      <x:c r="L19" s="6" t="str">
        <x:v>Yes</x:v>
      </x:c>
      <x:c r="M19" s="6" t="str"/>
      <x:c r="N19" s="6" t="str"/>
      <x:c r="O19" s="12" t="str"/>
    </x:row>
    <x:row r="20">
      <x:c r="A20" s="6" t="str">
        <x:v>UNS000019</x:v>
      </x:c>
      <x:c r="B20" s="6" t="str">
        <x:v>SVC000019</x:v>
      </x:c>
      <x:c r="C20" s="6" t="str">
        <x:v>Galaxy S 21 Screen replacement</x:v>
      </x:c>
      <x:c r="D20" s="6" t="str">
        <x:v>Family-Level Compatibility</x:v>
      </x:c>
      <x:c r="E20" s="6" t="str">
        <x:v>PHN</x:v>
      </x:c>
      <x:c r="F20" s="6" t="str">
        <x:v>Device family alone is insufficient for governed relationship.</x:v>
      </x:c>
      <x:c r="G20" s="6" t="str">
        <x:v>Nocturnix_Master_Compatibility_Catalog_v1.xlsx</x:v>
      </x:c>
      <x:c r="H20" s="6" t="str">
        <x:v>01 - Compatibility Records</x:v>
      </x:c>
      <x:c r="I20" s="6" t="n">
        <x:v>59</x:v>
      </x:c>
      <x:c r="J20" s="12" t="str">
        <x:v>Explicit governed evidence supporting relationship</x:v>
      </x:c>
      <x:c r="K20" s="6" t="str">
        <x:v>Unresolved</x:v>
      </x:c>
      <x:c r="L20" s="6" t="str">
        <x:v>Yes</x:v>
      </x:c>
      <x:c r="M20" s="6" t="str"/>
      <x:c r="N20" s="6" t="str"/>
      <x:c r="O20" s="12" t="str"/>
    </x:row>
    <x:row r="21">
      <x:c r="A21" s="6" t="str">
        <x:v>UNS000020</x:v>
      </x:c>
      <x:c r="B21" s="6" t="str">
        <x:v>SVC000020</x:v>
      </x:c>
      <x:c r="C21" s="6" t="str">
        <x:v>Galaxy S 22 Plus Screen replacement</x:v>
      </x:c>
      <x:c r="D21" s="6" t="str">
        <x:v>Family-Level Compatibility</x:v>
      </x:c>
      <x:c r="E21" s="6" t="str">
        <x:v>PHN</x:v>
      </x:c>
      <x:c r="F21" s="6" t="str">
        <x:v>Device family alone is insufficient for governed relationship.</x:v>
      </x:c>
      <x:c r="G21" s="6" t="str">
        <x:v>Nocturnix_Master_Compatibility_Catalog_v1.xlsx</x:v>
      </x:c>
      <x:c r="H21" s="6" t="str">
        <x:v>01 - Compatibility Records</x:v>
      </x:c>
      <x:c r="I21" s="6" t="n">
        <x:v>60</x:v>
      </x:c>
      <x:c r="J21" s="12" t="str">
        <x:v>Explicit governed evidence supporting relationship</x:v>
      </x:c>
      <x:c r="K21" s="6" t="str">
        <x:v>Unresolved</x:v>
      </x:c>
      <x:c r="L21" s="6" t="str">
        <x:v>Yes</x:v>
      </x:c>
      <x:c r="M21" s="6" t="str"/>
      <x:c r="N21" s="6" t="str"/>
      <x:c r="O21" s="12" t="str"/>
    </x:row>
    <x:row r="22">
      <x:c r="A22" s="6" t="str">
        <x:v>UNS000021</x:v>
      </x:c>
      <x:c r="B22" s="6" t="str">
        <x:v>SVC000021</x:v>
      </x:c>
      <x:c r="C22" s="6" t="str">
        <x:v>Galaxy S 22 Ultra Screen replacement</x:v>
      </x:c>
      <x:c r="D22" s="6" t="str">
        <x:v>Family-Level Compatibility</x:v>
      </x:c>
      <x:c r="E22" s="6" t="str">
        <x:v>PHN</x:v>
      </x:c>
      <x:c r="F22" s="6" t="str">
        <x:v>Device family alone is insufficient for governed relationship.</x:v>
      </x:c>
      <x:c r="G22" s="6" t="str">
        <x:v>Nocturnix_Master_Compatibility_Catalog_v1.xlsx</x:v>
      </x:c>
      <x:c r="H22" s="6" t="str">
        <x:v>01 - Compatibility Records</x:v>
      </x:c>
      <x:c r="I22" s="6" t="n">
        <x:v>61</x:v>
      </x:c>
      <x:c r="J22" s="12" t="str">
        <x:v>Explicit governed evidence supporting relationship</x:v>
      </x:c>
      <x:c r="K22" s="6" t="str">
        <x:v>Unresolved</x:v>
      </x:c>
      <x:c r="L22" s="6" t="str">
        <x:v>Yes</x:v>
      </x:c>
      <x:c r="M22" s="6" t="str"/>
      <x:c r="N22" s="6" t="str"/>
      <x:c r="O22" s="12" t="str"/>
    </x:row>
    <x:row r="23">
      <x:c r="A23" s="6" t="str">
        <x:v>UNS000022</x:v>
      </x:c>
      <x:c r="B23" s="6" t="str">
        <x:v>SVC000022</x:v>
      </x:c>
      <x:c r="C23" s="6" t="str">
        <x:v>Galaxy S 24 FE Battery Replacement</x:v>
      </x:c>
      <x:c r="D23" s="6" t="str">
        <x:v>Family-Level Compatibility</x:v>
      </x:c>
      <x:c r="E23" s="6" t="str">
        <x:v>PHN</x:v>
      </x:c>
      <x:c r="F23" s="6" t="str">
        <x:v>Device family alone is insufficient for governed relationship.</x:v>
      </x:c>
      <x:c r="G23" s="6" t="str">
        <x:v>Nocturnix_Master_Compatibility_Catalog_v1.xlsx</x:v>
      </x:c>
      <x:c r="H23" s="6" t="str">
        <x:v>01 - Compatibility Records</x:v>
      </x:c>
      <x:c r="I23" s="6" t="n">
        <x:v>62</x:v>
      </x:c>
      <x:c r="J23" s="12" t="str">
        <x:v>Explicit governed evidence supporting relationship</x:v>
      </x:c>
      <x:c r="K23" s="6" t="str">
        <x:v>Unresolved</x:v>
      </x:c>
      <x:c r="L23" s="6" t="str">
        <x:v>Yes</x:v>
      </x:c>
      <x:c r="M23" s="6" t="str"/>
      <x:c r="N23" s="6" t="str"/>
      <x:c r="O23" s="12" t="str"/>
    </x:row>
    <x:row r="24">
      <x:c r="A24" s="6" t="str">
        <x:v>UNS000023</x:v>
      </x:c>
      <x:c r="B24" s="6" t="str">
        <x:v>SVC000023</x:v>
      </x:c>
      <x:c r="C24" s="6" t="str">
        <x:v>Galaxy S 7 Active Screen replacement</x:v>
      </x:c>
      <x:c r="D24" s="6" t="str">
        <x:v>Family-Level Compatibility</x:v>
      </x:c>
      <x:c r="E24" s="6" t="str">
        <x:v>PHN</x:v>
      </x:c>
      <x:c r="F24" s="6" t="str">
        <x:v>Device family alone is insufficient for governed relationship.</x:v>
      </x:c>
      <x:c r="G24" s="6" t="str">
        <x:v>Nocturnix_Master_Compatibility_Catalog_v1.xlsx</x:v>
      </x:c>
      <x:c r="H24" s="6" t="str">
        <x:v>01 - Compatibility Records</x:v>
      </x:c>
      <x:c r="I24" s="6" t="n">
        <x:v>63</x:v>
      </x:c>
      <x:c r="J24" s="12" t="str">
        <x:v>Explicit governed evidence supporting relationship</x:v>
      </x:c>
      <x:c r="K24" s="6" t="str">
        <x:v>Unresolved</x:v>
      </x:c>
      <x:c r="L24" s="6" t="str">
        <x:v>Yes</x:v>
      </x:c>
      <x:c r="M24" s="6" t="str"/>
      <x:c r="N24" s="6" t="str"/>
      <x:c r="O24" s="12" t="str"/>
    </x:row>
    <x:row r="25">
      <x:c r="A25" s="6" t="str">
        <x:v>UNS000024</x:v>
      </x:c>
      <x:c r="B25" s="6" t="str">
        <x:v>SVC000024</x:v>
      </x:c>
      <x:c r="C25" s="6" t="str">
        <x:v>Galaxy S 10 Plus Screen replacement</x:v>
      </x:c>
      <x:c r="D25" s="6" t="str">
        <x:v>Family-Level Compatibility</x:v>
      </x:c>
      <x:c r="E25" s="6" t="str">
        <x:v>PHN</x:v>
      </x:c>
      <x:c r="F25" s="6" t="str">
        <x:v>Device family alone is insufficient for governed relationship.</x:v>
      </x:c>
      <x:c r="G25" s="6" t="str">
        <x:v>Nocturnix_Master_Compatibility_Catalog_v1.xlsx</x:v>
      </x:c>
      <x:c r="H25" s="6" t="str">
        <x:v>01 - Compatibility Records</x:v>
      </x:c>
      <x:c r="I25" s="6" t="n">
        <x:v>64</x:v>
      </x:c>
      <x:c r="J25" s="12" t="str">
        <x:v>Explicit governed evidence supporting relationship</x:v>
      </x:c>
      <x:c r="K25" s="6" t="str">
        <x:v>Unresolved</x:v>
      </x:c>
      <x:c r="L25" s="6" t="str">
        <x:v>Yes</x:v>
      </x:c>
      <x:c r="M25" s="6" t="str"/>
      <x:c r="N25" s="6" t="str"/>
      <x:c r="O25" s="12" t="str"/>
    </x:row>
    <x:row r="26">
      <x:c r="A26" s="6" t="str">
        <x:v>UNS000025</x:v>
      </x:c>
      <x:c r="B26" s="6" t="str">
        <x:v>SVC000025</x:v>
      </x:c>
      <x:c r="C26" s="6" t="str">
        <x:v>Galaxy S 6 Active Screen replacement</x:v>
      </x:c>
      <x:c r="D26" s="6" t="str">
        <x:v>Family-Level Compatibility</x:v>
      </x:c>
      <x:c r="E26" s="6" t="str">
        <x:v>PHN</x:v>
      </x:c>
      <x:c r="F26" s="6" t="str">
        <x:v>Device family alone is insufficient for governed relationship.</x:v>
      </x:c>
      <x:c r="G26" s="6" t="str">
        <x:v>Nocturnix_Master_Compatibility_Catalog_v1.xlsx</x:v>
      </x:c>
      <x:c r="H26" s="6" t="str">
        <x:v>01 - Compatibility Records</x:v>
      </x:c>
      <x:c r="I26" s="6" t="n">
        <x:v>65</x:v>
      </x:c>
      <x:c r="J26" s="12" t="str">
        <x:v>Explicit governed evidence supporting relationship</x:v>
      </x:c>
      <x:c r="K26" s="6" t="str">
        <x:v>Unresolved</x:v>
      </x:c>
      <x:c r="L26" s="6" t="str">
        <x:v>Yes</x:v>
      </x:c>
      <x:c r="M26" s="6" t="str"/>
      <x:c r="N26" s="6" t="str"/>
      <x:c r="O26" s="12" t="str"/>
    </x:row>
    <x:row r="27">
      <x:c r="A27" s="6" t="str">
        <x:v>UNS000026</x:v>
      </x:c>
      <x:c r="B27" s="6" t="str">
        <x:v>SVC000026</x:v>
      </x:c>
      <x:c r="C27" s="6" t="str">
        <x:v>Galaxy S 6 Screen replacement</x:v>
      </x:c>
      <x:c r="D27" s="6" t="str">
        <x:v>Family-Level Compatibility</x:v>
      </x:c>
      <x:c r="E27" s="6" t="str">
        <x:v>PHN</x:v>
      </x:c>
      <x:c r="F27" s="6" t="str">
        <x:v>Device family alone is insufficient for governed relationship.</x:v>
      </x:c>
      <x:c r="G27" s="6" t="str">
        <x:v>Nocturnix_Master_Compatibility_Catalog_v1.xlsx</x:v>
      </x:c>
      <x:c r="H27" s="6" t="str">
        <x:v>01 - Compatibility Records</x:v>
      </x:c>
      <x:c r="I27" s="6" t="n">
        <x:v>66</x:v>
      </x:c>
      <x:c r="J27" s="12" t="str">
        <x:v>Explicit governed evidence supporting relationship</x:v>
      </x:c>
      <x:c r="K27" s="6" t="str">
        <x:v>Unresolved</x:v>
      </x:c>
      <x:c r="L27" s="6" t="str">
        <x:v>Yes</x:v>
      </x:c>
      <x:c r="M27" s="6" t="str"/>
      <x:c r="N27" s="6" t="str"/>
      <x:c r="O27" s="12" t="str"/>
    </x:row>
    <x:row r="28">
      <x:c r="A28" s="6" t="str">
        <x:v>UNS000027</x:v>
      </x:c>
      <x:c r="B28" s="6" t="str">
        <x:v>SVC000027</x:v>
      </x:c>
      <x:c r="C28" s="6" t="str">
        <x:v>Galaxy S 21 FE Screen replacement</x:v>
      </x:c>
      <x:c r="D28" s="6" t="str">
        <x:v>Family-Level Compatibility</x:v>
      </x:c>
      <x:c r="E28" s="6" t="str">
        <x:v>PHN</x:v>
      </x:c>
      <x:c r="F28" s="6" t="str">
        <x:v>Device family alone is insufficient for governed relationship.</x:v>
      </x:c>
      <x:c r="G28" s="6" t="str">
        <x:v>Nocturnix_Master_Compatibility_Catalog_v1.xlsx</x:v>
      </x:c>
      <x:c r="H28" s="6" t="str">
        <x:v>01 - Compatibility Records</x:v>
      </x:c>
      <x:c r="I28" s="6" t="n">
        <x:v>67</x:v>
      </x:c>
      <x:c r="J28" s="12" t="str">
        <x:v>Explicit governed evidence supporting relationship</x:v>
      </x:c>
      <x:c r="K28" s="6" t="str">
        <x:v>Unresolved</x:v>
      </x:c>
      <x:c r="L28" s="6" t="str">
        <x:v>Yes</x:v>
      </x:c>
      <x:c r="M28" s="6" t="str"/>
      <x:c r="N28" s="6" t="str"/>
      <x:c r="O28" s="12" t="str"/>
    </x:row>
    <x:row r="29">
      <x:c r="A29" s="6" t="str">
        <x:v>UNS000028</x:v>
      </x:c>
      <x:c r="B29" s="6" t="str">
        <x:v>SVC000028</x:v>
      </x:c>
      <x:c r="C29" s="6" t="str">
        <x:v>Galaxy S 6 Edge Screen replacement</x:v>
      </x:c>
      <x:c r="D29" s="6" t="str">
        <x:v>Family-Level Compatibility</x:v>
      </x:c>
      <x:c r="E29" s="6" t="str">
        <x:v>PHN</x:v>
      </x:c>
      <x:c r="F29" s="6" t="str">
        <x:v>Device family alone is insufficient for governed relationship.</x:v>
      </x:c>
      <x:c r="G29" s="6" t="str">
        <x:v>Nocturnix_Master_Compatibility_Catalog_v1.xlsx</x:v>
      </x:c>
      <x:c r="H29" s="6" t="str">
        <x:v>01 - Compatibility Records</x:v>
      </x:c>
      <x:c r="I29" s="6" t="n">
        <x:v>68</x:v>
      </x:c>
      <x:c r="J29" s="12" t="str">
        <x:v>Explicit governed evidence supporting relationship</x:v>
      </x:c>
      <x:c r="K29" s="6" t="str">
        <x:v>Unresolved</x:v>
      </x:c>
      <x:c r="L29" s="6" t="str">
        <x:v>Yes</x:v>
      </x:c>
      <x:c r="M29" s="6" t="str"/>
      <x:c r="N29" s="6" t="str"/>
      <x:c r="O29" s="12" t="str"/>
    </x:row>
    <x:row r="30">
      <x:c r="A30" s="6" t="str">
        <x:v>UNS000029</x:v>
      </x:c>
      <x:c r="B30" s="6" t="str">
        <x:v>SVC000029</x:v>
      </x:c>
      <x:c r="C30" s="6" t="str">
        <x:v>Galaxy S 21 Plus Screen replacement</x:v>
      </x:c>
      <x:c r="D30" s="6" t="str">
        <x:v>Family-Level Compatibility</x:v>
      </x:c>
      <x:c r="E30" s="6" t="str">
        <x:v>PHN</x:v>
      </x:c>
      <x:c r="F30" s="6" t="str">
        <x:v>Device family alone is insufficient for governed relationship.</x:v>
      </x:c>
      <x:c r="G30" s="6" t="str">
        <x:v>Nocturnix_Master_Compatibility_Catalog_v1.xlsx</x:v>
      </x:c>
      <x:c r="H30" s="6" t="str">
        <x:v>01 - Compatibility Records</x:v>
      </x:c>
      <x:c r="I30" s="6" t="n">
        <x:v>69</x:v>
      </x:c>
      <x:c r="J30" s="12" t="str">
        <x:v>Explicit governed evidence supporting relationship</x:v>
      </x:c>
      <x:c r="K30" s="6" t="str">
        <x:v>Unresolved</x:v>
      </x:c>
      <x:c r="L30" s="6" t="str">
        <x:v>Yes</x:v>
      </x:c>
      <x:c r="M30" s="6" t="str"/>
      <x:c r="N30" s="6" t="str"/>
      <x:c r="O30" s="12" t="str"/>
    </x:row>
    <x:row r="31">
      <x:c r="A31" s="6" t="str">
        <x:v>UNS000030</x:v>
      </x:c>
      <x:c r="B31" s="6" t="str">
        <x:v>SVC000030</x:v>
      </x:c>
      <x:c r="C31" s="6" t="str">
        <x:v>Galaxy S 6 Edge Plus Screen replacement</x:v>
      </x:c>
      <x:c r="D31" s="6" t="str">
        <x:v>Family-Level Compatibility</x:v>
      </x:c>
      <x:c r="E31" s="6" t="str">
        <x:v>PHN</x:v>
      </x:c>
      <x:c r="F31" s="6" t="str">
        <x:v>Device family alone is insufficient for governed relationship.</x:v>
      </x:c>
      <x:c r="G31" s="6" t="str">
        <x:v>Nocturnix_Master_Compatibility_Catalog_v1.xlsx</x:v>
      </x:c>
      <x:c r="H31" s="6" t="str">
        <x:v>01 - Compatibility Records</x:v>
      </x:c>
      <x:c r="I31" s="6" t="n">
        <x:v>70</x:v>
      </x:c>
      <x:c r="J31" s="12" t="str">
        <x:v>Explicit governed evidence supporting relationship</x:v>
      </x:c>
      <x:c r="K31" s="6" t="str">
        <x:v>Unresolved</x:v>
      </x:c>
      <x:c r="L31" s="6" t="str">
        <x:v>Yes</x:v>
      </x:c>
      <x:c r="M31" s="6" t="str"/>
      <x:c r="N31" s="6" t="str"/>
      <x:c r="O31" s="12" t="str"/>
    </x:row>
    <x:row r="32">
      <x:c r="A32" s="6" t="str">
        <x:v>UNS000031</x:v>
      </x:c>
      <x:c r="B32" s="6" t="str">
        <x:v>SVC000031</x:v>
      </x:c>
      <x:c r="C32" s="6" t="str">
        <x:v>Galaxy S 25 Screen replacement</x:v>
      </x:c>
      <x:c r="D32" s="6" t="str">
        <x:v>Family-Level Compatibility</x:v>
      </x:c>
      <x:c r="E32" s="6" t="str">
        <x:v>PHN</x:v>
      </x:c>
      <x:c r="F32" s="6" t="str">
        <x:v>Device family alone is insufficient for governed relationship.</x:v>
      </x:c>
      <x:c r="G32" s="6" t="str">
        <x:v>Nocturnix_Master_Compatibility_Catalog_v1.xlsx</x:v>
      </x:c>
      <x:c r="H32" s="6" t="str">
        <x:v>01 - Compatibility Records</x:v>
      </x:c>
      <x:c r="I32" s="6" t="n">
        <x:v>71</x:v>
      </x:c>
      <x:c r="J32" s="12" t="str">
        <x:v>Explicit governed evidence supporting relationship</x:v>
      </x:c>
      <x:c r="K32" s="6" t="str">
        <x:v>Unresolved</x:v>
      </x:c>
      <x:c r="L32" s="6" t="str">
        <x:v>Yes</x:v>
      </x:c>
      <x:c r="M32" s="6" t="str"/>
      <x:c r="N32" s="6" t="str"/>
      <x:c r="O32" s="12" t="str"/>
    </x:row>
    <x:row r="33">
      <x:c r="A33" s="6" t="str">
        <x:v>UNS000032</x:v>
      </x:c>
      <x:c r="B33" s="6" t="str">
        <x:v>SVC000032</x:v>
      </x:c>
      <x:c r="C33" s="6" t="str">
        <x:v>Galaxy S 10 E Screen replacement</x:v>
      </x:c>
      <x:c r="D33" s="6" t="str">
        <x:v>Family-Level Compatibility</x:v>
      </x:c>
      <x:c r="E33" s="6" t="str">
        <x:v>PHN</x:v>
      </x:c>
      <x:c r="F33" s="6" t="str">
        <x:v>Device family alone is insufficient for governed relationship.</x:v>
      </x:c>
      <x:c r="G33" s="6" t="str">
        <x:v>Nocturnix_Master_Compatibility_Catalog_v1.xlsx</x:v>
      </x:c>
      <x:c r="H33" s="6" t="str">
        <x:v>01 - Compatibility Records</x:v>
      </x:c>
      <x:c r="I33" s="6" t="n">
        <x:v>72</x:v>
      </x:c>
      <x:c r="J33" s="12" t="str">
        <x:v>Explicit governed evidence supporting relationship</x:v>
      </x:c>
      <x:c r="K33" s="6" t="str">
        <x:v>Unresolved</x:v>
      </x:c>
      <x:c r="L33" s="6" t="str">
        <x:v>Yes</x:v>
      </x:c>
      <x:c r="M33" s="6" t="str"/>
      <x:c r="N33" s="6" t="str"/>
      <x:c r="O33" s="12" t="str"/>
    </x:row>
    <x:row r="34">
      <x:c r="A34" s="6" t="str">
        <x:v>UNS000033</x:v>
      </x:c>
      <x:c r="B34" s="6" t="str">
        <x:v>SVC000033</x:v>
      </x:c>
      <x:c r="C34" s="6" t="str">
        <x:v>Galaxy S 23 Plus Screen replacement</x:v>
      </x:c>
      <x:c r="D34" s="6" t="str">
        <x:v>Family-Level Compatibility</x:v>
      </x:c>
      <x:c r="E34" s="6" t="str">
        <x:v>PHN</x:v>
      </x:c>
      <x:c r="F34" s="6" t="str">
        <x:v>Device family alone is insufficient for governed relationship.</x:v>
      </x:c>
      <x:c r="G34" s="6" t="str">
        <x:v>Nocturnix_Master_Compatibility_Catalog_v1.xlsx</x:v>
      </x:c>
      <x:c r="H34" s="6" t="str">
        <x:v>01 - Compatibility Records</x:v>
      </x:c>
      <x:c r="I34" s="6" t="n">
        <x:v>73</x:v>
      </x:c>
      <x:c r="J34" s="12" t="str">
        <x:v>Explicit governed evidence supporting relationship</x:v>
      </x:c>
      <x:c r="K34" s="6" t="str">
        <x:v>Unresolved</x:v>
      </x:c>
      <x:c r="L34" s="6" t="str">
        <x:v>Yes</x:v>
      </x:c>
      <x:c r="M34" s="6" t="str"/>
      <x:c r="N34" s="6" t="str"/>
      <x:c r="O34" s="12" t="str"/>
    </x:row>
    <x:row r="35">
      <x:c r="A35" s="6" t="str">
        <x:v>UNS000034</x:v>
      </x:c>
      <x:c r="B35" s="6" t="str">
        <x:v>SVC000034</x:v>
      </x:c>
      <x:c r="C35" s="6" t="str">
        <x:v>Galaxy S 8 Screen replacement</x:v>
      </x:c>
      <x:c r="D35" s="6" t="str">
        <x:v>Family-Level Compatibility</x:v>
      </x:c>
      <x:c r="E35" s="6" t="str">
        <x:v>PHN</x:v>
      </x:c>
      <x:c r="F35" s="6" t="str">
        <x:v>Device family alone is insufficient for governed relationship.</x:v>
      </x:c>
      <x:c r="G35" s="6" t="str">
        <x:v>Nocturnix_Master_Compatibility_Catalog_v1.xlsx</x:v>
      </x:c>
      <x:c r="H35" s="6" t="str">
        <x:v>01 - Compatibility Records</x:v>
      </x:c>
      <x:c r="I35" s="6" t="n">
        <x:v>74</x:v>
      </x:c>
      <x:c r="J35" s="12" t="str">
        <x:v>Explicit governed evidence supporting relationship</x:v>
      </x:c>
      <x:c r="K35" s="6" t="str">
        <x:v>Unresolved</x:v>
      </x:c>
      <x:c r="L35" s="6" t="str">
        <x:v>Yes</x:v>
      </x:c>
      <x:c r="M35" s="6" t="str"/>
      <x:c r="N35" s="6" t="str"/>
      <x:c r="O35" s="12" t="str"/>
    </x:row>
    <x:row r="36">
      <x:c r="A36" s="6" t="str">
        <x:v>UNS000035</x:v>
      </x:c>
      <x:c r="B36" s="6" t="str">
        <x:v>SVC000035</x:v>
      </x:c>
      <x:c r="C36" s="6" t="str">
        <x:v>Galaxy S 20 Screen replacement</x:v>
      </x:c>
      <x:c r="D36" s="6" t="str">
        <x:v>Family-Level Compatibility</x:v>
      </x:c>
      <x:c r="E36" s="6" t="str">
        <x:v>PHN</x:v>
      </x:c>
      <x:c r="F36" s="6" t="str">
        <x:v>Device family alone is insufficient for governed relationship.</x:v>
      </x:c>
      <x:c r="G36" s="6" t="str">
        <x:v>Nocturnix_Master_Compatibility_Catalog_v1.xlsx</x:v>
      </x:c>
      <x:c r="H36" s="6" t="str">
        <x:v>01 - Compatibility Records</x:v>
      </x:c>
      <x:c r="I36" s="6" t="n">
        <x:v>75</x:v>
      </x:c>
      <x:c r="J36" s="12" t="str">
        <x:v>Explicit governed evidence supporting relationship</x:v>
      </x:c>
      <x:c r="K36" s="6" t="str">
        <x:v>Unresolved</x:v>
      </x:c>
      <x:c r="L36" s="6" t="str">
        <x:v>Yes</x:v>
      </x:c>
      <x:c r="M36" s="6" t="str"/>
      <x:c r="N36" s="6" t="str"/>
      <x:c r="O36" s="12" t="str"/>
    </x:row>
    <x:row r="37">
      <x:c r="A37" s="6" t="str">
        <x:v>UNS000036</x:v>
      </x:c>
      <x:c r="B37" s="6" t="str">
        <x:v>SVC000036</x:v>
      </x:c>
      <x:c r="C37" s="6" t="str">
        <x:v>Galaxy S 20 Ultra Screen replacement</x:v>
      </x:c>
      <x:c r="D37" s="6" t="str">
        <x:v>Family-Level Compatibility</x:v>
      </x:c>
      <x:c r="E37" s="6" t="str">
        <x:v>PHN</x:v>
      </x:c>
      <x:c r="F37" s="6" t="str">
        <x:v>Device family alone is insufficient for governed relationship.</x:v>
      </x:c>
      <x:c r="G37" s="6" t="str">
        <x:v>Nocturnix_Master_Compatibility_Catalog_v1.xlsx</x:v>
      </x:c>
      <x:c r="H37" s="6" t="str">
        <x:v>01 - Compatibility Records</x:v>
      </x:c>
      <x:c r="I37" s="6" t="n">
        <x:v>76</x:v>
      </x:c>
      <x:c r="J37" s="12" t="str">
        <x:v>Explicit governed evidence supporting relationship</x:v>
      </x:c>
      <x:c r="K37" s="6" t="str">
        <x:v>Unresolved</x:v>
      </x:c>
      <x:c r="L37" s="6" t="str">
        <x:v>Yes</x:v>
      </x:c>
      <x:c r="M37" s="6" t="str"/>
      <x:c r="N37" s="6" t="str"/>
      <x:c r="O37" s="12" t="str"/>
    </x:row>
    <x:row r="38">
      <x:c r="A38" s="6" t="str">
        <x:v>UNS000037</x:v>
      </x:c>
      <x:c r="B38" s="6" t="str">
        <x:v>SVC000037</x:v>
      </x:c>
      <x:c r="C38" s="6" t="str">
        <x:v>Galaxy S 24 Plus Screen replacement</x:v>
      </x:c>
      <x:c r="D38" s="6" t="str">
        <x:v>Family-Level Compatibility</x:v>
      </x:c>
      <x:c r="E38" s="6" t="str">
        <x:v>PHN</x:v>
      </x:c>
      <x:c r="F38" s="6" t="str">
        <x:v>Device family alone is insufficient for governed relationship.</x:v>
      </x:c>
      <x:c r="G38" s="6" t="str">
        <x:v>Nocturnix_Master_Compatibility_Catalog_v1.xlsx</x:v>
      </x:c>
      <x:c r="H38" s="6" t="str">
        <x:v>01 - Compatibility Records</x:v>
      </x:c>
      <x:c r="I38" s="6" t="n">
        <x:v>77</x:v>
      </x:c>
      <x:c r="J38" s="12" t="str">
        <x:v>Explicit governed evidence supporting relationship</x:v>
      </x:c>
      <x:c r="K38" s="6" t="str">
        <x:v>Unresolved</x:v>
      </x:c>
      <x:c r="L38" s="6" t="str">
        <x:v>Yes</x:v>
      </x:c>
      <x:c r="M38" s="6" t="str"/>
      <x:c r="N38" s="6" t="str"/>
      <x:c r="O38" s="12" t="str"/>
    </x:row>
    <x:row r="39">
      <x:c r="A39" s="6" t="str">
        <x:v>UNS000038</x:v>
      </x:c>
      <x:c r="B39" s="6" t="str">
        <x:v>SVC000038</x:v>
      </x:c>
      <x:c r="C39" s="6" t="str">
        <x:v>Galaxy S 7 Screen replacement</x:v>
      </x:c>
      <x:c r="D39" s="6" t="str">
        <x:v>Family-Level Compatibility</x:v>
      </x:c>
      <x:c r="E39" s="6" t="str">
        <x:v>PHN</x:v>
      </x:c>
      <x:c r="F39" s="6" t="str">
        <x:v>Device family alone is insufficient for governed relationship.</x:v>
      </x:c>
      <x:c r="G39" s="6" t="str">
        <x:v>Nocturnix_Master_Compatibility_Catalog_v1.xlsx</x:v>
      </x:c>
      <x:c r="H39" s="6" t="str">
        <x:v>01 - Compatibility Records</x:v>
      </x:c>
      <x:c r="I39" s="6" t="n">
        <x:v>78</x:v>
      </x:c>
      <x:c r="J39" s="12" t="str">
        <x:v>Explicit governed evidence supporting relationship</x:v>
      </x:c>
      <x:c r="K39" s="6" t="str">
        <x:v>Unresolved</x:v>
      </x:c>
      <x:c r="L39" s="6" t="str">
        <x:v>Yes</x:v>
      </x:c>
      <x:c r="M39" s="6" t="str"/>
      <x:c r="N39" s="6" t="str"/>
      <x:c r="O39" s="12" t="str"/>
    </x:row>
    <x:row r="40">
      <x:c r="A40" s="6" t="str">
        <x:v>UNS000039</x:v>
      </x:c>
      <x:c r="B40" s="6" t="str">
        <x:v>SVC000039</x:v>
      </x:c>
      <x:c r="C40" s="6" t="str">
        <x:v>Galaxy S 10 Screen replacement</x:v>
      </x:c>
      <x:c r="D40" s="6" t="str">
        <x:v>Family-Level Compatibility</x:v>
      </x:c>
      <x:c r="E40" s="6" t="str">
        <x:v>PHN</x:v>
      </x:c>
      <x:c r="F40" s="6" t="str">
        <x:v>Device family alone is insufficient for governed relationship.</x:v>
      </x:c>
      <x:c r="G40" s="6" t="str">
        <x:v>Nocturnix_Master_Compatibility_Catalog_v1.xlsx</x:v>
      </x:c>
      <x:c r="H40" s="6" t="str">
        <x:v>01 - Compatibility Records</x:v>
      </x:c>
      <x:c r="I40" s="6" t="n">
        <x:v>79</x:v>
      </x:c>
      <x:c r="J40" s="12" t="str">
        <x:v>Explicit governed evidence supporting relationship</x:v>
      </x:c>
      <x:c r="K40" s="6" t="str">
        <x:v>Unresolved</x:v>
      </x:c>
      <x:c r="L40" s="6" t="str">
        <x:v>Yes</x:v>
      </x:c>
      <x:c r="M40" s="6" t="str"/>
      <x:c r="N40" s="6" t="str"/>
      <x:c r="O40" s="12" t="str"/>
    </x:row>
    <x:row r="41">
      <x:c r="A41" s="6" t="str">
        <x:v>UNS000040</x:v>
      </x:c>
      <x:c r="B41" s="6" t="str">
        <x:v>SVC000040</x:v>
      </x:c>
      <x:c r="C41" s="6" t="str">
        <x:v>Galaxy S 7 Edge Screen replacement</x:v>
      </x:c>
      <x:c r="D41" s="6" t="str">
        <x:v>Family-Level Compatibility</x:v>
      </x:c>
      <x:c r="E41" s="6" t="str">
        <x:v>PHN</x:v>
      </x:c>
      <x:c r="F41" s="6" t="str">
        <x:v>Device family alone is insufficient for governed relationship.</x:v>
      </x:c>
      <x:c r="G41" s="6" t="str">
        <x:v>Nocturnix_Master_Compatibility_Catalog_v1.xlsx</x:v>
      </x:c>
      <x:c r="H41" s="6" t="str">
        <x:v>01 - Compatibility Records</x:v>
      </x:c>
      <x:c r="I41" s="6" t="n">
        <x:v>80</x:v>
      </x:c>
      <x:c r="J41" s="12" t="str">
        <x:v>Explicit governed evidence supporting relationship</x:v>
      </x:c>
      <x:c r="K41" s="6" t="str">
        <x:v>Unresolved</x:v>
      </x:c>
      <x:c r="L41" s="6" t="str">
        <x:v>Yes</x:v>
      </x:c>
      <x:c r="M41" s="6" t="str"/>
      <x:c r="N41" s="6" t="str"/>
      <x:c r="O41" s="12" t="str"/>
    </x:row>
    <x:row r="42">
      <x:c r="A42" s="6" t="str">
        <x:v>UNS000041</x:v>
      </x:c>
      <x:c r="B42" s="6" t="str">
        <x:v>SVC000041</x:v>
      </x:c>
      <x:c r="C42" s="6" t="str">
        <x:v>Galaxy S 9 Screen replacement</x:v>
      </x:c>
      <x:c r="D42" s="6" t="str">
        <x:v>Family-Level Compatibility</x:v>
      </x:c>
      <x:c r="E42" s="6" t="str">
        <x:v>PHN</x:v>
      </x:c>
      <x:c r="F42" s="6" t="str">
        <x:v>Device family alone is insufficient for governed relationship.</x:v>
      </x:c>
      <x:c r="G42" s="6" t="str">
        <x:v>Nocturnix_Master_Compatibility_Catalog_v1.xlsx</x:v>
      </x:c>
      <x:c r="H42" s="6" t="str">
        <x:v>01 - Compatibility Records</x:v>
      </x:c>
      <x:c r="I42" s="6" t="n">
        <x:v>81</x:v>
      </x:c>
      <x:c r="J42" s="12" t="str">
        <x:v>Explicit governed evidence supporting relationship</x:v>
      </x:c>
      <x:c r="K42" s="6" t="str">
        <x:v>Unresolved</x:v>
      </x:c>
      <x:c r="L42" s="6" t="str">
        <x:v>Yes</x:v>
      </x:c>
      <x:c r="M42" s="6" t="str"/>
      <x:c r="N42" s="6" t="str"/>
      <x:c r="O42" s="12" t="str"/>
    </x:row>
    <x:row r="43">
      <x:c r="A43" s="6" t="str">
        <x:v>UNS000042</x:v>
      </x:c>
      <x:c r="B43" s="6" t="str">
        <x:v>SVC000042</x:v>
      </x:c>
      <x:c r="C43" s="6" t="str">
        <x:v>Galaxy S 23 Screen replacement</x:v>
      </x:c>
      <x:c r="D43" s="6" t="str">
        <x:v>Family-Level Compatibility</x:v>
      </x:c>
      <x:c r="E43" s="6" t="str">
        <x:v>PHN</x:v>
      </x:c>
      <x:c r="F43" s="6" t="str">
        <x:v>Device family alone is insufficient for governed relationship.</x:v>
      </x:c>
      <x:c r="G43" s="6" t="str">
        <x:v>Nocturnix_Master_Compatibility_Catalog_v1.xlsx</x:v>
      </x:c>
      <x:c r="H43" s="6" t="str">
        <x:v>01 - Compatibility Records</x:v>
      </x:c>
      <x:c r="I43" s="6" t="n">
        <x:v>82</x:v>
      </x:c>
      <x:c r="J43" s="12" t="str">
        <x:v>Explicit governed evidence supporting relationship</x:v>
      </x:c>
      <x:c r="K43" s="6" t="str">
        <x:v>Unresolved</x:v>
      </x:c>
      <x:c r="L43" s="6" t="str">
        <x:v>Yes</x:v>
      </x:c>
      <x:c r="M43" s="6" t="str"/>
      <x:c r="N43" s="6" t="str"/>
      <x:c r="O43" s="12" t="str"/>
    </x:row>
    <x:row r="44">
      <x:c r="A44" s="6" t="str">
        <x:v>UNS000043</x:v>
      </x:c>
      <x:c r="B44" s="6" t="str">
        <x:v>SVC000043</x:v>
      </x:c>
      <x:c r="C44" s="6" t="str">
        <x:v>Galaxy S 23 FE Screen replacement</x:v>
      </x:c>
      <x:c r="D44" s="6" t="str">
        <x:v>Family-Level Compatibility</x:v>
      </x:c>
      <x:c r="E44" s="6" t="str">
        <x:v>PHN</x:v>
      </x:c>
      <x:c r="F44" s="6" t="str">
        <x:v>Device family alone is insufficient for governed relationship.</x:v>
      </x:c>
      <x:c r="G44" s="6" t="str">
        <x:v>Nocturnix_Master_Compatibility_Catalog_v1.xlsx</x:v>
      </x:c>
      <x:c r="H44" s="6" t="str">
        <x:v>01 - Compatibility Records</x:v>
      </x:c>
      <x:c r="I44" s="6" t="n">
        <x:v>83</x:v>
      </x:c>
      <x:c r="J44" s="12" t="str">
        <x:v>Explicit governed evidence supporting relationship</x:v>
      </x:c>
      <x:c r="K44" s="6" t="str">
        <x:v>Unresolved</x:v>
      </x:c>
      <x:c r="L44" s="6" t="str">
        <x:v>Yes</x:v>
      </x:c>
      <x:c r="M44" s="6" t="str"/>
      <x:c r="N44" s="6" t="str"/>
      <x:c r="O44" s="12" t="str"/>
    </x:row>
    <x:row r="45">
      <x:c r="A45" s="6" t="str">
        <x:v>UNS000044</x:v>
      </x:c>
      <x:c r="B45" s="6" t="str">
        <x:v>SVC000044</x:v>
      </x:c>
      <x:c r="C45" s="6" t="str">
        <x:v>Galaxy S3 Mini Screen replacement</x:v>
      </x:c>
      <x:c r="D45" s="6" t="str">
        <x:v>Family-Level Compatibility</x:v>
      </x:c>
      <x:c r="E45" s="6" t="str">
        <x:v>PHN</x:v>
      </x:c>
      <x:c r="F45" s="6" t="str">
        <x:v>Device family alone is insufficient for governed relationship.</x:v>
      </x:c>
      <x:c r="G45" s="6" t="str">
        <x:v>Nocturnix_Master_Compatibility_Catalog_v1.xlsx</x:v>
      </x:c>
      <x:c r="H45" s="6" t="str">
        <x:v>01 - Compatibility Records</x:v>
      </x:c>
      <x:c r="I45" s="6" t="n">
        <x:v>84</x:v>
      </x:c>
      <x:c r="J45" s="12" t="str">
        <x:v>Explicit governed evidence supporting relationship</x:v>
      </x:c>
      <x:c r="K45" s="6" t="str">
        <x:v>Unresolved</x:v>
      </x:c>
      <x:c r="L45" s="6" t="str">
        <x:v>Yes</x:v>
      </x:c>
      <x:c r="M45" s="6" t="str"/>
      <x:c r="N45" s="6" t="str"/>
      <x:c r="O45" s="12" t="str"/>
    </x:row>
    <x:row r="46">
      <x:c r="A46" s="6" t="str">
        <x:v>UNS000045</x:v>
      </x:c>
      <x:c r="B46" s="6" t="str">
        <x:v>SVC000045</x:v>
      </x:c>
      <x:c r="C46" s="6" t="str">
        <x:v>Galaxy S 4 Mini Screen replacement</x:v>
      </x:c>
      <x:c r="D46" s="6" t="str">
        <x:v>Family-Level Compatibility</x:v>
      </x:c>
      <x:c r="E46" s="6" t="str">
        <x:v>PHN</x:v>
      </x:c>
      <x:c r="F46" s="6" t="str">
        <x:v>Device family alone is insufficient for governed relationship.</x:v>
      </x:c>
      <x:c r="G46" s="6" t="str">
        <x:v>Nocturnix_Master_Compatibility_Catalog_v1.xlsx</x:v>
      </x:c>
      <x:c r="H46" s="6" t="str">
        <x:v>01 - Compatibility Records</x:v>
      </x:c>
      <x:c r="I46" s="6" t="n">
        <x:v>85</x:v>
      </x:c>
      <x:c r="J46" s="12" t="str">
        <x:v>Explicit governed evidence supporting relationship</x:v>
      </x:c>
      <x:c r="K46" s="6" t="str">
        <x:v>Unresolved</x:v>
      </x:c>
      <x:c r="L46" s="6" t="str">
        <x:v>Yes</x:v>
      </x:c>
      <x:c r="M46" s="6" t="str"/>
      <x:c r="N46" s="6" t="str"/>
      <x:c r="O46" s="12" t="str"/>
    </x:row>
    <x:row r="47">
      <x:c r="A47" s="6" t="str">
        <x:v>UNS000046</x:v>
      </x:c>
      <x:c r="B47" s="6" t="str">
        <x:v>SVC000046</x:v>
      </x:c>
      <x:c r="C47" s="6" t="str">
        <x:v>Galaxy S Classic Screen replacement</x:v>
      </x:c>
      <x:c r="D47" s="6" t="str">
        <x:v>Family-Level Compatibility</x:v>
      </x:c>
      <x:c r="E47" s="6" t="str">
        <x:v>PHN</x:v>
      </x:c>
      <x:c r="F47" s="6" t="str">
        <x:v>Device family alone is insufficient for governed relationship.</x:v>
      </x:c>
      <x:c r="G47" s="6" t="str">
        <x:v>Nocturnix_Master_Compatibility_Catalog_v1.xlsx</x:v>
      </x:c>
      <x:c r="H47" s="6" t="str">
        <x:v>01 - Compatibility Records</x:v>
      </x:c>
      <x:c r="I47" s="6" t="n">
        <x:v>86</x:v>
      </x:c>
      <x:c r="J47" s="12" t="str">
        <x:v>Explicit governed evidence supporting relationship</x:v>
      </x:c>
      <x:c r="K47" s="6" t="str">
        <x:v>Unresolved</x:v>
      </x:c>
      <x:c r="L47" s="6" t="str">
        <x:v>Yes</x:v>
      </x:c>
      <x:c r="M47" s="6" t="str"/>
      <x:c r="N47" s="6" t="str"/>
      <x:c r="O47" s="12" t="str"/>
    </x:row>
    <x:row r="48">
      <x:c r="A48" s="6" t="str">
        <x:v>UNS000047</x:v>
      </x:c>
      <x:c r="B48" s="6" t="str">
        <x:v>SVC000047</x:v>
      </x:c>
      <x:c r="C48" s="6" t="str">
        <x:v>Galaxy S 5 Active Screen replacement</x:v>
      </x:c>
      <x:c r="D48" s="6" t="str">
        <x:v>Family-Level Compatibility</x:v>
      </x:c>
      <x:c r="E48" s="6" t="str">
        <x:v>PHN</x:v>
      </x:c>
      <x:c r="F48" s="6" t="str">
        <x:v>Device family alone is insufficient for governed relationship.</x:v>
      </x:c>
      <x:c r="G48" s="6" t="str">
        <x:v>Nocturnix_Master_Compatibility_Catalog_v1.xlsx</x:v>
      </x:c>
      <x:c r="H48" s="6" t="str">
        <x:v>01 - Compatibility Records</x:v>
      </x:c>
      <x:c r="I48" s="6" t="n">
        <x:v>87</x:v>
      </x:c>
      <x:c r="J48" s="12" t="str">
        <x:v>Explicit governed evidence supporting relationship</x:v>
      </x:c>
      <x:c r="K48" s="6" t="str">
        <x:v>Unresolved</x:v>
      </x:c>
      <x:c r="L48" s="6" t="str">
        <x:v>Yes</x:v>
      </x:c>
      <x:c r="M48" s="6" t="str"/>
      <x:c r="N48" s="6" t="str"/>
      <x:c r="O48" s="12" t="str"/>
    </x:row>
    <x:row r="49">
      <x:c r="A49" s="6" t="str">
        <x:v>UNS000048</x:v>
      </x:c>
      <x:c r="B49" s="6" t="str">
        <x:v>SVC000048</x:v>
      </x:c>
      <x:c r="C49" s="6" t="str">
        <x:v>Galaxy S 5 Neo Screen replacement</x:v>
      </x:c>
      <x:c r="D49" s="6" t="str">
        <x:v>Family-Level Compatibility</x:v>
      </x:c>
      <x:c r="E49" s="6" t="str">
        <x:v>PHN</x:v>
      </x:c>
      <x:c r="F49" s="6" t="str">
        <x:v>Device family alone is insufficient for governed relationship.</x:v>
      </x:c>
      <x:c r="G49" s="6" t="str">
        <x:v>Nocturnix_Master_Compatibility_Catalog_v1.xlsx</x:v>
      </x:c>
      <x:c r="H49" s="6" t="str">
        <x:v>01 - Compatibility Records</x:v>
      </x:c>
      <x:c r="I49" s="6" t="n">
        <x:v>88</x:v>
      </x:c>
      <x:c r="J49" s="12" t="str">
        <x:v>Explicit governed evidence supporting relationship</x:v>
      </x:c>
      <x:c r="K49" s="6" t="str">
        <x:v>Unresolved</x:v>
      </x:c>
      <x:c r="L49" s="6" t="str">
        <x:v>Yes</x:v>
      </x:c>
      <x:c r="M49" s="6" t="str"/>
      <x:c r="N49" s="6" t="str"/>
      <x:c r="O49" s="12" t="str"/>
    </x:row>
    <x:row r="50">
      <x:c r="A50" s="6" t="str">
        <x:v>UNS000049</x:v>
      </x:c>
      <x:c r="B50" s="6" t="str">
        <x:v>SVC000049</x:v>
      </x:c>
      <x:c r="C50" s="6" t="str">
        <x:v>Galaxy S2 Screen replacement</x:v>
      </x:c>
      <x:c r="D50" s="6" t="str">
        <x:v>Family-Level Compatibility</x:v>
      </x:c>
      <x:c r="E50" s="6" t="str">
        <x:v>PHN</x:v>
      </x:c>
      <x:c r="F50" s="6" t="str">
        <x:v>Device family alone is insufficient for governed relationship.</x:v>
      </x:c>
      <x:c r="G50" s="6" t="str">
        <x:v>Nocturnix_Master_Compatibility_Catalog_v1.xlsx</x:v>
      </x:c>
      <x:c r="H50" s="6" t="str">
        <x:v>01 - Compatibility Records</x:v>
      </x:c>
      <x:c r="I50" s="6" t="n">
        <x:v>89</x:v>
      </x:c>
      <x:c r="J50" s="12" t="str">
        <x:v>Explicit governed evidence supporting relationship</x:v>
      </x:c>
      <x:c r="K50" s="6" t="str">
        <x:v>Unresolved</x:v>
      </x:c>
      <x:c r="L50" s="6" t="str">
        <x:v>Yes</x:v>
      </x:c>
      <x:c r="M50" s="6" t="str"/>
      <x:c r="N50" s="6" t="str"/>
      <x:c r="O50" s="12" t="str"/>
    </x:row>
    <x:row r="51">
      <x:c r="A51" s="6" t="str">
        <x:v>UNS000050</x:v>
      </x:c>
      <x:c r="B51" s="6" t="str">
        <x:v>SVC000050</x:v>
      </x:c>
      <x:c r="C51" s="6" t="str">
        <x:v>Galaxy S3 Neo Screen replacement</x:v>
      </x:c>
      <x:c r="D51" s="6" t="str">
        <x:v>Family-Level Compatibility</x:v>
      </x:c>
      <x:c r="E51" s="6" t="str">
        <x:v>PHN</x:v>
      </x:c>
      <x:c r="F51" s="6" t="str">
        <x:v>Device family alone is insufficient for governed relationship.</x:v>
      </x:c>
      <x:c r="G51" s="6" t="str">
        <x:v>Nocturnix_Master_Compatibility_Catalog_v1.xlsx</x:v>
      </x:c>
      <x:c r="H51" s="6" t="str">
        <x:v>01 - Compatibility Records</x:v>
      </x:c>
      <x:c r="I51" s="6" t="n">
        <x:v>90</x:v>
      </x:c>
      <x:c r="J51" s="12" t="str">
        <x:v>Explicit governed evidence supporting relationship</x:v>
      </x:c>
      <x:c r="K51" s="6" t="str">
        <x:v>Unresolved</x:v>
      </x:c>
      <x:c r="L51" s="6" t="str">
        <x:v>Yes</x:v>
      </x:c>
      <x:c r="M51" s="6" t="str"/>
      <x:c r="N51" s="6" t="str"/>
      <x:c r="O51" s="12" t="str"/>
    </x:row>
    <x:row r="52">
      <x:c r="A52" s="6" t="str">
        <x:v>UNS000051</x:v>
      </x:c>
      <x:c r="B52" s="6" t="str">
        <x:v>SVC000051</x:v>
      </x:c>
      <x:c r="C52" s="6" t="str">
        <x:v>Galaxy S3 Screen replacement</x:v>
      </x:c>
      <x:c r="D52" s="6" t="str">
        <x:v>Family-Level Compatibility</x:v>
      </x:c>
      <x:c r="E52" s="6" t="str">
        <x:v>PHN</x:v>
      </x:c>
      <x:c r="F52" s="6" t="str">
        <x:v>Device family alone is insufficient for governed relationship.</x:v>
      </x:c>
      <x:c r="G52" s="6" t="str">
        <x:v>Nocturnix_Master_Compatibility_Catalog_v1.xlsx</x:v>
      </x:c>
      <x:c r="H52" s="6" t="str">
        <x:v>01 - Compatibility Records</x:v>
      </x:c>
      <x:c r="I52" s="6" t="n">
        <x:v>91</x:v>
      </x:c>
      <x:c r="J52" s="12" t="str">
        <x:v>Explicit governed evidence supporting relationship</x:v>
      </x:c>
      <x:c r="K52" s="6" t="str">
        <x:v>Unresolved</x:v>
      </x:c>
      <x:c r="L52" s="6" t="str">
        <x:v>Yes</x:v>
      </x:c>
      <x:c r="M52" s="6" t="str"/>
      <x:c r="N52" s="6" t="str"/>
      <x:c r="O52" s="12" t="str"/>
    </x:row>
    <x:row r="53">
      <x:c r="A53" s="6" t="str">
        <x:v>UNS000052</x:v>
      </x:c>
      <x:c r="B53" s="6" t="str">
        <x:v>SVC000052</x:v>
      </x:c>
      <x:c r="C53" s="6" t="str">
        <x:v>Galaxy S4 Screen replacement</x:v>
      </x:c>
      <x:c r="D53" s="6" t="str">
        <x:v>Family-Level Compatibility</x:v>
      </x:c>
      <x:c r="E53" s="6" t="str">
        <x:v>PHN</x:v>
      </x:c>
      <x:c r="F53" s="6" t="str">
        <x:v>Device family alone is insufficient for governed relationship.</x:v>
      </x:c>
      <x:c r="G53" s="6" t="str">
        <x:v>Nocturnix_Master_Compatibility_Catalog_v1.xlsx</x:v>
      </x:c>
      <x:c r="H53" s="6" t="str">
        <x:v>01 - Compatibility Records</x:v>
      </x:c>
      <x:c r="I53" s="6" t="n">
        <x:v>92</x:v>
      </x:c>
      <x:c r="J53" s="12" t="str">
        <x:v>Explicit governed evidence supporting relationship</x:v>
      </x:c>
      <x:c r="K53" s="6" t="str">
        <x:v>Unresolved</x:v>
      </x:c>
      <x:c r="L53" s="6" t="str">
        <x:v>Yes</x:v>
      </x:c>
      <x:c r="M53" s="6" t="str"/>
      <x:c r="N53" s="6" t="str"/>
      <x:c r="O53" s="12" t="str"/>
    </x:row>
    <x:row r="54">
      <x:c r="A54" s="6" t="str">
        <x:v>UNS000053</x:v>
      </x:c>
      <x:c r="B54" s="6" t="str">
        <x:v>SVC000053</x:v>
      </x:c>
      <x:c r="C54" s="6" t="str">
        <x:v>Galaxy S 4 Active Screen replacement</x:v>
      </x:c>
      <x:c r="D54" s="6" t="str">
        <x:v>Family-Level Compatibility</x:v>
      </x:c>
      <x:c r="E54" s="6" t="str">
        <x:v>PHN</x:v>
      </x:c>
      <x:c r="F54" s="6" t="str">
        <x:v>Device family alone is insufficient for governed relationship.</x:v>
      </x:c>
      <x:c r="G54" s="6" t="str">
        <x:v>Nocturnix_Master_Compatibility_Catalog_v1.xlsx</x:v>
      </x:c>
      <x:c r="H54" s="6" t="str">
        <x:v>01 - Compatibility Records</x:v>
      </x:c>
      <x:c r="I54" s="6" t="n">
        <x:v>93</x:v>
      </x:c>
      <x:c r="J54" s="12" t="str">
        <x:v>Explicit governed evidence supporting relationship</x:v>
      </x:c>
      <x:c r="K54" s="6" t="str">
        <x:v>Unresolved</x:v>
      </x:c>
      <x:c r="L54" s="6" t="str">
        <x:v>Yes</x:v>
      </x:c>
      <x:c r="M54" s="6" t="str"/>
      <x:c r="N54" s="6" t="str"/>
      <x:c r="O54" s="12" t="str"/>
    </x:row>
    <x:row r="55">
      <x:c r="A55" s="6" t="str">
        <x:v>UNS000054</x:v>
      </x:c>
      <x:c r="B55" s="6" t="str">
        <x:v>SVC000054</x:v>
      </x:c>
      <x:c r="C55" s="6" t="str">
        <x:v>Galaxy S 5 Screen replacement</x:v>
      </x:c>
      <x:c r="D55" s="6" t="str">
        <x:v>Family-Level Compatibility</x:v>
      </x:c>
      <x:c r="E55" s="6" t="str">
        <x:v>PHN</x:v>
      </x:c>
      <x:c r="F55" s="6" t="str">
        <x:v>Device family alone is insufficient for governed relationship.</x:v>
      </x:c>
      <x:c r="G55" s="6" t="str">
        <x:v>Nocturnix_Master_Compatibility_Catalog_v1.xlsx</x:v>
      </x:c>
      <x:c r="H55" s="6" t="str">
        <x:v>01 - Compatibility Records</x:v>
      </x:c>
      <x:c r="I55" s="6" t="n">
        <x:v>94</x:v>
      </x:c>
      <x:c r="J55" s="12" t="str">
        <x:v>Explicit governed evidence supporting relationship</x:v>
      </x:c>
      <x:c r="K55" s="6" t="str">
        <x:v>Unresolved</x:v>
      </x:c>
      <x:c r="L55" s="6" t="str">
        <x:v>Yes</x:v>
      </x:c>
      <x:c r="M55" s="6" t="str"/>
      <x:c r="N55" s="6" t="str"/>
      <x:c r="O55" s="12" t="str"/>
    </x:row>
    <x:row r="56">
      <x:c r="A56" s="6" t="str">
        <x:v>UNS000055</x:v>
      </x:c>
      <x:c r="B56" s="6" t="str">
        <x:v>SVC000055</x:v>
      </x:c>
      <x:c r="C56" s="6" t="str">
        <x:v>iPhone X Screen replacement</x:v>
      </x:c>
      <x:c r="D56" s="6" t="str">
        <x:v>Family-Level Compatibility</x:v>
      </x:c>
      <x:c r="E56" s="6" t="str">
        <x:v>PHN</x:v>
      </x:c>
      <x:c r="F56" s="6" t="str">
        <x:v>Device family alone is insufficient for governed relationship.</x:v>
      </x:c>
      <x:c r="G56" s="6" t="str">
        <x:v>Nocturnix_Master_Compatibility_Catalog_v1.xlsx</x:v>
      </x:c>
      <x:c r="H56" s="6" t="str">
        <x:v>01 - Compatibility Records</x:v>
      </x:c>
      <x:c r="I56" s="6" t="n">
        <x:v>95</x:v>
      </x:c>
      <x:c r="J56" s="12" t="str">
        <x:v>Explicit governed evidence supporting relationship</x:v>
      </x:c>
      <x:c r="K56" s="6" t="str">
        <x:v>Unresolved</x:v>
      </x:c>
      <x:c r="L56" s="6" t="str">
        <x:v>Yes</x:v>
      </x:c>
      <x:c r="M56" s="6" t="str"/>
      <x:c r="N56" s="6" t="str"/>
      <x:c r="O56" s="12" t="str"/>
    </x:row>
    <x:row r="57">
      <x:c r="A57" s="6" t="str">
        <x:v>UNS000056</x:v>
      </x:c>
      <x:c r="B57" s="6" t="str">
        <x:v>SVC000056</x:v>
      </x:c>
      <x:c r="C57" s="6" t="str">
        <x:v>iPhone XS Max Screen replacement</x:v>
      </x:c>
      <x:c r="D57" s="6" t="str">
        <x:v>Family-Level Compatibility</x:v>
      </x:c>
      <x:c r="E57" s="6" t="str">
        <x:v>PHN</x:v>
      </x:c>
      <x:c r="F57" s="6" t="str">
        <x:v>Device family alone is insufficient for governed relationship.</x:v>
      </x:c>
      <x:c r="G57" s="6" t="str">
        <x:v>Nocturnix_Master_Compatibility_Catalog_v1.xlsx</x:v>
      </x:c>
      <x:c r="H57" s="6" t="str">
        <x:v>01 - Compatibility Records</x:v>
      </x:c>
      <x:c r="I57" s="6" t="n">
        <x:v>96</x:v>
      </x:c>
      <x:c r="J57" s="12" t="str">
        <x:v>Explicit governed evidence supporting relationship</x:v>
      </x:c>
      <x:c r="K57" s="6" t="str">
        <x:v>Unresolved</x:v>
      </x:c>
      <x:c r="L57" s="6" t="str">
        <x:v>Yes</x:v>
      </x:c>
      <x:c r="M57" s="6" t="str"/>
      <x:c r="N57" s="6" t="str"/>
      <x:c r="O57" s="12" t="str"/>
    </x:row>
    <x:row r="58">
      <x:c r="A58" s="6" t="str">
        <x:v>UNS000057</x:v>
      </x:c>
      <x:c r="B58" s="6" t="str">
        <x:v>SVC000057</x:v>
      </x:c>
      <x:c r="C58" s="6" t="str">
        <x:v>iPhone 12 Screen replacement</x:v>
      </x:c>
      <x:c r="D58" s="6" t="str">
        <x:v>Family-Level Compatibility</x:v>
      </x:c>
      <x:c r="E58" s="6" t="str">
        <x:v>PHN</x:v>
      </x:c>
      <x:c r="F58" s="6" t="str">
        <x:v>Device family alone is insufficient for governed relationship.</x:v>
      </x:c>
      <x:c r="G58" s="6" t="str">
        <x:v>Nocturnix_Master_Compatibility_Catalog_v1.xlsx</x:v>
      </x:c>
      <x:c r="H58" s="6" t="str">
        <x:v>01 - Compatibility Records</x:v>
      </x:c>
      <x:c r="I58" s="6" t="n">
        <x:v>97</x:v>
      </x:c>
      <x:c r="J58" s="12" t="str">
        <x:v>Explicit governed evidence supporting relationship</x:v>
      </x:c>
      <x:c r="K58" s="6" t="str">
        <x:v>Unresolved</x:v>
      </x:c>
      <x:c r="L58" s="6" t="str">
        <x:v>Yes</x:v>
      </x:c>
      <x:c r="M58" s="6" t="str"/>
      <x:c r="N58" s="6" t="str"/>
      <x:c r="O58" s="12" t="str"/>
    </x:row>
    <x:row r="59">
      <x:c r="A59" s="6" t="str">
        <x:v>UNS000058</x:v>
      </x:c>
      <x:c r="B59" s="6" t="str">
        <x:v>SVC000058</x:v>
      </x:c>
      <x:c r="C59" s="6" t="str">
        <x:v>iPhone 12 Pro Max Screen replacement</x:v>
      </x:c>
      <x:c r="D59" s="6" t="str">
        <x:v>Family-Level Compatibility</x:v>
      </x:c>
      <x:c r="E59" s="6" t="str">
        <x:v>PHN</x:v>
      </x:c>
      <x:c r="F59" s="6" t="str">
        <x:v>Device family alone is insufficient for governed relationship.</x:v>
      </x:c>
      <x:c r="G59" s="6" t="str">
        <x:v>Nocturnix_Master_Compatibility_Catalog_v1.xlsx</x:v>
      </x:c>
      <x:c r="H59" s="6" t="str">
        <x:v>01 - Compatibility Records</x:v>
      </x:c>
      <x:c r="I59" s="6" t="n">
        <x:v>98</x:v>
      </x:c>
      <x:c r="J59" s="12" t="str">
        <x:v>Explicit governed evidence supporting relationship</x:v>
      </x:c>
      <x:c r="K59" s="6" t="str">
        <x:v>Unresolved</x:v>
      </x:c>
      <x:c r="L59" s="6" t="str">
        <x:v>Yes</x:v>
      </x:c>
      <x:c r="M59" s="6" t="str"/>
      <x:c r="N59" s="6" t="str"/>
      <x:c r="O59" s="12" t="str"/>
    </x:row>
    <x:row r="60">
      <x:c r="A60" s="6" t="str">
        <x:v>UNS000059</x:v>
      </x:c>
      <x:c r="B60" s="6" t="str">
        <x:v>SVC000059</x:v>
      </x:c>
      <x:c r="C60" s="6" t="str">
        <x:v>iPhone 12 Mini Screen replacement</x:v>
      </x:c>
      <x:c r="D60" s="6" t="str">
        <x:v>Family-Level Compatibility</x:v>
      </x:c>
      <x:c r="E60" s="6" t="str">
        <x:v>PHN</x:v>
      </x:c>
      <x:c r="F60" s="6" t="str">
        <x:v>Device family alone is insufficient for governed relationship.</x:v>
      </x:c>
      <x:c r="G60" s="6" t="str">
        <x:v>Nocturnix_Master_Compatibility_Catalog_v1.xlsx</x:v>
      </x:c>
      <x:c r="H60" s="6" t="str">
        <x:v>01 - Compatibility Records</x:v>
      </x:c>
      <x:c r="I60" s="6" t="n">
        <x:v>99</x:v>
      </x:c>
      <x:c r="J60" s="12" t="str">
        <x:v>Explicit governed evidence supporting relationship</x:v>
      </x:c>
      <x:c r="K60" s="6" t="str">
        <x:v>Unresolved</x:v>
      </x:c>
      <x:c r="L60" s="6" t="str">
        <x:v>Yes</x:v>
      </x:c>
      <x:c r="M60" s="6" t="str"/>
      <x:c r="N60" s="6" t="str"/>
      <x:c r="O60" s="12" t="str"/>
    </x:row>
    <x:row r="61">
      <x:c r="A61" s="6" t="str">
        <x:v>UNS000060</x:v>
      </x:c>
      <x:c r="B61" s="6" t="str">
        <x:v>SVC000060</x:v>
      </x:c>
      <x:c r="C61" s="6" t="str">
        <x:v>iPhone 11 Pro Screen replacement</x:v>
      </x:c>
      <x:c r="D61" s="6" t="str">
        <x:v>Family-Level Compatibility</x:v>
      </x:c>
      <x:c r="E61" s="6" t="str">
        <x:v>PHN</x:v>
      </x:c>
      <x:c r="F61" s="6" t="str">
        <x:v>Device family alone is insufficient for governed relationship.</x:v>
      </x:c>
      <x:c r="G61" s="6" t="str">
        <x:v>Nocturnix_Master_Compatibility_Catalog_v1.xlsx</x:v>
      </x:c>
      <x:c r="H61" s="6" t="str">
        <x:v>01 - Compatibility Records</x:v>
      </x:c>
      <x:c r="I61" s="6" t="n">
        <x:v>100</x:v>
      </x:c>
      <x:c r="J61" s="12" t="str">
        <x:v>Explicit governed evidence supporting relationship</x:v>
      </x:c>
      <x:c r="K61" s="6" t="str">
        <x:v>Unresolved</x:v>
      </x:c>
      <x:c r="L61" s="6" t="str">
        <x:v>Yes</x:v>
      </x:c>
      <x:c r="M61" s="6" t="str"/>
      <x:c r="N61" s="6" t="str"/>
      <x:c r="O61" s="12" t="str"/>
    </x:row>
    <x:row r="62">
      <x:c r="A62" s="6" t="str">
        <x:v>UNS000061</x:v>
      </x:c>
      <x:c r="B62" s="6" t="str">
        <x:v>SVC000061</x:v>
      </x:c>
      <x:c r="C62" s="6" t="str">
        <x:v>iPhone 11 Screen replacement</x:v>
      </x:c>
      <x:c r="D62" s="6" t="str">
        <x:v>Family-Level Compatibility</x:v>
      </x:c>
      <x:c r="E62" s="6" t="str">
        <x:v>PHN</x:v>
      </x:c>
      <x:c r="F62" s="6" t="str">
        <x:v>Device family alone is insufficient for governed relationship.</x:v>
      </x:c>
      <x:c r="G62" s="6" t="str">
        <x:v>Nocturnix_Master_Compatibility_Catalog_v1.xlsx</x:v>
      </x:c>
      <x:c r="H62" s="6" t="str">
        <x:v>01 - Compatibility Records</x:v>
      </x:c>
      <x:c r="I62" s="6" t="n">
        <x:v>101</x:v>
      </x:c>
      <x:c r="J62" s="12" t="str">
        <x:v>Explicit governed evidence supporting relationship</x:v>
      </x:c>
      <x:c r="K62" s="6" t="str">
        <x:v>Unresolved</x:v>
      </x:c>
      <x:c r="L62" s="6" t="str">
        <x:v>Yes</x:v>
      </x:c>
      <x:c r="M62" s="6" t="str"/>
      <x:c r="N62" s="6" t="str"/>
      <x:c r="O62" s="12" t="str"/>
    </x:row>
    <x:row r="63">
      <x:c r="A63" s="6" t="str">
        <x:v>UNS000062</x:v>
      </x:c>
      <x:c r="B63" s="6" t="str">
        <x:v>SVC000062</x:v>
      </x:c>
      <x:c r="C63" s="6" t="str">
        <x:v>iPhone 11 Pro Max Screen replacement</x:v>
      </x:c>
      <x:c r="D63" s="6" t="str">
        <x:v>Family-Level Compatibility</x:v>
      </x:c>
      <x:c r="E63" s="6" t="str">
        <x:v>PHN</x:v>
      </x:c>
      <x:c r="F63" s="6" t="str">
        <x:v>Device family alone is insufficient for governed relationship.</x:v>
      </x:c>
      <x:c r="G63" s="6" t="str">
        <x:v>Nocturnix_Master_Compatibility_Catalog_v1.xlsx</x:v>
      </x:c>
      <x:c r="H63" s="6" t="str">
        <x:v>01 - Compatibility Records</x:v>
      </x:c>
      <x:c r="I63" s="6" t="n">
        <x:v>102</x:v>
      </x:c>
      <x:c r="J63" s="12" t="str">
        <x:v>Explicit governed evidence supporting relationship</x:v>
      </x:c>
      <x:c r="K63" s="6" t="str">
        <x:v>Unresolved</x:v>
      </x:c>
      <x:c r="L63" s="6" t="str">
        <x:v>Yes</x:v>
      </x:c>
      <x:c r="M63" s="6" t="str"/>
      <x:c r="N63" s="6" t="str"/>
      <x:c r="O63" s="12" t="str"/>
    </x:row>
    <x:row r="64">
      <x:c r="A64" s="6" t="str">
        <x:v>UNS000063</x:v>
      </x:c>
      <x:c r="B64" s="6" t="str">
        <x:v>SVC000063</x:v>
      </x:c>
      <x:c r="C64" s="6" t="str">
        <x:v>iPhone 12 Pro Screen replacement</x:v>
      </x:c>
      <x:c r="D64" s="6" t="str">
        <x:v>Family-Level Compatibility</x:v>
      </x:c>
      <x:c r="E64" s="6" t="str">
        <x:v>PHN</x:v>
      </x:c>
      <x:c r="F64" s="6" t="str">
        <x:v>Device family alone is insufficient for governed relationship.</x:v>
      </x:c>
      <x:c r="G64" s="6" t="str">
        <x:v>Nocturnix_Master_Compatibility_Catalog_v1.xlsx</x:v>
      </x:c>
      <x:c r="H64" s="6" t="str">
        <x:v>01 - Compatibility Records</x:v>
      </x:c>
      <x:c r="I64" s="6" t="n">
        <x:v>103</x:v>
      </x:c>
      <x:c r="J64" s="12" t="str">
        <x:v>Explicit governed evidence supporting relationship</x:v>
      </x:c>
      <x:c r="K64" s="6" t="str">
        <x:v>Unresolved</x:v>
      </x:c>
      <x:c r="L64" s="6" t="str">
        <x:v>Yes</x:v>
      </x:c>
      <x:c r="M64" s="6" t="str"/>
      <x:c r="N64" s="6" t="str"/>
      <x:c r="O64" s="12" t="str"/>
    </x:row>
    <x:row r="65">
      <x:c r="A65" s="6" t="str">
        <x:v>UNS000064</x:v>
      </x:c>
      <x:c r="B65" s="6" t="str">
        <x:v>SVC000064</x:v>
      </x:c>
      <x:c r="C65" s="6" t="str">
        <x:v>iPhone 13 Pro Screen replacement</x:v>
      </x:c>
      <x:c r="D65" s="6" t="str">
        <x:v>Family-Level Compatibility</x:v>
      </x:c>
      <x:c r="E65" s="6" t="str">
        <x:v>PHN</x:v>
      </x:c>
      <x:c r="F65" s="6" t="str">
        <x:v>Device family alone is insufficient for governed relationship.</x:v>
      </x:c>
      <x:c r="G65" s="6" t="str">
        <x:v>Nocturnix_Master_Compatibility_Catalog_v1.xlsx</x:v>
      </x:c>
      <x:c r="H65" s="6" t="str">
        <x:v>01 - Compatibility Records</x:v>
      </x:c>
      <x:c r="I65" s="6" t="n">
        <x:v>104</x:v>
      </x:c>
      <x:c r="J65" s="12" t="str">
        <x:v>Explicit governed evidence supporting relationship</x:v>
      </x:c>
      <x:c r="K65" s="6" t="str">
        <x:v>Unresolved</x:v>
      </x:c>
      <x:c r="L65" s="6" t="str">
        <x:v>Yes</x:v>
      </x:c>
      <x:c r="M65" s="6" t="str"/>
      <x:c r="N65" s="6" t="str"/>
      <x:c r="O65" s="12" t="str"/>
    </x:row>
    <x:row r="66">
      <x:c r="A66" s="6" t="str">
        <x:v>UNS000065</x:v>
      </x:c>
      <x:c r="B66" s="6" t="str">
        <x:v>SVC000065</x:v>
      </x:c>
      <x:c r="C66" s="6" t="str">
        <x:v>iPhone 13 Screen replacement</x:v>
      </x:c>
      <x:c r="D66" s="6" t="str">
        <x:v>Family-Level Compatibility</x:v>
      </x:c>
      <x:c r="E66" s="6" t="str">
        <x:v>PHN</x:v>
      </x:c>
      <x:c r="F66" s="6" t="str">
        <x:v>Device family alone is insufficient for governed relationship.</x:v>
      </x:c>
      <x:c r="G66" s="6" t="str">
        <x:v>Nocturnix_Master_Compatibility_Catalog_v1.xlsx</x:v>
      </x:c>
      <x:c r="H66" s="6" t="str">
        <x:v>01 - Compatibility Records</x:v>
      </x:c>
      <x:c r="I66" s="6" t="n">
        <x:v>105</x:v>
      </x:c>
      <x:c r="J66" s="12" t="str">
        <x:v>Explicit governed evidence supporting relationship</x:v>
      </x:c>
      <x:c r="K66" s="6" t="str">
        <x:v>Unresolved</x:v>
      </x:c>
      <x:c r="L66" s="6" t="str">
        <x:v>Yes</x:v>
      </x:c>
      <x:c r="M66" s="6" t="str"/>
      <x:c r="N66" s="6" t="str"/>
      <x:c r="O66" s="12" t="str"/>
    </x:row>
    <x:row r="67">
      <x:c r="A67" s="6" t="str">
        <x:v>UNS000066</x:v>
      </x:c>
      <x:c r="B67" s="6" t="str">
        <x:v>SVC000066</x:v>
      </x:c>
      <x:c r="C67" s="6" t="str">
        <x:v>iPhone 13 Pro Max Screen replacement</x:v>
      </x:c>
      <x:c r="D67" s="6" t="str">
        <x:v>Family-Level Compatibility</x:v>
      </x:c>
      <x:c r="E67" s="6" t="str">
        <x:v>PHN</x:v>
      </x:c>
      <x:c r="F67" s="6" t="str">
        <x:v>Device family alone is insufficient for governed relationship.</x:v>
      </x:c>
      <x:c r="G67" s="6" t="str">
        <x:v>Nocturnix_Master_Compatibility_Catalog_v1.xlsx</x:v>
      </x:c>
      <x:c r="H67" s="6" t="str">
        <x:v>01 - Compatibility Records</x:v>
      </x:c>
      <x:c r="I67" s="6" t="n">
        <x:v>106</x:v>
      </x:c>
      <x:c r="J67" s="12" t="str">
        <x:v>Explicit governed evidence supporting relationship</x:v>
      </x:c>
      <x:c r="K67" s="6" t="str">
        <x:v>Unresolved</x:v>
      </x:c>
      <x:c r="L67" s="6" t="str">
        <x:v>Yes</x:v>
      </x:c>
      <x:c r="M67" s="6" t="str"/>
      <x:c r="N67" s="6" t="str"/>
      <x:c r="O67" s="12" t="str"/>
    </x:row>
    <x:row r="68">
      <x:c r="A68" s="6" t="str">
        <x:v>UNS000067</x:v>
      </x:c>
      <x:c r="B68" s="6" t="str">
        <x:v>SVC000067</x:v>
      </x:c>
      <x:c r="C68" s="6" t="str">
        <x:v>iPhone 13 Mini Screen replacement</x:v>
      </x:c>
      <x:c r="D68" s="6" t="str">
        <x:v>Family-Level Compatibility</x:v>
      </x:c>
      <x:c r="E68" s="6" t="str">
        <x:v>PHN</x:v>
      </x:c>
      <x:c r="F68" s="6" t="str">
        <x:v>Device family alone is insufficient for governed relationship.</x:v>
      </x:c>
      <x:c r="G68" s="6" t="str">
        <x:v>Nocturnix_Master_Compatibility_Catalog_v1.xlsx</x:v>
      </x:c>
      <x:c r="H68" s="6" t="str">
        <x:v>01 - Compatibility Records</x:v>
      </x:c>
      <x:c r="I68" s="6" t="n">
        <x:v>107</x:v>
      </x:c>
      <x:c r="J68" s="12" t="str">
        <x:v>Explicit governed evidence supporting relationship</x:v>
      </x:c>
      <x:c r="K68" s="6" t="str">
        <x:v>Unresolved</x:v>
      </x:c>
      <x:c r="L68" s="6" t="str">
        <x:v>Yes</x:v>
      </x:c>
      <x:c r="M68" s="6" t="str"/>
      <x:c r="N68" s="6" t="str"/>
      <x:c r="O68" s="12" t="str"/>
    </x:row>
    <x:row r="69">
      <x:c r="A69" s="6" t="str">
        <x:v>UNS000068</x:v>
      </x:c>
      <x:c r="B69" s="6" t="str">
        <x:v>SVC000068</x:v>
      </x:c>
      <x:c r="C69" s="6" t="str">
        <x:v>iPhone 14 Screen replacement</x:v>
      </x:c>
      <x:c r="D69" s="6" t="str">
        <x:v>Family-Level Compatibility</x:v>
      </x:c>
      <x:c r="E69" s="6" t="str">
        <x:v>PHN</x:v>
      </x:c>
      <x:c r="F69" s="6" t="str">
        <x:v>Device family alone is insufficient for governed relationship.</x:v>
      </x:c>
      <x:c r="G69" s="6" t="str">
        <x:v>Nocturnix_Master_Compatibility_Catalog_v1.xlsx</x:v>
      </x:c>
      <x:c r="H69" s="6" t="str">
        <x:v>01 - Compatibility Records</x:v>
      </x:c>
      <x:c r="I69" s="6" t="n">
        <x:v>108</x:v>
      </x:c>
      <x:c r="J69" s="12" t="str">
        <x:v>Explicit governed evidence supporting relationship</x:v>
      </x:c>
      <x:c r="K69" s="6" t="str">
        <x:v>Unresolved</x:v>
      </x:c>
      <x:c r="L69" s="6" t="str">
        <x:v>Yes</x:v>
      </x:c>
      <x:c r="M69" s="6" t="str"/>
      <x:c r="N69" s="6" t="str"/>
      <x:c r="O69" s="12" t="str"/>
    </x:row>
    <x:row r="70">
      <x:c r="A70" s="6" t="str">
        <x:v>UNS000069</x:v>
      </x:c>
      <x:c r="B70" s="6" t="str">
        <x:v>SVC000069</x:v>
      </x:c>
      <x:c r="C70" s="6" t="str">
        <x:v>iPhone 14 Pro Max Screen replacement</x:v>
      </x:c>
      <x:c r="D70" s="6" t="str">
        <x:v>Family-Level Compatibility</x:v>
      </x:c>
      <x:c r="E70" s="6" t="str">
        <x:v>PHN</x:v>
      </x:c>
      <x:c r="F70" s="6" t="str">
        <x:v>Device family alone is insufficient for governed relationship.</x:v>
      </x:c>
      <x:c r="G70" s="6" t="str">
        <x:v>Nocturnix_Master_Compatibility_Catalog_v1.xlsx</x:v>
      </x:c>
      <x:c r="H70" s="6" t="str">
        <x:v>01 - Compatibility Records</x:v>
      </x:c>
      <x:c r="I70" s="6" t="n">
        <x:v>109</x:v>
      </x:c>
      <x:c r="J70" s="12" t="str">
        <x:v>Explicit governed evidence supporting relationship</x:v>
      </x:c>
      <x:c r="K70" s="6" t="str">
        <x:v>Unresolved</x:v>
      </x:c>
      <x:c r="L70" s="6" t="str">
        <x:v>Yes</x:v>
      </x:c>
      <x:c r="M70" s="6" t="str"/>
      <x:c r="N70" s="6" t="str"/>
      <x:c r="O70" s="12" t="str"/>
    </x:row>
    <x:row r="71">
      <x:c r="A71" s="6" t="str">
        <x:v>UNS000070</x:v>
      </x:c>
      <x:c r="B71" s="6" t="str">
        <x:v>SVC000070</x:v>
      </x:c>
      <x:c r="C71" s="6" t="str">
        <x:v>iPhone 14 Plus Screen replacement</x:v>
      </x:c>
      <x:c r="D71" s="6" t="str">
        <x:v>Family-Level Compatibility</x:v>
      </x:c>
      <x:c r="E71" s="6" t="str">
        <x:v>PHN</x:v>
      </x:c>
      <x:c r="F71" s="6" t="str">
        <x:v>Device family alone is insufficient for governed relationship.</x:v>
      </x:c>
      <x:c r="G71" s="6" t="str">
        <x:v>Nocturnix_Master_Compatibility_Catalog_v1.xlsx</x:v>
      </x:c>
      <x:c r="H71" s="6" t="str">
        <x:v>01 - Compatibility Records</x:v>
      </x:c>
      <x:c r="I71" s="6" t="n">
        <x:v>110</x:v>
      </x:c>
      <x:c r="J71" s="12" t="str">
        <x:v>Explicit governed evidence supporting relationship</x:v>
      </x:c>
      <x:c r="K71" s="6" t="str">
        <x:v>Unresolved</x:v>
      </x:c>
      <x:c r="L71" s="6" t="str">
        <x:v>Yes</x:v>
      </x:c>
      <x:c r="M71" s="6" t="str"/>
      <x:c r="N71" s="6" t="str"/>
      <x:c r="O71" s="12" t="str"/>
    </x:row>
    <x:row r="72">
      <x:c r="A72" s="6" t="str">
        <x:v>UNS000071</x:v>
      </x:c>
      <x:c r="B72" s="6" t="str">
        <x:v>SVC000071</x:v>
      </x:c>
      <x:c r="C72" s="6" t="str">
        <x:v>iPhone 14 Pro Screen replacement</x:v>
      </x:c>
      <x:c r="D72" s="6" t="str">
        <x:v>Family-Level Compatibility</x:v>
      </x:c>
      <x:c r="E72" s="6" t="str">
        <x:v>PHN</x:v>
      </x:c>
      <x:c r="F72" s="6" t="str">
        <x:v>Device family alone is insufficient for governed relationship.</x:v>
      </x:c>
      <x:c r="G72" s="6" t="str">
        <x:v>Nocturnix_Master_Compatibility_Catalog_v1.xlsx</x:v>
      </x:c>
      <x:c r="H72" s="6" t="str">
        <x:v>01 - Compatibility Records</x:v>
      </x:c>
      <x:c r="I72" s="6" t="n">
        <x:v>111</x:v>
      </x:c>
      <x:c r="J72" s="12" t="str">
        <x:v>Explicit governed evidence supporting relationship</x:v>
      </x:c>
      <x:c r="K72" s="6" t="str">
        <x:v>Unresolved</x:v>
      </x:c>
      <x:c r="L72" s="6" t="str">
        <x:v>Yes</x:v>
      </x:c>
      <x:c r="M72" s="6" t="str"/>
      <x:c r="N72" s="6" t="str"/>
      <x:c r="O72" s="12" t="str"/>
    </x:row>
    <x:row r="73">
      <x:c r="A73" s="6" t="str">
        <x:v>UNS000072</x:v>
      </x:c>
      <x:c r="B73" s="6" t="str">
        <x:v>SVC000072</x:v>
      </x:c>
      <x:c r="C73" s="6" t="str">
        <x:v>iPhone 15 Pro Screen replacement</x:v>
      </x:c>
      <x:c r="D73" s="6" t="str">
        <x:v>Family-Level Compatibility</x:v>
      </x:c>
      <x:c r="E73" s="6" t="str">
        <x:v>PHN</x:v>
      </x:c>
      <x:c r="F73" s="6" t="str">
        <x:v>Device family alone is insufficient for governed relationship.</x:v>
      </x:c>
      <x:c r="G73" s="6" t="str">
        <x:v>Nocturnix_Master_Compatibility_Catalog_v1.xlsx</x:v>
      </x:c>
      <x:c r="H73" s="6" t="str">
        <x:v>01 - Compatibility Records</x:v>
      </x:c>
      <x:c r="I73" s="6" t="n">
        <x:v>112</x:v>
      </x:c>
      <x:c r="J73" s="12" t="str">
        <x:v>Explicit governed evidence supporting relationship</x:v>
      </x:c>
      <x:c r="K73" s="6" t="str">
        <x:v>Unresolved</x:v>
      </x:c>
      <x:c r="L73" s="6" t="str">
        <x:v>Yes</x:v>
      </x:c>
      <x:c r="M73" s="6" t="str"/>
      <x:c r="N73" s="6" t="str"/>
      <x:c r="O73" s="12" t="str"/>
    </x:row>
    <x:row r="74">
      <x:c r="A74" s="6" t="str">
        <x:v>UNS000073</x:v>
      </x:c>
      <x:c r="B74" s="6" t="str">
        <x:v>SVC000073</x:v>
      </x:c>
      <x:c r="C74" s="6" t="str">
        <x:v>iPhone 15 Pro Max Screen replacement</x:v>
      </x:c>
      <x:c r="D74" s="6" t="str">
        <x:v>Family-Level Compatibility</x:v>
      </x:c>
      <x:c r="E74" s="6" t="str">
        <x:v>PHN</x:v>
      </x:c>
      <x:c r="F74" s="6" t="str">
        <x:v>Device family alone is insufficient for governed relationship.</x:v>
      </x:c>
      <x:c r="G74" s="6" t="str">
        <x:v>Nocturnix_Master_Compatibility_Catalog_v1.xlsx</x:v>
      </x:c>
      <x:c r="H74" s="6" t="str">
        <x:v>01 - Compatibility Records</x:v>
      </x:c>
      <x:c r="I74" s="6" t="n">
        <x:v>113</x:v>
      </x:c>
      <x:c r="J74" s="12" t="str">
        <x:v>Explicit governed evidence supporting relationship</x:v>
      </x:c>
      <x:c r="K74" s="6" t="str">
        <x:v>Unresolved</x:v>
      </x:c>
      <x:c r="L74" s="6" t="str">
        <x:v>Yes</x:v>
      </x:c>
      <x:c r="M74" s="6" t="str"/>
      <x:c r="N74" s="6" t="str"/>
      <x:c r="O74" s="12" t="str"/>
    </x:row>
    <x:row r="75">
      <x:c r="A75" s="6" t="str">
        <x:v>UNS000074</x:v>
      </x:c>
      <x:c r="B75" s="6" t="str">
        <x:v>SVC000074</x:v>
      </x:c>
      <x:c r="C75" s="6" t="str">
        <x:v>iPhone 15 Screen replacement</x:v>
      </x:c>
      <x:c r="D75" s="6" t="str">
        <x:v>Family-Level Compatibility</x:v>
      </x:c>
      <x:c r="E75" s="6" t="str">
        <x:v>PHN</x:v>
      </x:c>
      <x:c r="F75" s="6" t="str">
        <x:v>Device family alone is insufficient for governed relationship.</x:v>
      </x:c>
      <x:c r="G75" s="6" t="str">
        <x:v>Nocturnix_Master_Compatibility_Catalog_v1.xlsx</x:v>
      </x:c>
      <x:c r="H75" s="6" t="str">
        <x:v>01 - Compatibility Records</x:v>
      </x:c>
      <x:c r="I75" s="6" t="n">
        <x:v>114</x:v>
      </x:c>
      <x:c r="J75" s="12" t="str">
        <x:v>Explicit governed evidence supporting relationship</x:v>
      </x:c>
      <x:c r="K75" s="6" t="str">
        <x:v>Unresolved</x:v>
      </x:c>
      <x:c r="L75" s="6" t="str">
        <x:v>Yes</x:v>
      </x:c>
      <x:c r="M75" s="6" t="str"/>
      <x:c r="N75" s="6" t="str"/>
      <x:c r="O75" s="12" t="str"/>
    </x:row>
    <x:row r="76">
      <x:c r="A76" s="6" t="str">
        <x:v>UNS000075</x:v>
      </x:c>
      <x:c r="B76" s="6" t="str">
        <x:v>SVC000075</x:v>
      </x:c>
      <x:c r="C76" s="6" t="str">
        <x:v>iPhone 15 Plus Screen replacement</x:v>
      </x:c>
      <x:c r="D76" s="6" t="str">
        <x:v>Family-Level Compatibility</x:v>
      </x:c>
      <x:c r="E76" s="6" t="str">
        <x:v>PHN</x:v>
      </x:c>
      <x:c r="F76" s="6" t="str">
        <x:v>Device family alone is insufficient for governed relationship.</x:v>
      </x:c>
      <x:c r="G76" s="6" t="str">
        <x:v>Nocturnix_Master_Compatibility_Catalog_v1.xlsx</x:v>
      </x:c>
      <x:c r="H76" s="6" t="str">
        <x:v>01 - Compatibility Records</x:v>
      </x:c>
      <x:c r="I76" s="6" t="n">
        <x:v>115</x:v>
      </x:c>
      <x:c r="J76" s="12" t="str">
        <x:v>Explicit governed evidence supporting relationship</x:v>
      </x:c>
      <x:c r="K76" s="6" t="str">
        <x:v>Unresolved</x:v>
      </x:c>
      <x:c r="L76" s="6" t="str">
        <x:v>Yes</x:v>
      </x:c>
      <x:c r="M76" s="6" t="str"/>
      <x:c r="N76" s="6" t="str"/>
      <x:c r="O76" s="12" t="str"/>
    </x:row>
    <x:row r="77">
      <x:c r="A77" s="6" t="str">
        <x:v>UNS000076</x:v>
      </x:c>
      <x:c r="B77" s="6" t="str">
        <x:v>SVC000076</x:v>
      </x:c>
      <x:c r="C77" s="6" t="str">
        <x:v>iPhone 16 Plus Screen replacement</x:v>
      </x:c>
      <x:c r="D77" s="6" t="str">
        <x:v>Family-Level Compatibility</x:v>
      </x:c>
      <x:c r="E77" s="6" t="str">
        <x:v>PHN</x:v>
      </x:c>
      <x:c r="F77" s="6" t="str">
        <x:v>Device family alone is insufficient for governed relationship.</x:v>
      </x:c>
      <x:c r="G77" s="6" t="str">
        <x:v>Nocturnix_Master_Compatibility_Catalog_v1.xlsx</x:v>
      </x:c>
      <x:c r="H77" s="6" t="str">
        <x:v>01 - Compatibility Records</x:v>
      </x:c>
      <x:c r="I77" s="6" t="n">
        <x:v>116</x:v>
      </x:c>
      <x:c r="J77" s="12" t="str">
        <x:v>Explicit governed evidence supporting relationship</x:v>
      </x:c>
      <x:c r="K77" s="6" t="str">
        <x:v>Unresolved</x:v>
      </x:c>
      <x:c r="L77" s="6" t="str">
        <x:v>Yes</x:v>
      </x:c>
      <x:c r="M77" s="6" t="str"/>
      <x:c r="N77" s="6" t="str"/>
      <x:c r="O77" s="12" t="str"/>
    </x:row>
    <x:row r="78">
      <x:c r="A78" s="6" t="str">
        <x:v>UNS000077</x:v>
      </x:c>
      <x:c r="B78" s="6" t="str">
        <x:v>SVC000077</x:v>
      </x:c>
      <x:c r="C78" s="6" t="str">
        <x:v>iPhone 16 Pro Max Screen replacement</x:v>
      </x:c>
      <x:c r="D78" s="6" t="str">
        <x:v>Family-Level Compatibility</x:v>
      </x:c>
      <x:c r="E78" s="6" t="str">
        <x:v>PHN</x:v>
      </x:c>
      <x:c r="F78" s="6" t="str">
        <x:v>Device family alone is insufficient for governed relationship.</x:v>
      </x:c>
      <x:c r="G78" s="6" t="str">
        <x:v>Nocturnix_Master_Compatibility_Catalog_v1.xlsx</x:v>
      </x:c>
      <x:c r="H78" s="6" t="str">
        <x:v>01 - Compatibility Records</x:v>
      </x:c>
      <x:c r="I78" s="6" t="n">
        <x:v>117</x:v>
      </x:c>
      <x:c r="J78" s="12" t="str">
        <x:v>Explicit governed evidence supporting relationship</x:v>
      </x:c>
      <x:c r="K78" s="6" t="str">
        <x:v>Unresolved</x:v>
      </x:c>
      <x:c r="L78" s="6" t="str">
        <x:v>Yes</x:v>
      </x:c>
      <x:c r="M78" s="6" t="str"/>
      <x:c r="N78" s="6" t="str"/>
      <x:c r="O78" s="12" t="str"/>
    </x:row>
    <x:row r="79">
      <x:c r="A79" s="6" t="str">
        <x:v>UNS000078</x:v>
      </x:c>
      <x:c r="B79" s="6" t="str">
        <x:v>SVC000078</x:v>
      </x:c>
      <x:c r="C79" s="6" t="str">
        <x:v>iPhone 16 Screen replacement</x:v>
      </x:c>
      <x:c r="D79" s="6" t="str">
        <x:v>Family-Level Compatibility</x:v>
      </x:c>
      <x:c r="E79" s="6" t="str">
        <x:v>PHN</x:v>
      </x:c>
      <x:c r="F79" s="6" t="str">
        <x:v>Device family alone is insufficient for governed relationship.</x:v>
      </x:c>
      <x:c r="G79" s="6" t="str">
        <x:v>Nocturnix_Master_Compatibility_Catalog_v1.xlsx</x:v>
      </x:c>
      <x:c r="H79" s="6" t="str">
        <x:v>01 - Compatibility Records</x:v>
      </x:c>
      <x:c r="I79" s="6" t="n">
        <x:v>118</x:v>
      </x:c>
      <x:c r="J79" s="12" t="str">
        <x:v>Explicit governed evidence supporting relationship</x:v>
      </x:c>
      <x:c r="K79" s="6" t="str">
        <x:v>Unresolved</x:v>
      </x:c>
      <x:c r="L79" s="6" t="str">
        <x:v>Yes</x:v>
      </x:c>
      <x:c r="M79" s="6" t="str"/>
      <x:c r="N79" s="6" t="str"/>
      <x:c r="O79" s="12" t="str"/>
    </x:row>
    <x:row r="80">
      <x:c r="A80" s="6" t="str">
        <x:v>UNS000079</x:v>
      </x:c>
      <x:c r="B80" s="6" t="str">
        <x:v>SVC000079</x:v>
      </x:c>
      <x:c r="C80" s="6" t="str">
        <x:v>iPhone 16 Pro Screen replacement</x:v>
      </x:c>
      <x:c r="D80" s="6" t="str">
        <x:v>Family-Level Compatibility</x:v>
      </x:c>
      <x:c r="E80" s="6" t="str">
        <x:v>PHN</x:v>
      </x:c>
      <x:c r="F80" s="6" t="str">
        <x:v>Device family alone is insufficient for governed relationship.</x:v>
      </x:c>
      <x:c r="G80" s="6" t="str">
        <x:v>Nocturnix_Master_Compatibility_Catalog_v1.xlsx</x:v>
      </x:c>
      <x:c r="H80" s="6" t="str">
        <x:v>01 - Compatibility Records</x:v>
      </x:c>
      <x:c r="I80" s="6" t="n">
        <x:v>119</x:v>
      </x:c>
      <x:c r="J80" s="12" t="str">
        <x:v>Explicit governed evidence supporting relationship</x:v>
      </x:c>
      <x:c r="K80" s="6" t="str">
        <x:v>Unresolved</x:v>
      </x:c>
      <x:c r="L80" s="6" t="str">
        <x:v>Yes</x:v>
      </x:c>
      <x:c r="M80" s="6" t="str"/>
      <x:c r="N80" s="6" t="str"/>
      <x:c r="O80" s="12" t="str"/>
    </x:row>
    <x:row r="81">
      <x:c r="A81" s="6" t="str">
        <x:v>UNS000080</x:v>
      </x:c>
      <x:c r="B81" s="6" t="str">
        <x:v>SVC000080</x:v>
      </x:c>
      <x:c r="C81" s="6" t="str">
        <x:v>iPhone 16E Screen replacement</x:v>
      </x:c>
      <x:c r="D81" s="6" t="str">
        <x:v>Family-Level Compatibility</x:v>
      </x:c>
      <x:c r="E81" s="6" t="str">
        <x:v>PHN</x:v>
      </x:c>
      <x:c r="F81" s="6" t="str">
        <x:v>Device family alone is insufficient for governed relationship.</x:v>
      </x:c>
      <x:c r="G81" s="6" t="str">
        <x:v>Nocturnix_Master_Compatibility_Catalog_v1.xlsx</x:v>
      </x:c>
      <x:c r="H81" s="6" t="str">
        <x:v>01 - Compatibility Records</x:v>
      </x:c>
      <x:c r="I81" s="6" t="n">
        <x:v>120</x:v>
      </x:c>
      <x:c r="J81" s="12" t="str">
        <x:v>Explicit governed evidence supporting relationship</x:v>
      </x:c>
      <x:c r="K81" s="6" t="str">
        <x:v>Unresolved</x:v>
      </x:c>
      <x:c r="L81" s="6" t="str">
        <x:v>Yes</x:v>
      </x:c>
      <x:c r="M81" s="6" t="str"/>
      <x:c r="N81" s="6" t="str"/>
      <x:c r="O81" s="12" t="str"/>
    </x:row>
    <x:row r="82">
      <x:c r="A82" s="6" t="str">
        <x:v>UNS000081</x:v>
      </x:c>
      <x:c r="B82" s="6" t="str">
        <x:v>SVC000081</x:v>
      </x:c>
      <x:c r="C82" s="6" t="str">
        <x:v>iPhone 17 Pro Max Phone* Screen replacement</x:v>
      </x:c>
      <x:c r="D82" s="6" t="str">
        <x:v>Family-Level Compatibility</x:v>
      </x:c>
      <x:c r="E82" s="6" t="str">
        <x:v>PHN</x:v>
      </x:c>
      <x:c r="F82" s="6" t="str">
        <x:v>Device family alone is insufficient for governed relationship.</x:v>
      </x:c>
      <x:c r="G82" s="6" t="str">
        <x:v>Nocturnix_Master_Compatibility_Catalog_v1.xlsx</x:v>
      </x:c>
      <x:c r="H82" s="6" t="str">
        <x:v>01 - Compatibility Records</x:v>
      </x:c>
      <x:c r="I82" s="6" t="n">
        <x:v>121</x:v>
      </x:c>
      <x:c r="J82" s="12" t="str">
        <x:v>Explicit governed evidence supporting relationship</x:v>
      </x:c>
      <x:c r="K82" s="6" t="str">
        <x:v>Unresolved</x:v>
      </x:c>
      <x:c r="L82" s="6" t="str">
        <x:v>Yes</x:v>
      </x:c>
      <x:c r="M82" s="6" t="str"/>
      <x:c r="N82" s="6" t="str"/>
      <x:c r="O82" s="12" t="str"/>
    </x:row>
    <x:row r="83">
      <x:c r="A83" s="6" t="str">
        <x:v>UNS000082</x:v>
      </x:c>
      <x:c r="B83" s="6" t="str">
        <x:v>SVC000082</x:v>
      </x:c>
      <x:c r="C83" s="6" t="str">
        <x:v>iPhone 17 Pro Screen replacement</x:v>
      </x:c>
      <x:c r="D83" s="6" t="str">
        <x:v>Family-Level Compatibility</x:v>
      </x:c>
      <x:c r="E83" s="6" t="str">
        <x:v>PHN</x:v>
      </x:c>
      <x:c r="F83" s="6" t="str">
        <x:v>Device family alone is insufficient for governed relationship.</x:v>
      </x:c>
      <x:c r="G83" s="6" t="str">
        <x:v>Nocturnix_Master_Compatibility_Catalog_v1.xlsx</x:v>
      </x:c>
      <x:c r="H83" s="6" t="str">
        <x:v>01 - Compatibility Records</x:v>
      </x:c>
      <x:c r="I83" s="6" t="n">
        <x:v>122</x:v>
      </x:c>
      <x:c r="J83" s="12" t="str">
        <x:v>Explicit governed evidence supporting relationship</x:v>
      </x:c>
      <x:c r="K83" s="6" t="str">
        <x:v>Unresolved</x:v>
      </x:c>
      <x:c r="L83" s="6" t="str">
        <x:v>Yes</x:v>
      </x:c>
      <x:c r="M83" s="6" t="str"/>
      <x:c r="N83" s="6" t="str"/>
      <x:c r="O83" s="12" t="str"/>
    </x:row>
    <x:row r="84">
      <x:c r="A84" s="6" t="str">
        <x:v>UNS000083</x:v>
      </x:c>
      <x:c r="B84" s="6" t="str">
        <x:v>SVC000083</x:v>
      </x:c>
      <x:c r="C84" s="6" t="str">
        <x:v>iPhone 17 Screen replacement</x:v>
      </x:c>
      <x:c r="D84" s="6" t="str">
        <x:v>Family-Level Compatibility</x:v>
      </x:c>
      <x:c r="E84" s="6" t="str">
        <x:v>PHN</x:v>
      </x:c>
      <x:c r="F84" s="6" t="str">
        <x:v>Device family alone is insufficient for governed relationship.</x:v>
      </x:c>
      <x:c r="G84" s="6" t="str">
        <x:v>Nocturnix_Master_Compatibility_Catalog_v1.xlsx</x:v>
      </x:c>
      <x:c r="H84" s="6" t="str">
        <x:v>01 - Compatibility Records</x:v>
      </x:c>
      <x:c r="I84" s="6" t="n">
        <x:v>123</x:v>
      </x:c>
      <x:c r="J84" s="12" t="str">
        <x:v>Explicit governed evidence supporting relationship</x:v>
      </x:c>
      <x:c r="K84" s="6" t="str">
        <x:v>Unresolved</x:v>
      </x:c>
      <x:c r="L84" s="6" t="str">
        <x:v>Yes</x:v>
      </x:c>
      <x:c r="M84" s="6" t="str"/>
      <x:c r="N84" s="6" t="str"/>
      <x:c r="O84" s="12" t="str"/>
    </x:row>
    <x:row r="85">
      <x:c r="A85" s="6" t="str">
        <x:v>UNS000084</x:v>
      </x:c>
      <x:c r="B85" s="6" t="str">
        <x:v>SVC000084</x:v>
      </x:c>
      <x:c r="C85" s="6" t="str">
        <x:v>iPhone 5C Screen replacement</x:v>
      </x:c>
      <x:c r="D85" s="6" t="str">
        <x:v>Family-Level Compatibility</x:v>
      </x:c>
      <x:c r="E85" s="6" t="str">
        <x:v>PHN</x:v>
      </x:c>
      <x:c r="F85" s="6" t="str">
        <x:v>Device family alone is insufficient for governed relationship.</x:v>
      </x:c>
      <x:c r="G85" s="6" t="str">
        <x:v>Nocturnix_Master_Compatibility_Catalog_v1.xlsx</x:v>
      </x:c>
      <x:c r="H85" s="6" t="str">
        <x:v>01 - Compatibility Records</x:v>
      </x:c>
      <x:c r="I85" s="6" t="n">
        <x:v>124</x:v>
      </x:c>
      <x:c r="J85" s="12" t="str">
        <x:v>Explicit governed evidence supporting relationship</x:v>
      </x:c>
      <x:c r="K85" s="6" t="str">
        <x:v>Unresolved</x:v>
      </x:c>
      <x:c r="L85" s="6" t="str">
        <x:v>Yes</x:v>
      </x:c>
      <x:c r="M85" s="6" t="str"/>
      <x:c r="N85" s="6" t="str"/>
      <x:c r="O85" s="12" t="str"/>
    </x:row>
    <x:row r="86">
      <x:c r="A86" s="6" t="str">
        <x:v>UNS000085</x:v>
      </x:c>
      <x:c r="B86" s="6" t="str">
        <x:v>SVC000085</x:v>
      </x:c>
      <x:c r="C86" s="6" t="str">
        <x:v>iPhone 5S Screen replacement</x:v>
      </x:c>
      <x:c r="D86" s="6" t="str">
        <x:v>Family-Level Compatibility</x:v>
      </x:c>
      <x:c r="E86" s="6" t="str">
        <x:v>PHN</x:v>
      </x:c>
      <x:c r="F86" s="6" t="str">
        <x:v>Device family alone is insufficient for governed relationship.</x:v>
      </x:c>
      <x:c r="G86" s="6" t="str">
        <x:v>Nocturnix_Master_Compatibility_Catalog_v1.xlsx</x:v>
      </x:c>
      <x:c r="H86" s="6" t="str">
        <x:v>01 - Compatibility Records</x:v>
      </x:c>
      <x:c r="I86" s="6" t="n">
        <x:v>125</x:v>
      </x:c>
      <x:c r="J86" s="12" t="str">
        <x:v>Explicit governed evidence supporting relationship</x:v>
      </x:c>
      <x:c r="K86" s="6" t="str">
        <x:v>Unresolved</x:v>
      </x:c>
      <x:c r="L86" s="6" t="str">
        <x:v>Yes</x:v>
      </x:c>
      <x:c r="M86" s="6" t="str"/>
      <x:c r="N86" s="6" t="str"/>
      <x:c r="O86" s="12" t="str"/>
    </x:row>
    <x:row r="87">
      <x:c r="A87" s="6" t="str">
        <x:v>UNS000086</x:v>
      </x:c>
      <x:c r="B87" s="6" t="str">
        <x:v>SVC000086</x:v>
      </x:c>
      <x:c r="C87" s="6" t="str">
        <x:v>iPhone 6+ Screen replacement</x:v>
      </x:c>
      <x:c r="D87" s="6" t="str">
        <x:v>Family-Level Compatibility</x:v>
      </x:c>
      <x:c r="E87" s="6" t="str">
        <x:v>PHN</x:v>
      </x:c>
      <x:c r="F87" s="6" t="str">
        <x:v>Device family alone is insufficient for governed relationship.</x:v>
      </x:c>
      <x:c r="G87" s="6" t="str">
        <x:v>Nocturnix_Master_Compatibility_Catalog_v1.xlsx</x:v>
      </x:c>
      <x:c r="H87" s="6" t="str">
        <x:v>01 - Compatibility Records</x:v>
      </x:c>
      <x:c r="I87" s="6" t="n">
        <x:v>126</x:v>
      </x:c>
      <x:c r="J87" s="12" t="str">
        <x:v>Explicit governed evidence supporting relationship</x:v>
      </x:c>
      <x:c r="K87" s="6" t="str">
        <x:v>Unresolved</x:v>
      </x:c>
      <x:c r="L87" s="6" t="str">
        <x:v>Yes</x:v>
      </x:c>
      <x:c r="M87" s="6" t="str"/>
      <x:c r="N87" s="6" t="str"/>
      <x:c r="O87" s="12" t="str"/>
    </x:row>
    <x:row r="88">
      <x:c r="A88" s="6" t="str">
        <x:v>UNS000087</x:v>
      </x:c>
      <x:c r="B88" s="6" t="str">
        <x:v>SVC000087</x:v>
      </x:c>
      <x:c r="C88" s="6" t="str">
        <x:v>iPhone 6 Screen replacement</x:v>
      </x:c>
      <x:c r="D88" s="6" t="str">
        <x:v>Family-Level Compatibility</x:v>
      </x:c>
      <x:c r="E88" s="6" t="str">
        <x:v>PHN</x:v>
      </x:c>
      <x:c r="F88" s="6" t="str">
        <x:v>Device family alone is insufficient for governed relationship.</x:v>
      </x:c>
      <x:c r="G88" s="6" t="str">
        <x:v>Nocturnix_Master_Compatibility_Catalog_v1.xlsx</x:v>
      </x:c>
      <x:c r="H88" s="6" t="str">
        <x:v>01 - Compatibility Records</x:v>
      </x:c>
      <x:c r="I88" s="6" t="n">
        <x:v>127</x:v>
      </x:c>
      <x:c r="J88" s="12" t="str">
        <x:v>Explicit governed evidence supporting relationship</x:v>
      </x:c>
      <x:c r="K88" s="6" t="str">
        <x:v>Unresolved</x:v>
      </x:c>
      <x:c r="L88" s="6" t="str">
        <x:v>Yes</x:v>
      </x:c>
      <x:c r="M88" s="6" t="str"/>
      <x:c r="N88" s="6" t="str"/>
      <x:c r="O88" s="12" t="str"/>
    </x:row>
    <x:row r="89">
      <x:c r="A89" s="6" t="str">
        <x:v>UNS000088</x:v>
      </x:c>
      <x:c r="B89" s="6" t="str">
        <x:v>SVC000088</x:v>
      </x:c>
      <x:c r="C89" s="6" t="str">
        <x:v>iPhone 6S+ Screen replacement</x:v>
      </x:c>
      <x:c r="D89" s="6" t="str">
        <x:v>Family-Level Compatibility</x:v>
      </x:c>
      <x:c r="E89" s="6" t="str">
        <x:v>PHN</x:v>
      </x:c>
      <x:c r="F89" s="6" t="str">
        <x:v>Device family alone is insufficient for governed relationship.</x:v>
      </x:c>
      <x:c r="G89" s="6" t="str">
        <x:v>Nocturnix_Master_Compatibility_Catalog_v1.xlsx</x:v>
      </x:c>
      <x:c r="H89" s="6" t="str">
        <x:v>01 - Compatibility Records</x:v>
      </x:c>
      <x:c r="I89" s="6" t="n">
        <x:v>128</x:v>
      </x:c>
      <x:c r="J89" s="12" t="str">
        <x:v>Explicit governed evidence supporting relationship</x:v>
      </x:c>
      <x:c r="K89" s="6" t="str">
        <x:v>Unresolved</x:v>
      </x:c>
      <x:c r="L89" s="6" t="str">
        <x:v>Yes</x:v>
      </x:c>
      <x:c r="M89" s="6" t="str"/>
      <x:c r="N89" s="6" t="str"/>
      <x:c r="O89" s="12" t="str"/>
    </x:row>
    <x:row r="90">
      <x:c r="A90" s="6" t="str">
        <x:v>UNS000089</x:v>
      </x:c>
      <x:c r="B90" s="6" t="str">
        <x:v>SVC000089</x:v>
      </x:c>
      <x:c r="C90" s="6" t="str">
        <x:v>iPhone 6S Screen replacement</x:v>
      </x:c>
      <x:c r="D90" s="6" t="str">
        <x:v>Family-Level Compatibility</x:v>
      </x:c>
      <x:c r="E90" s="6" t="str">
        <x:v>PHN</x:v>
      </x:c>
      <x:c r="F90" s="6" t="str">
        <x:v>Device family alone is insufficient for governed relationship.</x:v>
      </x:c>
      <x:c r="G90" s="6" t="str">
        <x:v>Nocturnix_Master_Compatibility_Catalog_v1.xlsx</x:v>
      </x:c>
      <x:c r="H90" s="6" t="str">
        <x:v>01 - Compatibility Records</x:v>
      </x:c>
      <x:c r="I90" s="6" t="n">
        <x:v>129</x:v>
      </x:c>
      <x:c r="J90" s="12" t="str">
        <x:v>Explicit governed evidence supporting relationship</x:v>
      </x:c>
      <x:c r="K90" s="6" t="str">
        <x:v>Unresolved</x:v>
      </x:c>
      <x:c r="L90" s="6" t="str">
        <x:v>Yes</x:v>
      </x:c>
      <x:c r="M90" s="6" t="str"/>
      <x:c r="N90" s="6" t="str"/>
      <x:c r="O90" s="12" t="str"/>
    </x:row>
    <x:row r="91">
      <x:c r="A91" s="6" t="str">
        <x:v>UNS000090</x:v>
      </x:c>
      <x:c r="B91" s="6" t="str">
        <x:v>SVC000090</x:v>
      </x:c>
      <x:c r="C91" s="6" t="str">
        <x:v>iPhone 7+ Screen replacement</x:v>
      </x:c>
      <x:c r="D91" s="6" t="str">
        <x:v>Family-Level Compatibility</x:v>
      </x:c>
      <x:c r="E91" s="6" t="str">
        <x:v>PHN</x:v>
      </x:c>
      <x:c r="F91" s="6" t="str">
        <x:v>Device family alone is insufficient for governed relationship.</x:v>
      </x:c>
      <x:c r="G91" s="6" t="str">
        <x:v>Nocturnix_Master_Compatibility_Catalog_v1.xlsx</x:v>
      </x:c>
      <x:c r="H91" s="6" t="str">
        <x:v>01 - Compatibility Records</x:v>
      </x:c>
      <x:c r="I91" s="6" t="n">
        <x:v>130</x:v>
      </x:c>
      <x:c r="J91" s="12" t="str">
        <x:v>Explicit governed evidence supporting relationship</x:v>
      </x:c>
      <x:c r="K91" s="6" t="str">
        <x:v>Unresolved</x:v>
      </x:c>
      <x:c r="L91" s="6" t="str">
        <x:v>Yes</x:v>
      </x:c>
      <x:c r="M91" s="6" t="str"/>
      <x:c r="N91" s="6" t="str"/>
      <x:c r="O91" s="12" t="str"/>
    </x:row>
    <x:row r="92">
      <x:c r="A92" s="6" t="str">
        <x:v>UNS000091</x:v>
      </x:c>
      <x:c r="B92" s="6" t="str">
        <x:v>SVC000091</x:v>
      </x:c>
      <x:c r="C92" s="6" t="str">
        <x:v>iPhone 7 Screen replacement</x:v>
      </x:c>
      <x:c r="D92" s="6" t="str">
        <x:v>Family-Level Compatibility</x:v>
      </x:c>
      <x:c r="E92" s="6" t="str">
        <x:v>PHN</x:v>
      </x:c>
      <x:c r="F92" s="6" t="str">
        <x:v>Device family alone is insufficient for governed relationship.</x:v>
      </x:c>
      <x:c r="G92" s="6" t="str">
        <x:v>Nocturnix_Master_Compatibility_Catalog_v1.xlsx</x:v>
      </x:c>
      <x:c r="H92" s="6" t="str">
        <x:v>01 - Compatibility Records</x:v>
      </x:c>
      <x:c r="I92" s="6" t="n">
        <x:v>131</x:v>
      </x:c>
      <x:c r="J92" s="12" t="str">
        <x:v>Explicit governed evidence supporting relationship</x:v>
      </x:c>
      <x:c r="K92" s="6" t="str">
        <x:v>Unresolved</x:v>
      </x:c>
      <x:c r="L92" s="6" t="str">
        <x:v>Yes</x:v>
      </x:c>
      <x:c r="M92" s="6" t="str"/>
      <x:c r="N92" s="6" t="str"/>
      <x:c r="O92" s="12" t="str"/>
    </x:row>
    <x:row r="93">
      <x:c r="A93" s="6" t="str">
        <x:v>UNS000092</x:v>
      </x:c>
      <x:c r="B93" s="6" t="str">
        <x:v>SVC000092</x:v>
      </x:c>
      <x:c r="C93" s="6" t="str">
        <x:v>iPhone 8+ Screen replacement</x:v>
      </x:c>
      <x:c r="D93" s="6" t="str">
        <x:v>Family-Level Compatibility</x:v>
      </x:c>
      <x:c r="E93" s="6" t="str">
        <x:v>PHN</x:v>
      </x:c>
      <x:c r="F93" s="6" t="str">
        <x:v>Device family alone is insufficient for governed relationship.</x:v>
      </x:c>
      <x:c r="G93" s="6" t="str">
        <x:v>Nocturnix_Master_Compatibility_Catalog_v1.xlsx</x:v>
      </x:c>
      <x:c r="H93" s="6" t="str">
        <x:v>01 - Compatibility Records</x:v>
      </x:c>
      <x:c r="I93" s="6" t="n">
        <x:v>132</x:v>
      </x:c>
      <x:c r="J93" s="12" t="str">
        <x:v>Explicit governed evidence supporting relationship</x:v>
      </x:c>
      <x:c r="K93" s="6" t="str">
        <x:v>Unresolved</x:v>
      </x:c>
      <x:c r="L93" s="6" t="str">
        <x:v>Yes</x:v>
      </x:c>
      <x:c r="M93" s="6" t="str"/>
      <x:c r="N93" s="6" t="str"/>
      <x:c r="O93" s="12" t="str"/>
    </x:row>
    <x:row r="94">
      <x:c r="A94" s="6" t="str">
        <x:v>UNS000093</x:v>
      </x:c>
      <x:c r="B94" s="6" t="str">
        <x:v>SVC000093</x:v>
      </x:c>
      <x:c r="C94" s="6" t="str">
        <x:v>iPhone 8 Screen replacement</x:v>
      </x:c>
      <x:c r="D94" s="6" t="str">
        <x:v>Family-Level Compatibility</x:v>
      </x:c>
      <x:c r="E94" s="6" t="str">
        <x:v>PHN</x:v>
      </x:c>
      <x:c r="F94" s="6" t="str">
        <x:v>Device family alone is insufficient for governed relationship.</x:v>
      </x:c>
      <x:c r="G94" s="6" t="str">
        <x:v>Nocturnix_Master_Compatibility_Catalog_v1.xlsx</x:v>
      </x:c>
      <x:c r="H94" s="6" t="str">
        <x:v>01 - Compatibility Records</x:v>
      </x:c>
      <x:c r="I94" s="6" t="n">
        <x:v>133</x:v>
      </x:c>
      <x:c r="J94" s="12" t="str">
        <x:v>Explicit governed evidence supporting relationship</x:v>
      </x:c>
      <x:c r="K94" s="6" t="str">
        <x:v>Unresolved</x:v>
      </x:c>
      <x:c r="L94" s="6" t="str">
        <x:v>Yes</x:v>
      </x:c>
      <x:c r="M94" s="6" t="str"/>
      <x:c r="N94" s="6" t="str"/>
      <x:c r="O94" s="12" t="str"/>
    </x:row>
    <x:row r="95">
      <x:c r="A95" s="6" t="str">
        <x:v>UNS000094</x:v>
      </x:c>
      <x:c r="B95" s="6" t="str">
        <x:v>SVC000094</x:v>
      </x:c>
      <x:c r="C95" s="6" t="str">
        <x:v>iPhone Air Screen replacement</x:v>
      </x:c>
      <x:c r="D95" s="6" t="str">
        <x:v>Family-Level Compatibility</x:v>
      </x:c>
      <x:c r="E95" s="6" t="str">
        <x:v>PHN</x:v>
      </x:c>
      <x:c r="F95" s="6" t="str">
        <x:v>Device family alone is insufficient for governed relationship.</x:v>
      </x:c>
      <x:c r="G95" s="6" t="str">
        <x:v>Nocturnix_Master_Compatibility_Catalog_v1.xlsx</x:v>
      </x:c>
      <x:c r="H95" s="6" t="str">
        <x:v>01 - Compatibility Records</x:v>
      </x:c>
      <x:c r="I95" s="6" t="n">
        <x:v>134</x:v>
      </x:c>
      <x:c r="J95" s="12" t="str">
        <x:v>Explicit governed evidence supporting relationship</x:v>
      </x:c>
      <x:c r="K95" s="6" t="str">
        <x:v>Unresolved</x:v>
      </x:c>
      <x:c r="L95" s="6" t="str">
        <x:v>Yes</x:v>
      </x:c>
      <x:c r="M95" s="6" t="str"/>
      <x:c r="N95" s="6" t="str"/>
      <x:c r="O95" s="12" t="str"/>
    </x:row>
    <x:row r="96">
      <x:c r="A96" s="6" t="str">
        <x:v>UNS000095</x:v>
      </x:c>
      <x:c r="B96" s="6" t="str">
        <x:v>SVC000095</x:v>
      </x:c>
      <x:c r="C96" s="6" t="str">
        <x:v>iPhone SE(1ST GEN) Screen replacement</x:v>
      </x:c>
      <x:c r="D96" s="6" t="str">
        <x:v>Family-Level Compatibility</x:v>
      </x:c>
      <x:c r="E96" s="6" t="str">
        <x:v>PHN</x:v>
      </x:c>
      <x:c r="F96" s="6" t="str">
        <x:v>Device family alone is insufficient for governed relationship.</x:v>
      </x:c>
      <x:c r="G96" s="6" t="str">
        <x:v>Nocturnix_Master_Compatibility_Catalog_v1.xlsx</x:v>
      </x:c>
      <x:c r="H96" s="6" t="str">
        <x:v>01 - Compatibility Records</x:v>
      </x:c>
      <x:c r="I96" s="6" t="n">
        <x:v>135</x:v>
      </x:c>
      <x:c r="J96" s="12" t="str">
        <x:v>Explicit governed evidence supporting relationship</x:v>
      </x:c>
      <x:c r="K96" s="6" t="str">
        <x:v>Unresolved</x:v>
      </x:c>
      <x:c r="L96" s="6" t="str">
        <x:v>Yes</x:v>
      </x:c>
      <x:c r="M96" s="6" t="str"/>
      <x:c r="N96" s="6" t="str"/>
      <x:c r="O96" s="12" t="str"/>
    </x:row>
    <x:row r="97">
      <x:c r="A97" s="6" t="str">
        <x:v>UNS000096</x:v>
      </x:c>
      <x:c r="B97" s="6" t="str">
        <x:v>SVC000096</x:v>
      </x:c>
      <x:c r="C97" s="6" t="str">
        <x:v>iPhone SE (2ND GEN) Screen replacement</x:v>
      </x:c>
      <x:c r="D97" s="6" t="str">
        <x:v>Family-Level Compatibility</x:v>
      </x:c>
      <x:c r="E97" s="6" t="str">
        <x:v>PHN</x:v>
      </x:c>
      <x:c r="F97" s="6" t="str">
        <x:v>Device family alone is insufficient for governed relationship.</x:v>
      </x:c>
      <x:c r="G97" s="6" t="str">
        <x:v>Nocturnix_Master_Compatibility_Catalog_v1.xlsx</x:v>
      </x:c>
      <x:c r="H97" s="6" t="str">
        <x:v>01 - Compatibility Records</x:v>
      </x:c>
      <x:c r="I97" s="6" t="n">
        <x:v>136</x:v>
      </x:c>
      <x:c r="J97" s="12" t="str">
        <x:v>Explicit governed evidence supporting relationship</x:v>
      </x:c>
      <x:c r="K97" s="6" t="str">
        <x:v>Unresolved</x:v>
      </x:c>
      <x:c r="L97" s="6" t="str">
        <x:v>Yes</x:v>
      </x:c>
      <x:c r="M97" s="6" t="str"/>
      <x:c r="N97" s="6" t="str"/>
      <x:c r="O97" s="12" t="str"/>
    </x:row>
    <x:row r="98">
      <x:c r="A98" s="6" t="str">
        <x:v>UNS000097</x:v>
      </x:c>
      <x:c r="B98" s="6" t="str">
        <x:v>SVC000097</x:v>
      </x:c>
      <x:c r="C98" s="6" t="str">
        <x:v>iPhone SE (3RD GEN) Screen replacement</x:v>
      </x:c>
      <x:c r="D98" s="6" t="str">
        <x:v>Family-Level Compatibility</x:v>
      </x:c>
      <x:c r="E98" s="6" t="str">
        <x:v>PHN</x:v>
      </x:c>
      <x:c r="F98" s="6" t="str">
        <x:v>Device family alone is insufficient for governed relationship.</x:v>
      </x:c>
      <x:c r="G98" s="6" t="str">
        <x:v>Nocturnix_Master_Compatibility_Catalog_v1.xlsx</x:v>
      </x:c>
      <x:c r="H98" s="6" t="str">
        <x:v>01 - Compatibility Records</x:v>
      </x:c>
      <x:c r="I98" s="6" t="n">
        <x:v>137</x:v>
      </x:c>
      <x:c r="J98" s="12" t="str">
        <x:v>Explicit governed evidence supporting relationship</x:v>
      </x:c>
      <x:c r="K98" s="6" t="str">
        <x:v>Unresolved</x:v>
      </x:c>
      <x:c r="L98" s="6" t="str">
        <x:v>Yes</x:v>
      </x:c>
      <x:c r="M98" s="6" t="str"/>
      <x:c r="N98" s="6" t="str"/>
      <x:c r="O98" s="12" t="str"/>
    </x:row>
    <x:row r="99">
      <x:c r="A99" s="6" t="str">
        <x:v>UNS000098</x:v>
      </x:c>
      <x:c r="B99" s="6" t="str">
        <x:v>SVC000098</x:v>
      </x:c>
      <x:c r="C99" s="6" t="str">
        <x:v>iPhone XR Screen replacement</x:v>
      </x:c>
      <x:c r="D99" s="6" t="str">
        <x:v>Family-Level Compatibility</x:v>
      </x:c>
      <x:c r="E99" s="6" t="str">
        <x:v>PHN</x:v>
      </x:c>
      <x:c r="F99" s="6" t="str">
        <x:v>Device family alone is insufficient for governed relationship.</x:v>
      </x:c>
      <x:c r="G99" s="6" t="str">
        <x:v>Nocturnix_Master_Compatibility_Catalog_v1.xlsx</x:v>
      </x:c>
      <x:c r="H99" s="6" t="str">
        <x:v>01 - Compatibility Records</x:v>
      </x:c>
      <x:c r="I99" s="6" t="n">
        <x:v>138</x:v>
      </x:c>
      <x:c r="J99" s="12" t="str">
        <x:v>Explicit governed evidence supporting relationship</x:v>
      </x:c>
      <x:c r="K99" s="6" t="str">
        <x:v>Unresolved</x:v>
      </x:c>
      <x:c r="L99" s="6" t="str">
        <x:v>Yes</x:v>
      </x:c>
      <x:c r="M99" s="6" t="str"/>
      <x:c r="N99" s="6" t="str"/>
      <x:c r="O99" s="12" t="str"/>
    </x:row>
    <x:row r="100">
      <x:c r="A100" s="6" t="str">
        <x:v>UNS000099</x:v>
      </x:c>
      <x:c r="B100" s="6" t="str">
        <x:v>SVC000099</x:v>
      </x:c>
      <x:c r="C100" s="6" t="str">
        <x:v>iPhone XS Screen replacement</x:v>
      </x:c>
      <x:c r="D100" s="6" t="str">
        <x:v>Family-Level Compatibility</x:v>
      </x:c>
      <x:c r="E100" s="6" t="str">
        <x:v>PHN</x:v>
      </x:c>
      <x:c r="F100" s="6" t="str">
        <x:v>Device family alone is insufficient for governed relationship.</x:v>
      </x:c>
      <x:c r="G100" s="6" t="str">
        <x:v>Nocturnix_Master_Compatibility_Catalog_v1.xlsx</x:v>
      </x:c>
      <x:c r="H100" s="6" t="str">
        <x:v>01 - Compatibility Records</x:v>
      </x:c>
      <x:c r="I100" s="6" t="n">
        <x:v>139</x:v>
      </x:c>
      <x:c r="J100" s="12" t="str">
        <x:v>Explicit governed evidence supporting relationship</x:v>
      </x:c>
      <x:c r="K100" s="6" t="str">
        <x:v>Unresolved</x:v>
      </x:c>
      <x:c r="L100" s="6" t="str">
        <x:v>Yes</x:v>
      </x:c>
      <x:c r="M100" s="6" t="str"/>
      <x:c r="N100" s="6" t="str"/>
      <x:c r="O100" s="12" t="str"/>
    </x:row>
    <x:row r="101">
      <x:c r="A101" s="6" t="str">
        <x:v>UNS000100</x:v>
      </x:c>
      <x:c r="B101" s="6" t="str">
        <x:v>SVC000100</x:v>
      </x:c>
      <x:c r="C101" s="6" t="str">
        <x:v>iPhone 5 Screen replacement</x:v>
      </x:c>
      <x:c r="D101" s="6" t="str">
        <x:v>Family-Level Compatibility</x:v>
      </x:c>
      <x:c r="E101" s="6" t="str">
        <x:v>PHN</x:v>
      </x:c>
      <x:c r="F101" s="6" t="str">
        <x:v>Device family alone is insufficient for governed relationship.</x:v>
      </x:c>
      <x:c r="G101" s="6" t="str">
        <x:v>Nocturnix_Master_Compatibility_Catalog_v1.xlsx</x:v>
      </x:c>
      <x:c r="H101" s="6" t="str">
        <x:v>01 - Compatibility Records</x:v>
      </x:c>
      <x:c r="I101" s="6" t="n">
        <x:v>140</x:v>
      </x:c>
      <x:c r="J101" s="12" t="str">
        <x:v>Explicit governed evidence supporting relationship</x:v>
      </x:c>
      <x:c r="K101" s="6" t="str">
        <x:v>Unresolved</x:v>
      </x:c>
      <x:c r="L101" s="6" t="str">
        <x:v>Yes</x:v>
      </x:c>
      <x:c r="M101" s="6" t="str"/>
      <x:c r="N101" s="6" t="str"/>
      <x:c r="O101" s="12" t="str"/>
    </x:row>
    <x:row r="102">
      <x:c r="A102" s="6" t="str">
        <x:v>UNS000101</x:v>
      </x:c>
      <x:c r="B102" s="6" t="str">
        <x:v>SVC000101</x:v>
      </x:c>
      <x:c r="C102" s="6" t="str">
        <x:v>iPhone 4S Screen replacement</x:v>
      </x:c>
      <x:c r="D102" s="6" t="str">
        <x:v>Family-Level Compatibility</x:v>
      </x:c>
      <x:c r="E102" s="6" t="str">
        <x:v>PHN</x:v>
      </x:c>
      <x:c r="F102" s="6" t="str">
        <x:v>Device family alone is insufficient for governed relationship.</x:v>
      </x:c>
      <x:c r="G102" s="6" t="str">
        <x:v>Nocturnix_Master_Compatibility_Catalog_v1.xlsx</x:v>
      </x:c>
      <x:c r="H102" s="6" t="str">
        <x:v>01 - Compatibility Records</x:v>
      </x:c>
      <x:c r="I102" s="6" t="n">
        <x:v>141</x:v>
      </x:c>
      <x:c r="J102" s="12" t="str">
        <x:v>Explicit governed evidence supporting relationship</x:v>
      </x:c>
      <x:c r="K102" s="6" t="str">
        <x:v>Unresolved</x:v>
      </x:c>
      <x:c r="L102" s="6" t="str">
        <x:v>Yes</x:v>
      </x:c>
      <x:c r="M102" s="6" t="str"/>
      <x:c r="N102" s="6" t="str"/>
      <x:c r="O102" s="12" t="str"/>
    </x:row>
    <x:row r="103">
      <x:c r="A103" s="6" t="str">
        <x:v>UNS000102</x:v>
      </x:c>
      <x:c r="B103" s="6" t="str">
        <x:v>SVC000102</x:v>
      </x:c>
      <x:c r="C103" s="6" t="str">
        <x:v>iPhone 4S Screen replacement</x:v>
      </x:c>
      <x:c r="D103" s="6" t="str">
        <x:v>Family-Level Compatibility</x:v>
      </x:c>
      <x:c r="E103" s="6" t="str">
        <x:v>PHN</x:v>
      </x:c>
      <x:c r="F103" s="6" t="str">
        <x:v>Device family alone is insufficient for governed relationship.</x:v>
      </x:c>
      <x:c r="G103" s="6" t="str">
        <x:v>Nocturnix_Master_Compatibility_Catalog_v1.xlsx</x:v>
      </x:c>
      <x:c r="H103" s="6" t="str">
        <x:v>01 - Compatibility Records</x:v>
      </x:c>
      <x:c r="I103" s="6" t="n">
        <x:v>142</x:v>
      </x:c>
      <x:c r="J103" s="12" t="str">
        <x:v>Explicit governed evidence supporting relationship</x:v>
      </x:c>
      <x:c r="K103" s="6" t="str">
        <x:v>Unresolved</x:v>
      </x:c>
      <x:c r="L103" s="6" t="str">
        <x:v>Yes</x:v>
      </x:c>
      <x:c r="M103" s="6" t="str"/>
      <x:c r="N103" s="6" t="str"/>
      <x:c r="O103" s="12" t="str"/>
    </x:row>
    <x:row r="104">
      <x:c r="A104" s="6" t="str">
        <x:v>UNS000103</x:v>
      </x:c>
      <x:c r="B104" s="6" t="str">
        <x:v>SVC000103</x:v>
      </x:c>
      <x:c r="C104" s="6" t="str">
        <x:v>iPhone 4S Screen replacement</x:v>
      </x:c>
      <x:c r="D104" s="6" t="str">
        <x:v>Family-Level Compatibility</x:v>
      </x:c>
      <x:c r="E104" s="6" t="str">
        <x:v>PHN</x:v>
      </x:c>
      <x:c r="F104" s="6" t="str">
        <x:v>Device family alone is insufficient for governed relationship.</x:v>
      </x:c>
      <x:c r="G104" s="6" t="str">
        <x:v>Nocturnix_Master_Compatibility_Catalog_v1.xlsx</x:v>
      </x:c>
      <x:c r="H104" s="6" t="str">
        <x:v>01 - Compatibility Records</x:v>
      </x:c>
      <x:c r="I104" s="6" t="n">
        <x:v>143</x:v>
      </x:c>
      <x:c r="J104" s="12" t="str">
        <x:v>Explicit governed evidence supporting relationship</x:v>
      </x:c>
      <x:c r="K104" s="6" t="str">
        <x:v>Unresolved</x:v>
      </x:c>
      <x:c r="L104" s="6" t="str">
        <x:v>Yes</x:v>
      </x:c>
      <x:c r="M104" s="6" t="str"/>
      <x:c r="N104" s="6" t="str"/>
      <x:c r="O104" s="12" t="str"/>
    </x:row>
    <x:row r="105">
      <x:c r="A105" s="6" t="str">
        <x:v>UNS000104</x:v>
      </x:c>
      <x:c r="B105" s="6" t="str">
        <x:v>SVC000104</x:v>
      </x:c>
      <x:c r="C105" s="6" t="str">
        <x:v>iPhone 3GS Screen replacement</x:v>
      </x:c>
      <x:c r="D105" s="6" t="str">
        <x:v>Family-Level Compatibility</x:v>
      </x:c>
      <x:c r="E105" s="6" t="str">
        <x:v>PHN</x:v>
      </x:c>
      <x:c r="F105" s="6" t="str">
        <x:v>Device family alone is insufficient for governed relationship.</x:v>
      </x:c>
      <x:c r="G105" s="6" t="str">
        <x:v>Nocturnix_Master_Compatibility_Catalog_v1.xlsx</x:v>
      </x:c>
      <x:c r="H105" s="6" t="str">
        <x:v>01 - Compatibility Records</x:v>
      </x:c>
      <x:c r="I105" s="6" t="n">
        <x:v>144</x:v>
      </x:c>
      <x:c r="J105" s="12" t="str">
        <x:v>Explicit governed evidence supporting relationship</x:v>
      </x:c>
      <x:c r="K105" s="6" t="str">
        <x:v>Unresolved</x:v>
      </x:c>
      <x:c r="L105" s="6" t="str">
        <x:v>Yes</x:v>
      </x:c>
      <x:c r="M105" s="6" t="str"/>
      <x:c r="N105" s="6" t="str"/>
      <x:c r="O105" s="12" t="str"/>
    </x:row>
    <x:row r="106">
      <x:c r="A106" s="6" t="str">
        <x:v>UNS000105</x:v>
      </x:c>
      <x:c r="B106" s="6" t="str">
        <x:v>SVC000105</x:v>
      </x:c>
      <x:c r="C106" s="6" t="str">
        <x:v>iPhone 3G Screen replacement</x:v>
      </x:c>
      <x:c r="D106" s="6" t="str">
        <x:v>Family-Level Compatibility</x:v>
      </x:c>
      <x:c r="E106" s="6" t="str">
        <x:v>PHN</x:v>
      </x:c>
      <x:c r="F106" s="6" t="str">
        <x:v>Device family alone is insufficient for governed relationship.</x:v>
      </x:c>
      <x:c r="G106" s="6" t="str">
        <x:v>Nocturnix_Master_Compatibility_Catalog_v1.xlsx</x:v>
      </x:c>
      <x:c r="H106" s="6" t="str">
        <x:v>01 - Compatibility Records</x:v>
      </x:c>
      <x:c r="I106" s="6" t="n">
        <x:v>145</x:v>
      </x:c>
      <x:c r="J106" s="12" t="str">
        <x:v>Explicit governed evidence supporting relationship</x:v>
      </x:c>
      <x:c r="K106" s="6" t="str">
        <x:v>Unresolved</x:v>
      </x:c>
      <x:c r="L106" s="6" t="str">
        <x:v>Yes</x:v>
      </x:c>
      <x:c r="M106" s="6" t="str"/>
      <x:c r="N106" s="6" t="str"/>
      <x:c r="O106" s="12" t="str"/>
    </x:row>
    <x:row r="107">
      <x:c r="A107" s="6" t="str">
        <x:v>UNS000106</x:v>
      </x:c>
      <x:c r="B107" s="6" t="str">
        <x:v>SVC000106</x:v>
      </x:c>
      <x:c r="C107" s="6" t="str">
        <x:v>iPhone Screen replacement</x:v>
      </x:c>
      <x:c r="D107" s="6" t="str">
        <x:v>Family-Level Compatibility</x:v>
      </x:c>
      <x:c r="E107" s="6" t="str">
        <x:v>PHN</x:v>
      </x:c>
      <x:c r="F107" s="6" t="str">
        <x:v>Device family alone is insufficient for governed relationship.</x:v>
      </x:c>
      <x:c r="G107" s="6" t="str">
        <x:v>Nocturnix_Master_Compatibility_Catalog_v1.xlsx</x:v>
      </x:c>
      <x:c r="H107" s="6" t="str">
        <x:v>01 - Compatibility Records</x:v>
      </x:c>
      <x:c r="I107" s="6" t="n">
        <x:v>146</x:v>
      </x:c>
      <x:c r="J107" s="12" t="str">
        <x:v>Explicit governed evidence supporting relationship</x:v>
      </x:c>
      <x:c r="K107" s="6" t="str">
        <x:v>Unresolved</x:v>
      </x:c>
      <x:c r="L107" s="6" t="str">
        <x:v>Yes</x:v>
      </x:c>
      <x:c r="M107" s="6" t="str"/>
      <x:c r="N107" s="6" t="str"/>
      <x:c r="O107" s="12" t="str"/>
    </x:row>
    <x:row r="108">
      <x:c r="A108" s="6" t="str">
        <x:v>UNS000107</x:v>
      </x:c>
      <x:c r="B108" s="6" t="str">
        <x:v>SVC000107</x:v>
      </x:c>
      <x:c r="C108" s="6" t="str">
        <x:v>Galaxy S 24 FE Charge Port Replacement</x:v>
      </x:c>
      <x:c r="D108" s="6" t="str">
        <x:v>Family-Level Compatibility</x:v>
      </x:c>
      <x:c r="E108" s="6" t="str">
        <x:v>PHN</x:v>
      </x:c>
      <x:c r="F108" s="6" t="str">
        <x:v>Device family alone is insufficient for governed relationship.</x:v>
      </x:c>
      <x:c r="G108" s="6" t="str">
        <x:v>Nocturnix_Master_Compatibility_Catalog_v1.xlsx</x:v>
      </x:c>
      <x:c r="H108" s="6" t="str">
        <x:v>01 - Compatibility Records</x:v>
      </x:c>
      <x:c r="I108" s="6" t="n">
        <x:v>147</x:v>
      </x:c>
      <x:c r="J108" s="12" t="str">
        <x:v>Explicit governed evidence supporting relationship</x:v>
      </x:c>
      <x:c r="K108" s="6" t="str">
        <x:v>Unresolved</x:v>
      </x:c>
      <x:c r="L108" s="6" t="str">
        <x:v>Yes</x:v>
      </x:c>
      <x:c r="M108" s="6" t="str"/>
      <x:c r="N108" s="6" t="str"/>
      <x:c r="O108" s="12" t="str"/>
    </x:row>
    <x:row r="109">
      <x:c r="A109" s="6" t="str">
        <x:v>UNS000108</x:v>
      </x:c>
      <x:c r="B109" s="6" t="str">
        <x:v>SVC000108</x:v>
      </x:c>
      <x:c r="C109" s="6" t="str">
        <x:v>Galaxy S 25 Charge Port Replacement</x:v>
      </x:c>
      <x:c r="D109" s="6" t="str">
        <x:v>Family-Level Compatibility</x:v>
      </x:c>
      <x:c r="E109" s="6" t="str">
        <x:v>PHN</x:v>
      </x:c>
      <x:c r="F109" s="6" t="str">
        <x:v>Device family alone is insufficient for governed relationship.</x:v>
      </x:c>
      <x:c r="G109" s="6" t="str">
        <x:v>Nocturnix_Master_Compatibility_Catalog_v1.xlsx</x:v>
      </x:c>
      <x:c r="H109" s="6" t="str">
        <x:v>01 - Compatibility Records</x:v>
      </x:c>
      <x:c r="I109" s="6" t="n">
        <x:v>148</x:v>
      </x:c>
      <x:c r="J109" s="12" t="str">
        <x:v>Explicit governed evidence supporting relationship</x:v>
      </x:c>
      <x:c r="K109" s="6" t="str">
        <x:v>Unresolved</x:v>
      </x:c>
      <x:c r="L109" s="6" t="str">
        <x:v>Yes</x:v>
      </x:c>
      <x:c r="M109" s="6" t="str"/>
      <x:c r="N109" s="6" t="str"/>
      <x:c r="O109" s="12" t="str"/>
    </x:row>
    <x:row r="110">
      <x:c r="A110" s="6" t="str">
        <x:v>UNS000109</x:v>
      </x:c>
      <x:c r="B110" s="6" t="str">
        <x:v>SVC000109</x:v>
      </x:c>
      <x:c r="C110" s="6" t="str">
        <x:v>Galaxy S 25 Plus Charge Port Replacement</x:v>
      </x:c>
      <x:c r="D110" s="6" t="str">
        <x:v>Family-Level Compatibility</x:v>
      </x:c>
      <x:c r="E110" s="6" t="str">
        <x:v>PHN</x:v>
      </x:c>
      <x:c r="F110" s="6" t="str">
        <x:v>Device family alone is insufficient for governed relationship.</x:v>
      </x:c>
      <x:c r="G110" s="6" t="str">
        <x:v>Nocturnix_Master_Compatibility_Catalog_v1.xlsx</x:v>
      </x:c>
      <x:c r="H110" s="6" t="str">
        <x:v>01 - Compatibility Records</x:v>
      </x:c>
      <x:c r="I110" s="6" t="n">
        <x:v>149</x:v>
      </x:c>
      <x:c r="J110" s="12" t="str">
        <x:v>Explicit governed evidence supporting relationship</x:v>
      </x:c>
      <x:c r="K110" s="6" t="str">
        <x:v>Unresolved</x:v>
      </x:c>
      <x:c r="L110" s="6" t="str">
        <x:v>Yes</x:v>
      </x:c>
      <x:c r="M110" s="6" t="str"/>
      <x:c r="N110" s="6" t="str"/>
      <x:c r="O110" s="12" t="str"/>
    </x:row>
    <x:row r="111">
      <x:c r="A111" s="6" t="str">
        <x:v>UNS000110</x:v>
      </x:c>
      <x:c r="B111" s="6" t="str">
        <x:v>SVC000110</x:v>
      </x:c>
      <x:c r="C111" s="6" t="str">
        <x:v>Galaxy S 25 Edge Charge Port Replacement</x:v>
      </x:c>
      <x:c r="D111" s="6" t="str">
        <x:v>Family-Level Compatibility</x:v>
      </x:c>
      <x:c r="E111" s="6" t="str">
        <x:v>PHN</x:v>
      </x:c>
      <x:c r="F111" s="6" t="str">
        <x:v>Device family alone is insufficient for governed relationship.</x:v>
      </x:c>
      <x:c r="G111" s="6" t="str">
        <x:v>Nocturnix_Master_Compatibility_Catalog_v1.xlsx</x:v>
      </x:c>
      <x:c r="H111" s="6" t="str">
        <x:v>01 - Compatibility Records</x:v>
      </x:c>
      <x:c r="I111" s="6" t="n">
        <x:v>150</x:v>
      </x:c>
      <x:c r="J111" s="12" t="str">
        <x:v>Explicit governed evidence supporting relationship</x:v>
      </x:c>
      <x:c r="K111" s="6" t="str">
        <x:v>Unresolved</x:v>
      </x:c>
      <x:c r="L111" s="6" t="str">
        <x:v>Yes</x:v>
      </x:c>
      <x:c r="M111" s="6" t="str"/>
      <x:c r="N111" s="6" t="str"/>
      <x:c r="O111" s="12" t="str"/>
    </x:row>
    <x:row r="112">
      <x:c r="A112" s="6" t="str">
        <x:v>UNS000111</x:v>
      </x:c>
      <x:c r="B112" s="6" t="str">
        <x:v>SVC000111</x:v>
      </x:c>
      <x:c r="C112" s="6" t="str">
        <x:v>Galaxy S 22 Plus Battery Replacement</x:v>
      </x:c>
      <x:c r="D112" s="6" t="str">
        <x:v>Family-Level Compatibility</x:v>
      </x:c>
      <x:c r="E112" s="6" t="str">
        <x:v>PHN</x:v>
      </x:c>
      <x:c r="F112" s="6" t="str">
        <x:v>Device family alone is insufficient for governed relationship.</x:v>
      </x:c>
      <x:c r="G112" s="6" t="str">
        <x:v>Nocturnix_Master_Compatibility_Catalog_v1.xlsx</x:v>
      </x:c>
      <x:c r="H112" s="6" t="str">
        <x:v>01 - Compatibility Records</x:v>
      </x:c>
      <x:c r="I112" s="6" t="n">
        <x:v>151</x:v>
      </x:c>
      <x:c r="J112" s="12" t="str">
        <x:v>Explicit governed evidence supporting relationship</x:v>
      </x:c>
      <x:c r="K112" s="6" t="str">
        <x:v>Unresolved</x:v>
      </x:c>
      <x:c r="L112" s="6" t="str">
        <x:v>Yes</x:v>
      </x:c>
      <x:c r="M112" s="6" t="str"/>
      <x:c r="N112" s="6" t="str"/>
      <x:c r="O112" s="12" t="str"/>
    </x:row>
    <x:row r="113">
      <x:c r="A113" s="6" t="str">
        <x:v>UNS000112</x:v>
      </x:c>
      <x:c r="B113" s="6" t="str">
        <x:v>SVC000112</x:v>
      </x:c>
      <x:c r="C113" s="6" t="str">
        <x:v>Galaxy S 22 Ultra Battery Replacement</x:v>
      </x:c>
      <x:c r="D113" s="6" t="str">
        <x:v>Family-Level Compatibility</x:v>
      </x:c>
      <x:c r="E113" s="6" t="str">
        <x:v>PHN</x:v>
      </x:c>
      <x:c r="F113" s="6" t="str">
        <x:v>Device family alone is insufficient for governed relationship.</x:v>
      </x:c>
      <x:c r="G113" s="6" t="str">
        <x:v>Nocturnix_Master_Compatibility_Catalog_v1.xlsx</x:v>
      </x:c>
      <x:c r="H113" s="6" t="str">
        <x:v>01 - Compatibility Records</x:v>
      </x:c>
      <x:c r="I113" s="6" t="n">
        <x:v>152</x:v>
      </x:c>
      <x:c r="J113" s="12" t="str">
        <x:v>Explicit governed evidence supporting relationship</x:v>
      </x:c>
      <x:c r="K113" s="6" t="str">
        <x:v>Unresolved</x:v>
      </x:c>
      <x:c r="L113" s="6" t="str">
        <x:v>Yes</x:v>
      </x:c>
      <x:c r="M113" s="6" t="str"/>
      <x:c r="N113" s="6" t="str"/>
      <x:c r="O113" s="12" t="str"/>
    </x:row>
    <x:row r="114">
      <x:c r="A114" s="6" t="str">
        <x:v>UNS000113</x:v>
      </x:c>
      <x:c r="B114" s="6" t="str">
        <x:v>SVC000113</x:v>
      </x:c>
      <x:c r="C114" s="6" t="str">
        <x:v>Galaxy S 23 Plus Battery Replacement</x:v>
      </x:c>
      <x:c r="D114" s="6" t="str">
        <x:v>Family-Level Compatibility</x:v>
      </x:c>
      <x:c r="E114" s="6" t="str">
        <x:v>PHN</x:v>
      </x:c>
      <x:c r="F114" s="6" t="str">
        <x:v>Device family alone is insufficient for governed relationship.</x:v>
      </x:c>
      <x:c r="G114" s="6" t="str">
        <x:v>Nocturnix_Master_Compatibility_Catalog_v1.xlsx</x:v>
      </x:c>
      <x:c r="H114" s="6" t="str">
        <x:v>01 - Compatibility Records</x:v>
      </x:c>
      <x:c r="I114" s="6" t="n">
        <x:v>153</x:v>
      </x:c>
      <x:c r="J114" s="12" t="str">
        <x:v>Explicit governed evidence supporting relationship</x:v>
      </x:c>
      <x:c r="K114" s="6" t="str">
        <x:v>Unresolved</x:v>
      </x:c>
      <x:c r="L114" s="6" t="str">
        <x:v>Yes</x:v>
      </x:c>
      <x:c r="M114" s="6" t="str"/>
      <x:c r="N114" s="6" t="str"/>
      <x:c r="O114" s="12" t="str"/>
    </x:row>
    <x:row r="115">
      <x:c r="A115" s="6" t="str">
        <x:v>UNS000114</x:v>
      </x:c>
      <x:c r="B115" s="6" t="str">
        <x:v>SVC000114</x:v>
      </x:c>
      <x:c r="C115" s="6" t="str">
        <x:v>Galaxy S 24 Battery Replacement</x:v>
      </x:c>
      <x:c r="D115" s="6" t="str">
        <x:v>Family-Level Compatibility</x:v>
      </x:c>
      <x:c r="E115" s="6" t="str">
        <x:v>PHN</x:v>
      </x:c>
      <x:c r="F115" s="6" t="str">
        <x:v>Device family alone is insufficient for governed relationship.</x:v>
      </x:c>
      <x:c r="G115" s="6" t="str">
        <x:v>Nocturnix_Master_Compatibility_Catalog_v1.xlsx</x:v>
      </x:c>
      <x:c r="H115" s="6" t="str">
        <x:v>01 - Compatibility Records</x:v>
      </x:c>
      <x:c r="I115" s="6" t="n">
        <x:v>154</x:v>
      </x:c>
      <x:c r="J115" s="12" t="str">
        <x:v>Explicit governed evidence supporting relationship</x:v>
      </x:c>
      <x:c r="K115" s="6" t="str">
        <x:v>Unresolved</x:v>
      </x:c>
      <x:c r="L115" s="6" t="str">
        <x:v>Yes</x:v>
      </x:c>
      <x:c r="M115" s="6" t="str"/>
      <x:c r="N115" s="6" t="str"/>
      <x:c r="O115" s="12" t="str"/>
    </x:row>
    <x:row r="116">
      <x:c r="A116" s="6" t="str">
        <x:v>UNS000115</x:v>
      </x:c>
      <x:c r="B116" s="6" t="str">
        <x:v>SVC000115</x:v>
      </x:c>
      <x:c r="C116" s="6" t="str">
        <x:v>Galaxy S 24 Plus Battery Replacement</x:v>
      </x:c>
      <x:c r="D116" s="6" t="str">
        <x:v>Family-Level Compatibility</x:v>
      </x:c>
      <x:c r="E116" s="6" t="str">
        <x:v>PHN</x:v>
      </x:c>
      <x:c r="F116" s="6" t="str">
        <x:v>Device family alone is insufficient for governed relationship.</x:v>
      </x:c>
      <x:c r="G116" s="6" t="str">
        <x:v>Nocturnix_Master_Compatibility_Catalog_v1.xlsx</x:v>
      </x:c>
      <x:c r="H116" s="6" t="str">
        <x:v>01 - Compatibility Records</x:v>
      </x:c>
      <x:c r="I116" s="6" t="n">
        <x:v>155</x:v>
      </x:c>
      <x:c r="J116" s="12" t="str">
        <x:v>Explicit governed evidence supporting relationship</x:v>
      </x:c>
      <x:c r="K116" s="6" t="str">
        <x:v>Unresolved</x:v>
      </x:c>
      <x:c r="L116" s="6" t="str">
        <x:v>Yes</x:v>
      </x:c>
      <x:c r="M116" s="6" t="str"/>
      <x:c r="N116" s="6" t="str"/>
      <x:c r="O116" s="12" t="str"/>
    </x:row>
    <x:row r="117">
      <x:c r="A117" s="6" t="str">
        <x:v>UNS000116</x:v>
      </x:c>
      <x:c r="B117" s="6" t="str">
        <x:v>SVC000116</x:v>
      </x:c>
      <x:c r="C117" s="6" t="str">
        <x:v>Galaxy S 24 Ultra Battery Replacement</x:v>
      </x:c>
      <x:c r="D117" s="6" t="str">
        <x:v>Family-Level Compatibility</x:v>
      </x:c>
      <x:c r="E117" s="6" t="str">
        <x:v>PHN</x:v>
      </x:c>
      <x:c r="F117" s="6" t="str">
        <x:v>Device family alone is insufficient for governed relationship.</x:v>
      </x:c>
      <x:c r="G117" s="6" t="str">
        <x:v>Nocturnix_Master_Compatibility_Catalog_v1.xlsx</x:v>
      </x:c>
      <x:c r="H117" s="6" t="str">
        <x:v>01 - Compatibility Records</x:v>
      </x:c>
      <x:c r="I117" s="6" t="n">
        <x:v>156</x:v>
      </x:c>
      <x:c r="J117" s="12" t="str">
        <x:v>Explicit governed evidence supporting relationship</x:v>
      </x:c>
      <x:c r="K117" s="6" t="str">
        <x:v>Unresolved</x:v>
      </x:c>
      <x:c r="L117" s="6" t="str">
        <x:v>Yes</x:v>
      </x:c>
      <x:c r="M117" s="6" t="str"/>
      <x:c r="N117" s="6" t="str"/>
      <x:c r="O117" s="12" t="str"/>
    </x:row>
    <x:row r="118">
      <x:c r="A118" s="6" t="str">
        <x:v>UNS000117</x:v>
      </x:c>
      <x:c r="B118" s="6" t="str">
        <x:v>SVC000117</x:v>
      </x:c>
      <x:c r="C118" s="6" t="str">
        <x:v>Galaxy S 25 Plus Battery Replacement</x:v>
      </x:c>
      <x:c r="D118" s="6" t="str">
        <x:v>Family-Level Compatibility</x:v>
      </x:c>
      <x:c r="E118" s="6" t="str">
        <x:v>PHN</x:v>
      </x:c>
      <x:c r="F118" s="6" t="str">
        <x:v>Device family alone is insufficient for governed relationship.</x:v>
      </x:c>
      <x:c r="G118" s="6" t="str">
        <x:v>Nocturnix_Master_Compatibility_Catalog_v1.xlsx</x:v>
      </x:c>
      <x:c r="H118" s="6" t="str">
        <x:v>01 - Compatibility Records</x:v>
      </x:c>
      <x:c r="I118" s="6" t="n">
        <x:v>157</x:v>
      </x:c>
      <x:c r="J118" s="12" t="str">
        <x:v>Explicit governed evidence supporting relationship</x:v>
      </x:c>
      <x:c r="K118" s="6" t="str">
        <x:v>Unresolved</x:v>
      </x:c>
      <x:c r="L118" s="6" t="str">
        <x:v>Yes</x:v>
      </x:c>
      <x:c r="M118" s="6" t="str"/>
      <x:c r="N118" s="6" t="str"/>
      <x:c r="O118" s="12" t="str"/>
    </x:row>
    <x:row r="119">
      <x:c r="A119" s="6" t="str">
        <x:v>UNS000118</x:v>
      </x:c>
      <x:c r="B119" s="6" t="str">
        <x:v>SVC000118</x:v>
      </x:c>
      <x:c r="C119" s="6" t="str">
        <x:v>Galaxy S 10 Battery Replacement</x:v>
      </x:c>
      <x:c r="D119" s="6" t="str">
        <x:v>Family-Level Compatibility</x:v>
      </x:c>
      <x:c r="E119" s="6" t="str">
        <x:v>PHN</x:v>
      </x:c>
      <x:c r="F119" s="6" t="str">
        <x:v>Device family alone is insufficient for governed relationship.</x:v>
      </x:c>
      <x:c r="G119" s="6" t="str">
        <x:v>Nocturnix_Master_Compatibility_Catalog_v1.xlsx</x:v>
      </x:c>
      <x:c r="H119" s="6" t="str">
        <x:v>01 - Compatibility Records</x:v>
      </x:c>
      <x:c r="I119" s="6" t="n">
        <x:v>158</x:v>
      </x:c>
      <x:c r="J119" s="12" t="str">
        <x:v>Explicit governed evidence supporting relationship</x:v>
      </x:c>
      <x:c r="K119" s="6" t="str">
        <x:v>Unresolved</x:v>
      </x:c>
      <x:c r="L119" s="6" t="str">
        <x:v>Yes</x:v>
      </x:c>
      <x:c r="M119" s="6" t="str"/>
      <x:c r="N119" s="6" t="str"/>
      <x:c r="O119" s="12" t="str"/>
    </x:row>
    <x:row r="120">
      <x:c r="A120" s="6" t="str">
        <x:v>UNS000119</x:v>
      </x:c>
      <x:c r="B120" s="6" t="str">
        <x:v>SVC000119</x:v>
      </x:c>
      <x:c r="C120" s="6" t="str">
        <x:v>Galaxy S 10 Plus Battery Replacement</x:v>
      </x:c>
      <x:c r="D120" s="6" t="str">
        <x:v>Family-Level Compatibility</x:v>
      </x:c>
      <x:c r="E120" s="6" t="str">
        <x:v>PHN</x:v>
      </x:c>
      <x:c r="F120" s="6" t="str">
        <x:v>Device family alone is insufficient for governed relationship.</x:v>
      </x:c>
      <x:c r="G120" s="6" t="str">
        <x:v>Nocturnix_Master_Compatibility_Catalog_v1.xlsx</x:v>
      </x:c>
      <x:c r="H120" s="6" t="str">
        <x:v>01 - Compatibility Records</x:v>
      </x:c>
      <x:c r="I120" s="6" t="n">
        <x:v>159</x:v>
      </x:c>
      <x:c r="J120" s="12" t="str">
        <x:v>Explicit governed evidence supporting relationship</x:v>
      </x:c>
      <x:c r="K120" s="6" t="str">
        <x:v>Unresolved</x:v>
      </x:c>
      <x:c r="L120" s="6" t="str">
        <x:v>Yes</x:v>
      </x:c>
      <x:c r="M120" s="6" t="str"/>
      <x:c r="N120" s="6" t="str"/>
      <x:c r="O120" s="12" t="str"/>
    </x:row>
    <x:row r="121">
      <x:c r="A121" s="6" t="str">
        <x:v>UNS000120</x:v>
      </x:c>
      <x:c r="B121" s="6" t="str">
        <x:v>SVC000120</x:v>
      </x:c>
      <x:c r="C121" s="6" t="str">
        <x:v>Galaxy S 10 E Battery Replacement</x:v>
      </x:c>
      <x:c r="D121" s="6" t="str">
        <x:v>Family-Level Compatibility</x:v>
      </x:c>
      <x:c r="E121" s="6" t="str">
        <x:v>PHN</x:v>
      </x:c>
      <x:c r="F121" s="6" t="str">
        <x:v>Device family alone is insufficient for governed relationship.</x:v>
      </x:c>
      <x:c r="G121" s="6" t="str">
        <x:v>Nocturnix_Master_Compatibility_Catalog_v1.xlsx</x:v>
      </x:c>
      <x:c r="H121" s="6" t="str">
        <x:v>01 - Compatibility Records</x:v>
      </x:c>
      <x:c r="I121" s="6" t="n">
        <x:v>160</x:v>
      </x:c>
      <x:c r="J121" s="12" t="str">
        <x:v>Explicit governed evidence supporting relationship</x:v>
      </x:c>
      <x:c r="K121" s="6" t="str">
        <x:v>Unresolved</x:v>
      </x:c>
      <x:c r="L121" s="6" t="str">
        <x:v>Yes</x:v>
      </x:c>
      <x:c r="M121" s="6" t="str"/>
      <x:c r="N121" s="6" t="str"/>
      <x:c r="O121" s="12" t="str"/>
    </x:row>
    <x:row r="122">
      <x:c r="A122" s="6" t="str">
        <x:v>UNS000121</x:v>
      </x:c>
      <x:c r="B122" s="6" t="str">
        <x:v>SVC000121</x:v>
      </x:c>
      <x:c r="C122" s="6" t="str">
        <x:v>Galaxy Note 9 Battery Replacement</x:v>
      </x:c>
      <x:c r="D122" s="6" t="str">
        <x:v>Family-Level Compatibility</x:v>
      </x:c>
      <x:c r="E122" s="6" t="str">
        <x:v>PHN</x:v>
      </x:c>
      <x:c r="F122" s="6" t="str">
        <x:v>Device family alone is insufficient for governed relationship.</x:v>
      </x:c>
      <x:c r="G122" s="6" t="str">
        <x:v>Nocturnix_Master_Compatibility_Catalog_v1.xlsx</x:v>
      </x:c>
      <x:c r="H122" s="6" t="str">
        <x:v>01 - Compatibility Records</x:v>
      </x:c>
      <x:c r="I122" s="6" t="n">
        <x:v>161</x:v>
      </x:c>
      <x:c r="J122" s="12" t="str">
        <x:v>Explicit governed evidence supporting relationship</x:v>
      </x:c>
      <x:c r="K122" s="6" t="str">
        <x:v>Unresolved</x:v>
      </x:c>
      <x:c r="L122" s="6" t="str">
        <x:v>Yes</x:v>
      </x:c>
      <x:c r="M122" s="6" t="str"/>
      <x:c r="N122" s="6" t="str"/>
      <x:c r="O122" s="12" t="str"/>
    </x:row>
    <x:row r="123">
      <x:c r="A123" s="6" t="str">
        <x:v>UNS000122</x:v>
      </x:c>
      <x:c r="B123" s="6" t="str">
        <x:v>SVC000122</x:v>
      </x:c>
      <x:c r="C123" s="6" t="str">
        <x:v>Galaxy Note 10 Plus Battery Replacement</x:v>
      </x:c>
      <x:c r="D123" s="6" t="str">
        <x:v>Family-Level Compatibility</x:v>
      </x:c>
      <x:c r="E123" s="6" t="str">
        <x:v>PHN</x:v>
      </x:c>
      <x:c r="F123" s="6" t="str">
        <x:v>Device family alone is insufficient for governed relationship.</x:v>
      </x:c>
      <x:c r="G123" s="6" t="str">
        <x:v>Nocturnix_Master_Compatibility_Catalog_v1.xlsx</x:v>
      </x:c>
      <x:c r="H123" s="6" t="str">
        <x:v>01 - Compatibility Records</x:v>
      </x:c>
      <x:c r="I123" s="6" t="n">
        <x:v>162</x:v>
      </x:c>
      <x:c r="J123" s="12" t="str">
        <x:v>Explicit governed evidence supporting relationship</x:v>
      </x:c>
      <x:c r="K123" s="6" t="str">
        <x:v>Unresolved</x:v>
      </x:c>
      <x:c r="L123" s="6" t="str">
        <x:v>Yes</x:v>
      </x:c>
      <x:c r="M123" s="6" t="str"/>
      <x:c r="N123" s="6" t="str"/>
      <x:c r="O123" s="12" t="str"/>
    </x:row>
    <x:row r="124">
      <x:c r="A124" s="6" t="str">
        <x:v>UNS000123</x:v>
      </x:c>
      <x:c r="B124" s="6" t="str">
        <x:v>SVC000123</x:v>
      </x:c>
      <x:c r="C124" s="6" t="str">
        <x:v>Galaxy S 20 Battery Replacement</x:v>
      </x:c>
      <x:c r="D124" s="6" t="str">
        <x:v>Family-Level Compatibility</x:v>
      </x:c>
      <x:c r="E124" s="6" t="str">
        <x:v>PHN</x:v>
      </x:c>
      <x:c r="F124" s="6" t="str">
        <x:v>Device family alone is insufficient for governed relationship.</x:v>
      </x:c>
      <x:c r="G124" s="6" t="str">
        <x:v>Nocturnix_Master_Compatibility_Catalog_v1.xlsx</x:v>
      </x:c>
      <x:c r="H124" s="6" t="str">
        <x:v>01 - Compatibility Records</x:v>
      </x:c>
      <x:c r="I124" s="6" t="n">
        <x:v>163</x:v>
      </x:c>
      <x:c r="J124" s="12" t="str">
        <x:v>Explicit governed evidence supporting relationship</x:v>
      </x:c>
      <x:c r="K124" s="6" t="str">
        <x:v>Unresolved</x:v>
      </x:c>
      <x:c r="L124" s="6" t="str">
        <x:v>Yes</x:v>
      </x:c>
      <x:c r="M124" s="6" t="str"/>
      <x:c r="N124" s="6" t="str"/>
      <x:c r="O124" s="12" t="str"/>
    </x:row>
    <x:row r="125">
      <x:c r="A125" s="6" t="str">
        <x:v>UNS000124</x:v>
      </x:c>
      <x:c r="B125" s="6" t="str">
        <x:v>SVC000124</x:v>
      </x:c>
      <x:c r="C125" s="6" t="str">
        <x:v>Galaxy S 20 Plus Battery Replacement</x:v>
      </x:c>
      <x:c r="D125" s="6" t="str">
        <x:v>Family-Level Compatibility</x:v>
      </x:c>
      <x:c r="E125" s="6" t="str">
        <x:v>PHN</x:v>
      </x:c>
      <x:c r="F125" s="6" t="str">
        <x:v>Device family alone is insufficient for governed relationship.</x:v>
      </x:c>
      <x:c r="G125" s="6" t="str">
        <x:v>Nocturnix_Master_Compatibility_Catalog_v1.xlsx</x:v>
      </x:c>
      <x:c r="H125" s="6" t="str">
        <x:v>01 - Compatibility Records</x:v>
      </x:c>
      <x:c r="I125" s="6" t="n">
        <x:v>164</x:v>
      </x:c>
      <x:c r="J125" s="12" t="str">
        <x:v>Explicit governed evidence supporting relationship</x:v>
      </x:c>
      <x:c r="K125" s="6" t="str">
        <x:v>Unresolved</x:v>
      </x:c>
      <x:c r="L125" s="6" t="str">
        <x:v>Yes</x:v>
      </x:c>
      <x:c r="M125" s="6" t="str"/>
      <x:c r="N125" s="6" t="str"/>
      <x:c r="O125" s="12" t="str"/>
    </x:row>
    <x:row r="126">
      <x:c r="A126" s="6" t="str">
        <x:v>UNS000125</x:v>
      </x:c>
      <x:c r="B126" s="6" t="str">
        <x:v>SVC000125</x:v>
      </x:c>
      <x:c r="C126" s="6" t="str">
        <x:v>Galaxy S 21 Plus Battery Replacement</x:v>
      </x:c>
      <x:c r="D126" s="6" t="str">
        <x:v>Family-Level Compatibility</x:v>
      </x:c>
      <x:c r="E126" s="6" t="str">
        <x:v>PHN</x:v>
      </x:c>
      <x:c r="F126" s="6" t="str">
        <x:v>Device family alone is insufficient for governed relationship.</x:v>
      </x:c>
      <x:c r="G126" s="6" t="str">
        <x:v>Nocturnix_Master_Compatibility_Catalog_v1.xlsx</x:v>
      </x:c>
      <x:c r="H126" s="6" t="str">
        <x:v>01 - Compatibility Records</x:v>
      </x:c>
      <x:c r="I126" s="6" t="n">
        <x:v>165</x:v>
      </x:c>
      <x:c r="J126" s="12" t="str">
        <x:v>Explicit governed evidence supporting relationship</x:v>
      </x:c>
      <x:c r="K126" s="6" t="str">
        <x:v>Unresolved</x:v>
      </x:c>
      <x:c r="L126" s="6" t="str">
        <x:v>Yes</x:v>
      </x:c>
      <x:c r="M126" s="6" t="str"/>
      <x:c r="N126" s="6" t="str"/>
      <x:c r="O126" s="12" t="str"/>
    </x:row>
    <x:row r="127">
      <x:c r="A127" s="6" t="str">
        <x:v>UNS000126</x:v>
      </x:c>
      <x:c r="B127" s="6" t="str">
        <x:v>SVC000126</x:v>
      </x:c>
      <x:c r="C127" s="6" t="str">
        <x:v>Galaxy S 7 Battery Replacement</x:v>
      </x:c>
      <x:c r="D127" s="6" t="str">
        <x:v>Family-Level Compatibility</x:v>
      </x:c>
      <x:c r="E127" s="6" t="str">
        <x:v>PHN</x:v>
      </x:c>
      <x:c r="F127" s="6" t="str">
        <x:v>Device family alone is insufficient for governed relationship.</x:v>
      </x:c>
      <x:c r="G127" s="6" t="str">
        <x:v>Nocturnix_Master_Compatibility_Catalog_v1.xlsx</x:v>
      </x:c>
      <x:c r="H127" s="6" t="str">
        <x:v>01 - Compatibility Records</x:v>
      </x:c>
      <x:c r="I127" s="6" t="n">
        <x:v>166</x:v>
      </x:c>
      <x:c r="J127" s="12" t="str">
        <x:v>Explicit governed evidence supporting relationship</x:v>
      </x:c>
      <x:c r="K127" s="6" t="str">
        <x:v>Unresolved</x:v>
      </x:c>
      <x:c r="L127" s="6" t="str">
        <x:v>Yes</x:v>
      </x:c>
      <x:c r="M127" s="6" t="str"/>
      <x:c r="N127" s="6" t="str"/>
      <x:c r="O127" s="12" t="str"/>
    </x:row>
    <x:row r="128">
      <x:c r="A128" s="6" t="str">
        <x:v>UNS000127</x:v>
      </x:c>
      <x:c r="B128" s="6" t="str">
        <x:v>SVC000127</x:v>
      </x:c>
      <x:c r="C128" s="6" t="str">
        <x:v>Galaxy S 7 Edge Battery Replacement</x:v>
      </x:c>
      <x:c r="D128" s="6" t="str">
        <x:v>Family-Level Compatibility</x:v>
      </x:c>
      <x:c r="E128" s="6" t="str">
        <x:v>PHN</x:v>
      </x:c>
      <x:c r="F128" s="6" t="str">
        <x:v>Device family alone is insufficient for governed relationship.</x:v>
      </x:c>
      <x:c r="G128" s="6" t="str">
        <x:v>Nocturnix_Master_Compatibility_Catalog_v1.xlsx</x:v>
      </x:c>
      <x:c r="H128" s="6" t="str">
        <x:v>01 - Compatibility Records</x:v>
      </x:c>
      <x:c r="I128" s="6" t="n">
        <x:v>167</x:v>
      </x:c>
      <x:c r="J128" s="12" t="str">
        <x:v>Explicit governed evidence supporting relationship</x:v>
      </x:c>
      <x:c r="K128" s="6" t="str">
        <x:v>Unresolved</x:v>
      </x:c>
      <x:c r="L128" s="6" t="str">
        <x:v>Yes</x:v>
      </x:c>
      <x:c r="M128" s="6" t="str"/>
      <x:c r="N128" s="6" t="str"/>
      <x:c r="O128" s="12" t="str"/>
    </x:row>
    <x:row r="129">
      <x:c r="A129" s="6" t="str">
        <x:v>UNS000128</x:v>
      </x:c>
      <x:c r="B129" s="6" t="str">
        <x:v>SVC000128</x:v>
      </x:c>
      <x:c r="C129" s="6" t="str">
        <x:v>Galaxy S 5 Active Battery Replacement</x:v>
      </x:c>
      <x:c r="D129" s="6" t="str">
        <x:v>Family-Level Compatibility</x:v>
      </x:c>
      <x:c r="E129" s="6" t="str">
        <x:v>PHN</x:v>
      </x:c>
      <x:c r="F129" s="6" t="str">
        <x:v>Device family alone is insufficient for governed relationship.</x:v>
      </x:c>
      <x:c r="G129" s="6" t="str">
        <x:v>Nocturnix_Master_Compatibility_Catalog_v1.xlsx</x:v>
      </x:c>
      <x:c r="H129" s="6" t="str">
        <x:v>01 - Compatibility Records</x:v>
      </x:c>
      <x:c r="I129" s="6" t="n">
        <x:v>168</x:v>
      </x:c>
      <x:c r="J129" s="12" t="str">
        <x:v>Explicit governed evidence supporting relationship</x:v>
      </x:c>
      <x:c r="K129" s="6" t="str">
        <x:v>Unresolved</x:v>
      </x:c>
      <x:c r="L129" s="6" t="str">
        <x:v>Yes</x:v>
      </x:c>
      <x:c r="M129" s="6" t="str"/>
      <x:c r="N129" s="6" t="str"/>
      <x:c r="O129" s="12" t="str"/>
    </x:row>
    <x:row r="130">
      <x:c r="A130" s="6" t="str">
        <x:v>UNS000129</x:v>
      </x:c>
      <x:c r="B130" s="6" t="str">
        <x:v>SVC000129</x:v>
      </x:c>
      <x:c r="C130" s="6" t="str">
        <x:v>Galaxy S 6 Edge Battery Replacement</x:v>
      </x:c>
      <x:c r="D130" s="6" t="str">
        <x:v>Family-Level Compatibility</x:v>
      </x:c>
      <x:c r="E130" s="6" t="str">
        <x:v>PHN</x:v>
      </x:c>
      <x:c r="F130" s="6" t="str">
        <x:v>Device family alone is insufficient for governed relationship.</x:v>
      </x:c>
      <x:c r="G130" s="6" t="str">
        <x:v>Nocturnix_Master_Compatibility_Catalog_v1.xlsx</x:v>
      </x:c>
      <x:c r="H130" s="6" t="str">
        <x:v>01 - Compatibility Records</x:v>
      </x:c>
      <x:c r="I130" s="6" t="n">
        <x:v>169</x:v>
      </x:c>
      <x:c r="J130" s="12" t="str">
        <x:v>Explicit governed evidence supporting relationship</x:v>
      </x:c>
      <x:c r="K130" s="6" t="str">
        <x:v>Unresolved</x:v>
      </x:c>
      <x:c r="L130" s="6" t="str">
        <x:v>Yes</x:v>
      </x:c>
      <x:c r="M130" s="6" t="str"/>
      <x:c r="N130" s="6" t="str"/>
      <x:c r="O130" s="12" t="str"/>
    </x:row>
    <x:row r="131">
      <x:c r="A131" s="6" t="str">
        <x:v>UNS000130</x:v>
      </x:c>
      <x:c r="B131" s="6" t="str">
        <x:v>SVC000130</x:v>
      </x:c>
      <x:c r="C131" s="6" t="str">
        <x:v>Galaxy S 8 Plus Battery Replacement</x:v>
      </x:c>
      <x:c r="D131" s="6" t="str">
        <x:v>Family-Level Compatibility</x:v>
      </x:c>
      <x:c r="E131" s="6" t="str">
        <x:v>PHN</x:v>
      </x:c>
      <x:c r="F131" s="6" t="str">
        <x:v>Device family alone is insufficient for governed relationship.</x:v>
      </x:c>
      <x:c r="G131" s="6" t="str">
        <x:v>Nocturnix_Master_Compatibility_Catalog_v1.xlsx</x:v>
      </x:c>
      <x:c r="H131" s="6" t="str">
        <x:v>01 - Compatibility Records</x:v>
      </x:c>
      <x:c r="I131" s="6" t="n">
        <x:v>170</x:v>
      </x:c>
      <x:c r="J131" s="12" t="str">
        <x:v>Explicit governed evidence supporting relationship</x:v>
      </x:c>
      <x:c r="K131" s="6" t="str">
        <x:v>Unresolved</x:v>
      </x:c>
      <x:c r="L131" s="6" t="str">
        <x:v>Yes</x:v>
      </x:c>
      <x:c r="M131" s="6" t="str"/>
      <x:c r="N131" s="6" t="str"/>
      <x:c r="O131" s="12" t="str"/>
    </x:row>
    <x:row r="132">
      <x:c r="A132" s="6" t="str">
        <x:v>UNS000131</x:v>
      </x:c>
      <x:c r="B132" s="6" t="str">
        <x:v>SVC000131</x:v>
      </x:c>
      <x:c r="C132" s="6" t="str">
        <x:v>Galaxy S 8 Active Battery Replacement</x:v>
      </x:c>
      <x:c r="D132" s="6" t="str">
        <x:v>Family-Level Compatibility</x:v>
      </x:c>
      <x:c r="E132" s="6" t="str">
        <x:v>PHN</x:v>
      </x:c>
      <x:c r="F132" s="6" t="str">
        <x:v>Device family alone is insufficient for governed relationship.</x:v>
      </x:c>
      <x:c r="G132" s="6" t="str">
        <x:v>Nocturnix_Master_Compatibility_Catalog_v1.xlsx</x:v>
      </x:c>
      <x:c r="H132" s="6" t="str">
        <x:v>01 - Compatibility Records</x:v>
      </x:c>
      <x:c r="I132" s="6" t="n">
        <x:v>171</x:v>
      </x:c>
      <x:c r="J132" s="12" t="str">
        <x:v>Explicit governed evidence supporting relationship</x:v>
      </x:c>
      <x:c r="K132" s="6" t="str">
        <x:v>Unresolved</x:v>
      </x:c>
      <x:c r="L132" s="6" t="str">
        <x:v>Yes</x:v>
      </x:c>
      <x:c r="M132" s="6" t="str"/>
      <x:c r="N132" s="6" t="str"/>
      <x:c r="O132" s="12" t="str"/>
    </x:row>
    <x:row r="133">
      <x:c r="A133" s="6" t="str">
        <x:v>UNS000132</x:v>
      </x:c>
      <x:c r="B133" s="6" t="str">
        <x:v>SVC000132</x:v>
      </x:c>
      <x:c r="C133" s="6" t="str">
        <x:v>Galaxy S 9 Plus Battery Replacement</x:v>
      </x:c>
      <x:c r="D133" s="6" t="str">
        <x:v>Family-Level Compatibility</x:v>
      </x:c>
      <x:c r="E133" s="6" t="str">
        <x:v>PHN</x:v>
      </x:c>
      <x:c r="F133" s="6" t="str">
        <x:v>Device family alone is insufficient for governed relationship.</x:v>
      </x:c>
      <x:c r="G133" s="6" t="str">
        <x:v>Nocturnix_Master_Compatibility_Catalog_v1.xlsx</x:v>
      </x:c>
      <x:c r="H133" s="6" t="str">
        <x:v>01 - Compatibility Records</x:v>
      </x:c>
      <x:c r="I133" s="6" t="n">
        <x:v>172</x:v>
      </x:c>
      <x:c r="J133" s="12" t="str">
        <x:v>Explicit governed evidence supporting relationship</x:v>
      </x:c>
      <x:c r="K133" s="6" t="str">
        <x:v>Unresolved</x:v>
      </x:c>
      <x:c r="L133" s="6" t="str">
        <x:v>Yes</x:v>
      </x:c>
      <x:c r="M133" s="6" t="str"/>
      <x:c r="N133" s="6" t="str"/>
      <x:c r="O133" s="12" t="str"/>
    </x:row>
    <x:row r="134">
      <x:c r="A134" s="6" t="str">
        <x:v>UNS000133</x:v>
      </x:c>
      <x:c r="B134" s="6" t="str">
        <x:v>SVC000133</x:v>
      </x:c>
      <x:c r="C134" s="6" t="str">
        <x:v>Galaxy S 20 Ultra Battery Replacement</x:v>
      </x:c>
      <x:c r="D134" s="6" t="str">
        <x:v>Family-Level Compatibility</x:v>
      </x:c>
      <x:c r="E134" s="6" t="str">
        <x:v>PHN</x:v>
      </x:c>
      <x:c r="F134" s="6" t="str">
        <x:v>Device family alone is insufficient for governed relationship.</x:v>
      </x:c>
      <x:c r="G134" s="6" t="str">
        <x:v>Nocturnix_Master_Compatibility_Catalog_v1.xlsx</x:v>
      </x:c>
      <x:c r="H134" s="6" t="str">
        <x:v>01 - Compatibility Records</x:v>
      </x:c>
      <x:c r="I134" s="6" t="n">
        <x:v>173</x:v>
      </x:c>
      <x:c r="J134" s="12" t="str">
        <x:v>Explicit governed evidence supporting relationship</x:v>
      </x:c>
      <x:c r="K134" s="6" t="str">
        <x:v>Unresolved</x:v>
      </x:c>
      <x:c r="L134" s="6" t="str">
        <x:v>Yes</x:v>
      </x:c>
      <x:c r="M134" s="6" t="str"/>
      <x:c r="N134" s="6" t="str"/>
      <x:c r="O134" s="12" t="str"/>
    </x:row>
    <x:row r="135">
      <x:c r="A135" s="6" t="str">
        <x:v>UNS000134</x:v>
      </x:c>
      <x:c r="B135" s="6" t="str">
        <x:v>SVC000134</x:v>
      </x:c>
      <x:c r="C135" s="6" t="str">
        <x:v>Galaxy S 5 Neo Battery Replacement</x:v>
      </x:c>
      <x:c r="D135" s="6" t="str">
        <x:v>Family-Level Compatibility</x:v>
      </x:c>
      <x:c r="E135" s="6" t="str">
        <x:v>PHN</x:v>
      </x:c>
      <x:c r="F135" s="6" t="str">
        <x:v>Device family alone is insufficient for governed relationship.</x:v>
      </x:c>
      <x:c r="G135" s="6" t="str">
        <x:v>Nocturnix_Master_Compatibility_Catalog_v1.xlsx</x:v>
      </x:c>
      <x:c r="H135" s="6" t="str">
        <x:v>01 - Compatibility Records</x:v>
      </x:c>
      <x:c r="I135" s="6" t="n">
        <x:v>174</x:v>
      </x:c>
      <x:c r="J135" s="12" t="str">
        <x:v>Explicit governed evidence supporting relationship</x:v>
      </x:c>
      <x:c r="K135" s="6" t="str">
        <x:v>Unresolved</x:v>
      </x:c>
      <x:c r="L135" s="6" t="str">
        <x:v>Yes</x:v>
      </x:c>
      <x:c r="M135" s="6" t="str"/>
      <x:c r="N135" s="6" t="str"/>
      <x:c r="O135" s="12" t="str"/>
    </x:row>
    <x:row r="136">
      <x:c r="A136" s="6" t="str">
        <x:v>UNS000135</x:v>
      </x:c>
      <x:c r="B136" s="6" t="str">
        <x:v>SVC000135</x:v>
      </x:c>
      <x:c r="C136" s="6" t="str">
        <x:v>Galaxy S 4 Mini Battery Replacement</x:v>
      </x:c>
      <x:c r="D136" s="6" t="str">
        <x:v>Family-Level Compatibility</x:v>
      </x:c>
      <x:c r="E136" s="6" t="str">
        <x:v>PHN</x:v>
      </x:c>
      <x:c r="F136" s="6" t="str">
        <x:v>Device family alone is insufficient for governed relationship.</x:v>
      </x:c>
      <x:c r="G136" s="6" t="str">
        <x:v>Nocturnix_Master_Compatibility_Catalog_v1.xlsx</x:v>
      </x:c>
      <x:c r="H136" s="6" t="str">
        <x:v>01 - Compatibility Records</x:v>
      </x:c>
      <x:c r="I136" s="6" t="n">
        <x:v>175</x:v>
      </x:c>
      <x:c r="J136" s="12" t="str">
        <x:v>Explicit governed evidence supporting relationship</x:v>
      </x:c>
      <x:c r="K136" s="6" t="str">
        <x:v>Unresolved</x:v>
      </x:c>
      <x:c r="L136" s="6" t="str">
        <x:v>Yes</x:v>
      </x:c>
      <x:c r="M136" s="6" t="str"/>
      <x:c r="N136" s="6" t="str"/>
      <x:c r="O136" s="12" t="str"/>
    </x:row>
    <x:row r="137">
      <x:c r="A137" s="6" t="str">
        <x:v>UNS000136</x:v>
      </x:c>
      <x:c r="B137" s="6" t="str">
        <x:v>SVC000136</x:v>
      </x:c>
      <x:c r="C137" s="6" t="str">
        <x:v>Galaxy S 23 Ultra Battery Replacement</x:v>
      </x:c>
      <x:c r="D137" s="6" t="str">
        <x:v>Family-Level Compatibility</x:v>
      </x:c>
      <x:c r="E137" s="6" t="str">
        <x:v>PHN</x:v>
      </x:c>
      <x:c r="F137" s="6" t="str">
        <x:v>Device family alone is insufficient for governed relationship.</x:v>
      </x:c>
      <x:c r="G137" s="6" t="str">
        <x:v>Nocturnix_Master_Compatibility_Catalog_v1.xlsx</x:v>
      </x:c>
      <x:c r="H137" s="6" t="str">
        <x:v>01 - Compatibility Records</x:v>
      </x:c>
      <x:c r="I137" s="6" t="n">
        <x:v>176</x:v>
      </x:c>
      <x:c r="J137" s="12" t="str">
        <x:v>Explicit governed evidence supporting relationship</x:v>
      </x:c>
      <x:c r="K137" s="6" t="str">
        <x:v>Unresolved</x:v>
      </x:c>
      <x:c r="L137" s="6" t="str">
        <x:v>Yes</x:v>
      </x:c>
      <x:c r="M137" s="6" t="str"/>
      <x:c r="N137" s="6" t="str"/>
      <x:c r="O137" s="12" t="str"/>
    </x:row>
    <x:row r="138">
      <x:c r="A138" s="6" t="str">
        <x:v>UNS000137</x:v>
      </x:c>
      <x:c r="B138" s="6" t="str">
        <x:v>SVC000137</x:v>
      </x:c>
      <x:c r="C138" s="6" t="str">
        <x:v>Galaxy S 23 FE Battery Replacement</x:v>
      </x:c>
      <x:c r="D138" s="6" t="str">
        <x:v>Family-Level Compatibility</x:v>
      </x:c>
      <x:c r="E138" s="6" t="str">
        <x:v>PHN</x:v>
      </x:c>
      <x:c r="F138" s="6" t="str">
        <x:v>Device family alone is insufficient for governed relationship.</x:v>
      </x:c>
      <x:c r="G138" s="6" t="str">
        <x:v>Nocturnix_Master_Compatibility_Catalog_v1.xlsx</x:v>
      </x:c>
      <x:c r="H138" s="6" t="str">
        <x:v>01 - Compatibility Records</x:v>
      </x:c>
      <x:c r="I138" s="6" t="n">
        <x:v>177</x:v>
      </x:c>
      <x:c r="J138" s="12" t="str">
        <x:v>Explicit governed evidence supporting relationship</x:v>
      </x:c>
      <x:c r="K138" s="6" t="str">
        <x:v>Unresolved</x:v>
      </x:c>
      <x:c r="L138" s="6" t="str">
        <x:v>Yes</x:v>
      </x:c>
      <x:c r="M138" s="6" t="str"/>
      <x:c r="N138" s="6" t="str"/>
      <x:c r="O138" s="12" t="str"/>
    </x:row>
    <x:row r="139">
      <x:c r="A139" s="6" t="str">
        <x:v>UNS000138</x:v>
      </x:c>
      <x:c r="B139" s="6" t="str">
        <x:v>SVC000138</x:v>
      </x:c>
      <x:c r="C139" s="6" t="str">
        <x:v>Galaxy S 25 Battery Replacement</x:v>
      </x:c>
      <x:c r="D139" s="6" t="str">
        <x:v>Family-Level Compatibility</x:v>
      </x:c>
      <x:c r="E139" s="6" t="str">
        <x:v>PHN</x:v>
      </x:c>
      <x:c r="F139" s="6" t="str">
        <x:v>Device family alone is insufficient for governed relationship.</x:v>
      </x:c>
      <x:c r="G139" s="6" t="str">
        <x:v>Nocturnix_Master_Compatibility_Catalog_v1.xlsx</x:v>
      </x:c>
      <x:c r="H139" s="6" t="str">
        <x:v>01 - Compatibility Records</x:v>
      </x:c>
      <x:c r="I139" s="6" t="n">
        <x:v>178</x:v>
      </x:c>
      <x:c r="J139" s="12" t="str">
        <x:v>Explicit governed evidence supporting relationship</x:v>
      </x:c>
      <x:c r="K139" s="6" t="str">
        <x:v>Unresolved</x:v>
      </x:c>
      <x:c r="L139" s="6" t="str">
        <x:v>Yes</x:v>
      </x:c>
      <x:c r="M139" s="6" t="str"/>
      <x:c r="N139" s="6" t="str"/>
      <x:c r="O139" s="12" t="str"/>
    </x:row>
    <x:row r="140">
      <x:c r="A140" s="6" t="str">
        <x:v>UNS000139</x:v>
      </x:c>
      <x:c r="B140" s="6" t="str">
        <x:v>SVC000139</x:v>
      </x:c>
      <x:c r="C140" s="6" t="str">
        <x:v>Galaxy S 25 Edge Battery Replacement</x:v>
      </x:c>
      <x:c r="D140" s="6" t="str">
        <x:v>Family-Level Compatibility</x:v>
      </x:c>
      <x:c r="E140" s="6" t="str">
        <x:v>PHN</x:v>
      </x:c>
      <x:c r="F140" s="6" t="str">
        <x:v>Device family alone is insufficient for governed relationship.</x:v>
      </x:c>
      <x:c r="G140" s="6" t="str">
        <x:v>Nocturnix_Master_Compatibility_Catalog_v1.xlsx</x:v>
      </x:c>
      <x:c r="H140" s="6" t="str">
        <x:v>01 - Compatibility Records</x:v>
      </x:c>
      <x:c r="I140" s="6" t="n">
        <x:v>179</x:v>
      </x:c>
      <x:c r="J140" s="12" t="str">
        <x:v>Explicit governed evidence supporting relationship</x:v>
      </x:c>
      <x:c r="K140" s="6" t="str">
        <x:v>Unresolved</x:v>
      </x:c>
      <x:c r="L140" s="6" t="str">
        <x:v>Yes</x:v>
      </x:c>
      <x:c r="M140" s="6" t="str"/>
      <x:c r="N140" s="6" t="str"/>
      <x:c r="O140" s="12" t="str"/>
    </x:row>
    <x:row r="141">
      <x:c r="A141" s="6" t="str">
        <x:v>UNS000140</x:v>
      </x:c>
      <x:c r="B141" s="6" t="str">
        <x:v>SVC000140</x:v>
      </x:c>
      <x:c r="C141" s="6" t="str">
        <x:v>iPhone 14 Plus Battery Replacement</x:v>
      </x:c>
      <x:c r="D141" s="6" t="str">
        <x:v>Family-Level Compatibility</x:v>
      </x:c>
      <x:c r="E141" s="6" t="str">
        <x:v>PHN</x:v>
      </x:c>
      <x:c r="F141" s="6" t="str">
        <x:v>Device family alone is insufficient for governed relationship.</x:v>
      </x:c>
      <x:c r="G141" s="6" t="str">
        <x:v>Nocturnix_Master_Compatibility_Catalog_v1.xlsx</x:v>
      </x:c>
      <x:c r="H141" s="6" t="str">
        <x:v>01 - Compatibility Records</x:v>
      </x:c>
      <x:c r="I141" s="6" t="n">
        <x:v>180</x:v>
      </x:c>
      <x:c r="J141" s="12" t="str">
        <x:v>Explicit governed evidence supporting relationship</x:v>
      </x:c>
      <x:c r="K141" s="6" t="str">
        <x:v>Unresolved</x:v>
      </x:c>
      <x:c r="L141" s="6" t="str">
        <x:v>Yes</x:v>
      </x:c>
      <x:c r="M141" s="6" t="str"/>
      <x:c r="N141" s="6" t="str"/>
      <x:c r="O141" s="12" t="str"/>
    </x:row>
    <x:row r="142">
      <x:c r="A142" s="6" t="str">
        <x:v>UNS000141</x:v>
      </x:c>
      <x:c r="B142" s="6" t="str">
        <x:v>SVC000141</x:v>
      </x:c>
      <x:c r="C142" s="6" t="str">
        <x:v>iPhone 13 Pro Battery Replacement</x:v>
      </x:c>
      <x:c r="D142" s="6" t="str">
        <x:v>Family-Level Compatibility</x:v>
      </x:c>
      <x:c r="E142" s="6" t="str">
        <x:v>PHN</x:v>
      </x:c>
      <x:c r="F142" s="6" t="str">
        <x:v>Device family alone is insufficient for governed relationship.</x:v>
      </x:c>
      <x:c r="G142" s="6" t="str">
        <x:v>Nocturnix_Master_Compatibility_Catalog_v1.xlsx</x:v>
      </x:c>
      <x:c r="H142" s="6" t="str">
        <x:v>01 - Compatibility Records</x:v>
      </x:c>
      <x:c r="I142" s="6" t="n">
        <x:v>181</x:v>
      </x:c>
      <x:c r="J142" s="12" t="str">
        <x:v>Explicit governed evidence supporting relationship</x:v>
      </x:c>
      <x:c r="K142" s="6" t="str">
        <x:v>Unresolved</x:v>
      </x:c>
      <x:c r="L142" s="6" t="str">
        <x:v>Yes</x:v>
      </x:c>
      <x:c r="M142" s="6" t="str"/>
      <x:c r="N142" s="6" t="str"/>
      <x:c r="O142" s="12" t="str"/>
    </x:row>
    <x:row r="143">
      <x:c r="A143" s="6" t="str">
        <x:v>UNS000142</x:v>
      </x:c>
      <x:c r="B143" s="6" t="str">
        <x:v>SVC000142</x:v>
      </x:c>
      <x:c r="C143" s="6" t="str">
        <x:v>iPhone 13 Mini Battery Replacement</x:v>
      </x:c>
      <x:c r="D143" s="6" t="str">
        <x:v>Family-Level Compatibility</x:v>
      </x:c>
      <x:c r="E143" s="6" t="str">
        <x:v>PHN</x:v>
      </x:c>
      <x:c r="F143" s="6" t="str">
        <x:v>Device family alone is insufficient for governed relationship.</x:v>
      </x:c>
      <x:c r="G143" s="6" t="str">
        <x:v>Nocturnix_Master_Compatibility_Catalog_v1.xlsx</x:v>
      </x:c>
      <x:c r="H143" s="6" t="str">
        <x:v>01 - Compatibility Records</x:v>
      </x:c>
      <x:c r="I143" s="6" t="n">
        <x:v>182</x:v>
      </x:c>
      <x:c r="J143" s="12" t="str">
        <x:v>Explicit governed evidence supporting relationship</x:v>
      </x:c>
      <x:c r="K143" s="6" t="str">
        <x:v>Unresolved</x:v>
      </x:c>
      <x:c r="L143" s="6" t="str">
        <x:v>Yes</x:v>
      </x:c>
      <x:c r="M143" s="6" t="str"/>
      <x:c r="N143" s="6" t="str"/>
      <x:c r="O143" s="12" t="str"/>
    </x:row>
    <x:row r="144">
      <x:c r="A144" s="6" t="str">
        <x:v>UNS000143</x:v>
      </x:c>
      <x:c r="B144" s="6" t="str">
        <x:v>SVC000143</x:v>
      </x:c>
      <x:c r="C144" s="6" t="str">
        <x:v>iPhone 13 Battery Replacement</x:v>
      </x:c>
      <x:c r="D144" s="6" t="str">
        <x:v>Family-Level Compatibility</x:v>
      </x:c>
      <x:c r="E144" s="6" t="str">
        <x:v>PHN</x:v>
      </x:c>
      <x:c r="F144" s="6" t="str">
        <x:v>Device family alone is insufficient for governed relationship.</x:v>
      </x:c>
      <x:c r="G144" s="6" t="str">
        <x:v>Nocturnix_Master_Compatibility_Catalog_v1.xlsx</x:v>
      </x:c>
      <x:c r="H144" s="6" t="str">
        <x:v>01 - Compatibility Records</x:v>
      </x:c>
      <x:c r="I144" s="6" t="n">
        <x:v>183</x:v>
      </x:c>
      <x:c r="J144" s="12" t="str">
        <x:v>Explicit governed evidence supporting relationship</x:v>
      </x:c>
      <x:c r="K144" s="6" t="str">
        <x:v>Unresolved</x:v>
      </x:c>
      <x:c r="L144" s="6" t="str">
        <x:v>Yes</x:v>
      </x:c>
      <x:c r="M144" s="6" t="str"/>
      <x:c r="N144" s="6" t="str"/>
      <x:c r="O144" s="12" t="str"/>
    </x:row>
    <x:row r="145">
      <x:c r="A145" s="6" t="str">
        <x:v>UNS000144</x:v>
      </x:c>
      <x:c r="B145" s="6" t="str">
        <x:v>SVC000144</x:v>
      </x:c>
      <x:c r="C145" s="6" t="str">
        <x:v>iPhone 12 Battery Replacement</x:v>
      </x:c>
      <x:c r="D145" s="6" t="str">
        <x:v>Family-Level Compatibility</x:v>
      </x:c>
      <x:c r="E145" s="6" t="str">
        <x:v>PHN</x:v>
      </x:c>
      <x:c r="F145" s="6" t="str">
        <x:v>Device family alone is insufficient for governed relationship.</x:v>
      </x:c>
      <x:c r="G145" s="6" t="str">
        <x:v>Nocturnix_Master_Compatibility_Catalog_v1.xlsx</x:v>
      </x:c>
      <x:c r="H145" s="6" t="str">
        <x:v>01 - Compatibility Records</x:v>
      </x:c>
      <x:c r="I145" s="6" t="n">
        <x:v>184</x:v>
      </x:c>
      <x:c r="J145" s="12" t="str">
        <x:v>Explicit governed evidence supporting relationship</x:v>
      </x:c>
      <x:c r="K145" s="6" t="str">
        <x:v>Unresolved</x:v>
      </x:c>
      <x:c r="L145" s="6" t="str">
        <x:v>Yes</x:v>
      </x:c>
      <x:c r="M145" s="6" t="str"/>
      <x:c r="N145" s="6" t="str"/>
      <x:c r="O145" s="12" t="str"/>
    </x:row>
    <x:row r="146">
      <x:c r="A146" s="6" t="str">
        <x:v>UNS000145</x:v>
      </x:c>
      <x:c r="B146" s="6" t="str">
        <x:v>SVC000145</x:v>
      </x:c>
      <x:c r="C146" s="6" t="str">
        <x:v>iPhone 12 Pro Max Battery Replacement</x:v>
      </x:c>
      <x:c r="D146" s="6" t="str">
        <x:v>Family-Level Compatibility</x:v>
      </x:c>
      <x:c r="E146" s="6" t="str">
        <x:v>PHN</x:v>
      </x:c>
      <x:c r="F146" s="6" t="str">
        <x:v>Device family alone is insufficient for governed relationship.</x:v>
      </x:c>
      <x:c r="G146" s="6" t="str">
        <x:v>Nocturnix_Master_Compatibility_Catalog_v1.xlsx</x:v>
      </x:c>
      <x:c r="H146" s="6" t="str">
        <x:v>01 - Compatibility Records</x:v>
      </x:c>
      <x:c r="I146" s="6" t="n">
        <x:v>185</x:v>
      </x:c>
      <x:c r="J146" s="12" t="str">
        <x:v>Explicit governed evidence supporting relationship</x:v>
      </x:c>
      <x:c r="K146" s="6" t="str">
        <x:v>Unresolved</x:v>
      </x:c>
      <x:c r="L146" s="6" t="str">
        <x:v>Yes</x:v>
      </x:c>
      <x:c r="M146" s="6" t="str"/>
      <x:c r="N146" s="6" t="str"/>
      <x:c r="O146" s="12" t="str"/>
    </x:row>
    <x:row r="147">
      <x:c r="A147" s="6" t="str">
        <x:v>UNS000146</x:v>
      </x:c>
      <x:c r="B147" s="6" t="str">
        <x:v>SVC000146</x:v>
      </x:c>
      <x:c r="C147" s="6" t="str">
        <x:v>iPhone 12 Pro Battery Replacement</x:v>
      </x:c>
      <x:c r="D147" s="6" t="str">
        <x:v>Family-Level Compatibility</x:v>
      </x:c>
      <x:c r="E147" s="6" t="str">
        <x:v>PHN</x:v>
      </x:c>
      <x:c r="F147" s="6" t="str">
        <x:v>Device family alone is insufficient for governed relationship.</x:v>
      </x:c>
      <x:c r="G147" s="6" t="str">
        <x:v>Nocturnix_Master_Compatibility_Catalog_v1.xlsx</x:v>
      </x:c>
      <x:c r="H147" s="6" t="str">
        <x:v>01 - Compatibility Records</x:v>
      </x:c>
      <x:c r="I147" s="6" t="n">
        <x:v>186</x:v>
      </x:c>
      <x:c r="J147" s="12" t="str">
        <x:v>Explicit governed evidence supporting relationship</x:v>
      </x:c>
      <x:c r="K147" s="6" t="str">
        <x:v>Unresolved</x:v>
      </x:c>
      <x:c r="L147" s="6" t="str">
        <x:v>Yes</x:v>
      </x:c>
      <x:c r="M147" s="6" t="str"/>
      <x:c r="N147" s="6" t="str"/>
      <x:c r="O147" s="12" t="str"/>
    </x:row>
    <x:row r="148">
      <x:c r="A148" s="6" t="str">
        <x:v>UNS000147</x:v>
      </x:c>
      <x:c r="B148" s="6" t="str">
        <x:v>SVC000147</x:v>
      </x:c>
      <x:c r="C148" s="6" t="str">
        <x:v>iPhone 13 Pro Max Battery Replacement</x:v>
      </x:c>
      <x:c r="D148" s="6" t="str">
        <x:v>Family-Level Compatibility</x:v>
      </x:c>
      <x:c r="E148" s="6" t="str">
        <x:v>PHN</x:v>
      </x:c>
      <x:c r="F148" s="6" t="str">
        <x:v>Device family alone is insufficient for governed relationship.</x:v>
      </x:c>
      <x:c r="G148" s="6" t="str">
        <x:v>Nocturnix_Master_Compatibility_Catalog_v1.xlsx</x:v>
      </x:c>
      <x:c r="H148" s="6" t="str">
        <x:v>01 - Compatibility Records</x:v>
      </x:c>
      <x:c r="I148" s="6" t="n">
        <x:v>187</x:v>
      </x:c>
      <x:c r="J148" s="12" t="str">
        <x:v>Explicit governed evidence supporting relationship</x:v>
      </x:c>
      <x:c r="K148" s="6" t="str">
        <x:v>Unresolved</x:v>
      </x:c>
      <x:c r="L148" s="6" t="str">
        <x:v>Yes</x:v>
      </x:c>
      <x:c r="M148" s="6" t="str"/>
      <x:c r="N148" s="6" t="str"/>
      <x:c r="O148" s="12" t="str"/>
    </x:row>
    <x:row r="149">
      <x:c r="A149" s="6" t="str">
        <x:v>UNS000148</x:v>
      </x:c>
      <x:c r="B149" s="6" t="str">
        <x:v>SVC000148</x:v>
      </x:c>
      <x:c r="C149" s="6" t="str">
        <x:v>iPhone 12 Mini Battery Replacement</x:v>
      </x:c>
      <x:c r="D149" s="6" t="str">
        <x:v>Family-Level Compatibility</x:v>
      </x:c>
      <x:c r="E149" s="6" t="str">
        <x:v>PHN</x:v>
      </x:c>
      <x:c r="F149" s="6" t="str">
        <x:v>Device family alone is insufficient for governed relationship.</x:v>
      </x:c>
      <x:c r="G149" s="6" t="str">
        <x:v>Nocturnix_Master_Compatibility_Catalog_v1.xlsx</x:v>
      </x:c>
      <x:c r="H149" s="6" t="str">
        <x:v>01 - Compatibility Records</x:v>
      </x:c>
      <x:c r="I149" s="6" t="n">
        <x:v>188</x:v>
      </x:c>
      <x:c r="J149" s="12" t="str">
        <x:v>Explicit governed evidence supporting relationship</x:v>
      </x:c>
      <x:c r="K149" s="6" t="str">
        <x:v>Unresolved</x:v>
      </x:c>
      <x:c r="L149" s="6" t="str">
        <x:v>Yes</x:v>
      </x:c>
      <x:c r="M149" s="6" t="str"/>
      <x:c r="N149" s="6" t="str"/>
      <x:c r="O149" s="12" t="str"/>
    </x:row>
    <x:row r="150">
      <x:c r="A150" s="6" t="str">
        <x:v>UNS000149</x:v>
      </x:c>
      <x:c r="B150" s="6" t="str">
        <x:v>SVC000149</x:v>
      </x:c>
      <x:c r="C150" s="6" t="str">
        <x:v>iPhone 14 Pro Max Battery Replacement</x:v>
      </x:c>
      <x:c r="D150" s="6" t="str">
        <x:v>Family-Level Compatibility</x:v>
      </x:c>
      <x:c r="E150" s="6" t="str">
        <x:v>PHN</x:v>
      </x:c>
      <x:c r="F150" s="6" t="str">
        <x:v>Device family alone is insufficient for governed relationship.</x:v>
      </x:c>
      <x:c r="G150" s="6" t="str">
        <x:v>Nocturnix_Master_Compatibility_Catalog_v1.xlsx</x:v>
      </x:c>
      <x:c r="H150" s="6" t="str">
        <x:v>01 - Compatibility Records</x:v>
      </x:c>
      <x:c r="I150" s="6" t="n">
        <x:v>189</x:v>
      </x:c>
      <x:c r="J150" s="12" t="str">
        <x:v>Explicit governed evidence supporting relationship</x:v>
      </x:c>
      <x:c r="K150" s="6" t="str">
        <x:v>Unresolved</x:v>
      </x:c>
      <x:c r="L150" s="6" t="str">
        <x:v>Yes</x:v>
      </x:c>
      <x:c r="M150" s="6" t="str"/>
      <x:c r="N150" s="6" t="str"/>
      <x:c r="O150" s="12" t="str"/>
    </x:row>
    <x:row r="151">
      <x:c r="A151" s="6" t="str">
        <x:v>UNS000150</x:v>
      </x:c>
      <x:c r="B151" s="6" t="str">
        <x:v>SVC000150</x:v>
      </x:c>
      <x:c r="C151" s="6" t="str">
        <x:v>Galaxy S 21 FE Battery Replacement</x:v>
      </x:c>
      <x:c r="D151" s="6" t="str">
        <x:v>Family-Level Compatibility</x:v>
      </x:c>
      <x:c r="E151" s="6" t="str">
        <x:v>PHN</x:v>
      </x:c>
      <x:c r="F151" s="6" t="str">
        <x:v>Device family alone is insufficient for governed relationship.</x:v>
      </x:c>
      <x:c r="G151" s="6" t="str">
        <x:v>Nocturnix_Master_Compatibility_Catalog_v1.xlsx</x:v>
      </x:c>
      <x:c r="H151" s="6" t="str">
        <x:v>01 - Compatibility Records</x:v>
      </x:c>
      <x:c r="I151" s="6" t="n">
        <x:v>190</x:v>
      </x:c>
      <x:c r="J151" s="12" t="str">
        <x:v>Explicit governed evidence supporting relationship</x:v>
      </x:c>
      <x:c r="K151" s="6" t="str">
        <x:v>Unresolved</x:v>
      </x:c>
      <x:c r="L151" s="6" t="str">
        <x:v>Yes</x:v>
      </x:c>
      <x:c r="M151" s="6" t="str"/>
      <x:c r="N151" s="6" t="str"/>
      <x:c r="O151" s="12" t="str"/>
    </x:row>
    <x:row r="152">
      <x:c r="A152" s="6" t="str">
        <x:v>UNS000151</x:v>
      </x:c>
      <x:c r="B152" s="6" t="str">
        <x:v>SVC000151</x:v>
      </x:c>
      <x:c r="C152" s="6" t="str">
        <x:v>Galaxy S 6 Active Battery Replacement</x:v>
      </x:c>
      <x:c r="D152" s="6" t="str">
        <x:v>Family-Level Compatibility</x:v>
      </x:c>
      <x:c r="E152" s="6" t="str">
        <x:v>PHN</x:v>
      </x:c>
      <x:c r="F152" s="6" t="str">
        <x:v>Device family alone is insufficient for governed relationship.</x:v>
      </x:c>
      <x:c r="G152" s="6" t="str">
        <x:v>Nocturnix_Master_Compatibility_Catalog_v1.xlsx</x:v>
      </x:c>
      <x:c r="H152" s="6" t="str">
        <x:v>01 - Compatibility Records</x:v>
      </x:c>
      <x:c r="I152" s="6" t="n">
        <x:v>191</x:v>
      </x:c>
      <x:c r="J152" s="12" t="str">
        <x:v>Explicit governed evidence supporting relationship</x:v>
      </x:c>
      <x:c r="K152" s="6" t="str">
        <x:v>Unresolved</x:v>
      </x:c>
      <x:c r="L152" s="6" t="str">
        <x:v>Yes</x:v>
      </x:c>
      <x:c r="M152" s="6" t="str"/>
      <x:c r="N152" s="6" t="str"/>
      <x:c r="O152" s="12" t="str"/>
    </x:row>
    <x:row r="153">
      <x:c r="A153" s="6" t="str">
        <x:v>UNS000152</x:v>
      </x:c>
      <x:c r="B153" s="6" t="str">
        <x:v>SVC000152</x:v>
      </x:c>
      <x:c r="C153" s="6" t="str">
        <x:v>Galaxy S 21 Battery Replacement</x:v>
      </x:c>
      <x:c r="D153" s="6" t="str">
        <x:v>Family-Level Compatibility</x:v>
      </x:c>
      <x:c r="E153" s="6" t="str">
        <x:v>PHN</x:v>
      </x:c>
      <x:c r="F153" s="6" t="str">
        <x:v>Device family alone is insufficient for governed relationship.</x:v>
      </x:c>
      <x:c r="G153" s="6" t="str">
        <x:v>Nocturnix_Master_Compatibility_Catalog_v1.xlsx</x:v>
      </x:c>
      <x:c r="H153" s="6" t="str">
        <x:v>01 - Compatibility Records</x:v>
      </x:c>
      <x:c r="I153" s="6" t="n">
        <x:v>192</x:v>
      </x:c>
      <x:c r="J153" s="12" t="str">
        <x:v>Explicit governed evidence supporting relationship</x:v>
      </x:c>
      <x:c r="K153" s="6" t="str">
        <x:v>Unresolved</x:v>
      </x:c>
      <x:c r="L153" s="6" t="str">
        <x:v>Yes</x:v>
      </x:c>
      <x:c r="M153" s="6" t="str"/>
      <x:c r="N153" s="6" t="str"/>
      <x:c r="O153" s="12" t="str"/>
    </x:row>
    <x:row r="154">
      <x:c r="A154" s="6" t="str">
        <x:v>UNS000153</x:v>
      </x:c>
      <x:c r="B154" s="6" t="str">
        <x:v>SVC000153</x:v>
      </x:c>
      <x:c r="C154" s="6" t="str">
        <x:v>Galaxy S 6 Battery Replacement</x:v>
      </x:c>
      <x:c r="D154" s="6" t="str">
        <x:v>Family-Level Compatibility</x:v>
      </x:c>
      <x:c r="E154" s="6" t="str">
        <x:v>PHN</x:v>
      </x:c>
      <x:c r="F154" s="6" t="str">
        <x:v>Device family alone is insufficient for governed relationship.</x:v>
      </x:c>
      <x:c r="G154" s="6" t="str">
        <x:v>Nocturnix_Master_Compatibility_Catalog_v1.xlsx</x:v>
      </x:c>
      <x:c r="H154" s="6" t="str">
        <x:v>01 - Compatibility Records</x:v>
      </x:c>
      <x:c r="I154" s="6" t="n">
        <x:v>193</x:v>
      </x:c>
      <x:c r="J154" s="12" t="str">
        <x:v>Explicit governed evidence supporting relationship</x:v>
      </x:c>
      <x:c r="K154" s="6" t="str">
        <x:v>Unresolved</x:v>
      </x:c>
      <x:c r="L154" s="6" t="str">
        <x:v>Yes</x:v>
      </x:c>
      <x:c r="M154" s="6" t="str"/>
      <x:c r="N154" s="6" t="str"/>
      <x:c r="O154" s="12" t="str"/>
    </x:row>
    <x:row r="155">
      <x:c r="A155" s="6" t="str">
        <x:v>UNS000154</x:v>
      </x:c>
      <x:c r="B155" s="6" t="str">
        <x:v>SVC000154</x:v>
      </x:c>
      <x:c r="C155" s="6" t="str">
        <x:v>Galaxy S 6 Edge Plus Battery Replacement</x:v>
      </x:c>
      <x:c r="D155" s="6" t="str">
        <x:v>Family-Level Compatibility</x:v>
      </x:c>
      <x:c r="E155" s="6" t="str">
        <x:v>PHN</x:v>
      </x:c>
      <x:c r="F155" s="6" t="str">
        <x:v>Device family alone is insufficient for governed relationship.</x:v>
      </x:c>
      <x:c r="G155" s="6" t="str">
        <x:v>Nocturnix_Master_Compatibility_Catalog_v1.xlsx</x:v>
      </x:c>
      <x:c r="H155" s="6" t="str">
        <x:v>01 - Compatibility Records</x:v>
      </x:c>
      <x:c r="I155" s="6" t="n">
        <x:v>194</x:v>
      </x:c>
      <x:c r="J155" s="12" t="str">
        <x:v>Explicit governed evidence supporting relationship</x:v>
      </x:c>
      <x:c r="K155" s="6" t="str">
        <x:v>Unresolved</x:v>
      </x:c>
      <x:c r="L155" s="6" t="str">
        <x:v>Yes</x:v>
      </x:c>
      <x:c r="M155" s="6" t="str"/>
      <x:c r="N155" s="6" t="str"/>
      <x:c r="O155" s="12" t="str"/>
    </x:row>
    <x:row r="156">
      <x:c r="A156" s="6" t="str">
        <x:v>UNS000155</x:v>
      </x:c>
      <x:c r="B156" s="6" t="str">
        <x:v>SVC000155</x:v>
      </x:c>
      <x:c r="C156" s="6" t="str">
        <x:v>Galaxy S 7 Active Battery Replacement</x:v>
      </x:c>
      <x:c r="D156" s="6" t="str">
        <x:v>Family-Level Compatibility</x:v>
      </x:c>
      <x:c r="E156" s="6" t="str">
        <x:v>PHN</x:v>
      </x:c>
      <x:c r="F156" s="6" t="str">
        <x:v>Device family alone is insufficient for governed relationship.</x:v>
      </x:c>
      <x:c r="G156" s="6" t="str">
        <x:v>Nocturnix_Master_Compatibility_Catalog_v1.xlsx</x:v>
      </x:c>
      <x:c r="H156" s="6" t="str">
        <x:v>01 - Compatibility Records</x:v>
      </x:c>
      <x:c r="I156" s="6" t="n">
        <x:v>195</x:v>
      </x:c>
      <x:c r="J156" s="12" t="str">
        <x:v>Explicit governed evidence supporting relationship</x:v>
      </x:c>
      <x:c r="K156" s="6" t="str">
        <x:v>Unresolved</x:v>
      </x:c>
      <x:c r="L156" s="6" t="str">
        <x:v>Yes</x:v>
      </x:c>
      <x:c r="M156" s="6" t="str"/>
      <x:c r="N156" s="6" t="str"/>
      <x:c r="O156" s="12" t="str"/>
    </x:row>
    <x:row r="157">
      <x:c r="A157" s="6" t="str">
        <x:v>UNS000156</x:v>
      </x:c>
      <x:c r="B157" s="6" t="str">
        <x:v>SVC000156</x:v>
      </x:c>
      <x:c r="C157" s="6" t="str">
        <x:v>Galaxy S 8 Battery Replacement</x:v>
      </x:c>
      <x:c r="D157" s="6" t="str">
        <x:v>Family-Level Compatibility</x:v>
      </x:c>
      <x:c r="E157" s="6" t="str">
        <x:v>PHN</x:v>
      </x:c>
      <x:c r="F157" s="6" t="str">
        <x:v>Device family alone is insufficient for governed relationship.</x:v>
      </x:c>
      <x:c r="G157" s="6" t="str">
        <x:v>Nocturnix_Master_Compatibility_Catalog_v1.xlsx</x:v>
      </x:c>
      <x:c r="H157" s="6" t="str">
        <x:v>01 - Compatibility Records</x:v>
      </x:c>
      <x:c r="I157" s="6" t="n">
        <x:v>196</x:v>
      </x:c>
      <x:c r="J157" s="12" t="str">
        <x:v>Explicit governed evidence supporting relationship</x:v>
      </x:c>
      <x:c r="K157" s="6" t="str">
        <x:v>Unresolved</x:v>
      </x:c>
      <x:c r="L157" s="6" t="str">
        <x:v>Yes</x:v>
      </x:c>
      <x:c r="M157" s="6" t="str"/>
      <x:c r="N157" s="6" t="str"/>
      <x:c r="O157" s="12" t="str"/>
    </x:row>
    <x:row r="158">
      <x:c r="A158" s="6" t="str">
        <x:v>UNS000157</x:v>
      </x:c>
      <x:c r="B158" s="6" t="str">
        <x:v>SVC000157</x:v>
      </x:c>
      <x:c r="C158" s="6" t="str">
        <x:v>Galaxy S 9 Battery Replacement</x:v>
      </x:c>
      <x:c r="D158" s="6" t="str">
        <x:v>Family-Level Compatibility</x:v>
      </x:c>
      <x:c r="E158" s="6" t="str">
        <x:v>PHN</x:v>
      </x:c>
      <x:c r="F158" s="6" t="str">
        <x:v>Device family alone is insufficient for governed relationship.</x:v>
      </x:c>
      <x:c r="G158" s="6" t="str">
        <x:v>Nocturnix_Master_Compatibility_Catalog_v1.xlsx</x:v>
      </x:c>
      <x:c r="H158" s="6" t="str">
        <x:v>01 - Compatibility Records</x:v>
      </x:c>
      <x:c r="I158" s="6" t="n">
        <x:v>197</x:v>
      </x:c>
      <x:c r="J158" s="12" t="str">
        <x:v>Explicit governed evidence supporting relationship</x:v>
      </x:c>
      <x:c r="K158" s="6" t="str">
        <x:v>Unresolved</x:v>
      </x:c>
      <x:c r="L158" s="6" t="str">
        <x:v>Yes</x:v>
      </x:c>
      <x:c r="M158" s="6" t="str"/>
      <x:c r="N158" s="6" t="str"/>
      <x:c r="O158" s="12" t="str"/>
    </x:row>
    <x:row r="159">
      <x:c r="A159" s="6" t="str">
        <x:v>UNS000158</x:v>
      </x:c>
      <x:c r="B159" s="6" t="str">
        <x:v>SVC000158</x:v>
      </x:c>
      <x:c r="C159" s="6" t="str">
        <x:v>Galaxy S 20 FE Battery Replacement</x:v>
      </x:c>
      <x:c r="D159" s="6" t="str">
        <x:v>Family-Level Compatibility</x:v>
      </x:c>
      <x:c r="E159" s="6" t="str">
        <x:v>PHN</x:v>
      </x:c>
      <x:c r="F159" s="6" t="str">
        <x:v>Device family alone is insufficient for governed relationship.</x:v>
      </x:c>
      <x:c r="G159" s="6" t="str">
        <x:v>Nocturnix_Master_Compatibility_Catalog_v1.xlsx</x:v>
      </x:c>
      <x:c r="H159" s="6" t="str">
        <x:v>01 - Compatibility Records</x:v>
      </x:c>
      <x:c r="I159" s="6" t="n">
        <x:v>198</x:v>
      </x:c>
      <x:c r="J159" s="12" t="str">
        <x:v>Explicit governed evidence supporting relationship</x:v>
      </x:c>
      <x:c r="K159" s="6" t="str">
        <x:v>Unresolved</x:v>
      </x:c>
      <x:c r="L159" s="6" t="str">
        <x:v>Yes</x:v>
      </x:c>
      <x:c r="M159" s="6" t="str"/>
      <x:c r="N159" s="6" t="str"/>
      <x:c r="O159" s="12" t="str"/>
    </x:row>
    <x:row r="160">
      <x:c r="A160" s="6" t="str">
        <x:v>UNS000159</x:v>
      </x:c>
      <x:c r="B160" s="6" t="str">
        <x:v>SVC000159</x:v>
      </x:c>
      <x:c r="C160" s="6" t="str">
        <x:v>Galaxy S Classic Battery Replacement</x:v>
      </x:c>
      <x:c r="D160" s="6" t="str">
        <x:v>Family-Level Compatibility</x:v>
      </x:c>
      <x:c r="E160" s="6" t="str">
        <x:v>PHN</x:v>
      </x:c>
      <x:c r="F160" s="6" t="str">
        <x:v>Device family alone is insufficient for governed relationship.</x:v>
      </x:c>
      <x:c r="G160" s="6" t="str">
        <x:v>Nocturnix_Master_Compatibility_Catalog_v1.xlsx</x:v>
      </x:c>
      <x:c r="H160" s="6" t="str">
        <x:v>01 - Compatibility Records</x:v>
      </x:c>
      <x:c r="I160" s="6" t="n">
        <x:v>199</x:v>
      </x:c>
      <x:c r="J160" s="12" t="str">
        <x:v>Explicit governed evidence supporting relationship</x:v>
      </x:c>
      <x:c r="K160" s="6" t="str">
        <x:v>Unresolved</x:v>
      </x:c>
      <x:c r="L160" s="6" t="str">
        <x:v>Yes</x:v>
      </x:c>
      <x:c r="M160" s="6" t="str"/>
      <x:c r="N160" s="6" t="str"/>
      <x:c r="O160" s="12" t="str"/>
    </x:row>
    <x:row r="161">
      <x:c r="A161" s="6" t="str">
        <x:v>UNS000160</x:v>
      </x:c>
      <x:c r="B161" s="6" t="str">
        <x:v>SVC000160</x:v>
      </x:c>
      <x:c r="C161" s="6" t="str">
        <x:v>Galaxy S2 Battery Replacement</x:v>
      </x:c>
      <x:c r="D161" s="6" t="str">
        <x:v>Family-Level Compatibility</x:v>
      </x:c>
      <x:c r="E161" s="6" t="str">
        <x:v>PHN</x:v>
      </x:c>
      <x:c r="F161" s="6" t="str">
        <x:v>Device family alone is insufficient for governed relationship.</x:v>
      </x:c>
      <x:c r="G161" s="6" t="str">
        <x:v>Nocturnix_Master_Compatibility_Catalog_v1.xlsx</x:v>
      </x:c>
      <x:c r="H161" s="6" t="str">
        <x:v>01 - Compatibility Records</x:v>
      </x:c>
      <x:c r="I161" s="6" t="n">
        <x:v>200</x:v>
      </x:c>
      <x:c r="J161" s="12" t="str">
        <x:v>Explicit governed evidence supporting relationship</x:v>
      </x:c>
      <x:c r="K161" s="6" t="str">
        <x:v>Unresolved</x:v>
      </x:c>
      <x:c r="L161" s="6" t="str">
        <x:v>Yes</x:v>
      </x:c>
      <x:c r="M161" s="6" t="str"/>
      <x:c r="N161" s="6" t="str"/>
      <x:c r="O161" s="12" t="str"/>
    </x:row>
    <x:row r="162">
      <x:c r="A162" s="6" t="str">
        <x:v>UNS000161</x:v>
      </x:c>
      <x:c r="B162" s="6" t="str">
        <x:v>SVC000161</x:v>
      </x:c>
      <x:c r="C162" s="6" t="str">
        <x:v>Galaxy S3 Battery Replacement</x:v>
      </x:c>
      <x:c r="D162" s="6" t="str">
        <x:v>Family-Level Compatibility</x:v>
      </x:c>
      <x:c r="E162" s="6" t="str">
        <x:v>PHN</x:v>
      </x:c>
      <x:c r="F162" s="6" t="str">
        <x:v>Device family alone is insufficient for governed relationship.</x:v>
      </x:c>
      <x:c r="G162" s="6" t="str">
        <x:v>Nocturnix_Master_Compatibility_Catalog_v1.xlsx</x:v>
      </x:c>
      <x:c r="H162" s="6" t="str">
        <x:v>01 - Compatibility Records</x:v>
      </x:c>
      <x:c r="I162" s="6" t="n">
        <x:v>201</x:v>
      </x:c>
      <x:c r="J162" s="12" t="str">
        <x:v>Explicit governed evidence supporting relationship</x:v>
      </x:c>
      <x:c r="K162" s="6" t="str">
        <x:v>Unresolved</x:v>
      </x:c>
      <x:c r="L162" s="6" t="str">
        <x:v>Yes</x:v>
      </x:c>
      <x:c r="M162" s="6" t="str"/>
      <x:c r="N162" s="6" t="str"/>
      <x:c r="O162" s="12" t="str"/>
    </x:row>
    <x:row r="163">
      <x:c r="A163" s="6" t="str">
        <x:v>UNS000162</x:v>
      </x:c>
      <x:c r="B163" s="6" t="str">
        <x:v>SVC000162</x:v>
      </x:c>
      <x:c r="C163" s="6" t="str">
        <x:v>Galaxy S3 Mini Battery Replacement</x:v>
      </x:c>
      <x:c r="D163" s="6" t="str">
        <x:v>Family-Level Compatibility</x:v>
      </x:c>
      <x:c r="E163" s="6" t="str">
        <x:v>PHN</x:v>
      </x:c>
      <x:c r="F163" s="6" t="str">
        <x:v>Device family alone is insufficient for governed relationship.</x:v>
      </x:c>
      <x:c r="G163" s="6" t="str">
        <x:v>Nocturnix_Master_Compatibility_Catalog_v1.xlsx</x:v>
      </x:c>
      <x:c r="H163" s="6" t="str">
        <x:v>01 - Compatibility Records</x:v>
      </x:c>
      <x:c r="I163" s="6" t="n">
        <x:v>202</x:v>
      </x:c>
      <x:c r="J163" s="12" t="str">
        <x:v>Explicit governed evidence supporting relationship</x:v>
      </x:c>
      <x:c r="K163" s="6" t="str">
        <x:v>Unresolved</x:v>
      </x:c>
      <x:c r="L163" s="6" t="str">
        <x:v>Yes</x:v>
      </x:c>
      <x:c r="M163" s="6" t="str"/>
      <x:c r="N163" s="6" t="str"/>
      <x:c r="O163" s="12" t="str"/>
    </x:row>
    <x:row r="164">
      <x:c r="A164" s="6" t="str">
        <x:v>UNS000163</x:v>
      </x:c>
      <x:c r="B164" s="6" t="str">
        <x:v>SVC000163</x:v>
      </x:c>
      <x:c r="C164" s="6" t="str">
        <x:v>Galaxy S3 Neo Battery Replacement</x:v>
      </x:c>
      <x:c r="D164" s="6" t="str">
        <x:v>Family-Level Compatibility</x:v>
      </x:c>
      <x:c r="E164" s="6" t="str">
        <x:v>PHN</x:v>
      </x:c>
      <x:c r="F164" s="6" t="str">
        <x:v>Device family alone is insufficient for governed relationship.</x:v>
      </x:c>
      <x:c r="G164" s="6" t="str">
        <x:v>Nocturnix_Master_Compatibility_Catalog_v1.xlsx</x:v>
      </x:c>
      <x:c r="H164" s="6" t="str">
        <x:v>01 - Compatibility Records</x:v>
      </x:c>
      <x:c r="I164" s="6" t="n">
        <x:v>203</x:v>
      </x:c>
      <x:c r="J164" s="12" t="str">
        <x:v>Explicit governed evidence supporting relationship</x:v>
      </x:c>
      <x:c r="K164" s="6" t="str">
        <x:v>Unresolved</x:v>
      </x:c>
      <x:c r="L164" s="6" t="str">
        <x:v>Yes</x:v>
      </x:c>
      <x:c r="M164" s="6" t="str"/>
      <x:c r="N164" s="6" t="str"/>
      <x:c r="O164" s="12" t="str"/>
    </x:row>
    <x:row r="165">
      <x:c r="A165" s="6" t="str">
        <x:v>UNS000164</x:v>
      </x:c>
      <x:c r="B165" s="6" t="str">
        <x:v>SVC000164</x:v>
      </x:c>
      <x:c r="C165" s="6" t="str">
        <x:v>Galaxy S4 Battery Replacement</x:v>
      </x:c>
      <x:c r="D165" s="6" t="str">
        <x:v>Family-Level Compatibility</x:v>
      </x:c>
      <x:c r="E165" s="6" t="str">
        <x:v>PHN</x:v>
      </x:c>
      <x:c r="F165" s="6" t="str">
        <x:v>Device family alone is insufficient for governed relationship.</x:v>
      </x:c>
      <x:c r="G165" s="6" t="str">
        <x:v>Nocturnix_Master_Compatibility_Catalog_v1.xlsx</x:v>
      </x:c>
      <x:c r="H165" s="6" t="str">
        <x:v>01 - Compatibility Records</x:v>
      </x:c>
      <x:c r="I165" s="6" t="n">
        <x:v>204</x:v>
      </x:c>
      <x:c r="J165" s="12" t="str">
        <x:v>Explicit governed evidence supporting relationship</x:v>
      </x:c>
      <x:c r="K165" s="6" t="str">
        <x:v>Unresolved</x:v>
      </x:c>
      <x:c r="L165" s="6" t="str">
        <x:v>Yes</x:v>
      </x:c>
      <x:c r="M165" s="6" t="str"/>
      <x:c r="N165" s="6" t="str"/>
      <x:c r="O165" s="12" t="str"/>
    </x:row>
    <x:row r="166">
      <x:c r="A166" s="6" t="str">
        <x:v>UNS000165</x:v>
      </x:c>
      <x:c r="B166" s="6" t="str">
        <x:v>SVC000165</x:v>
      </x:c>
      <x:c r="C166" s="6" t="str">
        <x:v>Galaxy S 4 Active Battery Replacement</x:v>
      </x:c>
      <x:c r="D166" s="6" t="str">
        <x:v>Family-Level Compatibility</x:v>
      </x:c>
      <x:c r="E166" s="6" t="str">
        <x:v>PHN</x:v>
      </x:c>
      <x:c r="F166" s="6" t="str">
        <x:v>Device family alone is insufficient for governed relationship.</x:v>
      </x:c>
      <x:c r="G166" s="6" t="str">
        <x:v>Nocturnix_Master_Compatibility_Catalog_v1.xlsx</x:v>
      </x:c>
      <x:c r="H166" s="6" t="str">
        <x:v>01 - Compatibility Records</x:v>
      </x:c>
      <x:c r="I166" s="6" t="n">
        <x:v>205</x:v>
      </x:c>
      <x:c r="J166" s="12" t="str">
        <x:v>Explicit governed evidence supporting relationship</x:v>
      </x:c>
      <x:c r="K166" s="6" t="str">
        <x:v>Unresolved</x:v>
      </x:c>
      <x:c r="L166" s="6" t="str">
        <x:v>Yes</x:v>
      </x:c>
      <x:c r="M166" s="6" t="str"/>
      <x:c r="N166" s="6" t="str"/>
      <x:c r="O166" s="12" t="str"/>
    </x:row>
    <x:row r="167">
      <x:c r="A167" s="6" t="str">
        <x:v>UNS000166</x:v>
      </x:c>
      <x:c r="B167" s="6" t="str">
        <x:v>SVC000166</x:v>
      </x:c>
      <x:c r="C167" s="6" t="str">
        <x:v>Galaxy S 5 Battery Replacement</x:v>
      </x:c>
      <x:c r="D167" s="6" t="str">
        <x:v>Family-Level Compatibility</x:v>
      </x:c>
      <x:c r="E167" s="6" t="str">
        <x:v>PHN</x:v>
      </x:c>
      <x:c r="F167" s="6" t="str">
        <x:v>Device family alone is insufficient for governed relationship.</x:v>
      </x:c>
      <x:c r="G167" s="6" t="str">
        <x:v>Nocturnix_Master_Compatibility_Catalog_v1.xlsx</x:v>
      </x:c>
      <x:c r="H167" s="6" t="str">
        <x:v>01 - Compatibility Records</x:v>
      </x:c>
      <x:c r="I167" s="6" t="n">
        <x:v>206</x:v>
      </x:c>
      <x:c r="J167" s="12" t="str">
        <x:v>Explicit governed evidence supporting relationship</x:v>
      </x:c>
      <x:c r="K167" s="6" t="str">
        <x:v>Unresolved</x:v>
      </x:c>
      <x:c r="L167" s="6" t="str">
        <x:v>Yes</x:v>
      </x:c>
      <x:c r="M167" s="6" t="str"/>
      <x:c r="N167" s="6" t="str"/>
      <x:c r="O167" s="12" t="str"/>
    </x:row>
    <x:row r="168">
      <x:c r="A168" s="6" t="str">
        <x:v>UNS000167</x:v>
      </x:c>
      <x:c r="B168" s="6" t="str">
        <x:v>SVC000167</x:v>
      </x:c>
      <x:c r="C168" s="6" t="str">
        <x:v>iPhone 7+ Battery Replacement</x:v>
      </x:c>
      <x:c r="D168" s="6" t="str">
        <x:v>Family-Level Compatibility</x:v>
      </x:c>
      <x:c r="E168" s="6" t="str">
        <x:v>PHN</x:v>
      </x:c>
      <x:c r="F168" s="6" t="str">
        <x:v>Device family alone is insufficient for governed relationship.</x:v>
      </x:c>
      <x:c r="G168" s="6" t="str">
        <x:v>Nocturnix_Master_Compatibility_Catalog_v1.xlsx</x:v>
      </x:c>
      <x:c r="H168" s="6" t="str">
        <x:v>01 - Compatibility Records</x:v>
      </x:c>
      <x:c r="I168" s="6" t="n">
        <x:v>207</x:v>
      </x:c>
      <x:c r="J168" s="12" t="str">
        <x:v>Explicit governed evidence supporting relationship</x:v>
      </x:c>
      <x:c r="K168" s="6" t="str">
        <x:v>Unresolved</x:v>
      </x:c>
      <x:c r="L168" s="6" t="str">
        <x:v>Yes</x:v>
      </x:c>
      <x:c r="M168" s="6" t="str"/>
      <x:c r="N168" s="6" t="str"/>
      <x:c r="O168" s="12" t="str"/>
    </x:row>
    <x:row r="169">
      <x:c r="A169" s="6" t="str">
        <x:v>UNS000168</x:v>
      </x:c>
      <x:c r="B169" s="6" t="str">
        <x:v>SVC000168</x:v>
      </x:c>
      <x:c r="C169" s="6" t="str">
        <x:v>iPhone Battery Replacement</x:v>
      </x:c>
      <x:c r="D169" s="6" t="str">
        <x:v>Family-Level Compatibility</x:v>
      </x:c>
      <x:c r="E169" s="6" t="str">
        <x:v>PHN</x:v>
      </x:c>
      <x:c r="F169" s="6" t="str">
        <x:v>Device family alone is insufficient for governed relationship.</x:v>
      </x:c>
      <x:c r="G169" s="6" t="str">
        <x:v>Nocturnix_Master_Compatibility_Catalog_v1.xlsx</x:v>
      </x:c>
      <x:c r="H169" s="6" t="str">
        <x:v>01 - Compatibility Records</x:v>
      </x:c>
      <x:c r="I169" s="6" t="n">
        <x:v>208</x:v>
      </x:c>
      <x:c r="J169" s="12" t="str">
        <x:v>Explicit governed evidence supporting relationship</x:v>
      </x:c>
      <x:c r="K169" s="6" t="str">
        <x:v>Unresolved</x:v>
      </x:c>
      <x:c r="L169" s="6" t="str">
        <x:v>Yes</x:v>
      </x:c>
      <x:c r="M169" s="6" t="str"/>
      <x:c r="N169" s="6" t="str"/>
      <x:c r="O169" s="12" t="str"/>
    </x:row>
    <x:row r="170">
      <x:c r="A170" s="6" t="str">
        <x:v>UNS000169</x:v>
      </x:c>
      <x:c r="B170" s="6" t="str">
        <x:v>SVC000169</x:v>
      </x:c>
      <x:c r="C170" s="6" t="str">
        <x:v>iPhone 3GS Battery Replacement</x:v>
      </x:c>
      <x:c r="D170" s="6" t="str">
        <x:v>Family-Level Compatibility</x:v>
      </x:c>
      <x:c r="E170" s="6" t="str">
        <x:v>PHN</x:v>
      </x:c>
      <x:c r="F170" s="6" t="str">
        <x:v>Device family alone is insufficient for governed relationship.</x:v>
      </x:c>
      <x:c r="G170" s="6" t="str">
        <x:v>Nocturnix_Master_Compatibility_Catalog_v1.xlsx</x:v>
      </x:c>
      <x:c r="H170" s="6" t="str">
        <x:v>01 - Compatibility Records</x:v>
      </x:c>
      <x:c r="I170" s="6" t="n">
        <x:v>209</x:v>
      </x:c>
      <x:c r="J170" s="12" t="str">
        <x:v>Explicit governed evidence supporting relationship</x:v>
      </x:c>
      <x:c r="K170" s="6" t="str">
        <x:v>Unresolved</x:v>
      </x:c>
      <x:c r="L170" s="6" t="str">
        <x:v>Yes</x:v>
      </x:c>
      <x:c r="M170" s="6" t="str"/>
      <x:c r="N170" s="6" t="str"/>
      <x:c r="O170" s="12" t="str"/>
    </x:row>
    <x:row r="171">
      <x:c r="A171" s="6" t="str">
        <x:v>UNS000170</x:v>
      </x:c>
      <x:c r="B171" s="6" t="str">
        <x:v>SVC000170</x:v>
      </x:c>
      <x:c r="C171" s="6" t="str">
        <x:v>iPhone 4S Battery Replacement</x:v>
      </x:c>
      <x:c r="D171" s="6" t="str">
        <x:v>Family-Level Compatibility</x:v>
      </x:c>
      <x:c r="E171" s="6" t="str">
        <x:v>PHN</x:v>
      </x:c>
      <x:c r="F171" s="6" t="str">
        <x:v>Device family alone is insufficient for governed relationship.</x:v>
      </x:c>
      <x:c r="G171" s="6" t="str">
        <x:v>Nocturnix_Master_Compatibility_Catalog_v1.xlsx</x:v>
      </x:c>
      <x:c r="H171" s="6" t="str">
        <x:v>01 - Compatibility Records</x:v>
      </x:c>
      <x:c r="I171" s="6" t="n">
        <x:v>210</x:v>
      </x:c>
      <x:c r="J171" s="12" t="str">
        <x:v>Explicit governed evidence supporting relationship</x:v>
      </x:c>
      <x:c r="K171" s="6" t="str">
        <x:v>Unresolved</x:v>
      </x:c>
      <x:c r="L171" s="6" t="str">
        <x:v>Yes</x:v>
      </x:c>
      <x:c r="M171" s="6" t="str"/>
      <x:c r="N171" s="6" t="str"/>
      <x:c r="O171" s="12" t="str"/>
    </x:row>
    <x:row r="172">
      <x:c r="A172" s="6" t="str">
        <x:v>UNS000171</x:v>
      </x:c>
      <x:c r="B172" s="6" t="str">
        <x:v>SVC000171</x:v>
      </x:c>
      <x:c r="C172" s="6" t="str">
        <x:v>iPhone 5 Battery Replacement</x:v>
      </x:c>
      <x:c r="D172" s="6" t="str">
        <x:v>Family-Level Compatibility</x:v>
      </x:c>
      <x:c r="E172" s="6" t="str">
        <x:v>PHN</x:v>
      </x:c>
      <x:c r="F172" s="6" t="str">
        <x:v>Device family alone is insufficient for governed relationship.</x:v>
      </x:c>
      <x:c r="G172" s="6" t="str">
        <x:v>Nocturnix_Master_Compatibility_Catalog_v1.xlsx</x:v>
      </x:c>
      <x:c r="H172" s="6" t="str">
        <x:v>01 - Compatibility Records</x:v>
      </x:c>
      <x:c r="I172" s="6" t="n">
        <x:v>211</x:v>
      </x:c>
      <x:c r="J172" s="12" t="str">
        <x:v>Explicit governed evidence supporting relationship</x:v>
      </x:c>
      <x:c r="K172" s="6" t="str">
        <x:v>Unresolved</x:v>
      </x:c>
      <x:c r="L172" s="6" t="str">
        <x:v>Yes</x:v>
      </x:c>
      <x:c r="M172" s="6" t="str"/>
      <x:c r="N172" s="6" t="str"/>
      <x:c r="O172" s="12" t="str"/>
    </x:row>
    <x:row r="173">
      <x:c r="A173" s="6" t="str">
        <x:v>UNS000172</x:v>
      </x:c>
      <x:c r="B173" s="6" t="str">
        <x:v>SVC000172</x:v>
      </x:c>
      <x:c r="C173" s="6" t="str">
        <x:v>iPhone 5C Battery Replacement</x:v>
      </x:c>
      <x:c r="D173" s="6" t="str">
        <x:v>Family-Level Compatibility</x:v>
      </x:c>
      <x:c r="E173" s="6" t="str">
        <x:v>PHN</x:v>
      </x:c>
      <x:c r="F173" s="6" t="str">
        <x:v>Device family alone is insufficient for governed relationship.</x:v>
      </x:c>
      <x:c r="G173" s="6" t="str">
        <x:v>Nocturnix_Master_Compatibility_Catalog_v1.xlsx</x:v>
      </x:c>
      <x:c r="H173" s="6" t="str">
        <x:v>01 - Compatibility Records</x:v>
      </x:c>
      <x:c r="I173" s="6" t="n">
        <x:v>212</x:v>
      </x:c>
      <x:c r="J173" s="12" t="str">
        <x:v>Explicit governed evidence supporting relationship</x:v>
      </x:c>
      <x:c r="K173" s="6" t="str">
        <x:v>Unresolved</x:v>
      </x:c>
      <x:c r="L173" s="6" t="str">
        <x:v>Yes</x:v>
      </x:c>
      <x:c r="M173" s="6" t="str"/>
      <x:c r="N173" s="6" t="str"/>
      <x:c r="O173" s="12" t="str"/>
    </x:row>
    <x:row r="174">
      <x:c r="A174" s="6" t="str">
        <x:v>UNS000173</x:v>
      </x:c>
      <x:c r="B174" s="6" t="str">
        <x:v>SVC000173</x:v>
      </x:c>
      <x:c r="C174" s="6" t="str">
        <x:v>iPhone 8+ Battery Replacement</x:v>
      </x:c>
      <x:c r="D174" s="6" t="str">
        <x:v>Family-Level Compatibility</x:v>
      </x:c>
      <x:c r="E174" s="6" t="str">
        <x:v>PHN</x:v>
      </x:c>
      <x:c r="F174" s="6" t="str">
        <x:v>Device family alone is insufficient for governed relationship.</x:v>
      </x:c>
      <x:c r="G174" s="6" t="str">
        <x:v>Nocturnix_Master_Compatibility_Catalog_v1.xlsx</x:v>
      </x:c>
      <x:c r="H174" s="6" t="str">
        <x:v>01 - Compatibility Records</x:v>
      </x:c>
      <x:c r="I174" s="6" t="n">
        <x:v>213</x:v>
      </x:c>
      <x:c r="J174" s="12" t="str">
        <x:v>Explicit governed evidence supporting relationship</x:v>
      </x:c>
      <x:c r="K174" s="6" t="str">
        <x:v>Unresolved</x:v>
      </x:c>
      <x:c r="L174" s="6" t="str">
        <x:v>Yes</x:v>
      </x:c>
      <x:c r="M174" s="6" t="str"/>
      <x:c r="N174" s="6" t="str"/>
      <x:c r="O174" s="12" t="str"/>
    </x:row>
    <x:row r="175">
      <x:c r="A175" s="6" t="str">
        <x:v>UNS000174</x:v>
      </x:c>
      <x:c r="B175" s="6" t="str">
        <x:v>SVC000174</x:v>
      </x:c>
      <x:c r="C175" s="6" t="str">
        <x:v>iPhone 6S Battery Replacement</x:v>
      </x:c>
      <x:c r="D175" s="6" t="str">
        <x:v>Family-Level Compatibility</x:v>
      </x:c>
      <x:c r="E175" s="6" t="str">
        <x:v>PHN</x:v>
      </x:c>
      <x:c r="F175" s="6" t="str">
        <x:v>Device family alone is insufficient for governed relationship.</x:v>
      </x:c>
      <x:c r="G175" s="6" t="str">
        <x:v>Nocturnix_Master_Compatibility_Catalog_v1.xlsx</x:v>
      </x:c>
      <x:c r="H175" s="6" t="str">
        <x:v>01 - Compatibility Records</x:v>
      </x:c>
      <x:c r="I175" s="6" t="n">
        <x:v>214</x:v>
      </x:c>
      <x:c r="J175" s="12" t="str">
        <x:v>Explicit governed evidence supporting relationship</x:v>
      </x:c>
      <x:c r="K175" s="6" t="str">
        <x:v>Unresolved</x:v>
      </x:c>
      <x:c r="L175" s="6" t="str">
        <x:v>Yes</x:v>
      </x:c>
      <x:c r="M175" s="6" t="str"/>
      <x:c r="N175" s="6" t="str"/>
      <x:c r="O175" s="12" t="str"/>
    </x:row>
    <x:row r="176">
      <x:c r="A176" s="6" t="str">
        <x:v>UNS000175</x:v>
      </x:c>
      <x:c r="B176" s="6" t="str">
        <x:v>SVC000175</x:v>
      </x:c>
      <x:c r="C176" s="6" t="str">
        <x:v>iPhone 8 Battery Replacement</x:v>
      </x:c>
      <x:c r="D176" s="6" t="str">
        <x:v>Family-Level Compatibility</x:v>
      </x:c>
      <x:c r="E176" s="6" t="str">
        <x:v>PHN</x:v>
      </x:c>
      <x:c r="F176" s="6" t="str">
        <x:v>Device family alone is insufficient for governed relationship.</x:v>
      </x:c>
      <x:c r="G176" s="6" t="str">
        <x:v>Nocturnix_Master_Compatibility_Catalog_v1.xlsx</x:v>
      </x:c>
      <x:c r="H176" s="6" t="str">
        <x:v>01 - Compatibility Records</x:v>
      </x:c>
      <x:c r="I176" s="6" t="n">
        <x:v>215</x:v>
      </x:c>
      <x:c r="J176" s="12" t="str">
        <x:v>Explicit governed evidence supporting relationship</x:v>
      </x:c>
      <x:c r="K176" s="6" t="str">
        <x:v>Unresolved</x:v>
      </x:c>
      <x:c r="L176" s="6" t="str">
        <x:v>Yes</x:v>
      </x:c>
      <x:c r="M176" s="6" t="str"/>
      <x:c r="N176" s="6" t="str"/>
      <x:c r="O176" s="12" t="str"/>
    </x:row>
    <x:row r="177">
      <x:c r="A177" s="6" t="str">
        <x:v>UNS000176</x:v>
      </x:c>
      <x:c r="B177" s="6" t="str">
        <x:v>SVC000176</x:v>
      </x:c>
      <x:c r="C177" s="6" t="str">
        <x:v>iPhone 6S+ Battery Replacement</x:v>
      </x:c>
      <x:c r="D177" s="6" t="str">
        <x:v>Family-Level Compatibility</x:v>
      </x:c>
      <x:c r="E177" s="6" t="str">
        <x:v>PHN</x:v>
      </x:c>
      <x:c r="F177" s="6" t="str">
        <x:v>Device family alone is insufficient for governed relationship.</x:v>
      </x:c>
      <x:c r="G177" s="6" t="str">
        <x:v>Nocturnix_Master_Compatibility_Catalog_v1.xlsx</x:v>
      </x:c>
      <x:c r="H177" s="6" t="str">
        <x:v>01 - Compatibility Records</x:v>
      </x:c>
      <x:c r="I177" s="6" t="n">
        <x:v>216</x:v>
      </x:c>
      <x:c r="J177" s="12" t="str">
        <x:v>Explicit governed evidence supporting relationship</x:v>
      </x:c>
      <x:c r="K177" s="6" t="str">
        <x:v>Unresolved</x:v>
      </x:c>
      <x:c r="L177" s="6" t="str">
        <x:v>Yes</x:v>
      </x:c>
      <x:c r="M177" s="6" t="str"/>
      <x:c r="N177" s="6" t="str"/>
      <x:c r="O177" s="12" t="str"/>
    </x:row>
    <x:row r="178">
      <x:c r="A178" s="6" t="str">
        <x:v>UNS000177</x:v>
      </x:c>
      <x:c r="B178" s="6" t="str">
        <x:v>SVC000177</x:v>
      </x:c>
      <x:c r="C178" s="6" t="str">
        <x:v>iPhone 6S+ Battery Replacement</x:v>
      </x:c>
      <x:c r="D178" s="6" t="str">
        <x:v>Family-Level Compatibility</x:v>
      </x:c>
      <x:c r="E178" s="6" t="str">
        <x:v>PHN</x:v>
      </x:c>
      <x:c r="F178" s="6" t="str">
        <x:v>Device family alone is insufficient for governed relationship.</x:v>
      </x:c>
      <x:c r="G178" s="6" t="str">
        <x:v>Nocturnix_Master_Compatibility_Catalog_v1.xlsx</x:v>
      </x:c>
      <x:c r="H178" s="6" t="str">
        <x:v>01 - Compatibility Records</x:v>
      </x:c>
      <x:c r="I178" s="6" t="n">
        <x:v>217</x:v>
      </x:c>
      <x:c r="J178" s="12" t="str">
        <x:v>Explicit governed evidence supporting relationship</x:v>
      </x:c>
      <x:c r="K178" s="6" t="str">
        <x:v>Unresolved</x:v>
      </x:c>
      <x:c r="L178" s="6" t="str">
        <x:v>Yes</x:v>
      </x:c>
      <x:c r="M178" s="6" t="str"/>
      <x:c r="N178" s="6" t="str"/>
      <x:c r="O178" s="12" t="str"/>
    </x:row>
    <x:row r="179">
      <x:c r="A179" s="6" t="str">
        <x:v>UNS000178</x:v>
      </x:c>
      <x:c r="B179" s="6" t="str">
        <x:v>SVC000178</x:v>
      </x:c>
      <x:c r="C179" s="6" t="str">
        <x:v>iPhone 5S Battery Replacement</x:v>
      </x:c>
      <x:c r="D179" s="6" t="str">
        <x:v>Family-Level Compatibility</x:v>
      </x:c>
      <x:c r="E179" s="6" t="str">
        <x:v>PHN</x:v>
      </x:c>
      <x:c r="F179" s="6" t="str">
        <x:v>Device family alone is insufficient for governed relationship.</x:v>
      </x:c>
      <x:c r="G179" s="6" t="str">
        <x:v>Nocturnix_Master_Compatibility_Catalog_v1.xlsx</x:v>
      </x:c>
      <x:c r="H179" s="6" t="str">
        <x:v>01 - Compatibility Records</x:v>
      </x:c>
      <x:c r="I179" s="6" t="n">
        <x:v>218</x:v>
      </x:c>
      <x:c r="J179" s="12" t="str">
        <x:v>Explicit governed evidence supporting relationship</x:v>
      </x:c>
      <x:c r="K179" s="6" t="str">
        <x:v>Unresolved</x:v>
      </x:c>
      <x:c r="L179" s="6" t="str">
        <x:v>Yes</x:v>
      </x:c>
      <x:c r="M179" s="6" t="str"/>
      <x:c r="N179" s="6" t="str"/>
      <x:c r="O179" s="12" t="str"/>
    </x:row>
    <x:row r="180">
      <x:c r="A180" s="6" t="str">
        <x:v>UNS000179</x:v>
      </x:c>
      <x:c r="B180" s="6" t="str">
        <x:v>SVC000179</x:v>
      </x:c>
      <x:c r="C180" s="6" t="str">
        <x:v>iPhone 14 Battery Replacement</x:v>
      </x:c>
      <x:c r="D180" s="6" t="str">
        <x:v>Family-Level Compatibility</x:v>
      </x:c>
      <x:c r="E180" s="6" t="str">
        <x:v>PHN</x:v>
      </x:c>
      <x:c r="F180" s="6" t="str">
        <x:v>Device family alone is insufficient for governed relationship.</x:v>
      </x:c>
      <x:c r="G180" s="6" t="str">
        <x:v>Nocturnix_Master_Compatibility_Catalog_v1.xlsx</x:v>
      </x:c>
      <x:c r="H180" s="6" t="str">
        <x:v>01 - Compatibility Records</x:v>
      </x:c>
      <x:c r="I180" s="6" t="n">
        <x:v>219</x:v>
      </x:c>
      <x:c r="J180" s="12" t="str">
        <x:v>Explicit governed evidence supporting relationship</x:v>
      </x:c>
      <x:c r="K180" s="6" t="str">
        <x:v>Unresolved</x:v>
      </x:c>
      <x:c r="L180" s="6" t="str">
        <x:v>Yes</x:v>
      </x:c>
      <x:c r="M180" s="6" t="str"/>
      <x:c r="N180" s="6" t="str"/>
      <x:c r="O180" s="12" t="str"/>
    </x:row>
    <x:row r="181">
      <x:c r="A181" s="6" t="str">
        <x:v>UNS000180</x:v>
      </x:c>
      <x:c r="B181" s="6" t="str">
        <x:v>SVC000180</x:v>
      </x:c>
      <x:c r="C181" s="6" t="str">
        <x:v>iPhone 6+ Battery Replacement</x:v>
      </x:c>
      <x:c r="D181" s="6" t="str">
        <x:v>Family-Level Compatibility</x:v>
      </x:c>
      <x:c r="E181" s="6" t="str">
        <x:v>PHN</x:v>
      </x:c>
      <x:c r="F181" s="6" t="str">
        <x:v>Device family alone is insufficient for governed relationship.</x:v>
      </x:c>
      <x:c r="G181" s="6" t="str">
        <x:v>Nocturnix_Master_Compatibility_Catalog_v1.xlsx</x:v>
      </x:c>
      <x:c r="H181" s="6" t="str">
        <x:v>01 - Compatibility Records</x:v>
      </x:c>
      <x:c r="I181" s="6" t="n">
        <x:v>220</x:v>
      </x:c>
      <x:c r="J181" s="12" t="str">
        <x:v>Explicit governed evidence supporting relationship</x:v>
      </x:c>
      <x:c r="K181" s="6" t="str">
        <x:v>Unresolved</x:v>
      </x:c>
      <x:c r="L181" s="6" t="str">
        <x:v>Yes</x:v>
      </x:c>
      <x:c r="M181" s="6" t="str"/>
      <x:c r="N181" s="6" t="str"/>
      <x:c r="O181" s="12" t="str"/>
    </x:row>
    <x:row r="182">
      <x:c r="A182" s="6" t="str">
        <x:v>UNS000181</x:v>
      </x:c>
      <x:c r="B182" s="6" t="str">
        <x:v>SVC000181</x:v>
      </x:c>
      <x:c r="C182" s="6" t="str">
        <x:v>iPhone 16E Battery Replacement</x:v>
      </x:c>
      <x:c r="D182" s="6" t="str">
        <x:v>Family-Level Compatibility</x:v>
      </x:c>
      <x:c r="E182" s="6" t="str">
        <x:v>PHN</x:v>
      </x:c>
      <x:c r="F182" s="6" t="str">
        <x:v>Device family alone is insufficient for governed relationship.</x:v>
      </x:c>
      <x:c r="G182" s="6" t="str">
        <x:v>Nocturnix_Master_Compatibility_Catalog_v1.xlsx</x:v>
      </x:c>
      <x:c r="H182" s="6" t="str">
        <x:v>01 - Compatibility Records</x:v>
      </x:c>
      <x:c r="I182" s="6" t="n">
        <x:v>221</x:v>
      </x:c>
      <x:c r="J182" s="12" t="str">
        <x:v>Explicit governed evidence supporting relationship</x:v>
      </x:c>
      <x:c r="K182" s="6" t="str">
        <x:v>Unresolved</x:v>
      </x:c>
      <x:c r="L182" s="6" t="str">
        <x:v>Yes</x:v>
      </x:c>
      <x:c r="M182" s="6" t="str"/>
      <x:c r="N182" s="6" t="str"/>
      <x:c r="O182" s="12" t="str"/>
    </x:row>
    <x:row r="183">
      <x:c r="A183" s="6" t="str">
        <x:v>UNS000182</x:v>
      </x:c>
      <x:c r="B183" s="6" t="str">
        <x:v>SVC000182</x:v>
      </x:c>
      <x:c r="C183" s="6" t="str">
        <x:v>iPhone 17 Battery Replacement</x:v>
      </x:c>
      <x:c r="D183" s="6" t="str">
        <x:v>Family-Level Compatibility</x:v>
      </x:c>
      <x:c r="E183" s="6" t="str">
        <x:v>PHN</x:v>
      </x:c>
      <x:c r="F183" s="6" t="str">
        <x:v>Device family alone is insufficient for governed relationship.</x:v>
      </x:c>
      <x:c r="G183" s="6" t="str">
        <x:v>Nocturnix_Master_Compatibility_Catalog_v1.xlsx</x:v>
      </x:c>
      <x:c r="H183" s="6" t="str">
        <x:v>01 - Compatibility Records</x:v>
      </x:c>
      <x:c r="I183" s="6" t="n">
        <x:v>222</x:v>
      </x:c>
      <x:c r="J183" s="12" t="str">
        <x:v>Explicit governed evidence supporting relationship</x:v>
      </x:c>
      <x:c r="K183" s="6" t="str">
        <x:v>Unresolved</x:v>
      </x:c>
      <x:c r="L183" s="6" t="str">
        <x:v>Yes</x:v>
      </x:c>
      <x:c r="M183" s="6" t="str"/>
      <x:c r="N183" s="6" t="str"/>
      <x:c r="O183" s="12" t="str"/>
    </x:row>
    <x:row r="184">
      <x:c r="A184" s="6" t="str">
        <x:v>UNS000183</x:v>
      </x:c>
      <x:c r="B184" s="6" t="str">
        <x:v>SVC000183</x:v>
      </x:c>
      <x:c r="C184" s="6" t="str">
        <x:v>iPhone 16 Plus Battery Replacement</x:v>
      </x:c>
      <x:c r="D184" s="6" t="str">
        <x:v>Family-Level Compatibility</x:v>
      </x:c>
      <x:c r="E184" s="6" t="str">
        <x:v>PHN</x:v>
      </x:c>
      <x:c r="F184" s="6" t="str">
        <x:v>Device family alone is insufficient for governed relationship.</x:v>
      </x:c>
      <x:c r="G184" s="6" t="str">
        <x:v>Nocturnix_Master_Compatibility_Catalog_v1.xlsx</x:v>
      </x:c>
      <x:c r="H184" s="6" t="str">
        <x:v>01 - Compatibility Records</x:v>
      </x:c>
      <x:c r="I184" s="6" t="n">
        <x:v>223</x:v>
      </x:c>
      <x:c r="J184" s="12" t="str">
        <x:v>Explicit governed evidence supporting relationship</x:v>
      </x:c>
      <x:c r="K184" s="6" t="str">
        <x:v>Unresolved</x:v>
      </x:c>
      <x:c r="L184" s="6" t="str">
        <x:v>Yes</x:v>
      </x:c>
      <x:c r="M184" s="6" t="str"/>
      <x:c r="N184" s="6" t="str"/>
      <x:c r="O184" s="12" t="str"/>
    </x:row>
    <x:row r="185">
      <x:c r="A185" s="6" t="str">
        <x:v>UNS000184</x:v>
      </x:c>
      <x:c r="B185" s="6" t="str">
        <x:v>SVC000184</x:v>
      </x:c>
      <x:c r="C185" s="6" t="str">
        <x:v>iPhone 16 Pro Max Battery Replacement</x:v>
      </x:c>
      <x:c r="D185" s="6" t="str">
        <x:v>Family-Level Compatibility</x:v>
      </x:c>
      <x:c r="E185" s="6" t="str">
        <x:v>PHN</x:v>
      </x:c>
      <x:c r="F185" s="6" t="str">
        <x:v>Device family alone is insufficient for governed relationship.</x:v>
      </x:c>
      <x:c r="G185" s="6" t="str">
        <x:v>Nocturnix_Master_Compatibility_Catalog_v1.xlsx</x:v>
      </x:c>
      <x:c r="H185" s="6" t="str">
        <x:v>01 - Compatibility Records</x:v>
      </x:c>
      <x:c r="I185" s="6" t="n">
        <x:v>224</x:v>
      </x:c>
      <x:c r="J185" s="12" t="str">
        <x:v>Explicit governed evidence supporting relationship</x:v>
      </x:c>
      <x:c r="K185" s="6" t="str">
        <x:v>Unresolved</x:v>
      </x:c>
      <x:c r="L185" s="6" t="str">
        <x:v>Yes</x:v>
      </x:c>
      <x:c r="M185" s="6" t="str"/>
      <x:c r="N185" s="6" t="str"/>
      <x:c r="O185" s="12" t="str"/>
    </x:row>
    <x:row r="186">
      <x:c r="A186" s="6" t="str">
        <x:v>UNS000185</x:v>
      </x:c>
      <x:c r="B186" s="6" t="str">
        <x:v>SVC000185</x:v>
      </x:c>
      <x:c r="C186" s="6" t="str">
        <x:v>iPhone 16 Battery Replacement</x:v>
      </x:c>
      <x:c r="D186" s="6" t="str">
        <x:v>Family-Level Compatibility</x:v>
      </x:c>
      <x:c r="E186" s="6" t="str">
        <x:v>PHN</x:v>
      </x:c>
      <x:c r="F186" s="6" t="str">
        <x:v>Device family alone is insufficient for governed relationship.</x:v>
      </x:c>
      <x:c r="G186" s="6" t="str">
        <x:v>Nocturnix_Master_Compatibility_Catalog_v1.xlsx</x:v>
      </x:c>
      <x:c r="H186" s="6" t="str">
        <x:v>01 - Compatibility Records</x:v>
      </x:c>
      <x:c r="I186" s="6" t="n">
        <x:v>225</x:v>
      </x:c>
      <x:c r="J186" s="12" t="str">
        <x:v>Explicit governed evidence supporting relationship</x:v>
      </x:c>
      <x:c r="K186" s="6" t="str">
        <x:v>Unresolved</x:v>
      </x:c>
      <x:c r="L186" s="6" t="str">
        <x:v>Yes</x:v>
      </x:c>
      <x:c r="M186" s="6" t="str"/>
      <x:c r="N186" s="6" t="str"/>
      <x:c r="O186" s="12" t="str"/>
    </x:row>
    <x:row r="187">
      <x:c r="A187" s="6" t="str">
        <x:v>UNS000186</x:v>
      </x:c>
      <x:c r="B187" s="6" t="str">
        <x:v>SVC000186</x:v>
      </x:c>
      <x:c r="C187" s="6" t="str">
        <x:v>iPhone 15 Pro Max Battery Replacement</x:v>
      </x:c>
      <x:c r="D187" s="6" t="str">
        <x:v>Family-Level Compatibility</x:v>
      </x:c>
      <x:c r="E187" s="6" t="str">
        <x:v>PHN</x:v>
      </x:c>
      <x:c r="F187" s="6" t="str">
        <x:v>Device family alone is insufficient for governed relationship.</x:v>
      </x:c>
      <x:c r="G187" s="6" t="str">
        <x:v>Nocturnix_Master_Compatibility_Catalog_v1.xlsx</x:v>
      </x:c>
      <x:c r="H187" s="6" t="str">
        <x:v>01 - Compatibility Records</x:v>
      </x:c>
      <x:c r="I187" s="6" t="n">
        <x:v>226</x:v>
      </x:c>
      <x:c r="J187" s="12" t="str">
        <x:v>Explicit governed evidence supporting relationship</x:v>
      </x:c>
      <x:c r="K187" s="6" t="str">
        <x:v>Unresolved</x:v>
      </x:c>
      <x:c r="L187" s="6" t="str">
        <x:v>Yes</x:v>
      </x:c>
      <x:c r="M187" s="6" t="str"/>
      <x:c r="N187" s="6" t="str"/>
      <x:c r="O187" s="12" t="str"/>
    </x:row>
    <x:row r="188">
      <x:c r="A188" s="6" t="str">
        <x:v>UNS000187</x:v>
      </x:c>
      <x:c r="B188" s="6" t="str">
        <x:v>SVC000187</x:v>
      </x:c>
      <x:c r="C188" s="6" t="str">
        <x:v>iPhone 15 Pro Phone Battery Replacement</x:v>
      </x:c>
      <x:c r="D188" s="6" t="str">
        <x:v>Family-Level Compatibility</x:v>
      </x:c>
      <x:c r="E188" s="6" t="str">
        <x:v>PHN</x:v>
      </x:c>
      <x:c r="F188" s="6" t="str">
        <x:v>Device family alone is insufficient for governed relationship.</x:v>
      </x:c>
      <x:c r="G188" s="6" t="str">
        <x:v>Nocturnix_Master_Compatibility_Catalog_v1.xlsx</x:v>
      </x:c>
      <x:c r="H188" s="6" t="str">
        <x:v>01 - Compatibility Records</x:v>
      </x:c>
      <x:c r="I188" s="6" t="n">
        <x:v>227</x:v>
      </x:c>
      <x:c r="J188" s="12" t="str">
        <x:v>Explicit governed evidence supporting relationship</x:v>
      </x:c>
      <x:c r="K188" s="6" t="str">
        <x:v>Unresolved</x:v>
      </x:c>
      <x:c r="L188" s="6" t="str">
        <x:v>Yes</x:v>
      </x:c>
      <x:c r="M188" s="6" t="str"/>
      <x:c r="N188" s="6" t="str"/>
      <x:c r="O188" s="12" t="str"/>
    </x:row>
    <x:row r="189">
      <x:c r="A189" s="6" t="str">
        <x:v>UNS000188</x:v>
      </x:c>
      <x:c r="B189" s="6" t="str">
        <x:v>SVC000188</x:v>
      </x:c>
      <x:c r="C189" s="6" t="str">
        <x:v>iPhone 15 Plus Battery Replacement</x:v>
      </x:c>
      <x:c r="D189" s="6" t="str">
        <x:v>Family-Level Compatibility</x:v>
      </x:c>
      <x:c r="E189" s="6" t="str">
        <x:v>PHN</x:v>
      </x:c>
      <x:c r="F189" s="6" t="str">
        <x:v>Device family alone is insufficient for governed relationship.</x:v>
      </x:c>
      <x:c r="G189" s="6" t="str">
        <x:v>Nocturnix_Master_Compatibility_Catalog_v1.xlsx</x:v>
      </x:c>
      <x:c r="H189" s="6" t="str">
        <x:v>01 - Compatibility Records</x:v>
      </x:c>
      <x:c r="I189" s="6" t="n">
        <x:v>228</x:v>
      </x:c>
      <x:c r="J189" s="12" t="str">
        <x:v>Explicit governed evidence supporting relationship</x:v>
      </x:c>
      <x:c r="K189" s="6" t="str">
        <x:v>Unresolved</x:v>
      </x:c>
      <x:c r="L189" s="6" t="str">
        <x:v>Yes</x:v>
      </x:c>
      <x:c r="M189" s="6" t="str"/>
      <x:c r="N189" s="6" t="str"/>
      <x:c r="O189" s="12" t="str"/>
    </x:row>
    <x:row r="190">
      <x:c r="A190" s="6" t="str">
        <x:v>UNS000189</x:v>
      </x:c>
      <x:c r="B190" s="6" t="str">
        <x:v>SVC000189</x:v>
      </x:c>
      <x:c r="C190" s="6" t="str">
        <x:v>iPhone 16 Pro Battery Replacement</x:v>
      </x:c>
      <x:c r="D190" s="6" t="str">
        <x:v>Family-Level Compatibility</x:v>
      </x:c>
      <x:c r="E190" s="6" t="str">
        <x:v>PHN</x:v>
      </x:c>
      <x:c r="F190" s="6" t="str">
        <x:v>Device family alone is insufficient for governed relationship.</x:v>
      </x:c>
      <x:c r="G190" s="6" t="str">
        <x:v>Nocturnix_Master_Compatibility_Catalog_v1.xlsx</x:v>
      </x:c>
      <x:c r="H190" s="6" t="str">
        <x:v>01 - Compatibility Records</x:v>
      </x:c>
      <x:c r="I190" s="6" t="n">
        <x:v>229</x:v>
      </x:c>
      <x:c r="J190" s="12" t="str">
        <x:v>Explicit governed evidence supporting relationship</x:v>
      </x:c>
      <x:c r="K190" s="6" t="str">
        <x:v>Unresolved</x:v>
      </x:c>
      <x:c r="L190" s="6" t="str">
        <x:v>Yes</x:v>
      </x:c>
      <x:c r="M190" s="6" t="str"/>
      <x:c r="N190" s="6" t="str"/>
      <x:c r="O190" s="12" t="str"/>
    </x:row>
    <x:row r="191">
      <x:c r="A191" s="6" t="str">
        <x:v>UNS000190</x:v>
      </x:c>
      <x:c r="B191" s="6" t="str">
        <x:v>SVC000190</x:v>
      </x:c>
      <x:c r="C191" s="6" t="str">
        <x:v>iPhone 15 Battery Replacement</x:v>
      </x:c>
      <x:c r="D191" s="6" t="str">
        <x:v>Family-Level Compatibility</x:v>
      </x:c>
      <x:c r="E191" s="6" t="str">
        <x:v>PHN</x:v>
      </x:c>
      <x:c r="F191" s="6" t="str">
        <x:v>Device family alone is insufficient for governed relationship.</x:v>
      </x:c>
      <x:c r="G191" s="6" t="str">
        <x:v>Nocturnix_Master_Compatibility_Catalog_v1.xlsx</x:v>
      </x:c>
      <x:c r="H191" s="6" t="str">
        <x:v>01 - Compatibility Records</x:v>
      </x:c>
      <x:c r="I191" s="6" t="n">
        <x:v>230</x:v>
      </x:c>
      <x:c r="J191" s="12" t="str">
        <x:v>Explicit governed evidence supporting relationship</x:v>
      </x:c>
      <x:c r="K191" s="6" t="str">
        <x:v>Unresolved</x:v>
      </x:c>
      <x:c r="L191" s="6" t="str">
        <x:v>Yes</x:v>
      </x:c>
      <x:c r="M191" s="6" t="str"/>
      <x:c r="N191" s="6" t="str"/>
      <x:c r="O191" s="12" t="str"/>
    </x:row>
    <x:row r="192">
      <x:c r="A192" s="6" t="str">
        <x:v>UNS000191</x:v>
      </x:c>
      <x:c r="B192" s="6" t="str">
        <x:v>SVC000191</x:v>
      </x:c>
      <x:c r="C192" s="6" t="str">
        <x:v>iPhone 14 Pro Battery Replacement</x:v>
      </x:c>
      <x:c r="D192" s="6" t="str">
        <x:v>Family-Level Compatibility</x:v>
      </x:c>
      <x:c r="E192" s="6" t="str">
        <x:v>PHN</x:v>
      </x:c>
      <x:c r="F192" s="6" t="str">
        <x:v>Device family alone is insufficient for governed relationship.</x:v>
      </x:c>
      <x:c r="G192" s="6" t="str">
        <x:v>Nocturnix_Master_Compatibility_Catalog_v1.xlsx</x:v>
      </x:c>
      <x:c r="H192" s="6" t="str">
        <x:v>01 - Compatibility Records</x:v>
      </x:c>
      <x:c r="I192" s="6" t="n">
        <x:v>231</x:v>
      </x:c>
      <x:c r="J192" s="12" t="str">
        <x:v>Explicit governed evidence supporting relationship</x:v>
      </x:c>
      <x:c r="K192" s="6" t="str">
        <x:v>Unresolved</x:v>
      </x:c>
      <x:c r="L192" s="6" t="str">
        <x:v>Yes</x:v>
      </x:c>
      <x:c r="M192" s="6" t="str"/>
      <x:c r="N192" s="6" t="str"/>
      <x:c r="O192" s="12" t="str"/>
    </x:row>
    <x:row r="193">
      <x:c r="A193" s="6" t="str">
        <x:v>UNS000192</x:v>
      </x:c>
      <x:c r="B193" s="6" t="str">
        <x:v>SVC000192</x:v>
      </x:c>
      <x:c r="C193" s="6" t="str">
        <x:v>iPhone 17 Pro Battery Replacement</x:v>
      </x:c>
      <x:c r="D193" s="6" t="str">
        <x:v>Family-Level Compatibility</x:v>
      </x:c>
      <x:c r="E193" s="6" t="str">
        <x:v>PHN</x:v>
      </x:c>
      <x:c r="F193" s="6" t="str">
        <x:v>Device family alone is insufficient for governed relationship.</x:v>
      </x:c>
      <x:c r="G193" s="6" t="str">
        <x:v>Nocturnix_Master_Compatibility_Catalog_v1.xlsx</x:v>
      </x:c>
      <x:c r="H193" s="6" t="str">
        <x:v>01 - Compatibility Records</x:v>
      </x:c>
      <x:c r="I193" s="6" t="n">
        <x:v>232</x:v>
      </x:c>
      <x:c r="J193" s="12" t="str">
        <x:v>Explicit governed evidence supporting relationship</x:v>
      </x:c>
      <x:c r="K193" s="6" t="str">
        <x:v>Unresolved</x:v>
      </x:c>
      <x:c r="L193" s="6" t="str">
        <x:v>Yes</x:v>
      </x:c>
      <x:c r="M193" s="6" t="str"/>
      <x:c r="N193" s="6" t="str"/>
      <x:c r="O193" s="12" t="str"/>
    </x:row>
    <x:row r="194">
      <x:c r="A194" s="6" t="str">
        <x:v>UNS000193</x:v>
      </x:c>
      <x:c r="B194" s="6" t="str">
        <x:v>SVC000193</x:v>
      </x:c>
      <x:c r="C194" s="6" t="str">
        <x:v>iPhone 17 Pro Max Phone* Battery Replacement</x:v>
      </x:c>
      <x:c r="D194" s="6" t="str">
        <x:v>Family-Level Compatibility</x:v>
      </x:c>
      <x:c r="E194" s="6" t="str">
        <x:v>PHN</x:v>
      </x:c>
      <x:c r="F194" s="6" t="str">
        <x:v>Device family alone is insufficient for governed relationship.</x:v>
      </x:c>
      <x:c r="G194" s="6" t="str">
        <x:v>Nocturnix_Master_Compatibility_Catalog_v1.xlsx</x:v>
      </x:c>
      <x:c r="H194" s="6" t="str">
        <x:v>01 - Compatibility Records</x:v>
      </x:c>
      <x:c r="I194" s="6" t="n">
        <x:v>233</x:v>
      </x:c>
      <x:c r="J194" s="12" t="str">
        <x:v>Explicit governed evidence supporting relationship</x:v>
      </x:c>
      <x:c r="K194" s="6" t="str">
        <x:v>Unresolved</x:v>
      </x:c>
      <x:c r="L194" s="6" t="str">
        <x:v>Yes</x:v>
      </x:c>
      <x:c r="M194" s="6" t="str"/>
      <x:c r="N194" s="6" t="str"/>
      <x:c r="O194" s="12" t="str"/>
    </x:row>
    <x:row r="195">
      <x:c r="A195" s="6" t="str">
        <x:v>UNS000194</x:v>
      </x:c>
      <x:c r="B195" s="6" t="str">
        <x:v>SVC000194</x:v>
      </x:c>
      <x:c r="C195" s="6" t="str">
        <x:v>iPhone Air Battery Replacement</x:v>
      </x:c>
      <x:c r="D195" s="6" t="str">
        <x:v>Family-Level Compatibility</x:v>
      </x:c>
      <x:c r="E195" s="6" t="str">
        <x:v>PHN</x:v>
      </x:c>
      <x:c r="F195" s="6" t="str">
        <x:v>Device family alone is insufficient for governed relationship.</x:v>
      </x:c>
      <x:c r="G195" s="6" t="str">
        <x:v>Nocturnix_Master_Compatibility_Catalog_v1.xlsx</x:v>
      </x:c>
      <x:c r="H195" s="6" t="str">
        <x:v>01 - Compatibility Records</x:v>
      </x:c>
      <x:c r="I195" s="6" t="n">
        <x:v>234</x:v>
      </x:c>
      <x:c r="J195" s="12" t="str">
        <x:v>Explicit governed evidence supporting relationship</x:v>
      </x:c>
      <x:c r="K195" s="6" t="str">
        <x:v>Unresolved</x:v>
      </x:c>
      <x:c r="L195" s="6" t="str">
        <x:v>Yes</x:v>
      </x:c>
      <x:c r="M195" s="6" t="str"/>
      <x:c r="N195" s="6" t="str"/>
      <x:c r="O195" s="12" t="str"/>
    </x:row>
    <x:row r="196">
      <x:c r="A196" s="6" t="str">
        <x:v>UNS000195</x:v>
      </x:c>
      <x:c r="B196" s="6" t="str">
        <x:v>SVC000195</x:v>
      </x:c>
      <x:c r="C196" s="6" t="str">
        <x:v>iPhone XR Battery Replacement</x:v>
      </x:c>
      <x:c r="D196" s="6" t="str">
        <x:v>Family-Level Compatibility</x:v>
      </x:c>
      <x:c r="E196" s="6" t="str">
        <x:v>PHN</x:v>
      </x:c>
      <x:c r="F196" s="6" t="str">
        <x:v>Device family alone is insufficient for governed relationship.</x:v>
      </x:c>
      <x:c r="G196" s="6" t="str">
        <x:v>Nocturnix_Master_Compatibility_Catalog_v1.xlsx</x:v>
      </x:c>
      <x:c r="H196" s="6" t="str">
        <x:v>01 - Compatibility Records</x:v>
      </x:c>
      <x:c r="I196" s="6" t="n">
        <x:v>235</x:v>
      </x:c>
      <x:c r="J196" s="12" t="str">
        <x:v>Explicit governed evidence supporting relationship</x:v>
      </x:c>
      <x:c r="K196" s="6" t="str">
        <x:v>Unresolved</x:v>
      </x:c>
      <x:c r="L196" s="6" t="str">
        <x:v>Yes</x:v>
      </x:c>
      <x:c r="M196" s="6" t="str"/>
      <x:c r="N196" s="6" t="str"/>
      <x:c r="O196" s="12" t="str"/>
    </x:row>
    <x:row r="197">
      <x:c r="A197" s="6" t="str">
        <x:v>UNS000196</x:v>
      </x:c>
      <x:c r="B197" s="6" t="str">
        <x:v>SVC000196</x:v>
      </x:c>
      <x:c r="C197" s="6" t="str">
        <x:v>iPhone XS Max Battery Replacement</x:v>
      </x:c>
      <x:c r="D197" s="6" t="str">
        <x:v>Family-Level Compatibility</x:v>
      </x:c>
      <x:c r="E197" s="6" t="str">
        <x:v>PHN</x:v>
      </x:c>
      <x:c r="F197" s="6" t="str">
        <x:v>Device family alone is insufficient for governed relationship.</x:v>
      </x:c>
      <x:c r="G197" s="6" t="str">
        <x:v>Nocturnix_Master_Compatibility_Catalog_v1.xlsx</x:v>
      </x:c>
      <x:c r="H197" s="6" t="str">
        <x:v>01 - Compatibility Records</x:v>
      </x:c>
      <x:c r="I197" s="6" t="n">
        <x:v>236</x:v>
      </x:c>
      <x:c r="J197" s="12" t="str">
        <x:v>Explicit governed evidence supporting relationship</x:v>
      </x:c>
      <x:c r="K197" s="6" t="str">
        <x:v>Unresolved</x:v>
      </x:c>
      <x:c r="L197" s="6" t="str">
        <x:v>Yes</x:v>
      </x:c>
      <x:c r="M197" s="6" t="str"/>
      <x:c r="N197" s="6" t="str"/>
      <x:c r="O197" s="12" t="str"/>
    </x:row>
    <x:row r="198">
      <x:c r="A198" s="6" t="str">
        <x:v>UNS000197</x:v>
      </x:c>
      <x:c r="B198" s="6" t="str">
        <x:v>SVC000197</x:v>
      </x:c>
      <x:c r="C198" s="6" t="str">
        <x:v>iPhone X Battery Replacement</x:v>
      </x:c>
      <x:c r="D198" s="6" t="str">
        <x:v>Family-Level Compatibility</x:v>
      </x:c>
      <x:c r="E198" s="6" t="str">
        <x:v>PHN</x:v>
      </x:c>
      <x:c r="F198" s="6" t="str">
        <x:v>Device family alone is insufficient for governed relationship.</x:v>
      </x:c>
      <x:c r="G198" s="6" t="str">
        <x:v>Nocturnix_Master_Compatibility_Catalog_v1.xlsx</x:v>
      </x:c>
      <x:c r="H198" s="6" t="str">
        <x:v>01 - Compatibility Records</x:v>
      </x:c>
      <x:c r="I198" s="6" t="n">
        <x:v>237</x:v>
      </x:c>
      <x:c r="J198" s="12" t="str">
        <x:v>Explicit governed evidence supporting relationship</x:v>
      </x:c>
      <x:c r="K198" s="6" t="str">
        <x:v>Unresolved</x:v>
      </x:c>
      <x:c r="L198" s="6" t="str">
        <x:v>Yes</x:v>
      </x:c>
      <x:c r="M198" s="6" t="str"/>
      <x:c r="N198" s="6" t="str"/>
      <x:c r="O198" s="12" t="str"/>
    </x:row>
    <x:row r="199">
      <x:c r="A199" s="6" t="str">
        <x:v>UNS000198</x:v>
      </x:c>
      <x:c r="B199" s="6" t="str">
        <x:v>SVC000198</x:v>
      </x:c>
      <x:c r="C199" s="6" t="str">
        <x:v>iPhone SE(1ST GEN) Battery Replacement</x:v>
      </x:c>
      <x:c r="D199" s="6" t="str">
        <x:v>Family-Level Compatibility</x:v>
      </x:c>
      <x:c r="E199" s="6" t="str">
        <x:v>PHN</x:v>
      </x:c>
      <x:c r="F199" s="6" t="str">
        <x:v>Device family alone is insufficient for governed relationship.</x:v>
      </x:c>
      <x:c r="G199" s="6" t="str">
        <x:v>Nocturnix_Master_Compatibility_Catalog_v1.xlsx</x:v>
      </x:c>
      <x:c r="H199" s="6" t="str">
        <x:v>01 - Compatibility Records</x:v>
      </x:c>
      <x:c r="I199" s="6" t="n">
        <x:v>238</x:v>
      </x:c>
      <x:c r="J199" s="12" t="str">
        <x:v>Explicit governed evidence supporting relationship</x:v>
      </x:c>
      <x:c r="K199" s="6" t="str">
        <x:v>Unresolved</x:v>
      </x:c>
      <x:c r="L199" s="6" t="str">
        <x:v>Yes</x:v>
      </x:c>
      <x:c r="M199" s="6" t="str"/>
      <x:c r="N199" s="6" t="str"/>
      <x:c r="O199" s="12" t="str"/>
    </x:row>
    <x:row r="200">
      <x:c r="A200" s="6" t="str">
        <x:v>UNS000199</x:v>
      </x:c>
      <x:c r="B200" s="6" t="str">
        <x:v>SVC000199</x:v>
      </x:c>
      <x:c r="C200" s="6" t="str">
        <x:v>iPhone XS Battery Replacement</x:v>
      </x:c>
      <x:c r="D200" s="6" t="str">
        <x:v>Family-Level Compatibility</x:v>
      </x:c>
      <x:c r="E200" s="6" t="str">
        <x:v>PHN</x:v>
      </x:c>
      <x:c r="F200" s="6" t="str">
        <x:v>Device family alone is insufficient for governed relationship.</x:v>
      </x:c>
      <x:c r="G200" s="6" t="str">
        <x:v>Nocturnix_Master_Compatibility_Catalog_v1.xlsx</x:v>
      </x:c>
      <x:c r="H200" s="6" t="str">
        <x:v>01 - Compatibility Records</x:v>
      </x:c>
      <x:c r="I200" s="6" t="n">
        <x:v>239</x:v>
      </x:c>
      <x:c r="J200" s="12" t="str">
        <x:v>Explicit governed evidence supporting relationship</x:v>
      </x:c>
      <x:c r="K200" s="6" t="str">
        <x:v>Unresolved</x:v>
      </x:c>
      <x:c r="L200" s="6" t="str">
        <x:v>Yes</x:v>
      </x:c>
      <x:c r="M200" s="6" t="str"/>
      <x:c r="N200" s="6" t="str"/>
      <x:c r="O200" s="12" t="str"/>
    </x:row>
    <x:row r="201">
      <x:c r="A201" s="6" t="str">
        <x:v>UNS000200</x:v>
      </x:c>
      <x:c r="B201" s="6" t="str">
        <x:v>SVC000200</x:v>
      </x:c>
      <x:c r="C201" s="6" t="str">
        <x:v>iPhone SE (3RD GEN) Battery Replacement</x:v>
      </x:c>
      <x:c r="D201" s="6" t="str">
        <x:v>Family-Level Compatibility</x:v>
      </x:c>
      <x:c r="E201" s="6" t="str">
        <x:v>PHN</x:v>
      </x:c>
      <x:c r="F201" s="6" t="str">
        <x:v>Device family alone is insufficient for governed relationship.</x:v>
      </x:c>
      <x:c r="G201" s="6" t="str">
        <x:v>Nocturnix_Master_Compatibility_Catalog_v1.xlsx</x:v>
      </x:c>
      <x:c r="H201" s="6" t="str">
        <x:v>01 - Compatibility Records</x:v>
      </x:c>
      <x:c r="I201" s="6" t="n">
        <x:v>240</x:v>
      </x:c>
      <x:c r="J201" s="12" t="str">
        <x:v>Explicit governed evidence supporting relationship</x:v>
      </x:c>
      <x:c r="K201" s="6" t="str">
        <x:v>Unresolved</x:v>
      </x:c>
      <x:c r="L201" s="6" t="str">
        <x:v>Yes</x:v>
      </x:c>
      <x:c r="M201" s="6" t="str"/>
      <x:c r="N201" s="6" t="str"/>
      <x:c r="O201" s="12" t="str"/>
    </x:row>
    <x:row r="202">
      <x:c r="A202" s="6" t="str">
        <x:v>UNS000201</x:v>
      </x:c>
      <x:c r="B202" s="6" t="str">
        <x:v>SVC000201</x:v>
      </x:c>
      <x:c r="C202" s="6" t="str">
        <x:v>iPhone SE (2ND GEN) Battery Replacement</x:v>
      </x:c>
      <x:c r="D202" s="6" t="str">
        <x:v>Family-Level Compatibility</x:v>
      </x:c>
      <x:c r="E202" s="6" t="str">
        <x:v>PHN</x:v>
      </x:c>
      <x:c r="F202" s="6" t="str">
        <x:v>Device family alone is insufficient for governed relationship.</x:v>
      </x:c>
      <x:c r="G202" s="6" t="str">
        <x:v>Nocturnix_Master_Compatibility_Catalog_v1.xlsx</x:v>
      </x:c>
      <x:c r="H202" s="6" t="str">
        <x:v>01 - Compatibility Records</x:v>
      </x:c>
      <x:c r="I202" s="6" t="n">
        <x:v>241</x:v>
      </x:c>
      <x:c r="J202" s="12" t="str">
        <x:v>Explicit governed evidence supporting relationship</x:v>
      </x:c>
      <x:c r="K202" s="6" t="str">
        <x:v>Unresolved</x:v>
      </x:c>
      <x:c r="L202" s="6" t="str">
        <x:v>Yes</x:v>
      </x:c>
      <x:c r="M202" s="6" t="str"/>
      <x:c r="N202" s="6" t="str"/>
      <x:c r="O202" s="12" t="str"/>
    </x:row>
    <x:row r="203">
      <x:c r="A203" s="6" t="str">
        <x:v>UNS000202</x:v>
      </x:c>
      <x:c r="B203" s="6" t="str">
        <x:v>SVC000202</x:v>
      </x:c>
      <x:c r="C203" s="6" t="str">
        <x:v>iPhone 7 Battery Replacement</x:v>
      </x:c>
      <x:c r="D203" s="6" t="str">
        <x:v>Family-Level Compatibility</x:v>
      </x:c>
      <x:c r="E203" s="6" t="str">
        <x:v>PHN</x:v>
      </x:c>
      <x:c r="F203" s="6" t="str">
        <x:v>Device family alone is insufficient for governed relationship.</x:v>
      </x:c>
      <x:c r="G203" s="6" t="str">
        <x:v>Nocturnix_Master_Compatibility_Catalog_v1.xlsx</x:v>
      </x:c>
      <x:c r="H203" s="6" t="str">
        <x:v>01 - Compatibility Records</x:v>
      </x:c>
      <x:c r="I203" s="6" t="n">
        <x:v>242</x:v>
      </x:c>
      <x:c r="J203" s="12" t="str">
        <x:v>Explicit governed evidence supporting relationship</x:v>
      </x:c>
      <x:c r="K203" s="6" t="str">
        <x:v>Unresolved</x:v>
      </x:c>
      <x:c r="L203" s="6" t="str">
        <x:v>Yes</x:v>
      </x:c>
      <x:c r="M203" s="6" t="str"/>
      <x:c r="N203" s="6" t="str"/>
      <x:c r="O203" s="12" t="str"/>
    </x:row>
    <x:row r="204">
      <x:c r="A204" s="6" t="str">
        <x:v>UNS000203</x:v>
      </x:c>
      <x:c r="B204" s="6" t="str">
        <x:v>SVC000203</x:v>
      </x:c>
      <x:c r="C204" s="6" t="str">
        <x:v>iPhone 4S Battery Replacement</x:v>
      </x:c>
      <x:c r="D204" s="6" t="str">
        <x:v>Family-Level Compatibility</x:v>
      </x:c>
      <x:c r="E204" s="6" t="str">
        <x:v>PHN</x:v>
      </x:c>
      <x:c r="F204" s="6" t="str">
        <x:v>Device family alone is insufficient for governed relationship.</x:v>
      </x:c>
      <x:c r="G204" s="6" t="str">
        <x:v>Nocturnix_Master_Compatibility_Catalog_v1.xlsx</x:v>
      </x:c>
      <x:c r="H204" s="6" t="str">
        <x:v>01 - Compatibility Records</x:v>
      </x:c>
      <x:c r="I204" s="6" t="n">
        <x:v>243</x:v>
      </x:c>
      <x:c r="J204" s="12" t="str">
        <x:v>Explicit governed evidence supporting relationship</x:v>
      </x:c>
      <x:c r="K204" s="6" t="str">
        <x:v>Unresolved</x:v>
      </x:c>
      <x:c r="L204" s="6" t="str">
        <x:v>Yes</x:v>
      </x:c>
      <x:c r="M204" s="6" t="str"/>
      <x:c r="N204" s="6" t="str"/>
      <x:c r="O204" s="12" t="str"/>
    </x:row>
    <x:row r="205">
      <x:c r="A205" s="6" t="str">
        <x:v>UNS000204</x:v>
      </x:c>
      <x:c r="B205" s="6" t="str">
        <x:v>SVC000204</x:v>
      </x:c>
      <x:c r="C205" s="6" t="str">
        <x:v>iPhone 4S Battery Replacement</x:v>
      </x:c>
      <x:c r="D205" s="6" t="str">
        <x:v>Family-Level Compatibility</x:v>
      </x:c>
      <x:c r="E205" s="6" t="str">
        <x:v>PHN</x:v>
      </x:c>
      <x:c r="F205" s="6" t="str">
        <x:v>Device family alone is insufficient for governed relationship.</x:v>
      </x:c>
      <x:c r="G205" s="6" t="str">
        <x:v>Nocturnix_Master_Compatibility_Catalog_v1.xlsx</x:v>
      </x:c>
      <x:c r="H205" s="6" t="str">
        <x:v>01 - Compatibility Records</x:v>
      </x:c>
      <x:c r="I205" s="6" t="n">
        <x:v>244</x:v>
      </x:c>
      <x:c r="J205" s="12" t="str">
        <x:v>Explicit governed evidence supporting relationship</x:v>
      </x:c>
      <x:c r="K205" s="6" t="str">
        <x:v>Unresolved</x:v>
      </x:c>
      <x:c r="L205" s="6" t="str">
        <x:v>Yes</x:v>
      </x:c>
      <x:c r="M205" s="6" t="str"/>
      <x:c r="N205" s="6" t="str"/>
      <x:c r="O205" s="12" t="str"/>
    </x:row>
    <x:row r="206">
      <x:c r="A206" s="6" t="str">
        <x:v>UNS000205</x:v>
      </x:c>
      <x:c r="B206" s="6" t="str">
        <x:v>SVC000205</x:v>
      </x:c>
      <x:c r="C206" s="6" t="str">
        <x:v>Galaxy S 25 FE Battery Replacement</x:v>
      </x:c>
      <x:c r="D206" s="6" t="str">
        <x:v>Family-Level Compatibility</x:v>
      </x:c>
      <x:c r="E206" s="6" t="str">
        <x:v>PHN</x:v>
      </x:c>
      <x:c r="F206" s="6" t="str">
        <x:v>Device family alone is insufficient for governed relationship.</x:v>
      </x:c>
      <x:c r="G206" s="6" t="str">
        <x:v>Nocturnix_Master_Compatibility_Catalog_v1.xlsx</x:v>
      </x:c>
      <x:c r="H206" s="6" t="str">
        <x:v>01 - Compatibility Records</x:v>
      </x:c>
      <x:c r="I206" s="6" t="n">
        <x:v>245</x:v>
      </x:c>
      <x:c r="J206" s="12" t="str">
        <x:v>Explicit governed evidence supporting relationship</x:v>
      </x:c>
      <x:c r="K206" s="6" t="str">
        <x:v>Unresolved</x:v>
      </x:c>
      <x:c r="L206" s="6" t="str">
        <x:v>Yes</x:v>
      </x:c>
      <x:c r="M206" s="6" t="str"/>
      <x:c r="N206" s="6" t="str"/>
      <x:c r="O206" s="12" t="str"/>
    </x:row>
    <x:row r="207">
      <x:c r="A207" s="6" t="str">
        <x:v>UNS000206</x:v>
      </x:c>
      <x:c r="B207" s="6" t="str">
        <x:v>SVC000206</x:v>
      </x:c>
      <x:c r="C207" s="6" t="str">
        <x:v>iPhone 6 Battery Replacement</x:v>
      </x:c>
      <x:c r="D207" s="6" t="str">
        <x:v>Family-Level Compatibility</x:v>
      </x:c>
      <x:c r="E207" s="6" t="str">
        <x:v>PHN</x:v>
      </x:c>
      <x:c r="F207" s="6" t="str">
        <x:v>Device family alone is insufficient for governed relationship.</x:v>
      </x:c>
      <x:c r="G207" s="6" t="str">
        <x:v>Nocturnix_Master_Compatibility_Catalog_v1.xlsx</x:v>
      </x:c>
      <x:c r="H207" s="6" t="str">
        <x:v>01 - Compatibility Records</x:v>
      </x:c>
      <x:c r="I207" s="6" t="n">
        <x:v>246</x:v>
      </x:c>
      <x:c r="J207" s="12" t="str">
        <x:v>Explicit governed evidence supporting relationship</x:v>
      </x:c>
      <x:c r="K207" s="6" t="str">
        <x:v>Unresolved</x:v>
      </x:c>
      <x:c r="L207" s="6" t="str">
        <x:v>Yes</x:v>
      </x:c>
      <x:c r="M207" s="6" t="str"/>
      <x:c r="N207" s="6" t="str"/>
      <x:c r="O207" s="12" t="str"/>
    </x:row>
    <x:row r="208">
      <x:c r="A208" s="6" t="str">
        <x:v>UNS000207</x:v>
      </x:c>
      <x:c r="B208" s="6" t="str">
        <x:v>SVC000207</x:v>
      </x:c>
      <x:c r="C208" s="6" t="str">
        <x:v>iPhone 6 Battery Replacement</x:v>
      </x:c>
      <x:c r="D208" s="6" t="str">
        <x:v>Family-Level Compatibility</x:v>
      </x:c>
      <x:c r="E208" s="6" t="str">
        <x:v>PHN</x:v>
      </x:c>
      <x:c r="F208" s="6" t="str">
        <x:v>Device family alone is insufficient for governed relationship.</x:v>
      </x:c>
      <x:c r="G208" s="6" t="str">
        <x:v>Nocturnix_Master_Compatibility_Catalog_v1.xlsx</x:v>
      </x:c>
      <x:c r="H208" s="6" t="str">
        <x:v>01 - Compatibility Records</x:v>
      </x:c>
      <x:c r="I208" s="6" t="n">
        <x:v>247</x:v>
      </x:c>
      <x:c r="J208" s="12" t="str">
        <x:v>Explicit governed evidence supporting relationship</x:v>
      </x:c>
      <x:c r="K208" s="6" t="str">
        <x:v>Unresolved</x:v>
      </x:c>
      <x:c r="L208" s="6" t="str">
        <x:v>Yes</x:v>
      </x:c>
      <x:c r="M208" s="6" t="str"/>
      <x:c r="N208" s="6" t="str"/>
      <x:c r="O208" s="12" t="str"/>
    </x:row>
    <x:row r="209">
      <x:c r="A209" s="6" t="str">
        <x:v>UNS000208</x:v>
      </x:c>
      <x:c r="B209" s="6" t="str">
        <x:v>SVC000208</x:v>
      </x:c>
      <x:c r="C209" s="6" t="str">
        <x:v>Galaxy Note 8 Battery Replacement</x:v>
      </x:c>
      <x:c r="D209" s="6" t="str">
        <x:v>Family-Level Compatibility</x:v>
      </x:c>
      <x:c r="E209" s="6" t="str">
        <x:v>PHN</x:v>
      </x:c>
      <x:c r="F209" s="6" t="str">
        <x:v>Device family alone is insufficient for governed relationship.</x:v>
      </x:c>
      <x:c r="G209" s="6" t="str">
        <x:v>Nocturnix_Master_Compatibility_Catalog_v1.xlsx</x:v>
      </x:c>
      <x:c r="H209" s="6" t="str">
        <x:v>01 - Compatibility Records</x:v>
      </x:c>
      <x:c r="I209" s="6" t="n">
        <x:v>248</x:v>
      </x:c>
      <x:c r="J209" s="12" t="str">
        <x:v>Explicit governed evidence supporting relationship</x:v>
      </x:c>
      <x:c r="K209" s="6" t="str">
        <x:v>Unresolved</x:v>
      </x:c>
      <x:c r="L209" s="6" t="str">
        <x:v>Yes</x:v>
      </x:c>
      <x:c r="M209" s="6" t="str"/>
      <x:c r="N209" s="6" t="str"/>
      <x:c r="O209" s="12" t="str"/>
    </x:row>
    <x:row r="210">
      <x:c r="A210" s="6" t="str">
        <x:v>UNS000209</x:v>
      </x:c>
      <x:c r="B210" s="6" t="str">
        <x:v>SVC000209</x:v>
      </x:c>
      <x:c r="C210" s="6" t="str">
        <x:v>Galaxy S 22 Battery Replacement</x:v>
      </x:c>
      <x:c r="D210" s="6" t="str">
        <x:v>Family-Level Compatibility</x:v>
      </x:c>
      <x:c r="E210" s="6" t="str">
        <x:v>PHN</x:v>
      </x:c>
      <x:c r="F210" s="6" t="str">
        <x:v>Device family alone is insufficient for governed relationship.</x:v>
      </x:c>
      <x:c r="G210" s="6" t="str">
        <x:v>Nocturnix_Master_Compatibility_Catalog_v1.xlsx</x:v>
      </x:c>
      <x:c r="H210" s="6" t="str">
        <x:v>01 - Compatibility Records</x:v>
      </x:c>
      <x:c r="I210" s="6" t="n">
        <x:v>249</x:v>
      </x:c>
      <x:c r="J210" s="12" t="str">
        <x:v>Explicit governed evidence supporting relationship</x:v>
      </x:c>
      <x:c r="K210" s="6" t="str">
        <x:v>Unresolved</x:v>
      </x:c>
      <x:c r="L210" s="6" t="str">
        <x:v>Yes</x:v>
      </x:c>
      <x:c r="M210" s="6" t="str"/>
      <x:c r="N210" s="6" t="str"/>
      <x:c r="O210" s="12" t="str"/>
    </x:row>
    <x:row r="211">
      <x:c r="A211" s="6" t="str">
        <x:v>UNS000210</x:v>
      </x:c>
      <x:c r="B211" s="6" t="str">
        <x:v>SVC000210</x:v>
      </x:c>
      <x:c r="C211" s="6" t="str">
        <x:v>iPhone 3G Battery Replacement</x:v>
      </x:c>
      <x:c r="D211" s="6" t="str">
        <x:v>Family-Level Compatibility</x:v>
      </x:c>
      <x:c r="E211" s="6" t="str">
        <x:v>PHN</x:v>
      </x:c>
      <x:c r="F211" s="6" t="str">
        <x:v>Device family alone is insufficient for governed relationship.</x:v>
      </x:c>
      <x:c r="G211" s="6" t="str">
        <x:v>Nocturnix_Master_Compatibility_Catalog_v1.xlsx</x:v>
      </x:c>
      <x:c r="H211" s="6" t="str">
        <x:v>01 - Compatibility Records</x:v>
      </x:c>
      <x:c r="I211" s="6" t="n">
        <x:v>250</x:v>
      </x:c>
      <x:c r="J211" s="12" t="str">
        <x:v>Explicit governed evidence supporting relationship</x:v>
      </x:c>
      <x:c r="K211" s="6" t="str">
        <x:v>Unresolved</x:v>
      </x:c>
      <x:c r="L211" s="6" t="str">
        <x:v>Yes</x:v>
      </x:c>
      <x:c r="M211" s="6" t="str"/>
      <x:c r="N211" s="6" t="str"/>
      <x:c r="O211" s="12" t="str"/>
    </x:row>
    <x:row r="212">
      <x:c r="A212" s="6" t="str">
        <x:v>UNS000211</x:v>
      </x:c>
      <x:c r="B212" s="6" t="str">
        <x:v>SVC000211</x:v>
      </x:c>
      <x:c r="C212" s="6" t="str">
        <x:v>iPhone 11 Battery Replacement</x:v>
      </x:c>
      <x:c r="D212" s="6" t="str">
        <x:v>Family-Level Compatibility</x:v>
      </x:c>
      <x:c r="E212" s="6" t="str">
        <x:v>PHN</x:v>
      </x:c>
      <x:c r="F212" s="6" t="str">
        <x:v>Device family alone is insufficient for governed relationship.</x:v>
      </x:c>
      <x:c r="G212" s="6" t="str">
        <x:v>Nocturnix_Master_Compatibility_Catalog_v1.xlsx</x:v>
      </x:c>
      <x:c r="H212" s="6" t="str">
        <x:v>01 - Compatibility Records</x:v>
      </x:c>
      <x:c r="I212" s="6" t="n">
        <x:v>251</x:v>
      </x:c>
      <x:c r="J212" s="12" t="str">
        <x:v>Explicit governed evidence supporting relationship</x:v>
      </x:c>
      <x:c r="K212" s="6" t="str">
        <x:v>Unresolved</x:v>
      </x:c>
      <x:c r="L212" s="6" t="str">
        <x:v>Yes</x:v>
      </x:c>
      <x:c r="M212" s="6" t="str"/>
      <x:c r="N212" s="6" t="str"/>
      <x:c r="O212" s="12" t="str"/>
    </x:row>
    <x:row r="213">
      <x:c r="A213" s="6" t="str">
        <x:v>UNS000212</x:v>
      </x:c>
      <x:c r="B213" s="6" t="str">
        <x:v>SVC000212</x:v>
      </x:c>
      <x:c r="C213" s="6" t="str">
        <x:v>iPhone 11 Pro Battery Replacement</x:v>
      </x:c>
      <x:c r="D213" s="6" t="str">
        <x:v>Family-Level Compatibility</x:v>
      </x:c>
      <x:c r="E213" s="6" t="str">
        <x:v>PHN</x:v>
      </x:c>
      <x:c r="F213" s="6" t="str">
        <x:v>Device family alone is insufficient for governed relationship.</x:v>
      </x:c>
      <x:c r="G213" s="6" t="str">
        <x:v>Nocturnix_Master_Compatibility_Catalog_v1.xlsx</x:v>
      </x:c>
      <x:c r="H213" s="6" t="str">
        <x:v>01 - Compatibility Records</x:v>
      </x:c>
      <x:c r="I213" s="6" t="n">
        <x:v>252</x:v>
      </x:c>
      <x:c r="J213" s="12" t="str">
        <x:v>Explicit governed evidence supporting relationship</x:v>
      </x:c>
      <x:c r="K213" s="6" t="str">
        <x:v>Unresolved</x:v>
      </x:c>
      <x:c r="L213" s="6" t="str">
        <x:v>Yes</x:v>
      </x:c>
      <x:c r="M213" s="6" t="str"/>
      <x:c r="N213" s="6" t="str"/>
      <x:c r="O213" s="12" t="str"/>
    </x:row>
    <x:row r="214">
      <x:c r="A214" s="6" t="str">
        <x:v>UNS000213</x:v>
      </x:c>
      <x:c r="B214" s="6" t="str">
        <x:v>SVC000213</x:v>
      </x:c>
      <x:c r="C214" s="6" t="str">
        <x:v>iPhone 11 Pro Max Battery Replacement</x:v>
      </x:c>
      <x:c r="D214" s="6" t="str">
        <x:v>Family-Level Compatibility</x:v>
      </x:c>
      <x:c r="E214" s="6" t="str">
        <x:v>PHN</x:v>
      </x:c>
      <x:c r="F214" s="6" t="str">
        <x:v>Device family alone is insufficient for governed relationship.</x:v>
      </x:c>
      <x:c r="G214" s="6" t="str">
        <x:v>Nocturnix_Master_Compatibility_Catalog_v1.xlsx</x:v>
      </x:c>
      <x:c r="H214" s="6" t="str">
        <x:v>01 - Compatibility Records</x:v>
      </x:c>
      <x:c r="I214" s="6" t="n">
        <x:v>253</x:v>
      </x:c>
      <x:c r="J214" s="12" t="str">
        <x:v>Explicit governed evidence supporting relationship</x:v>
      </x:c>
      <x:c r="K214" s="6" t="str">
        <x:v>Unresolved</x:v>
      </x:c>
      <x:c r="L214" s="6" t="str">
        <x:v>Yes</x:v>
      </x:c>
      <x:c r="M214" s="6" t="str"/>
      <x:c r="N214" s="6" t="str"/>
      <x:c r="O214" s="12" t="str"/>
    </x:row>
    <x:row r="215">
      <x:c r="A215" s="6" t="str">
        <x:v>UNS000214</x:v>
      </x:c>
      <x:c r="B215" s="6" t="str">
        <x:v>SVC000214</x:v>
      </x:c>
      <x:c r="C215" s="6" t="str">
        <x:v>iPhone Charge Port Replacement</x:v>
      </x:c>
      <x:c r="D215" s="6" t="str">
        <x:v>Family-Level Compatibility</x:v>
      </x:c>
      <x:c r="E215" s="6" t="str">
        <x:v>PHN</x:v>
      </x:c>
      <x:c r="F215" s="6" t="str">
        <x:v>Device family alone is insufficient for governed relationship.</x:v>
      </x:c>
      <x:c r="G215" s="6" t="str">
        <x:v>Nocturnix_Master_Compatibility_Catalog_v1.xlsx</x:v>
      </x:c>
      <x:c r="H215" s="6" t="str">
        <x:v>01 - Compatibility Records</x:v>
      </x:c>
      <x:c r="I215" s="6" t="n">
        <x:v>254</x:v>
      </x:c>
      <x:c r="J215" s="12" t="str">
        <x:v>Explicit governed evidence supporting relationship</x:v>
      </x:c>
      <x:c r="K215" s="6" t="str">
        <x:v>Unresolved</x:v>
      </x:c>
      <x:c r="L215" s="6" t="str">
        <x:v>Yes</x:v>
      </x:c>
      <x:c r="M215" s="6" t="str"/>
      <x:c r="N215" s="6" t="str"/>
      <x:c r="O215" s="12" t="str"/>
    </x:row>
    <x:row r="216">
      <x:c r="A216" s="6" t="str">
        <x:v>UNS000215</x:v>
      </x:c>
      <x:c r="B216" s="6" t="str">
        <x:v>SVC000215</x:v>
      </x:c>
      <x:c r="C216" s="6" t="str">
        <x:v>iPhone 3G Charge Port Replacement</x:v>
      </x:c>
      <x:c r="D216" s="6" t="str">
        <x:v>Family-Level Compatibility</x:v>
      </x:c>
      <x:c r="E216" s="6" t="str">
        <x:v>PHN</x:v>
      </x:c>
      <x:c r="F216" s="6" t="str">
        <x:v>Device family alone is insufficient for governed relationship.</x:v>
      </x:c>
      <x:c r="G216" s="6" t="str">
        <x:v>Nocturnix_Master_Compatibility_Catalog_v1.xlsx</x:v>
      </x:c>
      <x:c r="H216" s="6" t="str">
        <x:v>01 - Compatibility Records</x:v>
      </x:c>
      <x:c r="I216" s="6" t="n">
        <x:v>255</x:v>
      </x:c>
      <x:c r="J216" s="12" t="str">
        <x:v>Explicit governed evidence supporting relationship</x:v>
      </x:c>
      <x:c r="K216" s="6" t="str">
        <x:v>Unresolved</x:v>
      </x:c>
      <x:c r="L216" s="6" t="str">
        <x:v>Yes</x:v>
      </x:c>
      <x:c r="M216" s="6" t="str"/>
      <x:c r="N216" s="6" t="str"/>
      <x:c r="O216" s="12" t="str"/>
    </x:row>
    <x:row r="217">
      <x:c r="A217" s="6" t="str">
        <x:v>UNS000216</x:v>
      </x:c>
      <x:c r="B217" s="6" t="str">
        <x:v>SVC000216</x:v>
      </x:c>
      <x:c r="C217" s="6" t="str">
        <x:v>iPhone 3GS Charge Port Replacement</x:v>
      </x:c>
      <x:c r="D217" s="6" t="str">
        <x:v>Family-Level Compatibility</x:v>
      </x:c>
      <x:c r="E217" s="6" t="str">
        <x:v>PHN</x:v>
      </x:c>
      <x:c r="F217" s="6" t="str">
        <x:v>Device family alone is insufficient for governed relationship.</x:v>
      </x:c>
      <x:c r="G217" s="6" t="str">
        <x:v>Nocturnix_Master_Compatibility_Catalog_v1.xlsx</x:v>
      </x:c>
      <x:c r="H217" s="6" t="str">
        <x:v>01 - Compatibility Records</x:v>
      </x:c>
      <x:c r="I217" s="6" t="n">
        <x:v>256</x:v>
      </x:c>
      <x:c r="J217" s="12" t="str">
        <x:v>Explicit governed evidence supporting relationship</x:v>
      </x:c>
      <x:c r="K217" s="6" t="str">
        <x:v>Unresolved</x:v>
      </x:c>
      <x:c r="L217" s="6" t="str">
        <x:v>Yes</x:v>
      </x:c>
      <x:c r="M217" s="6" t="str"/>
      <x:c r="N217" s="6" t="str"/>
      <x:c r="O217" s="12" t="str"/>
    </x:row>
    <x:row r="218">
      <x:c r="A218" s="6" t="str">
        <x:v>UNS000217</x:v>
      </x:c>
      <x:c r="B218" s="6" t="str">
        <x:v>SVC000217</x:v>
      </x:c>
      <x:c r="C218" s="6" t="str">
        <x:v>iPhone 4S Charge Port Replacement</x:v>
      </x:c>
      <x:c r="D218" s="6" t="str">
        <x:v>Family-Level Compatibility</x:v>
      </x:c>
      <x:c r="E218" s="6" t="str">
        <x:v>PHN</x:v>
      </x:c>
      <x:c r="F218" s="6" t="str">
        <x:v>Device family alone is insufficient for governed relationship.</x:v>
      </x:c>
      <x:c r="G218" s="6" t="str">
        <x:v>Nocturnix_Master_Compatibility_Catalog_v1.xlsx</x:v>
      </x:c>
      <x:c r="H218" s="6" t="str">
        <x:v>01 - Compatibility Records</x:v>
      </x:c>
      <x:c r="I218" s="6" t="n">
        <x:v>257</x:v>
      </x:c>
      <x:c r="J218" s="12" t="str">
        <x:v>Explicit governed evidence supporting relationship</x:v>
      </x:c>
      <x:c r="K218" s="6" t="str">
        <x:v>Unresolved</x:v>
      </x:c>
      <x:c r="L218" s="6" t="str">
        <x:v>Yes</x:v>
      </x:c>
      <x:c r="M218" s="6" t="str"/>
      <x:c r="N218" s="6" t="str"/>
      <x:c r="O218" s="12" t="str"/>
    </x:row>
    <x:row r="219">
      <x:c r="A219" s="6" t="str">
        <x:v>UNS000218</x:v>
      </x:c>
      <x:c r="B219" s="6" t="str">
        <x:v>SVC000218</x:v>
      </x:c>
      <x:c r="C219" s="6" t="str">
        <x:v>iPhone 4S Charge Port Replacement</x:v>
      </x:c>
      <x:c r="D219" s="6" t="str">
        <x:v>Family-Level Compatibility</x:v>
      </x:c>
      <x:c r="E219" s="6" t="str">
        <x:v>PHN</x:v>
      </x:c>
      <x:c r="F219" s="6" t="str">
        <x:v>Device family alone is insufficient for governed relationship.</x:v>
      </x:c>
      <x:c r="G219" s="6" t="str">
        <x:v>Nocturnix_Master_Compatibility_Catalog_v1.xlsx</x:v>
      </x:c>
      <x:c r="H219" s="6" t="str">
        <x:v>01 - Compatibility Records</x:v>
      </x:c>
      <x:c r="I219" s="6" t="n">
        <x:v>258</x:v>
      </x:c>
      <x:c r="J219" s="12" t="str">
        <x:v>Explicit governed evidence supporting relationship</x:v>
      </x:c>
      <x:c r="K219" s="6" t="str">
        <x:v>Unresolved</x:v>
      </x:c>
      <x:c r="L219" s="6" t="str">
        <x:v>Yes</x:v>
      </x:c>
      <x:c r="M219" s="6" t="str"/>
      <x:c r="N219" s="6" t="str"/>
      <x:c r="O219" s="12" t="str"/>
    </x:row>
    <x:row r="220">
      <x:c r="A220" s="6" t="str">
        <x:v>UNS000219</x:v>
      </x:c>
      <x:c r="B220" s="6" t="str">
        <x:v>SVC000219</x:v>
      </x:c>
      <x:c r="C220" s="6" t="str">
        <x:v>iPhone 4S Charge Port Replacement</x:v>
      </x:c>
      <x:c r="D220" s="6" t="str">
        <x:v>Family-Level Compatibility</x:v>
      </x:c>
      <x:c r="E220" s="6" t="str">
        <x:v>PHN</x:v>
      </x:c>
      <x:c r="F220" s="6" t="str">
        <x:v>Device family alone is insufficient for governed relationship.</x:v>
      </x:c>
      <x:c r="G220" s="6" t="str">
        <x:v>Nocturnix_Master_Compatibility_Catalog_v1.xlsx</x:v>
      </x:c>
      <x:c r="H220" s="6" t="str">
        <x:v>01 - Compatibility Records</x:v>
      </x:c>
      <x:c r="I220" s="6" t="n">
        <x:v>259</x:v>
      </x:c>
      <x:c r="J220" s="12" t="str">
        <x:v>Explicit governed evidence supporting relationship</x:v>
      </x:c>
      <x:c r="K220" s="6" t="str">
        <x:v>Unresolved</x:v>
      </x:c>
      <x:c r="L220" s="6" t="str">
        <x:v>Yes</x:v>
      </x:c>
      <x:c r="M220" s="6" t="str"/>
      <x:c r="N220" s="6" t="str"/>
      <x:c r="O220" s="12" t="str"/>
    </x:row>
    <x:row r="221">
      <x:c r="A221" s="6" t="str">
        <x:v>UNS000220</x:v>
      </x:c>
      <x:c r="B221" s="6" t="str">
        <x:v>SVC000220</x:v>
      </x:c>
      <x:c r="C221" s="6" t="str">
        <x:v>iPhone 5 Charge Port Replacement</x:v>
      </x:c>
      <x:c r="D221" s="6" t="str">
        <x:v>Family-Level Compatibility</x:v>
      </x:c>
      <x:c r="E221" s="6" t="str">
        <x:v>PHN</x:v>
      </x:c>
      <x:c r="F221" s="6" t="str">
        <x:v>Device family alone is insufficient for governed relationship.</x:v>
      </x:c>
      <x:c r="G221" s="6" t="str">
        <x:v>Nocturnix_Master_Compatibility_Catalog_v1.xlsx</x:v>
      </x:c>
      <x:c r="H221" s="6" t="str">
        <x:v>01 - Compatibility Records</x:v>
      </x:c>
      <x:c r="I221" s="6" t="n">
        <x:v>260</x:v>
      </x:c>
      <x:c r="J221" s="12" t="str">
        <x:v>Explicit governed evidence supporting relationship</x:v>
      </x:c>
      <x:c r="K221" s="6" t="str">
        <x:v>Unresolved</x:v>
      </x:c>
      <x:c r="L221" s="6" t="str">
        <x:v>Yes</x:v>
      </x:c>
      <x:c r="M221" s="6" t="str"/>
      <x:c r="N221" s="6" t="str"/>
      <x:c r="O221" s="12" t="str"/>
    </x:row>
    <x:row r="222">
      <x:c r="A222" s="6" t="str">
        <x:v>UNS000221</x:v>
      </x:c>
      <x:c r="B222" s="6" t="str">
        <x:v>SVC000221</x:v>
      </x:c>
      <x:c r="C222" s="6" t="str">
        <x:v>iPhone 5C Charge Port Replacement</x:v>
      </x:c>
      <x:c r="D222" s="6" t="str">
        <x:v>Family-Level Compatibility</x:v>
      </x:c>
      <x:c r="E222" s="6" t="str">
        <x:v>PHN</x:v>
      </x:c>
      <x:c r="F222" s="6" t="str">
        <x:v>Device family alone is insufficient for governed relationship.</x:v>
      </x:c>
      <x:c r="G222" s="6" t="str">
        <x:v>Nocturnix_Master_Compatibility_Catalog_v1.xlsx</x:v>
      </x:c>
      <x:c r="H222" s="6" t="str">
        <x:v>01 - Compatibility Records</x:v>
      </x:c>
      <x:c r="I222" s="6" t="n">
        <x:v>261</x:v>
      </x:c>
      <x:c r="J222" s="12" t="str">
        <x:v>Explicit governed evidence supporting relationship</x:v>
      </x:c>
      <x:c r="K222" s="6" t="str">
        <x:v>Unresolved</x:v>
      </x:c>
      <x:c r="L222" s="6" t="str">
        <x:v>Yes</x:v>
      </x:c>
      <x:c r="M222" s="6" t="str"/>
      <x:c r="N222" s="6" t="str"/>
      <x:c r="O222" s="12" t="str"/>
    </x:row>
    <x:row r="223">
      <x:c r="A223" s="6" t="str">
        <x:v>UNS000222</x:v>
      </x:c>
      <x:c r="B223" s="6" t="str">
        <x:v>SVC000222</x:v>
      </x:c>
      <x:c r="C223" s="6" t="str">
        <x:v>iPhone 5S Charge Port Replacement</x:v>
      </x:c>
      <x:c r="D223" s="6" t="str">
        <x:v>Family-Level Compatibility</x:v>
      </x:c>
      <x:c r="E223" s="6" t="str">
        <x:v>PHN</x:v>
      </x:c>
      <x:c r="F223" s="6" t="str">
        <x:v>Device family alone is insufficient for governed relationship.</x:v>
      </x:c>
      <x:c r="G223" s="6" t="str">
        <x:v>Nocturnix_Master_Compatibility_Catalog_v1.xlsx</x:v>
      </x:c>
      <x:c r="H223" s="6" t="str">
        <x:v>01 - Compatibility Records</x:v>
      </x:c>
      <x:c r="I223" s="6" t="n">
        <x:v>262</x:v>
      </x:c>
      <x:c r="J223" s="12" t="str">
        <x:v>Explicit governed evidence supporting relationship</x:v>
      </x:c>
      <x:c r="K223" s="6" t="str">
        <x:v>Unresolved</x:v>
      </x:c>
      <x:c r="L223" s="6" t="str">
        <x:v>Yes</x:v>
      </x:c>
      <x:c r="M223" s="6" t="str"/>
      <x:c r="N223" s="6" t="str"/>
      <x:c r="O223" s="12" t="str"/>
    </x:row>
    <x:row r="224">
      <x:c r="A224" s="6" t="str">
        <x:v>UNS000223</x:v>
      </x:c>
      <x:c r="B224" s="6" t="str">
        <x:v>SVC000223</x:v>
      </x:c>
      <x:c r="C224" s="6" t="str">
        <x:v>iPhone 6 Charge Port Replacement</x:v>
      </x:c>
      <x:c r="D224" s="6" t="str">
        <x:v>Family-Level Compatibility</x:v>
      </x:c>
      <x:c r="E224" s="6" t="str">
        <x:v>PHN</x:v>
      </x:c>
      <x:c r="F224" s="6" t="str">
        <x:v>Device family alone is insufficient for governed relationship.</x:v>
      </x:c>
      <x:c r="G224" s="6" t="str">
        <x:v>Nocturnix_Master_Compatibility_Catalog_v1.xlsx</x:v>
      </x:c>
      <x:c r="H224" s="6" t="str">
        <x:v>01 - Compatibility Records</x:v>
      </x:c>
      <x:c r="I224" s="6" t="n">
        <x:v>263</x:v>
      </x:c>
      <x:c r="J224" s="12" t="str">
        <x:v>Explicit governed evidence supporting relationship</x:v>
      </x:c>
      <x:c r="K224" s="6" t="str">
        <x:v>Unresolved</x:v>
      </x:c>
      <x:c r="L224" s="6" t="str">
        <x:v>Yes</x:v>
      </x:c>
      <x:c r="M224" s="6" t="str"/>
      <x:c r="N224" s="6" t="str"/>
      <x:c r="O224" s="12" t="str"/>
    </x:row>
    <x:row r="225">
      <x:c r="A225" s="6" t="str">
        <x:v>UNS000224</x:v>
      </x:c>
      <x:c r="B225" s="6" t="str">
        <x:v>SVC000224</x:v>
      </x:c>
      <x:c r="C225" s="6" t="str">
        <x:v>iPhone 6+ Charge Port Replacement</x:v>
      </x:c>
      <x:c r="D225" s="6" t="str">
        <x:v>Family-Level Compatibility</x:v>
      </x:c>
      <x:c r="E225" s="6" t="str">
        <x:v>PHN</x:v>
      </x:c>
      <x:c r="F225" s="6" t="str">
        <x:v>Device family alone is insufficient for governed relationship.</x:v>
      </x:c>
      <x:c r="G225" s="6" t="str">
        <x:v>Nocturnix_Master_Compatibility_Catalog_v1.xlsx</x:v>
      </x:c>
      <x:c r="H225" s="6" t="str">
        <x:v>01 - Compatibility Records</x:v>
      </x:c>
      <x:c r="I225" s="6" t="n">
        <x:v>264</x:v>
      </x:c>
      <x:c r="J225" s="12" t="str">
        <x:v>Explicit governed evidence supporting relationship</x:v>
      </x:c>
      <x:c r="K225" s="6" t="str">
        <x:v>Unresolved</x:v>
      </x:c>
      <x:c r="L225" s="6" t="str">
        <x:v>Yes</x:v>
      </x:c>
      <x:c r="M225" s="6" t="str"/>
      <x:c r="N225" s="6" t="str"/>
      <x:c r="O225" s="12" t="str"/>
    </x:row>
    <x:row r="226">
      <x:c r="A226" s="6" t="str">
        <x:v>UNS000225</x:v>
      </x:c>
      <x:c r="B226" s="6" t="str">
        <x:v>SVC000225</x:v>
      </x:c>
      <x:c r="C226" s="6" t="str">
        <x:v>iPhone 6S Charge Port Replacement</x:v>
      </x:c>
      <x:c r="D226" s="6" t="str">
        <x:v>Family-Level Compatibility</x:v>
      </x:c>
      <x:c r="E226" s="6" t="str">
        <x:v>PHN</x:v>
      </x:c>
      <x:c r="F226" s="6" t="str">
        <x:v>Device family alone is insufficient for governed relationship.</x:v>
      </x:c>
      <x:c r="G226" s="6" t="str">
        <x:v>Nocturnix_Master_Compatibility_Catalog_v1.xlsx</x:v>
      </x:c>
      <x:c r="H226" s="6" t="str">
        <x:v>01 - Compatibility Records</x:v>
      </x:c>
      <x:c r="I226" s="6" t="n">
        <x:v>265</x:v>
      </x:c>
      <x:c r="J226" s="12" t="str">
        <x:v>Explicit governed evidence supporting relationship</x:v>
      </x:c>
      <x:c r="K226" s="6" t="str">
        <x:v>Unresolved</x:v>
      </x:c>
      <x:c r="L226" s="6" t="str">
        <x:v>Yes</x:v>
      </x:c>
      <x:c r="M226" s="6" t="str"/>
      <x:c r="N226" s="6" t="str"/>
      <x:c r="O226" s="12" t="str"/>
    </x:row>
    <x:row r="227">
      <x:c r="A227" s="6" t="str">
        <x:v>UNS000226</x:v>
      </x:c>
      <x:c r="B227" s="6" t="str">
        <x:v>SVC000226</x:v>
      </x:c>
      <x:c r="C227" s="6" t="str">
        <x:v>iPhone 6S+ Charge Port Replacement</x:v>
      </x:c>
      <x:c r="D227" s="6" t="str">
        <x:v>Family-Level Compatibility</x:v>
      </x:c>
      <x:c r="E227" s="6" t="str">
        <x:v>PHN</x:v>
      </x:c>
      <x:c r="F227" s="6" t="str">
        <x:v>Device family alone is insufficient for governed relationship.</x:v>
      </x:c>
      <x:c r="G227" s="6" t="str">
        <x:v>Nocturnix_Master_Compatibility_Catalog_v1.xlsx</x:v>
      </x:c>
      <x:c r="H227" s="6" t="str">
        <x:v>01 - Compatibility Records</x:v>
      </x:c>
      <x:c r="I227" s="6" t="n">
        <x:v>266</x:v>
      </x:c>
      <x:c r="J227" s="12" t="str">
        <x:v>Explicit governed evidence supporting relationship</x:v>
      </x:c>
      <x:c r="K227" s="6" t="str">
        <x:v>Unresolved</x:v>
      </x:c>
      <x:c r="L227" s="6" t="str">
        <x:v>Yes</x:v>
      </x:c>
      <x:c r="M227" s="6" t="str"/>
      <x:c r="N227" s="6" t="str"/>
      <x:c r="O227" s="12" t="str"/>
    </x:row>
    <x:row r="228">
      <x:c r="A228" s="6" t="str">
        <x:v>UNS000227</x:v>
      </x:c>
      <x:c r="B228" s="6" t="str">
        <x:v>SVC000227</x:v>
      </x:c>
      <x:c r="C228" s="6" t="str">
        <x:v>iPhone 6S+ Charge Port Replacement</x:v>
      </x:c>
      <x:c r="D228" s="6" t="str">
        <x:v>Family-Level Compatibility</x:v>
      </x:c>
      <x:c r="E228" s="6" t="str">
        <x:v>PHN</x:v>
      </x:c>
      <x:c r="F228" s="6" t="str">
        <x:v>Device family alone is insufficient for governed relationship.</x:v>
      </x:c>
      <x:c r="G228" s="6" t="str">
        <x:v>Nocturnix_Master_Compatibility_Catalog_v1.xlsx</x:v>
      </x:c>
      <x:c r="H228" s="6" t="str">
        <x:v>01 - Compatibility Records</x:v>
      </x:c>
      <x:c r="I228" s="6" t="n">
        <x:v>267</x:v>
      </x:c>
      <x:c r="J228" s="12" t="str">
        <x:v>Explicit governed evidence supporting relationship</x:v>
      </x:c>
      <x:c r="K228" s="6" t="str">
        <x:v>Unresolved</x:v>
      </x:c>
      <x:c r="L228" s="6" t="str">
        <x:v>Yes</x:v>
      </x:c>
      <x:c r="M228" s="6" t="str"/>
      <x:c r="N228" s="6" t="str"/>
      <x:c r="O228" s="12" t="str"/>
    </x:row>
    <x:row r="229">
      <x:c r="A229" s="6" t="str">
        <x:v>UNS000228</x:v>
      </x:c>
      <x:c r="B229" s="6" t="str">
        <x:v>SVC000228</x:v>
      </x:c>
      <x:c r="C229" s="6" t="str">
        <x:v>iPhone SE(1ST GEN) Charge Port Replacement</x:v>
      </x:c>
      <x:c r="D229" s="6" t="str">
        <x:v>Family-Level Compatibility</x:v>
      </x:c>
      <x:c r="E229" s="6" t="str">
        <x:v>PHN</x:v>
      </x:c>
      <x:c r="F229" s="6" t="str">
        <x:v>Device family alone is insufficient for governed relationship.</x:v>
      </x:c>
      <x:c r="G229" s="6" t="str">
        <x:v>Nocturnix_Master_Compatibility_Catalog_v1.xlsx</x:v>
      </x:c>
      <x:c r="H229" s="6" t="str">
        <x:v>01 - Compatibility Records</x:v>
      </x:c>
      <x:c r="I229" s="6" t="n">
        <x:v>268</x:v>
      </x:c>
      <x:c r="J229" s="12" t="str">
        <x:v>Explicit governed evidence supporting relationship</x:v>
      </x:c>
      <x:c r="K229" s="6" t="str">
        <x:v>Unresolved</x:v>
      </x:c>
      <x:c r="L229" s="6" t="str">
        <x:v>Yes</x:v>
      </x:c>
      <x:c r="M229" s="6" t="str"/>
      <x:c r="N229" s="6" t="str"/>
      <x:c r="O229" s="12" t="str"/>
    </x:row>
    <x:row r="230">
      <x:c r="A230" s="6" t="str">
        <x:v>UNS000229</x:v>
      </x:c>
      <x:c r="B230" s="6" t="str">
        <x:v>SVC000229</x:v>
      </x:c>
      <x:c r="C230" s="6" t="str">
        <x:v>iPhone 7 Charge Port Replacement</x:v>
      </x:c>
      <x:c r="D230" s="6" t="str">
        <x:v>Family-Level Compatibility</x:v>
      </x:c>
      <x:c r="E230" s="6" t="str">
        <x:v>PHN</x:v>
      </x:c>
      <x:c r="F230" s="6" t="str">
        <x:v>Device family alone is insufficient for governed relationship.</x:v>
      </x:c>
      <x:c r="G230" s="6" t="str">
        <x:v>Nocturnix_Master_Compatibility_Catalog_v1.xlsx</x:v>
      </x:c>
      <x:c r="H230" s="6" t="str">
        <x:v>01 - Compatibility Records</x:v>
      </x:c>
      <x:c r="I230" s="6" t="n">
        <x:v>269</x:v>
      </x:c>
      <x:c r="J230" s="12" t="str">
        <x:v>Explicit governed evidence supporting relationship</x:v>
      </x:c>
      <x:c r="K230" s="6" t="str">
        <x:v>Unresolved</x:v>
      </x:c>
      <x:c r="L230" s="6" t="str">
        <x:v>Yes</x:v>
      </x:c>
      <x:c r="M230" s="6" t="str"/>
      <x:c r="N230" s="6" t="str"/>
      <x:c r="O230" s="12" t="str"/>
    </x:row>
    <x:row r="231">
      <x:c r="A231" s="6" t="str">
        <x:v>UNS000230</x:v>
      </x:c>
      <x:c r="B231" s="6" t="str">
        <x:v>SVC000230</x:v>
      </x:c>
      <x:c r="C231" s="6" t="str">
        <x:v>iPhone 7+ Charge Port Replacement</x:v>
      </x:c>
      <x:c r="D231" s="6" t="str">
        <x:v>Family-Level Compatibility</x:v>
      </x:c>
      <x:c r="E231" s="6" t="str">
        <x:v>PHN</x:v>
      </x:c>
      <x:c r="F231" s="6" t="str">
        <x:v>Device family alone is insufficient for governed relationship.</x:v>
      </x:c>
      <x:c r="G231" s="6" t="str">
        <x:v>Nocturnix_Master_Compatibility_Catalog_v1.xlsx</x:v>
      </x:c>
      <x:c r="H231" s="6" t="str">
        <x:v>01 - Compatibility Records</x:v>
      </x:c>
      <x:c r="I231" s="6" t="n">
        <x:v>270</x:v>
      </x:c>
      <x:c r="J231" s="12" t="str">
        <x:v>Explicit governed evidence supporting relationship</x:v>
      </x:c>
      <x:c r="K231" s="6" t="str">
        <x:v>Unresolved</x:v>
      </x:c>
      <x:c r="L231" s="6" t="str">
        <x:v>Yes</x:v>
      </x:c>
      <x:c r="M231" s="6" t="str"/>
      <x:c r="N231" s="6" t="str"/>
      <x:c r="O231" s="12" t="str"/>
    </x:row>
    <x:row r="232">
      <x:c r="A232" s="6" t="str">
        <x:v>UNS000231</x:v>
      </x:c>
      <x:c r="B232" s="6" t="str">
        <x:v>SVC000231</x:v>
      </x:c>
      <x:c r="C232" s="6" t="str">
        <x:v>iPhone 8 Charge Port Replacement</x:v>
      </x:c>
      <x:c r="D232" s="6" t="str">
        <x:v>Family-Level Compatibility</x:v>
      </x:c>
      <x:c r="E232" s="6" t="str">
        <x:v>PHN</x:v>
      </x:c>
      <x:c r="F232" s="6" t="str">
        <x:v>Device family alone is insufficient for governed relationship.</x:v>
      </x:c>
      <x:c r="G232" s="6" t="str">
        <x:v>Nocturnix_Master_Compatibility_Catalog_v1.xlsx</x:v>
      </x:c>
      <x:c r="H232" s="6" t="str">
        <x:v>01 - Compatibility Records</x:v>
      </x:c>
      <x:c r="I232" s="6" t="n">
        <x:v>271</x:v>
      </x:c>
      <x:c r="J232" s="12" t="str">
        <x:v>Explicit governed evidence supporting relationship</x:v>
      </x:c>
      <x:c r="K232" s="6" t="str">
        <x:v>Unresolved</x:v>
      </x:c>
      <x:c r="L232" s="6" t="str">
        <x:v>Yes</x:v>
      </x:c>
      <x:c r="M232" s="6" t="str"/>
      <x:c r="N232" s="6" t="str"/>
      <x:c r="O232" s="12" t="str"/>
    </x:row>
    <x:row r="233">
      <x:c r="A233" s="6" t="str">
        <x:v>UNS000232</x:v>
      </x:c>
      <x:c r="B233" s="6" t="str">
        <x:v>SVC000232</x:v>
      </x:c>
      <x:c r="C233" s="6" t="str">
        <x:v>iPhone 8+ Charge Port Replacement</x:v>
      </x:c>
      <x:c r="D233" s="6" t="str">
        <x:v>Family-Level Compatibility</x:v>
      </x:c>
      <x:c r="E233" s="6" t="str">
        <x:v>PHN</x:v>
      </x:c>
      <x:c r="F233" s="6" t="str">
        <x:v>Device family alone is insufficient for governed relationship.</x:v>
      </x:c>
      <x:c r="G233" s="6" t="str">
        <x:v>Nocturnix_Master_Compatibility_Catalog_v1.xlsx</x:v>
      </x:c>
      <x:c r="H233" s="6" t="str">
        <x:v>01 - Compatibility Records</x:v>
      </x:c>
      <x:c r="I233" s="6" t="n">
        <x:v>272</x:v>
      </x:c>
      <x:c r="J233" s="12" t="str">
        <x:v>Explicit governed evidence supporting relationship</x:v>
      </x:c>
      <x:c r="K233" s="6" t="str">
        <x:v>Unresolved</x:v>
      </x:c>
      <x:c r="L233" s="6" t="str">
        <x:v>Yes</x:v>
      </x:c>
      <x:c r="M233" s="6" t="str"/>
      <x:c r="N233" s="6" t="str"/>
      <x:c r="O233" s="12" t="str"/>
    </x:row>
    <x:row r="234">
      <x:c r="A234" s="6" t="str">
        <x:v>UNS000233</x:v>
      </x:c>
      <x:c r="B234" s="6" t="str">
        <x:v>SVC000233</x:v>
      </x:c>
      <x:c r="C234" s="6" t="str">
        <x:v>iPhone X Charge Port Replacement</x:v>
      </x:c>
      <x:c r="D234" s="6" t="str">
        <x:v>Family-Level Compatibility</x:v>
      </x:c>
      <x:c r="E234" s="6" t="str">
        <x:v>PHN</x:v>
      </x:c>
      <x:c r="F234" s="6" t="str">
        <x:v>Device family alone is insufficient for governed relationship.</x:v>
      </x:c>
      <x:c r="G234" s="6" t="str">
        <x:v>Nocturnix_Master_Compatibility_Catalog_v1.xlsx</x:v>
      </x:c>
      <x:c r="H234" s="6" t="str">
        <x:v>01 - Compatibility Records</x:v>
      </x:c>
      <x:c r="I234" s="6" t="n">
        <x:v>273</x:v>
      </x:c>
      <x:c r="J234" s="12" t="str">
        <x:v>Explicit governed evidence supporting relationship</x:v>
      </x:c>
      <x:c r="K234" s="6" t="str">
        <x:v>Unresolved</x:v>
      </x:c>
      <x:c r="L234" s="6" t="str">
        <x:v>Yes</x:v>
      </x:c>
      <x:c r="M234" s="6" t="str"/>
      <x:c r="N234" s="6" t="str"/>
      <x:c r="O234" s="12" t="str"/>
    </x:row>
    <x:row r="235">
      <x:c r="A235" s="6" t="str">
        <x:v>UNS000234</x:v>
      </x:c>
      <x:c r="B235" s="6" t="str">
        <x:v>SVC000234</x:v>
      </x:c>
      <x:c r="C235" s="6" t="str">
        <x:v>iPhone XR Charge Port Replacement</x:v>
      </x:c>
      <x:c r="D235" s="6" t="str">
        <x:v>Family-Level Compatibility</x:v>
      </x:c>
      <x:c r="E235" s="6" t="str">
        <x:v>PHN</x:v>
      </x:c>
      <x:c r="F235" s="6" t="str">
        <x:v>Device family alone is insufficient for governed relationship.</x:v>
      </x:c>
      <x:c r="G235" s="6" t="str">
        <x:v>Nocturnix_Master_Compatibility_Catalog_v1.xlsx</x:v>
      </x:c>
      <x:c r="H235" s="6" t="str">
        <x:v>01 - Compatibility Records</x:v>
      </x:c>
      <x:c r="I235" s="6" t="n">
        <x:v>274</x:v>
      </x:c>
      <x:c r="J235" s="12" t="str">
        <x:v>Explicit governed evidence supporting relationship</x:v>
      </x:c>
      <x:c r="K235" s="6" t="str">
        <x:v>Unresolved</x:v>
      </x:c>
      <x:c r="L235" s="6" t="str">
        <x:v>Yes</x:v>
      </x:c>
      <x:c r="M235" s="6" t="str"/>
      <x:c r="N235" s="6" t="str"/>
      <x:c r="O235" s="12" t="str"/>
    </x:row>
    <x:row r="236">
      <x:c r="A236" s="6" t="str">
        <x:v>UNS000235</x:v>
      </x:c>
      <x:c r="B236" s="6" t="str">
        <x:v>SVC000235</x:v>
      </x:c>
      <x:c r="C236" s="6" t="str">
        <x:v>Galaxy S 23 Battery Replacement</x:v>
      </x:c>
      <x:c r="D236" s="6" t="str">
        <x:v>Family-Level Compatibility</x:v>
      </x:c>
      <x:c r="E236" s="6" t="str">
        <x:v>PHN</x:v>
      </x:c>
      <x:c r="F236" s="6" t="str">
        <x:v>Device family alone is insufficient for governed relationship.</x:v>
      </x:c>
      <x:c r="G236" s="6" t="str">
        <x:v>Nocturnix_Master_Compatibility_Catalog_v1.xlsx</x:v>
      </x:c>
      <x:c r="H236" s="6" t="str">
        <x:v>01 - Compatibility Records</x:v>
      </x:c>
      <x:c r="I236" s="6" t="n">
        <x:v>275</x:v>
      </x:c>
      <x:c r="J236" s="12" t="str">
        <x:v>Explicit governed evidence supporting relationship</x:v>
      </x:c>
      <x:c r="K236" s="6" t="str">
        <x:v>Unresolved</x:v>
      </x:c>
      <x:c r="L236" s="6" t="str">
        <x:v>Yes</x:v>
      </x:c>
      <x:c r="M236" s="6" t="str"/>
      <x:c r="N236" s="6" t="str"/>
      <x:c r="O236" s="12" t="str"/>
    </x:row>
    <x:row r="237">
      <x:c r="A237" s="6" t="str">
        <x:v>UNS000236</x:v>
      </x:c>
      <x:c r="B237" s="6" t="str">
        <x:v>SVC000236</x:v>
      </x:c>
      <x:c r="C237" s="6" t="str">
        <x:v>iPhone XS Charge Port Replacement</x:v>
      </x:c>
      <x:c r="D237" s="6" t="str">
        <x:v>Family-Level Compatibility</x:v>
      </x:c>
      <x:c r="E237" s="6" t="str">
        <x:v>PHN</x:v>
      </x:c>
      <x:c r="F237" s="6" t="str">
        <x:v>Device family alone is insufficient for governed relationship.</x:v>
      </x:c>
      <x:c r="G237" s="6" t="str">
        <x:v>Nocturnix_Master_Compatibility_Catalog_v1.xlsx</x:v>
      </x:c>
      <x:c r="H237" s="6" t="str">
        <x:v>01 - Compatibility Records</x:v>
      </x:c>
      <x:c r="I237" s="6" t="n">
        <x:v>276</x:v>
      </x:c>
      <x:c r="J237" s="12" t="str">
        <x:v>Explicit governed evidence supporting relationship</x:v>
      </x:c>
      <x:c r="K237" s="6" t="str">
        <x:v>Unresolved</x:v>
      </x:c>
      <x:c r="L237" s="6" t="str">
        <x:v>Yes</x:v>
      </x:c>
      <x:c r="M237" s="6" t="str"/>
      <x:c r="N237" s="6" t="str"/>
      <x:c r="O237" s="12" t="str"/>
    </x:row>
    <x:row r="238">
      <x:c r="A238" s="6" t="str">
        <x:v>UNS000237</x:v>
      </x:c>
      <x:c r="B238" s="6" t="str">
        <x:v>SVC000237</x:v>
      </x:c>
      <x:c r="C238" s="6" t="str">
        <x:v>iPhone XS Max Charge Port Replacement</x:v>
      </x:c>
      <x:c r="D238" s="6" t="str">
        <x:v>Family-Level Compatibility</x:v>
      </x:c>
      <x:c r="E238" s="6" t="str">
        <x:v>PHN</x:v>
      </x:c>
      <x:c r="F238" s="6" t="str">
        <x:v>Device family alone is insufficient for governed relationship.</x:v>
      </x:c>
      <x:c r="G238" s="6" t="str">
        <x:v>Nocturnix_Master_Compatibility_Catalog_v1.xlsx</x:v>
      </x:c>
      <x:c r="H238" s="6" t="str">
        <x:v>01 - Compatibility Records</x:v>
      </x:c>
      <x:c r="I238" s="6" t="n">
        <x:v>277</x:v>
      </x:c>
      <x:c r="J238" s="12" t="str">
        <x:v>Explicit governed evidence supporting relationship</x:v>
      </x:c>
      <x:c r="K238" s="6" t="str">
        <x:v>Unresolved</x:v>
      </x:c>
      <x:c r="L238" s="6" t="str">
        <x:v>Yes</x:v>
      </x:c>
      <x:c r="M238" s="6" t="str"/>
      <x:c r="N238" s="6" t="str"/>
      <x:c r="O238" s="12" t="str"/>
    </x:row>
    <x:row r="239">
      <x:c r="A239" s="6" t="str">
        <x:v>UNS000238</x:v>
      </x:c>
      <x:c r="B239" s="6" t="str">
        <x:v>SVC000238</x:v>
      </x:c>
      <x:c r="C239" s="6" t="str">
        <x:v>iPhone 11 Charge Port Replacement</x:v>
      </x:c>
      <x:c r="D239" s="6" t="str">
        <x:v>Family-Level Compatibility</x:v>
      </x:c>
      <x:c r="E239" s="6" t="str">
        <x:v>PHN</x:v>
      </x:c>
      <x:c r="F239" s="6" t="str">
        <x:v>Device family alone is insufficient for governed relationship.</x:v>
      </x:c>
      <x:c r="G239" s="6" t="str">
        <x:v>Nocturnix_Master_Compatibility_Catalog_v1.xlsx</x:v>
      </x:c>
      <x:c r="H239" s="6" t="str">
        <x:v>01 - Compatibility Records</x:v>
      </x:c>
      <x:c r="I239" s="6" t="n">
        <x:v>278</x:v>
      </x:c>
      <x:c r="J239" s="12" t="str">
        <x:v>Explicit governed evidence supporting relationship</x:v>
      </x:c>
      <x:c r="K239" s="6" t="str">
        <x:v>Unresolved</x:v>
      </x:c>
      <x:c r="L239" s="6" t="str">
        <x:v>Yes</x:v>
      </x:c>
      <x:c r="M239" s="6" t="str"/>
      <x:c r="N239" s="6" t="str"/>
      <x:c r="O239" s="12" t="str"/>
    </x:row>
    <x:row r="240">
      <x:c r="A240" s="6" t="str">
        <x:v>UNS000239</x:v>
      </x:c>
      <x:c r="B240" s="6" t="str">
        <x:v>SVC000239</x:v>
      </x:c>
      <x:c r="C240" s="6" t="str">
        <x:v>iPhone 11 Pro Charge Port Replacement</x:v>
      </x:c>
      <x:c r="D240" s="6" t="str">
        <x:v>Family-Level Compatibility</x:v>
      </x:c>
      <x:c r="E240" s="6" t="str">
        <x:v>PHN</x:v>
      </x:c>
      <x:c r="F240" s="6" t="str">
        <x:v>Device family alone is insufficient for governed relationship.</x:v>
      </x:c>
      <x:c r="G240" s="6" t="str">
        <x:v>Nocturnix_Master_Compatibility_Catalog_v1.xlsx</x:v>
      </x:c>
      <x:c r="H240" s="6" t="str">
        <x:v>01 - Compatibility Records</x:v>
      </x:c>
      <x:c r="I240" s="6" t="n">
        <x:v>279</x:v>
      </x:c>
      <x:c r="J240" s="12" t="str">
        <x:v>Explicit governed evidence supporting relationship</x:v>
      </x:c>
      <x:c r="K240" s="6" t="str">
        <x:v>Unresolved</x:v>
      </x:c>
      <x:c r="L240" s="6" t="str">
        <x:v>Yes</x:v>
      </x:c>
      <x:c r="M240" s="6" t="str"/>
      <x:c r="N240" s="6" t="str"/>
      <x:c r="O240" s="12" t="str"/>
    </x:row>
    <x:row r="241">
      <x:c r="A241" s="6" t="str">
        <x:v>UNS000240</x:v>
      </x:c>
      <x:c r="B241" s="6" t="str">
        <x:v>SVC000240</x:v>
      </x:c>
      <x:c r="C241" s="6" t="str">
        <x:v>iPhone 11 Pro Max Charge Port Replacement</x:v>
      </x:c>
      <x:c r="D241" s="6" t="str">
        <x:v>Family-Level Compatibility</x:v>
      </x:c>
      <x:c r="E241" s="6" t="str">
        <x:v>PHN</x:v>
      </x:c>
      <x:c r="F241" s="6" t="str">
        <x:v>Device family alone is insufficient for governed relationship.</x:v>
      </x:c>
      <x:c r="G241" s="6" t="str">
        <x:v>Nocturnix_Master_Compatibility_Catalog_v1.xlsx</x:v>
      </x:c>
      <x:c r="H241" s="6" t="str">
        <x:v>01 - Compatibility Records</x:v>
      </x:c>
      <x:c r="I241" s="6" t="n">
        <x:v>280</x:v>
      </x:c>
      <x:c r="J241" s="12" t="str">
        <x:v>Explicit governed evidence supporting relationship</x:v>
      </x:c>
      <x:c r="K241" s="6" t="str">
        <x:v>Unresolved</x:v>
      </x:c>
      <x:c r="L241" s="6" t="str">
        <x:v>Yes</x:v>
      </x:c>
      <x:c r="M241" s="6" t="str"/>
      <x:c r="N241" s="6" t="str"/>
      <x:c r="O241" s="12" t="str"/>
    </x:row>
    <x:row r="242">
      <x:c r="A242" s="6" t="str">
        <x:v>UNS000241</x:v>
      </x:c>
      <x:c r="B242" s="6" t="str">
        <x:v>SVC000241</x:v>
      </x:c>
      <x:c r="C242" s="6" t="str">
        <x:v>iPhone SE (2ND GEN) Charge Port Replacement</x:v>
      </x:c>
      <x:c r="D242" s="6" t="str">
        <x:v>Family-Level Compatibility</x:v>
      </x:c>
      <x:c r="E242" s="6" t="str">
        <x:v>PHN</x:v>
      </x:c>
      <x:c r="F242" s="6" t="str">
        <x:v>Device family alone is insufficient for governed relationship.</x:v>
      </x:c>
      <x:c r="G242" s="6" t="str">
        <x:v>Nocturnix_Master_Compatibility_Catalog_v1.xlsx</x:v>
      </x:c>
      <x:c r="H242" s="6" t="str">
        <x:v>01 - Compatibility Records</x:v>
      </x:c>
      <x:c r="I242" s="6" t="n">
        <x:v>281</x:v>
      </x:c>
      <x:c r="J242" s="12" t="str">
        <x:v>Explicit governed evidence supporting relationship</x:v>
      </x:c>
      <x:c r="K242" s="6" t="str">
        <x:v>Unresolved</x:v>
      </x:c>
      <x:c r="L242" s="6" t="str">
        <x:v>Yes</x:v>
      </x:c>
      <x:c r="M242" s="6" t="str"/>
      <x:c r="N242" s="6" t="str"/>
      <x:c r="O242" s="12" t="str"/>
    </x:row>
    <x:row r="243">
      <x:c r="A243" s="6" t="str">
        <x:v>UNS000242</x:v>
      </x:c>
      <x:c r="B243" s="6" t="str">
        <x:v>SVC000242</x:v>
      </x:c>
      <x:c r="C243" s="6" t="str">
        <x:v>iPhone 12 Charge Port Replacement</x:v>
      </x:c>
      <x:c r="D243" s="6" t="str">
        <x:v>Family-Level Compatibility</x:v>
      </x:c>
      <x:c r="E243" s="6" t="str">
        <x:v>PHN</x:v>
      </x:c>
      <x:c r="F243" s="6" t="str">
        <x:v>Device family alone is insufficient for governed relationship.</x:v>
      </x:c>
      <x:c r="G243" s="6" t="str">
        <x:v>Nocturnix_Master_Compatibility_Catalog_v1.xlsx</x:v>
      </x:c>
      <x:c r="H243" s="6" t="str">
        <x:v>01 - Compatibility Records</x:v>
      </x:c>
      <x:c r="I243" s="6" t="n">
        <x:v>282</x:v>
      </x:c>
      <x:c r="J243" s="12" t="str">
        <x:v>Explicit governed evidence supporting relationship</x:v>
      </x:c>
      <x:c r="K243" s="6" t="str">
        <x:v>Unresolved</x:v>
      </x:c>
      <x:c r="L243" s="6" t="str">
        <x:v>Yes</x:v>
      </x:c>
      <x:c r="M243" s="6" t="str"/>
      <x:c r="N243" s="6" t="str"/>
      <x:c r="O243" s="12" t="str"/>
    </x:row>
    <x:row r="244">
      <x:c r="A244" s="6" t="str">
        <x:v>UNS000243</x:v>
      </x:c>
      <x:c r="B244" s="6" t="str">
        <x:v>SVC000243</x:v>
      </x:c>
      <x:c r="C244" s="6" t="str">
        <x:v>iPhone 12 Mini Charge Port Replacement</x:v>
      </x:c>
      <x:c r="D244" s="6" t="str">
        <x:v>Family-Level Compatibility</x:v>
      </x:c>
      <x:c r="E244" s="6" t="str">
        <x:v>PHN</x:v>
      </x:c>
      <x:c r="F244" s="6" t="str">
        <x:v>Device family alone is insufficient for governed relationship.</x:v>
      </x:c>
      <x:c r="G244" s="6" t="str">
        <x:v>Nocturnix_Master_Compatibility_Catalog_v1.xlsx</x:v>
      </x:c>
      <x:c r="H244" s="6" t="str">
        <x:v>01 - Compatibility Records</x:v>
      </x:c>
      <x:c r="I244" s="6" t="n">
        <x:v>283</x:v>
      </x:c>
      <x:c r="J244" s="12" t="str">
        <x:v>Explicit governed evidence supporting relationship</x:v>
      </x:c>
      <x:c r="K244" s="6" t="str">
        <x:v>Unresolved</x:v>
      </x:c>
      <x:c r="L244" s="6" t="str">
        <x:v>Yes</x:v>
      </x:c>
      <x:c r="M244" s="6" t="str"/>
      <x:c r="N244" s="6" t="str"/>
      <x:c r="O244" s="12" t="str"/>
    </x:row>
    <x:row r="245">
      <x:c r="A245" s="6" t="str">
        <x:v>UNS000244</x:v>
      </x:c>
      <x:c r="B245" s="6" t="str">
        <x:v>SVC000244</x:v>
      </x:c>
      <x:c r="C245" s="6" t="str">
        <x:v>iPhone 12 Pro Charge Port Replacement</x:v>
      </x:c>
      <x:c r="D245" s="6" t="str">
        <x:v>Family-Level Compatibility</x:v>
      </x:c>
      <x:c r="E245" s="6" t="str">
        <x:v>PHN</x:v>
      </x:c>
      <x:c r="F245" s="6" t="str">
        <x:v>Device family alone is insufficient for governed relationship.</x:v>
      </x:c>
      <x:c r="G245" s="6" t="str">
        <x:v>Nocturnix_Master_Compatibility_Catalog_v1.xlsx</x:v>
      </x:c>
      <x:c r="H245" s="6" t="str">
        <x:v>01 - Compatibility Records</x:v>
      </x:c>
      <x:c r="I245" s="6" t="n">
        <x:v>284</x:v>
      </x:c>
      <x:c r="J245" s="12" t="str">
        <x:v>Explicit governed evidence supporting relationship</x:v>
      </x:c>
      <x:c r="K245" s="6" t="str">
        <x:v>Unresolved</x:v>
      </x:c>
      <x:c r="L245" s="6" t="str">
        <x:v>Yes</x:v>
      </x:c>
      <x:c r="M245" s="6" t="str"/>
      <x:c r="N245" s="6" t="str"/>
      <x:c r="O245" s="12" t="str"/>
    </x:row>
    <x:row r="246">
      <x:c r="A246" s="6" t="str">
        <x:v>UNS000245</x:v>
      </x:c>
      <x:c r="B246" s="6" t="str">
        <x:v>SVC000245</x:v>
      </x:c>
      <x:c r="C246" s="6" t="str">
        <x:v>iPhone 12 Pro Max Charge Port Replacement</x:v>
      </x:c>
      <x:c r="D246" s="6" t="str">
        <x:v>Family-Level Compatibility</x:v>
      </x:c>
      <x:c r="E246" s="6" t="str">
        <x:v>PHN</x:v>
      </x:c>
      <x:c r="F246" s="6" t="str">
        <x:v>Device family alone is insufficient for governed relationship.</x:v>
      </x:c>
      <x:c r="G246" s="6" t="str">
        <x:v>Nocturnix_Master_Compatibility_Catalog_v1.xlsx</x:v>
      </x:c>
      <x:c r="H246" s="6" t="str">
        <x:v>01 - Compatibility Records</x:v>
      </x:c>
      <x:c r="I246" s="6" t="n">
        <x:v>285</x:v>
      </x:c>
      <x:c r="J246" s="12" t="str">
        <x:v>Explicit governed evidence supporting relationship</x:v>
      </x:c>
      <x:c r="K246" s="6" t="str">
        <x:v>Unresolved</x:v>
      </x:c>
      <x:c r="L246" s="6" t="str">
        <x:v>Yes</x:v>
      </x:c>
      <x:c r="M246" s="6" t="str"/>
      <x:c r="N246" s="6" t="str"/>
      <x:c r="O246" s="12" t="str"/>
    </x:row>
    <x:row r="247">
      <x:c r="A247" s="6" t="str">
        <x:v>UNS000246</x:v>
      </x:c>
      <x:c r="B247" s="6" t="str">
        <x:v>SVC000246</x:v>
      </x:c>
      <x:c r="C247" s="6" t="str">
        <x:v>iPhone 13 Charge Port Replacement</x:v>
      </x:c>
      <x:c r="D247" s="6" t="str">
        <x:v>Family-Level Compatibility</x:v>
      </x:c>
      <x:c r="E247" s="6" t="str">
        <x:v>PHN</x:v>
      </x:c>
      <x:c r="F247" s="6" t="str">
        <x:v>Device family alone is insufficient for governed relationship.</x:v>
      </x:c>
      <x:c r="G247" s="6" t="str">
        <x:v>Nocturnix_Master_Compatibility_Catalog_v1.xlsx</x:v>
      </x:c>
      <x:c r="H247" s="6" t="str">
        <x:v>01 - Compatibility Records</x:v>
      </x:c>
      <x:c r="I247" s="6" t="n">
        <x:v>286</x:v>
      </x:c>
      <x:c r="J247" s="12" t="str">
        <x:v>Explicit governed evidence supporting relationship</x:v>
      </x:c>
      <x:c r="K247" s="6" t="str">
        <x:v>Unresolved</x:v>
      </x:c>
      <x:c r="L247" s="6" t="str">
        <x:v>Yes</x:v>
      </x:c>
      <x:c r="M247" s="6" t="str"/>
      <x:c r="N247" s="6" t="str"/>
      <x:c r="O247" s="12" t="str"/>
    </x:row>
    <x:row r="248">
      <x:c r="A248" s="6" t="str">
        <x:v>UNS000247</x:v>
      </x:c>
      <x:c r="B248" s="6" t="str">
        <x:v>SVC000247</x:v>
      </x:c>
      <x:c r="C248" s="6" t="str">
        <x:v>iPhone 13 Mini Charge Port Replacement</x:v>
      </x:c>
      <x:c r="D248" s="6" t="str">
        <x:v>Family-Level Compatibility</x:v>
      </x:c>
      <x:c r="E248" s="6" t="str">
        <x:v>PHN</x:v>
      </x:c>
      <x:c r="F248" s="6" t="str">
        <x:v>Device family alone is insufficient for governed relationship.</x:v>
      </x:c>
      <x:c r="G248" s="6" t="str">
        <x:v>Nocturnix_Master_Compatibility_Catalog_v1.xlsx</x:v>
      </x:c>
      <x:c r="H248" s="6" t="str">
        <x:v>01 - Compatibility Records</x:v>
      </x:c>
      <x:c r="I248" s="6" t="n">
        <x:v>287</x:v>
      </x:c>
      <x:c r="J248" s="12" t="str">
        <x:v>Explicit governed evidence supporting relationship</x:v>
      </x:c>
      <x:c r="K248" s="6" t="str">
        <x:v>Unresolved</x:v>
      </x:c>
      <x:c r="L248" s="6" t="str">
        <x:v>Yes</x:v>
      </x:c>
      <x:c r="M248" s="6" t="str"/>
      <x:c r="N248" s="6" t="str"/>
      <x:c r="O248" s="12" t="str"/>
    </x:row>
    <x:row r="249">
      <x:c r="A249" s="6" t="str">
        <x:v>UNS000248</x:v>
      </x:c>
      <x:c r="B249" s="6" t="str">
        <x:v>SVC000248</x:v>
      </x:c>
      <x:c r="C249" s="6" t="str">
        <x:v>iPhone 13 Pro Charge Port Replacement</x:v>
      </x:c>
      <x:c r="D249" s="6" t="str">
        <x:v>Family-Level Compatibility</x:v>
      </x:c>
      <x:c r="E249" s="6" t="str">
        <x:v>PHN</x:v>
      </x:c>
      <x:c r="F249" s="6" t="str">
        <x:v>Device family alone is insufficient for governed relationship.</x:v>
      </x:c>
      <x:c r="G249" s="6" t="str">
        <x:v>Nocturnix_Master_Compatibility_Catalog_v1.xlsx</x:v>
      </x:c>
      <x:c r="H249" s="6" t="str">
        <x:v>01 - Compatibility Records</x:v>
      </x:c>
      <x:c r="I249" s="6" t="n">
        <x:v>288</x:v>
      </x:c>
      <x:c r="J249" s="12" t="str">
        <x:v>Explicit governed evidence supporting relationship</x:v>
      </x:c>
      <x:c r="K249" s="6" t="str">
        <x:v>Unresolved</x:v>
      </x:c>
      <x:c r="L249" s="6" t="str">
        <x:v>Yes</x:v>
      </x:c>
      <x:c r="M249" s="6" t="str"/>
      <x:c r="N249" s="6" t="str"/>
      <x:c r="O249" s="12" t="str"/>
    </x:row>
    <x:row r="250">
      <x:c r="A250" s="6" t="str">
        <x:v>UNS000249</x:v>
      </x:c>
      <x:c r="B250" s="6" t="str">
        <x:v>SVC000249</x:v>
      </x:c>
      <x:c r="C250" s="6" t="str">
        <x:v>iPhone 13 Pro Max Charge Port Replacement</x:v>
      </x:c>
      <x:c r="D250" s="6" t="str">
        <x:v>Family-Level Compatibility</x:v>
      </x:c>
      <x:c r="E250" s="6" t="str">
        <x:v>PHN</x:v>
      </x:c>
      <x:c r="F250" s="6" t="str">
        <x:v>Device family alone is insufficient for governed relationship.</x:v>
      </x:c>
      <x:c r="G250" s="6" t="str">
        <x:v>Nocturnix_Master_Compatibility_Catalog_v1.xlsx</x:v>
      </x:c>
      <x:c r="H250" s="6" t="str">
        <x:v>01 - Compatibility Records</x:v>
      </x:c>
      <x:c r="I250" s="6" t="n">
        <x:v>289</x:v>
      </x:c>
      <x:c r="J250" s="12" t="str">
        <x:v>Explicit governed evidence supporting relationship</x:v>
      </x:c>
      <x:c r="K250" s="6" t="str">
        <x:v>Unresolved</x:v>
      </x:c>
      <x:c r="L250" s="6" t="str">
        <x:v>Yes</x:v>
      </x:c>
      <x:c r="M250" s="6" t="str"/>
      <x:c r="N250" s="6" t="str"/>
      <x:c r="O250" s="12" t="str"/>
    </x:row>
    <x:row r="251">
      <x:c r="A251" s="6" t="str">
        <x:v>UNS000250</x:v>
      </x:c>
      <x:c r="B251" s="6" t="str">
        <x:v>SVC000250</x:v>
      </x:c>
      <x:c r="C251" s="6" t="str">
        <x:v>iPhone SE (3RD GEN) Charge Port Replacement</x:v>
      </x:c>
      <x:c r="D251" s="6" t="str">
        <x:v>Family-Level Compatibility</x:v>
      </x:c>
      <x:c r="E251" s="6" t="str">
        <x:v>PHN</x:v>
      </x:c>
      <x:c r="F251" s="6" t="str">
        <x:v>Device family alone is insufficient for governed relationship.</x:v>
      </x:c>
      <x:c r="G251" s="6" t="str">
        <x:v>Nocturnix_Master_Compatibility_Catalog_v1.xlsx</x:v>
      </x:c>
      <x:c r="H251" s="6" t="str">
        <x:v>01 - Compatibility Records</x:v>
      </x:c>
      <x:c r="I251" s="6" t="n">
        <x:v>290</x:v>
      </x:c>
      <x:c r="J251" s="12" t="str">
        <x:v>Explicit governed evidence supporting relationship</x:v>
      </x:c>
      <x:c r="K251" s="6" t="str">
        <x:v>Unresolved</x:v>
      </x:c>
      <x:c r="L251" s="6" t="str">
        <x:v>Yes</x:v>
      </x:c>
      <x:c r="M251" s="6" t="str"/>
      <x:c r="N251" s="6" t="str"/>
      <x:c r="O251" s="12" t="str"/>
    </x:row>
    <x:row r="252">
      <x:c r="A252" s="6" t="str">
        <x:v>UNS000251</x:v>
      </x:c>
      <x:c r="B252" s="6" t="str">
        <x:v>SVC000251</x:v>
      </x:c>
      <x:c r="C252" s="6" t="str">
        <x:v>iPhone 14 Charge Port Replacement</x:v>
      </x:c>
      <x:c r="D252" s="6" t="str">
        <x:v>Family-Level Compatibility</x:v>
      </x:c>
      <x:c r="E252" s="6" t="str">
        <x:v>PHN</x:v>
      </x:c>
      <x:c r="F252" s="6" t="str">
        <x:v>Device family alone is insufficient for governed relationship.</x:v>
      </x:c>
      <x:c r="G252" s="6" t="str">
        <x:v>Nocturnix_Master_Compatibility_Catalog_v1.xlsx</x:v>
      </x:c>
      <x:c r="H252" s="6" t="str">
        <x:v>01 - Compatibility Records</x:v>
      </x:c>
      <x:c r="I252" s="6" t="n">
        <x:v>291</x:v>
      </x:c>
      <x:c r="J252" s="12" t="str">
        <x:v>Explicit governed evidence supporting relationship</x:v>
      </x:c>
      <x:c r="K252" s="6" t="str">
        <x:v>Unresolved</x:v>
      </x:c>
      <x:c r="L252" s="6" t="str">
        <x:v>Yes</x:v>
      </x:c>
      <x:c r="M252" s="6" t="str"/>
      <x:c r="N252" s="6" t="str"/>
      <x:c r="O252" s="12" t="str"/>
    </x:row>
    <x:row r="253">
      <x:c r="A253" s="6" t="str">
        <x:v>UNS000252</x:v>
      </x:c>
      <x:c r="B253" s="6" t="str">
        <x:v>SVC000252</x:v>
      </x:c>
      <x:c r="C253" s="6" t="str">
        <x:v>iPhone 14 Plus Charge Port Replacement</x:v>
      </x:c>
      <x:c r="D253" s="6" t="str">
        <x:v>Family-Level Compatibility</x:v>
      </x:c>
      <x:c r="E253" s="6" t="str">
        <x:v>PHN</x:v>
      </x:c>
      <x:c r="F253" s="6" t="str">
        <x:v>Device family alone is insufficient for governed relationship.</x:v>
      </x:c>
      <x:c r="G253" s="6" t="str">
        <x:v>Nocturnix_Master_Compatibility_Catalog_v1.xlsx</x:v>
      </x:c>
      <x:c r="H253" s="6" t="str">
        <x:v>01 - Compatibility Records</x:v>
      </x:c>
      <x:c r="I253" s="6" t="n">
        <x:v>292</x:v>
      </x:c>
      <x:c r="J253" s="12" t="str">
        <x:v>Explicit governed evidence supporting relationship</x:v>
      </x:c>
      <x:c r="K253" s="6" t="str">
        <x:v>Unresolved</x:v>
      </x:c>
      <x:c r="L253" s="6" t="str">
        <x:v>Yes</x:v>
      </x:c>
      <x:c r="M253" s="6" t="str"/>
      <x:c r="N253" s="6" t="str"/>
      <x:c r="O253" s="12" t="str"/>
    </x:row>
    <x:row r="254">
      <x:c r="A254" s="6" t="str">
        <x:v>UNS000253</x:v>
      </x:c>
      <x:c r="B254" s="6" t="str">
        <x:v>SVC000253</x:v>
      </x:c>
      <x:c r="C254" s="6" t="str">
        <x:v>iPhone 14 Pro Charge Port Replacement</x:v>
      </x:c>
      <x:c r="D254" s="6" t="str">
        <x:v>Family-Level Compatibility</x:v>
      </x:c>
      <x:c r="E254" s="6" t="str">
        <x:v>PHN</x:v>
      </x:c>
      <x:c r="F254" s="6" t="str">
        <x:v>Device family alone is insufficient for governed relationship.</x:v>
      </x:c>
      <x:c r="G254" s="6" t="str">
        <x:v>Nocturnix_Master_Compatibility_Catalog_v1.xlsx</x:v>
      </x:c>
      <x:c r="H254" s="6" t="str">
        <x:v>01 - Compatibility Records</x:v>
      </x:c>
      <x:c r="I254" s="6" t="n">
        <x:v>293</x:v>
      </x:c>
      <x:c r="J254" s="12" t="str">
        <x:v>Explicit governed evidence supporting relationship</x:v>
      </x:c>
      <x:c r="K254" s="6" t="str">
        <x:v>Unresolved</x:v>
      </x:c>
      <x:c r="L254" s="6" t="str">
        <x:v>Yes</x:v>
      </x:c>
      <x:c r="M254" s="6" t="str"/>
      <x:c r="N254" s="6" t="str"/>
      <x:c r="O254" s="12" t="str"/>
    </x:row>
    <x:row r="255">
      <x:c r="A255" s="6" t="str">
        <x:v>UNS000254</x:v>
      </x:c>
      <x:c r="B255" s="6" t="str">
        <x:v>SVC000254</x:v>
      </x:c>
      <x:c r="C255" s="6" t="str">
        <x:v>iPhone 14 Pro Max Charge Port Replacement</x:v>
      </x:c>
      <x:c r="D255" s="6" t="str">
        <x:v>Family-Level Compatibility</x:v>
      </x:c>
      <x:c r="E255" s="6" t="str">
        <x:v>PHN</x:v>
      </x:c>
      <x:c r="F255" s="6" t="str">
        <x:v>Device family alone is insufficient for governed relationship.</x:v>
      </x:c>
      <x:c r="G255" s="6" t="str">
        <x:v>Nocturnix_Master_Compatibility_Catalog_v1.xlsx</x:v>
      </x:c>
      <x:c r="H255" s="6" t="str">
        <x:v>01 - Compatibility Records</x:v>
      </x:c>
      <x:c r="I255" s="6" t="n">
        <x:v>294</x:v>
      </x:c>
      <x:c r="J255" s="12" t="str">
        <x:v>Explicit governed evidence supporting relationship</x:v>
      </x:c>
      <x:c r="K255" s="6" t="str">
        <x:v>Unresolved</x:v>
      </x:c>
      <x:c r="L255" s="6" t="str">
        <x:v>Yes</x:v>
      </x:c>
      <x:c r="M255" s="6" t="str"/>
      <x:c r="N255" s="6" t="str"/>
      <x:c r="O255" s="12" t="str"/>
    </x:row>
    <x:row r="256">
      <x:c r="A256" s="6" t="str">
        <x:v>UNS000255</x:v>
      </x:c>
      <x:c r="B256" s="6" t="str">
        <x:v>SVC000255</x:v>
      </x:c>
      <x:c r="C256" s="6" t="str">
        <x:v>iPhone 15 Charge Port Replacement</x:v>
      </x:c>
      <x:c r="D256" s="6" t="str">
        <x:v>Family-Level Compatibility</x:v>
      </x:c>
      <x:c r="E256" s="6" t="str">
        <x:v>PHN</x:v>
      </x:c>
      <x:c r="F256" s="6" t="str">
        <x:v>Device family alone is insufficient for governed relationship.</x:v>
      </x:c>
      <x:c r="G256" s="6" t="str">
        <x:v>Nocturnix_Master_Compatibility_Catalog_v1.xlsx</x:v>
      </x:c>
      <x:c r="H256" s="6" t="str">
        <x:v>01 - Compatibility Records</x:v>
      </x:c>
      <x:c r="I256" s="6" t="n">
        <x:v>295</x:v>
      </x:c>
      <x:c r="J256" s="12" t="str">
        <x:v>Explicit governed evidence supporting relationship</x:v>
      </x:c>
      <x:c r="K256" s="6" t="str">
        <x:v>Unresolved</x:v>
      </x:c>
      <x:c r="L256" s="6" t="str">
        <x:v>Yes</x:v>
      </x:c>
      <x:c r="M256" s="6" t="str"/>
      <x:c r="N256" s="6" t="str"/>
      <x:c r="O256" s="12" t="str"/>
    </x:row>
    <x:row r="257">
      <x:c r="A257" s="6" t="str">
        <x:v>UNS000256</x:v>
      </x:c>
      <x:c r="B257" s="6" t="str">
        <x:v>SVC000256</x:v>
      </x:c>
      <x:c r="C257" s="6" t="str">
        <x:v>iPhone 15 Plus Charge Port Replacement</x:v>
      </x:c>
      <x:c r="D257" s="6" t="str">
        <x:v>Family-Level Compatibility</x:v>
      </x:c>
      <x:c r="E257" s="6" t="str">
        <x:v>PHN</x:v>
      </x:c>
      <x:c r="F257" s="6" t="str">
        <x:v>Device family alone is insufficient for governed relationship.</x:v>
      </x:c>
      <x:c r="G257" s="6" t="str">
        <x:v>Nocturnix_Master_Compatibility_Catalog_v1.xlsx</x:v>
      </x:c>
      <x:c r="H257" s="6" t="str">
        <x:v>01 - Compatibility Records</x:v>
      </x:c>
      <x:c r="I257" s="6" t="n">
        <x:v>296</x:v>
      </x:c>
      <x:c r="J257" s="12" t="str">
        <x:v>Explicit governed evidence supporting relationship</x:v>
      </x:c>
      <x:c r="K257" s="6" t="str">
        <x:v>Unresolved</x:v>
      </x:c>
      <x:c r="L257" s="6" t="str">
        <x:v>Yes</x:v>
      </x:c>
      <x:c r="M257" s="6" t="str"/>
      <x:c r="N257" s="6" t="str"/>
      <x:c r="O257" s="12" t="str"/>
    </x:row>
    <x:row r="258">
      <x:c r="A258" s="6" t="str">
        <x:v>UNS000257</x:v>
      </x:c>
      <x:c r="B258" s="6" t="str">
        <x:v>SVC000257</x:v>
      </x:c>
      <x:c r="C258" s="6" t="str">
        <x:v>iPhone 15 Pro Phone Charge Port Replacement</x:v>
      </x:c>
      <x:c r="D258" s="6" t="str">
        <x:v>Family-Level Compatibility</x:v>
      </x:c>
      <x:c r="E258" s="6" t="str">
        <x:v>PHN</x:v>
      </x:c>
      <x:c r="F258" s="6" t="str">
        <x:v>Device family alone is insufficient for governed relationship.</x:v>
      </x:c>
      <x:c r="G258" s="6" t="str">
        <x:v>Nocturnix_Master_Compatibility_Catalog_v1.xlsx</x:v>
      </x:c>
      <x:c r="H258" s="6" t="str">
        <x:v>01 - Compatibility Records</x:v>
      </x:c>
      <x:c r="I258" s="6" t="n">
        <x:v>297</x:v>
      </x:c>
      <x:c r="J258" s="12" t="str">
        <x:v>Explicit governed evidence supporting relationship</x:v>
      </x:c>
      <x:c r="K258" s="6" t="str">
        <x:v>Unresolved</x:v>
      </x:c>
      <x:c r="L258" s="6" t="str">
        <x:v>Yes</x:v>
      </x:c>
      <x:c r="M258" s="6" t="str"/>
      <x:c r="N258" s="6" t="str"/>
      <x:c r="O258" s="12" t="str"/>
    </x:row>
    <x:row r="259">
      <x:c r="A259" s="6" t="str">
        <x:v>UNS000258</x:v>
      </x:c>
      <x:c r="B259" s="6" t="str">
        <x:v>SVC000258</x:v>
      </x:c>
      <x:c r="C259" s="6" t="str">
        <x:v>iPhone 15 Pro Max Charge Port Replacement</x:v>
      </x:c>
      <x:c r="D259" s="6" t="str">
        <x:v>Family-Level Compatibility</x:v>
      </x:c>
      <x:c r="E259" s="6" t="str">
        <x:v>PHN</x:v>
      </x:c>
      <x:c r="F259" s="6" t="str">
        <x:v>Device family alone is insufficient for governed relationship.</x:v>
      </x:c>
      <x:c r="G259" s="6" t="str">
        <x:v>Nocturnix_Master_Compatibility_Catalog_v1.xlsx</x:v>
      </x:c>
      <x:c r="H259" s="6" t="str">
        <x:v>01 - Compatibility Records</x:v>
      </x:c>
      <x:c r="I259" s="6" t="n">
        <x:v>298</x:v>
      </x:c>
      <x:c r="J259" s="12" t="str">
        <x:v>Explicit governed evidence supporting relationship</x:v>
      </x:c>
      <x:c r="K259" s="6" t="str">
        <x:v>Unresolved</x:v>
      </x:c>
      <x:c r="L259" s="6" t="str">
        <x:v>Yes</x:v>
      </x:c>
      <x:c r="M259" s="6" t="str"/>
      <x:c r="N259" s="6" t="str"/>
      <x:c r="O259" s="12" t="str"/>
    </x:row>
    <x:row r="260">
      <x:c r="A260" s="6" t="str">
        <x:v>UNS000259</x:v>
      </x:c>
      <x:c r="B260" s="6" t="str">
        <x:v>SVC000259</x:v>
      </x:c>
      <x:c r="C260" s="6" t="str">
        <x:v>iPhone 16 Charge Port Replacement</x:v>
      </x:c>
      <x:c r="D260" s="6" t="str">
        <x:v>Family-Level Compatibility</x:v>
      </x:c>
      <x:c r="E260" s="6" t="str">
        <x:v>PHN</x:v>
      </x:c>
      <x:c r="F260" s="6" t="str">
        <x:v>Device family alone is insufficient for governed relationship.</x:v>
      </x:c>
      <x:c r="G260" s="6" t="str">
        <x:v>Nocturnix_Master_Compatibility_Catalog_v1.xlsx</x:v>
      </x:c>
      <x:c r="H260" s="6" t="str">
        <x:v>01 - Compatibility Records</x:v>
      </x:c>
      <x:c r="I260" s="6" t="n">
        <x:v>299</x:v>
      </x:c>
      <x:c r="J260" s="12" t="str">
        <x:v>Explicit governed evidence supporting relationship</x:v>
      </x:c>
      <x:c r="K260" s="6" t="str">
        <x:v>Unresolved</x:v>
      </x:c>
      <x:c r="L260" s="6" t="str">
        <x:v>Yes</x:v>
      </x:c>
      <x:c r="M260" s="6" t="str"/>
      <x:c r="N260" s="6" t="str"/>
      <x:c r="O260" s="12" t="str"/>
    </x:row>
    <x:row r="261">
      <x:c r="A261" s="6" t="str">
        <x:v>UNS000260</x:v>
      </x:c>
      <x:c r="B261" s="6" t="str">
        <x:v>SVC000260</x:v>
      </x:c>
      <x:c r="C261" s="6" t="str">
        <x:v>iPhone 16 Plus Charge Port Replacement</x:v>
      </x:c>
      <x:c r="D261" s="6" t="str">
        <x:v>Family-Level Compatibility</x:v>
      </x:c>
      <x:c r="E261" s="6" t="str">
        <x:v>PHN</x:v>
      </x:c>
      <x:c r="F261" s="6" t="str">
        <x:v>Device family alone is insufficient for governed relationship.</x:v>
      </x:c>
      <x:c r="G261" s="6" t="str">
        <x:v>Nocturnix_Master_Compatibility_Catalog_v1.xlsx</x:v>
      </x:c>
      <x:c r="H261" s="6" t="str">
        <x:v>01 - Compatibility Records</x:v>
      </x:c>
      <x:c r="I261" s="6" t="n">
        <x:v>300</x:v>
      </x:c>
      <x:c r="J261" s="12" t="str">
        <x:v>Explicit governed evidence supporting relationship</x:v>
      </x:c>
      <x:c r="K261" s="6" t="str">
        <x:v>Unresolved</x:v>
      </x:c>
      <x:c r="L261" s="6" t="str">
        <x:v>Yes</x:v>
      </x:c>
      <x:c r="M261" s="6" t="str"/>
      <x:c r="N261" s="6" t="str"/>
      <x:c r="O261" s="12" t="str"/>
    </x:row>
    <x:row r="262">
      <x:c r="A262" s="6" t="str">
        <x:v>UNS000261</x:v>
      </x:c>
      <x:c r="B262" s="6" t="str">
        <x:v>SVC000261</x:v>
      </x:c>
      <x:c r="C262" s="6" t="str">
        <x:v>iPhone 16 Pro Charge Port Replacement</x:v>
      </x:c>
      <x:c r="D262" s="6" t="str">
        <x:v>Family-Level Compatibility</x:v>
      </x:c>
      <x:c r="E262" s="6" t="str">
        <x:v>PHN</x:v>
      </x:c>
      <x:c r="F262" s="6" t="str">
        <x:v>Device family alone is insufficient for governed relationship.</x:v>
      </x:c>
      <x:c r="G262" s="6" t="str">
        <x:v>Nocturnix_Master_Compatibility_Catalog_v1.xlsx</x:v>
      </x:c>
      <x:c r="H262" s="6" t="str">
        <x:v>01 - Compatibility Records</x:v>
      </x:c>
      <x:c r="I262" s="6" t="n">
        <x:v>301</x:v>
      </x:c>
      <x:c r="J262" s="12" t="str">
        <x:v>Explicit governed evidence supporting relationship</x:v>
      </x:c>
      <x:c r="K262" s="6" t="str">
        <x:v>Unresolved</x:v>
      </x:c>
      <x:c r="L262" s="6" t="str">
        <x:v>Yes</x:v>
      </x:c>
      <x:c r="M262" s="6" t="str"/>
      <x:c r="N262" s="6" t="str"/>
      <x:c r="O262" s="12" t="str"/>
    </x:row>
    <x:row r="263">
      <x:c r="A263" s="6" t="str">
        <x:v>UNS000262</x:v>
      </x:c>
      <x:c r="B263" s="6" t="str">
        <x:v>SVC000262</x:v>
      </x:c>
      <x:c r="C263" s="6" t="str">
        <x:v>iPhone 16 Pro Max Charge Port Replacement</x:v>
      </x:c>
      <x:c r="D263" s="6" t="str">
        <x:v>Family-Level Compatibility</x:v>
      </x:c>
      <x:c r="E263" s="6" t="str">
        <x:v>PHN</x:v>
      </x:c>
      <x:c r="F263" s="6" t="str">
        <x:v>Device family alone is insufficient for governed relationship.</x:v>
      </x:c>
      <x:c r="G263" s="6" t="str">
        <x:v>Nocturnix_Master_Compatibility_Catalog_v1.xlsx</x:v>
      </x:c>
      <x:c r="H263" s="6" t="str">
        <x:v>01 - Compatibility Records</x:v>
      </x:c>
      <x:c r="I263" s="6" t="n">
        <x:v>302</x:v>
      </x:c>
      <x:c r="J263" s="12" t="str">
        <x:v>Explicit governed evidence supporting relationship</x:v>
      </x:c>
      <x:c r="K263" s="6" t="str">
        <x:v>Unresolved</x:v>
      </x:c>
      <x:c r="L263" s="6" t="str">
        <x:v>Yes</x:v>
      </x:c>
      <x:c r="M263" s="6" t="str"/>
      <x:c r="N263" s="6" t="str"/>
      <x:c r="O263" s="12" t="str"/>
    </x:row>
    <x:row r="264">
      <x:c r="A264" s="6" t="str">
        <x:v>UNS000263</x:v>
      </x:c>
      <x:c r="B264" s="6" t="str">
        <x:v>SVC000263</x:v>
      </x:c>
      <x:c r="C264" s="6" t="str">
        <x:v>iPhone 16E Charge Port Replacement</x:v>
      </x:c>
      <x:c r="D264" s="6" t="str">
        <x:v>Family-Level Compatibility</x:v>
      </x:c>
      <x:c r="E264" s="6" t="str">
        <x:v>PHN</x:v>
      </x:c>
      <x:c r="F264" s="6" t="str">
        <x:v>Device family alone is insufficient for governed relationship.</x:v>
      </x:c>
      <x:c r="G264" s="6" t="str">
        <x:v>Nocturnix_Master_Compatibility_Catalog_v1.xlsx</x:v>
      </x:c>
      <x:c r="H264" s="6" t="str">
        <x:v>01 - Compatibility Records</x:v>
      </x:c>
      <x:c r="I264" s="6" t="n">
        <x:v>303</x:v>
      </x:c>
      <x:c r="J264" s="12" t="str">
        <x:v>Explicit governed evidence supporting relationship</x:v>
      </x:c>
      <x:c r="K264" s="6" t="str">
        <x:v>Unresolved</x:v>
      </x:c>
      <x:c r="L264" s="6" t="str">
        <x:v>Yes</x:v>
      </x:c>
      <x:c r="M264" s="6" t="str"/>
      <x:c r="N264" s="6" t="str"/>
      <x:c r="O264" s="12" t="str"/>
    </x:row>
    <x:row r="265">
      <x:c r="A265" s="6" t="str">
        <x:v>UNS000264</x:v>
      </x:c>
      <x:c r="B265" s="6" t="str">
        <x:v>SVC000264</x:v>
      </x:c>
      <x:c r="C265" s="6" t="str">
        <x:v>iPhone 17 Charge Port Replacement</x:v>
      </x:c>
      <x:c r="D265" s="6" t="str">
        <x:v>Family-Level Compatibility</x:v>
      </x:c>
      <x:c r="E265" s="6" t="str">
        <x:v>PHN</x:v>
      </x:c>
      <x:c r="F265" s="6" t="str">
        <x:v>Device family alone is insufficient for governed relationship.</x:v>
      </x:c>
      <x:c r="G265" s="6" t="str">
        <x:v>Nocturnix_Master_Compatibility_Catalog_v1.xlsx</x:v>
      </x:c>
      <x:c r="H265" s="6" t="str">
        <x:v>01 - Compatibility Records</x:v>
      </x:c>
      <x:c r="I265" s="6" t="n">
        <x:v>304</x:v>
      </x:c>
      <x:c r="J265" s="12" t="str">
        <x:v>Explicit governed evidence supporting relationship</x:v>
      </x:c>
      <x:c r="K265" s="6" t="str">
        <x:v>Unresolved</x:v>
      </x:c>
      <x:c r="L265" s="6" t="str">
        <x:v>Yes</x:v>
      </x:c>
      <x:c r="M265" s="6" t="str"/>
      <x:c r="N265" s="6" t="str"/>
      <x:c r="O265" s="12" t="str"/>
    </x:row>
    <x:row r="266">
      <x:c r="A266" s="6" t="str">
        <x:v>UNS000265</x:v>
      </x:c>
      <x:c r="B266" s="6" t="str">
        <x:v>SVC000265</x:v>
      </x:c>
      <x:c r="C266" s="6" t="str">
        <x:v>iPhone 17 Pro Charge Port Replacement</x:v>
      </x:c>
      <x:c r="D266" s="6" t="str">
        <x:v>Family-Level Compatibility</x:v>
      </x:c>
      <x:c r="E266" s="6" t="str">
        <x:v>PHN</x:v>
      </x:c>
      <x:c r="F266" s="6" t="str">
        <x:v>Device family alone is insufficient for governed relationship.</x:v>
      </x:c>
      <x:c r="G266" s="6" t="str">
        <x:v>Nocturnix_Master_Compatibility_Catalog_v1.xlsx</x:v>
      </x:c>
      <x:c r="H266" s="6" t="str">
        <x:v>01 - Compatibility Records</x:v>
      </x:c>
      <x:c r="I266" s="6" t="n">
        <x:v>305</x:v>
      </x:c>
      <x:c r="J266" s="12" t="str">
        <x:v>Explicit governed evidence supporting relationship</x:v>
      </x:c>
      <x:c r="K266" s="6" t="str">
        <x:v>Unresolved</x:v>
      </x:c>
      <x:c r="L266" s="6" t="str">
        <x:v>Yes</x:v>
      </x:c>
      <x:c r="M266" s="6" t="str"/>
      <x:c r="N266" s="6" t="str"/>
      <x:c r="O266" s="12" t="str"/>
    </x:row>
    <x:row r="267">
      <x:c r="A267" s="6" t="str">
        <x:v>UNS000266</x:v>
      </x:c>
      <x:c r="B267" s="6" t="str">
        <x:v>SVC000266</x:v>
      </x:c>
      <x:c r="C267" s="6" t="str">
        <x:v>iPhone 17 Pro Max Phone* Charge Port Replacement</x:v>
      </x:c>
      <x:c r="D267" s="6" t="str">
        <x:v>Family-Level Compatibility</x:v>
      </x:c>
      <x:c r="E267" s="6" t="str">
        <x:v>PHN</x:v>
      </x:c>
      <x:c r="F267" s="6" t="str">
        <x:v>Device family alone is insufficient for governed relationship.</x:v>
      </x:c>
      <x:c r="G267" s="6" t="str">
        <x:v>Nocturnix_Master_Compatibility_Catalog_v1.xlsx</x:v>
      </x:c>
      <x:c r="H267" s="6" t="str">
        <x:v>01 - Compatibility Records</x:v>
      </x:c>
      <x:c r="I267" s="6" t="n">
        <x:v>306</x:v>
      </x:c>
      <x:c r="J267" s="12" t="str">
        <x:v>Explicit governed evidence supporting relationship</x:v>
      </x:c>
      <x:c r="K267" s="6" t="str">
        <x:v>Unresolved</x:v>
      </x:c>
      <x:c r="L267" s="6" t="str">
        <x:v>Yes</x:v>
      </x:c>
      <x:c r="M267" s="6" t="str"/>
      <x:c r="N267" s="6" t="str"/>
      <x:c r="O267" s="12" t="str"/>
    </x:row>
    <x:row r="268">
      <x:c r="A268" s="6" t="str">
        <x:v>UNS000267</x:v>
      </x:c>
      <x:c r="B268" s="6" t="str">
        <x:v>SVC000267</x:v>
      </x:c>
      <x:c r="C268" s="6" t="str">
        <x:v>iPhone Air Charge Port Replacement</x:v>
      </x:c>
      <x:c r="D268" s="6" t="str">
        <x:v>Family-Level Compatibility</x:v>
      </x:c>
      <x:c r="E268" s="6" t="str">
        <x:v>PHN</x:v>
      </x:c>
      <x:c r="F268" s="6" t="str">
        <x:v>Device family alone is insufficient for governed relationship.</x:v>
      </x:c>
      <x:c r="G268" s="6" t="str">
        <x:v>Nocturnix_Master_Compatibility_Catalog_v1.xlsx</x:v>
      </x:c>
      <x:c r="H268" s="6" t="str">
        <x:v>01 - Compatibility Records</x:v>
      </x:c>
      <x:c r="I268" s="6" t="n">
        <x:v>307</x:v>
      </x:c>
      <x:c r="J268" s="12" t="str">
        <x:v>Explicit governed evidence supporting relationship</x:v>
      </x:c>
      <x:c r="K268" s="6" t="str">
        <x:v>Unresolved</x:v>
      </x:c>
      <x:c r="L268" s="6" t="str">
        <x:v>Yes</x:v>
      </x:c>
      <x:c r="M268" s="6" t="str"/>
      <x:c r="N268" s="6" t="str"/>
      <x:c r="O268" s="12" t="str"/>
    </x:row>
    <x:row r="269">
      <x:c r="A269" s="6" t="str">
        <x:v>UNS000268</x:v>
      </x:c>
      <x:c r="B269" s="6" t="str">
        <x:v>SVC000268</x:v>
      </x:c>
      <x:c r="C269" s="6" t="str">
        <x:v>nan Charge Port Replacement</x:v>
      </x:c>
      <x:c r="D269" s="6" t="str">
        <x:v>Family-Level Compatibility</x:v>
      </x:c>
      <x:c r="E269" s="6" t="str">
        <x:v>PHN</x:v>
      </x:c>
      <x:c r="F269" s="6" t="str">
        <x:v>Device family alone is insufficient for governed relationship.</x:v>
      </x:c>
      <x:c r="G269" s="6" t="str">
        <x:v>Nocturnix_Master_Compatibility_Catalog_v1.xlsx</x:v>
      </x:c>
      <x:c r="H269" s="6" t="str">
        <x:v>01 - Compatibility Records</x:v>
      </x:c>
      <x:c r="I269" s="6" t="n">
        <x:v>308</x:v>
      </x:c>
      <x:c r="J269" s="12" t="str">
        <x:v>Explicit governed evidence supporting relationship</x:v>
      </x:c>
      <x:c r="K269" s="6" t="str">
        <x:v>Unresolved</x:v>
      </x:c>
      <x:c r="L269" s="6" t="str">
        <x:v>Yes</x:v>
      </x:c>
      <x:c r="M269" s="6" t="str"/>
      <x:c r="N269" s="6" t="str"/>
      <x:c r="O269" s="12" t="str"/>
    </x:row>
    <x:row r="270">
      <x:c r="A270" s="6" t="str">
        <x:v>UNS000269</x:v>
      </x:c>
      <x:c r="B270" s="6" t="str">
        <x:v>SVC000269</x:v>
      </x:c>
      <x:c r="C270" s="6" t="str">
        <x:v>Galaxy S Classic Charge Port Replacement</x:v>
      </x:c>
      <x:c r="D270" s="6" t="str">
        <x:v>Family-Level Compatibility</x:v>
      </x:c>
      <x:c r="E270" s="6" t="str">
        <x:v>PHN</x:v>
      </x:c>
      <x:c r="F270" s="6" t="str">
        <x:v>Device family alone is insufficient for governed relationship.</x:v>
      </x:c>
      <x:c r="G270" s="6" t="str">
        <x:v>Nocturnix_Master_Compatibility_Catalog_v1.xlsx</x:v>
      </x:c>
      <x:c r="H270" s="6" t="str">
        <x:v>01 - Compatibility Records</x:v>
      </x:c>
      <x:c r="I270" s="6" t="n">
        <x:v>309</x:v>
      </x:c>
      <x:c r="J270" s="12" t="str">
        <x:v>Explicit governed evidence supporting relationship</x:v>
      </x:c>
      <x:c r="K270" s="6" t="str">
        <x:v>Unresolved</x:v>
      </x:c>
      <x:c r="L270" s="6" t="str">
        <x:v>Yes</x:v>
      </x:c>
      <x:c r="M270" s="6" t="str"/>
      <x:c r="N270" s="6" t="str"/>
      <x:c r="O270" s="12" t="str"/>
    </x:row>
    <x:row r="271">
      <x:c r="A271" s="6" t="str">
        <x:v>UNS000270</x:v>
      </x:c>
      <x:c r="B271" s="6" t="str">
        <x:v>SVC000270</x:v>
      </x:c>
      <x:c r="C271" s="6" t="str">
        <x:v>Galaxy S2 Charge Port Replacement</x:v>
      </x:c>
      <x:c r="D271" s="6" t="str">
        <x:v>Family-Level Compatibility</x:v>
      </x:c>
      <x:c r="E271" s="6" t="str">
        <x:v>PHN</x:v>
      </x:c>
      <x:c r="F271" s="6" t="str">
        <x:v>Device family alone is insufficient for governed relationship.</x:v>
      </x:c>
      <x:c r="G271" s="6" t="str">
        <x:v>Nocturnix_Master_Compatibility_Catalog_v1.xlsx</x:v>
      </x:c>
      <x:c r="H271" s="6" t="str">
        <x:v>01 - Compatibility Records</x:v>
      </x:c>
      <x:c r="I271" s="6" t="n">
        <x:v>310</x:v>
      </x:c>
      <x:c r="J271" s="12" t="str">
        <x:v>Explicit governed evidence supporting relationship</x:v>
      </x:c>
      <x:c r="K271" s="6" t="str">
        <x:v>Unresolved</x:v>
      </x:c>
      <x:c r="L271" s="6" t="str">
        <x:v>Yes</x:v>
      </x:c>
      <x:c r="M271" s="6" t="str"/>
      <x:c r="N271" s="6" t="str"/>
      <x:c r="O271" s="12" t="str"/>
    </x:row>
    <x:row r="272">
      <x:c r="A272" s="6" t="str">
        <x:v>UNS000271</x:v>
      </x:c>
      <x:c r="B272" s="6" t="str">
        <x:v>SVC000271</x:v>
      </x:c>
      <x:c r="C272" s="6" t="str">
        <x:v>Galaxy S3 Charge Port Replacement</x:v>
      </x:c>
      <x:c r="D272" s="6" t="str">
        <x:v>Family-Level Compatibility</x:v>
      </x:c>
      <x:c r="E272" s="6" t="str">
        <x:v>PHN</x:v>
      </x:c>
      <x:c r="F272" s="6" t="str">
        <x:v>Device family alone is insufficient for governed relationship.</x:v>
      </x:c>
      <x:c r="G272" s="6" t="str">
        <x:v>Nocturnix_Master_Compatibility_Catalog_v1.xlsx</x:v>
      </x:c>
      <x:c r="H272" s="6" t="str">
        <x:v>01 - Compatibility Records</x:v>
      </x:c>
      <x:c r="I272" s="6" t="n">
        <x:v>311</x:v>
      </x:c>
      <x:c r="J272" s="12" t="str">
        <x:v>Explicit governed evidence supporting relationship</x:v>
      </x:c>
      <x:c r="K272" s="6" t="str">
        <x:v>Unresolved</x:v>
      </x:c>
      <x:c r="L272" s="6" t="str">
        <x:v>Yes</x:v>
      </x:c>
      <x:c r="M272" s="6" t="str"/>
      <x:c r="N272" s="6" t="str"/>
      <x:c r="O272" s="12" t="str"/>
    </x:row>
    <x:row r="273">
      <x:c r="A273" s="6" t="str">
        <x:v>UNS000272</x:v>
      </x:c>
      <x:c r="B273" s="6" t="str">
        <x:v>SVC000272</x:v>
      </x:c>
      <x:c r="C273" s="6" t="str">
        <x:v>Galaxy S3 Mini Charge Port Replacement</x:v>
      </x:c>
      <x:c r="D273" s="6" t="str">
        <x:v>Family-Level Compatibility</x:v>
      </x:c>
      <x:c r="E273" s="6" t="str">
        <x:v>PHN</x:v>
      </x:c>
      <x:c r="F273" s="6" t="str">
        <x:v>Device family alone is insufficient for governed relationship.</x:v>
      </x:c>
      <x:c r="G273" s="6" t="str">
        <x:v>Nocturnix_Master_Compatibility_Catalog_v1.xlsx</x:v>
      </x:c>
      <x:c r="H273" s="6" t="str">
        <x:v>01 - Compatibility Records</x:v>
      </x:c>
      <x:c r="I273" s="6" t="n">
        <x:v>312</x:v>
      </x:c>
      <x:c r="J273" s="12" t="str">
        <x:v>Explicit governed evidence supporting relationship</x:v>
      </x:c>
      <x:c r="K273" s="6" t="str">
        <x:v>Unresolved</x:v>
      </x:c>
      <x:c r="L273" s="6" t="str">
        <x:v>Yes</x:v>
      </x:c>
      <x:c r="M273" s="6" t="str"/>
      <x:c r="N273" s="6" t="str"/>
      <x:c r="O273" s="12" t="str"/>
    </x:row>
    <x:row r="274">
      <x:c r="A274" s="6" t="str">
        <x:v>UNS000273</x:v>
      </x:c>
      <x:c r="B274" s="6" t="str">
        <x:v>SVC000273</x:v>
      </x:c>
      <x:c r="C274" s="6" t="str">
        <x:v>Galaxy S3 Neo Charge Port Replacement</x:v>
      </x:c>
      <x:c r="D274" s="6" t="str">
        <x:v>Family-Level Compatibility</x:v>
      </x:c>
      <x:c r="E274" s="6" t="str">
        <x:v>PHN</x:v>
      </x:c>
      <x:c r="F274" s="6" t="str">
        <x:v>Device family alone is insufficient for governed relationship.</x:v>
      </x:c>
      <x:c r="G274" s="6" t="str">
        <x:v>Nocturnix_Master_Compatibility_Catalog_v1.xlsx</x:v>
      </x:c>
      <x:c r="H274" s="6" t="str">
        <x:v>01 - Compatibility Records</x:v>
      </x:c>
      <x:c r="I274" s="6" t="n">
        <x:v>313</x:v>
      </x:c>
      <x:c r="J274" s="12" t="str">
        <x:v>Explicit governed evidence supporting relationship</x:v>
      </x:c>
      <x:c r="K274" s="6" t="str">
        <x:v>Unresolved</x:v>
      </x:c>
      <x:c r="L274" s="6" t="str">
        <x:v>Yes</x:v>
      </x:c>
      <x:c r="M274" s="6" t="str"/>
      <x:c r="N274" s="6" t="str"/>
      <x:c r="O274" s="12" t="str"/>
    </x:row>
    <x:row r="275">
      <x:c r="A275" s="6" t="str">
        <x:v>UNS000274</x:v>
      </x:c>
      <x:c r="B275" s="6" t="str">
        <x:v>SVC000274</x:v>
      </x:c>
      <x:c r="C275" s="6" t="str">
        <x:v>Galaxy S4 Charge Port Replacement</x:v>
      </x:c>
      <x:c r="D275" s="6" t="str">
        <x:v>Family-Level Compatibility</x:v>
      </x:c>
      <x:c r="E275" s="6" t="str">
        <x:v>PHN</x:v>
      </x:c>
      <x:c r="F275" s="6" t="str">
        <x:v>Device family alone is insufficient for governed relationship.</x:v>
      </x:c>
      <x:c r="G275" s="6" t="str">
        <x:v>Nocturnix_Master_Compatibility_Catalog_v1.xlsx</x:v>
      </x:c>
      <x:c r="H275" s="6" t="str">
        <x:v>01 - Compatibility Records</x:v>
      </x:c>
      <x:c r="I275" s="6" t="n">
        <x:v>314</x:v>
      </x:c>
      <x:c r="J275" s="12" t="str">
        <x:v>Explicit governed evidence supporting relationship</x:v>
      </x:c>
      <x:c r="K275" s="6" t="str">
        <x:v>Unresolved</x:v>
      </x:c>
      <x:c r="L275" s="6" t="str">
        <x:v>Yes</x:v>
      </x:c>
      <x:c r="M275" s="6" t="str"/>
      <x:c r="N275" s="6" t="str"/>
      <x:c r="O275" s="12" t="str"/>
    </x:row>
    <x:row r="276">
      <x:c r="A276" s="6" t="str">
        <x:v>UNS000275</x:v>
      </x:c>
      <x:c r="B276" s="6" t="str">
        <x:v>SVC000275</x:v>
      </x:c>
      <x:c r="C276" s="6" t="str">
        <x:v>Galaxy S 4 Mini Charge Port Replacement</x:v>
      </x:c>
      <x:c r="D276" s="6" t="str">
        <x:v>Family-Level Compatibility</x:v>
      </x:c>
      <x:c r="E276" s="6" t="str">
        <x:v>PHN</x:v>
      </x:c>
      <x:c r="F276" s="6" t="str">
        <x:v>Device family alone is insufficient for governed relationship.</x:v>
      </x:c>
      <x:c r="G276" s="6" t="str">
        <x:v>Nocturnix_Master_Compatibility_Catalog_v1.xlsx</x:v>
      </x:c>
      <x:c r="H276" s="6" t="str">
        <x:v>01 - Compatibility Records</x:v>
      </x:c>
      <x:c r="I276" s="6" t="n">
        <x:v>315</x:v>
      </x:c>
      <x:c r="J276" s="12" t="str">
        <x:v>Explicit governed evidence supporting relationship</x:v>
      </x:c>
      <x:c r="K276" s="6" t="str">
        <x:v>Unresolved</x:v>
      </x:c>
      <x:c r="L276" s="6" t="str">
        <x:v>Yes</x:v>
      </x:c>
      <x:c r="M276" s="6" t="str"/>
      <x:c r="N276" s="6" t="str"/>
      <x:c r="O276" s="12" t="str"/>
    </x:row>
    <x:row r="277">
      <x:c r="A277" s="6" t="str">
        <x:v>UNS000276</x:v>
      </x:c>
      <x:c r="B277" s="6" t="str">
        <x:v>SVC000276</x:v>
      </x:c>
      <x:c r="C277" s="6" t="str">
        <x:v>Galaxy S 4 Active Charge Port Replacement</x:v>
      </x:c>
      <x:c r="D277" s="6" t="str">
        <x:v>Family-Level Compatibility</x:v>
      </x:c>
      <x:c r="E277" s="6" t="str">
        <x:v>PHN</x:v>
      </x:c>
      <x:c r="F277" s="6" t="str">
        <x:v>Device family alone is insufficient for governed relationship.</x:v>
      </x:c>
      <x:c r="G277" s="6" t="str">
        <x:v>Nocturnix_Master_Compatibility_Catalog_v1.xlsx</x:v>
      </x:c>
      <x:c r="H277" s="6" t="str">
        <x:v>01 - Compatibility Records</x:v>
      </x:c>
      <x:c r="I277" s="6" t="n">
        <x:v>316</x:v>
      </x:c>
      <x:c r="J277" s="12" t="str">
        <x:v>Explicit governed evidence supporting relationship</x:v>
      </x:c>
      <x:c r="K277" s="6" t="str">
        <x:v>Unresolved</x:v>
      </x:c>
      <x:c r="L277" s="6" t="str">
        <x:v>Yes</x:v>
      </x:c>
      <x:c r="M277" s="6" t="str"/>
      <x:c r="N277" s="6" t="str"/>
      <x:c r="O277" s="12" t="str"/>
    </x:row>
    <x:row r="278">
      <x:c r="A278" s="6" t="str">
        <x:v>UNS000277</x:v>
      </x:c>
      <x:c r="B278" s="6" t="str">
        <x:v>SVC000277</x:v>
      </x:c>
      <x:c r="C278" s="6" t="str">
        <x:v>Galaxy S 5 Charge Port Replacement</x:v>
      </x:c>
      <x:c r="D278" s="6" t="str">
        <x:v>Family-Level Compatibility</x:v>
      </x:c>
      <x:c r="E278" s="6" t="str">
        <x:v>PHN</x:v>
      </x:c>
      <x:c r="F278" s="6" t="str">
        <x:v>Device family alone is insufficient for governed relationship.</x:v>
      </x:c>
      <x:c r="G278" s="6" t="str">
        <x:v>Nocturnix_Master_Compatibility_Catalog_v1.xlsx</x:v>
      </x:c>
      <x:c r="H278" s="6" t="str">
        <x:v>01 - Compatibility Records</x:v>
      </x:c>
      <x:c r="I278" s="6" t="n">
        <x:v>317</x:v>
      </x:c>
      <x:c r="J278" s="12" t="str">
        <x:v>Explicit governed evidence supporting relationship</x:v>
      </x:c>
      <x:c r="K278" s="6" t="str">
        <x:v>Unresolved</x:v>
      </x:c>
      <x:c r="L278" s="6" t="str">
        <x:v>Yes</x:v>
      </x:c>
      <x:c r="M278" s="6" t="str"/>
      <x:c r="N278" s="6" t="str"/>
      <x:c r="O278" s="12" t="str"/>
    </x:row>
    <x:row r="279">
      <x:c r="A279" s="6" t="str">
        <x:v>UNS000278</x:v>
      </x:c>
      <x:c r="B279" s="6" t="str">
        <x:v>SVC000278</x:v>
      </x:c>
      <x:c r="C279" s="6" t="str">
        <x:v>Galaxy S 5 Neo Charge Port Replacement</x:v>
      </x:c>
      <x:c r="D279" s="6" t="str">
        <x:v>Family-Level Compatibility</x:v>
      </x:c>
      <x:c r="E279" s="6" t="str">
        <x:v>PHN</x:v>
      </x:c>
      <x:c r="F279" s="6" t="str">
        <x:v>Device family alone is insufficient for governed relationship.</x:v>
      </x:c>
      <x:c r="G279" s="6" t="str">
        <x:v>Nocturnix_Master_Compatibility_Catalog_v1.xlsx</x:v>
      </x:c>
      <x:c r="H279" s="6" t="str">
        <x:v>01 - Compatibility Records</x:v>
      </x:c>
      <x:c r="I279" s="6" t="n">
        <x:v>318</x:v>
      </x:c>
      <x:c r="J279" s="12" t="str">
        <x:v>Explicit governed evidence supporting relationship</x:v>
      </x:c>
      <x:c r="K279" s="6" t="str">
        <x:v>Unresolved</x:v>
      </x:c>
      <x:c r="L279" s="6" t="str">
        <x:v>Yes</x:v>
      </x:c>
      <x:c r="M279" s="6" t="str"/>
      <x:c r="N279" s="6" t="str"/>
      <x:c r="O279" s="12" t="str"/>
    </x:row>
    <x:row r="280">
      <x:c r="A280" s="6" t="str">
        <x:v>UNS000279</x:v>
      </x:c>
      <x:c r="B280" s="6" t="str">
        <x:v>SVC000279</x:v>
      </x:c>
      <x:c r="C280" s="6" t="str">
        <x:v>Galaxy S 5 Active Charge Port Replacement</x:v>
      </x:c>
      <x:c r="D280" s="6" t="str">
        <x:v>Family-Level Compatibility</x:v>
      </x:c>
      <x:c r="E280" s="6" t="str">
        <x:v>PHN</x:v>
      </x:c>
      <x:c r="F280" s="6" t="str">
        <x:v>Device family alone is insufficient for governed relationship.</x:v>
      </x:c>
      <x:c r="G280" s="6" t="str">
        <x:v>Nocturnix_Master_Compatibility_Catalog_v1.xlsx</x:v>
      </x:c>
      <x:c r="H280" s="6" t="str">
        <x:v>01 - Compatibility Records</x:v>
      </x:c>
      <x:c r="I280" s="6" t="n">
        <x:v>319</x:v>
      </x:c>
      <x:c r="J280" s="12" t="str">
        <x:v>Explicit governed evidence supporting relationship</x:v>
      </x:c>
      <x:c r="K280" s="6" t="str">
        <x:v>Unresolved</x:v>
      </x:c>
      <x:c r="L280" s="6" t="str">
        <x:v>Yes</x:v>
      </x:c>
      <x:c r="M280" s="6" t="str"/>
      <x:c r="N280" s="6" t="str"/>
      <x:c r="O280" s="12" t="str"/>
    </x:row>
    <x:row r="281">
      <x:c r="A281" s="6" t="str">
        <x:v>UNS000280</x:v>
      </x:c>
      <x:c r="B281" s="6" t="str">
        <x:v>SVC000280</x:v>
      </x:c>
      <x:c r="C281" s="6" t="str">
        <x:v>Galaxy S 6 Charge Port Replacement</x:v>
      </x:c>
      <x:c r="D281" s="6" t="str">
        <x:v>Family-Level Compatibility</x:v>
      </x:c>
      <x:c r="E281" s="6" t="str">
        <x:v>PHN</x:v>
      </x:c>
      <x:c r="F281" s="6" t="str">
        <x:v>Device family alone is insufficient for governed relationship.</x:v>
      </x:c>
      <x:c r="G281" s="6" t="str">
        <x:v>Nocturnix_Master_Compatibility_Catalog_v1.xlsx</x:v>
      </x:c>
      <x:c r="H281" s="6" t="str">
        <x:v>01 - Compatibility Records</x:v>
      </x:c>
      <x:c r="I281" s="6" t="n">
        <x:v>320</x:v>
      </x:c>
      <x:c r="J281" s="12" t="str">
        <x:v>Explicit governed evidence supporting relationship</x:v>
      </x:c>
      <x:c r="K281" s="6" t="str">
        <x:v>Unresolved</x:v>
      </x:c>
      <x:c r="L281" s="6" t="str">
        <x:v>Yes</x:v>
      </x:c>
      <x:c r="M281" s="6" t="str"/>
      <x:c r="N281" s="6" t="str"/>
      <x:c r="O281" s="12" t="str"/>
    </x:row>
    <x:row r="282">
      <x:c r="A282" s="6" t="str">
        <x:v>UNS000281</x:v>
      </x:c>
      <x:c r="B282" s="6" t="str">
        <x:v>SVC000281</x:v>
      </x:c>
      <x:c r="C282" s="6" t="str">
        <x:v>Galaxy S 6 Edge Charge Port Replacement</x:v>
      </x:c>
      <x:c r="D282" s="6" t="str">
        <x:v>Family-Level Compatibility</x:v>
      </x:c>
      <x:c r="E282" s="6" t="str">
        <x:v>PHN</x:v>
      </x:c>
      <x:c r="F282" s="6" t="str">
        <x:v>Device family alone is insufficient for governed relationship.</x:v>
      </x:c>
      <x:c r="G282" s="6" t="str">
        <x:v>Nocturnix_Master_Compatibility_Catalog_v1.xlsx</x:v>
      </x:c>
      <x:c r="H282" s="6" t="str">
        <x:v>01 - Compatibility Records</x:v>
      </x:c>
      <x:c r="I282" s="6" t="n">
        <x:v>321</x:v>
      </x:c>
      <x:c r="J282" s="12" t="str">
        <x:v>Explicit governed evidence supporting relationship</x:v>
      </x:c>
      <x:c r="K282" s="6" t="str">
        <x:v>Unresolved</x:v>
      </x:c>
      <x:c r="L282" s="6" t="str">
        <x:v>Yes</x:v>
      </x:c>
      <x:c r="M282" s="6" t="str"/>
      <x:c r="N282" s="6" t="str"/>
      <x:c r="O282" s="12" t="str"/>
    </x:row>
    <x:row r="283">
      <x:c r="A283" s="6" t="str">
        <x:v>UNS000282</x:v>
      </x:c>
      <x:c r="B283" s="6" t="str">
        <x:v>SVC000282</x:v>
      </x:c>
      <x:c r="C283" s="6" t="str">
        <x:v>Galaxy S 6 Edge Plus Charge Port Replacement</x:v>
      </x:c>
      <x:c r="D283" s="6" t="str">
        <x:v>Family-Level Compatibility</x:v>
      </x:c>
      <x:c r="E283" s="6" t="str">
        <x:v>PHN</x:v>
      </x:c>
      <x:c r="F283" s="6" t="str">
        <x:v>Device family alone is insufficient for governed relationship.</x:v>
      </x:c>
      <x:c r="G283" s="6" t="str">
        <x:v>Nocturnix_Master_Compatibility_Catalog_v1.xlsx</x:v>
      </x:c>
      <x:c r="H283" s="6" t="str">
        <x:v>01 - Compatibility Records</x:v>
      </x:c>
      <x:c r="I283" s="6" t="n">
        <x:v>322</x:v>
      </x:c>
      <x:c r="J283" s="12" t="str">
        <x:v>Explicit governed evidence supporting relationship</x:v>
      </x:c>
      <x:c r="K283" s="6" t="str">
        <x:v>Unresolved</x:v>
      </x:c>
      <x:c r="L283" s="6" t="str">
        <x:v>Yes</x:v>
      </x:c>
      <x:c r="M283" s="6" t="str"/>
      <x:c r="N283" s="6" t="str"/>
      <x:c r="O283" s="12" t="str"/>
    </x:row>
    <x:row r="284">
      <x:c r="A284" s="6" t="str">
        <x:v>UNS000283</x:v>
      </x:c>
      <x:c r="B284" s="6" t="str">
        <x:v>SVC000283</x:v>
      </x:c>
      <x:c r="C284" s="6" t="str">
        <x:v>Galaxy S 6 Active Charge Port Replacement</x:v>
      </x:c>
      <x:c r="D284" s="6" t="str">
        <x:v>Family-Level Compatibility</x:v>
      </x:c>
      <x:c r="E284" s="6" t="str">
        <x:v>PHN</x:v>
      </x:c>
      <x:c r="F284" s="6" t="str">
        <x:v>Device family alone is insufficient for governed relationship.</x:v>
      </x:c>
      <x:c r="G284" s="6" t="str">
        <x:v>Nocturnix_Master_Compatibility_Catalog_v1.xlsx</x:v>
      </x:c>
      <x:c r="H284" s="6" t="str">
        <x:v>01 - Compatibility Records</x:v>
      </x:c>
      <x:c r="I284" s="6" t="n">
        <x:v>323</x:v>
      </x:c>
      <x:c r="J284" s="12" t="str">
        <x:v>Explicit governed evidence supporting relationship</x:v>
      </x:c>
      <x:c r="K284" s="6" t="str">
        <x:v>Unresolved</x:v>
      </x:c>
      <x:c r="L284" s="6" t="str">
        <x:v>Yes</x:v>
      </x:c>
      <x:c r="M284" s="6" t="str"/>
      <x:c r="N284" s="6" t="str"/>
      <x:c r="O284" s="12" t="str"/>
    </x:row>
    <x:row r="285">
      <x:c r="A285" s="6" t="str">
        <x:v>UNS000284</x:v>
      </x:c>
      <x:c r="B285" s="6" t="str">
        <x:v>SVC000284</x:v>
      </x:c>
      <x:c r="C285" s="6" t="str">
        <x:v>Galaxy S 7 Charge Port Replacement</x:v>
      </x:c>
      <x:c r="D285" s="6" t="str">
        <x:v>Family-Level Compatibility</x:v>
      </x:c>
      <x:c r="E285" s="6" t="str">
        <x:v>PHN</x:v>
      </x:c>
      <x:c r="F285" s="6" t="str">
        <x:v>Device family alone is insufficient for governed relationship.</x:v>
      </x:c>
      <x:c r="G285" s="6" t="str">
        <x:v>Nocturnix_Master_Compatibility_Catalog_v1.xlsx</x:v>
      </x:c>
      <x:c r="H285" s="6" t="str">
        <x:v>01 - Compatibility Records</x:v>
      </x:c>
      <x:c r="I285" s="6" t="n">
        <x:v>324</x:v>
      </x:c>
      <x:c r="J285" s="12" t="str">
        <x:v>Explicit governed evidence supporting relationship</x:v>
      </x:c>
      <x:c r="K285" s="6" t="str">
        <x:v>Unresolved</x:v>
      </x:c>
      <x:c r="L285" s="6" t="str">
        <x:v>Yes</x:v>
      </x:c>
      <x:c r="M285" s="6" t="str"/>
      <x:c r="N285" s="6" t="str"/>
      <x:c r="O285" s="12" t="str"/>
    </x:row>
    <x:row r="286">
      <x:c r="A286" s="6" t="str">
        <x:v>UNS000285</x:v>
      </x:c>
      <x:c r="B286" s="6" t="str">
        <x:v>SVC000285</x:v>
      </x:c>
      <x:c r="C286" s="6" t="str">
        <x:v>Galaxy S 7 Edge Charge Port Replacement</x:v>
      </x:c>
      <x:c r="D286" s="6" t="str">
        <x:v>Family-Level Compatibility</x:v>
      </x:c>
      <x:c r="E286" s="6" t="str">
        <x:v>PHN</x:v>
      </x:c>
      <x:c r="F286" s="6" t="str">
        <x:v>Device family alone is insufficient for governed relationship.</x:v>
      </x:c>
      <x:c r="G286" s="6" t="str">
        <x:v>Nocturnix_Master_Compatibility_Catalog_v1.xlsx</x:v>
      </x:c>
      <x:c r="H286" s="6" t="str">
        <x:v>01 - Compatibility Records</x:v>
      </x:c>
      <x:c r="I286" s="6" t="n">
        <x:v>325</x:v>
      </x:c>
      <x:c r="J286" s="12" t="str">
        <x:v>Explicit governed evidence supporting relationship</x:v>
      </x:c>
      <x:c r="K286" s="6" t="str">
        <x:v>Unresolved</x:v>
      </x:c>
      <x:c r="L286" s="6" t="str">
        <x:v>Yes</x:v>
      </x:c>
      <x:c r="M286" s="6" t="str"/>
      <x:c r="N286" s="6" t="str"/>
      <x:c r="O286" s="12" t="str"/>
    </x:row>
    <x:row r="287">
      <x:c r="A287" s="6" t="str">
        <x:v>UNS000286</x:v>
      </x:c>
      <x:c r="B287" s="6" t="str">
        <x:v>SVC000286</x:v>
      </x:c>
      <x:c r="C287" s="6" t="str">
        <x:v>Galaxy S 7 Active Charge Port Replacement</x:v>
      </x:c>
      <x:c r="D287" s="6" t="str">
        <x:v>Family-Level Compatibility</x:v>
      </x:c>
      <x:c r="E287" s="6" t="str">
        <x:v>PHN</x:v>
      </x:c>
      <x:c r="F287" s="6" t="str">
        <x:v>Device family alone is insufficient for governed relationship.</x:v>
      </x:c>
      <x:c r="G287" s="6" t="str">
        <x:v>Nocturnix_Master_Compatibility_Catalog_v1.xlsx</x:v>
      </x:c>
      <x:c r="H287" s="6" t="str">
        <x:v>01 - Compatibility Records</x:v>
      </x:c>
      <x:c r="I287" s="6" t="n">
        <x:v>326</x:v>
      </x:c>
      <x:c r="J287" s="12" t="str">
        <x:v>Explicit governed evidence supporting relationship</x:v>
      </x:c>
      <x:c r="K287" s="6" t="str">
        <x:v>Unresolved</x:v>
      </x:c>
      <x:c r="L287" s="6" t="str">
        <x:v>Yes</x:v>
      </x:c>
      <x:c r="M287" s="6" t="str"/>
      <x:c r="N287" s="6" t="str"/>
      <x:c r="O287" s="12" t="str"/>
    </x:row>
    <x:row r="288">
      <x:c r="A288" s="6" t="str">
        <x:v>UNS000287</x:v>
      </x:c>
      <x:c r="B288" s="6" t="str">
        <x:v>SVC000287</x:v>
      </x:c>
      <x:c r="C288" s="6" t="str">
        <x:v>Galaxy S 8 Charge Port Replacement</x:v>
      </x:c>
      <x:c r="D288" s="6" t="str">
        <x:v>Family-Level Compatibility</x:v>
      </x:c>
      <x:c r="E288" s="6" t="str">
        <x:v>PHN</x:v>
      </x:c>
      <x:c r="F288" s="6" t="str">
        <x:v>Device family alone is insufficient for governed relationship.</x:v>
      </x:c>
      <x:c r="G288" s="6" t="str">
        <x:v>Nocturnix_Master_Compatibility_Catalog_v1.xlsx</x:v>
      </x:c>
      <x:c r="H288" s="6" t="str">
        <x:v>01 - Compatibility Records</x:v>
      </x:c>
      <x:c r="I288" s="6" t="n">
        <x:v>327</x:v>
      </x:c>
      <x:c r="J288" s="12" t="str">
        <x:v>Explicit governed evidence supporting relationship</x:v>
      </x:c>
      <x:c r="K288" s="6" t="str">
        <x:v>Unresolved</x:v>
      </x:c>
      <x:c r="L288" s="6" t="str">
        <x:v>Yes</x:v>
      </x:c>
      <x:c r="M288" s="6" t="str"/>
      <x:c r="N288" s="6" t="str"/>
      <x:c r="O288" s="12" t="str"/>
    </x:row>
    <x:row r="289">
      <x:c r="A289" s="6" t="str">
        <x:v>UNS000288</x:v>
      </x:c>
      <x:c r="B289" s="6" t="str">
        <x:v>SVC000288</x:v>
      </x:c>
      <x:c r="C289" s="6" t="str">
        <x:v>Galaxy S 8 Plus Charge Port Replacement</x:v>
      </x:c>
      <x:c r="D289" s="6" t="str">
        <x:v>Family-Level Compatibility</x:v>
      </x:c>
      <x:c r="E289" s="6" t="str">
        <x:v>PHN</x:v>
      </x:c>
      <x:c r="F289" s="6" t="str">
        <x:v>Device family alone is insufficient for governed relationship.</x:v>
      </x:c>
      <x:c r="G289" s="6" t="str">
        <x:v>Nocturnix_Master_Compatibility_Catalog_v1.xlsx</x:v>
      </x:c>
      <x:c r="H289" s="6" t="str">
        <x:v>01 - Compatibility Records</x:v>
      </x:c>
      <x:c r="I289" s="6" t="n">
        <x:v>328</x:v>
      </x:c>
      <x:c r="J289" s="12" t="str">
        <x:v>Explicit governed evidence supporting relationship</x:v>
      </x:c>
      <x:c r="K289" s="6" t="str">
        <x:v>Unresolved</x:v>
      </x:c>
      <x:c r="L289" s="6" t="str">
        <x:v>Yes</x:v>
      </x:c>
      <x:c r="M289" s="6" t="str"/>
      <x:c r="N289" s="6" t="str"/>
      <x:c r="O289" s="12" t="str"/>
    </x:row>
    <x:row r="290">
      <x:c r="A290" s="6" t="str">
        <x:v>UNS000289</x:v>
      </x:c>
      <x:c r="B290" s="6" t="str">
        <x:v>SVC000289</x:v>
      </x:c>
      <x:c r="C290" s="6" t="str">
        <x:v>Galaxy S 8 Active Charge Port Replacement</x:v>
      </x:c>
      <x:c r="D290" s="6" t="str">
        <x:v>Family-Level Compatibility</x:v>
      </x:c>
      <x:c r="E290" s="6" t="str">
        <x:v>PHN</x:v>
      </x:c>
      <x:c r="F290" s="6" t="str">
        <x:v>Device family alone is insufficient for governed relationship.</x:v>
      </x:c>
      <x:c r="G290" s="6" t="str">
        <x:v>Nocturnix_Master_Compatibility_Catalog_v1.xlsx</x:v>
      </x:c>
      <x:c r="H290" s="6" t="str">
        <x:v>01 - Compatibility Records</x:v>
      </x:c>
      <x:c r="I290" s="6" t="n">
        <x:v>329</x:v>
      </x:c>
      <x:c r="J290" s="12" t="str">
        <x:v>Explicit governed evidence supporting relationship</x:v>
      </x:c>
      <x:c r="K290" s="6" t="str">
        <x:v>Unresolved</x:v>
      </x:c>
      <x:c r="L290" s="6" t="str">
        <x:v>Yes</x:v>
      </x:c>
      <x:c r="M290" s="6" t="str"/>
      <x:c r="N290" s="6" t="str"/>
      <x:c r="O290" s="12" t="str"/>
    </x:row>
    <x:row r="291">
      <x:c r="A291" s="6" t="str">
        <x:v>UNS000290</x:v>
      </x:c>
      <x:c r="B291" s="6" t="str">
        <x:v>SVC000290</x:v>
      </x:c>
      <x:c r="C291" s="6" t="str">
        <x:v>Galaxy S 9 Charge Port Replacement</x:v>
      </x:c>
      <x:c r="D291" s="6" t="str">
        <x:v>Family-Level Compatibility</x:v>
      </x:c>
      <x:c r="E291" s="6" t="str">
        <x:v>PHN</x:v>
      </x:c>
      <x:c r="F291" s="6" t="str">
        <x:v>Device family alone is insufficient for governed relationship.</x:v>
      </x:c>
      <x:c r="G291" s="6" t="str">
        <x:v>Nocturnix_Master_Compatibility_Catalog_v1.xlsx</x:v>
      </x:c>
      <x:c r="H291" s="6" t="str">
        <x:v>01 - Compatibility Records</x:v>
      </x:c>
      <x:c r="I291" s="6" t="n">
        <x:v>330</x:v>
      </x:c>
      <x:c r="J291" s="12" t="str">
        <x:v>Explicit governed evidence supporting relationship</x:v>
      </x:c>
      <x:c r="K291" s="6" t="str">
        <x:v>Unresolved</x:v>
      </x:c>
      <x:c r="L291" s="6" t="str">
        <x:v>Yes</x:v>
      </x:c>
      <x:c r="M291" s="6" t="str"/>
      <x:c r="N291" s="6" t="str"/>
      <x:c r="O291" s="12" t="str"/>
    </x:row>
    <x:row r="292">
      <x:c r="A292" s="6" t="str">
        <x:v>UNS000291</x:v>
      </x:c>
      <x:c r="B292" s="6" t="str">
        <x:v>SVC000291</x:v>
      </x:c>
      <x:c r="C292" s="6" t="str">
        <x:v>Galaxy S 9 Plus Charge Port Replacement</x:v>
      </x:c>
      <x:c r="D292" s="6" t="str">
        <x:v>Family-Level Compatibility</x:v>
      </x:c>
      <x:c r="E292" s="6" t="str">
        <x:v>PHN</x:v>
      </x:c>
      <x:c r="F292" s="6" t="str">
        <x:v>Device family alone is insufficient for governed relationship.</x:v>
      </x:c>
      <x:c r="G292" s="6" t="str">
        <x:v>Nocturnix_Master_Compatibility_Catalog_v1.xlsx</x:v>
      </x:c>
      <x:c r="H292" s="6" t="str">
        <x:v>01 - Compatibility Records</x:v>
      </x:c>
      <x:c r="I292" s="6" t="n">
        <x:v>331</x:v>
      </x:c>
      <x:c r="J292" s="12" t="str">
        <x:v>Explicit governed evidence supporting relationship</x:v>
      </x:c>
      <x:c r="K292" s="6" t="str">
        <x:v>Unresolved</x:v>
      </x:c>
      <x:c r="L292" s="6" t="str">
        <x:v>Yes</x:v>
      </x:c>
      <x:c r="M292" s="6" t="str"/>
      <x:c r="N292" s="6" t="str"/>
      <x:c r="O292" s="12" t="str"/>
    </x:row>
    <x:row r="293">
      <x:c r="A293" s="6" t="str">
        <x:v>UNS000292</x:v>
      </x:c>
      <x:c r="B293" s="6" t="str">
        <x:v>SVC000292</x:v>
      </x:c>
      <x:c r="C293" s="6" t="str">
        <x:v>Galaxy S 10 Charge Port Replacement</x:v>
      </x:c>
      <x:c r="D293" s="6" t="str">
        <x:v>Family-Level Compatibility</x:v>
      </x:c>
      <x:c r="E293" s="6" t="str">
        <x:v>PHN</x:v>
      </x:c>
      <x:c r="F293" s="6" t="str">
        <x:v>Device family alone is insufficient for governed relationship.</x:v>
      </x:c>
      <x:c r="G293" s="6" t="str">
        <x:v>Nocturnix_Master_Compatibility_Catalog_v1.xlsx</x:v>
      </x:c>
      <x:c r="H293" s="6" t="str">
        <x:v>01 - Compatibility Records</x:v>
      </x:c>
      <x:c r="I293" s="6" t="n">
        <x:v>332</x:v>
      </x:c>
      <x:c r="J293" s="12" t="str">
        <x:v>Explicit governed evidence supporting relationship</x:v>
      </x:c>
      <x:c r="K293" s="6" t="str">
        <x:v>Unresolved</x:v>
      </x:c>
      <x:c r="L293" s="6" t="str">
        <x:v>Yes</x:v>
      </x:c>
      <x:c r="M293" s="6" t="str"/>
      <x:c r="N293" s="6" t="str"/>
      <x:c r="O293" s="12" t="str"/>
    </x:row>
    <x:row r="294">
      <x:c r="A294" s="6" t="str">
        <x:v>UNS000293</x:v>
      </x:c>
      <x:c r="B294" s="6" t="str">
        <x:v>SVC000293</x:v>
      </x:c>
      <x:c r="C294" s="6" t="str">
        <x:v>Galaxy S 10 Plus Charge Port Replacement</x:v>
      </x:c>
      <x:c r="D294" s="6" t="str">
        <x:v>Family-Level Compatibility</x:v>
      </x:c>
      <x:c r="E294" s="6" t="str">
        <x:v>PHN</x:v>
      </x:c>
      <x:c r="F294" s="6" t="str">
        <x:v>Device family alone is insufficient for governed relationship.</x:v>
      </x:c>
      <x:c r="G294" s="6" t="str">
        <x:v>Nocturnix_Master_Compatibility_Catalog_v1.xlsx</x:v>
      </x:c>
      <x:c r="H294" s="6" t="str">
        <x:v>01 - Compatibility Records</x:v>
      </x:c>
      <x:c r="I294" s="6" t="n">
        <x:v>333</x:v>
      </x:c>
      <x:c r="J294" s="12" t="str">
        <x:v>Explicit governed evidence supporting relationship</x:v>
      </x:c>
      <x:c r="K294" s="6" t="str">
        <x:v>Unresolved</x:v>
      </x:c>
      <x:c r="L294" s="6" t="str">
        <x:v>Yes</x:v>
      </x:c>
      <x:c r="M294" s="6" t="str"/>
      <x:c r="N294" s="6" t="str"/>
      <x:c r="O294" s="12" t="str"/>
    </x:row>
    <x:row r="295">
      <x:c r="A295" s="6" t="str">
        <x:v>UNS000294</x:v>
      </x:c>
      <x:c r="B295" s="6" t="str">
        <x:v>SVC000294</x:v>
      </x:c>
      <x:c r="C295" s="6" t="str">
        <x:v>Galaxy S 10 E Charge Port Replacement</x:v>
      </x:c>
      <x:c r="D295" s="6" t="str">
        <x:v>Family-Level Compatibility</x:v>
      </x:c>
      <x:c r="E295" s="6" t="str">
        <x:v>PHN</x:v>
      </x:c>
      <x:c r="F295" s="6" t="str">
        <x:v>Device family alone is insufficient for governed relationship.</x:v>
      </x:c>
      <x:c r="G295" s="6" t="str">
        <x:v>Nocturnix_Master_Compatibility_Catalog_v1.xlsx</x:v>
      </x:c>
      <x:c r="H295" s="6" t="str">
        <x:v>01 - Compatibility Records</x:v>
      </x:c>
      <x:c r="I295" s="6" t="n">
        <x:v>334</x:v>
      </x:c>
      <x:c r="J295" s="12" t="str">
        <x:v>Explicit governed evidence supporting relationship</x:v>
      </x:c>
      <x:c r="K295" s="6" t="str">
        <x:v>Unresolved</x:v>
      </x:c>
      <x:c r="L295" s="6" t="str">
        <x:v>Yes</x:v>
      </x:c>
      <x:c r="M295" s="6" t="str"/>
      <x:c r="N295" s="6" t="str"/>
      <x:c r="O295" s="12" t="str"/>
    </x:row>
    <x:row r="296">
      <x:c r="A296" s="6" t="str">
        <x:v>UNS000295</x:v>
      </x:c>
      <x:c r="B296" s="6" t="str">
        <x:v>SVC000295</x:v>
      </x:c>
      <x:c r="C296" s="6" t="str">
        <x:v>Galaxy Note 8 Charge Port Replacement</x:v>
      </x:c>
      <x:c r="D296" s="6" t="str">
        <x:v>Family-Level Compatibility</x:v>
      </x:c>
      <x:c r="E296" s="6" t="str">
        <x:v>PHN</x:v>
      </x:c>
      <x:c r="F296" s="6" t="str">
        <x:v>Device family alone is insufficient for governed relationship.</x:v>
      </x:c>
      <x:c r="G296" s="6" t="str">
        <x:v>Nocturnix_Master_Compatibility_Catalog_v1.xlsx</x:v>
      </x:c>
      <x:c r="H296" s="6" t="str">
        <x:v>01 - Compatibility Records</x:v>
      </x:c>
      <x:c r="I296" s="6" t="n">
        <x:v>335</x:v>
      </x:c>
      <x:c r="J296" s="12" t="str">
        <x:v>Explicit governed evidence supporting relationship</x:v>
      </x:c>
      <x:c r="K296" s="6" t="str">
        <x:v>Unresolved</x:v>
      </x:c>
      <x:c r="L296" s="6" t="str">
        <x:v>Yes</x:v>
      </x:c>
      <x:c r="M296" s="6" t="str"/>
      <x:c r="N296" s="6" t="str"/>
      <x:c r="O296" s="12" t="str"/>
    </x:row>
    <x:row r="297">
      <x:c r="A297" s="6" t="str">
        <x:v>UNS000296</x:v>
      </x:c>
      <x:c r="B297" s="6" t="str">
        <x:v>SVC000296</x:v>
      </x:c>
      <x:c r="C297" s="6" t="str">
        <x:v>Galaxy Note 9 Charge Port Replacement</x:v>
      </x:c>
      <x:c r="D297" s="6" t="str">
        <x:v>Family-Level Compatibility</x:v>
      </x:c>
      <x:c r="E297" s="6" t="str">
        <x:v>PHN</x:v>
      </x:c>
      <x:c r="F297" s="6" t="str">
        <x:v>Device family alone is insufficient for governed relationship.</x:v>
      </x:c>
      <x:c r="G297" s="6" t="str">
        <x:v>Nocturnix_Master_Compatibility_Catalog_v1.xlsx</x:v>
      </x:c>
      <x:c r="H297" s="6" t="str">
        <x:v>01 - Compatibility Records</x:v>
      </x:c>
      <x:c r="I297" s="6" t="n">
        <x:v>336</x:v>
      </x:c>
      <x:c r="J297" s="12" t="str">
        <x:v>Explicit governed evidence supporting relationship</x:v>
      </x:c>
      <x:c r="K297" s="6" t="str">
        <x:v>Unresolved</x:v>
      </x:c>
      <x:c r="L297" s="6" t="str">
        <x:v>Yes</x:v>
      </x:c>
      <x:c r="M297" s="6" t="str"/>
      <x:c r="N297" s="6" t="str"/>
      <x:c r="O297" s="12" t="str"/>
    </x:row>
    <x:row r="298">
      <x:c r="A298" s="6" t="str">
        <x:v>UNS000297</x:v>
      </x:c>
      <x:c r="B298" s="6" t="str">
        <x:v>SVC000297</x:v>
      </x:c>
      <x:c r="C298" s="6" t="str">
        <x:v>Galaxy Note 10 Plus Charge Port Replacement</x:v>
      </x:c>
      <x:c r="D298" s="6" t="str">
        <x:v>Family-Level Compatibility</x:v>
      </x:c>
      <x:c r="E298" s="6" t="str">
        <x:v>PHN</x:v>
      </x:c>
      <x:c r="F298" s="6" t="str">
        <x:v>Device family alone is insufficient for governed relationship.</x:v>
      </x:c>
      <x:c r="G298" s="6" t="str">
        <x:v>Nocturnix_Master_Compatibility_Catalog_v1.xlsx</x:v>
      </x:c>
      <x:c r="H298" s="6" t="str">
        <x:v>01 - Compatibility Records</x:v>
      </x:c>
      <x:c r="I298" s="6" t="n">
        <x:v>337</x:v>
      </x:c>
      <x:c r="J298" s="12" t="str">
        <x:v>Explicit governed evidence supporting relationship</x:v>
      </x:c>
      <x:c r="K298" s="6" t="str">
        <x:v>Unresolved</x:v>
      </x:c>
      <x:c r="L298" s="6" t="str">
        <x:v>Yes</x:v>
      </x:c>
      <x:c r="M298" s="6" t="str"/>
      <x:c r="N298" s="6" t="str"/>
      <x:c r="O298" s="12" t="str"/>
    </x:row>
    <x:row r="299">
      <x:c r="A299" s="6" t="str">
        <x:v>UNS000298</x:v>
      </x:c>
      <x:c r="B299" s="6" t="str">
        <x:v>SVC000298</x:v>
      </x:c>
      <x:c r="C299" s="6" t="str">
        <x:v>Galaxy S 20 Charge Port Replacement</x:v>
      </x:c>
      <x:c r="D299" s="6" t="str">
        <x:v>Family-Level Compatibility</x:v>
      </x:c>
      <x:c r="E299" s="6" t="str">
        <x:v>PHN</x:v>
      </x:c>
      <x:c r="F299" s="6" t="str">
        <x:v>Device family alone is insufficient for governed relationship.</x:v>
      </x:c>
      <x:c r="G299" s="6" t="str">
        <x:v>Nocturnix_Master_Compatibility_Catalog_v1.xlsx</x:v>
      </x:c>
      <x:c r="H299" s="6" t="str">
        <x:v>01 - Compatibility Records</x:v>
      </x:c>
      <x:c r="I299" s="6" t="n">
        <x:v>338</x:v>
      </x:c>
      <x:c r="J299" s="12" t="str">
        <x:v>Explicit governed evidence supporting relationship</x:v>
      </x:c>
      <x:c r="K299" s="6" t="str">
        <x:v>Unresolved</x:v>
      </x:c>
      <x:c r="L299" s="6" t="str">
        <x:v>Yes</x:v>
      </x:c>
      <x:c r="M299" s="6" t="str"/>
      <x:c r="N299" s="6" t="str"/>
      <x:c r="O299" s="12" t="str"/>
    </x:row>
    <x:row r="300">
      <x:c r="A300" s="6" t="str">
        <x:v>UNS000299</x:v>
      </x:c>
      <x:c r="B300" s="6" t="str">
        <x:v>SVC000299</x:v>
      </x:c>
      <x:c r="C300" s="6" t="str">
        <x:v>Galaxy S 20 Plus Charge Port Replacement</x:v>
      </x:c>
      <x:c r="D300" s="6" t="str">
        <x:v>Family-Level Compatibility</x:v>
      </x:c>
      <x:c r="E300" s="6" t="str">
        <x:v>PHN</x:v>
      </x:c>
      <x:c r="F300" s="6" t="str">
        <x:v>Device family alone is insufficient for governed relationship.</x:v>
      </x:c>
      <x:c r="G300" s="6" t="str">
        <x:v>Nocturnix_Master_Compatibility_Catalog_v1.xlsx</x:v>
      </x:c>
      <x:c r="H300" s="6" t="str">
        <x:v>01 - Compatibility Records</x:v>
      </x:c>
      <x:c r="I300" s="6" t="n">
        <x:v>339</x:v>
      </x:c>
      <x:c r="J300" s="12" t="str">
        <x:v>Explicit governed evidence supporting relationship</x:v>
      </x:c>
      <x:c r="K300" s="6" t="str">
        <x:v>Unresolved</x:v>
      </x:c>
      <x:c r="L300" s="6" t="str">
        <x:v>Yes</x:v>
      </x:c>
      <x:c r="M300" s="6" t="str"/>
      <x:c r="N300" s="6" t="str"/>
      <x:c r="O300" s="12" t="str"/>
    </x:row>
    <x:row r="301">
      <x:c r="A301" s="6" t="str">
        <x:v>UNS000300</x:v>
      </x:c>
      <x:c r="B301" s="6" t="str">
        <x:v>SVC000300</x:v>
      </x:c>
      <x:c r="C301" s="6" t="str">
        <x:v>Galaxy S 20 Ultra Charge Port Replacement</x:v>
      </x:c>
      <x:c r="D301" s="6" t="str">
        <x:v>Family-Level Compatibility</x:v>
      </x:c>
      <x:c r="E301" s="6" t="str">
        <x:v>PHN</x:v>
      </x:c>
      <x:c r="F301" s="6" t="str">
        <x:v>Device family alone is insufficient for governed relationship.</x:v>
      </x:c>
      <x:c r="G301" s="6" t="str">
        <x:v>Nocturnix_Master_Compatibility_Catalog_v1.xlsx</x:v>
      </x:c>
      <x:c r="H301" s="6" t="str">
        <x:v>01 - Compatibility Records</x:v>
      </x:c>
      <x:c r="I301" s="6" t="n">
        <x:v>340</x:v>
      </x:c>
      <x:c r="J301" s="12" t="str">
        <x:v>Explicit governed evidence supporting relationship</x:v>
      </x:c>
      <x:c r="K301" s="6" t="str">
        <x:v>Unresolved</x:v>
      </x:c>
      <x:c r="L301" s="6" t="str">
        <x:v>Yes</x:v>
      </x:c>
      <x:c r="M301" s="6" t="str"/>
      <x:c r="N301" s="6" t="str"/>
      <x:c r="O301" s="12" t="str"/>
    </x:row>
    <x:row r="302">
      <x:c r="A302" s="6" t="str">
        <x:v>UNS000301</x:v>
      </x:c>
      <x:c r="B302" s="6" t="str">
        <x:v>SVC000301</x:v>
      </x:c>
      <x:c r="C302" s="6" t="str">
        <x:v>Galaxy S 20 FE Charge Port Replacement</x:v>
      </x:c>
      <x:c r="D302" s="6" t="str">
        <x:v>Family-Level Compatibility</x:v>
      </x:c>
      <x:c r="E302" s="6" t="str">
        <x:v>PHN</x:v>
      </x:c>
      <x:c r="F302" s="6" t="str">
        <x:v>Device family alone is insufficient for governed relationship.</x:v>
      </x:c>
      <x:c r="G302" s="6" t="str">
        <x:v>Nocturnix_Master_Compatibility_Catalog_v1.xlsx</x:v>
      </x:c>
      <x:c r="H302" s="6" t="str">
        <x:v>01 - Compatibility Records</x:v>
      </x:c>
      <x:c r="I302" s="6" t="n">
        <x:v>341</x:v>
      </x:c>
      <x:c r="J302" s="12" t="str">
        <x:v>Explicit governed evidence supporting relationship</x:v>
      </x:c>
      <x:c r="K302" s="6" t="str">
        <x:v>Unresolved</x:v>
      </x:c>
      <x:c r="L302" s="6" t="str">
        <x:v>Yes</x:v>
      </x:c>
      <x:c r="M302" s="6" t="str"/>
      <x:c r="N302" s="6" t="str"/>
      <x:c r="O302" s="12" t="str"/>
    </x:row>
    <x:row r="303">
      <x:c r="A303" s="6" t="str">
        <x:v>UNS000302</x:v>
      </x:c>
      <x:c r="B303" s="6" t="str">
        <x:v>SVC000302</x:v>
      </x:c>
      <x:c r="C303" s="6" t="str">
        <x:v>Galaxy S 21 Charge Port Replacement</x:v>
      </x:c>
      <x:c r="D303" s="6" t="str">
        <x:v>Family-Level Compatibility</x:v>
      </x:c>
      <x:c r="E303" s="6" t="str">
        <x:v>PHN</x:v>
      </x:c>
      <x:c r="F303" s="6" t="str">
        <x:v>Device family alone is insufficient for governed relationship.</x:v>
      </x:c>
      <x:c r="G303" s="6" t="str">
        <x:v>Nocturnix_Master_Compatibility_Catalog_v1.xlsx</x:v>
      </x:c>
      <x:c r="H303" s="6" t="str">
        <x:v>01 - Compatibility Records</x:v>
      </x:c>
      <x:c r="I303" s="6" t="n">
        <x:v>342</x:v>
      </x:c>
      <x:c r="J303" s="12" t="str">
        <x:v>Explicit governed evidence supporting relationship</x:v>
      </x:c>
      <x:c r="K303" s="6" t="str">
        <x:v>Unresolved</x:v>
      </x:c>
      <x:c r="L303" s="6" t="str">
        <x:v>Yes</x:v>
      </x:c>
      <x:c r="M303" s="6" t="str"/>
      <x:c r="N303" s="6" t="str"/>
      <x:c r="O303" s="12" t="str"/>
    </x:row>
    <x:row r="304">
      <x:c r="A304" s="6" t="str">
        <x:v>UNS000303</x:v>
      </x:c>
      <x:c r="B304" s="6" t="str">
        <x:v>SVC000303</x:v>
      </x:c>
      <x:c r="C304" s="6" t="str">
        <x:v>Galaxy S 21 Plus Charge Port Replacement</x:v>
      </x:c>
      <x:c r="D304" s="6" t="str">
        <x:v>Family-Level Compatibility</x:v>
      </x:c>
      <x:c r="E304" s="6" t="str">
        <x:v>PHN</x:v>
      </x:c>
      <x:c r="F304" s="6" t="str">
        <x:v>Device family alone is insufficient for governed relationship.</x:v>
      </x:c>
      <x:c r="G304" s="6" t="str">
        <x:v>Nocturnix_Master_Compatibility_Catalog_v1.xlsx</x:v>
      </x:c>
      <x:c r="H304" s="6" t="str">
        <x:v>01 - Compatibility Records</x:v>
      </x:c>
      <x:c r="I304" s="6" t="n">
        <x:v>343</x:v>
      </x:c>
      <x:c r="J304" s="12" t="str">
        <x:v>Explicit governed evidence supporting relationship</x:v>
      </x:c>
      <x:c r="K304" s="6" t="str">
        <x:v>Unresolved</x:v>
      </x:c>
      <x:c r="L304" s="6" t="str">
        <x:v>Yes</x:v>
      </x:c>
      <x:c r="M304" s="6" t="str"/>
      <x:c r="N304" s="6" t="str"/>
      <x:c r="O304" s="12" t="str"/>
    </x:row>
    <x:row r="305">
      <x:c r="A305" s="6" t="str">
        <x:v>UNS000304</x:v>
      </x:c>
      <x:c r="B305" s="6" t="str">
        <x:v>SVC000304</x:v>
      </x:c>
      <x:c r="C305" s="6" t="str">
        <x:v>Galaxy S 21 FE Charge Port Replacement</x:v>
      </x:c>
      <x:c r="D305" s="6" t="str">
        <x:v>Family-Level Compatibility</x:v>
      </x:c>
      <x:c r="E305" s="6" t="str">
        <x:v>PHN</x:v>
      </x:c>
      <x:c r="F305" s="6" t="str">
        <x:v>Device family alone is insufficient for governed relationship.</x:v>
      </x:c>
      <x:c r="G305" s="6" t="str">
        <x:v>Nocturnix_Master_Compatibility_Catalog_v1.xlsx</x:v>
      </x:c>
      <x:c r="H305" s="6" t="str">
        <x:v>01 - Compatibility Records</x:v>
      </x:c>
      <x:c r="I305" s="6" t="n">
        <x:v>344</x:v>
      </x:c>
      <x:c r="J305" s="12" t="str">
        <x:v>Explicit governed evidence supporting relationship</x:v>
      </x:c>
      <x:c r="K305" s="6" t="str">
        <x:v>Unresolved</x:v>
      </x:c>
      <x:c r="L305" s="6" t="str">
        <x:v>Yes</x:v>
      </x:c>
      <x:c r="M305" s="6" t="str"/>
      <x:c r="N305" s="6" t="str"/>
      <x:c r="O305" s="12" t="str"/>
    </x:row>
    <x:row r="306">
      <x:c r="A306" s="6" t="str">
        <x:v>UNS000305</x:v>
      </x:c>
      <x:c r="B306" s="6" t="str">
        <x:v>SVC000305</x:v>
      </x:c>
      <x:c r="C306" s="6" t="str">
        <x:v>Galaxy S 22 Charge Port Replacement</x:v>
      </x:c>
      <x:c r="D306" s="6" t="str">
        <x:v>Family-Level Compatibility</x:v>
      </x:c>
      <x:c r="E306" s="6" t="str">
        <x:v>PHN</x:v>
      </x:c>
      <x:c r="F306" s="6" t="str">
        <x:v>Device family alone is insufficient for governed relationship.</x:v>
      </x:c>
      <x:c r="G306" s="6" t="str">
        <x:v>Nocturnix_Master_Compatibility_Catalog_v1.xlsx</x:v>
      </x:c>
      <x:c r="H306" s="6" t="str">
        <x:v>01 - Compatibility Records</x:v>
      </x:c>
      <x:c r="I306" s="6" t="n">
        <x:v>345</x:v>
      </x:c>
      <x:c r="J306" s="12" t="str">
        <x:v>Explicit governed evidence supporting relationship</x:v>
      </x:c>
      <x:c r="K306" s="6" t="str">
        <x:v>Unresolved</x:v>
      </x:c>
      <x:c r="L306" s="6" t="str">
        <x:v>Yes</x:v>
      </x:c>
      <x:c r="M306" s="6" t="str"/>
      <x:c r="N306" s="6" t="str"/>
      <x:c r="O306" s="12" t="str"/>
    </x:row>
    <x:row r="307">
      <x:c r="A307" s="6" t="str">
        <x:v>UNS000306</x:v>
      </x:c>
      <x:c r="B307" s="6" t="str">
        <x:v>SVC000306</x:v>
      </x:c>
      <x:c r="C307" s="6" t="str">
        <x:v>Galaxy S 22 Plus Charge Port Replacement</x:v>
      </x:c>
      <x:c r="D307" s="6" t="str">
        <x:v>Family-Level Compatibility</x:v>
      </x:c>
      <x:c r="E307" s="6" t="str">
        <x:v>PHN</x:v>
      </x:c>
      <x:c r="F307" s="6" t="str">
        <x:v>Device family alone is insufficient for governed relationship.</x:v>
      </x:c>
      <x:c r="G307" s="6" t="str">
        <x:v>Nocturnix_Master_Compatibility_Catalog_v1.xlsx</x:v>
      </x:c>
      <x:c r="H307" s="6" t="str">
        <x:v>01 - Compatibility Records</x:v>
      </x:c>
      <x:c r="I307" s="6" t="n">
        <x:v>346</x:v>
      </x:c>
      <x:c r="J307" s="12" t="str">
        <x:v>Explicit governed evidence supporting relationship</x:v>
      </x:c>
      <x:c r="K307" s="6" t="str">
        <x:v>Unresolved</x:v>
      </x:c>
      <x:c r="L307" s="6" t="str">
        <x:v>Yes</x:v>
      </x:c>
      <x:c r="M307" s="6" t="str"/>
      <x:c r="N307" s="6" t="str"/>
      <x:c r="O307" s="12" t="str"/>
    </x:row>
    <x:row r="308">
      <x:c r="A308" s="6" t="str">
        <x:v>UNS000307</x:v>
      </x:c>
      <x:c r="B308" s="6" t="str">
        <x:v>SVC000307</x:v>
      </x:c>
      <x:c r="C308" s="6" t="str">
        <x:v>Galaxy S 22 Ultra Charge Port Replacement</x:v>
      </x:c>
      <x:c r="D308" s="6" t="str">
        <x:v>Family-Level Compatibility</x:v>
      </x:c>
      <x:c r="E308" s="6" t="str">
        <x:v>PHN</x:v>
      </x:c>
      <x:c r="F308" s="6" t="str">
        <x:v>Device family alone is insufficient for governed relationship.</x:v>
      </x:c>
      <x:c r="G308" s="6" t="str">
        <x:v>Nocturnix_Master_Compatibility_Catalog_v1.xlsx</x:v>
      </x:c>
      <x:c r="H308" s="6" t="str">
        <x:v>01 - Compatibility Records</x:v>
      </x:c>
      <x:c r="I308" s="6" t="n">
        <x:v>347</x:v>
      </x:c>
      <x:c r="J308" s="12" t="str">
        <x:v>Explicit governed evidence supporting relationship</x:v>
      </x:c>
      <x:c r="K308" s="6" t="str">
        <x:v>Unresolved</x:v>
      </x:c>
      <x:c r="L308" s="6" t="str">
        <x:v>Yes</x:v>
      </x:c>
      <x:c r="M308" s="6" t="str"/>
      <x:c r="N308" s="6" t="str"/>
      <x:c r="O308" s="12" t="str"/>
    </x:row>
    <x:row r="309">
      <x:c r="A309" s="6" t="str">
        <x:v>UNS000308</x:v>
      </x:c>
      <x:c r="B309" s="6" t="str">
        <x:v>SVC000308</x:v>
      </x:c>
      <x:c r="C309" s="6" t="str">
        <x:v>Galaxy S 23 Charge Port Replacement</x:v>
      </x:c>
      <x:c r="D309" s="6" t="str">
        <x:v>Family-Level Compatibility</x:v>
      </x:c>
      <x:c r="E309" s="6" t="str">
        <x:v>PHN</x:v>
      </x:c>
      <x:c r="F309" s="6" t="str">
        <x:v>Device family alone is insufficient for governed relationship.</x:v>
      </x:c>
      <x:c r="G309" s="6" t="str">
        <x:v>Nocturnix_Master_Compatibility_Catalog_v1.xlsx</x:v>
      </x:c>
      <x:c r="H309" s="6" t="str">
        <x:v>01 - Compatibility Records</x:v>
      </x:c>
      <x:c r="I309" s="6" t="n">
        <x:v>348</x:v>
      </x:c>
      <x:c r="J309" s="12" t="str">
        <x:v>Explicit governed evidence supporting relationship</x:v>
      </x:c>
      <x:c r="K309" s="6" t="str">
        <x:v>Unresolved</x:v>
      </x:c>
      <x:c r="L309" s="6" t="str">
        <x:v>Yes</x:v>
      </x:c>
      <x:c r="M309" s="6" t="str"/>
      <x:c r="N309" s="6" t="str"/>
      <x:c r="O309" s="12" t="str"/>
    </x:row>
    <x:row r="310">
      <x:c r="A310" s="6" t="str">
        <x:v>UNS000309</x:v>
      </x:c>
      <x:c r="B310" s="6" t="str">
        <x:v>SVC000309</x:v>
      </x:c>
      <x:c r="C310" s="6" t="str">
        <x:v>Galaxy S 23 Plus Charge Port Replacement</x:v>
      </x:c>
      <x:c r="D310" s="6" t="str">
        <x:v>Family-Level Compatibility</x:v>
      </x:c>
      <x:c r="E310" s="6" t="str">
        <x:v>PHN</x:v>
      </x:c>
      <x:c r="F310" s="6" t="str">
        <x:v>Device family alone is insufficient for governed relationship.</x:v>
      </x:c>
      <x:c r="G310" s="6" t="str">
        <x:v>Nocturnix_Master_Compatibility_Catalog_v1.xlsx</x:v>
      </x:c>
      <x:c r="H310" s="6" t="str">
        <x:v>01 - Compatibility Records</x:v>
      </x:c>
      <x:c r="I310" s="6" t="n">
        <x:v>349</x:v>
      </x:c>
      <x:c r="J310" s="12" t="str">
        <x:v>Explicit governed evidence supporting relationship</x:v>
      </x:c>
      <x:c r="K310" s="6" t="str">
        <x:v>Unresolved</x:v>
      </x:c>
      <x:c r="L310" s="6" t="str">
        <x:v>Yes</x:v>
      </x:c>
      <x:c r="M310" s="6" t="str"/>
      <x:c r="N310" s="6" t="str"/>
      <x:c r="O310" s="12" t="str"/>
    </x:row>
    <x:row r="311">
      <x:c r="A311" s="6" t="str">
        <x:v>UNS000310</x:v>
      </x:c>
      <x:c r="B311" s="6" t="str">
        <x:v>SVC000310</x:v>
      </x:c>
      <x:c r="C311" s="6" t="str">
        <x:v>Galaxy S 23 Ultra Charge Port Replacement</x:v>
      </x:c>
      <x:c r="D311" s="6" t="str">
        <x:v>Family-Level Compatibility</x:v>
      </x:c>
      <x:c r="E311" s="6" t="str">
        <x:v>PHN</x:v>
      </x:c>
      <x:c r="F311" s="6" t="str">
        <x:v>Device family alone is insufficient for governed relationship.</x:v>
      </x:c>
      <x:c r="G311" s="6" t="str">
        <x:v>Nocturnix_Master_Compatibility_Catalog_v1.xlsx</x:v>
      </x:c>
      <x:c r="H311" s="6" t="str">
        <x:v>01 - Compatibility Records</x:v>
      </x:c>
      <x:c r="I311" s="6" t="n">
        <x:v>350</x:v>
      </x:c>
      <x:c r="J311" s="12" t="str">
        <x:v>Explicit governed evidence supporting relationship</x:v>
      </x:c>
      <x:c r="K311" s="6" t="str">
        <x:v>Unresolved</x:v>
      </x:c>
      <x:c r="L311" s="6" t="str">
        <x:v>Yes</x:v>
      </x:c>
      <x:c r="M311" s="6" t="str"/>
      <x:c r="N311" s="6" t="str"/>
      <x:c r="O311" s="12" t="str"/>
    </x:row>
    <x:row r="312">
      <x:c r="A312" s="6" t="str">
        <x:v>UNS000311</x:v>
      </x:c>
      <x:c r="B312" s="6" t="str">
        <x:v>SVC000311</x:v>
      </x:c>
      <x:c r="C312" s="6" t="str">
        <x:v>Galaxy S 23 FE Charge Port Replacement</x:v>
      </x:c>
      <x:c r="D312" s="6" t="str">
        <x:v>Family-Level Compatibility</x:v>
      </x:c>
      <x:c r="E312" s="6" t="str">
        <x:v>PHN</x:v>
      </x:c>
      <x:c r="F312" s="6" t="str">
        <x:v>Device family alone is insufficient for governed relationship.</x:v>
      </x:c>
      <x:c r="G312" s="6" t="str">
        <x:v>Nocturnix_Master_Compatibility_Catalog_v1.xlsx</x:v>
      </x:c>
      <x:c r="H312" s="6" t="str">
        <x:v>01 - Compatibility Records</x:v>
      </x:c>
      <x:c r="I312" s="6" t="n">
        <x:v>351</x:v>
      </x:c>
      <x:c r="J312" s="12" t="str">
        <x:v>Explicit governed evidence supporting relationship</x:v>
      </x:c>
      <x:c r="K312" s="6" t="str">
        <x:v>Unresolved</x:v>
      </x:c>
      <x:c r="L312" s="6" t="str">
        <x:v>Yes</x:v>
      </x:c>
      <x:c r="M312" s="6" t="str"/>
      <x:c r="N312" s="6" t="str"/>
      <x:c r="O312" s="12" t="str"/>
    </x:row>
    <x:row r="313">
      <x:c r="A313" s="6" t="str">
        <x:v>UNS000312</x:v>
      </x:c>
      <x:c r="B313" s="6" t="str">
        <x:v>SVC000312</x:v>
      </x:c>
      <x:c r="C313" s="6" t="str">
        <x:v>Galaxy S 24 Charge Port Replacement</x:v>
      </x:c>
      <x:c r="D313" s="6" t="str">
        <x:v>Family-Level Compatibility</x:v>
      </x:c>
      <x:c r="E313" s="6" t="str">
        <x:v>PHN</x:v>
      </x:c>
      <x:c r="F313" s="6" t="str">
        <x:v>Device family alone is insufficient for governed relationship.</x:v>
      </x:c>
      <x:c r="G313" s="6" t="str">
        <x:v>Nocturnix_Master_Compatibility_Catalog_v1.xlsx</x:v>
      </x:c>
      <x:c r="H313" s="6" t="str">
        <x:v>01 - Compatibility Records</x:v>
      </x:c>
      <x:c r="I313" s="6" t="n">
        <x:v>352</x:v>
      </x:c>
      <x:c r="J313" s="12" t="str">
        <x:v>Explicit governed evidence supporting relationship</x:v>
      </x:c>
      <x:c r="K313" s="6" t="str">
        <x:v>Unresolved</x:v>
      </x:c>
      <x:c r="L313" s="6" t="str">
        <x:v>Yes</x:v>
      </x:c>
      <x:c r="M313" s="6" t="str"/>
      <x:c r="N313" s="6" t="str"/>
      <x:c r="O313" s="12" t="str"/>
    </x:row>
    <x:row r="314">
      <x:c r="A314" s="6" t="str">
        <x:v>UNS000313</x:v>
      </x:c>
      <x:c r="B314" s="6" t="str">
        <x:v>SVC000313</x:v>
      </x:c>
      <x:c r="C314" s="6" t="str">
        <x:v>Galaxy S 24 Plus Charge Port Replacement</x:v>
      </x:c>
      <x:c r="D314" s="6" t="str">
        <x:v>Family-Level Compatibility</x:v>
      </x:c>
      <x:c r="E314" s="6" t="str">
        <x:v>PHN</x:v>
      </x:c>
      <x:c r="F314" s="6" t="str">
        <x:v>Device family alone is insufficient for governed relationship.</x:v>
      </x:c>
      <x:c r="G314" s="6" t="str">
        <x:v>Nocturnix_Master_Compatibility_Catalog_v1.xlsx</x:v>
      </x:c>
      <x:c r="H314" s="6" t="str">
        <x:v>01 - Compatibility Records</x:v>
      </x:c>
      <x:c r="I314" s="6" t="n">
        <x:v>353</x:v>
      </x:c>
      <x:c r="J314" s="12" t="str">
        <x:v>Explicit governed evidence supporting relationship</x:v>
      </x:c>
      <x:c r="K314" s="6" t="str">
        <x:v>Unresolved</x:v>
      </x:c>
      <x:c r="L314" s="6" t="str">
        <x:v>Yes</x:v>
      </x:c>
      <x:c r="M314" s="6" t="str"/>
      <x:c r="N314" s="6" t="str"/>
      <x:c r="O314" s="12" t="str"/>
    </x:row>
    <x:row r="315">
      <x:c r="A315" s="6" t="str">
        <x:v>UNS000314</x:v>
      </x:c>
      <x:c r="B315" s="6" t="str">
        <x:v>SVC000314</x:v>
      </x:c>
      <x:c r="C315" s="6" t="str">
        <x:v>Galaxy S 24 Ultra Charge Port Replacement</x:v>
      </x:c>
      <x:c r="D315" s="6" t="str">
        <x:v>Family-Level Compatibility</x:v>
      </x:c>
      <x:c r="E315" s="6" t="str">
        <x:v>PHN</x:v>
      </x:c>
      <x:c r="F315" s="6" t="str">
        <x:v>Device family alone is insufficient for governed relationship.</x:v>
      </x:c>
      <x:c r="G315" s="6" t="str">
        <x:v>Nocturnix_Master_Compatibility_Catalog_v1.xlsx</x:v>
      </x:c>
      <x:c r="H315" s="6" t="str">
        <x:v>01 - Compatibility Records</x:v>
      </x:c>
      <x:c r="I315" s="6" t="n">
        <x:v>354</x:v>
      </x:c>
      <x:c r="J315" s="12" t="str">
        <x:v>Explicit governed evidence supporting relationship</x:v>
      </x:c>
      <x:c r="K315" s="6" t="str">
        <x:v>Unresolved</x:v>
      </x:c>
      <x:c r="L315" s="6" t="str">
        <x:v>Yes</x:v>
      </x:c>
      <x:c r="M315" s="6" t="str"/>
      <x:c r="N315" s="6" t="str"/>
      <x:c r="O315" s="12" t="str"/>
    </x:row>
  </x:sheetData>
  <x:dataValidations count="3">
    <x:dataValidation type="list" sqref="K2:K315">
      <x:formula1>"Evidence Located,Confirm Unsupported,Not Applicable,Escalate,Unresolved"</x:formula1>
    </x:dataValidation>
    <x:dataValidation type="list" sqref="L2:L315">
      <x:formula1>"Yes,No,Unknown"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2342a670d34c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7.1299991607666" hidden="0" customWidth="1"/>
    <x:col min="3" max="3" width="14.380000114440918" hidden="0" customWidth="1"/>
    <x:col min="4" max="4" width="11.25" hidden="0" customWidth="1"/>
    <x:col min="5" max="5" width="9.5" hidden="0" customWidth="1"/>
    <x:col min="6" max="6" width="13.630000114440918" hidden="0" customWidth="1"/>
    <x:col min="7" max="7" width="14.880000114440918" hidden="0" customWidth="1"/>
    <x:col min="8" max="8" width="18.1299991607666" hidden="0" customWidth="1"/>
    <x:col min="9" max="9" width="10" hidden="0" customWidth="1"/>
    <x:col min="10" max="10" width="12.380000114440918" hidden="0" customWidth="1"/>
    <x:col min="11" max="11" width="15.130000114440918" hidden="0" customWidth="1"/>
    <x:col min="12" max="12" width="10" hidden="0" customWidth="1"/>
    <x:col min="13" max="13" width="13.75" hidden="0" customWidth="1"/>
    <x:col min="14" max="14" width="15.5" hidden="0" customWidth="1"/>
    <x:col min="15" max="15" width="22.25" hidden="0" customWidth="1"/>
  </x:cols>
  <x:sheetData>
    <x:row r="1">
      <x:c r="A1" s="5" t="str">
        <x:v>Decision ID</x:v>
      </x:c>
      <x:c r="B1" s="5" t="str">
        <x:v>Review Sheet</x:v>
      </x:c>
      <x:c r="C1" s="5" t="str">
        <x:v>Review Item ID</x:v>
      </x:c>
      <x:c r="D1" s="5" t="str">
        <x:v>Entity Type</x:v>
      </x:c>
      <x:c r="E1" s="5" t="str">
        <x:v>Entity ID</x:v>
      </x:c>
      <x:c r="F1" s="5" t="str">
        <x:v>Decision Type</x:v>
      </x:c>
      <x:c r="G1" s="5" t="str">
        <x:v>Proposed Value</x:v>
      </x:c>
      <x:c r="H1" s="5" t="str">
        <x:v>Evidence Reference</x:v>
      </x:c>
      <x:c r="I1" s="5" t="str">
        <x:v>Reviewer</x:v>
      </x:c>
      <x:c r="J1" s="5" t="str">
        <x:v>Review Date</x:v>
      </x:c>
      <x:c r="K1" s="5" t="str">
        <x:v>Approval Status</x:v>
      </x:c>
      <x:c r="L1" s="5" t="str">
        <x:v>Approver</x:v>
      </x:c>
      <x:c r="M1" s="5" t="str">
        <x:v>Approval Date</x:v>
      </x:c>
      <x:c r="N1" s="5" t="str">
        <x:v>Import Eligibility</x:v>
      </x:c>
      <x:c r="O1" s="5" t="str">
        <x:v>Notes</x:v>
      </x:c>
    </x:row>
    <x:row r="2">
      <x:c r="A2" s="6" t="str">
        <x:v>DEC-000001</x:v>
      </x:c>
      <x:c r="B2" s="6" t="str">
        <x:v>Service Identity Review</x:v>
      </x:c>
      <x:c r="C2" s="6" t="str">
        <x:v>SIR-000001</x:v>
      </x:c>
      <x:c r="D2" s="6" t="str">
        <x:v>Service</x:v>
      </x:c>
      <x:c r="E2" s="6" t="str">
        <x:v>SVC000001</x:v>
      </x:c>
      <x:c r="F2" s="6" t="str">
        <x:v>Unresolved</x:v>
      </x:c>
      <x:c r="G2" s="6" t="str"/>
      <x:c r="H2" s="12" t="str"/>
      <x:c r="I2" s="6" t="str"/>
      <x:c r="J2" s="6" t="str"/>
      <x:c r="K2" s="6" t="str">
        <x:v>Pending</x:v>
      </x:c>
      <x:c r="L2" s="6" t="str"/>
      <x:c r="M2" s="6" t="str"/>
      <x:c r="N2" s="6" t="str">
        <x:v>Not Eligible</x:v>
      </x:c>
      <x:c r="O2" s="12" t="str">
        <x:v>Manual proposal capture only.</x:v>
      </x:c>
    </x:row>
    <x:row r="3">
      <x:c r="A3" s="6" t="str">
        <x:v>DEC-000002</x:v>
      </x:c>
      <x:c r="B3" s="6" t="str">
        <x:v>Service Identity Review</x:v>
      </x:c>
      <x:c r="C3" s="6" t="str">
        <x:v>SIR-000002</x:v>
      </x:c>
      <x:c r="D3" s="6" t="str">
        <x:v>Service</x:v>
      </x:c>
      <x:c r="E3" s="6" t="str">
        <x:v>SVC000002</x:v>
      </x:c>
      <x:c r="F3" s="6" t="str">
        <x:v>Unresolved</x:v>
      </x:c>
      <x:c r="G3" s="6" t="str"/>
      <x:c r="H3" s="12" t="str"/>
      <x:c r="I3" s="6" t="str"/>
      <x:c r="J3" s="6" t="str"/>
      <x:c r="K3" s="6" t="str">
        <x:v>Pending</x:v>
      </x:c>
      <x:c r="L3" s="6" t="str"/>
      <x:c r="M3" s="6" t="str"/>
      <x:c r="N3" s="6" t="str">
        <x:v>Not Eligible</x:v>
      </x:c>
      <x:c r="O3" s="12" t="str">
        <x:v>Manual proposal capture only.</x:v>
      </x:c>
    </x:row>
    <x:row r="4">
      <x:c r="A4" s="6" t="str">
        <x:v>DEC-000003</x:v>
      </x:c>
      <x:c r="B4" s="6" t="str">
        <x:v>Service Identity Review</x:v>
      </x:c>
      <x:c r="C4" s="6" t="str">
        <x:v>SIR-000003</x:v>
      </x:c>
      <x:c r="D4" s="6" t="str">
        <x:v>Service</x:v>
      </x:c>
      <x:c r="E4" s="6" t="str">
        <x:v>SVC000003</x:v>
      </x:c>
      <x:c r="F4" s="6" t="str">
        <x:v>Unresolved</x:v>
      </x:c>
      <x:c r="G4" s="6" t="str"/>
      <x:c r="H4" s="12" t="str"/>
      <x:c r="I4" s="6" t="str"/>
      <x:c r="J4" s="6" t="str"/>
      <x:c r="K4" s="6" t="str">
        <x:v>Pending</x:v>
      </x:c>
      <x:c r="L4" s="6" t="str"/>
      <x:c r="M4" s="6" t="str"/>
      <x:c r="N4" s="6" t="str">
        <x:v>Not Eligible</x:v>
      </x:c>
      <x:c r="O4" s="12" t="str">
        <x:v>Manual proposal capture only.</x:v>
      </x:c>
    </x:row>
    <x:row r="5">
      <x:c r="A5" s="6" t="str">
        <x:v>DEC-000004</x:v>
      </x:c>
      <x:c r="B5" s="6" t="str">
        <x:v>Service Identity Review</x:v>
      </x:c>
      <x:c r="C5" s="6" t="str">
        <x:v>SIR-000004</x:v>
      </x:c>
      <x:c r="D5" s="6" t="str">
        <x:v>Service</x:v>
      </x:c>
      <x:c r="E5" s="6" t="str">
        <x:v>SVC000004</x:v>
      </x:c>
      <x:c r="F5" s="6" t="str">
        <x:v>Unresolved</x:v>
      </x:c>
      <x:c r="G5" s="6" t="str"/>
      <x:c r="H5" s="12" t="str"/>
      <x:c r="I5" s="6" t="str"/>
      <x:c r="J5" s="6" t="str"/>
      <x:c r="K5" s="6" t="str">
        <x:v>Pending</x:v>
      </x:c>
      <x:c r="L5" s="6" t="str"/>
      <x:c r="M5" s="6" t="str"/>
      <x:c r="N5" s="6" t="str">
        <x:v>Not Eligible</x:v>
      </x:c>
      <x:c r="O5" s="12" t="str">
        <x:v>Manual proposal capture only.</x:v>
      </x:c>
    </x:row>
    <x:row r="6">
      <x:c r="A6" s="6" t="str">
        <x:v>DEC-000005</x:v>
      </x:c>
      <x:c r="B6" s="6" t="str">
        <x:v>Service Identity Review</x:v>
      </x:c>
      <x:c r="C6" s="6" t="str">
        <x:v>SIR-000005</x:v>
      </x:c>
      <x:c r="D6" s="6" t="str">
        <x:v>Service</x:v>
      </x:c>
      <x:c r="E6" s="6" t="str">
        <x:v>SVC000005</x:v>
      </x:c>
      <x:c r="F6" s="6" t="str">
        <x:v>Unresolved</x:v>
      </x:c>
      <x:c r="G6" s="6" t="str"/>
      <x:c r="H6" s="12" t="str"/>
      <x:c r="I6" s="6" t="str"/>
      <x:c r="J6" s="6" t="str"/>
      <x:c r="K6" s="6" t="str">
        <x:v>Pending</x:v>
      </x:c>
      <x:c r="L6" s="6" t="str"/>
      <x:c r="M6" s="6" t="str"/>
      <x:c r="N6" s="6" t="str">
        <x:v>Not Eligible</x:v>
      </x:c>
      <x:c r="O6" s="12" t="str">
        <x:v>Manual proposal capture only.</x:v>
      </x:c>
    </x:row>
    <x:row r="7">
      <x:c r="A7" s="6" t="str">
        <x:v>DEC-000006</x:v>
      </x:c>
      <x:c r="B7" s="6" t="str">
        <x:v>Service Identity Review</x:v>
      </x:c>
      <x:c r="C7" s="6" t="str">
        <x:v>SIR-000006</x:v>
      </x:c>
      <x:c r="D7" s="6" t="str">
        <x:v>Service</x:v>
      </x:c>
      <x:c r="E7" s="6" t="str">
        <x:v>SVC000006</x:v>
      </x:c>
      <x:c r="F7" s="6" t="str">
        <x:v>Unresolved</x:v>
      </x:c>
      <x:c r="G7" s="6" t="str"/>
      <x:c r="H7" s="12" t="str"/>
      <x:c r="I7" s="6" t="str"/>
      <x:c r="J7" s="6" t="str"/>
      <x:c r="K7" s="6" t="str">
        <x:v>Pending</x:v>
      </x:c>
      <x:c r="L7" s="6" t="str"/>
      <x:c r="M7" s="6" t="str"/>
      <x:c r="N7" s="6" t="str">
        <x:v>Not Eligible</x:v>
      </x:c>
      <x:c r="O7" s="12" t="str">
        <x:v>Manual proposal capture only.</x:v>
      </x:c>
    </x:row>
    <x:row r="8">
      <x:c r="A8" s="6" t="str">
        <x:v>DEC-000007</x:v>
      </x:c>
      <x:c r="B8" s="6" t="str">
        <x:v>Service Identity Review</x:v>
      </x:c>
      <x:c r="C8" s="6" t="str">
        <x:v>SIR-000007</x:v>
      </x:c>
      <x:c r="D8" s="6" t="str">
        <x:v>Service</x:v>
      </x:c>
      <x:c r="E8" s="6" t="str">
        <x:v>SVC000007</x:v>
      </x:c>
      <x:c r="F8" s="6" t="str">
        <x:v>Unresolved</x:v>
      </x:c>
      <x:c r="G8" s="6" t="str"/>
      <x:c r="H8" s="12" t="str"/>
      <x:c r="I8" s="6" t="str"/>
      <x:c r="J8" s="6" t="str"/>
      <x:c r="K8" s="6" t="str">
        <x:v>Pending</x:v>
      </x:c>
      <x:c r="L8" s="6" t="str"/>
      <x:c r="M8" s="6" t="str"/>
      <x:c r="N8" s="6" t="str">
        <x:v>Not Eligible</x:v>
      </x:c>
      <x:c r="O8" s="12" t="str">
        <x:v>Manual proposal capture only.</x:v>
      </x:c>
    </x:row>
    <x:row r="9">
      <x:c r="A9" s="6" t="str">
        <x:v>DEC-000008</x:v>
      </x:c>
      <x:c r="B9" s="6" t="str">
        <x:v>Service Identity Review</x:v>
      </x:c>
      <x:c r="C9" s="6" t="str">
        <x:v>SIR-000008</x:v>
      </x:c>
      <x:c r="D9" s="6" t="str">
        <x:v>Service</x:v>
      </x:c>
      <x:c r="E9" s="6" t="str">
        <x:v>SVC000008</x:v>
      </x:c>
      <x:c r="F9" s="6" t="str">
        <x:v>Unresolved</x:v>
      </x:c>
      <x:c r="G9" s="6" t="str"/>
      <x:c r="H9" s="12" t="str"/>
      <x:c r="I9" s="6" t="str"/>
      <x:c r="J9" s="6" t="str"/>
      <x:c r="K9" s="6" t="str">
        <x:v>Pending</x:v>
      </x:c>
      <x:c r="L9" s="6" t="str"/>
      <x:c r="M9" s="6" t="str"/>
      <x:c r="N9" s="6" t="str">
        <x:v>Not Eligible</x:v>
      </x:c>
      <x:c r="O9" s="12" t="str">
        <x:v>Manual proposal capture only.</x:v>
      </x:c>
    </x:row>
    <x:row r="10">
      <x:c r="A10" s="6" t="str">
        <x:v>DEC-000009</x:v>
      </x:c>
      <x:c r="B10" s="6" t="str">
        <x:v>Service Identity Review</x:v>
      </x:c>
      <x:c r="C10" s="6" t="str">
        <x:v>SIR-000009</x:v>
      </x:c>
      <x:c r="D10" s="6" t="str">
        <x:v>Service</x:v>
      </x:c>
      <x:c r="E10" s="6" t="str">
        <x:v>SVC000009</x:v>
      </x:c>
      <x:c r="F10" s="6" t="str">
        <x:v>Unresolved</x:v>
      </x:c>
      <x:c r="G10" s="6" t="str"/>
      <x:c r="H10" s="12" t="str"/>
      <x:c r="I10" s="6" t="str"/>
      <x:c r="J10" s="6" t="str"/>
      <x:c r="K10" s="6" t="str">
        <x:v>Pending</x:v>
      </x:c>
      <x:c r="L10" s="6" t="str"/>
      <x:c r="M10" s="6" t="str"/>
      <x:c r="N10" s="6" t="str">
        <x:v>Not Eligible</x:v>
      </x:c>
      <x:c r="O10" s="12" t="str">
        <x:v>Manual proposal capture only.</x:v>
      </x:c>
    </x:row>
    <x:row r="11">
      <x:c r="A11" s="6" t="str">
        <x:v>DEC-000010</x:v>
      </x:c>
      <x:c r="B11" s="6" t="str">
        <x:v>Service Identity Review</x:v>
      </x:c>
      <x:c r="C11" s="6" t="str">
        <x:v>SIR-000010</x:v>
      </x:c>
      <x:c r="D11" s="6" t="str">
        <x:v>Service</x:v>
      </x:c>
      <x:c r="E11" s="6" t="str">
        <x:v>SVC000010</x:v>
      </x:c>
      <x:c r="F11" s="6" t="str">
        <x:v>Unresolved</x:v>
      </x:c>
      <x:c r="G11" s="6" t="str"/>
      <x:c r="H11" s="12" t="str"/>
      <x:c r="I11" s="6" t="str"/>
      <x:c r="J11" s="6" t="str"/>
      <x:c r="K11" s="6" t="str">
        <x:v>Pending</x:v>
      </x:c>
      <x:c r="L11" s="6" t="str"/>
      <x:c r="M11" s="6" t="str"/>
      <x:c r="N11" s="6" t="str">
        <x:v>Not Eligible</x:v>
      </x:c>
      <x:c r="O11" s="12" t="str">
        <x:v>Manual proposal capture only.</x:v>
      </x:c>
    </x:row>
    <x:row r="12">
      <x:c r="A12" s="6" t="str">
        <x:v>DEC-000011</x:v>
      </x:c>
      <x:c r="B12" s="6" t="str">
        <x:v>Service Identity Review</x:v>
      </x:c>
      <x:c r="C12" s="6" t="str">
        <x:v>SIR-000011</x:v>
      </x:c>
      <x:c r="D12" s="6" t="str">
        <x:v>Service</x:v>
      </x:c>
      <x:c r="E12" s="6" t="str">
        <x:v>SVC000011</x:v>
      </x:c>
      <x:c r="F12" s="6" t="str">
        <x:v>Unresolved</x:v>
      </x:c>
      <x:c r="G12" s="6" t="str"/>
      <x:c r="H12" s="12" t="str"/>
      <x:c r="I12" s="6" t="str"/>
      <x:c r="J12" s="6" t="str"/>
      <x:c r="K12" s="6" t="str">
        <x:v>Pending</x:v>
      </x:c>
      <x:c r="L12" s="6" t="str"/>
      <x:c r="M12" s="6" t="str"/>
      <x:c r="N12" s="6" t="str">
        <x:v>Not Eligible</x:v>
      </x:c>
      <x:c r="O12" s="12" t="str">
        <x:v>Manual proposal capture only.</x:v>
      </x:c>
    </x:row>
    <x:row r="13">
      <x:c r="A13" s="6" t="str">
        <x:v>DEC-000012</x:v>
      </x:c>
      <x:c r="B13" s="6" t="str">
        <x:v>Service Identity Review</x:v>
      </x:c>
      <x:c r="C13" s="6" t="str">
        <x:v>SIR-000012</x:v>
      </x:c>
      <x:c r="D13" s="6" t="str">
        <x:v>Service</x:v>
      </x:c>
      <x:c r="E13" s="6" t="str">
        <x:v>SVC000012</x:v>
      </x:c>
      <x:c r="F13" s="6" t="str">
        <x:v>Unresolved</x:v>
      </x:c>
      <x:c r="G13" s="6" t="str"/>
      <x:c r="H13" s="12" t="str"/>
      <x:c r="I13" s="6" t="str"/>
      <x:c r="J13" s="6" t="str"/>
      <x:c r="K13" s="6" t="str">
        <x:v>Pending</x:v>
      </x:c>
      <x:c r="L13" s="6" t="str"/>
      <x:c r="M13" s="6" t="str"/>
      <x:c r="N13" s="6" t="str">
        <x:v>Not Eligible</x:v>
      </x:c>
      <x:c r="O13" s="12" t="str">
        <x:v>Manual proposal capture only.</x:v>
      </x:c>
    </x:row>
    <x:row r="14">
      <x:c r="A14" s="6" t="str">
        <x:v>DEC-000013</x:v>
      </x:c>
      <x:c r="B14" s="6" t="str">
        <x:v>Service Identity Review</x:v>
      </x:c>
      <x:c r="C14" s="6" t="str">
        <x:v>SIR-000013</x:v>
      </x:c>
      <x:c r="D14" s="6" t="str">
        <x:v>Service</x:v>
      </x:c>
      <x:c r="E14" s="6" t="str">
        <x:v>SVC000013</x:v>
      </x:c>
      <x:c r="F14" s="6" t="str">
        <x:v>Unresolved</x:v>
      </x:c>
      <x:c r="G14" s="6" t="str"/>
      <x:c r="H14" s="12" t="str"/>
      <x:c r="I14" s="6" t="str"/>
      <x:c r="J14" s="6" t="str"/>
      <x:c r="K14" s="6" t="str">
        <x:v>Pending</x:v>
      </x:c>
      <x:c r="L14" s="6" t="str"/>
      <x:c r="M14" s="6" t="str"/>
      <x:c r="N14" s="6" t="str">
        <x:v>Not Eligible</x:v>
      </x:c>
      <x:c r="O14" s="12" t="str">
        <x:v>Manual proposal capture only.</x:v>
      </x:c>
    </x:row>
    <x:row r="15">
      <x:c r="A15" s="6" t="str">
        <x:v>DEC-000014</x:v>
      </x:c>
      <x:c r="B15" s="6" t="str">
        <x:v>Service Identity Review</x:v>
      </x:c>
      <x:c r="C15" s="6" t="str">
        <x:v>SIR-000014</x:v>
      </x:c>
      <x:c r="D15" s="6" t="str">
        <x:v>Service</x:v>
      </x:c>
      <x:c r="E15" s="6" t="str">
        <x:v>SVC000014</x:v>
      </x:c>
      <x:c r="F15" s="6" t="str">
        <x:v>Unresolved</x:v>
      </x:c>
      <x:c r="G15" s="6" t="str"/>
      <x:c r="H15" s="12" t="str"/>
      <x:c r="I15" s="6" t="str"/>
      <x:c r="J15" s="6" t="str"/>
      <x:c r="K15" s="6" t="str">
        <x:v>Pending</x:v>
      </x:c>
      <x:c r="L15" s="6" t="str"/>
      <x:c r="M15" s="6" t="str"/>
      <x:c r="N15" s="6" t="str">
        <x:v>Not Eligible</x:v>
      </x:c>
      <x:c r="O15" s="12" t="str">
        <x:v>Manual proposal capture only.</x:v>
      </x:c>
    </x:row>
    <x:row r="16">
      <x:c r="A16" s="6" t="str">
        <x:v>DEC-000015</x:v>
      </x:c>
      <x:c r="B16" s="6" t="str">
        <x:v>Service Identity Review</x:v>
      </x:c>
      <x:c r="C16" s="6" t="str">
        <x:v>SIR-000015</x:v>
      </x:c>
      <x:c r="D16" s="6" t="str">
        <x:v>Service</x:v>
      </x:c>
      <x:c r="E16" s="6" t="str">
        <x:v>SVC000015</x:v>
      </x:c>
      <x:c r="F16" s="6" t="str">
        <x:v>Unresolved</x:v>
      </x:c>
      <x:c r="G16" s="6" t="str"/>
      <x:c r="H16" s="12" t="str"/>
      <x:c r="I16" s="6" t="str"/>
      <x:c r="J16" s="6" t="str"/>
      <x:c r="K16" s="6" t="str">
        <x:v>Pending</x:v>
      </x:c>
      <x:c r="L16" s="6" t="str"/>
      <x:c r="M16" s="6" t="str"/>
      <x:c r="N16" s="6" t="str">
        <x:v>Not Eligible</x:v>
      </x:c>
      <x:c r="O16" s="12" t="str">
        <x:v>Manual proposal capture only.</x:v>
      </x:c>
    </x:row>
    <x:row r="17">
      <x:c r="A17" s="6" t="str">
        <x:v>DEC-000016</x:v>
      </x:c>
      <x:c r="B17" s="6" t="str">
        <x:v>Service Identity Review</x:v>
      </x:c>
      <x:c r="C17" s="6" t="str">
        <x:v>SIR-000016</x:v>
      </x:c>
      <x:c r="D17" s="6" t="str">
        <x:v>Service</x:v>
      </x:c>
      <x:c r="E17" s="6" t="str">
        <x:v>SVC000016</x:v>
      </x:c>
      <x:c r="F17" s="6" t="str">
        <x:v>Unresolved</x:v>
      </x:c>
      <x:c r="G17" s="6" t="str"/>
      <x:c r="H17" s="12" t="str"/>
      <x:c r="I17" s="6" t="str"/>
      <x:c r="J17" s="6" t="str"/>
      <x:c r="K17" s="6" t="str">
        <x:v>Pending</x:v>
      </x:c>
      <x:c r="L17" s="6" t="str"/>
      <x:c r="M17" s="6" t="str"/>
      <x:c r="N17" s="6" t="str">
        <x:v>Not Eligible</x:v>
      </x:c>
      <x:c r="O17" s="12" t="str">
        <x:v>Manual proposal capture only.</x:v>
      </x:c>
    </x:row>
    <x:row r="18">
      <x:c r="A18" s="6" t="str">
        <x:v>DEC-000017</x:v>
      </x:c>
      <x:c r="B18" s="6" t="str">
        <x:v>Service Identity Review</x:v>
      </x:c>
      <x:c r="C18" s="6" t="str">
        <x:v>SIR-000017</x:v>
      </x:c>
      <x:c r="D18" s="6" t="str">
        <x:v>Service</x:v>
      </x:c>
      <x:c r="E18" s="6" t="str">
        <x:v>SVC000017</x:v>
      </x:c>
      <x:c r="F18" s="6" t="str">
        <x:v>Unresolved</x:v>
      </x:c>
      <x:c r="G18" s="6" t="str"/>
      <x:c r="H18" s="12" t="str"/>
      <x:c r="I18" s="6" t="str"/>
      <x:c r="J18" s="6" t="str"/>
      <x:c r="K18" s="6" t="str">
        <x:v>Pending</x:v>
      </x:c>
      <x:c r="L18" s="6" t="str"/>
      <x:c r="M18" s="6" t="str"/>
      <x:c r="N18" s="6" t="str">
        <x:v>Not Eligible</x:v>
      </x:c>
      <x:c r="O18" s="12" t="str">
        <x:v>Manual proposal capture only.</x:v>
      </x:c>
    </x:row>
    <x:row r="19">
      <x:c r="A19" s="6" t="str">
        <x:v>DEC-000018</x:v>
      </x:c>
      <x:c r="B19" s="6" t="str">
        <x:v>Service Identity Review</x:v>
      </x:c>
      <x:c r="C19" s="6" t="str">
        <x:v>SIR-000018</x:v>
      </x:c>
      <x:c r="D19" s="6" t="str">
        <x:v>Service</x:v>
      </x:c>
      <x:c r="E19" s="6" t="str">
        <x:v>SVC000018</x:v>
      </x:c>
      <x:c r="F19" s="6" t="str">
        <x:v>Unresolved</x:v>
      </x:c>
      <x:c r="G19" s="6" t="str"/>
      <x:c r="H19" s="12" t="str"/>
      <x:c r="I19" s="6" t="str"/>
      <x:c r="J19" s="6" t="str"/>
      <x:c r="K19" s="6" t="str">
        <x:v>Pending</x:v>
      </x:c>
      <x:c r="L19" s="6" t="str"/>
      <x:c r="M19" s="6" t="str"/>
      <x:c r="N19" s="6" t="str">
        <x:v>Not Eligible</x:v>
      </x:c>
      <x:c r="O19" s="12" t="str">
        <x:v>Manual proposal capture only.</x:v>
      </x:c>
    </x:row>
    <x:row r="20">
      <x:c r="A20" s="6" t="str">
        <x:v>DEC-000019</x:v>
      </x:c>
      <x:c r="B20" s="6" t="str">
        <x:v>Service Identity Review</x:v>
      </x:c>
      <x:c r="C20" s="6" t="str">
        <x:v>SIR-000019</x:v>
      </x:c>
      <x:c r="D20" s="6" t="str">
        <x:v>Service</x:v>
      </x:c>
      <x:c r="E20" s="6" t="str">
        <x:v>SVC000019</x:v>
      </x:c>
      <x:c r="F20" s="6" t="str">
        <x:v>Unresolved</x:v>
      </x:c>
      <x:c r="G20" s="6" t="str"/>
      <x:c r="H20" s="12" t="str"/>
      <x:c r="I20" s="6" t="str"/>
      <x:c r="J20" s="6" t="str"/>
      <x:c r="K20" s="6" t="str">
        <x:v>Pending</x:v>
      </x:c>
      <x:c r="L20" s="6" t="str"/>
      <x:c r="M20" s="6" t="str"/>
      <x:c r="N20" s="6" t="str">
        <x:v>Not Eligible</x:v>
      </x:c>
      <x:c r="O20" s="12" t="str">
        <x:v>Manual proposal capture only.</x:v>
      </x:c>
    </x:row>
    <x:row r="21">
      <x:c r="A21" s="6" t="str">
        <x:v>DEC-000020</x:v>
      </x:c>
      <x:c r="B21" s="6" t="str">
        <x:v>Service Identity Review</x:v>
      </x:c>
      <x:c r="C21" s="6" t="str">
        <x:v>SIR-000020</x:v>
      </x:c>
      <x:c r="D21" s="6" t="str">
        <x:v>Service</x:v>
      </x:c>
      <x:c r="E21" s="6" t="str">
        <x:v>SVC000020</x:v>
      </x:c>
      <x:c r="F21" s="6" t="str">
        <x:v>Unresolved</x:v>
      </x:c>
      <x:c r="G21" s="6" t="str"/>
      <x:c r="H21" s="12" t="str"/>
      <x:c r="I21" s="6" t="str"/>
      <x:c r="J21" s="6" t="str"/>
      <x:c r="K21" s="6" t="str">
        <x:v>Pending</x:v>
      </x:c>
      <x:c r="L21" s="6" t="str"/>
      <x:c r="M21" s="6" t="str"/>
      <x:c r="N21" s="6" t="str">
        <x:v>Not Eligible</x:v>
      </x:c>
      <x:c r="O21" s="12" t="str">
        <x:v>Manual proposal capture only.</x:v>
      </x:c>
    </x:row>
    <x:row r="22">
      <x:c r="A22" s="6" t="str">
        <x:v>DEC-000021</x:v>
      </x:c>
      <x:c r="B22" s="6" t="str">
        <x:v>Service Identity Review</x:v>
      </x:c>
      <x:c r="C22" s="6" t="str">
        <x:v>SIR-000021</x:v>
      </x:c>
      <x:c r="D22" s="6" t="str">
        <x:v>Service</x:v>
      </x:c>
      <x:c r="E22" s="6" t="str">
        <x:v>SVC000021</x:v>
      </x:c>
      <x:c r="F22" s="6" t="str">
        <x:v>Unresolved</x:v>
      </x:c>
      <x:c r="G22" s="6" t="str"/>
      <x:c r="H22" s="12" t="str"/>
      <x:c r="I22" s="6" t="str"/>
      <x:c r="J22" s="6" t="str"/>
      <x:c r="K22" s="6" t="str">
        <x:v>Pending</x:v>
      </x:c>
      <x:c r="L22" s="6" t="str"/>
      <x:c r="M22" s="6" t="str"/>
      <x:c r="N22" s="6" t="str">
        <x:v>Not Eligible</x:v>
      </x:c>
      <x:c r="O22" s="12" t="str">
        <x:v>Manual proposal capture only.</x:v>
      </x:c>
    </x:row>
    <x:row r="23">
      <x:c r="A23" s="6" t="str">
        <x:v>DEC-000022</x:v>
      </x:c>
      <x:c r="B23" s="6" t="str">
        <x:v>Service Identity Review</x:v>
      </x:c>
      <x:c r="C23" s="6" t="str">
        <x:v>SIR-000022</x:v>
      </x:c>
      <x:c r="D23" s="6" t="str">
        <x:v>Service</x:v>
      </x:c>
      <x:c r="E23" s="6" t="str">
        <x:v>SVC000022</x:v>
      </x:c>
      <x:c r="F23" s="6" t="str">
        <x:v>Unresolved</x:v>
      </x:c>
      <x:c r="G23" s="6" t="str"/>
      <x:c r="H23" s="12" t="str"/>
      <x:c r="I23" s="6" t="str"/>
      <x:c r="J23" s="6" t="str"/>
      <x:c r="K23" s="6" t="str">
        <x:v>Pending</x:v>
      </x:c>
      <x:c r="L23" s="6" t="str"/>
      <x:c r="M23" s="6" t="str"/>
      <x:c r="N23" s="6" t="str">
        <x:v>Not Eligible</x:v>
      </x:c>
      <x:c r="O23" s="12" t="str">
        <x:v>Manual proposal capture only.</x:v>
      </x:c>
    </x:row>
    <x:row r="24">
      <x:c r="A24" s="6" t="str">
        <x:v>DEC-000023</x:v>
      </x:c>
      <x:c r="B24" s="6" t="str">
        <x:v>Service Identity Review</x:v>
      </x:c>
      <x:c r="C24" s="6" t="str">
        <x:v>SIR-000023</x:v>
      </x:c>
      <x:c r="D24" s="6" t="str">
        <x:v>Service</x:v>
      </x:c>
      <x:c r="E24" s="6" t="str">
        <x:v>SVC000023</x:v>
      </x:c>
      <x:c r="F24" s="6" t="str">
        <x:v>Unresolved</x:v>
      </x:c>
      <x:c r="G24" s="6" t="str"/>
      <x:c r="H24" s="12" t="str"/>
      <x:c r="I24" s="6" t="str"/>
      <x:c r="J24" s="6" t="str"/>
      <x:c r="K24" s="6" t="str">
        <x:v>Pending</x:v>
      </x:c>
      <x:c r="L24" s="6" t="str"/>
      <x:c r="M24" s="6" t="str"/>
      <x:c r="N24" s="6" t="str">
        <x:v>Not Eligible</x:v>
      </x:c>
      <x:c r="O24" s="12" t="str">
        <x:v>Manual proposal capture only.</x:v>
      </x:c>
    </x:row>
    <x:row r="25">
      <x:c r="A25" s="6" t="str">
        <x:v>DEC-000024</x:v>
      </x:c>
      <x:c r="B25" s="6" t="str">
        <x:v>Service Identity Review</x:v>
      </x:c>
      <x:c r="C25" s="6" t="str">
        <x:v>SIR-000024</x:v>
      </x:c>
      <x:c r="D25" s="6" t="str">
        <x:v>Service</x:v>
      </x:c>
      <x:c r="E25" s="6" t="str">
        <x:v>SVC000024</x:v>
      </x:c>
      <x:c r="F25" s="6" t="str">
        <x:v>Unresolved</x:v>
      </x:c>
      <x:c r="G25" s="6" t="str"/>
      <x:c r="H25" s="12" t="str"/>
      <x:c r="I25" s="6" t="str"/>
      <x:c r="J25" s="6" t="str"/>
      <x:c r="K25" s="6" t="str">
        <x:v>Pending</x:v>
      </x:c>
      <x:c r="L25" s="6" t="str"/>
      <x:c r="M25" s="6" t="str"/>
      <x:c r="N25" s="6" t="str">
        <x:v>Not Eligible</x:v>
      </x:c>
      <x:c r="O25" s="12" t="str">
        <x:v>Manual proposal capture only.</x:v>
      </x:c>
    </x:row>
    <x:row r="26">
      <x:c r="A26" s="6" t="str">
        <x:v>DEC-000025</x:v>
      </x:c>
      <x:c r="B26" s="6" t="str">
        <x:v>Service Identity Review</x:v>
      </x:c>
      <x:c r="C26" s="6" t="str">
        <x:v>SIR-000025</x:v>
      </x:c>
      <x:c r="D26" s="6" t="str">
        <x:v>Service</x:v>
      </x:c>
      <x:c r="E26" s="6" t="str">
        <x:v>SVC000025</x:v>
      </x:c>
      <x:c r="F26" s="6" t="str">
        <x:v>Unresolved</x:v>
      </x:c>
      <x:c r="G26" s="6" t="str"/>
      <x:c r="H26" s="12" t="str"/>
      <x:c r="I26" s="6" t="str"/>
      <x:c r="J26" s="6" t="str"/>
      <x:c r="K26" s="6" t="str">
        <x:v>Pending</x:v>
      </x:c>
      <x:c r="L26" s="6" t="str"/>
      <x:c r="M26" s="6" t="str"/>
      <x:c r="N26" s="6" t="str">
        <x:v>Not Eligible</x:v>
      </x:c>
      <x:c r="O26" s="12" t="str">
        <x:v>Manual proposal capture only.</x:v>
      </x:c>
    </x:row>
    <x:row r="27">
      <x:c r="A27" s="6" t="str">
        <x:v>DEC-000026</x:v>
      </x:c>
      <x:c r="B27" s="6" t="str">
        <x:v>Service Identity Review</x:v>
      </x:c>
      <x:c r="C27" s="6" t="str">
        <x:v>SIR-000026</x:v>
      </x:c>
      <x:c r="D27" s="6" t="str">
        <x:v>Service</x:v>
      </x:c>
      <x:c r="E27" s="6" t="str">
        <x:v>SVC000026</x:v>
      </x:c>
      <x:c r="F27" s="6" t="str">
        <x:v>Unresolved</x:v>
      </x:c>
      <x:c r="G27" s="6" t="str"/>
      <x:c r="H27" s="12" t="str"/>
      <x:c r="I27" s="6" t="str"/>
      <x:c r="J27" s="6" t="str"/>
      <x:c r="K27" s="6" t="str">
        <x:v>Pending</x:v>
      </x:c>
      <x:c r="L27" s="6" t="str"/>
      <x:c r="M27" s="6" t="str"/>
      <x:c r="N27" s="6" t="str">
        <x:v>Not Eligible</x:v>
      </x:c>
      <x:c r="O27" s="12" t="str">
        <x:v>Manual proposal capture only.</x:v>
      </x:c>
    </x:row>
    <x:row r="28">
      <x:c r="A28" s="6" t="str">
        <x:v>DEC-000027</x:v>
      </x:c>
      <x:c r="B28" s="6" t="str">
        <x:v>Service Identity Review</x:v>
      </x:c>
      <x:c r="C28" s="6" t="str">
        <x:v>SIR-000027</x:v>
      </x:c>
      <x:c r="D28" s="6" t="str">
        <x:v>Service</x:v>
      </x:c>
      <x:c r="E28" s="6" t="str">
        <x:v>SVC000027</x:v>
      </x:c>
      <x:c r="F28" s="6" t="str">
        <x:v>Unresolved</x:v>
      </x:c>
      <x:c r="G28" s="6" t="str"/>
      <x:c r="H28" s="12" t="str"/>
      <x:c r="I28" s="6" t="str"/>
      <x:c r="J28" s="6" t="str"/>
      <x:c r="K28" s="6" t="str">
        <x:v>Pending</x:v>
      </x:c>
      <x:c r="L28" s="6" t="str"/>
      <x:c r="M28" s="6" t="str"/>
      <x:c r="N28" s="6" t="str">
        <x:v>Not Eligible</x:v>
      </x:c>
      <x:c r="O28" s="12" t="str">
        <x:v>Manual proposal capture only.</x:v>
      </x:c>
    </x:row>
    <x:row r="29">
      <x:c r="A29" s="6" t="str">
        <x:v>DEC-000028</x:v>
      </x:c>
      <x:c r="B29" s="6" t="str">
        <x:v>Service Identity Review</x:v>
      </x:c>
      <x:c r="C29" s="6" t="str">
        <x:v>SIR-000028</x:v>
      </x:c>
      <x:c r="D29" s="6" t="str">
        <x:v>Service</x:v>
      </x:c>
      <x:c r="E29" s="6" t="str">
        <x:v>SVC000028</x:v>
      </x:c>
      <x:c r="F29" s="6" t="str">
        <x:v>Unresolved</x:v>
      </x:c>
      <x:c r="G29" s="6" t="str"/>
      <x:c r="H29" s="12" t="str"/>
      <x:c r="I29" s="6" t="str"/>
      <x:c r="J29" s="6" t="str"/>
      <x:c r="K29" s="6" t="str">
        <x:v>Pending</x:v>
      </x:c>
      <x:c r="L29" s="6" t="str"/>
      <x:c r="M29" s="6" t="str"/>
      <x:c r="N29" s="6" t="str">
        <x:v>Not Eligible</x:v>
      </x:c>
      <x:c r="O29" s="12" t="str">
        <x:v>Manual proposal capture only.</x:v>
      </x:c>
    </x:row>
    <x:row r="30">
      <x:c r="A30" s="6" t="str">
        <x:v>DEC-000029</x:v>
      </x:c>
      <x:c r="B30" s="6" t="str">
        <x:v>Service Identity Review</x:v>
      </x:c>
      <x:c r="C30" s="6" t="str">
        <x:v>SIR-000029</x:v>
      </x:c>
      <x:c r="D30" s="6" t="str">
        <x:v>Service</x:v>
      </x:c>
      <x:c r="E30" s="6" t="str">
        <x:v>SVC000029</x:v>
      </x:c>
      <x:c r="F30" s="6" t="str">
        <x:v>Unresolved</x:v>
      </x:c>
      <x:c r="G30" s="6" t="str"/>
      <x:c r="H30" s="12" t="str"/>
      <x:c r="I30" s="6" t="str"/>
      <x:c r="J30" s="6" t="str"/>
      <x:c r="K30" s="6" t="str">
        <x:v>Pending</x:v>
      </x:c>
      <x:c r="L30" s="6" t="str"/>
      <x:c r="M30" s="6" t="str"/>
      <x:c r="N30" s="6" t="str">
        <x:v>Not Eligible</x:v>
      </x:c>
      <x:c r="O30" s="12" t="str">
        <x:v>Manual proposal capture only.</x:v>
      </x:c>
    </x:row>
    <x:row r="31">
      <x:c r="A31" s="6" t="str">
        <x:v>DEC-000030</x:v>
      </x:c>
      <x:c r="B31" s="6" t="str">
        <x:v>Service Identity Review</x:v>
      </x:c>
      <x:c r="C31" s="6" t="str">
        <x:v>SIR-000030</x:v>
      </x:c>
      <x:c r="D31" s="6" t="str">
        <x:v>Service</x:v>
      </x:c>
      <x:c r="E31" s="6" t="str">
        <x:v>SVC000030</x:v>
      </x:c>
      <x:c r="F31" s="6" t="str">
        <x:v>Unresolved</x:v>
      </x:c>
      <x:c r="G31" s="6" t="str"/>
      <x:c r="H31" s="12" t="str"/>
      <x:c r="I31" s="6" t="str"/>
      <x:c r="J31" s="6" t="str"/>
      <x:c r="K31" s="6" t="str">
        <x:v>Pending</x:v>
      </x:c>
      <x:c r="L31" s="6" t="str"/>
      <x:c r="M31" s="6" t="str"/>
      <x:c r="N31" s="6" t="str">
        <x:v>Not Eligible</x:v>
      </x:c>
      <x:c r="O31" s="12" t="str">
        <x:v>Manual proposal capture only.</x:v>
      </x:c>
    </x:row>
    <x:row r="32">
      <x:c r="A32" s="6" t="str">
        <x:v>DEC-000031</x:v>
      </x:c>
      <x:c r="B32" s="6" t="str">
        <x:v>Service Identity Review</x:v>
      </x:c>
      <x:c r="C32" s="6" t="str">
        <x:v>SIR-000031</x:v>
      </x:c>
      <x:c r="D32" s="6" t="str">
        <x:v>Service</x:v>
      </x:c>
      <x:c r="E32" s="6" t="str">
        <x:v>SVC000031</x:v>
      </x:c>
      <x:c r="F32" s="6" t="str">
        <x:v>Unresolved</x:v>
      </x:c>
      <x:c r="G32" s="6" t="str"/>
      <x:c r="H32" s="12" t="str"/>
      <x:c r="I32" s="6" t="str"/>
      <x:c r="J32" s="6" t="str"/>
      <x:c r="K32" s="6" t="str">
        <x:v>Pending</x:v>
      </x:c>
      <x:c r="L32" s="6" t="str"/>
      <x:c r="M32" s="6" t="str"/>
      <x:c r="N32" s="6" t="str">
        <x:v>Not Eligible</x:v>
      </x:c>
      <x:c r="O32" s="12" t="str">
        <x:v>Manual proposal capture only.</x:v>
      </x:c>
    </x:row>
    <x:row r="33">
      <x:c r="A33" s="6" t="str">
        <x:v>DEC-000032</x:v>
      </x:c>
      <x:c r="B33" s="6" t="str">
        <x:v>Service Identity Review</x:v>
      </x:c>
      <x:c r="C33" s="6" t="str">
        <x:v>SIR-000032</x:v>
      </x:c>
      <x:c r="D33" s="6" t="str">
        <x:v>Service</x:v>
      </x:c>
      <x:c r="E33" s="6" t="str">
        <x:v>SVC000032</x:v>
      </x:c>
      <x:c r="F33" s="6" t="str">
        <x:v>Unresolved</x:v>
      </x:c>
      <x:c r="G33" s="6" t="str"/>
      <x:c r="H33" s="12" t="str"/>
      <x:c r="I33" s="6" t="str"/>
      <x:c r="J33" s="6" t="str"/>
      <x:c r="K33" s="6" t="str">
        <x:v>Pending</x:v>
      </x:c>
      <x:c r="L33" s="6" t="str"/>
      <x:c r="M33" s="6" t="str"/>
      <x:c r="N33" s="6" t="str">
        <x:v>Not Eligible</x:v>
      </x:c>
      <x:c r="O33" s="12" t="str">
        <x:v>Manual proposal capture only.</x:v>
      </x:c>
    </x:row>
    <x:row r="34">
      <x:c r="A34" s="6" t="str">
        <x:v>DEC-000033</x:v>
      </x:c>
      <x:c r="B34" s="6" t="str">
        <x:v>Service Identity Review</x:v>
      </x:c>
      <x:c r="C34" s="6" t="str">
        <x:v>SIR-000033</x:v>
      </x:c>
      <x:c r="D34" s="6" t="str">
        <x:v>Service</x:v>
      </x:c>
      <x:c r="E34" s="6" t="str">
        <x:v>SVC000033</x:v>
      </x:c>
      <x:c r="F34" s="6" t="str">
        <x:v>Unresolved</x:v>
      </x:c>
      <x:c r="G34" s="6" t="str"/>
      <x:c r="H34" s="12" t="str"/>
      <x:c r="I34" s="6" t="str"/>
      <x:c r="J34" s="6" t="str"/>
      <x:c r="K34" s="6" t="str">
        <x:v>Pending</x:v>
      </x:c>
      <x:c r="L34" s="6" t="str"/>
      <x:c r="M34" s="6" t="str"/>
      <x:c r="N34" s="6" t="str">
        <x:v>Not Eligible</x:v>
      </x:c>
      <x:c r="O34" s="12" t="str">
        <x:v>Manual proposal capture only.</x:v>
      </x:c>
    </x:row>
    <x:row r="35">
      <x:c r="A35" s="6" t="str">
        <x:v>DEC-000034</x:v>
      </x:c>
      <x:c r="B35" s="6" t="str">
        <x:v>Service Identity Review</x:v>
      </x:c>
      <x:c r="C35" s="6" t="str">
        <x:v>SIR-000034</x:v>
      </x:c>
      <x:c r="D35" s="6" t="str">
        <x:v>Service</x:v>
      </x:c>
      <x:c r="E35" s="6" t="str">
        <x:v>SVC000034</x:v>
      </x:c>
      <x:c r="F35" s="6" t="str">
        <x:v>Unresolved</x:v>
      </x:c>
      <x:c r="G35" s="6" t="str"/>
      <x:c r="H35" s="12" t="str"/>
      <x:c r="I35" s="6" t="str"/>
      <x:c r="J35" s="6" t="str"/>
      <x:c r="K35" s="6" t="str">
        <x:v>Pending</x:v>
      </x:c>
      <x:c r="L35" s="6" t="str"/>
      <x:c r="M35" s="6" t="str"/>
      <x:c r="N35" s="6" t="str">
        <x:v>Not Eligible</x:v>
      </x:c>
      <x:c r="O35" s="12" t="str">
        <x:v>Manual proposal capture only.</x:v>
      </x:c>
    </x:row>
    <x:row r="36">
      <x:c r="A36" s="6" t="str">
        <x:v>DEC-000035</x:v>
      </x:c>
      <x:c r="B36" s="6" t="str">
        <x:v>Service Identity Review</x:v>
      </x:c>
      <x:c r="C36" s="6" t="str">
        <x:v>SIR-000035</x:v>
      </x:c>
      <x:c r="D36" s="6" t="str">
        <x:v>Service</x:v>
      </x:c>
      <x:c r="E36" s="6" t="str">
        <x:v>SVC000035</x:v>
      </x:c>
      <x:c r="F36" s="6" t="str">
        <x:v>Unresolved</x:v>
      </x:c>
      <x:c r="G36" s="6" t="str"/>
      <x:c r="H36" s="12" t="str"/>
      <x:c r="I36" s="6" t="str"/>
      <x:c r="J36" s="6" t="str"/>
      <x:c r="K36" s="6" t="str">
        <x:v>Pending</x:v>
      </x:c>
      <x:c r="L36" s="6" t="str"/>
      <x:c r="M36" s="6" t="str"/>
      <x:c r="N36" s="6" t="str">
        <x:v>Not Eligible</x:v>
      </x:c>
      <x:c r="O36" s="12" t="str">
        <x:v>Manual proposal capture only.</x:v>
      </x:c>
    </x:row>
    <x:row r="37">
      <x:c r="A37" s="6" t="str">
        <x:v>DEC-000036</x:v>
      </x:c>
      <x:c r="B37" s="6" t="str">
        <x:v>Service Identity Review</x:v>
      </x:c>
      <x:c r="C37" s="6" t="str">
        <x:v>SIR-000036</x:v>
      </x:c>
      <x:c r="D37" s="6" t="str">
        <x:v>Service</x:v>
      </x:c>
      <x:c r="E37" s="6" t="str">
        <x:v>SVC000036</x:v>
      </x:c>
      <x:c r="F37" s="6" t="str">
        <x:v>Unresolved</x:v>
      </x:c>
      <x:c r="G37" s="6" t="str"/>
      <x:c r="H37" s="12" t="str"/>
      <x:c r="I37" s="6" t="str"/>
      <x:c r="J37" s="6" t="str"/>
      <x:c r="K37" s="6" t="str">
        <x:v>Pending</x:v>
      </x:c>
      <x:c r="L37" s="6" t="str"/>
      <x:c r="M37" s="6" t="str"/>
      <x:c r="N37" s="6" t="str">
        <x:v>Not Eligible</x:v>
      </x:c>
      <x:c r="O37" s="12" t="str">
        <x:v>Manual proposal capture only.</x:v>
      </x:c>
    </x:row>
    <x:row r="38">
      <x:c r="A38" s="6" t="str">
        <x:v>DEC-000037</x:v>
      </x:c>
      <x:c r="B38" s="6" t="str">
        <x:v>Service Identity Review</x:v>
      </x:c>
      <x:c r="C38" s="6" t="str">
        <x:v>SIR-000037</x:v>
      </x:c>
      <x:c r="D38" s="6" t="str">
        <x:v>Service</x:v>
      </x:c>
      <x:c r="E38" s="6" t="str">
        <x:v>SVC000037</x:v>
      </x:c>
      <x:c r="F38" s="6" t="str">
        <x:v>Unresolved</x:v>
      </x:c>
      <x:c r="G38" s="6" t="str"/>
      <x:c r="H38" s="12" t="str"/>
      <x:c r="I38" s="6" t="str"/>
      <x:c r="J38" s="6" t="str"/>
      <x:c r="K38" s="6" t="str">
        <x:v>Pending</x:v>
      </x:c>
      <x:c r="L38" s="6" t="str"/>
      <x:c r="M38" s="6" t="str"/>
      <x:c r="N38" s="6" t="str">
        <x:v>Not Eligible</x:v>
      </x:c>
      <x:c r="O38" s="12" t="str">
        <x:v>Manual proposal capture only.</x:v>
      </x:c>
    </x:row>
    <x:row r="39">
      <x:c r="A39" s="6" t="str">
        <x:v>DEC-000038</x:v>
      </x:c>
      <x:c r="B39" s="6" t="str">
        <x:v>Service Identity Review</x:v>
      </x:c>
      <x:c r="C39" s="6" t="str">
        <x:v>SIR-000038</x:v>
      </x:c>
      <x:c r="D39" s="6" t="str">
        <x:v>Service</x:v>
      </x:c>
      <x:c r="E39" s="6" t="str">
        <x:v>SVC000038</x:v>
      </x:c>
      <x:c r="F39" s="6" t="str">
        <x:v>Unresolved</x:v>
      </x:c>
      <x:c r="G39" s="6" t="str"/>
      <x:c r="H39" s="12" t="str"/>
      <x:c r="I39" s="6" t="str"/>
      <x:c r="J39" s="6" t="str"/>
      <x:c r="K39" s="6" t="str">
        <x:v>Pending</x:v>
      </x:c>
      <x:c r="L39" s="6" t="str"/>
      <x:c r="M39" s="6" t="str"/>
      <x:c r="N39" s="6" t="str">
        <x:v>Not Eligible</x:v>
      </x:c>
      <x:c r="O39" s="12" t="str">
        <x:v>Manual proposal capture only.</x:v>
      </x:c>
    </x:row>
    <x:row r="40">
      <x:c r="A40" s="6" t="str">
        <x:v>DEC-000039</x:v>
      </x:c>
      <x:c r="B40" s="6" t="str">
        <x:v>Service Identity Review</x:v>
      </x:c>
      <x:c r="C40" s="6" t="str">
        <x:v>SIR-000039</x:v>
      </x:c>
      <x:c r="D40" s="6" t="str">
        <x:v>Service</x:v>
      </x:c>
      <x:c r="E40" s="6" t="str">
        <x:v>SVC000039</x:v>
      </x:c>
      <x:c r="F40" s="6" t="str">
        <x:v>Unresolved</x:v>
      </x:c>
      <x:c r="G40" s="6" t="str"/>
      <x:c r="H40" s="12" t="str"/>
      <x:c r="I40" s="6" t="str"/>
      <x:c r="J40" s="6" t="str"/>
      <x:c r="K40" s="6" t="str">
        <x:v>Pending</x:v>
      </x:c>
      <x:c r="L40" s="6" t="str"/>
      <x:c r="M40" s="6" t="str"/>
      <x:c r="N40" s="6" t="str">
        <x:v>Not Eligible</x:v>
      </x:c>
      <x:c r="O40" s="12" t="str">
        <x:v>Manual proposal capture only.</x:v>
      </x:c>
    </x:row>
    <x:row r="41">
      <x:c r="A41" s="6" t="str">
        <x:v>DEC-000040</x:v>
      </x:c>
      <x:c r="B41" s="6" t="str">
        <x:v>Service Identity Review</x:v>
      </x:c>
      <x:c r="C41" s="6" t="str">
        <x:v>SIR-000040</x:v>
      </x:c>
      <x:c r="D41" s="6" t="str">
        <x:v>Service</x:v>
      </x:c>
      <x:c r="E41" s="6" t="str">
        <x:v>SVC000040</x:v>
      </x:c>
      <x:c r="F41" s="6" t="str">
        <x:v>Unresolved</x:v>
      </x:c>
      <x:c r="G41" s="6" t="str"/>
      <x:c r="H41" s="12" t="str"/>
      <x:c r="I41" s="6" t="str"/>
      <x:c r="J41" s="6" t="str"/>
      <x:c r="K41" s="6" t="str">
        <x:v>Pending</x:v>
      </x:c>
      <x:c r="L41" s="6" t="str"/>
      <x:c r="M41" s="6" t="str"/>
      <x:c r="N41" s="6" t="str">
        <x:v>Not Eligible</x:v>
      </x:c>
      <x:c r="O41" s="12" t="str">
        <x:v>Manual proposal capture only.</x:v>
      </x:c>
    </x:row>
    <x:row r="42">
      <x:c r="A42" s="6" t="str">
        <x:v>DEC-000041</x:v>
      </x:c>
      <x:c r="B42" s="6" t="str">
        <x:v>Service Identity Review</x:v>
      </x:c>
      <x:c r="C42" s="6" t="str">
        <x:v>SIR-000041</x:v>
      </x:c>
      <x:c r="D42" s="6" t="str">
        <x:v>Service</x:v>
      </x:c>
      <x:c r="E42" s="6" t="str">
        <x:v>SVC000041</x:v>
      </x:c>
      <x:c r="F42" s="6" t="str">
        <x:v>Unresolved</x:v>
      </x:c>
      <x:c r="G42" s="6" t="str"/>
      <x:c r="H42" s="12" t="str"/>
      <x:c r="I42" s="6" t="str"/>
      <x:c r="J42" s="6" t="str"/>
      <x:c r="K42" s="6" t="str">
        <x:v>Pending</x:v>
      </x:c>
      <x:c r="L42" s="6" t="str"/>
      <x:c r="M42" s="6" t="str"/>
      <x:c r="N42" s="6" t="str">
        <x:v>Not Eligible</x:v>
      </x:c>
      <x:c r="O42" s="12" t="str">
        <x:v>Manual proposal capture only.</x:v>
      </x:c>
    </x:row>
    <x:row r="43">
      <x:c r="A43" s="6" t="str">
        <x:v>DEC-000042</x:v>
      </x:c>
      <x:c r="B43" s="6" t="str">
        <x:v>Service Identity Review</x:v>
      </x:c>
      <x:c r="C43" s="6" t="str">
        <x:v>SIR-000042</x:v>
      </x:c>
      <x:c r="D43" s="6" t="str">
        <x:v>Service</x:v>
      </x:c>
      <x:c r="E43" s="6" t="str">
        <x:v>SVC000042</x:v>
      </x:c>
      <x:c r="F43" s="6" t="str">
        <x:v>Unresolved</x:v>
      </x:c>
      <x:c r="G43" s="6" t="str"/>
      <x:c r="H43" s="12" t="str"/>
      <x:c r="I43" s="6" t="str"/>
      <x:c r="J43" s="6" t="str"/>
      <x:c r="K43" s="6" t="str">
        <x:v>Pending</x:v>
      </x:c>
      <x:c r="L43" s="6" t="str"/>
      <x:c r="M43" s="6" t="str"/>
      <x:c r="N43" s="6" t="str">
        <x:v>Not Eligible</x:v>
      </x:c>
      <x:c r="O43" s="12" t="str">
        <x:v>Manual proposal capture only.</x:v>
      </x:c>
    </x:row>
    <x:row r="44">
      <x:c r="A44" s="6" t="str">
        <x:v>DEC-000043</x:v>
      </x:c>
      <x:c r="B44" s="6" t="str">
        <x:v>Service Identity Review</x:v>
      </x:c>
      <x:c r="C44" s="6" t="str">
        <x:v>SIR-000043</x:v>
      </x:c>
      <x:c r="D44" s="6" t="str">
        <x:v>Service</x:v>
      </x:c>
      <x:c r="E44" s="6" t="str">
        <x:v>SVC000043</x:v>
      </x:c>
      <x:c r="F44" s="6" t="str">
        <x:v>Unresolved</x:v>
      </x:c>
      <x:c r="G44" s="6" t="str"/>
      <x:c r="H44" s="12" t="str"/>
      <x:c r="I44" s="6" t="str"/>
      <x:c r="J44" s="6" t="str"/>
      <x:c r="K44" s="6" t="str">
        <x:v>Pending</x:v>
      </x:c>
      <x:c r="L44" s="6" t="str"/>
      <x:c r="M44" s="6" t="str"/>
      <x:c r="N44" s="6" t="str">
        <x:v>Not Eligible</x:v>
      </x:c>
      <x:c r="O44" s="12" t="str">
        <x:v>Manual proposal capture only.</x:v>
      </x:c>
    </x:row>
    <x:row r="45">
      <x:c r="A45" s="6" t="str">
        <x:v>DEC-000044</x:v>
      </x:c>
      <x:c r="B45" s="6" t="str">
        <x:v>Service Identity Review</x:v>
      </x:c>
      <x:c r="C45" s="6" t="str">
        <x:v>SIR-000044</x:v>
      </x:c>
      <x:c r="D45" s="6" t="str">
        <x:v>Service</x:v>
      </x:c>
      <x:c r="E45" s="6" t="str">
        <x:v>SVC000044</x:v>
      </x:c>
      <x:c r="F45" s="6" t="str">
        <x:v>Unresolved</x:v>
      </x:c>
      <x:c r="G45" s="6" t="str"/>
      <x:c r="H45" s="12" t="str"/>
      <x:c r="I45" s="6" t="str"/>
      <x:c r="J45" s="6" t="str"/>
      <x:c r="K45" s="6" t="str">
        <x:v>Pending</x:v>
      </x:c>
      <x:c r="L45" s="6" t="str"/>
      <x:c r="M45" s="6" t="str"/>
      <x:c r="N45" s="6" t="str">
        <x:v>Not Eligible</x:v>
      </x:c>
      <x:c r="O45" s="12" t="str">
        <x:v>Manual proposal capture only.</x:v>
      </x:c>
    </x:row>
    <x:row r="46">
      <x:c r="A46" s="6" t="str">
        <x:v>DEC-000045</x:v>
      </x:c>
      <x:c r="B46" s="6" t="str">
        <x:v>Service Identity Review</x:v>
      </x:c>
      <x:c r="C46" s="6" t="str">
        <x:v>SIR-000045</x:v>
      </x:c>
      <x:c r="D46" s="6" t="str">
        <x:v>Service</x:v>
      </x:c>
      <x:c r="E46" s="6" t="str">
        <x:v>SVC000045</x:v>
      </x:c>
      <x:c r="F46" s="6" t="str">
        <x:v>Unresolved</x:v>
      </x:c>
      <x:c r="G46" s="6" t="str"/>
      <x:c r="H46" s="12" t="str"/>
      <x:c r="I46" s="6" t="str"/>
      <x:c r="J46" s="6" t="str"/>
      <x:c r="K46" s="6" t="str">
        <x:v>Pending</x:v>
      </x:c>
      <x:c r="L46" s="6" t="str"/>
      <x:c r="M46" s="6" t="str"/>
      <x:c r="N46" s="6" t="str">
        <x:v>Not Eligible</x:v>
      </x:c>
      <x:c r="O46" s="12" t="str">
        <x:v>Manual proposal capture only.</x:v>
      </x:c>
    </x:row>
    <x:row r="47">
      <x:c r="A47" s="6" t="str">
        <x:v>DEC-000046</x:v>
      </x:c>
      <x:c r="B47" s="6" t="str">
        <x:v>Service Identity Review</x:v>
      </x:c>
      <x:c r="C47" s="6" t="str">
        <x:v>SIR-000046</x:v>
      </x:c>
      <x:c r="D47" s="6" t="str">
        <x:v>Service</x:v>
      </x:c>
      <x:c r="E47" s="6" t="str">
        <x:v>SVC000046</x:v>
      </x:c>
      <x:c r="F47" s="6" t="str">
        <x:v>Unresolved</x:v>
      </x:c>
      <x:c r="G47" s="6" t="str"/>
      <x:c r="H47" s="12" t="str"/>
      <x:c r="I47" s="6" t="str"/>
      <x:c r="J47" s="6" t="str"/>
      <x:c r="K47" s="6" t="str">
        <x:v>Pending</x:v>
      </x:c>
      <x:c r="L47" s="6" t="str"/>
      <x:c r="M47" s="6" t="str"/>
      <x:c r="N47" s="6" t="str">
        <x:v>Not Eligible</x:v>
      </x:c>
      <x:c r="O47" s="12" t="str">
        <x:v>Manual proposal capture only.</x:v>
      </x:c>
    </x:row>
    <x:row r="48">
      <x:c r="A48" s="6" t="str">
        <x:v>DEC-000047</x:v>
      </x:c>
      <x:c r="B48" s="6" t="str">
        <x:v>Service Identity Review</x:v>
      </x:c>
      <x:c r="C48" s="6" t="str">
        <x:v>SIR-000047</x:v>
      </x:c>
      <x:c r="D48" s="6" t="str">
        <x:v>Service</x:v>
      </x:c>
      <x:c r="E48" s="6" t="str">
        <x:v>SVC000047</x:v>
      </x:c>
      <x:c r="F48" s="6" t="str">
        <x:v>Unresolved</x:v>
      </x:c>
      <x:c r="G48" s="6" t="str"/>
      <x:c r="H48" s="12" t="str"/>
      <x:c r="I48" s="6" t="str"/>
      <x:c r="J48" s="6" t="str"/>
      <x:c r="K48" s="6" t="str">
        <x:v>Pending</x:v>
      </x:c>
      <x:c r="L48" s="6" t="str"/>
      <x:c r="M48" s="6" t="str"/>
      <x:c r="N48" s="6" t="str">
        <x:v>Not Eligible</x:v>
      </x:c>
      <x:c r="O48" s="12" t="str">
        <x:v>Manual proposal capture only.</x:v>
      </x:c>
    </x:row>
    <x:row r="49">
      <x:c r="A49" s="6" t="str">
        <x:v>DEC-000048</x:v>
      </x:c>
      <x:c r="B49" s="6" t="str">
        <x:v>Service Identity Review</x:v>
      </x:c>
      <x:c r="C49" s="6" t="str">
        <x:v>SIR-000048</x:v>
      </x:c>
      <x:c r="D49" s="6" t="str">
        <x:v>Service</x:v>
      </x:c>
      <x:c r="E49" s="6" t="str">
        <x:v>SVC000048</x:v>
      </x:c>
      <x:c r="F49" s="6" t="str">
        <x:v>Unresolved</x:v>
      </x:c>
      <x:c r="G49" s="6" t="str"/>
      <x:c r="H49" s="12" t="str"/>
      <x:c r="I49" s="6" t="str"/>
      <x:c r="J49" s="6" t="str"/>
      <x:c r="K49" s="6" t="str">
        <x:v>Pending</x:v>
      </x:c>
      <x:c r="L49" s="6" t="str"/>
      <x:c r="M49" s="6" t="str"/>
      <x:c r="N49" s="6" t="str">
        <x:v>Not Eligible</x:v>
      </x:c>
      <x:c r="O49" s="12" t="str">
        <x:v>Manual proposal capture only.</x:v>
      </x:c>
    </x:row>
    <x:row r="50">
      <x:c r="A50" s="6" t="str">
        <x:v>DEC-000049</x:v>
      </x:c>
      <x:c r="B50" s="6" t="str">
        <x:v>Service Identity Review</x:v>
      </x:c>
      <x:c r="C50" s="6" t="str">
        <x:v>SIR-000049</x:v>
      </x:c>
      <x:c r="D50" s="6" t="str">
        <x:v>Service</x:v>
      </x:c>
      <x:c r="E50" s="6" t="str">
        <x:v>SVC000049</x:v>
      </x:c>
      <x:c r="F50" s="6" t="str">
        <x:v>Unresolved</x:v>
      </x:c>
      <x:c r="G50" s="6" t="str"/>
      <x:c r="H50" s="12" t="str"/>
      <x:c r="I50" s="6" t="str"/>
      <x:c r="J50" s="6" t="str"/>
      <x:c r="K50" s="6" t="str">
        <x:v>Pending</x:v>
      </x:c>
      <x:c r="L50" s="6" t="str"/>
      <x:c r="M50" s="6" t="str"/>
      <x:c r="N50" s="6" t="str">
        <x:v>Not Eligible</x:v>
      </x:c>
      <x:c r="O50" s="12" t="str">
        <x:v>Manual proposal capture only.</x:v>
      </x:c>
    </x:row>
    <x:row r="51">
      <x:c r="A51" s="6" t="str">
        <x:v>DEC-000050</x:v>
      </x:c>
      <x:c r="B51" s="6" t="str">
        <x:v>Service Identity Review</x:v>
      </x:c>
      <x:c r="C51" s="6" t="str">
        <x:v>SIR-000050</x:v>
      </x:c>
      <x:c r="D51" s="6" t="str">
        <x:v>Service</x:v>
      </x:c>
      <x:c r="E51" s="6" t="str">
        <x:v>SVC000050</x:v>
      </x:c>
      <x:c r="F51" s="6" t="str">
        <x:v>Unresolved</x:v>
      </x:c>
      <x:c r="G51" s="6" t="str"/>
      <x:c r="H51" s="12" t="str"/>
      <x:c r="I51" s="6" t="str"/>
      <x:c r="J51" s="6" t="str"/>
      <x:c r="K51" s="6" t="str">
        <x:v>Pending</x:v>
      </x:c>
      <x:c r="L51" s="6" t="str"/>
      <x:c r="M51" s="6" t="str"/>
      <x:c r="N51" s="6" t="str">
        <x:v>Not Eligible</x:v>
      </x:c>
      <x:c r="O51" s="12" t="str">
        <x:v>Manual proposal capture only.</x:v>
      </x:c>
    </x:row>
    <x:row r="52">
      <x:c r="A52" s="6" t="str">
        <x:v>DEC-000051</x:v>
      </x:c>
      <x:c r="B52" s="6" t="str">
        <x:v>Service Identity Review</x:v>
      </x:c>
      <x:c r="C52" s="6" t="str">
        <x:v>SIR-000051</x:v>
      </x:c>
      <x:c r="D52" s="6" t="str">
        <x:v>Service</x:v>
      </x:c>
      <x:c r="E52" s="6" t="str">
        <x:v>SVC000051</x:v>
      </x:c>
      <x:c r="F52" s="6" t="str">
        <x:v>Unresolved</x:v>
      </x:c>
      <x:c r="G52" s="6" t="str"/>
      <x:c r="H52" s="12" t="str"/>
      <x:c r="I52" s="6" t="str"/>
      <x:c r="J52" s="6" t="str"/>
      <x:c r="K52" s="6" t="str">
        <x:v>Pending</x:v>
      </x:c>
      <x:c r="L52" s="6" t="str"/>
      <x:c r="M52" s="6" t="str"/>
      <x:c r="N52" s="6" t="str">
        <x:v>Not Eligible</x:v>
      </x:c>
      <x:c r="O52" s="12" t="str">
        <x:v>Manual proposal capture only.</x:v>
      </x:c>
    </x:row>
    <x:row r="53">
      <x:c r="A53" s="6" t="str">
        <x:v>DEC-000052</x:v>
      </x:c>
      <x:c r="B53" s="6" t="str">
        <x:v>Service Identity Review</x:v>
      </x:c>
      <x:c r="C53" s="6" t="str">
        <x:v>SIR-000052</x:v>
      </x:c>
      <x:c r="D53" s="6" t="str">
        <x:v>Service</x:v>
      </x:c>
      <x:c r="E53" s="6" t="str">
        <x:v>SVC000052</x:v>
      </x:c>
      <x:c r="F53" s="6" t="str">
        <x:v>Unresolved</x:v>
      </x:c>
      <x:c r="G53" s="6" t="str"/>
      <x:c r="H53" s="12" t="str"/>
      <x:c r="I53" s="6" t="str"/>
      <x:c r="J53" s="6" t="str"/>
      <x:c r="K53" s="6" t="str">
        <x:v>Pending</x:v>
      </x:c>
      <x:c r="L53" s="6" t="str"/>
      <x:c r="M53" s="6" t="str"/>
      <x:c r="N53" s="6" t="str">
        <x:v>Not Eligible</x:v>
      </x:c>
      <x:c r="O53" s="12" t="str">
        <x:v>Manual proposal capture only.</x:v>
      </x:c>
    </x:row>
    <x:row r="54">
      <x:c r="A54" s="6" t="str">
        <x:v>DEC-000053</x:v>
      </x:c>
      <x:c r="B54" s="6" t="str">
        <x:v>Service Identity Review</x:v>
      </x:c>
      <x:c r="C54" s="6" t="str">
        <x:v>SIR-000053</x:v>
      </x:c>
      <x:c r="D54" s="6" t="str">
        <x:v>Service</x:v>
      </x:c>
      <x:c r="E54" s="6" t="str">
        <x:v>SVC000053</x:v>
      </x:c>
      <x:c r="F54" s="6" t="str">
        <x:v>Unresolved</x:v>
      </x:c>
      <x:c r="G54" s="6" t="str"/>
      <x:c r="H54" s="12" t="str"/>
      <x:c r="I54" s="6" t="str"/>
      <x:c r="J54" s="6" t="str"/>
      <x:c r="K54" s="6" t="str">
        <x:v>Pending</x:v>
      </x:c>
      <x:c r="L54" s="6" t="str"/>
      <x:c r="M54" s="6" t="str"/>
      <x:c r="N54" s="6" t="str">
        <x:v>Not Eligible</x:v>
      </x:c>
      <x:c r="O54" s="12" t="str">
        <x:v>Manual proposal capture only.</x:v>
      </x:c>
    </x:row>
    <x:row r="55">
      <x:c r="A55" s="6" t="str">
        <x:v>DEC-000054</x:v>
      </x:c>
      <x:c r="B55" s="6" t="str">
        <x:v>Service Identity Review</x:v>
      </x:c>
      <x:c r="C55" s="6" t="str">
        <x:v>SIR-000054</x:v>
      </x:c>
      <x:c r="D55" s="6" t="str">
        <x:v>Service</x:v>
      </x:c>
      <x:c r="E55" s="6" t="str">
        <x:v>SVC000054</x:v>
      </x:c>
      <x:c r="F55" s="6" t="str">
        <x:v>Unresolved</x:v>
      </x:c>
      <x:c r="G55" s="6" t="str"/>
      <x:c r="H55" s="12" t="str"/>
      <x:c r="I55" s="6" t="str"/>
      <x:c r="J55" s="6" t="str"/>
      <x:c r="K55" s="6" t="str">
        <x:v>Pending</x:v>
      </x:c>
      <x:c r="L55" s="6" t="str"/>
      <x:c r="M55" s="6" t="str"/>
      <x:c r="N55" s="6" t="str">
        <x:v>Not Eligible</x:v>
      </x:c>
      <x:c r="O55" s="12" t="str">
        <x:v>Manual proposal capture only.</x:v>
      </x:c>
    </x:row>
    <x:row r="56">
      <x:c r="A56" s="6" t="str">
        <x:v>DEC-000055</x:v>
      </x:c>
      <x:c r="B56" s="6" t="str">
        <x:v>Service Identity Review</x:v>
      </x:c>
      <x:c r="C56" s="6" t="str">
        <x:v>SIR-000055</x:v>
      </x:c>
      <x:c r="D56" s="6" t="str">
        <x:v>Service</x:v>
      </x:c>
      <x:c r="E56" s="6" t="str">
        <x:v>SVC000055</x:v>
      </x:c>
      <x:c r="F56" s="6" t="str">
        <x:v>Unresolved</x:v>
      </x:c>
      <x:c r="G56" s="6" t="str"/>
      <x:c r="H56" s="12" t="str"/>
      <x:c r="I56" s="6" t="str"/>
      <x:c r="J56" s="6" t="str"/>
      <x:c r="K56" s="6" t="str">
        <x:v>Pending</x:v>
      </x:c>
      <x:c r="L56" s="6" t="str"/>
      <x:c r="M56" s="6" t="str"/>
      <x:c r="N56" s="6" t="str">
        <x:v>Not Eligible</x:v>
      </x:c>
      <x:c r="O56" s="12" t="str">
        <x:v>Manual proposal capture only.</x:v>
      </x:c>
    </x:row>
    <x:row r="57">
      <x:c r="A57" s="6" t="str">
        <x:v>DEC-000056</x:v>
      </x:c>
      <x:c r="B57" s="6" t="str">
        <x:v>Service Identity Review</x:v>
      </x:c>
      <x:c r="C57" s="6" t="str">
        <x:v>SIR-000056</x:v>
      </x:c>
      <x:c r="D57" s="6" t="str">
        <x:v>Service</x:v>
      </x:c>
      <x:c r="E57" s="6" t="str">
        <x:v>SVC000056</x:v>
      </x:c>
      <x:c r="F57" s="6" t="str">
        <x:v>Unresolved</x:v>
      </x:c>
      <x:c r="G57" s="6" t="str"/>
      <x:c r="H57" s="12" t="str"/>
      <x:c r="I57" s="6" t="str"/>
      <x:c r="J57" s="6" t="str"/>
      <x:c r="K57" s="6" t="str">
        <x:v>Pending</x:v>
      </x:c>
      <x:c r="L57" s="6" t="str"/>
      <x:c r="M57" s="6" t="str"/>
      <x:c r="N57" s="6" t="str">
        <x:v>Not Eligible</x:v>
      </x:c>
      <x:c r="O57" s="12" t="str">
        <x:v>Manual proposal capture only.</x:v>
      </x:c>
    </x:row>
    <x:row r="58">
      <x:c r="A58" s="6" t="str">
        <x:v>DEC-000057</x:v>
      </x:c>
      <x:c r="B58" s="6" t="str">
        <x:v>Service Identity Review</x:v>
      </x:c>
      <x:c r="C58" s="6" t="str">
        <x:v>SIR-000057</x:v>
      </x:c>
      <x:c r="D58" s="6" t="str">
        <x:v>Service</x:v>
      </x:c>
      <x:c r="E58" s="6" t="str">
        <x:v>SVC000057</x:v>
      </x:c>
      <x:c r="F58" s="6" t="str">
        <x:v>Unresolved</x:v>
      </x:c>
      <x:c r="G58" s="6" t="str"/>
      <x:c r="H58" s="12" t="str"/>
      <x:c r="I58" s="6" t="str"/>
      <x:c r="J58" s="6" t="str"/>
      <x:c r="K58" s="6" t="str">
        <x:v>Pending</x:v>
      </x:c>
      <x:c r="L58" s="6" t="str"/>
      <x:c r="M58" s="6" t="str"/>
      <x:c r="N58" s="6" t="str">
        <x:v>Not Eligible</x:v>
      </x:c>
      <x:c r="O58" s="12" t="str">
        <x:v>Manual proposal capture only.</x:v>
      </x:c>
    </x:row>
    <x:row r="59">
      <x:c r="A59" s="6" t="str">
        <x:v>DEC-000058</x:v>
      </x:c>
      <x:c r="B59" s="6" t="str">
        <x:v>Service Identity Review</x:v>
      </x:c>
      <x:c r="C59" s="6" t="str">
        <x:v>SIR-000058</x:v>
      </x:c>
      <x:c r="D59" s="6" t="str">
        <x:v>Service</x:v>
      </x:c>
      <x:c r="E59" s="6" t="str">
        <x:v>SVC000058</x:v>
      </x:c>
      <x:c r="F59" s="6" t="str">
        <x:v>Unresolved</x:v>
      </x:c>
      <x:c r="G59" s="6" t="str"/>
      <x:c r="H59" s="12" t="str"/>
      <x:c r="I59" s="6" t="str"/>
      <x:c r="J59" s="6" t="str"/>
      <x:c r="K59" s="6" t="str">
        <x:v>Pending</x:v>
      </x:c>
      <x:c r="L59" s="6" t="str"/>
      <x:c r="M59" s="6" t="str"/>
      <x:c r="N59" s="6" t="str">
        <x:v>Not Eligible</x:v>
      </x:c>
      <x:c r="O59" s="12" t="str">
        <x:v>Manual proposal capture only.</x:v>
      </x:c>
    </x:row>
    <x:row r="60">
      <x:c r="A60" s="6" t="str">
        <x:v>DEC-000059</x:v>
      </x:c>
      <x:c r="B60" s="6" t="str">
        <x:v>Service Identity Review</x:v>
      </x:c>
      <x:c r="C60" s="6" t="str">
        <x:v>SIR-000059</x:v>
      </x:c>
      <x:c r="D60" s="6" t="str">
        <x:v>Service</x:v>
      </x:c>
      <x:c r="E60" s="6" t="str">
        <x:v>SVC000059</x:v>
      </x:c>
      <x:c r="F60" s="6" t="str">
        <x:v>Unresolved</x:v>
      </x:c>
      <x:c r="G60" s="6" t="str"/>
      <x:c r="H60" s="12" t="str"/>
      <x:c r="I60" s="6" t="str"/>
      <x:c r="J60" s="6" t="str"/>
      <x:c r="K60" s="6" t="str">
        <x:v>Pending</x:v>
      </x:c>
      <x:c r="L60" s="6" t="str"/>
      <x:c r="M60" s="6" t="str"/>
      <x:c r="N60" s="6" t="str">
        <x:v>Not Eligible</x:v>
      </x:c>
      <x:c r="O60" s="12" t="str">
        <x:v>Manual proposal capture only.</x:v>
      </x:c>
    </x:row>
    <x:row r="61">
      <x:c r="A61" s="6" t="str">
        <x:v>DEC-000060</x:v>
      </x:c>
      <x:c r="B61" s="6" t="str">
        <x:v>Service Identity Review</x:v>
      </x:c>
      <x:c r="C61" s="6" t="str">
        <x:v>SIR-000060</x:v>
      </x:c>
      <x:c r="D61" s="6" t="str">
        <x:v>Service</x:v>
      </x:c>
      <x:c r="E61" s="6" t="str">
        <x:v>SVC000060</x:v>
      </x:c>
      <x:c r="F61" s="6" t="str">
        <x:v>Unresolved</x:v>
      </x:c>
      <x:c r="G61" s="6" t="str"/>
      <x:c r="H61" s="12" t="str"/>
      <x:c r="I61" s="6" t="str"/>
      <x:c r="J61" s="6" t="str"/>
      <x:c r="K61" s="6" t="str">
        <x:v>Pending</x:v>
      </x:c>
      <x:c r="L61" s="6" t="str"/>
      <x:c r="M61" s="6" t="str"/>
      <x:c r="N61" s="6" t="str">
        <x:v>Not Eligible</x:v>
      </x:c>
      <x:c r="O61" s="12" t="str">
        <x:v>Manual proposal capture only.</x:v>
      </x:c>
    </x:row>
    <x:row r="62">
      <x:c r="A62" s="6" t="str">
        <x:v>DEC-000061</x:v>
      </x:c>
      <x:c r="B62" s="6" t="str">
        <x:v>Service Identity Review</x:v>
      </x:c>
      <x:c r="C62" s="6" t="str">
        <x:v>SIR-000061</x:v>
      </x:c>
      <x:c r="D62" s="6" t="str">
        <x:v>Service</x:v>
      </x:c>
      <x:c r="E62" s="6" t="str">
        <x:v>SVC000061</x:v>
      </x:c>
      <x:c r="F62" s="6" t="str">
        <x:v>Unresolved</x:v>
      </x:c>
      <x:c r="G62" s="6" t="str"/>
      <x:c r="H62" s="12" t="str"/>
      <x:c r="I62" s="6" t="str"/>
      <x:c r="J62" s="6" t="str"/>
      <x:c r="K62" s="6" t="str">
        <x:v>Pending</x:v>
      </x:c>
      <x:c r="L62" s="6" t="str"/>
      <x:c r="M62" s="6" t="str"/>
      <x:c r="N62" s="6" t="str">
        <x:v>Not Eligible</x:v>
      </x:c>
      <x:c r="O62" s="12" t="str">
        <x:v>Manual proposal capture only.</x:v>
      </x:c>
    </x:row>
    <x:row r="63">
      <x:c r="A63" s="6" t="str">
        <x:v>DEC-000062</x:v>
      </x:c>
      <x:c r="B63" s="6" t="str">
        <x:v>Service Identity Review</x:v>
      </x:c>
      <x:c r="C63" s="6" t="str">
        <x:v>SIR-000062</x:v>
      </x:c>
      <x:c r="D63" s="6" t="str">
        <x:v>Service</x:v>
      </x:c>
      <x:c r="E63" s="6" t="str">
        <x:v>SVC000062</x:v>
      </x:c>
      <x:c r="F63" s="6" t="str">
        <x:v>Unresolved</x:v>
      </x:c>
      <x:c r="G63" s="6" t="str"/>
      <x:c r="H63" s="12" t="str"/>
      <x:c r="I63" s="6" t="str"/>
      <x:c r="J63" s="6" t="str"/>
      <x:c r="K63" s="6" t="str">
        <x:v>Pending</x:v>
      </x:c>
      <x:c r="L63" s="6" t="str"/>
      <x:c r="M63" s="6" t="str"/>
      <x:c r="N63" s="6" t="str">
        <x:v>Not Eligible</x:v>
      </x:c>
      <x:c r="O63" s="12" t="str">
        <x:v>Manual proposal capture only.</x:v>
      </x:c>
    </x:row>
    <x:row r="64">
      <x:c r="A64" s="6" t="str">
        <x:v>DEC-000063</x:v>
      </x:c>
      <x:c r="B64" s="6" t="str">
        <x:v>Service Identity Review</x:v>
      </x:c>
      <x:c r="C64" s="6" t="str">
        <x:v>SIR-000063</x:v>
      </x:c>
      <x:c r="D64" s="6" t="str">
        <x:v>Service</x:v>
      </x:c>
      <x:c r="E64" s="6" t="str">
        <x:v>SVC000063</x:v>
      </x:c>
      <x:c r="F64" s="6" t="str">
        <x:v>Unresolved</x:v>
      </x:c>
      <x:c r="G64" s="6" t="str"/>
      <x:c r="H64" s="12" t="str"/>
      <x:c r="I64" s="6" t="str"/>
      <x:c r="J64" s="6" t="str"/>
      <x:c r="K64" s="6" t="str">
        <x:v>Pending</x:v>
      </x:c>
      <x:c r="L64" s="6" t="str"/>
      <x:c r="M64" s="6" t="str"/>
      <x:c r="N64" s="6" t="str">
        <x:v>Not Eligible</x:v>
      </x:c>
      <x:c r="O64" s="12" t="str">
        <x:v>Manual proposal capture only.</x:v>
      </x:c>
    </x:row>
    <x:row r="65">
      <x:c r="A65" s="6" t="str">
        <x:v>DEC-000064</x:v>
      </x:c>
      <x:c r="B65" s="6" t="str">
        <x:v>Service Identity Review</x:v>
      </x:c>
      <x:c r="C65" s="6" t="str">
        <x:v>SIR-000064</x:v>
      </x:c>
      <x:c r="D65" s="6" t="str">
        <x:v>Service</x:v>
      </x:c>
      <x:c r="E65" s="6" t="str">
        <x:v>SVC000064</x:v>
      </x:c>
      <x:c r="F65" s="6" t="str">
        <x:v>Unresolved</x:v>
      </x:c>
      <x:c r="G65" s="6" t="str"/>
      <x:c r="H65" s="12" t="str"/>
      <x:c r="I65" s="6" t="str"/>
      <x:c r="J65" s="6" t="str"/>
      <x:c r="K65" s="6" t="str">
        <x:v>Pending</x:v>
      </x:c>
      <x:c r="L65" s="6" t="str"/>
      <x:c r="M65" s="6" t="str"/>
      <x:c r="N65" s="6" t="str">
        <x:v>Not Eligible</x:v>
      </x:c>
      <x:c r="O65" s="12" t="str">
        <x:v>Manual proposal capture only.</x:v>
      </x:c>
    </x:row>
    <x:row r="66">
      <x:c r="A66" s="6" t="str">
        <x:v>DEC-000065</x:v>
      </x:c>
      <x:c r="B66" s="6" t="str">
        <x:v>Service Identity Review</x:v>
      </x:c>
      <x:c r="C66" s="6" t="str">
        <x:v>SIR-000065</x:v>
      </x:c>
      <x:c r="D66" s="6" t="str">
        <x:v>Service</x:v>
      </x:c>
      <x:c r="E66" s="6" t="str">
        <x:v>SVC000065</x:v>
      </x:c>
      <x:c r="F66" s="6" t="str">
        <x:v>Unresolved</x:v>
      </x:c>
      <x:c r="G66" s="6" t="str"/>
      <x:c r="H66" s="12" t="str"/>
      <x:c r="I66" s="6" t="str"/>
      <x:c r="J66" s="6" t="str"/>
      <x:c r="K66" s="6" t="str">
        <x:v>Pending</x:v>
      </x:c>
      <x:c r="L66" s="6" t="str"/>
      <x:c r="M66" s="6" t="str"/>
      <x:c r="N66" s="6" t="str">
        <x:v>Not Eligible</x:v>
      </x:c>
      <x:c r="O66" s="12" t="str">
        <x:v>Manual proposal capture only.</x:v>
      </x:c>
    </x:row>
    <x:row r="67">
      <x:c r="A67" s="6" t="str">
        <x:v>DEC-000066</x:v>
      </x:c>
      <x:c r="B67" s="6" t="str">
        <x:v>Service Identity Review</x:v>
      </x:c>
      <x:c r="C67" s="6" t="str">
        <x:v>SIR-000066</x:v>
      </x:c>
      <x:c r="D67" s="6" t="str">
        <x:v>Service</x:v>
      </x:c>
      <x:c r="E67" s="6" t="str">
        <x:v>SVC000066</x:v>
      </x:c>
      <x:c r="F67" s="6" t="str">
        <x:v>Unresolved</x:v>
      </x:c>
      <x:c r="G67" s="6" t="str"/>
      <x:c r="H67" s="12" t="str"/>
      <x:c r="I67" s="6" t="str"/>
      <x:c r="J67" s="6" t="str"/>
      <x:c r="K67" s="6" t="str">
        <x:v>Pending</x:v>
      </x:c>
      <x:c r="L67" s="6" t="str"/>
      <x:c r="M67" s="6" t="str"/>
      <x:c r="N67" s="6" t="str">
        <x:v>Not Eligible</x:v>
      </x:c>
      <x:c r="O67" s="12" t="str">
        <x:v>Manual proposal capture only.</x:v>
      </x:c>
    </x:row>
    <x:row r="68">
      <x:c r="A68" s="6" t="str">
        <x:v>DEC-000067</x:v>
      </x:c>
      <x:c r="B68" s="6" t="str">
        <x:v>Service Identity Review</x:v>
      </x:c>
      <x:c r="C68" s="6" t="str">
        <x:v>SIR-000067</x:v>
      </x:c>
      <x:c r="D68" s="6" t="str">
        <x:v>Service</x:v>
      </x:c>
      <x:c r="E68" s="6" t="str">
        <x:v>SVC000067</x:v>
      </x:c>
      <x:c r="F68" s="6" t="str">
        <x:v>Unresolved</x:v>
      </x:c>
      <x:c r="G68" s="6" t="str"/>
      <x:c r="H68" s="12" t="str"/>
      <x:c r="I68" s="6" t="str"/>
      <x:c r="J68" s="6" t="str"/>
      <x:c r="K68" s="6" t="str">
        <x:v>Pending</x:v>
      </x:c>
      <x:c r="L68" s="6" t="str"/>
      <x:c r="M68" s="6" t="str"/>
      <x:c r="N68" s="6" t="str">
        <x:v>Not Eligible</x:v>
      </x:c>
      <x:c r="O68" s="12" t="str">
        <x:v>Manual proposal capture only.</x:v>
      </x:c>
    </x:row>
    <x:row r="69">
      <x:c r="A69" s="6" t="str">
        <x:v>DEC-000068</x:v>
      </x:c>
      <x:c r="B69" s="6" t="str">
        <x:v>Service Identity Review</x:v>
      </x:c>
      <x:c r="C69" s="6" t="str">
        <x:v>SIR-000068</x:v>
      </x:c>
      <x:c r="D69" s="6" t="str">
        <x:v>Service</x:v>
      </x:c>
      <x:c r="E69" s="6" t="str">
        <x:v>SVC000068</x:v>
      </x:c>
      <x:c r="F69" s="6" t="str">
        <x:v>Unresolved</x:v>
      </x:c>
      <x:c r="G69" s="6" t="str"/>
      <x:c r="H69" s="12" t="str"/>
      <x:c r="I69" s="6" t="str"/>
      <x:c r="J69" s="6" t="str"/>
      <x:c r="K69" s="6" t="str">
        <x:v>Pending</x:v>
      </x:c>
      <x:c r="L69" s="6" t="str"/>
      <x:c r="M69" s="6" t="str"/>
      <x:c r="N69" s="6" t="str">
        <x:v>Not Eligible</x:v>
      </x:c>
      <x:c r="O69" s="12" t="str">
        <x:v>Manual proposal capture only.</x:v>
      </x:c>
    </x:row>
    <x:row r="70">
      <x:c r="A70" s="6" t="str">
        <x:v>DEC-000069</x:v>
      </x:c>
      <x:c r="B70" s="6" t="str">
        <x:v>Service Identity Review</x:v>
      </x:c>
      <x:c r="C70" s="6" t="str">
        <x:v>SIR-000069</x:v>
      </x:c>
      <x:c r="D70" s="6" t="str">
        <x:v>Service</x:v>
      </x:c>
      <x:c r="E70" s="6" t="str">
        <x:v>SVC000069</x:v>
      </x:c>
      <x:c r="F70" s="6" t="str">
        <x:v>Unresolved</x:v>
      </x:c>
      <x:c r="G70" s="6" t="str"/>
      <x:c r="H70" s="12" t="str"/>
      <x:c r="I70" s="6" t="str"/>
      <x:c r="J70" s="6" t="str"/>
      <x:c r="K70" s="6" t="str">
        <x:v>Pending</x:v>
      </x:c>
      <x:c r="L70" s="6" t="str"/>
      <x:c r="M70" s="6" t="str"/>
      <x:c r="N70" s="6" t="str">
        <x:v>Not Eligible</x:v>
      </x:c>
      <x:c r="O70" s="12" t="str">
        <x:v>Manual proposal capture only.</x:v>
      </x:c>
    </x:row>
    <x:row r="71">
      <x:c r="A71" s="6" t="str">
        <x:v>DEC-000070</x:v>
      </x:c>
      <x:c r="B71" s="6" t="str">
        <x:v>Service Identity Review</x:v>
      </x:c>
      <x:c r="C71" s="6" t="str">
        <x:v>SIR-000070</x:v>
      </x:c>
      <x:c r="D71" s="6" t="str">
        <x:v>Service</x:v>
      </x:c>
      <x:c r="E71" s="6" t="str">
        <x:v>SVC000070</x:v>
      </x:c>
      <x:c r="F71" s="6" t="str">
        <x:v>Unresolved</x:v>
      </x:c>
      <x:c r="G71" s="6" t="str"/>
      <x:c r="H71" s="12" t="str"/>
      <x:c r="I71" s="6" t="str"/>
      <x:c r="J71" s="6" t="str"/>
      <x:c r="K71" s="6" t="str">
        <x:v>Pending</x:v>
      </x:c>
      <x:c r="L71" s="6" t="str"/>
      <x:c r="M71" s="6" t="str"/>
      <x:c r="N71" s="6" t="str">
        <x:v>Not Eligible</x:v>
      </x:c>
      <x:c r="O71" s="12" t="str">
        <x:v>Manual proposal capture only.</x:v>
      </x:c>
    </x:row>
    <x:row r="72">
      <x:c r="A72" s="6" t="str">
        <x:v>DEC-000071</x:v>
      </x:c>
      <x:c r="B72" s="6" t="str">
        <x:v>Service Identity Review</x:v>
      </x:c>
      <x:c r="C72" s="6" t="str">
        <x:v>SIR-000071</x:v>
      </x:c>
      <x:c r="D72" s="6" t="str">
        <x:v>Service</x:v>
      </x:c>
      <x:c r="E72" s="6" t="str">
        <x:v>SVC000071</x:v>
      </x:c>
      <x:c r="F72" s="6" t="str">
        <x:v>Unresolved</x:v>
      </x:c>
      <x:c r="G72" s="6" t="str"/>
      <x:c r="H72" s="12" t="str"/>
      <x:c r="I72" s="6" t="str"/>
      <x:c r="J72" s="6" t="str"/>
      <x:c r="K72" s="6" t="str">
        <x:v>Pending</x:v>
      </x:c>
      <x:c r="L72" s="6" t="str"/>
      <x:c r="M72" s="6" t="str"/>
      <x:c r="N72" s="6" t="str">
        <x:v>Not Eligible</x:v>
      </x:c>
      <x:c r="O72" s="12" t="str">
        <x:v>Manual proposal capture only.</x:v>
      </x:c>
    </x:row>
    <x:row r="73">
      <x:c r="A73" s="6" t="str">
        <x:v>DEC-000072</x:v>
      </x:c>
      <x:c r="B73" s="6" t="str">
        <x:v>Service Identity Review</x:v>
      </x:c>
      <x:c r="C73" s="6" t="str">
        <x:v>SIR-000072</x:v>
      </x:c>
      <x:c r="D73" s="6" t="str">
        <x:v>Service</x:v>
      </x:c>
      <x:c r="E73" s="6" t="str">
        <x:v>SVC000072</x:v>
      </x:c>
      <x:c r="F73" s="6" t="str">
        <x:v>Unresolved</x:v>
      </x:c>
      <x:c r="G73" s="6" t="str"/>
      <x:c r="H73" s="12" t="str"/>
      <x:c r="I73" s="6" t="str"/>
      <x:c r="J73" s="6" t="str"/>
      <x:c r="K73" s="6" t="str">
        <x:v>Pending</x:v>
      </x:c>
      <x:c r="L73" s="6" t="str"/>
      <x:c r="M73" s="6" t="str"/>
      <x:c r="N73" s="6" t="str">
        <x:v>Not Eligible</x:v>
      </x:c>
      <x:c r="O73" s="12" t="str">
        <x:v>Manual proposal capture only.</x:v>
      </x:c>
    </x:row>
    <x:row r="74">
      <x:c r="A74" s="6" t="str">
        <x:v>DEC-000073</x:v>
      </x:c>
      <x:c r="B74" s="6" t="str">
        <x:v>Service Identity Review</x:v>
      </x:c>
      <x:c r="C74" s="6" t="str">
        <x:v>SIR-000073</x:v>
      </x:c>
      <x:c r="D74" s="6" t="str">
        <x:v>Service</x:v>
      </x:c>
      <x:c r="E74" s="6" t="str">
        <x:v>SVC000073</x:v>
      </x:c>
      <x:c r="F74" s="6" t="str">
        <x:v>Unresolved</x:v>
      </x:c>
      <x:c r="G74" s="6" t="str"/>
      <x:c r="H74" s="12" t="str"/>
      <x:c r="I74" s="6" t="str"/>
      <x:c r="J74" s="6" t="str"/>
      <x:c r="K74" s="6" t="str">
        <x:v>Pending</x:v>
      </x:c>
      <x:c r="L74" s="6" t="str"/>
      <x:c r="M74" s="6" t="str"/>
      <x:c r="N74" s="6" t="str">
        <x:v>Not Eligible</x:v>
      </x:c>
      <x:c r="O74" s="12" t="str">
        <x:v>Manual proposal capture only.</x:v>
      </x:c>
    </x:row>
    <x:row r="75">
      <x:c r="A75" s="6" t="str">
        <x:v>DEC-000074</x:v>
      </x:c>
      <x:c r="B75" s="6" t="str">
        <x:v>Service Identity Review</x:v>
      </x:c>
      <x:c r="C75" s="6" t="str">
        <x:v>SIR-000074</x:v>
      </x:c>
      <x:c r="D75" s="6" t="str">
        <x:v>Service</x:v>
      </x:c>
      <x:c r="E75" s="6" t="str">
        <x:v>SVC000074</x:v>
      </x:c>
      <x:c r="F75" s="6" t="str">
        <x:v>Unresolved</x:v>
      </x:c>
      <x:c r="G75" s="6" t="str"/>
      <x:c r="H75" s="12" t="str"/>
      <x:c r="I75" s="6" t="str"/>
      <x:c r="J75" s="6" t="str"/>
      <x:c r="K75" s="6" t="str">
        <x:v>Pending</x:v>
      </x:c>
      <x:c r="L75" s="6" t="str"/>
      <x:c r="M75" s="6" t="str"/>
      <x:c r="N75" s="6" t="str">
        <x:v>Not Eligible</x:v>
      </x:c>
      <x:c r="O75" s="12" t="str">
        <x:v>Manual proposal capture only.</x:v>
      </x:c>
    </x:row>
    <x:row r="76">
      <x:c r="A76" s="6" t="str">
        <x:v>DEC-000075</x:v>
      </x:c>
      <x:c r="B76" s="6" t="str">
        <x:v>Service Identity Review</x:v>
      </x:c>
      <x:c r="C76" s="6" t="str">
        <x:v>SIR-000075</x:v>
      </x:c>
      <x:c r="D76" s="6" t="str">
        <x:v>Service</x:v>
      </x:c>
      <x:c r="E76" s="6" t="str">
        <x:v>SVC000075</x:v>
      </x:c>
      <x:c r="F76" s="6" t="str">
        <x:v>Unresolved</x:v>
      </x:c>
      <x:c r="G76" s="6" t="str"/>
      <x:c r="H76" s="12" t="str"/>
      <x:c r="I76" s="6" t="str"/>
      <x:c r="J76" s="6" t="str"/>
      <x:c r="K76" s="6" t="str">
        <x:v>Pending</x:v>
      </x:c>
      <x:c r="L76" s="6" t="str"/>
      <x:c r="M76" s="6" t="str"/>
      <x:c r="N76" s="6" t="str">
        <x:v>Not Eligible</x:v>
      </x:c>
      <x:c r="O76" s="12" t="str">
        <x:v>Manual proposal capture only.</x:v>
      </x:c>
    </x:row>
    <x:row r="77">
      <x:c r="A77" s="6" t="str">
        <x:v>DEC-000076</x:v>
      </x:c>
      <x:c r="B77" s="6" t="str">
        <x:v>Service Identity Review</x:v>
      </x:c>
      <x:c r="C77" s="6" t="str">
        <x:v>SIR-000076</x:v>
      </x:c>
      <x:c r="D77" s="6" t="str">
        <x:v>Service</x:v>
      </x:c>
      <x:c r="E77" s="6" t="str">
        <x:v>SVC000076</x:v>
      </x:c>
      <x:c r="F77" s="6" t="str">
        <x:v>Unresolved</x:v>
      </x:c>
      <x:c r="G77" s="6" t="str"/>
      <x:c r="H77" s="12" t="str"/>
      <x:c r="I77" s="6" t="str"/>
      <x:c r="J77" s="6" t="str"/>
      <x:c r="K77" s="6" t="str">
        <x:v>Pending</x:v>
      </x:c>
      <x:c r="L77" s="6" t="str"/>
      <x:c r="M77" s="6" t="str"/>
      <x:c r="N77" s="6" t="str">
        <x:v>Not Eligible</x:v>
      </x:c>
      <x:c r="O77" s="12" t="str">
        <x:v>Manual proposal capture only.</x:v>
      </x:c>
    </x:row>
    <x:row r="78">
      <x:c r="A78" s="6" t="str">
        <x:v>DEC-000077</x:v>
      </x:c>
      <x:c r="B78" s="6" t="str">
        <x:v>Service Identity Review</x:v>
      </x:c>
      <x:c r="C78" s="6" t="str">
        <x:v>SIR-000077</x:v>
      </x:c>
      <x:c r="D78" s="6" t="str">
        <x:v>Service</x:v>
      </x:c>
      <x:c r="E78" s="6" t="str">
        <x:v>SVC000077</x:v>
      </x:c>
      <x:c r="F78" s="6" t="str">
        <x:v>Unresolved</x:v>
      </x:c>
      <x:c r="G78" s="6" t="str"/>
      <x:c r="H78" s="12" t="str"/>
      <x:c r="I78" s="6" t="str"/>
      <x:c r="J78" s="6" t="str"/>
      <x:c r="K78" s="6" t="str">
        <x:v>Pending</x:v>
      </x:c>
      <x:c r="L78" s="6" t="str"/>
      <x:c r="M78" s="6" t="str"/>
      <x:c r="N78" s="6" t="str">
        <x:v>Not Eligible</x:v>
      </x:c>
      <x:c r="O78" s="12" t="str">
        <x:v>Manual proposal capture only.</x:v>
      </x:c>
    </x:row>
    <x:row r="79">
      <x:c r="A79" s="6" t="str">
        <x:v>DEC-000078</x:v>
      </x:c>
      <x:c r="B79" s="6" t="str">
        <x:v>Service Identity Review</x:v>
      </x:c>
      <x:c r="C79" s="6" t="str">
        <x:v>SIR-000078</x:v>
      </x:c>
      <x:c r="D79" s="6" t="str">
        <x:v>Service</x:v>
      </x:c>
      <x:c r="E79" s="6" t="str">
        <x:v>SVC000078</x:v>
      </x:c>
      <x:c r="F79" s="6" t="str">
        <x:v>Unresolved</x:v>
      </x:c>
      <x:c r="G79" s="6" t="str"/>
      <x:c r="H79" s="12" t="str"/>
      <x:c r="I79" s="6" t="str"/>
      <x:c r="J79" s="6" t="str"/>
      <x:c r="K79" s="6" t="str">
        <x:v>Pending</x:v>
      </x:c>
      <x:c r="L79" s="6" t="str"/>
      <x:c r="M79" s="6" t="str"/>
      <x:c r="N79" s="6" t="str">
        <x:v>Not Eligible</x:v>
      </x:c>
      <x:c r="O79" s="12" t="str">
        <x:v>Manual proposal capture only.</x:v>
      </x:c>
    </x:row>
    <x:row r="80">
      <x:c r="A80" s="6" t="str">
        <x:v>DEC-000079</x:v>
      </x:c>
      <x:c r="B80" s="6" t="str">
        <x:v>Service Identity Review</x:v>
      </x:c>
      <x:c r="C80" s="6" t="str">
        <x:v>SIR-000079</x:v>
      </x:c>
      <x:c r="D80" s="6" t="str">
        <x:v>Service</x:v>
      </x:c>
      <x:c r="E80" s="6" t="str">
        <x:v>SVC000079</x:v>
      </x:c>
      <x:c r="F80" s="6" t="str">
        <x:v>Unresolved</x:v>
      </x:c>
      <x:c r="G80" s="6" t="str"/>
      <x:c r="H80" s="12" t="str"/>
      <x:c r="I80" s="6" t="str"/>
      <x:c r="J80" s="6" t="str"/>
      <x:c r="K80" s="6" t="str">
        <x:v>Pending</x:v>
      </x:c>
      <x:c r="L80" s="6" t="str"/>
      <x:c r="M80" s="6" t="str"/>
      <x:c r="N80" s="6" t="str">
        <x:v>Not Eligible</x:v>
      </x:c>
      <x:c r="O80" s="12" t="str">
        <x:v>Manual proposal capture only.</x:v>
      </x:c>
    </x:row>
    <x:row r="81">
      <x:c r="A81" s="6" t="str">
        <x:v>DEC-000080</x:v>
      </x:c>
      <x:c r="B81" s="6" t="str">
        <x:v>Service Identity Review</x:v>
      </x:c>
      <x:c r="C81" s="6" t="str">
        <x:v>SIR-000080</x:v>
      </x:c>
      <x:c r="D81" s="6" t="str">
        <x:v>Service</x:v>
      </x:c>
      <x:c r="E81" s="6" t="str">
        <x:v>SVC000080</x:v>
      </x:c>
      <x:c r="F81" s="6" t="str">
        <x:v>Unresolved</x:v>
      </x:c>
      <x:c r="G81" s="6" t="str"/>
      <x:c r="H81" s="12" t="str"/>
      <x:c r="I81" s="6" t="str"/>
      <x:c r="J81" s="6" t="str"/>
      <x:c r="K81" s="6" t="str">
        <x:v>Pending</x:v>
      </x:c>
      <x:c r="L81" s="6" t="str"/>
      <x:c r="M81" s="6" t="str"/>
      <x:c r="N81" s="6" t="str">
        <x:v>Not Eligible</x:v>
      </x:c>
      <x:c r="O81" s="12" t="str">
        <x:v>Manual proposal capture only.</x:v>
      </x:c>
    </x:row>
    <x:row r="82">
      <x:c r="A82" s="6" t="str">
        <x:v>DEC-000081</x:v>
      </x:c>
      <x:c r="B82" s="6" t="str">
        <x:v>Service Identity Review</x:v>
      </x:c>
      <x:c r="C82" s="6" t="str">
        <x:v>SIR-000081</x:v>
      </x:c>
      <x:c r="D82" s="6" t="str">
        <x:v>Service</x:v>
      </x:c>
      <x:c r="E82" s="6" t="str">
        <x:v>SVC000081</x:v>
      </x:c>
      <x:c r="F82" s="6" t="str">
        <x:v>Unresolved</x:v>
      </x:c>
      <x:c r="G82" s="6" t="str"/>
      <x:c r="H82" s="12" t="str"/>
      <x:c r="I82" s="6" t="str"/>
      <x:c r="J82" s="6" t="str"/>
      <x:c r="K82" s="6" t="str">
        <x:v>Pending</x:v>
      </x:c>
      <x:c r="L82" s="6" t="str"/>
      <x:c r="M82" s="6" t="str"/>
      <x:c r="N82" s="6" t="str">
        <x:v>Not Eligible</x:v>
      </x:c>
      <x:c r="O82" s="12" t="str">
        <x:v>Manual proposal capture only.</x:v>
      </x:c>
    </x:row>
    <x:row r="83">
      <x:c r="A83" s="6" t="str">
        <x:v>DEC-000082</x:v>
      </x:c>
      <x:c r="B83" s="6" t="str">
        <x:v>Service Identity Review</x:v>
      </x:c>
      <x:c r="C83" s="6" t="str">
        <x:v>SIR-000082</x:v>
      </x:c>
      <x:c r="D83" s="6" t="str">
        <x:v>Service</x:v>
      </x:c>
      <x:c r="E83" s="6" t="str">
        <x:v>SVC000082</x:v>
      </x:c>
      <x:c r="F83" s="6" t="str">
        <x:v>Unresolved</x:v>
      </x:c>
      <x:c r="G83" s="6" t="str"/>
      <x:c r="H83" s="12" t="str"/>
      <x:c r="I83" s="6" t="str"/>
      <x:c r="J83" s="6" t="str"/>
      <x:c r="K83" s="6" t="str">
        <x:v>Pending</x:v>
      </x:c>
      <x:c r="L83" s="6" t="str"/>
      <x:c r="M83" s="6" t="str"/>
      <x:c r="N83" s="6" t="str">
        <x:v>Not Eligible</x:v>
      </x:c>
      <x:c r="O83" s="12" t="str">
        <x:v>Manual proposal capture only.</x:v>
      </x:c>
    </x:row>
    <x:row r="84">
      <x:c r="A84" s="6" t="str">
        <x:v>DEC-000083</x:v>
      </x:c>
      <x:c r="B84" s="6" t="str">
        <x:v>Service Identity Review</x:v>
      </x:c>
      <x:c r="C84" s="6" t="str">
        <x:v>SIR-000083</x:v>
      </x:c>
      <x:c r="D84" s="6" t="str">
        <x:v>Service</x:v>
      </x:c>
      <x:c r="E84" s="6" t="str">
        <x:v>SVC000083</x:v>
      </x:c>
      <x:c r="F84" s="6" t="str">
        <x:v>Unresolved</x:v>
      </x:c>
      <x:c r="G84" s="6" t="str"/>
      <x:c r="H84" s="12" t="str"/>
      <x:c r="I84" s="6" t="str"/>
      <x:c r="J84" s="6" t="str"/>
      <x:c r="K84" s="6" t="str">
        <x:v>Pending</x:v>
      </x:c>
      <x:c r="L84" s="6" t="str"/>
      <x:c r="M84" s="6" t="str"/>
      <x:c r="N84" s="6" t="str">
        <x:v>Not Eligible</x:v>
      </x:c>
      <x:c r="O84" s="12" t="str">
        <x:v>Manual proposal capture only.</x:v>
      </x:c>
    </x:row>
    <x:row r="85">
      <x:c r="A85" s="6" t="str">
        <x:v>DEC-000084</x:v>
      </x:c>
      <x:c r="B85" s="6" t="str">
        <x:v>Service Identity Review</x:v>
      </x:c>
      <x:c r="C85" s="6" t="str">
        <x:v>SIR-000084</x:v>
      </x:c>
      <x:c r="D85" s="6" t="str">
        <x:v>Service</x:v>
      </x:c>
      <x:c r="E85" s="6" t="str">
        <x:v>SVC000084</x:v>
      </x:c>
      <x:c r="F85" s="6" t="str">
        <x:v>Unresolved</x:v>
      </x:c>
      <x:c r="G85" s="6" t="str"/>
      <x:c r="H85" s="12" t="str"/>
      <x:c r="I85" s="6" t="str"/>
      <x:c r="J85" s="6" t="str"/>
      <x:c r="K85" s="6" t="str">
        <x:v>Pending</x:v>
      </x:c>
      <x:c r="L85" s="6" t="str"/>
      <x:c r="M85" s="6" t="str"/>
      <x:c r="N85" s="6" t="str">
        <x:v>Not Eligible</x:v>
      </x:c>
      <x:c r="O85" s="12" t="str">
        <x:v>Manual proposal capture only.</x:v>
      </x:c>
    </x:row>
    <x:row r="86">
      <x:c r="A86" s="6" t="str">
        <x:v>DEC-000085</x:v>
      </x:c>
      <x:c r="B86" s="6" t="str">
        <x:v>Service Identity Review</x:v>
      </x:c>
      <x:c r="C86" s="6" t="str">
        <x:v>SIR-000085</x:v>
      </x:c>
      <x:c r="D86" s="6" t="str">
        <x:v>Service</x:v>
      </x:c>
      <x:c r="E86" s="6" t="str">
        <x:v>SVC000085</x:v>
      </x:c>
      <x:c r="F86" s="6" t="str">
        <x:v>Unresolved</x:v>
      </x:c>
      <x:c r="G86" s="6" t="str"/>
      <x:c r="H86" s="12" t="str"/>
      <x:c r="I86" s="6" t="str"/>
      <x:c r="J86" s="6" t="str"/>
      <x:c r="K86" s="6" t="str">
        <x:v>Pending</x:v>
      </x:c>
      <x:c r="L86" s="6" t="str"/>
      <x:c r="M86" s="6" t="str"/>
      <x:c r="N86" s="6" t="str">
        <x:v>Not Eligible</x:v>
      </x:c>
      <x:c r="O86" s="12" t="str">
        <x:v>Manual proposal capture only.</x:v>
      </x:c>
    </x:row>
    <x:row r="87">
      <x:c r="A87" s="6" t="str">
        <x:v>DEC-000086</x:v>
      </x:c>
      <x:c r="B87" s="6" t="str">
        <x:v>Service Identity Review</x:v>
      </x:c>
      <x:c r="C87" s="6" t="str">
        <x:v>SIR-000086</x:v>
      </x:c>
      <x:c r="D87" s="6" t="str">
        <x:v>Service</x:v>
      </x:c>
      <x:c r="E87" s="6" t="str">
        <x:v>SVC000086</x:v>
      </x:c>
      <x:c r="F87" s="6" t="str">
        <x:v>Unresolved</x:v>
      </x:c>
      <x:c r="G87" s="6" t="str"/>
      <x:c r="H87" s="12" t="str"/>
      <x:c r="I87" s="6" t="str"/>
      <x:c r="J87" s="6" t="str"/>
      <x:c r="K87" s="6" t="str">
        <x:v>Pending</x:v>
      </x:c>
      <x:c r="L87" s="6" t="str"/>
      <x:c r="M87" s="6" t="str"/>
      <x:c r="N87" s="6" t="str">
        <x:v>Not Eligible</x:v>
      </x:c>
      <x:c r="O87" s="12" t="str">
        <x:v>Manual proposal capture only.</x:v>
      </x:c>
    </x:row>
    <x:row r="88">
      <x:c r="A88" s="6" t="str">
        <x:v>DEC-000087</x:v>
      </x:c>
      <x:c r="B88" s="6" t="str">
        <x:v>Service Identity Review</x:v>
      </x:c>
      <x:c r="C88" s="6" t="str">
        <x:v>SIR-000087</x:v>
      </x:c>
      <x:c r="D88" s="6" t="str">
        <x:v>Service</x:v>
      </x:c>
      <x:c r="E88" s="6" t="str">
        <x:v>SVC000087</x:v>
      </x:c>
      <x:c r="F88" s="6" t="str">
        <x:v>Unresolved</x:v>
      </x:c>
      <x:c r="G88" s="6" t="str"/>
      <x:c r="H88" s="12" t="str"/>
      <x:c r="I88" s="6" t="str"/>
      <x:c r="J88" s="6" t="str"/>
      <x:c r="K88" s="6" t="str">
        <x:v>Pending</x:v>
      </x:c>
      <x:c r="L88" s="6" t="str"/>
      <x:c r="M88" s="6" t="str"/>
      <x:c r="N88" s="6" t="str">
        <x:v>Not Eligible</x:v>
      </x:c>
      <x:c r="O88" s="12" t="str">
        <x:v>Manual proposal capture only.</x:v>
      </x:c>
    </x:row>
    <x:row r="89">
      <x:c r="A89" s="6" t="str">
        <x:v>DEC-000088</x:v>
      </x:c>
      <x:c r="B89" s="6" t="str">
        <x:v>Service Identity Review</x:v>
      </x:c>
      <x:c r="C89" s="6" t="str">
        <x:v>SIR-000088</x:v>
      </x:c>
      <x:c r="D89" s="6" t="str">
        <x:v>Service</x:v>
      </x:c>
      <x:c r="E89" s="6" t="str">
        <x:v>SVC000088</x:v>
      </x:c>
      <x:c r="F89" s="6" t="str">
        <x:v>Unresolved</x:v>
      </x:c>
      <x:c r="G89" s="6" t="str"/>
      <x:c r="H89" s="12" t="str"/>
      <x:c r="I89" s="6" t="str"/>
      <x:c r="J89" s="6" t="str"/>
      <x:c r="K89" s="6" t="str">
        <x:v>Pending</x:v>
      </x:c>
      <x:c r="L89" s="6" t="str"/>
      <x:c r="M89" s="6" t="str"/>
      <x:c r="N89" s="6" t="str">
        <x:v>Not Eligible</x:v>
      </x:c>
      <x:c r="O89" s="12" t="str">
        <x:v>Manual proposal capture only.</x:v>
      </x:c>
    </x:row>
    <x:row r="90">
      <x:c r="A90" s="6" t="str">
        <x:v>DEC-000089</x:v>
      </x:c>
      <x:c r="B90" s="6" t="str">
        <x:v>Service Identity Review</x:v>
      </x:c>
      <x:c r="C90" s="6" t="str">
        <x:v>SIR-000089</x:v>
      </x:c>
      <x:c r="D90" s="6" t="str">
        <x:v>Service</x:v>
      </x:c>
      <x:c r="E90" s="6" t="str">
        <x:v>SVC000089</x:v>
      </x:c>
      <x:c r="F90" s="6" t="str">
        <x:v>Unresolved</x:v>
      </x:c>
      <x:c r="G90" s="6" t="str"/>
      <x:c r="H90" s="12" t="str"/>
      <x:c r="I90" s="6" t="str"/>
      <x:c r="J90" s="6" t="str"/>
      <x:c r="K90" s="6" t="str">
        <x:v>Pending</x:v>
      </x:c>
      <x:c r="L90" s="6" t="str"/>
      <x:c r="M90" s="6" t="str"/>
      <x:c r="N90" s="6" t="str">
        <x:v>Not Eligible</x:v>
      </x:c>
      <x:c r="O90" s="12" t="str">
        <x:v>Manual proposal capture only.</x:v>
      </x:c>
    </x:row>
    <x:row r="91">
      <x:c r="A91" s="6" t="str">
        <x:v>DEC-000090</x:v>
      </x:c>
      <x:c r="B91" s="6" t="str">
        <x:v>Service Identity Review</x:v>
      </x:c>
      <x:c r="C91" s="6" t="str">
        <x:v>SIR-000090</x:v>
      </x:c>
      <x:c r="D91" s="6" t="str">
        <x:v>Service</x:v>
      </x:c>
      <x:c r="E91" s="6" t="str">
        <x:v>SVC000090</x:v>
      </x:c>
      <x:c r="F91" s="6" t="str">
        <x:v>Unresolved</x:v>
      </x:c>
      <x:c r="G91" s="6" t="str"/>
      <x:c r="H91" s="12" t="str"/>
      <x:c r="I91" s="6" t="str"/>
      <x:c r="J91" s="6" t="str"/>
      <x:c r="K91" s="6" t="str">
        <x:v>Pending</x:v>
      </x:c>
      <x:c r="L91" s="6" t="str"/>
      <x:c r="M91" s="6" t="str"/>
      <x:c r="N91" s="6" t="str">
        <x:v>Not Eligible</x:v>
      </x:c>
      <x:c r="O91" s="12" t="str">
        <x:v>Manual proposal capture only.</x:v>
      </x:c>
    </x:row>
    <x:row r="92">
      <x:c r="A92" s="6" t="str">
        <x:v>DEC-000091</x:v>
      </x:c>
      <x:c r="B92" s="6" t="str">
        <x:v>Service Identity Review</x:v>
      </x:c>
      <x:c r="C92" s="6" t="str">
        <x:v>SIR-000091</x:v>
      </x:c>
      <x:c r="D92" s="6" t="str">
        <x:v>Service</x:v>
      </x:c>
      <x:c r="E92" s="6" t="str">
        <x:v>SVC000091</x:v>
      </x:c>
      <x:c r="F92" s="6" t="str">
        <x:v>Unresolved</x:v>
      </x:c>
      <x:c r="G92" s="6" t="str"/>
      <x:c r="H92" s="12" t="str"/>
      <x:c r="I92" s="6" t="str"/>
      <x:c r="J92" s="6" t="str"/>
      <x:c r="K92" s="6" t="str">
        <x:v>Pending</x:v>
      </x:c>
      <x:c r="L92" s="6" t="str"/>
      <x:c r="M92" s="6" t="str"/>
      <x:c r="N92" s="6" t="str">
        <x:v>Not Eligible</x:v>
      </x:c>
      <x:c r="O92" s="12" t="str">
        <x:v>Manual proposal capture only.</x:v>
      </x:c>
    </x:row>
    <x:row r="93">
      <x:c r="A93" s="6" t="str">
        <x:v>DEC-000092</x:v>
      </x:c>
      <x:c r="B93" s="6" t="str">
        <x:v>Service Identity Review</x:v>
      </x:c>
      <x:c r="C93" s="6" t="str">
        <x:v>SIR-000092</x:v>
      </x:c>
      <x:c r="D93" s="6" t="str">
        <x:v>Service</x:v>
      </x:c>
      <x:c r="E93" s="6" t="str">
        <x:v>SVC000092</x:v>
      </x:c>
      <x:c r="F93" s="6" t="str">
        <x:v>Unresolved</x:v>
      </x:c>
      <x:c r="G93" s="6" t="str"/>
      <x:c r="H93" s="12" t="str"/>
      <x:c r="I93" s="6" t="str"/>
      <x:c r="J93" s="6" t="str"/>
      <x:c r="K93" s="6" t="str">
        <x:v>Pending</x:v>
      </x:c>
      <x:c r="L93" s="6" t="str"/>
      <x:c r="M93" s="6" t="str"/>
      <x:c r="N93" s="6" t="str">
        <x:v>Not Eligible</x:v>
      </x:c>
      <x:c r="O93" s="12" t="str">
        <x:v>Manual proposal capture only.</x:v>
      </x:c>
    </x:row>
    <x:row r="94">
      <x:c r="A94" s="6" t="str">
        <x:v>DEC-000093</x:v>
      </x:c>
      <x:c r="B94" s="6" t="str">
        <x:v>Service Identity Review</x:v>
      </x:c>
      <x:c r="C94" s="6" t="str">
        <x:v>SIR-000093</x:v>
      </x:c>
      <x:c r="D94" s="6" t="str">
        <x:v>Service</x:v>
      </x:c>
      <x:c r="E94" s="6" t="str">
        <x:v>SVC000093</x:v>
      </x:c>
      <x:c r="F94" s="6" t="str">
        <x:v>Unresolved</x:v>
      </x:c>
      <x:c r="G94" s="6" t="str"/>
      <x:c r="H94" s="12" t="str"/>
      <x:c r="I94" s="6" t="str"/>
      <x:c r="J94" s="6" t="str"/>
      <x:c r="K94" s="6" t="str">
        <x:v>Pending</x:v>
      </x:c>
      <x:c r="L94" s="6" t="str"/>
      <x:c r="M94" s="6" t="str"/>
      <x:c r="N94" s="6" t="str">
        <x:v>Not Eligible</x:v>
      </x:c>
      <x:c r="O94" s="12" t="str">
        <x:v>Manual proposal capture only.</x:v>
      </x:c>
    </x:row>
    <x:row r="95">
      <x:c r="A95" s="6" t="str">
        <x:v>DEC-000094</x:v>
      </x:c>
      <x:c r="B95" s="6" t="str">
        <x:v>Service Identity Review</x:v>
      </x:c>
      <x:c r="C95" s="6" t="str">
        <x:v>SIR-000094</x:v>
      </x:c>
      <x:c r="D95" s="6" t="str">
        <x:v>Service</x:v>
      </x:c>
      <x:c r="E95" s="6" t="str">
        <x:v>SVC000094</x:v>
      </x:c>
      <x:c r="F95" s="6" t="str">
        <x:v>Unresolved</x:v>
      </x:c>
      <x:c r="G95" s="6" t="str"/>
      <x:c r="H95" s="12" t="str"/>
      <x:c r="I95" s="6" t="str"/>
      <x:c r="J95" s="6" t="str"/>
      <x:c r="K95" s="6" t="str">
        <x:v>Pending</x:v>
      </x:c>
      <x:c r="L95" s="6" t="str"/>
      <x:c r="M95" s="6" t="str"/>
      <x:c r="N95" s="6" t="str">
        <x:v>Not Eligible</x:v>
      </x:c>
      <x:c r="O95" s="12" t="str">
        <x:v>Manual proposal capture only.</x:v>
      </x:c>
    </x:row>
    <x:row r="96">
      <x:c r="A96" s="6" t="str">
        <x:v>DEC-000095</x:v>
      </x:c>
      <x:c r="B96" s="6" t="str">
        <x:v>Service Identity Review</x:v>
      </x:c>
      <x:c r="C96" s="6" t="str">
        <x:v>SIR-000095</x:v>
      </x:c>
      <x:c r="D96" s="6" t="str">
        <x:v>Service</x:v>
      </x:c>
      <x:c r="E96" s="6" t="str">
        <x:v>SVC000095</x:v>
      </x:c>
      <x:c r="F96" s="6" t="str">
        <x:v>Unresolved</x:v>
      </x:c>
      <x:c r="G96" s="6" t="str"/>
      <x:c r="H96" s="12" t="str"/>
      <x:c r="I96" s="6" t="str"/>
      <x:c r="J96" s="6" t="str"/>
      <x:c r="K96" s="6" t="str">
        <x:v>Pending</x:v>
      </x:c>
      <x:c r="L96" s="6" t="str"/>
      <x:c r="M96" s="6" t="str"/>
      <x:c r="N96" s="6" t="str">
        <x:v>Not Eligible</x:v>
      </x:c>
      <x:c r="O96" s="12" t="str">
        <x:v>Manual proposal capture only.</x:v>
      </x:c>
    </x:row>
    <x:row r="97">
      <x:c r="A97" s="6" t="str">
        <x:v>DEC-000096</x:v>
      </x:c>
      <x:c r="B97" s="6" t="str">
        <x:v>Service Identity Review</x:v>
      </x:c>
      <x:c r="C97" s="6" t="str">
        <x:v>SIR-000096</x:v>
      </x:c>
      <x:c r="D97" s="6" t="str">
        <x:v>Service</x:v>
      </x:c>
      <x:c r="E97" s="6" t="str">
        <x:v>SVC000096</x:v>
      </x:c>
      <x:c r="F97" s="6" t="str">
        <x:v>Unresolved</x:v>
      </x:c>
      <x:c r="G97" s="6" t="str"/>
      <x:c r="H97" s="12" t="str"/>
      <x:c r="I97" s="6" t="str"/>
      <x:c r="J97" s="6" t="str"/>
      <x:c r="K97" s="6" t="str">
        <x:v>Pending</x:v>
      </x:c>
      <x:c r="L97" s="6" t="str"/>
      <x:c r="M97" s="6" t="str"/>
      <x:c r="N97" s="6" t="str">
        <x:v>Not Eligible</x:v>
      </x:c>
      <x:c r="O97" s="12" t="str">
        <x:v>Manual proposal capture only.</x:v>
      </x:c>
    </x:row>
    <x:row r="98">
      <x:c r="A98" s="6" t="str">
        <x:v>DEC-000097</x:v>
      </x:c>
      <x:c r="B98" s="6" t="str">
        <x:v>Service Identity Review</x:v>
      </x:c>
      <x:c r="C98" s="6" t="str">
        <x:v>SIR-000097</x:v>
      </x:c>
      <x:c r="D98" s="6" t="str">
        <x:v>Service</x:v>
      </x:c>
      <x:c r="E98" s="6" t="str">
        <x:v>SVC000097</x:v>
      </x:c>
      <x:c r="F98" s="6" t="str">
        <x:v>Unresolved</x:v>
      </x:c>
      <x:c r="G98" s="6" t="str"/>
      <x:c r="H98" s="12" t="str"/>
      <x:c r="I98" s="6" t="str"/>
      <x:c r="J98" s="6" t="str"/>
      <x:c r="K98" s="6" t="str">
        <x:v>Pending</x:v>
      </x:c>
      <x:c r="L98" s="6" t="str"/>
      <x:c r="M98" s="6" t="str"/>
      <x:c r="N98" s="6" t="str">
        <x:v>Not Eligible</x:v>
      </x:c>
      <x:c r="O98" s="12" t="str">
        <x:v>Manual proposal capture only.</x:v>
      </x:c>
    </x:row>
    <x:row r="99">
      <x:c r="A99" s="6" t="str">
        <x:v>DEC-000098</x:v>
      </x:c>
      <x:c r="B99" s="6" t="str">
        <x:v>Service Identity Review</x:v>
      </x:c>
      <x:c r="C99" s="6" t="str">
        <x:v>SIR-000098</x:v>
      </x:c>
      <x:c r="D99" s="6" t="str">
        <x:v>Service</x:v>
      </x:c>
      <x:c r="E99" s="6" t="str">
        <x:v>SVC000098</x:v>
      </x:c>
      <x:c r="F99" s="6" t="str">
        <x:v>Unresolved</x:v>
      </x:c>
      <x:c r="G99" s="6" t="str"/>
      <x:c r="H99" s="12" t="str"/>
      <x:c r="I99" s="6" t="str"/>
      <x:c r="J99" s="6" t="str"/>
      <x:c r="K99" s="6" t="str">
        <x:v>Pending</x:v>
      </x:c>
      <x:c r="L99" s="6" t="str"/>
      <x:c r="M99" s="6" t="str"/>
      <x:c r="N99" s="6" t="str">
        <x:v>Not Eligible</x:v>
      </x:c>
      <x:c r="O99" s="12" t="str">
        <x:v>Manual proposal capture only.</x:v>
      </x:c>
    </x:row>
    <x:row r="100">
      <x:c r="A100" s="6" t="str">
        <x:v>DEC-000099</x:v>
      </x:c>
      <x:c r="B100" s="6" t="str">
        <x:v>Service Identity Review</x:v>
      </x:c>
      <x:c r="C100" s="6" t="str">
        <x:v>SIR-000099</x:v>
      </x:c>
      <x:c r="D100" s="6" t="str">
        <x:v>Service</x:v>
      </x:c>
      <x:c r="E100" s="6" t="str">
        <x:v>SVC000099</x:v>
      </x:c>
      <x:c r="F100" s="6" t="str">
        <x:v>Unresolved</x:v>
      </x:c>
      <x:c r="G100" s="6" t="str"/>
      <x:c r="H100" s="12" t="str"/>
      <x:c r="I100" s="6" t="str"/>
      <x:c r="J100" s="6" t="str"/>
      <x:c r="K100" s="6" t="str">
        <x:v>Pending</x:v>
      </x:c>
      <x:c r="L100" s="6" t="str"/>
      <x:c r="M100" s="6" t="str"/>
      <x:c r="N100" s="6" t="str">
        <x:v>Not Eligible</x:v>
      </x:c>
      <x:c r="O100" s="12" t="str">
        <x:v>Manual proposal capture only.</x:v>
      </x:c>
    </x:row>
    <x:row r="101">
      <x:c r="A101" s="6" t="str">
        <x:v>DEC-000100</x:v>
      </x:c>
      <x:c r="B101" s="6" t="str">
        <x:v>Service Identity Review</x:v>
      </x:c>
      <x:c r="C101" s="6" t="str">
        <x:v>SIR-000100</x:v>
      </x:c>
      <x:c r="D101" s="6" t="str">
        <x:v>Service</x:v>
      </x:c>
      <x:c r="E101" s="6" t="str">
        <x:v>SVC000100</x:v>
      </x:c>
      <x:c r="F101" s="6" t="str">
        <x:v>Unresolved</x:v>
      </x:c>
      <x:c r="G101" s="6" t="str"/>
      <x:c r="H101" s="12" t="str"/>
      <x:c r="I101" s="6" t="str"/>
      <x:c r="J101" s="6" t="str"/>
      <x:c r="K101" s="6" t="str">
        <x:v>Pending</x:v>
      </x:c>
      <x:c r="L101" s="6" t="str"/>
      <x:c r="M101" s="6" t="str"/>
      <x:c r="N101" s="6" t="str">
        <x:v>Not Eligible</x:v>
      </x:c>
      <x:c r="O101" s="12" t="str">
        <x:v>Manual proposal capture only.</x:v>
      </x:c>
    </x:row>
    <x:row r="102">
      <x:c r="A102" s="6" t="str">
        <x:v>DEC-000101</x:v>
      </x:c>
      <x:c r="B102" s="6" t="str">
        <x:v>Service Identity Review</x:v>
      </x:c>
      <x:c r="C102" s="6" t="str">
        <x:v>SIR-000101</x:v>
      </x:c>
      <x:c r="D102" s="6" t="str">
        <x:v>Service</x:v>
      </x:c>
      <x:c r="E102" s="6" t="str">
        <x:v>SVC000101</x:v>
      </x:c>
      <x:c r="F102" s="6" t="str">
        <x:v>Unresolved</x:v>
      </x:c>
      <x:c r="G102" s="6" t="str"/>
      <x:c r="H102" s="12" t="str"/>
      <x:c r="I102" s="6" t="str"/>
      <x:c r="J102" s="6" t="str"/>
      <x:c r="K102" s="6" t="str">
        <x:v>Pending</x:v>
      </x:c>
      <x:c r="L102" s="6" t="str"/>
      <x:c r="M102" s="6" t="str"/>
      <x:c r="N102" s="6" t="str">
        <x:v>Not Eligible</x:v>
      </x:c>
      <x:c r="O102" s="12" t="str">
        <x:v>Manual proposal capture only.</x:v>
      </x:c>
    </x:row>
    <x:row r="103">
      <x:c r="A103" s="6" t="str">
        <x:v>DEC-000102</x:v>
      </x:c>
      <x:c r="B103" s="6" t="str">
        <x:v>Service Identity Review</x:v>
      </x:c>
      <x:c r="C103" s="6" t="str">
        <x:v>SIR-000102</x:v>
      </x:c>
      <x:c r="D103" s="6" t="str">
        <x:v>Service</x:v>
      </x:c>
      <x:c r="E103" s="6" t="str">
        <x:v>SVC000102</x:v>
      </x:c>
      <x:c r="F103" s="6" t="str">
        <x:v>Unresolved</x:v>
      </x:c>
      <x:c r="G103" s="6" t="str"/>
      <x:c r="H103" s="12" t="str"/>
      <x:c r="I103" s="6" t="str"/>
      <x:c r="J103" s="6" t="str"/>
      <x:c r="K103" s="6" t="str">
        <x:v>Pending</x:v>
      </x:c>
      <x:c r="L103" s="6" t="str"/>
      <x:c r="M103" s="6" t="str"/>
      <x:c r="N103" s="6" t="str">
        <x:v>Not Eligible</x:v>
      </x:c>
      <x:c r="O103" s="12" t="str">
        <x:v>Manual proposal capture only.</x:v>
      </x:c>
    </x:row>
    <x:row r="104">
      <x:c r="A104" s="6" t="str">
        <x:v>DEC-000103</x:v>
      </x:c>
      <x:c r="B104" s="6" t="str">
        <x:v>Service Identity Review</x:v>
      </x:c>
      <x:c r="C104" s="6" t="str">
        <x:v>SIR-000103</x:v>
      </x:c>
      <x:c r="D104" s="6" t="str">
        <x:v>Service</x:v>
      </x:c>
      <x:c r="E104" s="6" t="str">
        <x:v>SVC000103</x:v>
      </x:c>
      <x:c r="F104" s="6" t="str">
        <x:v>Unresolved</x:v>
      </x:c>
      <x:c r="G104" s="6" t="str"/>
      <x:c r="H104" s="12" t="str"/>
      <x:c r="I104" s="6" t="str"/>
      <x:c r="J104" s="6" t="str"/>
      <x:c r="K104" s="6" t="str">
        <x:v>Pending</x:v>
      </x:c>
      <x:c r="L104" s="6" t="str"/>
      <x:c r="M104" s="6" t="str"/>
      <x:c r="N104" s="6" t="str">
        <x:v>Not Eligible</x:v>
      </x:c>
      <x:c r="O104" s="12" t="str">
        <x:v>Manual proposal capture only.</x:v>
      </x:c>
    </x:row>
    <x:row r="105">
      <x:c r="A105" s="6" t="str">
        <x:v>DEC-000104</x:v>
      </x:c>
      <x:c r="B105" s="6" t="str">
        <x:v>Service Identity Review</x:v>
      </x:c>
      <x:c r="C105" s="6" t="str">
        <x:v>SIR-000104</x:v>
      </x:c>
      <x:c r="D105" s="6" t="str">
        <x:v>Service</x:v>
      </x:c>
      <x:c r="E105" s="6" t="str">
        <x:v>SVC000104</x:v>
      </x:c>
      <x:c r="F105" s="6" t="str">
        <x:v>Unresolved</x:v>
      </x:c>
      <x:c r="G105" s="6" t="str"/>
      <x:c r="H105" s="12" t="str"/>
      <x:c r="I105" s="6" t="str"/>
      <x:c r="J105" s="6" t="str"/>
      <x:c r="K105" s="6" t="str">
        <x:v>Pending</x:v>
      </x:c>
      <x:c r="L105" s="6" t="str"/>
      <x:c r="M105" s="6" t="str"/>
      <x:c r="N105" s="6" t="str">
        <x:v>Not Eligible</x:v>
      </x:c>
      <x:c r="O105" s="12" t="str">
        <x:v>Manual proposal capture only.</x:v>
      </x:c>
    </x:row>
    <x:row r="106">
      <x:c r="A106" s="6" t="str">
        <x:v>DEC-000105</x:v>
      </x:c>
      <x:c r="B106" s="6" t="str">
        <x:v>Service Identity Review</x:v>
      </x:c>
      <x:c r="C106" s="6" t="str">
        <x:v>SIR-000105</x:v>
      </x:c>
      <x:c r="D106" s="6" t="str">
        <x:v>Service</x:v>
      </x:c>
      <x:c r="E106" s="6" t="str">
        <x:v>SVC000105</x:v>
      </x:c>
      <x:c r="F106" s="6" t="str">
        <x:v>Unresolved</x:v>
      </x:c>
      <x:c r="G106" s="6" t="str"/>
      <x:c r="H106" s="12" t="str"/>
      <x:c r="I106" s="6" t="str"/>
      <x:c r="J106" s="6" t="str"/>
      <x:c r="K106" s="6" t="str">
        <x:v>Pending</x:v>
      </x:c>
      <x:c r="L106" s="6" t="str"/>
      <x:c r="M106" s="6" t="str"/>
      <x:c r="N106" s="6" t="str">
        <x:v>Not Eligible</x:v>
      </x:c>
      <x:c r="O106" s="12" t="str">
        <x:v>Manual proposal capture only.</x:v>
      </x:c>
    </x:row>
    <x:row r="107">
      <x:c r="A107" s="6" t="str">
        <x:v>DEC-000106</x:v>
      </x:c>
      <x:c r="B107" s="6" t="str">
        <x:v>Service Identity Review</x:v>
      </x:c>
      <x:c r="C107" s="6" t="str">
        <x:v>SIR-000106</x:v>
      </x:c>
      <x:c r="D107" s="6" t="str">
        <x:v>Service</x:v>
      </x:c>
      <x:c r="E107" s="6" t="str">
        <x:v>SVC000106</x:v>
      </x:c>
      <x:c r="F107" s="6" t="str">
        <x:v>Unresolved</x:v>
      </x:c>
      <x:c r="G107" s="6" t="str"/>
      <x:c r="H107" s="12" t="str"/>
      <x:c r="I107" s="6" t="str"/>
      <x:c r="J107" s="6" t="str"/>
      <x:c r="K107" s="6" t="str">
        <x:v>Pending</x:v>
      </x:c>
      <x:c r="L107" s="6" t="str"/>
      <x:c r="M107" s="6" t="str"/>
      <x:c r="N107" s="6" t="str">
        <x:v>Not Eligible</x:v>
      </x:c>
      <x:c r="O107" s="12" t="str">
        <x:v>Manual proposal capture only.</x:v>
      </x:c>
    </x:row>
    <x:row r="108">
      <x:c r="A108" s="6" t="str">
        <x:v>DEC-000107</x:v>
      </x:c>
      <x:c r="B108" s="6" t="str">
        <x:v>Service Identity Review</x:v>
      </x:c>
      <x:c r="C108" s="6" t="str">
        <x:v>SIR-000107</x:v>
      </x:c>
      <x:c r="D108" s="6" t="str">
        <x:v>Service</x:v>
      </x:c>
      <x:c r="E108" s="6" t="str">
        <x:v>SVC000107</x:v>
      </x:c>
      <x:c r="F108" s="6" t="str">
        <x:v>Unresolved</x:v>
      </x:c>
      <x:c r="G108" s="6" t="str"/>
      <x:c r="H108" s="12" t="str"/>
      <x:c r="I108" s="6" t="str"/>
      <x:c r="J108" s="6" t="str"/>
      <x:c r="K108" s="6" t="str">
        <x:v>Pending</x:v>
      </x:c>
      <x:c r="L108" s="6" t="str"/>
      <x:c r="M108" s="6" t="str"/>
      <x:c r="N108" s="6" t="str">
        <x:v>Not Eligible</x:v>
      </x:c>
      <x:c r="O108" s="12" t="str">
        <x:v>Manual proposal capture only.</x:v>
      </x:c>
    </x:row>
    <x:row r="109">
      <x:c r="A109" s="6" t="str">
        <x:v>DEC-000108</x:v>
      </x:c>
      <x:c r="B109" s="6" t="str">
        <x:v>Service Identity Review</x:v>
      </x:c>
      <x:c r="C109" s="6" t="str">
        <x:v>SIR-000108</x:v>
      </x:c>
      <x:c r="D109" s="6" t="str">
        <x:v>Service</x:v>
      </x:c>
      <x:c r="E109" s="6" t="str">
        <x:v>SVC000108</x:v>
      </x:c>
      <x:c r="F109" s="6" t="str">
        <x:v>Unresolved</x:v>
      </x:c>
      <x:c r="G109" s="6" t="str"/>
      <x:c r="H109" s="12" t="str"/>
      <x:c r="I109" s="6" t="str"/>
      <x:c r="J109" s="6" t="str"/>
      <x:c r="K109" s="6" t="str">
        <x:v>Pending</x:v>
      </x:c>
      <x:c r="L109" s="6" t="str"/>
      <x:c r="M109" s="6" t="str"/>
      <x:c r="N109" s="6" t="str">
        <x:v>Not Eligible</x:v>
      </x:c>
      <x:c r="O109" s="12" t="str">
        <x:v>Manual proposal capture only.</x:v>
      </x:c>
    </x:row>
    <x:row r="110">
      <x:c r="A110" s="6" t="str">
        <x:v>DEC-000109</x:v>
      </x:c>
      <x:c r="B110" s="6" t="str">
        <x:v>Service Identity Review</x:v>
      </x:c>
      <x:c r="C110" s="6" t="str">
        <x:v>SIR-000109</x:v>
      </x:c>
      <x:c r="D110" s="6" t="str">
        <x:v>Service</x:v>
      </x:c>
      <x:c r="E110" s="6" t="str">
        <x:v>SVC000109</x:v>
      </x:c>
      <x:c r="F110" s="6" t="str">
        <x:v>Unresolved</x:v>
      </x:c>
      <x:c r="G110" s="6" t="str"/>
      <x:c r="H110" s="12" t="str"/>
      <x:c r="I110" s="6" t="str"/>
      <x:c r="J110" s="6" t="str"/>
      <x:c r="K110" s="6" t="str">
        <x:v>Pending</x:v>
      </x:c>
      <x:c r="L110" s="6" t="str"/>
      <x:c r="M110" s="6" t="str"/>
      <x:c r="N110" s="6" t="str">
        <x:v>Not Eligible</x:v>
      </x:c>
      <x:c r="O110" s="12" t="str">
        <x:v>Manual proposal capture only.</x:v>
      </x:c>
    </x:row>
    <x:row r="111">
      <x:c r="A111" s="6" t="str">
        <x:v>DEC-000110</x:v>
      </x:c>
      <x:c r="B111" s="6" t="str">
        <x:v>Service Identity Review</x:v>
      </x:c>
      <x:c r="C111" s="6" t="str">
        <x:v>SIR-000110</x:v>
      </x:c>
      <x:c r="D111" s="6" t="str">
        <x:v>Service</x:v>
      </x:c>
      <x:c r="E111" s="6" t="str">
        <x:v>SVC000110</x:v>
      </x:c>
      <x:c r="F111" s="6" t="str">
        <x:v>Unresolved</x:v>
      </x:c>
      <x:c r="G111" s="6" t="str"/>
      <x:c r="H111" s="12" t="str"/>
      <x:c r="I111" s="6" t="str"/>
      <x:c r="J111" s="6" t="str"/>
      <x:c r="K111" s="6" t="str">
        <x:v>Pending</x:v>
      </x:c>
      <x:c r="L111" s="6" t="str"/>
      <x:c r="M111" s="6" t="str"/>
      <x:c r="N111" s="6" t="str">
        <x:v>Not Eligible</x:v>
      </x:c>
      <x:c r="O111" s="12" t="str">
        <x:v>Manual proposal capture only.</x:v>
      </x:c>
    </x:row>
    <x:row r="112">
      <x:c r="A112" s="6" t="str">
        <x:v>DEC-000111</x:v>
      </x:c>
      <x:c r="B112" s="6" t="str">
        <x:v>Service Identity Review</x:v>
      </x:c>
      <x:c r="C112" s="6" t="str">
        <x:v>SIR-000111</x:v>
      </x:c>
      <x:c r="D112" s="6" t="str">
        <x:v>Service</x:v>
      </x:c>
      <x:c r="E112" s="6" t="str">
        <x:v>SVC000111</x:v>
      </x:c>
      <x:c r="F112" s="6" t="str">
        <x:v>Unresolved</x:v>
      </x:c>
      <x:c r="G112" s="6" t="str"/>
      <x:c r="H112" s="12" t="str"/>
      <x:c r="I112" s="6" t="str"/>
      <x:c r="J112" s="6" t="str"/>
      <x:c r="K112" s="6" t="str">
        <x:v>Pending</x:v>
      </x:c>
      <x:c r="L112" s="6" t="str"/>
      <x:c r="M112" s="6" t="str"/>
      <x:c r="N112" s="6" t="str">
        <x:v>Not Eligible</x:v>
      </x:c>
      <x:c r="O112" s="12" t="str">
        <x:v>Manual proposal capture only.</x:v>
      </x:c>
    </x:row>
    <x:row r="113">
      <x:c r="A113" s="6" t="str">
        <x:v>DEC-000112</x:v>
      </x:c>
      <x:c r="B113" s="6" t="str">
        <x:v>Service Identity Review</x:v>
      </x:c>
      <x:c r="C113" s="6" t="str">
        <x:v>SIR-000112</x:v>
      </x:c>
      <x:c r="D113" s="6" t="str">
        <x:v>Service</x:v>
      </x:c>
      <x:c r="E113" s="6" t="str">
        <x:v>SVC000112</x:v>
      </x:c>
      <x:c r="F113" s="6" t="str">
        <x:v>Unresolved</x:v>
      </x:c>
      <x:c r="G113" s="6" t="str"/>
      <x:c r="H113" s="12" t="str"/>
      <x:c r="I113" s="6" t="str"/>
      <x:c r="J113" s="6" t="str"/>
      <x:c r="K113" s="6" t="str">
        <x:v>Pending</x:v>
      </x:c>
      <x:c r="L113" s="6" t="str"/>
      <x:c r="M113" s="6" t="str"/>
      <x:c r="N113" s="6" t="str">
        <x:v>Not Eligible</x:v>
      </x:c>
      <x:c r="O113" s="12" t="str">
        <x:v>Manual proposal capture only.</x:v>
      </x:c>
    </x:row>
    <x:row r="114">
      <x:c r="A114" s="6" t="str">
        <x:v>DEC-000113</x:v>
      </x:c>
      <x:c r="B114" s="6" t="str">
        <x:v>Service Identity Review</x:v>
      </x:c>
      <x:c r="C114" s="6" t="str">
        <x:v>SIR-000113</x:v>
      </x:c>
      <x:c r="D114" s="6" t="str">
        <x:v>Service</x:v>
      </x:c>
      <x:c r="E114" s="6" t="str">
        <x:v>SVC000113</x:v>
      </x:c>
      <x:c r="F114" s="6" t="str">
        <x:v>Unresolved</x:v>
      </x:c>
      <x:c r="G114" s="6" t="str"/>
      <x:c r="H114" s="12" t="str"/>
      <x:c r="I114" s="6" t="str"/>
      <x:c r="J114" s="6" t="str"/>
      <x:c r="K114" s="6" t="str">
        <x:v>Pending</x:v>
      </x:c>
      <x:c r="L114" s="6" t="str"/>
      <x:c r="M114" s="6" t="str"/>
      <x:c r="N114" s="6" t="str">
        <x:v>Not Eligible</x:v>
      </x:c>
      <x:c r="O114" s="12" t="str">
        <x:v>Manual proposal capture only.</x:v>
      </x:c>
    </x:row>
    <x:row r="115">
      <x:c r="A115" s="6" t="str">
        <x:v>DEC-000114</x:v>
      </x:c>
      <x:c r="B115" s="6" t="str">
        <x:v>Service Identity Review</x:v>
      </x:c>
      <x:c r="C115" s="6" t="str">
        <x:v>SIR-000114</x:v>
      </x:c>
      <x:c r="D115" s="6" t="str">
        <x:v>Service</x:v>
      </x:c>
      <x:c r="E115" s="6" t="str">
        <x:v>SVC000114</x:v>
      </x:c>
      <x:c r="F115" s="6" t="str">
        <x:v>Unresolved</x:v>
      </x:c>
      <x:c r="G115" s="6" t="str"/>
      <x:c r="H115" s="12" t="str"/>
      <x:c r="I115" s="6" t="str"/>
      <x:c r="J115" s="6" t="str"/>
      <x:c r="K115" s="6" t="str">
        <x:v>Pending</x:v>
      </x:c>
      <x:c r="L115" s="6" t="str"/>
      <x:c r="M115" s="6" t="str"/>
      <x:c r="N115" s="6" t="str">
        <x:v>Not Eligible</x:v>
      </x:c>
      <x:c r="O115" s="12" t="str">
        <x:v>Manual proposal capture only.</x:v>
      </x:c>
    </x:row>
    <x:row r="116">
      <x:c r="A116" s="6" t="str">
        <x:v>DEC-000115</x:v>
      </x:c>
      <x:c r="B116" s="6" t="str">
        <x:v>Service Identity Review</x:v>
      </x:c>
      <x:c r="C116" s="6" t="str">
        <x:v>SIR-000115</x:v>
      </x:c>
      <x:c r="D116" s="6" t="str">
        <x:v>Service</x:v>
      </x:c>
      <x:c r="E116" s="6" t="str">
        <x:v>SVC000115</x:v>
      </x:c>
      <x:c r="F116" s="6" t="str">
        <x:v>Unresolved</x:v>
      </x:c>
      <x:c r="G116" s="6" t="str"/>
      <x:c r="H116" s="12" t="str"/>
      <x:c r="I116" s="6" t="str"/>
      <x:c r="J116" s="6" t="str"/>
      <x:c r="K116" s="6" t="str">
        <x:v>Pending</x:v>
      </x:c>
      <x:c r="L116" s="6" t="str"/>
      <x:c r="M116" s="6" t="str"/>
      <x:c r="N116" s="6" t="str">
        <x:v>Not Eligible</x:v>
      </x:c>
      <x:c r="O116" s="12" t="str">
        <x:v>Manual proposal capture only.</x:v>
      </x:c>
    </x:row>
    <x:row r="117">
      <x:c r="A117" s="6" t="str">
        <x:v>DEC-000116</x:v>
      </x:c>
      <x:c r="B117" s="6" t="str">
        <x:v>Service Identity Review</x:v>
      </x:c>
      <x:c r="C117" s="6" t="str">
        <x:v>SIR-000116</x:v>
      </x:c>
      <x:c r="D117" s="6" t="str">
        <x:v>Service</x:v>
      </x:c>
      <x:c r="E117" s="6" t="str">
        <x:v>SVC000116</x:v>
      </x:c>
      <x:c r="F117" s="6" t="str">
        <x:v>Unresolved</x:v>
      </x:c>
      <x:c r="G117" s="6" t="str"/>
      <x:c r="H117" s="12" t="str"/>
      <x:c r="I117" s="6" t="str"/>
      <x:c r="J117" s="6" t="str"/>
      <x:c r="K117" s="6" t="str">
        <x:v>Pending</x:v>
      </x:c>
      <x:c r="L117" s="6" t="str"/>
      <x:c r="M117" s="6" t="str"/>
      <x:c r="N117" s="6" t="str">
        <x:v>Not Eligible</x:v>
      </x:c>
      <x:c r="O117" s="12" t="str">
        <x:v>Manual proposal capture only.</x:v>
      </x:c>
    </x:row>
    <x:row r="118">
      <x:c r="A118" s="6" t="str">
        <x:v>DEC-000117</x:v>
      </x:c>
      <x:c r="B118" s="6" t="str">
        <x:v>Service Identity Review</x:v>
      </x:c>
      <x:c r="C118" s="6" t="str">
        <x:v>SIR-000117</x:v>
      </x:c>
      <x:c r="D118" s="6" t="str">
        <x:v>Service</x:v>
      </x:c>
      <x:c r="E118" s="6" t="str">
        <x:v>SVC000117</x:v>
      </x:c>
      <x:c r="F118" s="6" t="str">
        <x:v>Unresolved</x:v>
      </x:c>
      <x:c r="G118" s="6" t="str"/>
      <x:c r="H118" s="12" t="str"/>
      <x:c r="I118" s="6" t="str"/>
      <x:c r="J118" s="6" t="str"/>
      <x:c r="K118" s="6" t="str">
        <x:v>Pending</x:v>
      </x:c>
      <x:c r="L118" s="6" t="str"/>
      <x:c r="M118" s="6" t="str"/>
      <x:c r="N118" s="6" t="str">
        <x:v>Not Eligible</x:v>
      </x:c>
      <x:c r="O118" s="12" t="str">
        <x:v>Manual proposal capture only.</x:v>
      </x:c>
    </x:row>
    <x:row r="119">
      <x:c r="A119" s="6" t="str">
        <x:v>DEC-000118</x:v>
      </x:c>
      <x:c r="B119" s="6" t="str">
        <x:v>Service Identity Review</x:v>
      </x:c>
      <x:c r="C119" s="6" t="str">
        <x:v>SIR-000118</x:v>
      </x:c>
      <x:c r="D119" s="6" t="str">
        <x:v>Service</x:v>
      </x:c>
      <x:c r="E119" s="6" t="str">
        <x:v>SVC000118</x:v>
      </x:c>
      <x:c r="F119" s="6" t="str">
        <x:v>Unresolved</x:v>
      </x:c>
      <x:c r="G119" s="6" t="str"/>
      <x:c r="H119" s="12" t="str"/>
      <x:c r="I119" s="6" t="str"/>
      <x:c r="J119" s="6" t="str"/>
      <x:c r="K119" s="6" t="str">
        <x:v>Pending</x:v>
      </x:c>
      <x:c r="L119" s="6" t="str"/>
      <x:c r="M119" s="6" t="str"/>
      <x:c r="N119" s="6" t="str">
        <x:v>Not Eligible</x:v>
      </x:c>
      <x:c r="O119" s="12" t="str">
        <x:v>Manual proposal capture only.</x:v>
      </x:c>
    </x:row>
    <x:row r="120">
      <x:c r="A120" s="6" t="str">
        <x:v>DEC-000119</x:v>
      </x:c>
      <x:c r="B120" s="6" t="str">
        <x:v>Service Identity Review</x:v>
      </x:c>
      <x:c r="C120" s="6" t="str">
        <x:v>SIR-000119</x:v>
      </x:c>
      <x:c r="D120" s="6" t="str">
        <x:v>Service</x:v>
      </x:c>
      <x:c r="E120" s="6" t="str">
        <x:v>SVC000119</x:v>
      </x:c>
      <x:c r="F120" s="6" t="str">
        <x:v>Unresolved</x:v>
      </x:c>
      <x:c r="G120" s="6" t="str"/>
      <x:c r="H120" s="12" t="str"/>
      <x:c r="I120" s="6" t="str"/>
      <x:c r="J120" s="6" t="str"/>
      <x:c r="K120" s="6" t="str">
        <x:v>Pending</x:v>
      </x:c>
      <x:c r="L120" s="6" t="str"/>
      <x:c r="M120" s="6" t="str"/>
      <x:c r="N120" s="6" t="str">
        <x:v>Not Eligible</x:v>
      </x:c>
      <x:c r="O120" s="12" t="str">
        <x:v>Manual proposal capture only.</x:v>
      </x:c>
    </x:row>
    <x:row r="121">
      <x:c r="A121" s="6" t="str">
        <x:v>DEC-000120</x:v>
      </x:c>
      <x:c r="B121" s="6" t="str">
        <x:v>Service Identity Review</x:v>
      </x:c>
      <x:c r="C121" s="6" t="str">
        <x:v>SIR-000120</x:v>
      </x:c>
      <x:c r="D121" s="6" t="str">
        <x:v>Service</x:v>
      </x:c>
      <x:c r="E121" s="6" t="str">
        <x:v>SVC000120</x:v>
      </x:c>
      <x:c r="F121" s="6" t="str">
        <x:v>Unresolved</x:v>
      </x:c>
      <x:c r="G121" s="6" t="str"/>
      <x:c r="H121" s="12" t="str"/>
      <x:c r="I121" s="6" t="str"/>
      <x:c r="J121" s="6" t="str"/>
      <x:c r="K121" s="6" t="str">
        <x:v>Pending</x:v>
      </x:c>
      <x:c r="L121" s="6" t="str"/>
      <x:c r="M121" s="6" t="str"/>
      <x:c r="N121" s="6" t="str">
        <x:v>Not Eligible</x:v>
      </x:c>
      <x:c r="O121" s="12" t="str">
        <x:v>Manual proposal capture only.</x:v>
      </x:c>
    </x:row>
    <x:row r="122">
      <x:c r="A122" s="6" t="str">
        <x:v>DEC-000121</x:v>
      </x:c>
      <x:c r="B122" s="6" t="str">
        <x:v>Service Identity Review</x:v>
      </x:c>
      <x:c r="C122" s="6" t="str">
        <x:v>SIR-000121</x:v>
      </x:c>
      <x:c r="D122" s="6" t="str">
        <x:v>Service</x:v>
      </x:c>
      <x:c r="E122" s="6" t="str">
        <x:v>SVC000121</x:v>
      </x:c>
      <x:c r="F122" s="6" t="str">
        <x:v>Unresolved</x:v>
      </x:c>
      <x:c r="G122" s="6" t="str"/>
      <x:c r="H122" s="12" t="str"/>
      <x:c r="I122" s="6" t="str"/>
      <x:c r="J122" s="6" t="str"/>
      <x:c r="K122" s="6" t="str">
        <x:v>Pending</x:v>
      </x:c>
      <x:c r="L122" s="6" t="str"/>
      <x:c r="M122" s="6" t="str"/>
      <x:c r="N122" s="6" t="str">
        <x:v>Not Eligible</x:v>
      </x:c>
      <x:c r="O122" s="12" t="str">
        <x:v>Manual proposal capture only.</x:v>
      </x:c>
    </x:row>
    <x:row r="123">
      <x:c r="A123" s="6" t="str">
        <x:v>DEC-000122</x:v>
      </x:c>
      <x:c r="B123" s="6" t="str">
        <x:v>Service Identity Review</x:v>
      </x:c>
      <x:c r="C123" s="6" t="str">
        <x:v>SIR-000122</x:v>
      </x:c>
      <x:c r="D123" s="6" t="str">
        <x:v>Service</x:v>
      </x:c>
      <x:c r="E123" s="6" t="str">
        <x:v>SVC000122</x:v>
      </x:c>
      <x:c r="F123" s="6" t="str">
        <x:v>Unresolved</x:v>
      </x:c>
      <x:c r="G123" s="6" t="str"/>
      <x:c r="H123" s="12" t="str"/>
      <x:c r="I123" s="6" t="str"/>
      <x:c r="J123" s="6" t="str"/>
      <x:c r="K123" s="6" t="str">
        <x:v>Pending</x:v>
      </x:c>
      <x:c r="L123" s="6" t="str"/>
      <x:c r="M123" s="6" t="str"/>
      <x:c r="N123" s="6" t="str">
        <x:v>Not Eligible</x:v>
      </x:c>
      <x:c r="O123" s="12" t="str">
        <x:v>Manual proposal capture only.</x:v>
      </x:c>
    </x:row>
    <x:row r="124">
      <x:c r="A124" s="6" t="str">
        <x:v>DEC-000123</x:v>
      </x:c>
      <x:c r="B124" s="6" t="str">
        <x:v>Service Identity Review</x:v>
      </x:c>
      <x:c r="C124" s="6" t="str">
        <x:v>SIR-000123</x:v>
      </x:c>
      <x:c r="D124" s="6" t="str">
        <x:v>Service</x:v>
      </x:c>
      <x:c r="E124" s="6" t="str">
        <x:v>SVC000123</x:v>
      </x:c>
      <x:c r="F124" s="6" t="str">
        <x:v>Unresolved</x:v>
      </x:c>
      <x:c r="G124" s="6" t="str"/>
      <x:c r="H124" s="12" t="str"/>
      <x:c r="I124" s="6" t="str"/>
      <x:c r="J124" s="6" t="str"/>
      <x:c r="K124" s="6" t="str">
        <x:v>Pending</x:v>
      </x:c>
      <x:c r="L124" s="6" t="str"/>
      <x:c r="M124" s="6" t="str"/>
      <x:c r="N124" s="6" t="str">
        <x:v>Not Eligible</x:v>
      </x:c>
      <x:c r="O124" s="12" t="str">
        <x:v>Manual proposal capture only.</x:v>
      </x:c>
    </x:row>
    <x:row r="125">
      <x:c r="A125" s="6" t="str">
        <x:v>DEC-000124</x:v>
      </x:c>
      <x:c r="B125" s="6" t="str">
        <x:v>Service Identity Review</x:v>
      </x:c>
      <x:c r="C125" s="6" t="str">
        <x:v>SIR-000124</x:v>
      </x:c>
      <x:c r="D125" s="6" t="str">
        <x:v>Service</x:v>
      </x:c>
      <x:c r="E125" s="6" t="str">
        <x:v>SVC000124</x:v>
      </x:c>
      <x:c r="F125" s="6" t="str">
        <x:v>Unresolved</x:v>
      </x:c>
      <x:c r="G125" s="6" t="str"/>
      <x:c r="H125" s="12" t="str"/>
      <x:c r="I125" s="6" t="str"/>
      <x:c r="J125" s="6" t="str"/>
      <x:c r="K125" s="6" t="str">
        <x:v>Pending</x:v>
      </x:c>
      <x:c r="L125" s="6" t="str"/>
      <x:c r="M125" s="6" t="str"/>
      <x:c r="N125" s="6" t="str">
        <x:v>Not Eligible</x:v>
      </x:c>
      <x:c r="O125" s="12" t="str">
        <x:v>Manual proposal capture only.</x:v>
      </x:c>
    </x:row>
    <x:row r="126">
      <x:c r="A126" s="6" t="str">
        <x:v>DEC-000125</x:v>
      </x:c>
      <x:c r="B126" s="6" t="str">
        <x:v>Service Identity Review</x:v>
      </x:c>
      <x:c r="C126" s="6" t="str">
        <x:v>SIR-000125</x:v>
      </x:c>
      <x:c r="D126" s="6" t="str">
        <x:v>Service</x:v>
      </x:c>
      <x:c r="E126" s="6" t="str">
        <x:v>SVC000125</x:v>
      </x:c>
      <x:c r="F126" s="6" t="str">
        <x:v>Unresolved</x:v>
      </x:c>
      <x:c r="G126" s="6" t="str"/>
      <x:c r="H126" s="12" t="str"/>
      <x:c r="I126" s="6" t="str"/>
      <x:c r="J126" s="6" t="str"/>
      <x:c r="K126" s="6" t="str">
        <x:v>Pending</x:v>
      </x:c>
      <x:c r="L126" s="6" t="str"/>
      <x:c r="M126" s="6" t="str"/>
      <x:c r="N126" s="6" t="str">
        <x:v>Not Eligible</x:v>
      </x:c>
      <x:c r="O126" s="12" t="str">
        <x:v>Manual proposal capture only.</x:v>
      </x:c>
    </x:row>
    <x:row r="127">
      <x:c r="A127" s="6" t="str">
        <x:v>DEC-000126</x:v>
      </x:c>
      <x:c r="B127" s="6" t="str">
        <x:v>Service Identity Review</x:v>
      </x:c>
      <x:c r="C127" s="6" t="str">
        <x:v>SIR-000126</x:v>
      </x:c>
      <x:c r="D127" s="6" t="str">
        <x:v>Service</x:v>
      </x:c>
      <x:c r="E127" s="6" t="str">
        <x:v>SVC000126</x:v>
      </x:c>
      <x:c r="F127" s="6" t="str">
        <x:v>Unresolved</x:v>
      </x:c>
      <x:c r="G127" s="6" t="str"/>
      <x:c r="H127" s="12" t="str"/>
      <x:c r="I127" s="6" t="str"/>
      <x:c r="J127" s="6" t="str"/>
      <x:c r="K127" s="6" t="str">
        <x:v>Pending</x:v>
      </x:c>
      <x:c r="L127" s="6" t="str"/>
      <x:c r="M127" s="6" t="str"/>
      <x:c r="N127" s="6" t="str">
        <x:v>Not Eligible</x:v>
      </x:c>
      <x:c r="O127" s="12" t="str">
        <x:v>Manual proposal capture only.</x:v>
      </x:c>
    </x:row>
    <x:row r="128">
      <x:c r="A128" s="6" t="str">
        <x:v>DEC-000127</x:v>
      </x:c>
      <x:c r="B128" s="6" t="str">
        <x:v>Service Identity Review</x:v>
      </x:c>
      <x:c r="C128" s="6" t="str">
        <x:v>SIR-000127</x:v>
      </x:c>
      <x:c r="D128" s="6" t="str">
        <x:v>Service</x:v>
      </x:c>
      <x:c r="E128" s="6" t="str">
        <x:v>SVC000127</x:v>
      </x:c>
      <x:c r="F128" s="6" t="str">
        <x:v>Unresolved</x:v>
      </x:c>
      <x:c r="G128" s="6" t="str"/>
      <x:c r="H128" s="12" t="str"/>
      <x:c r="I128" s="6" t="str"/>
      <x:c r="J128" s="6" t="str"/>
      <x:c r="K128" s="6" t="str">
        <x:v>Pending</x:v>
      </x:c>
      <x:c r="L128" s="6" t="str"/>
      <x:c r="M128" s="6" t="str"/>
      <x:c r="N128" s="6" t="str">
        <x:v>Not Eligible</x:v>
      </x:c>
      <x:c r="O128" s="12" t="str">
        <x:v>Manual proposal capture only.</x:v>
      </x:c>
    </x:row>
    <x:row r="129">
      <x:c r="A129" s="6" t="str">
        <x:v>DEC-000128</x:v>
      </x:c>
      <x:c r="B129" s="6" t="str">
        <x:v>Service Identity Review</x:v>
      </x:c>
      <x:c r="C129" s="6" t="str">
        <x:v>SIR-000128</x:v>
      </x:c>
      <x:c r="D129" s="6" t="str">
        <x:v>Service</x:v>
      </x:c>
      <x:c r="E129" s="6" t="str">
        <x:v>SVC000128</x:v>
      </x:c>
      <x:c r="F129" s="6" t="str">
        <x:v>Unresolved</x:v>
      </x:c>
      <x:c r="G129" s="6" t="str"/>
      <x:c r="H129" s="12" t="str"/>
      <x:c r="I129" s="6" t="str"/>
      <x:c r="J129" s="6" t="str"/>
      <x:c r="K129" s="6" t="str">
        <x:v>Pending</x:v>
      </x:c>
      <x:c r="L129" s="6" t="str"/>
      <x:c r="M129" s="6" t="str"/>
      <x:c r="N129" s="6" t="str">
        <x:v>Not Eligible</x:v>
      </x:c>
      <x:c r="O129" s="12" t="str">
        <x:v>Manual proposal capture only.</x:v>
      </x:c>
    </x:row>
    <x:row r="130">
      <x:c r="A130" s="6" t="str">
        <x:v>DEC-000129</x:v>
      </x:c>
      <x:c r="B130" s="6" t="str">
        <x:v>Service Identity Review</x:v>
      </x:c>
      <x:c r="C130" s="6" t="str">
        <x:v>SIR-000129</x:v>
      </x:c>
      <x:c r="D130" s="6" t="str">
        <x:v>Service</x:v>
      </x:c>
      <x:c r="E130" s="6" t="str">
        <x:v>SVC000129</x:v>
      </x:c>
      <x:c r="F130" s="6" t="str">
        <x:v>Unresolved</x:v>
      </x:c>
      <x:c r="G130" s="6" t="str"/>
      <x:c r="H130" s="12" t="str"/>
      <x:c r="I130" s="6" t="str"/>
      <x:c r="J130" s="6" t="str"/>
      <x:c r="K130" s="6" t="str">
        <x:v>Pending</x:v>
      </x:c>
      <x:c r="L130" s="6" t="str"/>
      <x:c r="M130" s="6" t="str"/>
      <x:c r="N130" s="6" t="str">
        <x:v>Not Eligible</x:v>
      </x:c>
      <x:c r="O130" s="12" t="str">
        <x:v>Manual proposal capture only.</x:v>
      </x:c>
    </x:row>
    <x:row r="131">
      <x:c r="A131" s="6" t="str">
        <x:v>DEC-000130</x:v>
      </x:c>
      <x:c r="B131" s="6" t="str">
        <x:v>Service Identity Review</x:v>
      </x:c>
      <x:c r="C131" s="6" t="str">
        <x:v>SIR-000130</x:v>
      </x:c>
      <x:c r="D131" s="6" t="str">
        <x:v>Service</x:v>
      </x:c>
      <x:c r="E131" s="6" t="str">
        <x:v>SVC000130</x:v>
      </x:c>
      <x:c r="F131" s="6" t="str">
        <x:v>Unresolved</x:v>
      </x:c>
      <x:c r="G131" s="6" t="str"/>
      <x:c r="H131" s="12" t="str"/>
      <x:c r="I131" s="6" t="str"/>
      <x:c r="J131" s="6" t="str"/>
      <x:c r="K131" s="6" t="str">
        <x:v>Pending</x:v>
      </x:c>
      <x:c r="L131" s="6" t="str"/>
      <x:c r="M131" s="6" t="str"/>
      <x:c r="N131" s="6" t="str">
        <x:v>Not Eligible</x:v>
      </x:c>
      <x:c r="O131" s="12" t="str">
        <x:v>Manual proposal capture only.</x:v>
      </x:c>
    </x:row>
    <x:row r="132">
      <x:c r="A132" s="6" t="str">
        <x:v>DEC-000131</x:v>
      </x:c>
      <x:c r="B132" s="6" t="str">
        <x:v>Service Identity Review</x:v>
      </x:c>
      <x:c r="C132" s="6" t="str">
        <x:v>SIR-000131</x:v>
      </x:c>
      <x:c r="D132" s="6" t="str">
        <x:v>Service</x:v>
      </x:c>
      <x:c r="E132" s="6" t="str">
        <x:v>SVC000131</x:v>
      </x:c>
      <x:c r="F132" s="6" t="str">
        <x:v>Unresolved</x:v>
      </x:c>
      <x:c r="G132" s="6" t="str"/>
      <x:c r="H132" s="12" t="str"/>
      <x:c r="I132" s="6" t="str"/>
      <x:c r="J132" s="6" t="str"/>
      <x:c r="K132" s="6" t="str">
        <x:v>Pending</x:v>
      </x:c>
      <x:c r="L132" s="6" t="str"/>
      <x:c r="M132" s="6" t="str"/>
      <x:c r="N132" s="6" t="str">
        <x:v>Not Eligible</x:v>
      </x:c>
      <x:c r="O132" s="12" t="str">
        <x:v>Manual proposal capture only.</x:v>
      </x:c>
    </x:row>
    <x:row r="133">
      <x:c r="A133" s="6" t="str">
        <x:v>DEC-000132</x:v>
      </x:c>
      <x:c r="B133" s="6" t="str">
        <x:v>Service Identity Review</x:v>
      </x:c>
      <x:c r="C133" s="6" t="str">
        <x:v>SIR-000132</x:v>
      </x:c>
      <x:c r="D133" s="6" t="str">
        <x:v>Service</x:v>
      </x:c>
      <x:c r="E133" s="6" t="str">
        <x:v>SVC000132</x:v>
      </x:c>
      <x:c r="F133" s="6" t="str">
        <x:v>Unresolved</x:v>
      </x:c>
      <x:c r="G133" s="6" t="str"/>
      <x:c r="H133" s="12" t="str"/>
      <x:c r="I133" s="6" t="str"/>
      <x:c r="J133" s="6" t="str"/>
      <x:c r="K133" s="6" t="str">
        <x:v>Pending</x:v>
      </x:c>
      <x:c r="L133" s="6" t="str"/>
      <x:c r="M133" s="6" t="str"/>
      <x:c r="N133" s="6" t="str">
        <x:v>Not Eligible</x:v>
      </x:c>
      <x:c r="O133" s="12" t="str">
        <x:v>Manual proposal capture only.</x:v>
      </x:c>
    </x:row>
    <x:row r="134">
      <x:c r="A134" s="6" t="str">
        <x:v>DEC-000133</x:v>
      </x:c>
      <x:c r="B134" s="6" t="str">
        <x:v>Service Identity Review</x:v>
      </x:c>
      <x:c r="C134" s="6" t="str">
        <x:v>SIR-000133</x:v>
      </x:c>
      <x:c r="D134" s="6" t="str">
        <x:v>Service</x:v>
      </x:c>
      <x:c r="E134" s="6" t="str">
        <x:v>SVC000133</x:v>
      </x:c>
      <x:c r="F134" s="6" t="str">
        <x:v>Unresolved</x:v>
      </x:c>
      <x:c r="G134" s="6" t="str"/>
      <x:c r="H134" s="12" t="str"/>
      <x:c r="I134" s="6" t="str"/>
      <x:c r="J134" s="6" t="str"/>
      <x:c r="K134" s="6" t="str">
        <x:v>Pending</x:v>
      </x:c>
      <x:c r="L134" s="6" t="str"/>
      <x:c r="M134" s="6" t="str"/>
      <x:c r="N134" s="6" t="str">
        <x:v>Not Eligible</x:v>
      </x:c>
      <x:c r="O134" s="12" t="str">
        <x:v>Manual proposal capture only.</x:v>
      </x:c>
    </x:row>
    <x:row r="135">
      <x:c r="A135" s="6" t="str">
        <x:v>DEC-000134</x:v>
      </x:c>
      <x:c r="B135" s="6" t="str">
        <x:v>Service Identity Review</x:v>
      </x:c>
      <x:c r="C135" s="6" t="str">
        <x:v>SIR-000134</x:v>
      </x:c>
      <x:c r="D135" s="6" t="str">
        <x:v>Service</x:v>
      </x:c>
      <x:c r="E135" s="6" t="str">
        <x:v>SVC000134</x:v>
      </x:c>
      <x:c r="F135" s="6" t="str">
        <x:v>Unresolved</x:v>
      </x:c>
      <x:c r="G135" s="6" t="str"/>
      <x:c r="H135" s="12" t="str"/>
      <x:c r="I135" s="6" t="str"/>
      <x:c r="J135" s="6" t="str"/>
      <x:c r="K135" s="6" t="str">
        <x:v>Pending</x:v>
      </x:c>
      <x:c r="L135" s="6" t="str"/>
      <x:c r="M135" s="6" t="str"/>
      <x:c r="N135" s="6" t="str">
        <x:v>Not Eligible</x:v>
      </x:c>
      <x:c r="O135" s="12" t="str">
        <x:v>Manual proposal capture only.</x:v>
      </x:c>
    </x:row>
    <x:row r="136">
      <x:c r="A136" s="6" t="str">
        <x:v>DEC-000135</x:v>
      </x:c>
      <x:c r="B136" s="6" t="str">
        <x:v>Service Identity Review</x:v>
      </x:c>
      <x:c r="C136" s="6" t="str">
        <x:v>SIR-000135</x:v>
      </x:c>
      <x:c r="D136" s="6" t="str">
        <x:v>Service</x:v>
      </x:c>
      <x:c r="E136" s="6" t="str">
        <x:v>SVC000135</x:v>
      </x:c>
      <x:c r="F136" s="6" t="str">
        <x:v>Unresolved</x:v>
      </x:c>
      <x:c r="G136" s="6" t="str"/>
      <x:c r="H136" s="12" t="str"/>
      <x:c r="I136" s="6" t="str"/>
      <x:c r="J136" s="6" t="str"/>
      <x:c r="K136" s="6" t="str">
        <x:v>Pending</x:v>
      </x:c>
      <x:c r="L136" s="6" t="str"/>
      <x:c r="M136" s="6" t="str"/>
      <x:c r="N136" s="6" t="str">
        <x:v>Not Eligible</x:v>
      </x:c>
      <x:c r="O136" s="12" t="str">
        <x:v>Manual proposal capture only.</x:v>
      </x:c>
    </x:row>
    <x:row r="137">
      <x:c r="A137" s="6" t="str">
        <x:v>DEC-000136</x:v>
      </x:c>
      <x:c r="B137" s="6" t="str">
        <x:v>Service Identity Review</x:v>
      </x:c>
      <x:c r="C137" s="6" t="str">
        <x:v>SIR-000136</x:v>
      </x:c>
      <x:c r="D137" s="6" t="str">
        <x:v>Service</x:v>
      </x:c>
      <x:c r="E137" s="6" t="str">
        <x:v>SVC000136</x:v>
      </x:c>
      <x:c r="F137" s="6" t="str">
        <x:v>Unresolved</x:v>
      </x:c>
      <x:c r="G137" s="6" t="str"/>
      <x:c r="H137" s="12" t="str"/>
      <x:c r="I137" s="6" t="str"/>
      <x:c r="J137" s="6" t="str"/>
      <x:c r="K137" s="6" t="str">
        <x:v>Pending</x:v>
      </x:c>
      <x:c r="L137" s="6" t="str"/>
      <x:c r="M137" s="6" t="str"/>
      <x:c r="N137" s="6" t="str">
        <x:v>Not Eligible</x:v>
      </x:c>
      <x:c r="O137" s="12" t="str">
        <x:v>Manual proposal capture only.</x:v>
      </x:c>
    </x:row>
    <x:row r="138">
      <x:c r="A138" s="6" t="str">
        <x:v>DEC-000137</x:v>
      </x:c>
      <x:c r="B138" s="6" t="str">
        <x:v>Service Identity Review</x:v>
      </x:c>
      <x:c r="C138" s="6" t="str">
        <x:v>SIR-000137</x:v>
      </x:c>
      <x:c r="D138" s="6" t="str">
        <x:v>Service</x:v>
      </x:c>
      <x:c r="E138" s="6" t="str">
        <x:v>SVC000137</x:v>
      </x:c>
      <x:c r="F138" s="6" t="str">
        <x:v>Unresolved</x:v>
      </x:c>
      <x:c r="G138" s="6" t="str"/>
      <x:c r="H138" s="12" t="str"/>
      <x:c r="I138" s="6" t="str"/>
      <x:c r="J138" s="6" t="str"/>
      <x:c r="K138" s="6" t="str">
        <x:v>Pending</x:v>
      </x:c>
      <x:c r="L138" s="6" t="str"/>
      <x:c r="M138" s="6" t="str"/>
      <x:c r="N138" s="6" t="str">
        <x:v>Not Eligible</x:v>
      </x:c>
      <x:c r="O138" s="12" t="str">
        <x:v>Manual proposal capture only.</x:v>
      </x:c>
    </x:row>
    <x:row r="139">
      <x:c r="A139" s="6" t="str">
        <x:v>DEC-000138</x:v>
      </x:c>
      <x:c r="B139" s="6" t="str">
        <x:v>Service Identity Review</x:v>
      </x:c>
      <x:c r="C139" s="6" t="str">
        <x:v>SIR-000138</x:v>
      </x:c>
      <x:c r="D139" s="6" t="str">
        <x:v>Service</x:v>
      </x:c>
      <x:c r="E139" s="6" t="str">
        <x:v>SVC000138</x:v>
      </x:c>
      <x:c r="F139" s="6" t="str">
        <x:v>Unresolved</x:v>
      </x:c>
      <x:c r="G139" s="6" t="str"/>
      <x:c r="H139" s="12" t="str"/>
      <x:c r="I139" s="6" t="str"/>
      <x:c r="J139" s="6" t="str"/>
      <x:c r="K139" s="6" t="str">
        <x:v>Pending</x:v>
      </x:c>
      <x:c r="L139" s="6" t="str"/>
      <x:c r="M139" s="6" t="str"/>
      <x:c r="N139" s="6" t="str">
        <x:v>Not Eligible</x:v>
      </x:c>
      <x:c r="O139" s="12" t="str">
        <x:v>Manual proposal capture only.</x:v>
      </x:c>
    </x:row>
    <x:row r="140">
      <x:c r="A140" s="6" t="str">
        <x:v>DEC-000139</x:v>
      </x:c>
      <x:c r="B140" s="6" t="str">
        <x:v>Service Identity Review</x:v>
      </x:c>
      <x:c r="C140" s="6" t="str">
        <x:v>SIR-000139</x:v>
      </x:c>
      <x:c r="D140" s="6" t="str">
        <x:v>Service</x:v>
      </x:c>
      <x:c r="E140" s="6" t="str">
        <x:v>SVC000139</x:v>
      </x:c>
      <x:c r="F140" s="6" t="str">
        <x:v>Unresolved</x:v>
      </x:c>
      <x:c r="G140" s="6" t="str"/>
      <x:c r="H140" s="12" t="str"/>
      <x:c r="I140" s="6" t="str"/>
      <x:c r="J140" s="6" t="str"/>
      <x:c r="K140" s="6" t="str">
        <x:v>Pending</x:v>
      </x:c>
      <x:c r="L140" s="6" t="str"/>
      <x:c r="M140" s="6" t="str"/>
      <x:c r="N140" s="6" t="str">
        <x:v>Not Eligible</x:v>
      </x:c>
      <x:c r="O140" s="12" t="str">
        <x:v>Manual proposal capture only.</x:v>
      </x:c>
    </x:row>
    <x:row r="141">
      <x:c r="A141" s="6" t="str">
        <x:v>DEC-000140</x:v>
      </x:c>
      <x:c r="B141" s="6" t="str">
        <x:v>Service Identity Review</x:v>
      </x:c>
      <x:c r="C141" s="6" t="str">
        <x:v>SIR-000140</x:v>
      </x:c>
      <x:c r="D141" s="6" t="str">
        <x:v>Service</x:v>
      </x:c>
      <x:c r="E141" s="6" t="str">
        <x:v>SVC000140</x:v>
      </x:c>
      <x:c r="F141" s="6" t="str">
        <x:v>Unresolved</x:v>
      </x:c>
      <x:c r="G141" s="6" t="str"/>
      <x:c r="H141" s="12" t="str"/>
      <x:c r="I141" s="6" t="str"/>
      <x:c r="J141" s="6" t="str"/>
      <x:c r="K141" s="6" t="str">
        <x:v>Pending</x:v>
      </x:c>
      <x:c r="L141" s="6" t="str"/>
      <x:c r="M141" s="6" t="str"/>
      <x:c r="N141" s="6" t="str">
        <x:v>Not Eligible</x:v>
      </x:c>
      <x:c r="O141" s="12" t="str">
        <x:v>Manual proposal capture only.</x:v>
      </x:c>
    </x:row>
    <x:row r="142">
      <x:c r="A142" s="6" t="str">
        <x:v>DEC-000141</x:v>
      </x:c>
      <x:c r="B142" s="6" t="str">
        <x:v>Service Identity Review</x:v>
      </x:c>
      <x:c r="C142" s="6" t="str">
        <x:v>SIR-000141</x:v>
      </x:c>
      <x:c r="D142" s="6" t="str">
        <x:v>Service</x:v>
      </x:c>
      <x:c r="E142" s="6" t="str">
        <x:v>SVC000141</x:v>
      </x:c>
      <x:c r="F142" s="6" t="str">
        <x:v>Unresolved</x:v>
      </x:c>
      <x:c r="G142" s="6" t="str"/>
      <x:c r="H142" s="12" t="str"/>
      <x:c r="I142" s="6" t="str"/>
      <x:c r="J142" s="6" t="str"/>
      <x:c r="K142" s="6" t="str">
        <x:v>Pending</x:v>
      </x:c>
      <x:c r="L142" s="6" t="str"/>
      <x:c r="M142" s="6" t="str"/>
      <x:c r="N142" s="6" t="str">
        <x:v>Not Eligible</x:v>
      </x:c>
      <x:c r="O142" s="12" t="str">
        <x:v>Manual proposal capture only.</x:v>
      </x:c>
    </x:row>
    <x:row r="143">
      <x:c r="A143" s="6" t="str">
        <x:v>DEC-000142</x:v>
      </x:c>
      <x:c r="B143" s="6" t="str">
        <x:v>Service Identity Review</x:v>
      </x:c>
      <x:c r="C143" s="6" t="str">
        <x:v>SIR-000142</x:v>
      </x:c>
      <x:c r="D143" s="6" t="str">
        <x:v>Service</x:v>
      </x:c>
      <x:c r="E143" s="6" t="str">
        <x:v>SVC000142</x:v>
      </x:c>
      <x:c r="F143" s="6" t="str">
        <x:v>Unresolved</x:v>
      </x:c>
      <x:c r="G143" s="6" t="str"/>
      <x:c r="H143" s="12" t="str"/>
      <x:c r="I143" s="6" t="str"/>
      <x:c r="J143" s="6" t="str"/>
      <x:c r="K143" s="6" t="str">
        <x:v>Pending</x:v>
      </x:c>
      <x:c r="L143" s="6" t="str"/>
      <x:c r="M143" s="6" t="str"/>
      <x:c r="N143" s="6" t="str">
        <x:v>Not Eligible</x:v>
      </x:c>
      <x:c r="O143" s="12" t="str">
        <x:v>Manual proposal capture only.</x:v>
      </x:c>
    </x:row>
    <x:row r="144">
      <x:c r="A144" s="6" t="str">
        <x:v>DEC-000143</x:v>
      </x:c>
      <x:c r="B144" s="6" t="str">
        <x:v>Service Identity Review</x:v>
      </x:c>
      <x:c r="C144" s="6" t="str">
        <x:v>SIR-000143</x:v>
      </x:c>
      <x:c r="D144" s="6" t="str">
        <x:v>Service</x:v>
      </x:c>
      <x:c r="E144" s="6" t="str">
        <x:v>SVC000143</x:v>
      </x:c>
      <x:c r="F144" s="6" t="str">
        <x:v>Unresolved</x:v>
      </x:c>
      <x:c r="G144" s="6" t="str"/>
      <x:c r="H144" s="12" t="str"/>
      <x:c r="I144" s="6" t="str"/>
      <x:c r="J144" s="6" t="str"/>
      <x:c r="K144" s="6" t="str">
        <x:v>Pending</x:v>
      </x:c>
      <x:c r="L144" s="6" t="str"/>
      <x:c r="M144" s="6" t="str"/>
      <x:c r="N144" s="6" t="str">
        <x:v>Not Eligible</x:v>
      </x:c>
      <x:c r="O144" s="12" t="str">
        <x:v>Manual proposal capture only.</x:v>
      </x:c>
    </x:row>
    <x:row r="145">
      <x:c r="A145" s="6" t="str">
        <x:v>DEC-000144</x:v>
      </x:c>
      <x:c r="B145" s="6" t="str">
        <x:v>Service Identity Review</x:v>
      </x:c>
      <x:c r="C145" s="6" t="str">
        <x:v>SIR-000144</x:v>
      </x:c>
      <x:c r="D145" s="6" t="str">
        <x:v>Service</x:v>
      </x:c>
      <x:c r="E145" s="6" t="str">
        <x:v>SVC000144</x:v>
      </x:c>
      <x:c r="F145" s="6" t="str">
        <x:v>Unresolved</x:v>
      </x:c>
      <x:c r="G145" s="6" t="str"/>
      <x:c r="H145" s="12" t="str"/>
      <x:c r="I145" s="6" t="str"/>
      <x:c r="J145" s="6" t="str"/>
      <x:c r="K145" s="6" t="str">
        <x:v>Pending</x:v>
      </x:c>
      <x:c r="L145" s="6" t="str"/>
      <x:c r="M145" s="6" t="str"/>
      <x:c r="N145" s="6" t="str">
        <x:v>Not Eligible</x:v>
      </x:c>
      <x:c r="O145" s="12" t="str">
        <x:v>Manual proposal capture only.</x:v>
      </x:c>
    </x:row>
    <x:row r="146">
      <x:c r="A146" s="6" t="str">
        <x:v>DEC-000145</x:v>
      </x:c>
      <x:c r="B146" s="6" t="str">
        <x:v>Service Identity Review</x:v>
      </x:c>
      <x:c r="C146" s="6" t="str">
        <x:v>SIR-000145</x:v>
      </x:c>
      <x:c r="D146" s="6" t="str">
        <x:v>Service</x:v>
      </x:c>
      <x:c r="E146" s="6" t="str">
        <x:v>SVC000145</x:v>
      </x:c>
      <x:c r="F146" s="6" t="str">
        <x:v>Unresolved</x:v>
      </x:c>
      <x:c r="G146" s="6" t="str"/>
      <x:c r="H146" s="12" t="str"/>
      <x:c r="I146" s="6" t="str"/>
      <x:c r="J146" s="6" t="str"/>
      <x:c r="K146" s="6" t="str">
        <x:v>Pending</x:v>
      </x:c>
      <x:c r="L146" s="6" t="str"/>
      <x:c r="M146" s="6" t="str"/>
      <x:c r="N146" s="6" t="str">
        <x:v>Not Eligible</x:v>
      </x:c>
      <x:c r="O146" s="12" t="str">
        <x:v>Manual proposal capture only.</x:v>
      </x:c>
    </x:row>
    <x:row r="147">
      <x:c r="A147" s="6" t="str">
        <x:v>DEC-000146</x:v>
      </x:c>
      <x:c r="B147" s="6" t="str">
        <x:v>Service Identity Review</x:v>
      </x:c>
      <x:c r="C147" s="6" t="str">
        <x:v>SIR-000146</x:v>
      </x:c>
      <x:c r="D147" s="6" t="str">
        <x:v>Service</x:v>
      </x:c>
      <x:c r="E147" s="6" t="str">
        <x:v>SVC000146</x:v>
      </x:c>
      <x:c r="F147" s="6" t="str">
        <x:v>Unresolved</x:v>
      </x:c>
      <x:c r="G147" s="6" t="str"/>
      <x:c r="H147" s="12" t="str"/>
      <x:c r="I147" s="6" t="str"/>
      <x:c r="J147" s="6" t="str"/>
      <x:c r="K147" s="6" t="str">
        <x:v>Pending</x:v>
      </x:c>
      <x:c r="L147" s="6" t="str"/>
      <x:c r="M147" s="6" t="str"/>
      <x:c r="N147" s="6" t="str">
        <x:v>Not Eligible</x:v>
      </x:c>
      <x:c r="O147" s="12" t="str">
        <x:v>Manual proposal capture only.</x:v>
      </x:c>
    </x:row>
    <x:row r="148">
      <x:c r="A148" s="6" t="str">
        <x:v>DEC-000147</x:v>
      </x:c>
      <x:c r="B148" s="6" t="str">
        <x:v>Service Identity Review</x:v>
      </x:c>
      <x:c r="C148" s="6" t="str">
        <x:v>SIR-000147</x:v>
      </x:c>
      <x:c r="D148" s="6" t="str">
        <x:v>Service</x:v>
      </x:c>
      <x:c r="E148" s="6" t="str">
        <x:v>SVC000147</x:v>
      </x:c>
      <x:c r="F148" s="6" t="str">
        <x:v>Unresolved</x:v>
      </x:c>
      <x:c r="G148" s="6" t="str"/>
      <x:c r="H148" s="12" t="str"/>
      <x:c r="I148" s="6" t="str"/>
      <x:c r="J148" s="6" t="str"/>
      <x:c r="K148" s="6" t="str">
        <x:v>Pending</x:v>
      </x:c>
      <x:c r="L148" s="6" t="str"/>
      <x:c r="M148" s="6" t="str"/>
      <x:c r="N148" s="6" t="str">
        <x:v>Not Eligible</x:v>
      </x:c>
      <x:c r="O148" s="12" t="str">
        <x:v>Manual proposal capture only.</x:v>
      </x:c>
    </x:row>
    <x:row r="149">
      <x:c r="A149" s="6" t="str">
        <x:v>DEC-000148</x:v>
      </x:c>
      <x:c r="B149" s="6" t="str">
        <x:v>Service Identity Review</x:v>
      </x:c>
      <x:c r="C149" s="6" t="str">
        <x:v>SIR-000148</x:v>
      </x:c>
      <x:c r="D149" s="6" t="str">
        <x:v>Service</x:v>
      </x:c>
      <x:c r="E149" s="6" t="str">
        <x:v>SVC000148</x:v>
      </x:c>
      <x:c r="F149" s="6" t="str">
        <x:v>Unresolved</x:v>
      </x:c>
      <x:c r="G149" s="6" t="str"/>
      <x:c r="H149" s="12" t="str"/>
      <x:c r="I149" s="6" t="str"/>
      <x:c r="J149" s="6" t="str"/>
      <x:c r="K149" s="6" t="str">
        <x:v>Pending</x:v>
      </x:c>
      <x:c r="L149" s="6" t="str"/>
      <x:c r="M149" s="6" t="str"/>
      <x:c r="N149" s="6" t="str">
        <x:v>Not Eligible</x:v>
      </x:c>
      <x:c r="O149" s="12" t="str">
        <x:v>Manual proposal capture only.</x:v>
      </x:c>
    </x:row>
    <x:row r="150">
      <x:c r="A150" s="6" t="str">
        <x:v>DEC-000149</x:v>
      </x:c>
      <x:c r="B150" s="6" t="str">
        <x:v>Service Identity Review</x:v>
      </x:c>
      <x:c r="C150" s="6" t="str">
        <x:v>SIR-000149</x:v>
      </x:c>
      <x:c r="D150" s="6" t="str">
        <x:v>Service</x:v>
      </x:c>
      <x:c r="E150" s="6" t="str">
        <x:v>SVC000149</x:v>
      </x:c>
      <x:c r="F150" s="6" t="str">
        <x:v>Unresolved</x:v>
      </x:c>
      <x:c r="G150" s="6" t="str"/>
      <x:c r="H150" s="12" t="str"/>
      <x:c r="I150" s="6" t="str"/>
      <x:c r="J150" s="6" t="str"/>
      <x:c r="K150" s="6" t="str">
        <x:v>Pending</x:v>
      </x:c>
      <x:c r="L150" s="6" t="str"/>
      <x:c r="M150" s="6" t="str"/>
      <x:c r="N150" s="6" t="str">
        <x:v>Not Eligible</x:v>
      </x:c>
      <x:c r="O150" s="12" t="str">
        <x:v>Manual proposal capture only.</x:v>
      </x:c>
    </x:row>
    <x:row r="151">
      <x:c r="A151" s="6" t="str">
        <x:v>DEC-000150</x:v>
      </x:c>
      <x:c r="B151" s="6" t="str">
        <x:v>Service Identity Review</x:v>
      </x:c>
      <x:c r="C151" s="6" t="str">
        <x:v>SIR-000150</x:v>
      </x:c>
      <x:c r="D151" s="6" t="str">
        <x:v>Service</x:v>
      </x:c>
      <x:c r="E151" s="6" t="str">
        <x:v>SVC000150</x:v>
      </x:c>
      <x:c r="F151" s="6" t="str">
        <x:v>Unresolved</x:v>
      </x:c>
      <x:c r="G151" s="6" t="str"/>
      <x:c r="H151" s="12" t="str"/>
      <x:c r="I151" s="6" t="str"/>
      <x:c r="J151" s="6" t="str"/>
      <x:c r="K151" s="6" t="str">
        <x:v>Pending</x:v>
      </x:c>
      <x:c r="L151" s="6" t="str"/>
      <x:c r="M151" s="6" t="str"/>
      <x:c r="N151" s="6" t="str">
        <x:v>Not Eligible</x:v>
      </x:c>
      <x:c r="O151" s="12" t="str">
        <x:v>Manual proposal capture only.</x:v>
      </x:c>
    </x:row>
    <x:row r="152">
      <x:c r="A152" s="6" t="str">
        <x:v>DEC-000151</x:v>
      </x:c>
      <x:c r="B152" s="6" t="str">
        <x:v>Service Identity Review</x:v>
      </x:c>
      <x:c r="C152" s="6" t="str">
        <x:v>SIR-000151</x:v>
      </x:c>
      <x:c r="D152" s="6" t="str">
        <x:v>Service</x:v>
      </x:c>
      <x:c r="E152" s="6" t="str">
        <x:v>SVC000151</x:v>
      </x:c>
      <x:c r="F152" s="6" t="str">
        <x:v>Unresolved</x:v>
      </x:c>
      <x:c r="G152" s="6" t="str"/>
      <x:c r="H152" s="12" t="str"/>
      <x:c r="I152" s="6" t="str"/>
      <x:c r="J152" s="6" t="str"/>
      <x:c r="K152" s="6" t="str">
        <x:v>Pending</x:v>
      </x:c>
      <x:c r="L152" s="6" t="str"/>
      <x:c r="M152" s="6" t="str"/>
      <x:c r="N152" s="6" t="str">
        <x:v>Not Eligible</x:v>
      </x:c>
      <x:c r="O152" s="12" t="str">
        <x:v>Manual proposal capture only.</x:v>
      </x:c>
    </x:row>
    <x:row r="153">
      <x:c r="A153" s="6" t="str">
        <x:v>DEC-000152</x:v>
      </x:c>
      <x:c r="B153" s="6" t="str">
        <x:v>Service Identity Review</x:v>
      </x:c>
      <x:c r="C153" s="6" t="str">
        <x:v>SIR-000152</x:v>
      </x:c>
      <x:c r="D153" s="6" t="str">
        <x:v>Service</x:v>
      </x:c>
      <x:c r="E153" s="6" t="str">
        <x:v>SVC000152</x:v>
      </x:c>
      <x:c r="F153" s="6" t="str">
        <x:v>Unresolved</x:v>
      </x:c>
      <x:c r="G153" s="6" t="str"/>
      <x:c r="H153" s="12" t="str"/>
      <x:c r="I153" s="6" t="str"/>
      <x:c r="J153" s="6" t="str"/>
      <x:c r="K153" s="6" t="str">
        <x:v>Pending</x:v>
      </x:c>
      <x:c r="L153" s="6" t="str"/>
      <x:c r="M153" s="6" t="str"/>
      <x:c r="N153" s="6" t="str">
        <x:v>Not Eligible</x:v>
      </x:c>
      <x:c r="O153" s="12" t="str">
        <x:v>Manual proposal capture only.</x:v>
      </x:c>
    </x:row>
    <x:row r="154">
      <x:c r="A154" s="6" t="str">
        <x:v>DEC-000153</x:v>
      </x:c>
      <x:c r="B154" s="6" t="str">
        <x:v>Service Identity Review</x:v>
      </x:c>
      <x:c r="C154" s="6" t="str">
        <x:v>SIR-000153</x:v>
      </x:c>
      <x:c r="D154" s="6" t="str">
        <x:v>Service</x:v>
      </x:c>
      <x:c r="E154" s="6" t="str">
        <x:v>SVC000153</x:v>
      </x:c>
      <x:c r="F154" s="6" t="str">
        <x:v>Unresolved</x:v>
      </x:c>
      <x:c r="G154" s="6" t="str"/>
      <x:c r="H154" s="12" t="str"/>
      <x:c r="I154" s="6" t="str"/>
      <x:c r="J154" s="6" t="str"/>
      <x:c r="K154" s="6" t="str">
        <x:v>Pending</x:v>
      </x:c>
      <x:c r="L154" s="6" t="str"/>
      <x:c r="M154" s="6" t="str"/>
      <x:c r="N154" s="6" t="str">
        <x:v>Not Eligible</x:v>
      </x:c>
      <x:c r="O154" s="12" t="str">
        <x:v>Manual proposal capture only.</x:v>
      </x:c>
    </x:row>
    <x:row r="155">
      <x:c r="A155" s="6" t="str">
        <x:v>DEC-000154</x:v>
      </x:c>
      <x:c r="B155" s="6" t="str">
        <x:v>Service Identity Review</x:v>
      </x:c>
      <x:c r="C155" s="6" t="str">
        <x:v>SIR-000154</x:v>
      </x:c>
      <x:c r="D155" s="6" t="str">
        <x:v>Service</x:v>
      </x:c>
      <x:c r="E155" s="6" t="str">
        <x:v>SVC000154</x:v>
      </x:c>
      <x:c r="F155" s="6" t="str">
        <x:v>Unresolved</x:v>
      </x:c>
      <x:c r="G155" s="6" t="str"/>
      <x:c r="H155" s="12" t="str"/>
      <x:c r="I155" s="6" t="str"/>
      <x:c r="J155" s="6" t="str"/>
      <x:c r="K155" s="6" t="str">
        <x:v>Pending</x:v>
      </x:c>
      <x:c r="L155" s="6" t="str"/>
      <x:c r="M155" s="6" t="str"/>
      <x:c r="N155" s="6" t="str">
        <x:v>Not Eligible</x:v>
      </x:c>
      <x:c r="O155" s="12" t="str">
        <x:v>Manual proposal capture only.</x:v>
      </x:c>
    </x:row>
    <x:row r="156">
      <x:c r="A156" s="6" t="str">
        <x:v>DEC-000155</x:v>
      </x:c>
      <x:c r="B156" s="6" t="str">
        <x:v>Service Identity Review</x:v>
      </x:c>
      <x:c r="C156" s="6" t="str">
        <x:v>SIR-000155</x:v>
      </x:c>
      <x:c r="D156" s="6" t="str">
        <x:v>Service</x:v>
      </x:c>
      <x:c r="E156" s="6" t="str">
        <x:v>SVC000155</x:v>
      </x:c>
      <x:c r="F156" s="6" t="str">
        <x:v>Unresolved</x:v>
      </x:c>
      <x:c r="G156" s="6" t="str"/>
      <x:c r="H156" s="12" t="str"/>
      <x:c r="I156" s="6" t="str"/>
      <x:c r="J156" s="6" t="str"/>
      <x:c r="K156" s="6" t="str">
        <x:v>Pending</x:v>
      </x:c>
      <x:c r="L156" s="6" t="str"/>
      <x:c r="M156" s="6" t="str"/>
      <x:c r="N156" s="6" t="str">
        <x:v>Not Eligible</x:v>
      </x:c>
      <x:c r="O156" s="12" t="str">
        <x:v>Manual proposal capture only.</x:v>
      </x:c>
    </x:row>
    <x:row r="157">
      <x:c r="A157" s="6" t="str">
        <x:v>DEC-000156</x:v>
      </x:c>
      <x:c r="B157" s="6" t="str">
        <x:v>Service Identity Review</x:v>
      </x:c>
      <x:c r="C157" s="6" t="str">
        <x:v>SIR-000156</x:v>
      </x:c>
      <x:c r="D157" s="6" t="str">
        <x:v>Service</x:v>
      </x:c>
      <x:c r="E157" s="6" t="str">
        <x:v>SVC000156</x:v>
      </x:c>
      <x:c r="F157" s="6" t="str">
        <x:v>Unresolved</x:v>
      </x:c>
      <x:c r="G157" s="6" t="str"/>
      <x:c r="H157" s="12" t="str"/>
      <x:c r="I157" s="6" t="str"/>
      <x:c r="J157" s="6" t="str"/>
      <x:c r="K157" s="6" t="str">
        <x:v>Pending</x:v>
      </x:c>
      <x:c r="L157" s="6" t="str"/>
      <x:c r="M157" s="6" t="str"/>
      <x:c r="N157" s="6" t="str">
        <x:v>Not Eligible</x:v>
      </x:c>
      <x:c r="O157" s="12" t="str">
        <x:v>Manual proposal capture only.</x:v>
      </x:c>
    </x:row>
    <x:row r="158">
      <x:c r="A158" s="6" t="str">
        <x:v>DEC-000157</x:v>
      </x:c>
      <x:c r="B158" s="6" t="str">
        <x:v>Service Identity Review</x:v>
      </x:c>
      <x:c r="C158" s="6" t="str">
        <x:v>SIR-000157</x:v>
      </x:c>
      <x:c r="D158" s="6" t="str">
        <x:v>Service</x:v>
      </x:c>
      <x:c r="E158" s="6" t="str">
        <x:v>SVC000157</x:v>
      </x:c>
      <x:c r="F158" s="6" t="str">
        <x:v>Unresolved</x:v>
      </x:c>
      <x:c r="G158" s="6" t="str"/>
      <x:c r="H158" s="12" t="str"/>
      <x:c r="I158" s="6" t="str"/>
      <x:c r="J158" s="6" t="str"/>
      <x:c r="K158" s="6" t="str">
        <x:v>Pending</x:v>
      </x:c>
      <x:c r="L158" s="6" t="str"/>
      <x:c r="M158" s="6" t="str"/>
      <x:c r="N158" s="6" t="str">
        <x:v>Not Eligible</x:v>
      </x:c>
      <x:c r="O158" s="12" t="str">
        <x:v>Manual proposal capture only.</x:v>
      </x:c>
    </x:row>
    <x:row r="159">
      <x:c r="A159" s="6" t="str">
        <x:v>DEC-000158</x:v>
      </x:c>
      <x:c r="B159" s="6" t="str">
        <x:v>Service Identity Review</x:v>
      </x:c>
      <x:c r="C159" s="6" t="str">
        <x:v>SIR-000158</x:v>
      </x:c>
      <x:c r="D159" s="6" t="str">
        <x:v>Service</x:v>
      </x:c>
      <x:c r="E159" s="6" t="str">
        <x:v>SVC000158</x:v>
      </x:c>
      <x:c r="F159" s="6" t="str">
        <x:v>Unresolved</x:v>
      </x:c>
      <x:c r="G159" s="6" t="str"/>
      <x:c r="H159" s="12" t="str"/>
      <x:c r="I159" s="6" t="str"/>
      <x:c r="J159" s="6" t="str"/>
      <x:c r="K159" s="6" t="str">
        <x:v>Pending</x:v>
      </x:c>
      <x:c r="L159" s="6" t="str"/>
      <x:c r="M159" s="6" t="str"/>
      <x:c r="N159" s="6" t="str">
        <x:v>Not Eligible</x:v>
      </x:c>
      <x:c r="O159" s="12" t="str">
        <x:v>Manual proposal capture only.</x:v>
      </x:c>
    </x:row>
    <x:row r="160">
      <x:c r="A160" s="6" t="str">
        <x:v>DEC-000159</x:v>
      </x:c>
      <x:c r="B160" s="6" t="str">
        <x:v>Service Identity Review</x:v>
      </x:c>
      <x:c r="C160" s="6" t="str">
        <x:v>SIR-000159</x:v>
      </x:c>
      <x:c r="D160" s="6" t="str">
        <x:v>Service</x:v>
      </x:c>
      <x:c r="E160" s="6" t="str">
        <x:v>SVC000159</x:v>
      </x:c>
      <x:c r="F160" s="6" t="str">
        <x:v>Unresolved</x:v>
      </x:c>
      <x:c r="G160" s="6" t="str"/>
      <x:c r="H160" s="12" t="str"/>
      <x:c r="I160" s="6" t="str"/>
      <x:c r="J160" s="6" t="str"/>
      <x:c r="K160" s="6" t="str">
        <x:v>Pending</x:v>
      </x:c>
      <x:c r="L160" s="6" t="str"/>
      <x:c r="M160" s="6" t="str"/>
      <x:c r="N160" s="6" t="str">
        <x:v>Not Eligible</x:v>
      </x:c>
      <x:c r="O160" s="12" t="str">
        <x:v>Manual proposal capture only.</x:v>
      </x:c>
    </x:row>
    <x:row r="161">
      <x:c r="A161" s="6" t="str">
        <x:v>DEC-000160</x:v>
      </x:c>
      <x:c r="B161" s="6" t="str">
        <x:v>Service Identity Review</x:v>
      </x:c>
      <x:c r="C161" s="6" t="str">
        <x:v>SIR-000160</x:v>
      </x:c>
      <x:c r="D161" s="6" t="str">
        <x:v>Service</x:v>
      </x:c>
      <x:c r="E161" s="6" t="str">
        <x:v>SVC000160</x:v>
      </x:c>
      <x:c r="F161" s="6" t="str">
        <x:v>Unresolved</x:v>
      </x:c>
      <x:c r="G161" s="6" t="str"/>
      <x:c r="H161" s="12" t="str"/>
      <x:c r="I161" s="6" t="str"/>
      <x:c r="J161" s="6" t="str"/>
      <x:c r="K161" s="6" t="str">
        <x:v>Pending</x:v>
      </x:c>
      <x:c r="L161" s="6" t="str"/>
      <x:c r="M161" s="6" t="str"/>
      <x:c r="N161" s="6" t="str">
        <x:v>Not Eligible</x:v>
      </x:c>
      <x:c r="O161" s="12" t="str">
        <x:v>Manual proposal capture only.</x:v>
      </x:c>
    </x:row>
    <x:row r="162">
      <x:c r="A162" s="6" t="str">
        <x:v>DEC-000161</x:v>
      </x:c>
      <x:c r="B162" s="6" t="str">
        <x:v>Service Identity Review</x:v>
      </x:c>
      <x:c r="C162" s="6" t="str">
        <x:v>SIR-000161</x:v>
      </x:c>
      <x:c r="D162" s="6" t="str">
        <x:v>Service</x:v>
      </x:c>
      <x:c r="E162" s="6" t="str">
        <x:v>SVC000161</x:v>
      </x:c>
      <x:c r="F162" s="6" t="str">
        <x:v>Unresolved</x:v>
      </x:c>
      <x:c r="G162" s="6" t="str"/>
      <x:c r="H162" s="12" t="str"/>
      <x:c r="I162" s="6" t="str"/>
      <x:c r="J162" s="6" t="str"/>
      <x:c r="K162" s="6" t="str">
        <x:v>Pending</x:v>
      </x:c>
      <x:c r="L162" s="6" t="str"/>
      <x:c r="M162" s="6" t="str"/>
      <x:c r="N162" s="6" t="str">
        <x:v>Not Eligible</x:v>
      </x:c>
      <x:c r="O162" s="12" t="str">
        <x:v>Manual proposal capture only.</x:v>
      </x:c>
    </x:row>
    <x:row r="163">
      <x:c r="A163" s="6" t="str">
        <x:v>DEC-000162</x:v>
      </x:c>
      <x:c r="B163" s="6" t="str">
        <x:v>Service Identity Review</x:v>
      </x:c>
      <x:c r="C163" s="6" t="str">
        <x:v>SIR-000162</x:v>
      </x:c>
      <x:c r="D163" s="6" t="str">
        <x:v>Service</x:v>
      </x:c>
      <x:c r="E163" s="6" t="str">
        <x:v>SVC000162</x:v>
      </x:c>
      <x:c r="F163" s="6" t="str">
        <x:v>Unresolved</x:v>
      </x:c>
      <x:c r="G163" s="6" t="str"/>
      <x:c r="H163" s="12" t="str"/>
      <x:c r="I163" s="6" t="str"/>
      <x:c r="J163" s="6" t="str"/>
      <x:c r="K163" s="6" t="str">
        <x:v>Pending</x:v>
      </x:c>
      <x:c r="L163" s="6" t="str"/>
      <x:c r="M163" s="6" t="str"/>
      <x:c r="N163" s="6" t="str">
        <x:v>Not Eligible</x:v>
      </x:c>
      <x:c r="O163" s="12" t="str">
        <x:v>Manual proposal capture only.</x:v>
      </x:c>
    </x:row>
    <x:row r="164">
      <x:c r="A164" s="6" t="str">
        <x:v>DEC-000163</x:v>
      </x:c>
      <x:c r="B164" s="6" t="str">
        <x:v>Service Identity Review</x:v>
      </x:c>
      <x:c r="C164" s="6" t="str">
        <x:v>SIR-000163</x:v>
      </x:c>
      <x:c r="D164" s="6" t="str">
        <x:v>Service</x:v>
      </x:c>
      <x:c r="E164" s="6" t="str">
        <x:v>SVC000163</x:v>
      </x:c>
      <x:c r="F164" s="6" t="str">
        <x:v>Unresolved</x:v>
      </x:c>
      <x:c r="G164" s="6" t="str"/>
      <x:c r="H164" s="12" t="str"/>
      <x:c r="I164" s="6" t="str"/>
      <x:c r="J164" s="6" t="str"/>
      <x:c r="K164" s="6" t="str">
        <x:v>Pending</x:v>
      </x:c>
      <x:c r="L164" s="6" t="str"/>
      <x:c r="M164" s="6" t="str"/>
      <x:c r="N164" s="6" t="str">
        <x:v>Not Eligible</x:v>
      </x:c>
      <x:c r="O164" s="12" t="str">
        <x:v>Manual proposal capture only.</x:v>
      </x:c>
    </x:row>
    <x:row r="165">
      <x:c r="A165" s="6" t="str">
        <x:v>DEC-000164</x:v>
      </x:c>
      <x:c r="B165" s="6" t="str">
        <x:v>Service Identity Review</x:v>
      </x:c>
      <x:c r="C165" s="6" t="str">
        <x:v>SIR-000164</x:v>
      </x:c>
      <x:c r="D165" s="6" t="str">
        <x:v>Service</x:v>
      </x:c>
      <x:c r="E165" s="6" t="str">
        <x:v>SVC000164</x:v>
      </x:c>
      <x:c r="F165" s="6" t="str">
        <x:v>Unresolved</x:v>
      </x:c>
      <x:c r="G165" s="6" t="str"/>
      <x:c r="H165" s="12" t="str"/>
      <x:c r="I165" s="6" t="str"/>
      <x:c r="J165" s="6" t="str"/>
      <x:c r="K165" s="6" t="str">
        <x:v>Pending</x:v>
      </x:c>
      <x:c r="L165" s="6" t="str"/>
      <x:c r="M165" s="6" t="str"/>
      <x:c r="N165" s="6" t="str">
        <x:v>Not Eligible</x:v>
      </x:c>
      <x:c r="O165" s="12" t="str">
        <x:v>Manual proposal capture only.</x:v>
      </x:c>
    </x:row>
    <x:row r="166">
      <x:c r="A166" s="6" t="str">
        <x:v>DEC-000165</x:v>
      </x:c>
      <x:c r="B166" s="6" t="str">
        <x:v>Service Identity Review</x:v>
      </x:c>
      <x:c r="C166" s="6" t="str">
        <x:v>SIR-000165</x:v>
      </x:c>
      <x:c r="D166" s="6" t="str">
        <x:v>Service</x:v>
      </x:c>
      <x:c r="E166" s="6" t="str">
        <x:v>SVC000165</x:v>
      </x:c>
      <x:c r="F166" s="6" t="str">
        <x:v>Unresolved</x:v>
      </x:c>
      <x:c r="G166" s="6" t="str"/>
      <x:c r="H166" s="12" t="str"/>
      <x:c r="I166" s="6" t="str"/>
      <x:c r="J166" s="6" t="str"/>
      <x:c r="K166" s="6" t="str">
        <x:v>Pending</x:v>
      </x:c>
      <x:c r="L166" s="6" t="str"/>
      <x:c r="M166" s="6" t="str"/>
      <x:c r="N166" s="6" t="str">
        <x:v>Not Eligible</x:v>
      </x:c>
      <x:c r="O166" s="12" t="str">
        <x:v>Manual proposal capture only.</x:v>
      </x:c>
    </x:row>
    <x:row r="167">
      <x:c r="A167" s="6" t="str">
        <x:v>DEC-000166</x:v>
      </x:c>
      <x:c r="B167" s="6" t="str">
        <x:v>Service Identity Review</x:v>
      </x:c>
      <x:c r="C167" s="6" t="str">
        <x:v>SIR-000166</x:v>
      </x:c>
      <x:c r="D167" s="6" t="str">
        <x:v>Service</x:v>
      </x:c>
      <x:c r="E167" s="6" t="str">
        <x:v>SVC000166</x:v>
      </x:c>
      <x:c r="F167" s="6" t="str">
        <x:v>Unresolved</x:v>
      </x:c>
      <x:c r="G167" s="6" t="str"/>
      <x:c r="H167" s="12" t="str"/>
      <x:c r="I167" s="6" t="str"/>
      <x:c r="J167" s="6" t="str"/>
      <x:c r="K167" s="6" t="str">
        <x:v>Pending</x:v>
      </x:c>
      <x:c r="L167" s="6" t="str"/>
      <x:c r="M167" s="6" t="str"/>
      <x:c r="N167" s="6" t="str">
        <x:v>Not Eligible</x:v>
      </x:c>
      <x:c r="O167" s="12" t="str">
        <x:v>Manual proposal capture only.</x:v>
      </x:c>
    </x:row>
    <x:row r="168">
      <x:c r="A168" s="6" t="str">
        <x:v>DEC-000167</x:v>
      </x:c>
      <x:c r="B168" s="6" t="str">
        <x:v>Service Identity Review</x:v>
      </x:c>
      <x:c r="C168" s="6" t="str">
        <x:v>SIR-000167</x:v>
      </x:c>
      <x:c r="D168" s="6" t="str">
        <x:v>Service</x:v>
      </x:c>
      <x:c r="E168" s="6" t="str">
        <x:v>SVC000167</x:v>
      </x:c>
      <x:c r="F168" s="6" t="str">
        <x:v>Unresolved</x:v>
      </x:c>
      <x:c r="G168" s="6" t="str"/>
      <x:c r="H168" s="12" t="str"/>
      <x:c r="I168" s="6" t="str"/>
      <x:c r="J168" s="6" t="str"/>
      <x:c r="K168" s="6" t="str">
        <x:v>Pending</x:v>
      </x:c>
      <x:c r="L168" s="6" t="str"/>
      <x:c r="M168" s="6" t="str"/>
      <x:c r="N168" s="6" t="str">
        <x:v>Not Eligible</x:v>
      </x:c>
      <x:c r="O168" s="12" t="str">
        <x:v>Manual proposal capture only.</x:v>
      </x:c>
    </x:row>
    <x:row r="169">
      <x:c r="A169" s="6" t="str">
        <x:v>DEC-000168</x:v>
      </x:c>
      <x:c r="B169" s="6" t="str">
        <x:v>Service Identity Review</x:v>
      </x:c>
      <x:c r="C169" s="6" t="str">
        <x:v>SIR-000168</x:v>
      </x:c>
      <x:c r="D169" s="6" t="str">
        <x:v>Service</x:v>
      </x:c>
      <x:c r="E169" s="6" t="str">
        <x:v>SVC000168</x:v>
      </x:c>
      <x:c r="F169" s="6" t="str">
        <x:v>Unresolved</x:v>
      </x:c>
      <x:c r="G169" s="6" t="str"/>
      <x:c r="H169" s="12" t="str"/>
      <x:c r="I169" s="6" t="str"/>
      <x:c r="J169" s="6" t="str"/>
      <x:c r="K169" s="6" t="str">
        <x:v>Pending</x:v>
      </x:c>
      <x:c r="L169" s="6" t="str"/>
      <x:c r="M169" s="6" t="str"/>
      <x:c r="N169" s="6" t="str">
        <x:v>Not Eligible</x:v>
      </x:c>
      <x:c r="O169" s="12" t="str">
        <x:v>Manual proposal capture only.</x:v>
      </x:c>
    </x:row>
    <x:row r="170">
      <x:c r="A170" s="6" t="str">
        <x:v>DEC-000169</x:v>
      </x:c>
      <x:c r="B170" s="6" t="str">
        <x:v>Service Identity Review</x:v>
      </x:c>
      <x:c r="C170" s="6" t="str">
        <x:v>SIR-000169</x:v>
      </x:c>
      <x:c r="D170" s="6" t="str">
        <x:v>Service</x:v>
      </x:c>
      <x:c r="E170" s="6" t="str">
        <x:v>SVC000169</x:v>
      </x:c>
      <x:c r="F170" s="6" t="str">
        <x:v>Unresolved</x:v>
      </x:c>
      <x:c r="G170" s="6" t="str"/>
      <x:c r="H170" s="12" t="str"/>
      <x:c r="I170" s="6" t="str"/>
      <x:c r="J170" s="6" t="str"/>
      <x:c r="K170" s="6" t="str">
        <x:v>Pending</x:v>
      </x:c>
      <x:c r="L170" s="6" t="str"/>
      <x:c r="M170" s="6" t="str"/>
      <x:c r="N170" s="6" t="str">
        <x:v>Not Eligible</x:v>
      </x:c>
      <x:c r="O170" s="12" t="str">
        <x:v>Manual proposal capture only.</x:v>
      </x:c>
    </x:row>
    <x:row r="171">
      <x:c r="A171" s="6" t="str">
        <x:v>DEC-000170</x:v>
      </x:c>
      <x:c r="B171" s="6" t="str">
        <x:v>Service Identity Review</x:v>
      </x:c>
      <x:c r="C171" s="6" t="str">
        <x:v>SIR-000170</x:v>
      </x:c>
      <x:c r="D171" s="6" t="str">
        <x:v>Service</x:v>
      </x:c>
      <x:c r="E171" s="6" t="str">
        <x:v>SVC000170</x:v>
      </x:c>
      <x:c r="F171" s="6" t="str">
        <x:v>Unresolved</x:v>
      </x:c>
      <x:c r="G171" s="6" t="str"/>
      <x:c r="H171" s="12" t="str"/>
      <x:c r="I171" s="6" t="str"/>
      <x:c r="J171" s="6" t="str"/>
      <x:c r="K171" s="6" t="str">
        <x:v>Pending</x:v>
      </x:c>
      <x:c r="L171" s="6" t="str"/>
      <x:c r="M171" s="6" t="str"/>
      <x:c r="N171" s="6" t="str">
        <x:v>Not Eligible</x:v>
      </x:c>
      <x:c r="O171" s="12" t="str">
        <x:v>Manual proposal capture only.</x:v>
      </x:c>
    </x:row>
    <x:row r="172">
      <x:c r="A172" s="6" t="str">
        <x:v>DEC-000171</x:v>
      </x:c>
      <x:c r="B172" s="6" t="str">
        <x:v>Service Identity Review</x:v>
      </x:c>
      <x:c r="C172" s="6" t="str">
        <x:v>SIR-000171</x:v>
      </x:c>
      <x:c r="D172" s="6" t="str">
        <x:v>Service</x:v>
      </x:c>
      <x:c r="E172" s="6" t="str">
        <x:v>SVC000171</x:v>
      </x:c>
      <x:c r="F172" s="6" t="str">
        <x:v>Unresolved</x:v>
      </x:c>
      <x:c r="G172" s="6" t="str"/>
      <x:c r="H172" s="12" t="str"/>
      <x:c r="I172" s="6" t="str"/>
      <x:c r="J172" s="6" t="str"/>
      <x:c r="K172" s="6" t="str">
        <x:v>Pending</x:v>
      </x:c>
      <x:c r="L172" s="6" t="str"/>
      <x:c r="M172" s="6" t="str"/>
      <x:c r="N172" s="6" t="str">
        <x:v>Not Eligible</x:v>
      </x:c>
      <x:c r="O172" s="12" t="str">
        <x:v>Manual proposal capture only.</x:v>
      </x:c>
    </x:row>
    <x:row r="173">
      <x:c r="A173" s="6" t="str">
        <x:v>DEC-000172</x:v>
      </x:c>
      <x:c r="B173" s="6" t="str">
        <x:v>Service Identity Review</x:v>
      </x:c>
      <x:c r="C173" s="6" t="str">
        <x:v>SIR-000172</x:v>
      </x:c>
      <x:c r="D173" s="6" t="str">
        <x:v>Service</x:v>
      </x:c>
      <x:c r="E173" s="6" t="str">
        <x:v>SVC000172</x:v>
      </x:c>
      <x:c r="F173" s="6" t="str">
        <x:v>Unresolved</x:v>
      </x:c>
      <x:c r="G173" s="6" t="str"/>
      <x:c r="H173" s="12" t="str"/>
      <x:c r="I173" s="6" t="str"/>
      <x:c r="J173" s="6" t="str"/>
      <x:c r="K173" s="6" t="str">
        <x:v>Pending</x:v>
      </x:c>
      <x:c r="L173" s="6" t="str"/>
      <x:c r="M173" s="6" t="str"/>
      <x:c r="N173" s="6" t="str">
        <x:v>Not Eligible</x:v>
      </x:c>
      <x:c r="O173" s="12" t="str">
        <x:v>Manual proposal capture only.</x:v>
      </x:c>
    </x:row>
    <x:row r="174">
      <x:c r="A174" s="6" t="str">
        <x:v>DEC-000173</x:v>
      </x:c>
      <x:c r="B174" s="6" t="str">
        <x:v>Service Identity Review</x:v>
      </x:c>
      <x:c r="C174" s="6" t="str">
        <x:v>SIR-000173</x:v>
      </x:c>
      <x:c r="D174" s="6" t="str">
        <x:v>Service</x:v>
      </x:c>
      <x:c r="E174" s="6" t="str">
        <x:v>SVC000173</x:v>
      </x:c>
      <x:c r="F174" s="6" t="str">
        <x:v>Unresolved</x:v>
      </x:c>
      <x:c r="G174" s="6" t="str"/>
      <x:c r="H174" s="12" t="str"/>
      <x:c r="I174" s="6" t="str"/>
      <x:c r="J174" s="6" t="str"/>
      <x:c r="K174" s="6" t="str">
        <x:v>Pending</x:v>
      </x:c>
      <x:c r="L174" s="6" t="str"/>
      <x:c r="M174" s="6" t="str"/>
      <x:c r="N174" s="6" t="str">
        <x:v>Not Eligible</x:v>
      </x:c>
      <x:c r="O174" s="12" t="str">
        <x:v>Manual proposal capture only.</x:v>
      </x:c>
    </x:row>
    <x:row r="175">
      <x:c r="A175" s="6" t="str">
        <x:v>DEC-000174</x:v>
      </x:c>
      <x:c r="B175" s="6" t="str">
        <x:v>Service Identity Review</x:v>
      </x:c>
      <x:c r="C175" s="6" t="str">
        <x:v>SIR-000174</x:v>
      </x:c>
      <x:c r="D175" s="6" t="str">
        <x:v>Service</x:v>
      </x:c>
      <x:c r="E175" s="6" t="str">
        <x:v>SVC000174</x:v>
      </x:c>
      <x:c r="F175" s="6" t="str">
        <x:v>Unresolved</x:v>
      </x:c>
      <x:c r="G175" s="6" t="str"/>
      <x:c r="H175" s="12" t="str"/>
      <x:c r="I175" s="6" t="str"/>
      <x:c r="J175" s="6" t="str"/>
      <x:c r="K175" s="6" t="str">
        <x:v>Pending</x:v>
      </x:c>
      <x:c r="L175" s="6" t="str"/>
      <x:c r="M175" s="6" t="str"/>
      <x:c r="N175" s="6" t="str">
        <x:v>Not Eligible</x:v>
      </x:c>
      <x:c r="O175" s="12" t="str">
        <x:v>Manual proposal capture only.</x:v>
      </x:c>
    </x:row>
    <x:row r="176">
      <x:c r="A176" s="6" t="str">
        <x:v>DEC-000175</x:v>
      </x:c>
      <x:c r="B176" s="6" t="str">
        <x:v>Service Identity Review</x:v>
      </x:c>
      <x:c r="C176" s="6" t="str">
        <x:v>SIR-000175</x:v>
      </x:c>
      <x:c r="D176" s="6" t="str">
        <x:v>Service</x:v>
      </x:c>
      <x:c r="E176" s="6" t="str">
        <x:v>SVC000175</x:v>
      </x:c>
      <x:c r="F176" s="6" t="str">
        <x:v>Unresolved</x:v>
      </x:c>
      <x:c r="G176" s="6" t="str"/>
      <x:c r="H176" s="12" t="str"/>
      <x:c r="I176" s="6" t="str"/>
      <x:c r="J176" s="6" t="str"/>
      <x:c r="K176" s="6" t="str">
        <x:v>Pending</x:v>
      </x:c>
      <x:c r="L176" s="6" t="str"/>
      <x:c r="M176" s="6" t="str"/>
      <x:c r="N176" s="6" t="str">
        <x:v>Not Eligible</x:v>
      </x:c>
      <x:c r="O176" s="12" t="str">
        <x:v>Manual proposal capture only.</x:v>
      </x:c>
    </x:row>
    <x:row r="177">
      <x:c r="A177" s="6" t="str">
        <x:v>DEC-000176</x:v>
      </x:c>
      <x:c r="B177" s="6" t="str">
        <x:v>Service Identity Review</x:v>
      </x:c>
      <x:c r="C177" s="6" t="str">
        <x:v>SIR-000176</x:v>
      </x:c>
      <x:c r="D177" s="6" t="str">
        <x:v>Service</x:v>
      </x:c>
      <x:c r="E177" s="6" t="str">
        <x:v>SVC000176</x:v>
      </x:c>
      <x:c r="F177" s="6" t="str">
        <x:v>Unresolved</x:v>
      </x:c>
      <x:c r="G177" s="6" t="str"/>
      <x:c r="H177" s="12" t="str"/>
      <x:c r="I177" s="6" t="str"/>
      <x:c r="J177" s="6" t="str"/>
      <x:c r="K177" s="6" t="str">
        <x:v>Pending</x:v>
      </x:c>
      <x:c r="L177" s="6" t="str"/>
      <x:c r="M177" s="6" t="str"/>
      <x:c r="N177" s="6" t="str">
        <x:v>Not Eligible</x:v>
      </x:c>
      <x:c r="O177" s="12" t="str">
        <x:v>Manual proposal capture only.</x:v>
      </x:c>
    </x:row>
    <x:row r="178">
      <x:c r="A178" s="6" t="str">
        <x:v>DEC-000177</x:v>
      </x:c>
      <x:c r="B178" s="6" t="str">
        <x:v>Service Identity Review</x:v>
      </x:c>
      <x:c r="C178" s="6" t="str">
        <x:v>SIR-000177</x:v>
      </x:c>
      <x:c r="D178" s="6" t="str">
        <x:v>Service</x:v>
      </x:c>
      <x:c r="E178" s="6" t="str">
        <x:v>SVC000177</x:v>
      </x:c>
      <x:c r="F178" s="6" t="str">
        <x:v>Unresolved</x:v>
      </x:c>
      <x:c r="G178" s="6" t="str"/>
      <x:c r="H178" s="12" t="str"/>
      <x:c r="I178" s="6" t="str"/>
      <x:c r="J178" s="6" t="str"/>
      <x:c r="K178" s="6" t="str">
        <x:v>Pending</x:v>
      </x:c>
      <x:c r="L178" s="6" t="str"/>
      <x:c r="M178" s="6" t="str"/>
      <x:c r="N178" s="6" t="str">
        <x:v>Not Eligible</x:v>
      </x:c>
      <x:c r="O178" s="12" t="str">
        <x:v>Manual proposal capture only.</x:v>
      </x:c>
    </x:row>
    <x:row r="179">
      <x:c r="A179" s="6" t="str">
        <x:v>DEC-000178</x:v>
      </x:c>
      <x:c r="B179" s="6" t="str">
        <x:v>Service Identity Review</x:v>
      </x:c>
      <x:c r="C179" s="6" t="str">
        <x:v>SIR-000178</x:v>
      </x:c>
      <x:c r="D179" s="6" t="str">
        <x:v>Service</x:v>
      </x:c>
      <x:c r="E179" s="6" t="str">
        <x:v>SVC000178</x:v>
      </x:c>
      <x:c r="F179" s="6" t="str">
        <x:v>Unresolved</x:v>
      </x:c>
      <x:c r="G179" s="6" t="str"/>
      <x:c r="H179" s="12" t="str"/>
      <x:c r="I179" s="6" t="str"/>
      <x:c r="J179" s="6" t="str"/>
      <x:c r="K179" s="6" t="str">
        <x:v>Pending</x:v>
      </x:c>
      <x:c r="L179" s="6" t="str"/>
      <x:c r="M179" s="6" t="str"/>
      <x:c r="N179" s="6" t="str">
        <x:v>Not Eligible</x:v>
      </x:c>
      <x:c r="O179" s="12" t="str">
        <x:v>Manual proposal capture only.</x:v>
      </x:c>
    </x:row>
    <x:row r="180">
      <x:c r="A180" s="6" t="str">
        <x:v>DEC-000179</x:v>
      </x:c>
      <x:c r="B180" s="6" t="str">
        <x:v>Service Identity Review</x:v>
      </x:c>
      <x:c r="C180" s="6" t="str">
        <x:v>SIR-000179</x:v>
      </x:c>
      <x:c r="D180" s="6" t="str">
        <x:v>Service</x:v>
      </x:c>
      <x:c r="E180" s="6" t="str">
        <x:v>SVC000179</x:v>
      </x:c>
      <x:c r="F180" s="6" t="str">
        <x:v>Unresolved</x:v>
      </x:c>
      <x:c r="G180" s="6" t="str"/>
      <x:c r="H180" s="12" t="str"/>
      <x:c r="I180" s="6" t="str"/>
      <x:c r="J180" s="6" t="str"/>
      <x:c r="K180" s="6" t="str">
        <x:v>Pending</x:v>
      </x:c>
      <x:c r="L180" s="6" t="str"/>
      <x:c r="M180" s="6" t="str"/>
      <x:c r="N180" s="6" t="str">
        <x:v>Not Eligible</x:v>
      </x:c>
      <x:c r="O180" s="12" t="str">
        <x:v>Manual proposal capture only.</x:v>
      </x:c>
    </x:row>
    <x:row r="181">
      <x:c r="A181" s="6" t="str">
        <x:v>DEC-000180</x:v>
      </x:c>
      <x:c r="B181" s="6" t="str">
        <x:v>Service Identity Review</x:v>
      </x:c>
      <x:c r="C181" s="6" t="str">
        <x:v>SIR-000180</x:v>
      </x:c>
      <x:c r="D181" s="6" t="str">
        <x:v>Service</x:v>
      </x:c>
      <x:c r="E181" s="6" t="str">
        <x:v>SVC000180</x:v>
      </x:c>
      <x:c r="F181" s="6" t="str">
        <x:v>Unresolved</x:v>
      </x:c>
      <x:c r="G181" s="6" t="str"/>
      <x:c r="H181" s="12" t="str"/>
      <x:c r="I181" s="6" t="str"/>
      <x:c r="J181" s="6" t="str"/>
      <x:c r="K181" s="6" t="str">
        <x:v>Pending</x:v>
      </x:c>
      <x:c r="L181" s="6" t="str"/>
      <x:c r="M181" s="6" t="str"/>
      <x:c r="N181" s="6" t="str">
        <x:v>Not Eligible</x:v>
      </x:c>
      <x:c r="O181" s="12" t="str">
        <x:v>Manual proposal capture only.</x:v>
      </x:c>
    </x:row>
    <x:row r="182">
      <x:c r="A182" s="6" t="str">
        <x:v>DEC-000181</x:v>
      </x:c>
      <x:c r="B182" s="6" t="str">
        <x:v>Service Identity Review</x:v>
      </x:c>
      <x:c r="C182" s="6" t="str">
        <x:v>SIR-000181</x:v>
      </x:c>
      <x:c r="D182" s="6" t="str">
        <x:v>Service</x:v>
      </x:c>
      <x:c r="E182" s="6" t="str">
        <x:v>SVC000181</x:v>
      </x:c>
      <x:c r="F182" s="6" t="str">
        <x:v>Unresolved</x:v>
      </x:c>
      <x:c r="G182" s="6" t="str"/>
      <x:c r="H182" s="12" t="str"/>
      <x:c r="I182" s="6" t="str"/>
      <x:c r="J182" s="6" t="str"/>
      <x:c r="K182" s="6" t="str">
        <x:v>Pending</x:v>
      </x:c>
      <x:c r="L182" s="6" t="str"/>
      <x:c r="M182" s="6" t="str"/>
      <x:c r="N182" s="6" t="str">
        <x:v>Not Eligible</x:v>
      </x:c>
      <x:c r="O182" s="12" t="str">
        <x:v>Manual proposal capture only.</x:v>
      </x:c>
    </x:row>
    <x:row r="183">
      <x:c r="A183" s="6" t="str">
        <x:v>DEC-000182</x:v>
      </x:c>
      <x:c r="B183" s="6" t="str">
        <x:v>Service Identity Review</x:v>
      </x:c>
      <x:c r="C183" s="6" t="str">
        <x:v>SIR-000182</x:v>
      </x:c>
      <x:c r="D183" s="6" t="str">
        <x:v>Service</x:v>
      </x:c>
      <x:c r="E183" s="6" t="str">
        <x:v>SVC000182</x:v>
      </x:c>
      <x:c r="F183" s="6" t="str">
        <x:v>Unresolved</x:v>
      </x:c>
      <x:c r="G183" s="6" t="str"/>
      <x:c r="H183" s="12" t="str"/>
      <x:c r="I183" s="6" t="str"/>
      <x:c r="J183" s="6" t="str"/>
      <x:c r="K183" s="6" t="str">
        <x:v>Pending</x:v>
      </x:c>
      <x:c r="L183" s="6" t="str"/>
      <x:c r="M183" s="6" t="str"/>
      <x:c r="N183" s="6" t="str">
        <x:v>Not Eligible</x:v>
      </x:c>
      <x:c r="O183" s="12" t="str">
        <x:v>Manual proposal capture only.</x:v>
      </x:c>
    </x:row>
    <x:row r="184">
      <x:c r="A184" s="6" t="str">
        <x:v>DEC-000183</x:v>
      </x:c>
      <x:c r="B184" s="6" t="str">
        <x:v>Service Identity Review</x:v>
      </x:c>
      <x:c r="C184" s="6" t="str">
        <x:v>SIR-000183</x:v>
      </x:c>
      <x:c r="D184" s="6" t="str">
        <x:v>Service</x:v>
      </x:c>
      <x:c r="E184" s="6" t="str">
        <x:v>SVC000183</x:v>
      </x:c>
      <x:c r="F184" s="6" t="str">
        <x:v>Unresolved</x:v>
      </x:c>
      <x:c r="G184" s="6" t="str"/>
      <x:c r="H184" s="12" t="str"/>
      <x:c r="I184" s="6" t="str"/>
      <x:c r="J184" s="6" t="str"/>
      <x:c r="K184" s="6" t="str">
        <x:v>Pending</x:v>
      </x:c>
      <x:c r="L184" s="6" t="str"/>
      <x:c r="M184" s="6" t="str"/>
      <x:c r="N184" s="6" t="str">
        <x:v>Not Eligible</x:v>
      </x:c>
      <x:c r="O184" s="12" t="str">
        <x:v>Manual proposal capture only.</x:v>
      </x:c>
    </x:row>
    <x:row r="185">
      <x:c r="A185" s="6" t="str">
        <x:v>DEC-000184</x:v>
      </x:c>
      <x:c r="B185" s="6" t="str">
        <x:v>Service Identity Review</x:v>
      </x:c>
      <x:c r="C185" s="6" t="str">
        <x:v>SIR-000184</x:v>
      </x:c>
      <x:c r="D185" s="6" t="str">
        <x:v>Service</x:v>
      </x:c>
      <x:c r="E185" s="6" t="str">
        <x:v>SVC000184</x:v>
      </x:c>
      <x:c r="F185" s="6" t="str">
        <x:v>Unresolved</x:v>
      </x:c>
      <x:c r="G185" s="6" t="str"/>
      <x:c r="H185" s="12" t="str"/>
      <x:c r="I185" s="6" t="str"/>
      <x:c r="J185" s="6" t="str"/>
      <x:c r="K185" s="6" t="str">
        <x:v>Pending</x:v>
      </x:c>
      <x:c r="L185" s="6" t="str"/>
      <x:c r="M185" s="6" t="str"/>
      <x:c r="N185" s="6" t="str">
        <x:v>Not Eligible</x:v>
      </x:c>
      <x:c r="O185" s="12" t="str">
        <x:v>Manual proposal capture only.</x:v>
      </x:c>
    </x:row>
    <x:row r="186">
      <x:c r="A186" s="6" t="str">
        <x:v>DEC-000185</x:v>
      </x:c>
      <x:c r="B186" s="6" t="str">
        <x:v>Service Identity Review</x:v>
      </x:c>
      <x:c r="C186" s="6" t="str">
        <x:v>SIR-000185</x:v>
      </x:c>
      <x:c r="D186" s="6" t="str">
        <x:v>Service</x:v>
      </x:c>
      <x:c r="E186" s="6" t="str">
        <x:v>SVC000185</x:v>
      </x:c>
      <x:c r="F186" s="6" t="str">
        <x:v>Unresolved</x:v>
      </x:c>
      <x:c r="G186" s="6" t="str"/>
      <x:c r="H186" s="12" t="str"/>
      <x:c r="I186" s="6" t="str"/>
      <x:c r="J186" s="6" t="str"/>
      <x:c r="K186" s="6" t="str">
        <x:v>Pending</x:v>
      </x:c>
      <x:c r="L186" s="6" t="str"/>
      <x:c r="M186" s="6" t="str"/>
      <x:c r="N186" s="6" t="str">
        <x:v>Not Eligible</x:v>
      </x:c>
      <x:c r="O186" s="12" t="str">
        <x:v>Manual proposal capture only.</x:v>
      </x:c>
    </x:row>
    <x:row r="187">
      <x:c r="A187" s="6" t="str">
        <x:v>DEC-000186</x:v>
      </x:c>
      <x:c r="B187" s="6" t="str">
        <x:v>Service Identity Review</x:v>
      </x:c>
      <x:c r="C187" s="6" t="str">
        <x:v>SIR-000186</x:v>
      </x:c>
      <x:c r="D187" s="6" t="str">
        <x:v>Service</x:v>
      </x:c>
      <x:c r="E187" s="6" t="str">
        <x:v>SVC000186</x:v>
      </x:c>
      <x:c r="F187" s="6" t="str">
        <x:v>Unresolved</x:v>
      </x:c>
      <x:c r="G187" s="6" t="str"/>
      <x:c r="H187" s="12" t="str"/>
      <x:c r="I187" s="6" t="str"/>
      <x:c r="J187" s="6" t="str"/>
      <x:c r="K187" s="6" t="str">
        <x:v>Pending</x:v>
      </x:c>
      <x:c r="L187" s="6" t="str"/>
      <x:c r="M187" s="6" t="str"/>
      <x:c r="N187" s="6" t="str">
        <x:v>Not Eligible</x:v>
      </x:c>
      <x:c r="O187" s="12" t="str">
        <x:v>Manual proposal capture only.</x:v>
      </x:c>
    </x:row>
    <x:row r="188">
      <x:c r="A188" s="6" t="str">
        <x:v>DEC-000187</x:v>
      </x:c>
      <x:c r="B188" s="6" t="str">
        <x:v>Service Identity Review</x:v>
      </x:c>
      <x:c r="C188" s="6" t="str">
        <x:v>SIR-000187</x:v>
      </x:c>
      <x:c r="D188" s="6" t="str">
        <x:v>Service</x:v>
      </x:c>
      <x:c r="E188" s="6" t="str">
        <x:v>SVC000187</x:v>
      </x:c>
      <x:c r="F188" s="6" t="str">
        <x:v>Unresolved</x:v>
      </x:c>
      <x:c r="G188" s="6" t="str"/>
      <x:c r="H188" s="12" t="str"/>
      <x:c r="I188" s="6" t="str"/>
      <x:c r="J188" s="6" t="str"/>
      <x:c r="K188" s="6" t="str">
        <x:v>Pending</x:v>
      </x:c>
      <x:c r="L188" s="6" t="str"/>
      <x:c r="M188" s="6" t="str"/>
      <x:c r="N188" s="6" t="str">
        <x:v>Not Eligible</x:v>
      </x:c>
      <x:c r="O188" s="12" t="str">
        <x:v>Manual proposal capture only.</x:v>
      </x:c>
    </x:row>
    <x:row r="189">
      <x:c r="A189" s="6" t="str">
        <x:v>DEC-000188</x:v>
      </x:c>
      <x:c r="B189" s="6" t="str">
        <x:v>Service Identity Review</x:v>
      </x:c>
      <x:c r="C189" s="6" t="str">
        <x:v>SIR-000188</x:v>
      </x:c>
      <x:c r="D189" s="6" t="str">
        <x:v>Service</x:v>
      </x:c>
      <x:c r="E189" s="6" t="str">
        <x:v>SVC000188</x:v>
      </x:c>
      <x:c r="F189" s="6" t="str">
        <x:v>Unresolved</x:v>
      </x:c>
      <x:c r="G189" s="6" t="str"/>
      <x:c r="H189" s="12" t="str"/>
      <x:c r="I189" s="6" t="str"/>
      <x:c r="J189" s="6" t="str"/>
      <x:c r="K189" s="6" t="str">
        <x:v>Pending</x:v>
      </x:c>
      <x:c r="L189" s="6" t="str"/>
      <x:c r="M189" s="6" t="str"/>
      <x:c r="N189" s="6" t="str">
        <x:v>Not Eligible</x:v>
      </x:c>
      <x:c r="O189" s="12" t="str">
        <x:v>Manual proposal capture only.</x:v>
      </x:c>
    </x:row>
    <x:row r="190">
      <x:c r="A190" s="6" t="str">
        <x:v>DEC-000189</x:v>
      </x:c>
      <x:c r="B190" s="6" t="str">
        <x:v>Service Identity Review</x:v>
      </x:c>
      <x:c r="C190" s="6" t="str">
        <x:v>SIR-000189</x:v>
      </x:c>
      <x:c r="D190" s="6" t="str">
        <x:v>Service</x:v>
      </x:c>
      <x:c r="E190" s="6" t="str">
        <x:v>SVC000189</x:v>
      </x:c>
      <x:c r="F190" s="6" t="str">
        <x:v>Unresolved</x:v>
      </x:c>
      <x:c r="G190" s="6" t="str"/>
      <x:c r="H190" s="12" t="str"/>
      <x:c r="I190" s="6" t="str"/>
      <x:c r="J190" s="6" t="str"/>
      <x:c r="K190" s="6" t="str">
        <x:v>Pending</x:v>
      </x:c>
      <x:c r="L190" s="6" t="str"/>
      <x:c r="M190" s="6" t="str"/>
      <x:c r="N190" s="6" t="str">
        <x:v>Not Eligible</x:v>
      </x:c>
      <x:c r="O190" s="12" t="str">
        <x:v>Manual proposal capture only.</x:v>
      </x:c>
    </x:row>
    <x:row r="191">
      <x:c r="A191" s="6" t="str">
        <x:v>DEC-000190</x:v>
      </x:c>
      <x:c r="B191" s="6" t="str">
        <x:v>Service Identity Review</x:v>
      </x:c>
      <x:c r="C191" s="6" t="str">
        <x:v>SIR-000190</x:v>
      </x:c>
      <x:c r="D191" s="6" t="str">
        <x:v>Service</x:v>
      </x:c>
      <x:c r="E191" s="6" t="str">
        <x:v>SVC000190</x:v>
      </x:c>
      <x:c r="F191" s="6" t="str">
        <x:v>Unresolved</x:v>
      </x:c>
      <x:c r="G191" s="6" t="str"/>
      <x:c r="H191" s="12" t="str"/>
      <x:c r="I191" s="6" t="str"/>
      <x:c r="J191" s="6" t="str"/>
      <x:c r="K191" s="6" t="str">
        <x:v>Pending</x:v>
      </x:c>
      <x:c r="L191" s="6" t="str"/>
      <x:c r="M191" s="6" t="str"/>
      <x:c r="N191" s="6" t="str">
        <x:v>Not Eligible</x:v>
      </x:c>
      <x:c r="O191" s="12" t="str">
        <x:v>Manual proposal capture only.</x:v>
      </x:c>
    </x:row>
    <x:row r="192">
      <x:c r="A192" s="6" t="str">
        <x:v>DEC-000191</x:v>
      </x:c>
      <x:c r="B192" s="6" t="str">
        <x:v>Service Identity Review</x:v>
      </x:c>
      <x:c r="C192" s="6" t="str">
        <x:v>SIR-000191</x:v>
      </x:c>
      <x:c r="D192" s="6" t="str">
        <x:v>Service</x:v>
      </x:c>
      <x:c r="E192" s="6" t="str">
        <x:v>SVC000191</x:v>
      </x:c>
      <x:c r="F192" s="6" t="str">
        <x:v>Unresolved</x:v>
      </x:c>
      <x:c r="G192" s="6" t="str"/>
      <x:c r="H192" s="12" t="str"/>
      <x:c r="I192" s="6" t="str"/>
      <x:c r="J192" s="6" t="str"/>
      <x:c r="K192" s="6" t="str">
        <x:v>Pending</x:v>
      </x:c>
      <x:c r="L192" s="6" t="str"/>
      <x:c r="M192" s="6" t="str"/>
      <x:c r="N192" s="6" t="str">
        <x:v>Not Eligible</x:v>
      </x:c>
      <x:c r="O192" s="12" t="str">
        <x:v>Manual proposal capture only.</x:v>
      </x:c>
    </x:row>
    <x:row r="193">
      <x:c r="A193" s="6" t="str">
        <x:v>DEC-000192</x:v>
      </x:c>
      <x:c r="B193" s="6" t="str">
        <x:v>Service Identity Review</x:v>
      </x:c>
      <x:c r="C193" s="6" t="str">
        <x:v>SIR-000192</x:v>
      </x:c>
      <x:c r="D193" s="6" t="str">
        <x:v>Service</x:v>
      </x:c>
      <x:c r="E193" s="6" t="str">
        <x:v>SVC000192</x:v>
      </x:c>
      <x:c r="F193" s="6" t="str">
        <x:v>Unresolved</x:v>
      </x:c>
      <x:c r="G193" s="6" t="str"/>
      <x:c r="H193" s="12" t="str"/>
      <x:c r="I193" s="6" t="str"/>
      <x:c r="J193" s="6" t="str"/>
      <x:c r="K193" s="6" t="str">
        <x:v>Pending</x:v>
      </x:c>
      <x:c r="L193" s="6" t="str"/>
      <x:c r="M193" s="6" t="str"/>
      <x:c r="N193" s="6" t="str">
        <x:v>Not Eligible</x:v>
      </x:c>
      <x:c r="O193" s="12" t="str">
        <x:v>Manual proposal capture only.</x:v>
      </x:c>
    </x:row>
    <x:row r="194">
      <x:c r="A194" s="6" t="str">
        <x:v>DEC-000193</x:v>
      </x:c>
      <x:c r="B194" s="6" t="str">
        <x:v>Service Identity Review</x:v>
      </x:c>
      <x:c r="C194" s="6" t="str">
        <x:v>SIR-000193</x:v>
      </x:c>
      <x:c r="D194" s="6" t="str">
        <x:v>Service</x:v>
      </x:c>
      <x:c r="E194" s="6" t="str">
        <x:v>SVC000193</x:v>
      </x:c>
      <x:c r="F194" s="6" t="str">
        <x:v>Unresolved</x:v>
      </x:c>
      <x:c r="G194" s="6" t="str"/>
      <x:c r="H194" s="12" t="str"/>
      <x:c r="I194" s="6" t="str"/>
      <x:c r="J194" s="6" t="str"/>
      <x:c r="K194" s="6" t="str">
        <x:v>Pending</x:v>
      </x:c>
      <x:c r="L194" s="6" t="str"/>
      <x:c r="M194" s="6" t="str"/>
      <x:c r="N194" s="6" t="str">
        <x:v>Not Eligible</x:v>
      </x:c>
      <x:c r="O194" s="12" t="str">
        <x:v>Manual proposal capture only.</x:v>
      </x:c>
    </x:row>
    <x:row r="195">
      <x:c r="A195" s="6" t="str">
        <x:v>DEC-000194</x:v>
      </x:c>
      <x:c r="B195" s="6" t="str">
        <x:v>Service Identity Review</x:v>
      </x:c>
      <x:c r="C195" s="6" t="str">
        <x:v>SIR-000194</x:v>
      </x:c>
      <x:c r="D195" s="6" t="str">
        <x:v>Service</x:v>
      </x:c>
      <x:c r="E195" s="6" t="str">
        <x:v>SVC000194</x:v>
      </x:c>
      <x:c r="F195" s="6" t="str">
        <x:v>Unresolved</x:v>
      </x:c>
      <x:c r="G195" s="6" t="str"/>
      <x:c r="H195" s="12" t="str"/>
      <x:c r="I195" s="6" t="str"/>
      <x:c r="J195" s="6" t="str"/>
      <x:c r="K195" s="6" t="str">
        <x:v>Pending</x:v>
      </x:c>
      <x:c r="L195" s="6" t="str"/>
      <x:c r="M195" s="6" t="str"/>
      <x:c r="N195" s="6" t="str">
        <x:v>Not Eligible</x:v>
      </x:c>
      <x:c r="O195" s="12" t="str">
        <x:v>Manual proposal capture only.</x:v>
      </x:c>
    </x:row>
    <x:row r="196">
      <x:c r="A196" s="6" t="str">
        <x:v>DEC-000195</x:v>
      </x:c>
      <x:c r="B196" s="6" t="str">
        <x:v>Service Identity Review</x:v>
      </x:c>
      <x:c r="C196" s="6" t="str">
        <x:v>SIR-000195</x:v>
      </x:c>
      <x:c r="D196" s="6" t="str">
        <x:v>Service</x:v>
      </x:c>
      <x:c r="E196" s="6" t="str">
        <x:v>SVC000195</x:v>
      </x:c>
      <x:c r="F196" s="6" t="str">
        <x:v>Unresolved</x:v>
      </x:c>
      <x:c r="G196" s="6" t="str"/>
      <x:c r="H196" s="12" t="str"/>
      <x:c r="I196" s="6" t="str"/>
      <x:c r="J196" s="6" t="str"/>
      <x:c r="K196" s="6" t="str">
        <x:v>Pending</x:v>
      </x:c>
      <x:c r="L196" s="6" t="str"/>
      <x:c r="M196" s="6" t="str"/>
      <x:c r="N196" s="6" t="str">
        <x:v>Not Eligible</x:v>
      </x:c>
      <x:c r="O196" s="12" t="str">
        <x:v>Manual proposal capture only.</x:v>
      </x:c>
    </x:row>
    <x:row r="197">
      <x:c r="A197" s="6" t="str">
        <x:v>DEC-000196</x:v>
      </x:c>
      <x:c r="B197" s="6" t="str">
        <x:v>Service Identity Review</x:v>
      </x:c>
      <x:c r="C197" s="6" t="str">
        <x:v>SIR-000196</x:v>
      </x:c>
      <x:c r="D197" s="6" t="str">
        <x:v>Service</x:v>
      </x:c>
      <x:c r="E197" s="6" t="str">
        <x:v>SVC000196</x:v>
      </x:c>
      <x:c r="F197" s="6" t="str">
        <x:v>Unresolved</x:v>
      </x:c>
      <x:c r="G197" s="6" t="str"/>
      <x:c r="H197" s="12" t="str"/>
      <x:c r="I197" s="6" t="str"/>
      <x:c r="J197" s="6" t="str"/>
      <x:c r="K197" s="6" t="str">
        <x:v>Pending</x:v>
      </x:c>
      <x:c r="L197" s="6" t="str"/>
      <x:c r="M197" s="6" t="str"/>
      <x:c r="N197" s="6" t="str">
        <x:v>Not Eligible</x:v>
      </x:c>
      <x:c r="O197" s="12" t="str">
        <x:v>Manual proposal capture only.</x:v>
      </x:c>
    </x:row>
    <x:row r="198">
      <x:c r="A198" s="6" t="str">
        <x:v>DEC-000197</x:v>
      </x:c>
      <x:c r="B198" s="6" t="str">
        <x:v>Service Identity Review</x:v>
      </x:c>
      <x:c r="C198" s="6" t="str">
        <x:v>SIR-000197</x:v>
      </x:c>
      <x:c r="D198" s="6" t="str">
        <x:v>Service</x:v>
      </x:c>
      <x:c r="E198" s="6" t="str">
        <x:v>SVC000197</x:v>
      </x:c>
      <x:c r="F198" s="6" t="str">
        <x:v>Unresolved</x:v>
      </x:c>
      <x:c r="G198" s="6" t="str"/>
      <x:c r="H198" s="12" t="str"/>
      <x:c r="I198" s="6" t="str"/>
      <x:c r="J198" s="6" t="str"/>
      <x:c r="K198" s="6" t="str">
        <x:v>Pending</x:v>
      </x:c>
      <x:c r="L198" s="6" t="str"/>
      <x:c r="M198" s="6" t="str"/>
      <x:c r="N198" s="6" t="str">
        <x:v>Not Eligible</x:v>
      </x:c>
      <x:c r="O198" s="12" t="str">
        <x:v>Manual proposal capture only.</x:v>
      </x:c>
    </x:row>
    <x:row r="199">
      <x:c r="A199" s="6" t="str">
        <x:v>DEC-000198</x:v>
      </x:c>
      <x:c r="B199" s="6" t="str">
        <x:v>Service Identity Review</x:v>
      </x:c>
      <x:c r="C199" s="6" t="str">
        <x:v>SIR-000198</x:v>
      </x:c>
      <x:c r="D199" s="6" t="str">
        <x:v>Service</x:v>
      </x:c>
      <x:c r="E199" s="6" t="str">
        <x:v>SVC000198</x:v>
      </x:c>
      <x:c r="F199" s="6" t="str">
        <x:v>Unresolved</x:v>
      </x:c>
      <x:c r="G199" s="6" t="str"/>
      <x:c r="H199" s="12" t="str"/>
      <x:c r="I199" s="6" t="str"/>
      <x:c r="J199" s="6" t="str"/>
      <x:c r="K199" s="6" t="str">
        <x:v>Pending</x:v>
      </x:c>
      <x:c r="L199" s="6" t="str"/>
      <x:c r="M199" s="6" t="str"/>
      <x:c r="N199" s="6" t="str">
        <x:v>Not Eligible</x:v>
      </x:c>
      <x:c r="O199" s="12" t="str">
        <x:v>Manual proposal capture only.</x:v>
      </x:c>
    </x:row>
    <x:row r="200">
      <x:c r="A200" s="6" t="str">
        <x:v>DEC-000199</x:v>
      </x:c>
      <x:c r="B200" s="6" t="str">
        <x:v>Service Identity Review</x:v>
      </x:c>
      <x:c r="C200" s="6" t="str">
        <x:v>SIR-000199</x:v>
      </x:c>
      <x:c r="D200" s="6" t="str">
        <x:v>Service</x:v>
      </x:c>
      <x:c r="E200" s="6" t="str">
        <x:v>SVC000199</x:v>
      </x:c>
      <x:c r="F200" s="6" t="str">
        <x:v>Unresolved</x:v>
      </x:c>
      <x:c r="G200" s="6" t="str"/>
      <x:c r="H200" s="12" t="str"/>
      <x:c r="I200" s="6" t="str"/>
      <x:c r="J200" s="6" t="str"/>
      <x:c r="K200" s="6" t="str">
        <x:v>Pending</x:v>
      </x:c>
      <x:c r="L200" s="6" t="str"/>
      <x:c r="M200" s="6" t="str"/>
      <x:c r="N200" s="6" t="str">
        <x:v>Not Eligible</x:v>
      </x:c>
      <x:c r="O200" s="12" t="str">
        <x:v>Manual proposal capture only.</x:v>
      </x:c>
    </x:row>
    <x:row r="201">
      <x:c r="A201" s="6" t="str">
        <x:v>DEC-000200</x:v>
      </x:c>
      <x:c r="B201" s="6" t="str">
        <x:v>Service Identity Review</x:v>
      </x:c>
      <x:c r="C201" s="6" t="str">
        <x:v>SIR-000200</x:v>
      </x:c>
      <x:c r="D201" s="6" t="str">
        <x:v>Service</x:v>
      </x:c>
      <x:c r="E201" s="6" t="str">
        <x:v>SVC000200</x:v>
      </x:c>
      <x:c r="F201" s="6" t="str">
        <x:v>Unresolved</x:v>
      </x:c>
      <x:c r="G201" s="6" t="str"/>
      <x:c r="H201" s="12" t="str"/>
      <x:c r="I201" s="6" t="str"/>
      <x:c r="J201" s="6" t="str"/>
      <x:c r="K201" s="6" t="str">
        <x:v>Pending</x:v>
      </x:c>
      <x:c r="L201" s="6" t="str"/>
      <x:c r="M201" s="6" t="str"/>
      <x:c r="N201" s="6" t="str">
        <x:v>Not Eligible</x:v>
      </x:c>
      <x:c r="O201" s="12" t="str">
        <x:v>Manual proposal capture only.</x:v>
      </x:c>
    </x:row>
    <x:row r="202">
      <x:c r="A202" s="6" t="str">
        <x:v>DEC-000201</x:v>
      </x:c>
      <x:c r="B202" s="6" t="str">
        <x:v>Service Identity Review</x:v>
      </x:c>
      <x:c r="C202" s="6" t="str">
        <x:v>SIR-000201</x:v>
      </x:c>
      <x:c r="D202" s="6" t="str">
        <x:v>Service</x:v>
      </x:c>
      <x:c r="E202" s="6" t="str">
        <x:v>SVC000201</x:v>
      </x:c>
      <x:c r="F202" s="6" t="str">
        <x:v>Unresolved</x:v>
      </x:c>
      <x:c r="G202" s="6" t="str"/>
      <x:c r="H202" s="12" t="str"/>
      <x:c r="I202" s="6" t="str"/>
      <x:c r="J202" s="6" t="str"/>
      <x:c r="K202" s="6" t="str">
        <x:v>Pending</x:v>
      </x:c>
      <x:c r="L202" s="6" t="str"/>
      <x:c r="M202" s="6" t="str"/>
      <x:c r="N202" s="6" t="str">
        <x:v>Not Eligible</x:v>
      </x:c>
      <x:c r="O202" s="12" t="str">
        <x:v>Manual proposal capture only.</x:v>
      </x:c>
    </x:row>
    <x:row r="203">
      <x:c r="A203" s="6" t="str">
        <x:v>DEC-000202</x:v>
      </x:c>
      <x:c r="B203" s="6" t="str">
        <x:v>Service Identity Review</x:v>
      </x:c>
      <x:c r="C203" s="6" t="str">
        <x:v>SIR-000202</x:v>
      </x:c>
      <x:c r="D203" s="6" t="str">
        <x:v>Service</x:v>
      </x:c>
      <x:c r="E203" s="6" t="str">
        <x:v>SVC000202</x:v>
      </x:c>
      <x:c r="F203" s="6" t="str">
        <x:v>Unresolved</x:v>
      </x:c>
      <x:c r="G203" s="6" t="str"/>
      <x:c r="H203" s="12" t="str"/>
      <x:c r="I203" s="6" t="str"/>
      <x:c r="J203" s="6" t="str"/>
      <x:c r="K203" s="6" t="str">
        <x:v>Pending</x:v>
      </x:c>
      <x:c r="L203" s="6" t="str"/>
      <x:c r="M203" s="6" t="str"/>
      <x:c r="N203" s="6" t="str">
        <x:v>Not Eligible</x:v>
      </x:c>
      <x:c r="O203" s="12" t="str">
        <x:v>Manual proposal capture only.</x:v>
      </x:c>
    </x:row>
    <x:row r="204">
      <x:c r="A204" s="6" t="str">
        <x:v>DEC-000203</x:v>
      </x:c>
      <x:c r="B204" s="6" t="str">
        <x:v>Service Identity Review</x:v>
      </x:c>
      <x:c r="C204" s="6" t="str">
        <x:v>SIR-000203</x:v>
      </x:c>
      <x:c r="D204" s="6" t="str">
        <x:v>Service</x:v>
      </x:c>
      <x:c r="E204" s="6" t="str">
        <x:v>SVC000203</x:v>
      </x:c>
      <x:c r="F204" s="6" t="str">
        <x:v>Unresolved</x:v>
      </x:c>
      <x:c r="G204" s="6" t="str"/>
      <x:c r="H204" s="12" t="str"/>
      <x:c r="I204" s="6" t="str"/>
      <x:c r="J204" s="6" t="str"/>
      <x:c r="K204" s="6" t="str">
        <x:v>Pending</x:v>
      </x:c>
      <x:c r="L204" s="6" t="str"/>
      <x:c r="M204" s="6" t="str"/>
      <x:c r="N204" s="6" t="str">
        <x:v>Not Eligible</x:v>
      </x:c>
      <x:c r="O204" s="12" t="str">
        <x:v>Manual proposal capture only.</x:v>
      </x:c>
    </x:row>
    <x:row r="205">
      <x:c r="A205" s="6" t="str">
        <x:v>DEC-000204</x:v>
      </x:c>
      <x:c r="B205" s="6" t="str">
        <x:v>Service Identity Review</x:v>
      </x:c>
      <x:c r="C205" s="6" t="str">
        <x:v>SIR-000204</x:v>
      </x:c>
      <x:c r="D205" s="6" t="str">
        <x:v>Service</x:v>
      </x:c>
      <x:c r="E205" s="6" t="str">
        <x:v>SVC000204</x:v>
      </x:c>
      <x:c r="F205" s="6" t="str">
        <x:v>Unresolved</x:v>
      </x:c>
      <x:c r="G205" s="6" t="str"/>
      <x:c r="H205" s="12" t="str"/>
      <x:c r="I205" s="6" t="str"/>
      <x:c r="J205" s="6" t="str"/>
      <x:c r="K205" s="6" t="str">
        <x:v>Pending</x:v>
      </x:c>
      <x:c r="L205" s="6" t="str"/>
      <x:c r="M205" s="6" t="str"/>
      <x:c r="N205" s="6" t="str">
        <x:v>Not Eligible</x:v>
      </x:c>
      <x:c r="O205" s="12" t="str">
        <x:v>Manual proposal capture only.</x:v>
      </x:c>
    </x:row>
    <x:row r="206">
      <x:c r="A206" s="6" t="str">
        <x:v>DEC-000205</x:v>
      </x:c>
      <x:c r="B206" s="6" t="str">
        <x:v>Service Identity Review</x:v>
      </x:c>
      <x:c r="C206" s="6" t="str">
        <x:v>SIR-000205</x:v>
      </x:c>
      <x:c r="D206" s="6" t="str">
        <x:v>Service</x:v>
      </x:c>
      <x:c r="E206" s="6" t="str">
        <x:v>SVC000205</x:v>
      </x:c>
      <x:c r="F206" s="6" t="str">
        <x:v>Unresolved</x:v>
      </x:c>
      <x:c r="G206" s="6" t="str"/>
      <x:c r="H206" s="12" t="str"/>
      <x:c r="I206" s="6" t="str"/>
      <x:c r="J206" s="6" t="str"/>
      <x:c r="K206" s="6" t="str">
        <x:v>Pending</x:v>
      </x:c>
      <x:c r="L206" s="6" t="str"/>
      <x:c r="M206" s="6" t="str"/>
      <x:c r="N206" s="6" t="str">
        <x:v>Not Eligible</x:v>
      </x:c>
      <x:c r="O206" s="12" t="str">
        <x:v>Manual proposal capture only.</x:v>
      </x:c>
    </x:row>
    <x:row r="207">
      <x:c r="A207" s="6" t="str">
        <x:v>DEC-000206</x:v>
      </x:c>
      <x:c r="B207" s="6" t="str">
        <x:v>Service Identity Review</x:v>
      </x:c>
      <x:c r="C207" s="6" t="str">
        <x:v>SIR-000206</x:v>
      </x:c>
      <x:c r="D207" s="6" t="str">
        <x:v>Service</x:v>
      </x:c>
      <x:c r="E207" s="6" t="str">
        <x:v>SVC000206</x:v>
      </x:c>
      <x:c r="F207" s="6" t="str">
        <x:v>Unresolved</x:v>
      </x:c>
      <x:c r="G207" s="6" t="str"/>
      <x:c r="H207" s="12" t="str"/>
      <x:c r="I207" s="6" t="str"/>
      <x:c r="J207" s="6" t="str"/>
      <x:c r="K207" s="6" t="str">
        <x:v>Pending</x:v>
      </x:c>
      <x:c r="L207" s="6" t="str"/>
      <x:c r="M207" s="6" t="str"/>
      <x:c r="N207" s="6" t="str">
        <x:v>Not Eligible</x:v>
      </x:c>
      <x:c r="O207" s="12" t="str">
        <x:v>Manual proposal capture only.</x:v>
      </x:c>
    </x:row>
    <x:row r="208">
      <x:c r="A208" s="6" t="str">
        <x:v>DEC-000207</x:v>
      </x:c>
      <x:c r="B208" s="6" t="str">
        <x:v>Service Identity Review</x:v>
      </x:c>
      <x:c r="C208" s="6" t="str">
        <x:v>SIR-000207</x:v>
      </x:c>
      <x:c r="D208" s="6" t="str">
        <x:v>Service</x:v>
      </x:c>
      <x:c r="E208" s="6" t="str">
        <x:v>SVC000207</x:v>
      </x:c>
      <x:c r="F208" s="6" t="str">
        <x:v>Unresolved</x:v>
      </x:c>
      <x:c r="G208" s="6" t="str"/>
      <x:c r="H208" s="12" t="str"/>
      <x:c r="I208" s="6" t="str"/>
      <x:c r="J208" s="6" t="str"/>
      <x:c r="K208" s="6" t="str">
        <x:v>Pending</x:v>
      </x:c>
      <x:c r="L208" s="6" t="str"/>
      <x:c r="M208" s="6" t="str"/>
      <x:c r="N208" s="6" t="str">
        <x:v>Not Eligible</x:v>
      </x:c>
      <x:c r="O208" s="12" t="str">
        <x:v>Manual proposal capture only.</x:v>
      </x:c>
    </x:row>
    <x:row r="209">
      <x:c r="A209" s="6" t="str">
        <x:v>DEC-000208</x:v>
      </x:c>
      <x:c r="B209" s="6" t="str">
        <x:v>Service Identity Review</x:v>
      </x:c>
      <x:c r="C209" s="6" t="str">
        <x:v>SIR-000208</x:v>
      </x:c>
      <x:c r="D209" s="6" t="str">
        <x:v>Service</x:v>
      </x:c>
      <x:c r="E209" s="6" t="str">
        <x:v>SVC000208</x:v>
      </x:c>
      <x:c r="F209" s="6" t="str">
        <x:v>Unresolved</x:v>
      </x:c>
      <x:c r="G209" s="6" t="str"/>
      <x:c r="H209" s="12" t="str"/>
      <x:c r="I209" s="6" t="str"/>
      <x:c r="J209" s="6" t="str"/>
      <x:c r="K209" s="6" t="str">
        <x:v>Pending</x:v>
      </x:c>
      <x:c r="L209" s="6" t="str"/>
      <x:c r="M209" s="6" t="str"/>
      <x:c r="N209" s="6" t="str">
        <x:v>Not Eligible</x:v>
      </x:c>
      <x:c r="O209" s="12" t="str">
        <x:v>Manual proposal capture only.</x:v>
      </x:c>
    </x:row>
    <x:row r="210">
      <x:c r="A210" s="6" t="str">
        <x:v>DEC-000209</x:v>
      </x:c>
      <x:c r="B210" s="6" t="str">
        <x:v>Service Identity Review</x:v>
      </x:c>
      <x:c r="C210" s="6" t="str">
        <x:v>SIR-000209</x:v>
      </x:c>
      <x:c r="D210" s="6" t="str">
        <x:v>Service</x:v>
      </x:c>
      <x:c r="E210" s="6" t="str">
        <x:v>SVC000209</x:v>
      </x:c>
      <x:c r="F210" s="6" t="str">
        <x:v>Unresolved</x:v>
      </x:c>
      <x:c r="G210" s="6" t="str"/>
      <x:c r="H210" s="12" t="str"/>
      <x:c r="I210" s="6" t="str"/>
      <x:c r="J210" s="6" t="str"/>
      <x:c r="K210" s="6" t="str">
        <x:v>Pending</x:v>
      </x:c>
      <x:c r="L210" s="6" t="str"/>
      <x:c r="M210" s="6" t="str"/>
      <x:c r="N210" s="6" t="str">
        <x:v>Not Eligible</x:v>
      </x:c>
      <x:c r="O210" s="12" t="str">
        <x:v>Manual proposal capture only.</x:v>
      </x:c>
    </x:row>
    <x:row r="211">
      <x:c r="A211" s="6" t="str">
        <x:v>DEC-000210</x:v>
      </x:c>
      <x:c r="B211" s="6" t="str">
        <x:v>Service Identity Review</x:v>
      </x:c>
      <x:c r="C211" s="6" t="str">
        <x:v>SIR-000210</x:v>
      </x:c>
      <x:c r="D211" s="6" t="str">
        <x:v>Service</x:v>
      </x:c>
      <x:c r="E211" s="6" t="str">
        <x:v>SVC000210</x:v>
      </x:c>
      <x:c r="F211" s="6" t="str">
        <x:v>Unresolved</x:v>
      </x:c>
      <x:c r="G211" s="6" t="str"/>
      <x:c r="H211" s="12" t="str"/>
      <x:c r="I211" s="6" t="str"/>
      <x:c r="J211" s="6" t="str"/>
      <x:c r="K211" s="6" t="str">
        <x:v>Pending</x:v>
      </x:c>
      <x:c r="L211" s="6" t="str"/>
      <x:c r="M211" s="6" t="str"/>
      <x:c r="N211" s="6" t="str">
        <x:v>Not Eligible</x:v>
      </x:c>
      <x:c r="O211" s="12" t="str">
        <x:v>Manual proposal capture only.</x:v>
      </x:c>
    </x:row>
    <x:row r="212">
      <x:c r="A212" s="6" t="str">
        <x:v>DEC-000211</x:v>
      </x:c>
      <x:c r="B212" s="6" t="str">
        <x:v>Service Identity Review</x:v>
      </x:c>
      <x:c r="C212" s="6" t="str">
        <x:v>SIR-000211</x:v>
      </x:c>
      <x:c r="D212" s="6" t="str">
        <x:v>Service</x:v>
      </x:c>
      <x:c r="E212" s="6" t="str">
        <x:v>SVC000211</x:v>
      </x:c>
      <x:c r="F212" s="6" t="str">
        <x:v>Unresolved</x:v>
      </x:c>
      <x:c r="G212" s="6" t="str"/>
      <x:c r="H212" s="12" t="str"/>
      <x:c r="I212" s="6" t="str"/>
      <x:c r="J212" s="6" t="str"/>
      <x:c r="K212" s="6" t="str">
        <x:v>Pending</x:v>
      </x:c>
      <x:c r="L212" s="6" t="str"/>
      <x:c r="M212" s="6" t="str"/>
      <x:c r="N212" s="6" t="str">
        <x:v>Not Eligible</x:v>
      </x:c>
      <x:c r="O212" s="12" t="str">
        <x:v>Manual proposal capture only.</x:v>
      </x:c>
    </x:row>
    <x:row r="213">
      <x:c r="A213" s="6" t="str">
        <x:v>DEC-000212</x:v>
      </x:c>
      <x:c r="B213" s="6" t="str">
        <x:v>Service Identity Review</x:v>
      </x:c>
      <x:c r="C213" s="6" t="str">
        <x:v>SIR-000212</x:v>
      </x:c>
      <x:c r="D213" s="6" t="str">
        <x:v>Service</x:v>
      </x:c>
      <x:c r="E213" s="6" t="str">
        <x:v>SVC000212</x:v>
      </x:c>
      <x:c r="F213" s="6" t="str">
        <x:v>Unresolved</x:v>
      </x:c>
      <x:c r="G213" s="6" t="str"/>
      <x:c r="H213" s="12" t="str"/>
      <x:c r="I213" s="6" t="str"/>
      <x:c r="J213" s="6" t="str"/>
      <x:c r="K213" s="6" t="str">
        <x:v>Pending</x:v>
      </x:c>
      <x:c r="L213" s="6" t="str"/>
      <x:c r="M213" s="6" t="str"/>
      <x:c r="N213" s="6" t="str">
        <x:v>Not Eligible</x:v>
      </x:c>
      <x:c r="O213" s="12" t="str">
        <x:v>Manual proposal capture only.</x:v>
      </x:c>
    </x:row>
    <x:row r="214">
      <x:c r="A214" s="6" t="str">
        <x:v>DEC-000213</x:v>
      </x:c>
      <x:c r="B214" s="6" t="str">
        <x:v>Service Identity Review</x:v>
      </x:c>
      <x:c r="C214" s="6" t="str">
        <x:v>SIR-000213</x:v>
      </x:c>
      <x:c r="D214" s="6" t="str">
        <x:v>Service</x:v>
      </x:c>
      <x:c r="E214" s="6" t="str">
        <x:v>SVC000213</x:v>
      </x:c>
      <x:c r="F214" s="6" t="str">
        <x:v>Unresolved</x:v>
      </x:c>
      <x:c r="G214" s="6" t="str"/>
      <x:c r="H214" s="12" t="str"/>
      <x:c r="I214" s="6" t="str"/>
      <x:c r="J214" s="6" t="str"/>
      <x:c r="K214" s="6" t="str">
        <x:v>Pending</x:v>
      </x:c>
      <x:c r="L214" s="6" t="str"/>
      <x:c r="M214" s="6" t="str"/>
      <x:c r="N214" s="6" t="str">
        <x:v>Not Eligible</x:v>
      </x:c>
      <x:c r="O214" s="12" t="str">
        <x:v>Manual proposal capture only.</x:v>
      </x:c>
    </x:row>
    <x:row r="215">
      <x:c r="A215" s="6" t="str">
        <x:v>DEC-000214</x:v>
      </x:c>
      <x:c r="B215" s="6" t="str">
        <x:v>Service Identity Review</x:v>
      </x:c>
      <x:c r="C215" s="6" t="str">
        <x:v>SIR-000214</x:v>
      </x:c>
      <x:c r="D215" s="6" t="str">
        <x:v>Service</x:v>
      </x:c>
      <x:c r="E215" s="6" t="str">
        <x:v>SVC000214</x:v>
      </x:c>
      <x:c r="F215" s="6" t="str">
        <x:v>Unresolved</x:v>
      </x:c>
      <x:c r="G215" s="6" t="str"/>
      <x:c r="H215" s="12" t="str"/>
      <x:c r="I215" s="6" t="str"/>
      <x:c r="J215" s="6" t="str"/>
      <x:c r="K215" s="6" t="str">
        <x:v>Pending</x:v>
      </x:c>
      <x:c r="L215" s="6" t="str"/>
      <x:c r="M215" s="6" t="str"/>
      <x:c r="N215" s="6" t="str">
        <x:v>Not Eligible</x:v>
      </x:c>
      <x:c r="O215" s="12" t="str">
        <x:v>Manual proposal capture only.</x:v>
      </x:c>
    </x:row>
    <x:row r="216">
      <x:c r="A216" s="6" t="str">
        <x:v>DEC-000215</x:v>
      </x:c>
      <x:c r="B216" s="6" t="str">
        <x:v>Service Identity Review</x:v>
      </x:c>
      <x:c r="C216" s="6" t="str">
        <x:v>SIR-000215</x:v>
      </x:c>
      <x:c r="D216" s="6" t="str">
        <x:v>Service</x:v>
      </x:c>
      <x:c r="E216" s="6" t="str">
        <x:v>SVC000215</x:v>
      </x:c>
      <x:c r="F216" s="6" t="str">
        <x:v>Unresolved</x:v>
      </x:c>
      <x:c r="G216" s="6" t="str"/>
      <x:c r="H216" s="12" t="str"/>
      <x:c r="I216" s="6" t="str"/>
      <x:c r="J216" s="6" t="str"/>
      <x:c r="K216" s="6" t="str">
        <x:v>Pending</x:v>
      </x:c>
      <x:c r="L216" s="6" t="str"/>
      <x:c r="M216" s="6" t="str"/>
      <x:c r="N216" s="6" t="str">
        <x:v>Not Eligible</x:v>
      </x:c>
      <x:c r="O216" s="12" t="str">
        <x:v>Manual proposal capture only.</x:v>
      </x:c>
    </x:row>
    <x:row r="217">
      <x:c r="A217" s="6" t="str">
        <x:v>DEC-000216</x:v>
      </x:c>
      <x:c r="B217" s="6" t="str">
        <x:v>Service Identity Review</x:v>
      </x:c>
      <x:c r="C217" s="6" t="str">
        <x:v>SIR-000216</x:v>
      </x:c>
      <x:c r="D217" s="6" t="str">
        <x:v>Service</x:v>
      </x:c>
      <x:c r="E217" s="6" t="str">
        <x:v>SVC000216</x:v>
      </x:c>
      <x:c r="F217" s="6" t="str">
        <x:v>Unresolved</x:v>
      </x:c>
      <x:c r="G217" s="6" t="str"/>
      <x:c r="H217" s="12" t="str"/>
      <x:c r="I217" s="6" t="str"/>
      <x:c r="J217" s="6" t="str"/>
      <x:c r="K217" s="6" t="str">
        <x:v>Pending</x:v>
      </x:c>
      <x:c r="L217" s="6" t="str"/>
      <x:c r="M217" s="6" t="str"/>
      <x:c r="N217" s="6" t="str">
        <x:v>Not Eligible</x:v>
      </x:c>
      <x:c r="O217" s="12" t="str">
        <x:v>Manual proposal capture only.</x:v>
      </x:c>
    </x:row>
    <x:row r="218">
      <x:c r="A218" s="6" t="str">
        <x:v>DEC-000217</x:v>
      </x:c>
      <x:c r="B218" s="6" t="str">
        <x:v>Service Identity Review</x:v>
      </x:c>
      <x:c r="C218" s="6" t="str">
        <x:v>SIR-000217</x:v>
      </x:c>
      <x:c r="D218" s="6" t="str">
        <x:v>Service</x:v>
      </x:c>
      <x:c r="E218" s="6" t="str">
        <x:v>SVC000217</x:v>
      </x:c>
      <x:c r="F218" s="6" t="str">
        <x:v>Unresolved</x:v>
      </x:c>
      <x:c r="G218" s="6" t="str"/>
      <x:c r="H218" s="12" t="str"/>
      <x:c r="I218" s="6" t="str"/>
      <x:c r="J218" s="6" t="str"/>
      <x:c r="K218" s="6" t="str">
        <x:v>Pending</x:v>
      </x:c>
      <x:c r="L218" s="6" t="str"/>
      <x:c r="M218" s="6" t="str"/>
      <x:c r="N218" s="6" t="str">
        <x:v>Not Eligible</x:v>
      </x:c>
      <x:c r="O218" s="12" t="str">
        <x:v>Manual proposal capture only.</x:v>
      </x:c>
    </x:row>
    <x:row r="219">
      <x:c r="A219" s="6" t="str">
        <x:v>DEC-000218</x:v>
      </x:c>
      <x:c r="B219" s="6" t="str">
        <x:v>Service Identity Review</x:v>
      </x:c>
      <x:c r="C219" s="6" t="str">
        <x:v>SIR-000218</x:v>
      </x:c>
      <x:c r="D219" s="6" t="str">
        <x:v>Service</x:v>
      </x:c>
      <x:c r="E219" s="6" t="str">
        <x:v>SVC000218</x:v>
      </x:c>
      <x:c r="F219" s="6" t="str">
        <x:v>Unresolved</x:v>
      </x:c>
      <x:c r="G219" s="6" t="str"/>
      <x:c r="H219" s="12" t="str"/>
      <x:c r="I219" s="6" t="str"/>
      <x:c r="J219" s="6" t="str"/>
      <x:c r="K219" s="6" t="str">
        <x:v>Pending</x:v>
      </x:c>
      <x:c r="L219" s="6" t="str"/>
      <x:c r="M219" s="6" t="str"/>
      <x:c r="N219" s="6" t="str">
        <x:v>Not Eligible</x:v>
      </x:c>
      <x:c r="O219" s="12" t="str">
        <x:v>Manual proposal capture only.</x:v>
      </x:c>
    </x:row>
    <x:row r="220">
      <x:c r="A220" s="6" t="str">
        <x:v>DEC-000219</x:v>
      </x:c>
      <x:c r="B220" s="6" t="str">
        <x:v>Service Identity Review</x:v>
      </x:c>
      <x:c r="C220" s="6" t="str">
        <x:v>SIR-000219</x:v>
      </x:c>
      <x:c r="D220" s="6" t="str">
        <x:v>Service</x:v>
      </x:c>
      <x:c r="E220" s="6" t="str">
        <x:v>SVC000219</x:v>
      </x:c>
      <x:c r="F220" s="6" t="str">
        <x:v>Unresolved</x:v>
      </x:c>
      <x:c r="G220" s="6" t="str"/>
      <x:c r="H220" s="12" t="str"/>
      <x:c r="I220" s="6" t="str"/>
      <x:c r="J220" s="6" t="str"/>
      <x:c r="K220" s="6" t="str">
        <x:v>Pending</x:v>
      </x:c>
      <x:c r="L220" s="6" t="str"/>
      <x:c r="M220" s="6" t="str"/>
      <x:c r="N220" s="6" t="str">
        <x:v>Not Eligible</x:v>
      </x:c>
      <x:c r="O220" s="12" t="str">
        <x:v>Manual proposal capture only.</x:v>
      </x:c>
    </x:row>
    <x:row r="221">
      <x:c r="A221" s="6" t="str">
        <x:v>DEC-000220</x:v>
      </x:c>
      <x:c r="B221" s="6" t="str">
        <x:v>Service Identity Review</x:v>
      </x:c>
      <x:c r="C221" s="6" t="str">
        <x:v>SIR-000220</x:v>
      </x:c>
      <x:c r="D221" s="6" t="str">
        <x:v>Service</x:v>
      </x:c>
      <x:c r="E221" s="6" t="str">
        <x:v>SVC000220</x:v>
      </x:c>
      <x:c r="F221" s="6" t="str">
        <x:v>Unresolved</x:v>
      </x:c>
      <x:c r="G221" s="6" t="str"/>
      <x:c r="H221" s="12" t="str"/>
      <x:c r="I221" s="6" t="str"/>
      <x:c r="J221" s="6" t="str"/>
      <x:c r="K221" s="6" t="str">
        <x:v>Pending</x:v>
      </x:c>
      <x:c r="L221" s="6" t="str"/>
      <x:c r="M221" s="6" t="str"/>
      <x:c r="N221" s="6" t="str">
        <x:v>Not Eligible</x:v>
      </x:c>
      <x:c r="O221" s="12" t="str">
        <x:v>Manual proposal capture only.</x:v>
      </x:c>
    </x:row>
    <x:row r="222">
      <x:c r="A222" s="6" t="str">
        <x:v>DEC-000221</x:v>
      </x:c>
      <x:c r="B222" s="6" t="str">
        <x:v>Service Identity Review</x:v>
      </x:c>
      <x:c r="C222" s="6" t="str">
        <x:v>SIR-000221</x:v>
      </x:c>
      <x:c r="D222" s="6" t="str">
        <x:v>Service</x:v>
      </x:c>
      <x:c r="E222" s="6" t="str">
        <x:v>SVC000221</x:v>
      </x:c>
      <x:c r="F222" s="6" t="str">
        <x:v>Unresolved</x:v>
      </x:c>
      <x:c r="G222" s="6" t="str"/>
      <x:c r="H222" s="12" t="str"/>
      <x:c r="I222" s="6" t="str"/>
      <x:c r="J222" s="6" t="str"/>
      <x:c r="K222" s="6" t="str">
        <x:v>Pending</x:v>
      </x:c>
      <x:c r="L222" s="6" t="str"/>
      <x:c r="M222" s="6" t="str"/>
      <x:c r="N222" s="6" t="str">
        <x:v>Not Eligible</x:v>
      </x:c>
      <x:c r="O222" s="12" t="str">
        <x:v>Manual proposal capture only.</x:v>
      </x:c>
    </x:row>
    <x:row r="223">
      <x:c r="A223" s="6" t="str">
        <x:v>DEC-000222</x:v>
      </x:c>
      <x:c r="B223" s="6" t="str">
        <x:v>Service Identity Review</x:v>
      </x:c>
      <x:c r="C223" s="6" t="str">
        <x:v>SIR-000222</x:v>
      </x:c>
      <x:c r="D223" s="6" t="str">
        <x:v>Service</x:v>
      </x:c>
      <x:c r="E223" s="6" t="str">
        <x:v>SVC000222</x:v>
      </x:c>
      <x:c r="F223" s="6" t="str">
        <x:v>Unresolved</x:v>
      </x:c>
      <x:c r="G223" s="6" t="str"/>
      <x:c r="H223" s="12" t="str"/>
      <x:c r="I223" s="6" t="str"/>
      <x:c r="J223" s="6" t="str"/>
      <x:c r="K223" s="6" t="str">
        <x:v>Pending</x:v>
      </x:c>
      <x:c r="L223" s="6" t="str"/>
      <x:c r="M223" s="6" t="str"/>
      <x:c r="N223" s="6" t="str">
        <x:v>Not Eligible</x:v>
      </x:c>
      <x:c r="O223" s="12" t="str">
        <x:v>Manual proposal capture only.</x:v>
      </x:c>
    </x:row>
    <x:row r="224">
      <x:c r="A224" s="6" t="str">
        <x:v>DEC-000223</x:v>
      </x:c>
      <x:c r="B224" s="6" t="str">
        <x:v>Service Identity Review</x:v>
      </x:c>
      <x:c r="C224" s="6" t="str">
        <x:v>SIR-000223</x:v>
      </x:c>
      <x:c r="D224" s="6" t="str">
        <x:v>Service</x:v>
      </x:c>
      <x:c r="E224" s="6" t="str">
        <x:v>SVC000223</x:v>
      </x:c>
      <x:c r="F224" s="6" t="str">
        <x:v>Unresolved</x:v>
      </x:c>
      <x:c r="G224" s="6" t="str"/>
      <x:c r="H224" s="12" t="str"/>
      <x:c r="I224" s="6" t="str"/>
      <x:c r="J224" s="6" t="str"/>
      <x:c r="K224" s="6" t="str">
        <x:v>Pending</x:v>
      </x:c>
      <x:c r="L224" s="6" t="str"/>
      <x:c r="M224" s="6" t="str"/>
      <x:c r="N224" s="6" t="str">
        <x:v>Not Eligible</x:v>
      </x:c>
      <x:c r="O224" s="12" t="str">
        <x:v>Manual proposal capture only.</x:v>
      </x:c>
    </x:row>
    <x:row r="225">
      <x:c r="A225" s="6" t="str">
        <x:v>DEC-000224</x:v>
      </x:c>
      <x:c r="B225" s="6" t="str">
        <x:v>Service Identity Review</x:v>
      </x:c>
      <x:c r="C225" s="6" t="str">
        <x:v>SIR-000224</x:v>
      </x:c>
      <x:c r="D225" s="6" t="str">
        <x:v>Service</x:v>
      </x:c>
      <x:c r="E225" s="6" t="str">
        <x:v>SVC000224</x:v>
      </x:c>
      <x:c r="F225" s="6" t="str">
        <x:v>Unresolved</x:v>
      </x:c>
      <x:c r="G225" s="6" t="str"/>
      <x:c r="H225" s="12" t="str"/>
      <x:c r="I225" s="6" t="str"/>
      <x:c r="J225" s="6" t="str"/>
      <x:c r="K225" s="6" t="str">
        <x:v>Pending</x:v>
      </x:c>
      <x:c r="L225" s="6" t="str"/>
      <x:c r="M225" s="6" t="str"/>
      <x:c r="N225" s="6" t="str">
        <x:v>Not Eligible</x:v>
      </x:c>
      <x:c r="O225" s="12" t="str">
        <x:v>Manual proposal capture only.</x:v>
      </x:c>
    </x:row>
    <x:row r="226">
      <x:c r="A226" s="6" t="str">
        <x:v>DEC-000225</x:v>
      </x:c>
      <x:c r="B226" s="6" t="str">
        <x:v>Service Identity Review</x:v>
      </x:c>
      <x:c r="C226" s="6" t="str">
        <x:v>SIR-000225</x:v>
      </x:c>
      <x:c r="D226" s="6" t="str">
        <x:v>Service</x:v>
      </x:c>
      <x:c r="E226" s="6" t="str">
        <x:v>SVC000225</x:v>
      </x:c>
      <x:c r="F226" s="6" t="str">
        <x:v>Unresolved</x:v>
      </x:c>
      <x:c r="G226" s="6" t="str"/>
      <x:c r="H226" s="12" t="str"/>
      <x:c r="I226" s="6" t="str"/>
      <x:c r="J226" s="6" t="str"/>
      <x:c r="K226" s="6" t="str">
        <x:v>Pending</x:v>
      </x:c>
      <x:c r="L226" s="6" t="str"/>
      <x:c r="M226" s="6" t="str"/>
      <x:c r="N226" s="6" t="str">
        <x:v>Not Eligible</x:v>
      </x:c>
      <x:c r="O226" s="12" t="str">
        <x:v>Manual proposal capture only.</x:v>
      </x:c>
    </x:row>
    <x:row r="227">
      <x:c r="A227" s="6" t="str">
        <x:v>DEC-000226</x:v>
      </x:c>
      <x:c r="B227" s="6" t="str">
        <x:v>Service Identity Review</x:v>
      </x:c>
      <x:c r="C227" s="6" t="str">
        <x:v>SIR-000226</x:v>
      </x:c>
      <x:c r="D227" s="6" t="str">
        <x:v>Service</x:v>
      </x:c>
      <x:c r="E227" s="6" t="str">
        <x:v>SVC000226</x:v>
      </x:c>
      <x:c r="F227" s="6" t="str">
        <x:v>Unresolved</x:v>
      </x:c>
      <x:c r="G227" s="6" t="str"/>
      <x:c r="H227" s="12" t="str"/>
      <x:c r="I227" s="6" t="str"/>
      <x:c r="J227" s="6" t="str"/>
      <x:c r="K227" s="6" t="str">
        <x:v>Pending</x:v>
      </x:c>
      <x:c r="L227" s="6" t="str"/>
      <x:c r="M227" s="6" t="str"/>
      <x:c r="N227" s="6" t="str">
        <x:v>Not Eligible</x:v>
      </x:c>
      <x:c r="O227" s="12" t="str">
        <x:v>Manual proposal capture only.</x:v>
      </x:c>
    </x:row>
    <x:row r="228">
      <x:c r="A228" s="6" t="str">
        <x:v>DEC-000227</x:v>
      </x:c>
      <x:c r="B228" s="6" t="str">
        <x:v>Service Identity Review</x:v>
      </x:c>
      <x:c r="C228" s="6" t="str">
        <x:v>SIR-000227</x:v>
      </x:c>
      <x:c r="D228" s="6" t="str">
        <x:v>Service</x:v>
      </x:c>
      <x:c r="E228" s="6" t="str">
        <x:v>SVC000227</x:v>
      </x:c>
      <x:c r="F228" s="6" t="str">
        <x:v>Unresolved</x:v>
      </x:c>
      <x:c r="G228" s="6" t="str"/>
      <x:c r="H228" s="12" t="str"/>
      <x:c r="I228" s="6" t="str"/>
      <x:c r="J228" s="6" t="str"/>
      <x:c r="K228" s="6" t="str">
        <x:v>Pending</x:v>
      </x:c>
      <x:c r="L228" s="6" t="str"/>
      <x:c r="M228" s="6" t="str"/>
      <x:c r="N228" s="6" t="str">
        <x:v>Not Eligible</x:v>
      </x:c>
      <x:c r="O228" s="12" t="str">
        <x:v>Manual proposal capture only.</x:v>
      </x:c>
    </x:row>
    <x:row r="229">
      <x:c r="A229" s="6" t="str">
        <x:v>DEC-000228</x:v>
      </x:c>
      <x:c r="B229" s="6" t="str">
        <x:v>Service Identity Review</x:v>
      </x:c>
      <x:c r="C229" s="6" t="str">
        <x:v>SIR-000228</x:v>
      </x:c>
      <x:c r="D229" s="6" t="str">
        <x:v>Service</x:v>
      </x:c>
      <x:c r="E229" s="6" t="str">
        <x:v>SVC000228</x:v>
      </x:c>
      <x:c r="F229" s="6" t="str">
        <x:v>Unresolved</x:v>
      </x:c>
      <x:c r="G229" s="6" t="str"/>
      <x:c r="H229" s="12" t="str"/>
      <x:c r="I229" s="6" t="str"/>
      <x:c r="J229" s="6" t="str"/>
      <x:c r="K229" s="6" t="str">
        <x:v>Pending</x:v>
      </x:c>
      <x:c r="L229" s="6" t="str"/>
      <x:c r="M229" s="6" t="str"/>
      <x:c r="N229" s="6" t="str">
        <x:v>Not Eligible</x:v>
      </x:c>
      <x:c r="O229" s="12" t="str">
        <x:v>Manual proposal capture only.</x:v>
      </x:c>
    </x:row>
    <x:row r="230">
      <x:c r="A230" s="6" t="str">
        <x:v>DEC-000229</x:v>
      </x:c>
      <x:c r="B230" s="6" t="str">
        <x:v>Service Identity Review</x:v>
      </x:c>
      <x:c r="C230" s="6" t="str">
        <x:v>SIR-000229</x:v>
      </x:c>
      <x:c r="D230" s="6" t="str">
        <x:v>Service</x:v>
      </x:c>
      <x:c r="E230" s="6" t="str">
        <x:v>SVC000229</x:v>
      </x:c>
      <x:c r="F230" s="6" t="str">
        <x:v>Unresolved</x:v>
      </x:c>
      <x:c r="G230" s="6" t="str"/>
      <x:c r="H230" s="12" t="str"/>
      <x:c r="I230" s="6" t="str"/>
      <x:c r="J230" s="6" t="str"/>
      <x:c r="K230" s="6" t="str">
        <x:v>Pending</x:v>
      </x:c>
      <x:c r="L230" s="6" t="str"/>
      <x:c r="M230" s="6" t="str"/>
      <x:c r="N230" s="6" t="str">
        <x:v>Not Eligible</x:v>
      </x:c>
      <x:c r="O230" s="12" t="str">
        <x:v>Manual proposal capture only.</x:v>
      </x:c>
    </x:row>
    <x:row r="231">
      <x:c r="A231" s="6" t="str">
        <x:v>DEC-000230</x:v>
      </x:c>
      <x:c r="B231" s="6" t="str">
        <x:v>Service Identity Review</x:v>
      </x:c>
      <x:c r="C231" s="6" t="str">
        <x:v>SIR-000230</x:v>
      </x:c>
      <x:c r="D231" s="6" t="str">
        <x:v>Service</x:v>
      </x:c>
      <x:c r="E231" s="6" t="str">
        <x:v>SVC000230</x:v>
      </x:c>
      <x:c r="F231" s="6" t="str">
        <x:v>Unresolved</x:v>
      </x:c>
      <x:c r="G231" s="6" t="str"/>
      <x:c r="H231" s="12" t="str"/>
      <x:c r="I231" s="6" t="str"/>
      <x:c r="J231" s="6" t="str"/>
      <x:c r="K231" s="6" t="str">
        <x:v>Pending</x:v>
      </x:c>
      <x:c r="L231" s="6" t="str"/>
      <x:c r="M231" s="6" t="str"/>
      <x:c r="N231" s="6" t="str">
        <x:v>Not Eligible</x:v>
      </x:c>
      <x:c r="O231" s="12" t="str">
        <x:v>Manual proposal capture only.</x:v>
      </x:c>
    </x:row>
    <x:row r="232">
      <x:c r="A232" s="6" t="str">
        <x:v>DEC-000231</x:v>
      </x:c>
      <x:c r="B232" s="6" t="str">
        <x:v>Service Identity Review</x:v>
      </x:c>
      <x:c r="C232" s="6" t="str">
        <x:v>SIR-000231</x:v>
      </x:c>
      <x:c r="D232" s="6" t="str">
        <x:v>Service</x:v>
      </x:c>
      <x:c r="E232" s="6" t="str">
        <x:v>SVC000231</x:v>
      </x:c>
      <x:c r="F232" s="6" t="str">
        <x:v>Unresolved</x:v>
      </x:c>
      <x:c r="G232" s="6" t="str"/>
      <x:c r="H232" s="12" t="str"/>
      <x:c r="I232" s="6" t="str"/>
      <x:c r="J232" s="6" t="str"/>
      <x:c r="K232" s="6" t="str">
        <x:v>Pending</x:v>
      </x:c>
      <x:c r="L232" s="6" t="str"/>
      <x:c r="M232" s="6" t="str"/>
      <x:c r="N232" s="6" t="str">
        <x:v>Not Eligible</x:v>
      </x:c>
      <x:c r="O232" s="12" t="str">
        <x:v>Manual proposal capture only.</x:v>
      </x:c>
    </x:row>
    <x:row r="233">
      <x:c r="A233" s="6" t="str">
        <x:v>DEC-000232</x:v>
      </x:c>
      <x:c r="B233" s="6" t="str">
        <x:v>Service Identity Review</x:v>
      </x:c>
      <x:c r="C233" s="6" t="str">
        <x:v>SIR-000232</x:v>
      </x:c>
      <x:c r="D233" s="6" t="str">
        <x:v>Service</x:v>
      </x:c>
      <x:c r="E233" s="6" t="str">
        <x:v>SVC000232</x:v>
      </x:c>
      <x:c r="F233" s="6" t="str">
        <x:v>Unresolved</x:v>
      </x:c>
      <x:c r="G233" s="6" t="str"/>
      <x:c r="H233" s="12" t="str"/>
      <x:c r="I233" s="6" t="str"/>
      <x:c r="J233" s="6" t="str"/>
      <x:c r="K233" s="6" t="str">
        <x:v>Pending</x:v>
      </x:c>
      <x:c r="L233" s="6" t="str"/>
      <x:c r="M233" s="6" t="str"/>
      <x:c r="N233" s="6" t="str">
        <x:v>Not Eligible</x:v>
      </x:c>
      <x:c r="O233" s="12" t="str">
        <x:v>Manual proposal capture only.</x:v>
      </x:c>
    </x:row>
    <x:row r="234">
      <x:c r="A234" s="6" t="str">
        <x:v>DEC-000233</x:v>
      </x:c>
      <x:c r="B234" s="6" t="str">
        <x:v>Service Identity Review</x:v>
      </x:c>
      <x:c r="C234" s="6" t="str">
        <x:v>SIR-000233</x:v>
      </x:c>
      <x:c r="D234" s="6" t="str">
        <x:v>Service</x:v>
      </x:c>
      <x:c r="E234" s="6" t="str">
        <x:v>SVC000233</x:v>
      </x:c>
      <x:c r="F234" s="6" t="str">
        <x:v>Unresolved</x:v>
      </x:c>
      <x:c r="G234" s="6" t="str"/>
      <x:c r="H234" s="12" t="str"/>
      <x:c r="I234" s="6" t="str"/>
      <x:c r="J234" s="6" t="str"/>
      <x:c r="K234" s="6" t="str">
        <x:v>Pending</x:v>
      </x:c>
      <x:c r="L234" s="6" t="str"/>
      <x:c r="M234" s="6" t="str"/>
      <x:c r="N234" s="6" t="str">
        <x:v>Not Eligible</x:v>
      </x:c>
      <x:c r="O234" s="12" t="str">
        <x:v>Manual proposal capture only.</x:v>
      </x:c>
    </x:row>
    <x:row r="235">
      <x:c r="A235" s="6" t="str">
        <x:v>DEC-000234</x:v>
      </x:c>
      <x:c r="B235" s="6" t="str">
        <x:v>Service Identity Review</x:v>
      </x:c>
      <x:c r="C235" s="6" t="str">
        <x:v>SIR-000234</x:v>
      </x:c>
      <x:c r="D235" s="6" t="str">
        <x:v>Service</x:v>
      </x:c>
      <x:c r="E235" s="6" t="str">
        <x:v>SVC000234</x:v>
      </x:c>
      <x:c r="F235" s="6" t="str">
        <x:v>Unresolved</x:v>
      </x:c>
      <x:c r="G235" s="6" t="str"/>
      <x:c r="H235" s="12" t="str"/>
      <x:c r="I235" s="6" t="str"/>
      <x:c r="J235" s="6" t="str"/>
      <x:c r="K235" s="6" t="str">
        <x:v>Pending</x:v>
      </x:c>
      <x:c r="L235" s="6" t="str"/>
      <x:c r="M235" s="6" t="str"/>
      <x:c r="N235" s="6" t="str">
        <x:v>Not Eligible</x:v>
      </x:c>
      <x:c r="O235" s="12" t="str">
        <x:v>Manual proposal capture only.</x:v>
      </x:c>
    </x:row>
    <x:row r="236">
      <x:c r="A236" s="6" t="str">
        <x:v>DEC-000235</x:v>
      </x:c>
      <x:c r="B236" s="6" t="str">
        <x:v>Service Identity Review</x:v>
      </x:c>
      <x:c r="C236" s="6" t="str">
        <x:v>SIR-000235</x:v>
      </x:c>
      <x:c r="D236" s="6" t="str">
        <x:v>Service</x:v>
      </x:c>
      <x:c r="E236" s="6" t="str">
        <x:v>SVC000235</x:v>
      </x:c>
      <x:c r="F236" s="6" t="str">
        <x:v>Unresolved</x:v>
      </x:c>
      <x:c r="G236" s="6" t="str"/>
      <x:c r="H236" s="12" t="str"/>
      <x:c r="I236" s="6" t="str"/>
      <x:c r="J236" s="6" t="str"/>
      <x:c r="K236" s="6" t="str">
        <x:v>Pending</x:v>
      </x:c>
      <x:c r="L236" s="6" t="str"/>
      <x:c r="M236" s="6" t="str"/>
      <x:c r="N236" s="6" t="str">
        <x:v>Not Eligible</x:v>
      </x:c>
      <x:c r="O236" s="12" t="str">
        <x:v>Manual proposal capture only.</x:v>
      </x:c>
    </x:row>
    <x:row r="237">
      <x:c r="A237" s="6" t="str">
        <x:v>DEC-000236</x:v>
      </x:c>
      <x:c r="B237" s="6" t="str">
        <x:v>Service Identity Review</x:v>
      </x:c>
      <x:c r="C237" s="6" t="str">
        <x:v>SIR-000236</x:v>
      </x:c>
      <x:c r="D237" s="6" t="str">
        <x:v>Service</x:v>
      </x:c>
      <x:c r="E237" s="6" t="str">
        <x:v>SVC000236</x:v>
      </x:c>
      <x:c r="F237" s="6" t="str">
        <x:v>Unresolved</x:v>
      </x:c>
      <x:c r="G237" s="6" t="str"/>
      <x:c r="H237" s="12" t="str"/>
      <x:c r="I237" s="6" t="str"/>
      <x:c r="J237" s="6" t="str"/>
      <x:c r="K237" s="6" t="str">
        <x:v>Pending</x:v>
      </x:c>
      <x:c r="L237" s="6" t="str"/>
      <x:c r="M237" s="6" t="str"/>
      <x:c r="N237" s="6" t="str">
        <x:v>Not Eligible</x:v>
      </x:c>
      <x:c r="O237" s="12" t="str">
        <x:v>Manual proposal capture only.</x:v>
      </x:c>
    </x:row>
    <x:row r="238">
      <x:c r="A238" s="6" t="str">
        <x:v>DEC-000237</x:v>
      </x:c>
      <x:c r="B238" s="6" t="str">
        <x:v>Service Identity Review</x:v>
      </x:c>
      <x:c r="C238" s="6" t="str">
        <x:v>SIR-000237</x:v>
      </x:c>
      <x:c r="D238" s="6" t="str">
        <x:v>Service</x:v>
      </x:c>
      <x:c r="E238" s="6" t="str">
        <x:v>SVC000237</x:v>
      </x:c>
      <x:c r="F238" s="6" t="str">
        <x:v>Unresolved</x:v>
      </x:c>
      <x:c r="G238" s="6" t="str"/>
      <x:c r="H238" s="12" t="str"/>
      <x:c r="I238" s="6" t="str"/>
      <x:c r="J238" s="6" t="str"/>
      <x:c r="K238" s="6" t="str">
        <x:v>Pending</x:v>
      </x:c>
      <x:c r="L238" s="6" t="str"/>
      <x:c r="M238" s="6" t="str"/>
      <x:c r="N238" s="6" t="str">
        <x:v>Not Eligible</x:v>
      </x:c>
      <x:c r="O238" s="12" t="str">
        <x:v>Manual proposal capture only.</x:v>
      </x:c>
    </x:row>
    <x:row r="239">
      <x:c r="A239" s="6" t="str">
        <x:v>DEC-000238</x:v>
      </x:c>
      <x:c r="B239" s="6" t="str">
        <x:v>Service Identity Review</x:v>
      </x:c>
      <x:c r="C239" s="6" t="str">
        <x:v>SIR-000238</x:v>
      </x:c>
      <x:c r="D239" s="6" t="str">
        <x:v>Service</x:v>
      </x:c>
      <x:c r="E239" s="6" t="str">
        <x:v>SVC000238</x:v>
      </x:c>
      <x:c r="F239" s="6" t="str">
        <x:v>Unresolved</x:v>
      </x:c>
      <x:c r="G239" s="6" t="str"/>
      <x:c r="H239" s="12" t="str"/>
      <x:c r="I239" s="6" t="str"/>
      <x:c r="J239" s="6" t="str"/>
      <x:c r="K239" s="6" t="str">
        <x:v>Pending</x:v>
      </x:c>
      <x:c r="L239" s="6" t="str"/>
      <x:c r="M239" s="6" t="str"/>
      <x:c r="N239" s="6" t="str">
        <x:v>Not Eligible</x:v>
      </x:c>
      <x:c r="O239" s="12" t="str">
        <x:v>Manual proposal capture only.</x:v>
      </x:c>
    </x:row>
    <x:row r="240">
      <x:c r="A240" s="6" t="str">
        <x:v>DEC-000239</x:v>
      </x:c>
      <x:c r="B240" s="6" t="str">
        <x:v>Service Identity Review</x:v>
      </x:c>
      <x:c r="C240" s="6" t="str">
        <x:v>SIR-000239</x:v>
      </x:c>
      <x:c r="D240" s="6" t="str">
        <x:v>Service</x:v>
      </x:c>
      <x:c r="E240" s="6" t="str">
        <x:v>SVC000239</x:v>
      </x:c>
      <x:c r="F240" s="6" t="str">
        <x:v>Unresolved</x:v>
      </x:c>
      <x:c r="G240" s="6" t="str"/>
      <x:c r="H240" s="12" t="str"/>
      <x:c r="I240" s="6" t="str"/>
      <x:c r="J240" s="6" t="str"/>
      <x:c r="K240" s="6" t="str">
        <x:v>Pending</x:v>
      </x:c>
      <x:c r="L240" s="6" t="str"/>
      <x:c r="M240" s="6" t="str"/>
      <x:c r="N240" s="6" t="str">
        <x:v>Not Eligible</x:v>
      </x:c>
      <x:c r="O240" s="12" t="str">
        <x:v>Manual proposal capture only.</x:v>
      </x:c>
    </x:row>
    <x:row r="241">
      <x:c r="A241" s="6" t="str">
        <x:v>DEC-000240</x:v>
      </x:c>
      <x:c r="B241" s="6" t="str">
        <x:v>Service Identity Review</x:v>
      </x:c>
      <x:c r="C241" s="6" t="str">
        <x:v>SIR-000240</x:v>
      </x:c>
      <x:c r="D241" s="6" t="str">
        <x:v>Service</x:v>
      </x:c>
      <x:c r="E241" s="6" t="str">
        <x:v>SVC000240</x:v>
      </x:c>
      <x:c r="F241" s="6" t="str">
        <x:v>Unresolved</x:v>
      </x:c>
      <x:c r="G241" s="6" t="str"/>
      <x:c r="H241" s="12" t="str"/>
      <x:c r="I241" s="6" t="str"/>
      <x:c r="J241" s="6" t="str"/>
      <x:c r="K241" s="6" t="str">
        <x:v>Pending</x:v>
      </x:c>
      <x:c r="L241" s="6" t="str"/>
      <x:c r="M241" s="6" t="str"/>
      <x:c r="N241" s="6" t="str">
        <x:v>Not Eligible</x:v>
      </x:c>
      <x:c r="O241" s="12" t="str">
        <x:v>Manual proposal capture only.</x:v>
      </x:c>
    </x:row>
    <x:row r="242">
      <x:c r="A242" s="6" t="str">
        <x:v>DEC-000241</x:v>
      </x:c>
      <x:c r="B242" s="6" t="str">
        <x:v>Service Identity Review</x:v>
      </x:c>
      <x:c r="C242" s="6" t="str">
        <x:v>SIR-000241</x:v>
      </x:c>
      <x:c r="D242" s="6" t="str">
        <x:v>Service</x:v>
      </x:c>
      <x:c r="E242" s="6" t="str">
        <x:v>SVC000241</x:v>
      </x:c>
      <x:c r="F242" s="6" t="str">
        <x:v>Unresolved</x:v>
      </x:c>
      <x:c r="G242" s="6" t="str"/>
      <x:c r="H242" s="12" t="str"/>
      <x:c r="I242" s="6" t="str"/>
      <x:c r="J242" s="6" t="str"/>
      <x:c r="K242" s="6" t="str">
        <x:v>Pending</x:v>
      </x:c>
      <x:c r="L242" s="6" t="str"/>
      <x:c r="M242" s="6" t="str"/>
      <x:c r="N242" s="6" t="str">
        <x:v>Not Eligible</x:v>
      </x:c>
      <x:c r="O242" s="12" t="str">
        <x:v>Manual proposal capture only.</x:v>
      </x:c>
    </x:row>
    <x:row r="243">
      <x:c r="A243" s="6" t="str">
        <x:v>DEC-000242</x:v>
      </x:c>
      <x:c r="B243" s="6" t="str">
        <x:v>Service Identity Review</x:v>
      </x:c>
      <x:c r="C243" s="6" t="str">
        <x:v>SIR-000242</x:v>
      </x:c>
      <x:c r="D243" s="6" t="str">
        <x:v>Service</x:v>
      </x:c>
      <x:c r="E243" s="6" t="str">
        <x:v>SVC000242</x:v>
      </x:c>
      <x:c r="F243" s="6" t="str">
        <x:v>Unresolved</x:v>
      </x:c>
      <x:c r="G243" s="6" t="str"/>
      <x:c r="H243" s="12" t="str"/>
      <x:c r="I243" s="6" t="str"/>
      <x:c r="J243" s="6" t="str"/>
      <x:c r="K243" s="6" t="str">
        <x:v>Pending</x:v>
      </x:c>
      <x:c r="L243" s="6" t="str"/>
      <x:c r="M243" s="6" t="str"/>
      <x:c r="N243" s="6" t="str">
        <x:v>Not Eligible</x:v>
      </x:c>
      <x:c r="O243" s="12" t="str">
        <x:v>Manual proposal capture only.</x:v>
      </x:c>
    </x:row>
    <x:row r="244">
      <x:c r="A244" s="6" t="str">
        <x:v>DEC-000243</x:v>
      </x:c>
      <x:c r="B244" s="6" t="str">
        <x:v>Service Identity Review</x:v>
      </x:c>
      <x:c r="C244" s="6" t="str">
        <x:v>SIR-000243</x:v>
      </x:c>
      <x:c r="D244" s="6" t="str">
        <x:v>Service</x:v>
      </x:c>
      <x:c r="E244" s="6" t="str">
        <x:v>SVC000243</x:v>
      </x:c>
      <x:c r="F244" s="6" t="str">
        <x:v>Unresolved</x:v>
      </x:c>
      <x:c r="G244" s="6" t="str"/>
      <x:c r="H244" s="12" t="str"/>
      <x:c r="I244" s="6" t="str"/>
      <x:c r="J244" s="6" t="str"/>
      <x:c r="K244" s="6" t="str">
        <x:v>Pending</x:v>
      </x:c>
      <x:c r="L244" s="6" t="str"/>
      <x:c r="M244" s="6" t="str"/>
      <x:c r="N244" s="6" t="str">
        <x:v>Not Eligible</x:v>
      </x:c>
      <x:c r="O244" s="12" t="str">
        <x:v>Manual proposal capture only.</x:v>
      </x:c>
    </x:row>
    <x:row r="245">
      <x:c r="A245" s="6" t="str">
        <x:v>DEC-000244</x:v>
      </x:c>
      <x:c r="B245" s="6" t="str">
        <x:v>Service Identity Review</x:v>
      </x:c>
      <x:c r="C245" s="6" t="str">
        <x:v>SIR-000244</x:v>
      </x:c>
      <x:c r="D245" s="6" t="str">
        <x:v>Service</x:v>
      </x:c>
      <x:c r="E245" s="6" t="str">
        <x:v>SVC000244</x:v>
      </x:c>
      <x:c r="F245" s="6" t="str">
        <x:v>Unresolved</x:v>
      </x:c>
      <x:c r="G245" s="6" t="str"/>
      <x:c r="H245" s="12" t="str"/>
      <x:c r="I245" s="6" t="str"/>
      <x:c r="J245" s="6" t="str"/>
      <x:c r="K245" s="6" t="str">
        <x:v>Pending</x:v>
      </x:c>
      <x:c r="L245" s="6" t="str"/>
      <x:c r="M245" s="6" t="str"/>
      <x:c r="N245" s="6" t="str">
        <x:v>Not Eligible</x:v>
      </x:c>
      <x:c r="O245" s="12" t="str">
        <x:v>Manual proposal capture only.</x:v>
      </x:c>
    </x:row>
    <x:row r="246">
      <x:c r="A246" s="6" t="str">
        <x:v>DEC-000245</x:v>
      </x:c>
      <x:c r="B246" s="6" t="str">
        <x:v>Service Identity Review</x:v>
      </x:c>
      <x:c r="C246" s="6" t="str">
        <x:v>SIR-000245</x:v>
      </x:c>
      <x:c r="D246" s="6" t="str">
        <x:v>Service</x:v>
      </x:c>
      <x:c r="E246" s="6" t="str">
        <x:v>SVC000245</x:v>
      </x:c>
      <x:c r="F246" s="6" t="str">
        <x:v>Unresolved</x:v>
      </x:c>
      <x:c r="G246" s="6" t="str"/>
      <x:c r="H246" s="12" t="str"/>
      <x:c r="I246" s="6" t="str"/>
      <x:c r="J246" s="6" t="str"/>
      <x:c r="K246" s="6" t="str">
        <x:v>Pending</x:v>
      </x:c>
      <x:c r="L246" s="6" t="str"/>
      <x:c r="M246" s="6" t="str"/>
      <x:c r="N246" s="6" t="str">
        <x:v>Not Eligible</x:v>
      </x:c>
      <x:c r="O246" s="12" t="str">
        <x:v>Manual proposal capture only.</x:v>
      </x:c>
    </x:row>
    <x:row r="247">
      <x:c r="A247" s="6" t="str">
        <x:v>DEC-000246</x:v>
      </x:c>
      <x:c r="B247" s="6" t="str">
        <x:v>Service Identity Review</x:v>
      </x:c>
      <x:c r="C247" s="6" t="str">
        <x:v>SIR-000246</x:v>
      </x:c>
      <x:c r="D247" s="6" t="str">
        <x:v>Service</x:v>
      </x:c>
      <x:c r="E247" s="6" t="str">
        <x:v>SVC000246</x:v>
      </x:c>
      <x:c r="F247" s="6" t="str">
        <x:v>Unresolved</x:v>
      </x:c>
      <x:c r="G247" s="6" t="str"/>
      <x:c r="H247" s="12" t="str"/>
      <x:c r="I247" s="6" t="str"/>
      <x:c r="J247" s="6" t="str"/>
      <x:c r="K247" s="6" t="str">
        <x:v>Pending</x:v>
      </x:c>
      <x:c r="L247" s="6" t="str"/>
      <x:c r="M247" s="6" t="str"/>
      <x:c r="N247" s="6" t="str">
        <x:v>Not Eligible</x:v>
      </x:c>
      <x:c r="O247" s="12" t="str">
        <x:v>Manual proposal capture only.</x:v>
      </x:c>
    </x:row>
    <x:row r="248">
      <x:c r="A248" s="6" t="str">
        <x:v>DEC-000247</x:v>
      </x:c>
      <x:c r="B248" s="6" t="str">
        <x:v>Service Identity Review</x:v>
      </x:c>
      <x:c r="C248" s="6" t="str">
        <x:v>SIR-000247</x:v>
      </x:c>
      <x:c r="D248" s="6" t="str">
        <x:v>Service</x:v>
      </x:c>
      <x:c r="E248" s="6" t="str">
        <x:v>SVC000247</x:v>
      </x:c>
      <x:c r="F248" s="6" t="str">
        <x:v>Unresolved</x:v>
      </x:c>
      <x:c r="G248" s="6" t="str"/>
      <x:c r="H248" s="12" t="str"/>
      <x:c r="I248" s="6" t="str"/>
      <x:c r="J248" s="6" t="str"/>
      <x:c r="K248" s="6" t="str">
        <x:v>Pending</x:v>
      </x:c>
      <x:c r="L248" s="6" t="str"/>
      <x:c r="M248" s="6" t="str"/>
      <x:c r="N248" s="6" t="str">
        <x:v>Not Eligible</x:v>
      </x:c>
      <x:c r="O248" s="12" t="str">
        <x:v>Manual proposal capture only.</x:v>
      </x:c>
    </x:row>
    <x:row r="249">
      <x:c r="A249" s="6" t="str">
        <x:v>DEC-000248</x:v>
      </x:c>
      <x:c r="B249" s="6" t="str">
        <x:v>Service Identity Review</x:v>
      </x:c>
      <x:c r="C249" s="6" t="str">
        <x:v>SIR-000248</x:v>
      </x:c>
      <x:c r="D249" s="6" t="str">
        <x:v>Service</x:v>
      </x:c>
      <x:c r="E249" s="6" t="str">
        <x:v>SVC000248</x:v>
      </x:c>
      <x:c r="F249" s="6" t="str">
        <x:v>Unresolved</x:v>
      </x:c>
      <x:c r="G249" s="6" t="str"/>
      <x:c r="H249" s="12" t="str"/>
      <x:c r="I249" s="6" t="str"/>
      <x:c r="J249" s="6" t="str"/>
      <x:c r="K249" s="6" t="str">
        <x:v>Pending</x:v>
      </x:c>
      <x:c r="L249" s="6" t="str"/>
      <x:c r="M249" s="6" t="str"/>
      <x:c r="N249" s="6" t="str">
        <x:v>Not Eligible</x:v>
      </x:c>
      <x:c r="O249" s="12" t="str">
        <x:v>Manual proposal capture only.</x:v>
      </x:c>
    </x:row>
    <x:row r="250">
      <x:c r="A250" s="6" t="str">
        <x:v>DEC-000249</x:v>
      </x:c>
      <x:c r="B250" s="6" t="str">
        <x:v>Service Identity Review</x:v>
      </x:c>
      <x:c r="C250" s="6" t="str">
        <x:v>SIR-000249</x:v>
      </x:c>
      <x:c r="D250" s="6" t="str">
        <x:v>Service</x:v>
      </x:c>
      <x:c r="E250" s="6" t="str">
        <x:v>SVC000249</x:v>
      </x:c>
      <x:c r="F250" s="6" t="str">
        <x:v>Unresolved</x:v>
      </x:c>
      <x:c r="G250" s="6" t="str"/>
      <x:c r="H250" s="12" t="str"/>
      <x:c r="I250" s="6" t="str"/>
      <x:c r="J250" s="6" t="str"/>
      <x:c r="K250" s="6" t="str">
        <x:v>Pending</x:v>
      </x:c>
      <x:c r="L250" s="6" t="str"/>
      <x:c r="M250" s="6" t="str"/>
      <x:c r="N250" s="6" t="str">
        <x:v>Not Eligible</x:v>
      </x:c>
      <x:c r="O250" s="12" t="str">
        <x:v>Manual proposal capture only.</x:v>
      </x:c>
    </x:row>
    <x:row r="251">
      <x:c r="A251" s="6" t="str">
        <x:v>DEC-000250</x:v>
      </x:c>
      <x:c r="B251" s="6" t="str">
        <x:v>Service Identity Review</x:v>
      </x:c>
      <x:c r="C251" s="6" t="str">
        <x:v>SIR-000250</x:v>
      </x:c>
      <x:c r="D251" s="6" t="str">
        <x:v>Service</x:v>
      </x:c>
      <x:c r="E251" s="6" t="str">
        <x:v>SVC000250</x:v>
      </x:c>
      <x:c r="F251" s="6" t="str">
        <x:v>Unresolved</x:v>
      </x:c>
      <x:c r="G251" s="6" t="str"/>
      <x:c r="H251" s="12" t="str"/>
      <x:c r="I251" s="6" t="str"/>
      <x:c r="J251" s="6" t="str"/>
      <x:c r="K251" s="6" t="str">
        <x:v>Pending</x:v>
      </x:c>
      <x:c r="L251" s="6" t="str"/>
      <x:c r="M251" s="6" t="str"/>
      <x:c r="N251" s="6" t="str">
        <x:v>Not Eligible</x:v>
      </x:c>
      <x:c r="O251" s="12" t="str">
        <x:v>Manual proposal capture only.</x:v>
      </x:c>
    </x:row>
    <x:row r="252">
      <x:c r="A252" s="6" t="str">
        <x:v>DEC-000251</x:v>
      </x:c>
      <x:c r="B252" s="6" t="str">
        <x:v>Service Identity Review</x:v>
      </x:c>
      <x:c r="C252" s="6" t="str">
        <x:v>SIR-000251</x:v>
      </x:c>
      <x:c r="D252" s="6" t="str">
        <x:v>Service</x:v>
      </x:c>
      <x:c r="E252" s="6" t="str">
        <x:v>SVC000251</x:v>
      </x:c>
      <x:c r="F252" s="6" t="str">
        <x:v>Unresolved</x:v>
      </x:c>
      <x:c r="G252" s="6" t="str"/>
      <x:c r="H252" s="12" t="str"/>
      <x:c r="I252" s="6" t="str"/>
      <x:c r="J252" s="6" t="str"/>
      <x:c r="K252" s="6" t="str">
        <x:v>Pending</x:v>
      </x:c>
      <x:c r="L252" s="6" t="str"/>
      <x:c r="M252" s="6" t="str"/>
      <x:c r="N252" s="6" t="str">
        <x:v>Not Eligible</x:v>
      </x:c>
      <x:c r="O252" s="12" t="str">
        <x:v>Manual proposal capture only.</x:v>
      </x:c>
    </x:row>
    <x:row r="253">
      <x:c r="A253" s="6" t="str">
        <x:v>DEC-000252</x:v>
      </x:c>
      <x:c r="B253" s="6" t="str">
        <x:v>Service Identity Review</x:v>
      </x:c>
      <x:c r="C253" s="6" t="str">
        <x:v>SIR-000252</x:v>
      </x:c>
      <x:c r="D253" s="6" t="str">
        <x:v>Service</x:v>
      </x:c>
      <x:c r="E253" s="6" t="str">
        <x:v>SVC000252</x:v>
      </x:c>
      <x:c r="F253" s="6" t="str">
        <x:v>Unresolved</x:v>
      </x:c>
      <x:c r="G253" s="6" t="str"/>
      <x:c r="H253" s="12" t="str"/>
      <x:c r="I253" s="6" t="str"/>
      <x:c r="J253" s="6" t="str"/>
      <x:c r="K253" s="6" t="str">
        <x:v>Pending</x:v>
      </x:c>
      <x:c r="L253" s="6" t="str"/>
      <x:c r="M253" s="6" t="str"/>
      <x:c r="N253" s="6" t="str">
        <x:v>Not Eligible</x:v>
      </x:c>
      <x:c r="O253" s="12" t="str">
        <x:v>Manual proposal capture only.</x:v>
      </x:c>
    </x:row>
    <x:row r="254">
      <x:c r="A254" s="6" t="str">
        <x:v>DEC-000253</x:v>
      </x:c>
      <x:c r="B254" s="6" t="str">
        <x:v>Service Identity Review</x:v>
      </x:c>
      <x:c r="C254" s="6" t="str">
        <x:v>SIR-000253</x:v>
      </x:c>
      <x:c r="D254" s="6" t="str">
        <x:v>Service</x:v>
      </x:c>
      <x:c r="E254" s="6" t="str">
        <x:v>SVC000253</x:v>
      </x:c>
      <x:c r="F254" s="6" t="str">
        <x:v>Unresolved</x:v>
      </x:c>
      <x:c r="G254" s="6" t="str"/>
      <x:c r="H254" s="12" t="str"/>
      <x:c r="I254" s="6" t="str"/>
      <x:c r="J254" s="6" t="str"/>
      <x:c r="K254" s="6" t="str">
        <x:v>Pending</x:v>
      </x:c>
      <x:c r="L254" s="6" t="str"/>
      <x:c r="M254" s="6" t="str"/>
      <x:c r="N254" s="6" t="str">
        <x:v>Not Eligible</x:v>
      </x:c>
      <x:c r="O254" s="12" t="str">
        <x:v>Manual proposal capture only.</x:v>
      </x:c>
    </x:row>
    <x:row r="255">
      <x:c r="A255" s="6" t="str">
        <x:v>DEC-000254</x:v>
      </x:c>
      <x:c r="B255" s="6" t="str">
        <x:v>Service Identity Review</x:v>
      </x:c>
      <x:c r="C255" s="6" t="str">
        <x:v>SIR-000254</x:v>
      </x:c>
      <x:c r="D255" s="6" t="str">
        <x:v>Service</x:v>
      </x:c>
      <x:c r="E255" s="6" t="str">
        <x:v>SVC000254</x:v>
      </x:c>
      <x:c r="F255" s="6" t="str">
        <x:v>Unresolved</x:v>
      </x:c>
      <x:c r="G255" s="6" t="str"/>
      <x:c r="H255" s="12" t="str"/>
      <x:c r="I255" s="6" t="str"/>
      <x:c r="J255" s="6" t="str"/>
      <x:c r="K255" s="6" t="str">
        <x:v>Pending</x:v>
      </x:c>
      <x:c r="L255" s="6" t="str"/>
      <x:c r="M255" s="6" t="str"/>
      <x:c r="N255" s="6" t="str">
        <x:v>Not Eligible</x:v>
      </x:c>
      <x:c r="O255" s="12" t="str">
        <x:v>Manual proposal capture only.</x:v>
      </x:c>
    </x:row>
    <x:row r="256">
      <x:c r="A256" s="6" t="str">
        <x:v>DEC-000255</x:v>
      </x:c>
      <x:c r="B256" s="6" t="str">
        <x:v>Service Identity Review</x:v>
      </x:c>
      <x:c r="C256" s="6" t="str">
        <x:v>SIR-000255</x:v>
      </x:c>
      <x:c r="D256" s="6" t="str">
        <x:v>Service</x:v>
      </x:c>
      <x:c r="E256" s="6" t="str">
        <x:v>SVC000255</x:v>
      </x:c>
      <x:c r="F256" s="6" t="str">
        <x:v>Unresolved</x:v>
      </x:c>
      <x:c r="G256" s="6" t="str"/>
      <x:c r="H256" s="12" t="str"/>
      <x:c r="I256" s="6" t="str"/>
      <x:c r="J256" s="6" t="str"/>
      <x:c r="K256" s="6" t="str">
        <x:v>Pending</x:v>
      </x:c>
      <x:c r="L256" s="6" t="str"/>
      <x:c r="M256" s="6" t="str"/>
      <x:c r="N256" s="6" t="str">
        <x:v>Not Eligible</x:v>
      </x:c>
      <x:c r="O256" s="12" t="str">
        <x:v>Manual proposal capture only.</x:v>
      </x:c>
    </x:row>
    <x:row r="257">
      <x:c r="A257" s="6" t="str">
        <x:v>DEC-000256</x:v>
      </x:c>
      <x:c r="B257" s="6" t="str">
        <x:v>Service Identity Review</x:v>
      </x:c>
      <x:c r="C257" s="6" t="str">
        <x:v>SIR-000256</x:v>
      </x:c>
      <x:c r="D257" s="6" t="str">
        <x:v>Service</x:v>
      </x:c>
      <x:c r="E257" s="6" t="str">
        <x:v>SVC000256</x:v>
      </x:c>
      <x:c r="F257" s="6" t="str">
        <x:v>Unresolved</x:v>
      </x:c>
      <x:c r="G257" s="6" t="str"/>
      <x:c r="H257" s="12" t="str"/>
      <x:c r="I257" s="6" t="str"/>
      <x:c r="J257" s="6" t="str"/>
      <x:c r="K257" s="6" t="str">
        <x:v>Pending</x:v>
      </x:c>
      <x:c r="L257" s="6" t="str"/>
      <x:c r="M257" s="6" t="str"/>
      <x:c r="N257" s="6" t="str">
        <x:v>Not Eligible</x:v>
      </x:c>
      <x:c r="O257" s="12" t="str">
        <x:v>Manual proposal capture only.</x:v>
      </x:c>
    </x:row>
    <x:row r="258">
      <x:c r="A258" s="6" t="str">
        <x:v>DEC-000257</x:v>
      </x:c>
      <x:c r="B258" s="6" t="str">
        <x:v>Service Identity Review</x:v>
      </x:c>
      <x:c r="C258" s="6" t="str">
        <x:v>SIR-000257</x:v>
      </x:c>
      <x:c r="D258" s="6" t="str">
        <x:v>Service</x:v>
      </x:c>
      <x:c r="E258" s="6" t="str">
        <x:v>SVC000257</x:v>
      </x:c>
      <x:c r="F258" s="6" t="str">
        <x:v>Unresolved</x:v>
      </x:c>
      <x:c r="G258" s="6" t="str"/>
      <x:c r="H258" s="12" t="str"/>
      <x:c r="I258" s="6" t="str"/>
      <x:c r="J258" s="6" t="str"/>
      <x:c r="K258" s="6" t="str">
        <x:v>Pending</x:v>
      </x:c>
      <x:c r="L258" s="6" t="str"/>
      <x:c r="M258" s="6" t="str"/>
      <x:c r="N258" s="6" t="str">
        <x:v>Not Eligible</x:v>
      </x:c>
      <x:c r="O258" s="12" t="str">
        <x:v>Manual proposal capture only.</x:v>
      </x:c>
    </x:row>
    <x:row r="259">
      <x:c r="A259" s="6" t="str">
        <x:v>DEC-000258</x:v>
      </x:c>
      <x:c r="B259" s="6" t="str">
        <x:v>Service Identity Review</x:v>
      </x:c>
      <x:c r="C259" s="6" t="str">
        <x:v>SIR-000258</x:v>
      </x:c>
      <x:c r="D259" s="6" t="str">
        <x:v>Service</x:v>
      </x:c>
      <x:c r="E259" s="6" t="str">
        <x:v>SVC000258</x:v>
      </x:c>
      <x:c r="F259" s="6" t="str">
        <x:v>Unresolved</x:v>
      </x:c>
      <x:c r="G259" s="6" t="str"/>
      <x:c r="H259" s="12" t="str"/>
      <x:c r="I259" s="6" t="str"/>
      <x:c r="J259" s="6" t="str"/>
      <x:c r="K259" s="6" t="str">
        <x:v>Pending</x:v>
      </x:c>
      <x:c r="L259" s="6" t="str"/>
      <x:c r="M259" s="6" t="str"/>
      <x:c r="N259" s="6" t="str">
        <x:v>Not Eligible</x:v>
      </x:c>
      <x:c r="O259" s="12" t="str">
        <x:v>Manual proposal capture only.</x:v>
      </x:c>
    </x:row>
    <x:row r="260">
      <x:c r="A260" s="6" t="str">
        <x:v>DEC-000259</x:v>
      </x:c>
      <x:c r="B260" s="6" t="str">
        <x:v>Service Identity Review</x:v>
      </x:c>
      <x:c r="C260" s="6" t="str">
        <x:v>SIR-000259</x:v>
      </x:c>
      <x:c r="D260" s="6" t="str">
        <x:v>Service</x:v>
      </x:c>
      <x:c r="E260" s="6" t="str">
        <x:v>SVC000259</x:v>
      </x:c>
      <x:c r="F260" s="6" t="str">
        <x:v>Unresolved</x:v>
      </x:c>
      <x:c r="G260" s="6" t="str"/>
      <x:c r="H260" s="12" t="str"/>
      <x:c r="I260" s="6" t="str"/>
      <x:c r="J260" s="6" t="str"/>
      <x:c r="K260" s="6" t="str">
        <x:v>Pending</x:v>
      </x:c>
      <x:c r="L260" s="6" t="str"/>
      <x:c r="M260" s="6" t="str"/>
      <x:c r="N260" s="6" t="str">
        <x:v>Not Eligible</x:v>
      </x:c>
      <x:c r="O260" s="12" t="str">
        <x:v>Manual proposal capture only.</x:v>
      </x:c>
    </x:row>
    <x:row r="261">
      <x:c r="A261" s="6" t="str">
        <x:v>DEC-000260</x:v>
      </x:c>
      <x:c r="B261" s="6" t="str">
        <x:v>Service Identity Review</x:v>
      </x:c>
      <x:c r="C261" s="6" t="str">
        <x:v>SIR-000260</x:v>
      </x:c>
      <x:c r="D261" s="6" t="str">
        <x:v>Service</x:v>
      </x:c>
      <x:c r="E261" s="6" t="str">
        <x:v>SVC000260</x:v>
      </x:c>
      <x:c r="F261" s="6" t="str">
        <x:v>Unresolved</x:v>
      </x:c>
      <x:c r="G261" s="6" t="str"/>
      <x:c r="H261" s="12" t="str"/>
      <x:c r="I261" s="6" t="str"/>
      <x:c r="J261" s="6" t="str"/>
      <x:c r="K261" s="6" t="str">
        <x:v>Pending</x:v>
      </x:c>
      <x:c r="L261" s="6" t="str"/>
      <x:c r="M261" s="6" t="str"/>
      <x:c r="N261" s="6" t="str">
        <x:v>Not Eligible</x:v>
      </x:c>
      <x:c r="O261" s="12" t="str">
        <x:v>Manual proposal capture only.</x:v>
      </x:c>
    </x:row>
    <x:row r="262">
      <x:c r="A262" s="6" t="str">
        <x:v>DEC-000261</x:v>
      </x:c>
      <x:c r="B262" s="6" t="str">
        <x:v>Service Identity Review</x:v>
      </x:c>
      <x:c r="C262" s="6" t="str">
        <x:v>SIR-000261</x:v>
      </x:c>
      <x:c r="D262" s="6" t="str">
        <x:v>Service</x:v>
      </x:c>
      <x:c r="E262" s="6" t="str">
        <x:v>SVC000261</x:v>
      </x:c>
      <x:c r="F262" s="6" t="str">
        <x:v>Unresolved</x:v>
      </x:c>
      <x:c r="G262" s="6" t="str"/>
      <x:c r="H262" s="12" t="str"/>
      <x:c r="I262" s="6" t="str"/>
      <x:c r="J262" s="6" t="str"/>
      <x:c r="K262" s="6" t="str">
        <x:v>Pending</x:v>
      </x:c>
      <x:c r="L262" s="6" t="str"/>
      <x:c r="M262" s="6" t="str"/>
      <x:c r="N262" s="6" t="str">
        <x:v>Not Eligible</x:v>
      </x:c>
      <x:c r="O262" s="12" t="str">
        <x:v>Manual proposal capture only.</x:v>
      </x:c>
    </x:row>
    <x:row r="263">
      <x:c r="A263" s="6" t="str">
        <x:v>DEC-000262</x:v>
      </x:c>
      <x:c r="B263" s="6" t="str">
        <x:v>Service Identity Review</x:v>
      </x:c>
      <x:c r="C263" s="6" t="str">
        <x:v>SIR-000262</x:v>
      </x:c>
      <x:c r="D263" s="6" t="str">
        <x:v>Service</x:v>
      </x:c>
      <x:c r="E263" s="6" t="str">
        <x:v>SVC000262</x:v>
      </x:c>
      <x:c r="F263" s="6" t="str">
        <x:v>Unresolved</x:v>
      </x:c>
      <x:c r="G263" s="6" t="str"/>
      <x:c r="H263" s="12" t="str"/>
      <x:c r="I263" s="6" t="str"/>
      <x:c r="J263" s="6" t="str"/>
      <x:c r="K263" s="6" t="str">
        <x:v>Pending</x:v>
      </x:c>
      <x:c r="L263" s="6" t="str"/>
      <x:c r="M263" s="6" t="str"/>
      <x:c r="N263" s="6" t="str">
        <x:v>Not Eligible</x:v>
      </x:c>
      <x:c r="O263" s="12" t="str">
        <x:v>Manual proposal capture only.</x:v>
      </x:c>
    </x:row>
    <x:row r="264">
      <x:c r="A264" s="6" t="str">
        <x:v>DEC-000263</x:v>
      </x:c>
      <x:c r="B264" s="6" t="str">
        <x:v>Service Identity Review</x:v>
      </x:c>
      <x:c r="C264" s="6" t="str">
        <x:v>SIR-000263</x:v>
      </x:c>
      <x:c r="D264" s="6" t="str">
        <x:v>Service</x:v>
      </x:c>
      <x:c r="E264" s="6" t="str">
        <x:v>SVC000263</x:v>
      </x:c>
      <x:c r="F264" s="6" t="str">
        <x:v>Unresolved</x:v>
      </x:c>
      <x:c r="G264" s="6" t="str"/>
      <x:c r="H264" s="12" t="str"/>
      <x:c r="I264" s="6" t="str"/>
      <x:c r="J264" s="6" t="str"/>
      <x:c r="K264" s="6" t="str">
        <x:v>Pending</x:v>
      </x:c>
      <x:c r="L264" s="6" t="str"/>
      <x:c r="M264" s="6" t="str"/>
      <x:c r="N264" s="6" t="str">
        <x:v>Not Eligible</x:v>
      </x:c>
      <x:c r="O264" s="12" t="str">
        <x:v>Manual proposal capture only.</x:v>
      </x:c>
    </x:row>
    <x:row r="265">
      <x:c r="A265" s="6" t="str">
        <x:v>DEC-000264</x:v>
      </x:c>
      <x:c r="B265" s="6" t="str">
        <x:v>Service Identity Review</x:v>
      </x:c>
      <x:c r="C265" s="6" t="str">
        <x:v>SIR-000264</x:v>
      </x:c>
      <x:c r="D265" s="6" t="str">
        <x:v>Service</x:v>
      </x:c>
      <x:c r="E265" s="6" t="str">
        <x:v>SVC000264</x:v>
      </x:c>
      <x:c r="F265" s="6" t="str">
        <x:v>Unresolved</x:v>
      </x:c>
      <x:c r="G265" s="6" t="str"/>
      <x:c r="H265" s="12" t="str"/>
      <x:c r="I265" s="6" t="str"/>
      <x:c r="J265" s="6" t="str"/>
      <x:c r="K265" s="6" t="str">
        <x:v>Pending</x:v>
      </x:c>
      <x:c r="L265" s="6" t="str"/>
      <x:c r="M265" s="6" t="str"/>
      <x:c r="N265" s="6" t="str">
        <x:v>Not Eligible</x:v>
      </x:c>
      <x:c r="O265" s="12" t="str">
        <x:v>Manual proposal capture only.</x:v>
      </x:c>
    </x:row>
    <x:row r="266">
      <x:c r="A266" s="6" t="str">
        <x:v>DEC-000265</x:v>
      </x:c>
      <x:c r="B266" s="6" t="str">
        <x:v>Service Identity Review</x:v>
      </x:c>
      <x:c r="C266" s="6" t="str">
        <x:v>SIR-000265</x:v>
      </x:c>
      <x:c r="D266" s="6" t="str">
        <x:v>Service</x:v>
      </x:c>
      <x:c r="E266" s="6" t="str">
        <x:v>SVC000265</x:v>
      </x:c>
      <x:c r="F266" s="6" t="str">
        <x:v>Unresolved</x:v>
      </x:c>
      <x:c r="G266" s="6" t="str"/>
      <x:c r="H266" s="12" t="str"/>
      <x:c r="I266" s="6" t="str"/>
      <x:c r="J266" s="6" t="str"/>
      <x:c r="K266" s="6" t="str">
        <x:v>Pending</x:v>
      </x:c>
      <x:c r="L266" s="6" t="str"/>
      <x:c r="M266" s="6" t="str"/>
      <x:c r="N266" s="6" t="str">
        <x:v>Not Eligible</x:v>
      </x:c>
      <x:c r="O266" s="12" t="str">
        <x:v>Manual proposal capture only.</x:v>
      </x:c>
    </x:row>
    <x:row r="267">
      <x:c r="A267" s="6" t="str">
        <x:v>DEC-000266</x:v>
      </x:c>
      <x:c r="B267" s="6" t="str">
        <x:v>Service Identity Review</x:v>
      </x:c>
      <x:c r="C267" s="6" t="str">
        <x:v>SIR-000266</x:v>
      </x:c>
      <x:c r="D267" s="6" t="str">
        <x:v>Service</x:v>
      </x:c>
      <x:c r="E267" s="6" t="str">
        <x:v>SVC000266</x:v>
      </x:c>
      <x:c r="F267" s="6" t="str">
        <x:v>Unresolved</x:v>
      </x:c>
      <x:c r="G267" s="6" t="str"/>
      <x:c r="H267" s="12" t="str"/>
      <x:c r="I267" s="6" t="str"/>
      <x:c r="J267" s="6" t="str"/>
      <x:c r="K267" s="6" t="str">
        <x:v>Pending</x:v>
      </x:c>
      <x:c r="L267" s="6" t="str"/>
      <x:c r="M267" s="6" t="str"/>
      <x:c r="N267" s="6" t="str">
        <x:v>Not Eligible</x:v>
      </x:c>
      <x:c r="O267" s="12" t="str">
        <x:v>Manual proposal capture only.</x:v>
      </x:c>
    </x:row>
    <x:row r="268">
      <x:c r="A268" s="6" t="str">
        <x:v>DEC-000267</x:v>
      </x:c>
      <x:c r="B268" s="6" t="str">
        <x:v>Service Identity Review</x:v>
      </x:c>
      <x:c r="C268" s="6" t="str">
        <x:v>SIR-000267</x:v>
      </x:c>
      <x:c r="D268" s="6" t="str">
        <x:v>Service</x:v>
      </x:c>
      <x:c r="E268" s="6" t="str">
        <x:v>SVC000267</x:v>
      </x:c>
      <x:c r="F268" s="6" t="str">
        <x:v>Unresolved</x:v>
      </x:c>
      <x:c r="G268" s="6" t="str"/>
      <x:c r="H268" s="12" t="str"/>
      <x:c r="I268" s="6" t="str"/>
      <x:c r="J268" s="6" t="str"/>
      <x:c r="K268" s="6" t="str">
        <x:v>Pending</x:v>
      </x:c>
      <x:c r="L268" s="6" t="str"/>
      <x:c r="M268" s="6" t="str"/>
      <x:c r="N268" s="6" t="str">
        <x:v>Not Eligible</x:v>
      </x:c>
      <x:c r="O268" s="12" t="str">
        <x:v>Manual proposal capture only.</x:v>
      </x:c>
    </x:row>
    <x:row r="269">
      <x:c r="A269" s="6" t="str">
        <x:v>DEC-000268</x:v>
      </x:c>
      <x:c r="B269" s="6" t="str">
        <x:v>Service Identity Review</x:v>
      </x:c>
      <x:c r="C269" s="6" t="str">
        <x:v>SIR-000268</x:v>
      </x:c>
      <x:c r="D269" s="6" t="str">
        <x:v>Service</x:v>
      </x:c>
      <x:c r="E269" s="6" t="str">
        <x:v>SVC000268</x:v>
      </x:c>
      <x:c r="F269" s="6" t="str">
        <x:v>Unresolved</x:v>
      </x:c>
      <x:c r="G269" s="6" t="str"/>
      <x:c r="H269" s="12" t="str"/>
      <x:c r="I269" s="6" t="str"/>
      <x:c r="J269" s="6" t="str"/>
      <x:c r="K269" s="6" t="str">
        <x:v>Pending</x:v>
      </x:c>
      <x:c r="L269" s="6" t="str"/>
      <x:c r="M269" s="6" t="str"/>
      <x:c r="N269" s="6" t="str">
        <x:v>Not Eligible</x:v>
      </x:c>
      <x:c r="O269" s="12" t="str">
        <x:v>Manual proposal capture only.</x:v>
      </x:c>
    </x:row>
    <x:row r="270">
      <x:c r="A270" s="6" t="str">
        <x:v>DEC-000269</x:v>
      </x:c>
      <x:c r="B270" s="6" t="str">
        <x:v>Service Identity Review</x:v>
      </x:c>
      <x:c r="C270" s="6" t="str">
        <x:v>SIR-000269</x:v>
      </x:c>
      <x:c r="D270" s="6" t="str">
        <x:v>Service</x:v>
      </x:c>
      <x:c r="E270" s="6" t="str">
        <x:v>SVC000269</x:v>
      </x:c>
      <x:c r="F270" s="6" t="str">
        <x:v>Unresolved</x:v>
      </x:c>
      <x:c r="G270" s="6" t="str"/>
      <x:c r="H270" s="12" t="str"/>
      <x:c r="I270" s="6" t="str"/>
      <x:c r="J270" s="6" t="str"/>
      <x:c r="K270" s="6" t="str">
        <x:v>Pending</x:v>
      </x:c>
      <x:c r="L270" s="6" t="str"/>
      <x:c r="M270" s="6" t="str"/>
      <x:c r="N270" s="6" t="str">
        <x:v>Not Eligible</x:v>
      </x:c>
      <x:c r="O270" s="12" t="str">
        <x:v>Manual proposal capture only.</x:v>
      </x:c>
    </x:row>
    <x:row r="271">
      <x:c r="A271" s="6" t="str">
        <x:v>DEC-000270</x:v>
      </x:c>
      <x:c r="B271" s="6" t="str">
        <x:v>Service Identity Review</x:v>
      </x:c>
      <x:c r="C271" s="6" t="str">
        <x:v>SIR-000270</x:v>
      </x:c>
      <x:c r="D271" s="6" t="str">
        <x:v>Service</x:v>
      </x:c>
      <x:c r="E271" s="6" t="str">
        <x:v>SVC000270</x:v>
      </x:c>
      <x:c r="F271" s="6" t="str">
        <x:v>Unresolved</x:v>
      </x:c>
      <x:c r="G271" s="6" t="str"/>
      <x:c r="H271" s="12" t="str"/>
      <x:c r="I271" s="6" t="str"/>
      <x:c r="J271" s="6" t="str"/>
      <x:c r="K271" s="6" t="str">
        <x:v>Pending</x:v>
      </x:c>
      <x:c r="L271" s="6" t="str"/>
      <x:c r="M271" s="6" t="str"/>
      <x:c r="N271" s="6" t="str">
        <x:v>Not Eligible</x:v>
      </x:c>
      <x:c r="O271" s="12" t="str">
        <x:v>Manual proposal capture only.</x:v>
      </x:c>
    </x:row>
    <x:row r="272">
      <x:c r="A272" s="6" t="str">
        <x:v>DEC-000271</x:v>
      </x:c>
      <x:c r="B272" s="6" t="str">
        <x:v>Service Identity Review</x:v>
      </x:c>
      <x:c r="C272" s="6" t="str">
        <x:v>SIR-000271</x:v>
      </x:c>
      <x:c r="D272" s="6" t="str">
        <x:v>Service</x:v>
      </x:c>
      <x:c r="E272" s="6" t="str">
        <x:v>SVC000271</x:v>
      </x:c>
      <x:c r="F272" s="6" t="str">
        <x:v>Unresolved</x:v>
      </x:c>
      <x:c r="G272" s="6" t="str"/>
      <x:c r="H272" s="12" t="str"/>
      <x:c r="I272" s="6" t="str"/>
      <x:c r="J272" s="6" t="str"/>
      <x:c r="K272" s="6" t="str">
        <x:v>Pending</x:v>
      </x:c>
      <x:c r="L272" s="6" t="str"/>
      <x:c r="M272" s="6" t="str"/>
      <x:c r="N272" s="6" t="str">
        <x:v>Not Eligible</x:v>
      </x:c>
      <x:c r="O272" s="12" t="str">
        <x:v>Manual proposal capture only.</x:v>
      </x:c>
    </x:row>
    <x:row r="273">
      <x:c r="A273" s="6" t="str">
        <x:v>DEC-000272</x:v>
      </x:c>
      <x:c r="B273" s="6" t="str">
        <x:v>Service Identity Review</x:v>
      </x:c>
      <x:c r="C273" s="6" t="str">
        <x:v>SIR-000272</x:v>
      </x:c>
      <x:c r="D273" s="6" t="str">
        <x:v>Service</x:v>
      </x:c>
      <x:c r="E273" s="6" t="str">
        <x:v>SVC000272</x:v>
      </x:c>
      <x:c r="F273" s="6" t="str">
        <x:v>Unresolved</x:v>
      </x:c>
      <x:c r="G273" s="6" t="str"/>
      <x:c r="H273" s="12" t="str"/>
      <x:c r="I273" s="6" t="str"/>
      <x:c r="J273" s="6" t="str"/>
      <x:c r="K273" s="6" t="str">
        <x:v>Pending</x:v>
      </x:c>
      <x:c r="L273" s="6" t="str"/>
      <x:c r="M273" s="6" t="str"/>
      <x:c r="N273" s="6" t="str">
        <x:v>Not Eligible</x:v>
      </x:c>
      <x:c r="O273" s="12" t="str">
        <x:v>Manual proposal capture only.</x:v>
      </x:c>
    </x:row>
    <x:row r="274">
      <x:c r="A274" s="6" t="str">
        <x:v>DEC-000273</x:v>
      </x:c>
      <x:c r="B274" s="6" t="str">
        <x:v>Service Identity Review</x:v>
      </x:c>
      <x:c r="C274" s="6" t="str">
        <x:v>SIR-000273</x:v>
      </x:c>
      <x:c r="D274" s="6" t="str">
        <x:v>Service</x:v>
      </x:c>
      <x:c r="E274" s="6" t="str">
        <x:v>SVC000273</x:v>
      </x:c>
      <x:c r="F274" s="6" t="str">
        <x:v>Unresolved</x:v>
      </x:c>
      <x:c r="G274" s="6" t="str"/>
      <x:c r="H274" s="12" t="str"/>
      <x:c r="I274" s="6" t="str"/>
      <x:c r="J274" s="6" t="str"/>
      <x:c r="K274" s="6" t="str">
        <x:v>Pending</x:v>
      </x:c>
      <x:c r="L274" s="6" t="str"/>
      <x:c r="M274" s="6" t="str"/>
      <x:c r="N274" s="6" t="str">
        <x:v>Not Eligible</x:v>
      </x:c>
      <x:c r="O274" s="12" t="str">
        <x:v>Manual proposal capture only.</x:v>
      </x:c>
    </x:row>
    <x:row r="275">
      <x:c r="A275" s="6" t="str">
        <x:v>DEC-000274</x:v>
      </x:c>
      <x:c r="B275" s="6" t="str">
        <x:v>Service Identity Review</x:v>
      </x:c>
      <x:c r="C275" s="6" t="str">
        <x:v>SIR-000274</x:v>
      </x:c>
      <x:c r="D275" s="6" t="str">
        <x:v>Service</x:v>
      </x:c>
      <x:c r="E275" s="6" t="str">
        <x:v>SVC000274</x:v>
      </x:c>
      <x:c r="F275" s="6" t="str">
        <x:v>Unresolved</x:v>
      </x:c>
      <x:c r="G275" s="6" t="str"/>
      <x:c r="H275" s="12" t="str"/>
      <x:c r="I275" s="6" t="str"/>
      <x:c r="J275" s="6" t="str"/>
      <x:c r="K275" s="6" t="str">
        <x:v>Pending</x:v>
      </x:c>
      <x:c r="L275" s="6" t="str"/>
      <x:c r="M275" s="6" t="str"/>
      <x:c r="N275" s="6" t="str">
        <x:v>Not Eligible</x:v>
      </x:c>
      <x:c r="O275" s="12" t="str">
        <x:v>Manual proposal capture only.</x:v>
      </x:c>
    </x:row>
    <x:row r="276">
      <x:c r="A276" s="6" t="str">
        <x:v>DEC-000275</x:v>
      </x:c>
      <x:c r="B276" s="6" t="str">
        <x:v>Service Identity Review</x:v>
      </x:c>
      <x:c r="C276" s="6" t="str">
        <x:v>SIR-000275</x:v>
      </x:c>
      <x:c r="D276" s="6" t="str">
        <x:v>Service</x:v>
      </x:c>
      <x:c r="E276" s="6" t="str">
        <x:v>SVC000275</x:v>
      </x:c>
      <x:c r="F276" s="6" t="str">
        <x:v>Unresolved</x:v>
      </x:c>
      <x:c r="G276" s="6" t="str"/>
      <x:c r="H276" s="12" t="str"/>
      <x:c r="I276" s="6" t="str"/>
      <x:c r="J276" s="6" t="str"/>
      <x:c r="K276" s="6" t="str">
        <x:v>Pending</x:v>
      </x:c>
      <x:c r="L276" s="6" t="str"/>
      <x:c r="M276" s="6" t="str"/>
      <x:c r="N276" s="6" t="str">
        <x:v>Not Eligible</x:v>
      </x:c>
      <x:c r="O276" s="12" t="str">
        <x:v>Manual proposal capture only.</x:v>
      </x:c>
    </x:row>
    <x:row r="277">
      <x:c r="A277" s="6" t="str">
        <x:v>DEC-000276</x:v>
      </x:c>
      <x:c r="B277" s="6" t="str">
        <x:v>Service Identity Review</x:v>
      </x:c>
      <x:c r="C277" s="6" t="str">
        <x:v>SIR-000276</x:v>
      </x:c>
      <x:c r="D277" s="6" t="str">
        <x:v>Service</x:v>
      </x:c>
      <x:c r="E277" s="6" t="str">
        <x:v>SVC000276</x:v>
      </x:c>
      <x:c r="F277" s="6" t="str">
        <x:v>Unresolved</x:v>
      </x:c>
      <x:c r="G277" s="6" t="str"/>
      <x:c r="H277" s="12" t="str"/>
      <x:c r="I277" s="6" t="str"/>
      <x:c r="J277" s="6" t="str"/>
      <x:c r="K277" s="6" t="str">
        <x:v>Pending</x:v>
      </x:c>
      <x:c r="L277" s="6" t="str"/>
      <x:c r="M277" s="6" t="str"/>
      <x:c r="N277" s="6" t="str">
        <x:v>Not Eligible</x:v>
      </x:c>
      <x:c r="O277" s="12" t="str">
        <x:v>Manual proposal capture only.</x:v>
      </x:c>
    </x:row>
    <x:row r="278">
      <x:c r="A278" s="6" t="str">
        <x:v>DEC-000277</x:v>
      </x:c>
      <x:c r="B278" s="6" t="str">
        <x:v>Service Identity Review</x:v>
      </x:c>
      <x:c r="C278" s="6" t="str">
        <x:v>SIR-000277</x:v>
      </x:c>
      <x:c r="D278" s="6" t="str">
        <x:v>Service</x:v>
      </x:c>
      <x:c r="E278" s="6" t="str">
        <x:v>SVC000277</x:v>
      </x:c>
      <x:c r="F278" s="6" t="str">
        <x:v>Unresolved</x:v>
      </x:c>
      <x:c r="G278" s="6" t="str"/>
      <x:c r="H278" s="12" t="str"/>
      <x:c r="I278" s="6" t="str"/>
      <x:c r="J278" s="6" t="str"/>
      <x:c r="K278" s="6" t="str">
        <x:v>Pending</x:v>
      </x:c>
      <x:c r="L278" s="6" t="str"/>
      <x:c r="M278" s="6" t="str"/>
      <x:c r="N278" s="6" t="str">
        <x:v>Not Eligible</x:v>
      </x:c>
      <x:c r="O278" s="12" t="str">
        <x:v>Manual proposal capture only.</x:v>
      </x:c>
    </x:row>
    <x:row r="279">
      <x:c r="A279" s="6" t="str">
        <x:v>DEC-000278</x:v>
      </x:c>
      <x:c r="B279" s="6" t="str">
        <x:v>Service Identity Review</x:v>
      </x:c>
      <x:c r="C279" s="6" t="str">
        <x:v>SIR-000278</x:v>
      </x:c>
      <x:c r="D279" s="6" t="str">
        <x:v>Service</x:v>
      </x:c>
      <x:c r="E279" s="6" t="str">
        <x:v>SVC000278</x:v>
      </x:c>
      <x:c r="F279" s="6" t="str">
        <x:v>Unresolved</x:v>
      </x:c>
      <x:c r="G279" s="6" t="str"/>
      <x:c r="H279" s="12" t="str"/>
      <x:c r="I279" s="6" t="str"/>
      <x:c r="J279" s="6" t="str"/>
      <x:c r="K279" s="6" t="str">
        <x:v>Pending</x:v>
      </x:c>
      <x:c r="L279" s="6" t="str"/>
      <x:c r="M279" s="6" t="str"/>
      <x:c r="N279" s="6" t="str">
        <x:v>Not Eligible</x:v>
      </x:c>
      <x:c r="O279" s="12" t="str">
        <x:v>Manual proposal capture only.</x:v>
      </x:c>
    </x:row>
    <x:row r="280">
      <x:c r="A280" s="6" t="str">
        <x:v>DEC-000279</x:v>
      </x:c>
      <x:c r="B280" s="6" t="str">
        <x:v>Service Identity Review</x:v>
      </x:c>
      <x:c r="C280" s="6" t="str">
        <x:v>SIR-000279</x:v>
      </x:c>
      <x:c r="D280" s="6" t="str">
        <x:v>Service</x:v>
      </x:c>
      <x:c r="E280" s="6" t="str">
        <x:v>SVC000279</x:v>
      </x:c>
      <x:c r="F280" s="6" t="str">
        <x:v>Unresolved</x:v>
      </x:c>
      <x:c r="G280" s="6" t="str"/>
      <x:c r="H280" s="12" t="str"/>
      <x:c r="I280" s="6" t="str"/>
      <x:c r="J280" s="6" t="str"/>
      <x:c r="K280" s="6" t="str">
        <x:v>Pending</x:v>
      </x:c>
      <x:c r="L280" s="6" t="str"/>
      <x:c r="M280" s="6" t="str"/>
      <x:c r="N280" s="6" t="str">
        <x:v>Not Eligible</x:v>
      </x:c>
      <x:c r="O280" s="12" t="str">
        <x:v>Manual proposal capture only.</x:v>
      </x:c>
    </x:row>
    <x:row r="281">
      <x:c r="A281" s="6" t="str">
        <x:v>DEC-000280</x:v>
      </x:c>
      <x:c r="B281" s="6" t="str">
        <x:v>Service Identity Review</x:v>
      </x:c>
      <x:c r="C281" s="6" t="str">
        <x:v>SIR-000280</x:v>
      </x:c>
      <x:c r="D281" s="6" t="str">
        <x:v>Service</x:v>
      </x:c>
      <x:c r="E281" s="6" t="str">
        <x:v>SVC000280</x:v>
      </x:c>
      <x:c r="F281" s="6" t="str">
        <x:v>Unresolved</x:v>
      </x:c>
      <x:c r="G281" s="6" t="str"/>
      <x:c r="H281" s="12" t="str"/>
      <x:c r="I281" s="6" t="str"/>
      <x:c r="J281" s="6" t="str"/>
      <x:c r="K281" s="6" t="str">
        <x:v>Pending</x:v>
      </x:c>
      <x:c r="L281" s="6" t="str"/>
      <x:c r="M281" s="6" t="str"/>
      <x:c r="N281" s="6" t="str">
        <x:v>Not Eligible</x:v>
      </x:c>
      <x:c r="O281" s="12" t="str">
        <x:v>Manual proposal capture only.</x:v>
      </x:c>
    </x:row>
    <x:row r="282">
      <x:c r="A282" s="6" t="str">
        <x:v>DEC-000281</x:v>
      </x:c>
      <x:c r="B282" s="6" t="str">
        <x:v>Service Identity Review</x:v>
      </x:c>
      <x:c r="C282" s="6" t="str">
        <x:v>SIR-000281</x:v>
      </x:c>
      <x:c r="D282" s="6" t="str">
        <x:v>Service</x:v>
      </x:c>
      <x:c r="E282" s="6" t="str">
        <x:v>SVC000281</x:v>
      </x:c>
      <x:c r="F282" s="6" t="str">
        <x:v>Unresolved</x:v>
      </x:c>
      <x:c r="G282" s="6" t="str"/>
      <x:c r="H282" s="12" t="str"/>
      <x:c r="I282" s="6" t="str"/>
      <x:c r="J282" s="6" t="str"/>
      <x:c r="K282" s="6" t="str">
        <x:v>Pending</x:v>
      </x:c>
      <x:c r="L282" s="6" t="str"/>
      <x:c r="M282" s="6" t="str"/>
      <x:c r="N282" s="6" t="str">
        <x:v>Not Eligible</x:v>
      </x:c>
      <x:c r="O282" s="12" t="str">
        <x:v>Manual proposal capture only.</x:v>
      </x:c>
    </x:row>
    <x:row r="283">
      <x:c r="A283" s="6" t="str">
        <x:v>DEC-000282</x:v>
      </x:c>
      <x:c r="B283" s="6" t="str">
        <x:v>Service Identity Review</x:v>
      </x:c>
      <x:c r="C283" s="6" t="str">
        <x:v>SIR-000282</x:v>
      </x:c>
      <x:c r="D283" s="6" t="str">
        <x:v>Service</x:v>
      </x:c>
      <x:c r="E283" s="6" t="str">
        <x:v>SVC000282</x:v>
      </x:c>
      <x:c r="F283" s="6" t="str">
        <x:v>Unresolved</x:v>
      </x:c>
      <x:c r="G283" s="6" t="str"/>
      <x:c r="H283" s="12" t="str"/>
      <x:c r="I283" s="6" t="str"/>
      <x:c r="J283" s="6" t="str"/>
      <x:c r="K283" s="6" t="str">
        <x:v>Pending</x:v>
      </x:c>
      <x:c r="L283" s="6" t="str"/>
      <x:c r="M283" s="6" t="str"/>
      <x:c r="N283" s="6" t="str">
        <x:v>Not Eligible</x:v>
      </x:c>
      <x:c r="O283" s="12" t="str">
        <x:v>Manual proposal capture only.</x:v>
      </x:c>
    </x:row>
    <x:row r="284">
      <x:c r="A284" s="6" t="str">
        <x:v>DEC-000283</x:v>
      </x:c>
      <x:c r="B284" s="6" t="str">
        <x:v>Service Identity Review</x:v>
      </x:c>
      <x:c r="C284" s="6" t="str">
        <x:v>SIR-000283</x:v>
      </x:c>
      <x:c r="D284" s="6" t="str">
        <x:v>Service</x:v>
      </x:c>
      <x:c r="E284" s="6" t="str">
        <x:v>SVC000283</x:v>
      </x:c>
      <x:c r="F284" s="6" t="str">
        <x:v>Unresolved</x:v>
      </x:c>
      <x:c r="G284" s="6" t="str"/>
      <x:c r="H284" s="12" t="str"/>
      <x:c r="I284" s="6" t="str"/>
      <x:c r="J284" s="6" t="str"/>
      <x:c r="K284" s="6" t="str">
        <x:v>Pending</x:v>
      </x:c>
      <x:c r="L284" s="6" t="str"/>
      <x:c r="M284" s="6" t="str"/>
      <x:c r="N284" s="6" t="str">
        <x:v>Not Eligible</x:v>
      </x:c>
      <x:c r="O284" s="12" t="str">
        <x:v>Manual proposal capture only.</x:v>
      </x:c>
    </x:row>
    <x:row r="285">
      <x:c r="A285" s="6" t="str">
        <x:v>DEC-000284</x:v>
      </x:c>
      <x:c r="B285" s="6" t="str">
        <x:v>Service Identity Review</x:v>
      </x:c>
      <x:c r="C285" s="6" t="str">
        <x:v>SIR-000284</x:v>
      </x:c>
      <x:c r="D285" s="6" t="str">
        <x:v>Service</x:v>
      </x:c>
      <x:c r="E285" s="6" t="str">
        <x:v>SVC000284</x:v>
      </x:c>
      <x:c r="F285" s="6" t="str">
        <x:v>Unresolved</x:v>
      </x:c>
      <x:c r="G285" s="6" t="str"/>
      <x:c r="H285" s="12" t="str"/>
      <x:c r="I285" s="6" t="str"/>
      <x:c r="J285" s="6" t="str"/>
      <x:c r="K285" s="6" t="str">
        <x:v>Pending</x:v>
      </x:c>
      <x:c r="L285" s="6" t="str"/>
      <x:c r="M285" s="6" t="str"/>
      <x:c r="N285" s="6" t="str">
        <x:v>Not Eligible</x:v>
      </x:c>
      <x:c r="O285" s="12" t="str">
        <x:v>Manual proposal capture only.</x:v>
      </x:c>
    </x:row>
    <x:row r="286">
      <x:c r="A286" s="6" t="str">
        <x:v>DEC-000285</x:v>
      </x:c>
      <x:c r="B286" s="6" t="str">
        <x:v>Service Identity Review</x:v>
      </x:c>
      <x:c r="C286" s="6" t="str">
        <x:v>SIR-000285</x:v>
      </x:c>
      <x:c r="D286" s="6" t="str">
        <x:v>Service</x:v>
      </x:c>
      <x:c r="E286" s="6" t="str">
        <x:v>SVC000285</x:v>
      </x:c>
      <x:c r="F286" s="6" t="str">
        <x:v>Unresolved</x:v>
      </x:c>
      <x:c r="G286" s="6" t="str"/>
      <x:c r="H286" s="12" t="str"/>
      <x:c r="I286" s="6" t="str"/>
      <x:c r="J286" s="6" t="str"/>
      <x:c r="K286" s="6" t="str">
        <x:v>Pending</x:v>
      </x:c>
      <x:c r="L286" s="6" t="str"/>
      <x:c r="M286" s="6" t="str"/>
      <x:c r="N286" s="6" t="str">
        <x:v>Not Eligible</x:v>
      </x:c>
      <x:c r="O286" s="12" t="str">
        <x:v>Manual proposal capture only.</x:v>
      </x:c>
    </x:row>
    <x:row r="287">
      <x:c r="A287" s="6" t="str">
        <x:v>DEC-000286</x:v>
      </x:c>
      <x:c r="B287" s="6" t="str">
        <x:v>Service Identity Review</x:v>
      </x:c>
      <x:c r="C287" s="6" t="str">
        <x:v>SIR-000286</x:v>
      </x:c>
      <x:c r="D287" s="6" t="str">
        <x:v>Service</x:v>
      </x:c>
      <x:c r="E287" s="6" t="str">
        <x:v>SVC000286</x:v>
      </x:c>
      <x:c r="F287" s="6" t="str">
        <x:v>Unresolved</x:v>
      </x:c>
      <x:c r="G287" s="6" t="str"/>
      <x:c r="H287" s="12" t="str"/>
      <x:c r="I287" s="6" t="str"/>
      <x:c r="J287" s="6" t="str"/>
      <x:c r="K287" s="6" t="str">
        <x:v>Pending</x:v>
      </x:c>
      <x:c r="L287" s="6" t="str"/>
      <x:c r="M287" s="6" t="str"/>
      <x:c r="N287" s="6" t="str">
        <x:v>Not Eligible</x:v>
      </x:c>
      <x:c r="O287" s="12" t="str">
        <x:v>Manual proposal capture only.</x:v>
      </x:c>
    </x:row>
    <x:row r="288">
      <x:c r="A288" s="6" t="str">
        <x:v>DEC-000287</x:v>
      </x:c>
      <x:c r="B288" s="6" t="str">
        <x:v>Service Identity Review</x:v>
      </x:c>
      <x:c r="C288" s="6" t="str">
        <x:v>SIR-000287</x:v>
      </x:c>
      <x:c r="D288" s="6" t="str">
        <x:v>Service</x:v>
      </x:c>
      <x:c r="E288" s="6" t="str">
        <x:v>SVC000287</x:v>
      </x:c>
      <x:c r="F288" s="6" t="str">
        <x:v>Unresolved</x:v>
      </x:c>
      <x:c r="G288" s="6" t="str"/>
      <x:c r="H288" s="12" t="str"/>
      <x:c r="I288" s="6" t="str"/>
      <x:c r="J288" s="6" t="str"/>
      <x:c r="K288" s="6" t="str">
        <x:v>Pending</x:v>
      </x:c>
      <x:c r="L288" s="6" t="str"/>
      <x:c r="M288" s="6" t="str"/>
      <x:c r="N288" s="6" t="str">
        <x:v>Not Eligible</x:v>
      </x:c>
      <x:c r="O288" s="12" t="str">
        <x:v>Manual proposal capture only.</x:v>
      </x:c>
    </x:row>
    <x:row r="289">
      <x:c r="A289" s="6" t="str">
        <x:v>DEC-000288</x:v>
      </x:c>
      <x:c r="B289" s="6" t="str">
        <x:v>Service Identity Review</x:v>
      </x:c>
      <x:c r="C289" s="6" t="str">
        <x:v>SIR-000288</x:v>
      </x:c>
      <x:c r="D289" s="6" t="str">
        <x:v>Service</x:v>
      </x:c>
      <x:c r="E289" s="6" t="str">
        <x:v>SVC000288</x:v>
      </x:c>
      <x:c r="F289" s="6" t="str">
        <x:v>Unresolved</x:v>
      </x:c>
      <x:c r="G289" s="6" t="str"/>
      <x:c r="H289" s="12" t="str"/>
      <x:c r="I289" s="6" t="str"/>
      <x:c r="J289" s="6" t="str"/>
      <x:c r="K289" s="6" t="str">
        <x:v>Pending</x:v>
      </x:c>
      <x:c r="L289" s="6" t="str"/>
      <x:c r="M289" s="6" t="str"/>
      <x:c r="N289" s="6" t="str">
        <x:v>Not Eligible</x:v>
      </x:c>
      <x:c r="O289" s="12" t="str">
        <x:v>Manual proposal capture only.</x:v>
      </x:c>
    </x:row>
    <x:row r="290">
      <x:c r="A290" s="6" t="str">
        <x:v>DEC-000289</x:v>
      </x:c>
      <x:c r="B290" s="6" t="str">
        <x:v>Service Identity Review</x:v>
      </x:c>
      <x:c r="C290" s="6" t="str">
        <x:v>SIR-000289</x:v>
      </x:c>
      <x:c r="D290" s="6" t="str">
        <x:v>Service</x:v>
      </x:c>
      <x:c r="E290" s="6" t="str">
        <x:v>SVC000289</x:v>
      </x:c>
      <x:c r="F290" s="6" t="str">
        <x:v>Unresolved</x:v>
      </x:c>
      <x:c r="G290" s="6" t="str"/>
      <x:c r="H290" s="12" t="str"/>
      <x:c r="I290" s="6" t="str"/>
      <x:c r="J290" s="6" t="str"/>
      <x:c r="K290" s="6" t="str">
        <x:v>Pending</x:v>
      </x:c>
      <x:c r="L290" s="6" t="str"/>
      <x:c r="M290" s="6" t="str"/>
      <x:c r="N290" s="6" t="str">
        <x:v>Not Eligible</x:v>
      </x:c>
      <x:c r="O290" s="12" t="str">
        <x:v>Manual proposal capture only.</x:v>
      </x:c>
    </x:row>
    <x:row r="291">
      <x:c r="A291" s="6" t="str">
        <x:v>DEC-000290</x:v>
      </x:c>
      <x:c r="B291" s="6" t="str">
        <x:v>Service Identity Review</x:v>
      </x:c>
      <x:c r="C291" s="6" t="str">
        <x:v>SIR-000290</x:v>
      </x:c>
      <x:c r="D291" s="6" t="str">
        <x:v>Service</x:v>
      </x:c>
      <x:c r="E291" s="6" t="str">
        <x:v>SVC000290</x:v>
      </x:c>
      <x:c r="F291" s="6" t="str">
        <x:v>Unresolved</x:v>
      </x:c>
      <x:c r="G291" s="6" t="str"/>
      <x:c r="H291" s="12" t="str"/>
      <x:c r="I291" s="6" t="str"/>
      <x:c r="J291" s="6" t="str"/>
      <x:c r="K291" s="6" t="str">
        <x:v>Pending</x:v>
      </x:c>
      <x:c r="L291" s="6" t="str"/>
      <x:c r="M291" s="6" t="str"/>
      <x:c r="N291" s="6" t="str">
        <x:v>Not Eligible</x:v>
      </x:c>
      <x:c r="O291" s="12" t="str">
        <x:v>Manual proposal capture only.</x:v>
      </x:c>
    </x:row>
    <x:row r="292">
      <x:c r="A292" s="6" t="str">
        <x:v>DEC-000291</x:v>
      </x:c>
      <x:c r="B292" s="6" t="str">
        <x:v>Service Identity Review</x:v>
      </x:c>
      <x:c r="C292" s="6" t="str">
        <x:v>SIR-000291</x:v>
      </x:c>
      <x:c r="D292" s="6" t="str">
        <x:v>Service</x:v>
      </x:c>
      <x:c r="E292" s="6" t="str">
        <x:v>SVC000291</x:v>
      </x:c>
      <x:c r="F292" s="6" t="str">
        <x:v>Unresolved</x:v>
      </x:c>
      <x:c r="G292" s="6" t="str"/>
      <x:c r="H292" s="12" t="str"/>
      <x:c r="I292" s="6" t="str"/>
      <x:c r="J292" s="6" t="str"/>
      <x:c r="K292" s="6" t="str">
        <x:v>Pending</x:v>
      </x:c>
      <x:c r="L292" s="6" t="str"/>
      <x:c r="M292" s="6" t="str"/>
      <x:c r="N292" s="6" t="str">
        <x:v>Not Eligible</x:v>
      </x:c>
      <x:c r="O292" s="12" t="str">
        <x:v>Manual proposal capture only.</x:v>
      </x:c>
    </x:row>
    <x:row r="293">
      <x:c r="A293" s="6" t="str">
        <x:v>DEC-000292</x:v>
      </x:c>
      <x:c r="B293" s="6" t="str">
        <x:v>Service Identity Review</x:v>
      </x:c>
      <x:c r="C293" s="6" t="str">
        <x:v>SIR-000292</x:v>
      </x:c>
      <x:c r="D293" s="6" t="str">
        <x:v>Service</x:v>
      </x:c>
      <x:c r="E293" s="6" t="str">
        <x:v>SVC000292</x:v>
      </x:c>
      <x:c r="F293" s="6" t="str">
        <x:v>Unresolved</x:v>
      </x:c>
      <x:c r="G293" s="6" t="str"/>
      <x:c r="H293" s="12" t="str"/>
      <x:c r="I293" s="6" t="str"/>
      <x:c r="J293" s="6" t="str"/>
      <x:c r="K293" s="6" t="str">
        <x:v>Pending</x:v>
      </x:c>
      <x:c r="L293" s="6" t="str"/>
      <x:c r="M293" s="6" t="str"/>
      <x:c r="N293" s="6" t="str">
        <x:v>Not Eligible</x:v>
      </x:c>
      <x:c r="O293" s="12" t="str">
        <x:v>Manual proposal capture only.</x:v>
      </x:c>
    </x:row>
    <x:row r="294">
      <x:c r="A294" s="6" t="str">
        <x:v>DEC-000293</x:v>
      </x:c>
      <x:c r="B294" s="6" t="str">
        <x:v>Service Identity Review</x:v>
      </x:c>
      <x:c r="C294" s="6" t="str">
        <x:v>SIR-000293</x:v>
      </x:c>
      <x:c r="D294" s="6" t="str">
        <x:v>Service</x:v>
      </x:c>
      <x:c r="E294" s="6" t="str">
        <x:v>SVC000293</x:v>
      </x:c>
      <x:c r="F294" s="6" t="str">
        <x:v>Unresolved</x:v>
      </x:c>
      <x:c r="G294" s="6" t="str"/>
      <x:c r="H294" s="12" t="str"/>
      <x:c r="I294" s="6" t="str"/>
      <x:c r="J294" s="6" t="str"/>
      <x:c r="K294" s="6" t="str">
        <x:v>Pending</x:v>
      </x:c>
      <x:c r="L294" s="6" t="str"/>
      <x:c r="M294" s="6" t="str"/>
      <x:c r="N294" s="6" t="str">
        <x:v>Not Eligible</x:v>
      </x:c>
      <x:c r="O294" s="12" t="str">
        <x:v>Manual proposal capture only.</x:v>
      </x:c>
    </x:row>
    <x:row r="295">
      <x:c r="A295" s="6" t="str">
        <x:v>DEC-000294</x:v>
      </x:c>
      <x:c r="B295" s="6" t="str">
        <x:v>Service Identity Review</x:v>
      </x:c>
      <x:c r="C295" s="6" t="str">
        <x:v>SIR-000294</x:v>
      </x:c>
      <x:c r="D295" s="6" t="str">
        <x:v>Service</x:v>
      </x:c>
      <x:c r="E295" s="6" t="str">
        <x:v>SVC000294</x:v>
      </x:c>
      <x:c r="F295" s="6" t="str">
        <x:v>Unresolved</x:v>
      </x:c>
      <x:c r="G295" s="6" t="str"/>
      <x:c r="H295" s="12" t="str"/>
      <x:c r="I295" s="6" t="str"/>
      <x:c r="J295" s="6" t="str"/>
      <x:c r="K295" s="6" t="str">
        <x:v>Pending</x:v>
      </x:c>
      <x:c r="L295" s="6" t="str"/>
      <x:c r="M295" s="6" t="str"/>
      <x:c r="N295" s="6" t="str">
        <x:v>Not Eligible</x:v>
      </x:c>
      <x:c r="O295" s="12" t="str">
        <x:v>Manual proposal capture only.</x:v>
      </x:c>
    </x:row>
    <x:row r="296">
      <x:c r="A296" s="6" t="str">
        <x:v>DEC-000295</x:v>
      </x:c>
      <x:c r="B296" s="6" t="str">
        <x:v>Service Identity Review</x:v>
      </x:c>
      <x:c r="C296" s="6" t="str">
        <x:v>SIR-000295</x:v>
      </x:c>
      <x:c r="D296" s="6" t="str">
        <x:v>Service</x:v>
      </x:c>
      <x:c r="E296" s="6" t="str">
        <x:v>SVC000295</x:v>
      </x:c>
      <x:c r="F296" s="6" t="str">
        <x:v>Unresolved</x:v>
      </x:c>
      <x:c r="G296" s="6" t="str"/>
      <x:c r="H296" s="12" t="str"/>
      <x:c r="I296" s="6" t="str"/>
      <x:c r="J296" s="6" t="str"/>
      <x:c r="K296" s="6" t="str">
        <x:v>Pending</x:v>
      </x:c>
      <x:c r="L296" s="6" t="str"/>
      <x:c r="M296" s="6" t="str"/>
      <x:c r="N296" s="6" t="str">
        <x:v>Not Eligible</x:v>
      </x:c>
      <x:c r="O296" s="12" t="str">
        <x:v>Manual proposal capture only.</x:v>
      </x:c>
    </x:row>
    <x:row r="297">
      <x:c r="A297" s="6" t="str">
        <x:v>DEC-000296</x:v>
      </x:c>
      <x:c r="B297" s="6" t="str">
        <x:v>Service Identity Review</x:v>
      </x:c>
      <x:c r="C297" s="6" t="str">
        <x:v>SIR-000296</x:v>
      </x:c>
      <x:c r="D297" s="6" t="str">
        <x:v>Service</x:v>
      </x:c>
      <x:c r="E297" s="6" t="str">
        <x:v>SVC000296</x:v>
      </x:c>
      <x:c r="F297" s="6" t="str">
        <x:v>Unresolved</x:v>
      </x:c>
      <x:c r="G297" s="6" t="str"/>
      <x:c r="H297" s="12" t="str"/>
      <x:c r="I297" s="6" t="str"/>
      <x:c r="J297" s="6" t="str"/>
      <x:c r="K297" s="6" t="str">
        <x:v>Pending</x:v>
      </x:c>
      <x:c r="L297" s="6" t="str"/>
      <x:c r="M297" s="6" t="str"/>
      <x:c r="N297" s="6" t="str">
        <x:v>Not Eligible</x:v>
      </x:c>
      <x:c r="O297" s="12" t="str">
        <x:v>Manual proposal capture only.</x:v>
      </x:c>
    </x:row>
    <x:row r="298">
      <x:c r="A298" s="6" t="str">
        <x:v>DEC-000297</x:v>
      </x:c>
      <x:c r="B298" s="6" t="str">
        <x:v>Service Identity Review</x:v>
      </x:c>
      <x:c r="C298" s="6" t="str">
        <x:v>SIR-000297</x:v>
      </x:c>
      <x:c r="D298" s="6" t="str">
        <x:v>Service</x:v>
      </x:c>
      <x:c r="E298" s="6" t="str">
        <x:v>SVC000297</x:v>
      </x:c>
      <x:c r="F298" s="6" t="str">
        <x:v>Unresolved</x:v>
      </x:c>
      <x:c r="G298" s="6" t="str"/>
      <x:c r="H298" s="12" t="str"/>
      <x:c r="I298" s="6" t="str"/>
      <x:c r="J298" s="6" t="str"/>
      <x:c r="K298" s="6" t="str">
        <x:v>Pending</x:v>
      </x:c>
      <x:c r="L298" s="6" t="str"/>
      <x:c r="M298" s="6" t="str"/>
      <x:c r="N298" s="6" t="str">
        <x:v>Not Eligible</x:v>
      </x:c>
      <x:c r="O298" s="12" t="str">
        <x:v>Manual proposal capture only.</x:v>
      </x:c>
    </x:row>
    <x:row r="299">
      <x:c r="A299" s="6" t="str">
        <x:v>DEC-000298</x:v>
      </x:c>
      <x:c r="B299" s="6" t="str">
        <x:v>Service Identity Review</x:v>
      </x:c>
      <x:c r="C299" s="6" t="str">
        <x:v>SIR-000298</x:v>
      </x:c>
      <x:c r="D299" s="6" t="str">
        <x:v>Service</x:v>
      </x:c>
      <x:c r="E299" s="6" t="str">
        <x:v>SVC000298</x:v>
      </x:c>
      <x:c r="F299" s="6" t="str">
        <x:v>Unresolved</x:v>
      </x:c>
      <x:c r="G299" s="6" t="str"/>
      <x:c r="H299" s="12" t="str"/>
      <x:c r="I299" s="6" t="str"/>
      <x:c r="J299" s="6" t="str"/>
      <x:c r="K299" s="6" t="str">
        <x:v>Pending</x:v>
      </x:c>
      <x:c r="L299" s="6" t="str"/>
      <x:c r="M299" s="6" t="str"/>
      <x:c r="N299" s="6" t="str">
        <x:v>Not Eligible</x:v>
      </x:c>
      <x:c r="O299" s="12" t="str">
        <x:v>Manual proposal capture only.</x:v>
      </x:c>
    </x:row>
    <x:row r="300">
      <x:c r="A300" s="6" t="str">
        <x:v>DEC-000299</x:v>
      </x:c>
      <x:c r="B300" s="6" t="str">
        <x:v>Service Identity Review</x:v>
      </x:c>
      <x:c r="C300" s="6" t="str">
        <x:v>SIR-000299</x:v>
      </x:c>
      <x:c r="D300" s="6" t="str">
        <x:v>Service</x:v>
      </x:c>
      <x:c r="E300" s="6" t="str">
        <x:v>SVC000299</x:v>
      </x:c>
      <x:c r="F300" s="6" t="str">
        <x:v>Unresolved</x:v>
      </x:c>
      <x:c r="G300" s="6" t="str"/>
      <x:c r="H300" s="12" t="str"/>
      <x:c r="I300" s="6" t="str"/>
      <x:c r="J300" s="6" t="str"/>
      <x:c r="K300" s="6" t="str">
        <x:v>Pending</x:v>
      </x:c>
      <x:c r="L300" s="6" t="str"/>
      <x:c r="M300" s="6" t="str"/>
      <x:c r="N300" s="6" t="str">
        <x:v>Not Eligible</x:v>
      </x:c>
      <x:c r="O300" s="12" t="str">
        <x:v>Manual proposal capture only.</x:v>
      </x:c>
    </x:row>
    <x:row r="301">
      <x:c r="A301" s="6" t="str">
        <x:v>DEC-000300</x:v>
      </x:c>
      <x:c r="B301" s="6" t="str">
        <x:v>Service Identity Review</x:v>
      </x:c>
      <x:c r="C301" s="6" t="str">
        <x:v>SIR-000300</x:v>
      </x:c>
      <x:c r="D301" s="6" t="str">
        <x:v>Service</x:v>
      </x:c>
      <x:c r="E301" s="6" t="str">
        <x:v>SVC000300</x:v>
      </x:c>
      <x:c r="F301" s="6" t="str">
        <x:v>Unresolved</x:v>
      </x:c>
      <x:c r="G301" s="6" t="str"/>
      <x:c r="H301" s="12" t="str"/>
      <x:c r="I301" s="6" t="str"/>
      <x:c r="J301" s="6" t="str"/>
      <x:c r="K301" s="6" t="str">
        <x:v>Pending</x:v>
      </x:c>
      <x:c r="L301" s="6" t="str"/>
      <x:c r="M301" s="6" t="str"/>
      <x:c r="N301" s="6" t="str">
        <x:v>Not Eligible</x:v>
      </x:c>
      <x:c r="O301" s="12" t="str">
        <x:v>Manual proposal capture only.</x:v>
      </x:c>
    </x:row>
    <x:row r="302">
      <x:c r="A302" s="6" t="str">
        <x:v>DEC-000301</x:v>
      </x:c>
      <x:c r="B302" s="6" t="str">
        <x:v>Service Identity Review</x:v>
      </x:c>
      <x:c r="C302" s="6" t="str">
        <x:v>SIR-000301</x:v>
      </x:c>
      <x:c r="D302" s="6" t="str">
        <x:v>Service</x:v>
      </x:c>
      <x:c r="E302" s="6" t="str">
        <x:v>SVC000301</x:v>
      </x:c>
      <x:c r="F302" s="6" t="str">
        <x:v>Unresolved</x:v>
      </x:c>
      <x:c r="G302" s="6" t="str"/>
      <x:c r="H302" s="12" t="str"/>
      <x:c r="I302" s="6" t="str"/>
      <x:c r="J302" s="6" t="str"/>
      <x:c r="K302" s="6" t="str">
        <x:v>Pending</x:v>
      </x:c>
      <x:c r="L302" s="6" t="str"/>
      <x:c r="M302" s="6" t="str"/>
      <x:c r="N302" s="6" t="str">
        <x:v>Not Eligible</x:v>
      </x:c>
      <x:c r="O302" s="12" t="str">
        <x:v>Manual proposal capture only.</x:v>
      </x:c>
    </x:row>
    <x:row r="303">
      <x:c r="A303" s="6" t="str">
        <x:v>DEC-000302</x:v>
      </x:c>
      <x:c r="B303" s="6" t="str">
        <x:v>Service Identity Review</x:v>
      </x:c>
      <x:c r="C303" s="6" t="str">
        <x:v>SIR-000302</x:v>
      </x:c>
      <x:c r="D303" s="6" t="str">
        <x:v>Service</x:v>
      </x:c>
      <x:c r="E303" s="6" t="str">
        <x:v>SVC000302</x:v>
      </x:c>
      <x:c r="F303" s="6" t="str">
        <x:v>Unresolved</x:v>
      </x:c>
      <x:c r="G303" s="6" t="str"/>
      <x:c r="H303" s="12" t="str"/>
      <x:c r="I303" s="6" t="str"/>
      <x:c r="J303" s="6" t="str"/>
      <x:c r="K303" s="6" t="str">
        <x:v>Pending</x:v>
      </x:c>
      <x:c r="L303" s="6" t="str"/>
      <x:c r="M303" s="6" t="str"/>
      <x:c r="N303" s="6" t="str">
        <x:v>Not Eligible</x:v>
      </x:c>
      <x:c r="O303" s="12" t="str">
        <x:v>Manual proposal capture only.</x:v>
      </x:c>
    </x:row>
    <x:row r="304">
      <x:c r="A304" s="6" t="str">
        <x:v>DEC-000303</x:v>
      </x:c>
      <x:c r="B304" s="6" t="str">
        <x:v>Service Identity Review</x:v>
      </x:c>
      <x:c r="C304" s="6" t="str">
        <x:v>SIR-000303</x:v>
      </x:c>
      <x:c r="D304" s="6" t="str">
        <x:v>Service</x:v>
      </x:c>
      <x:c r="E304" s="6" t="str">
        <x:v>SVC000303</x:v>
      </x:c>
      <x:c r="F304" s="6" t="str">
        <x:v>Unresolved</x:v>
      </x:c>
      <x:c r="G304" s="6" t="str"/>
      <x:c r="H304" s="12" t="str"/>
      <x:c r="I304" s="6" t="str"/>
      <x:c r="J304" s="6" t="str"/>
      <x:c r="K304" s="6" t="str">
        <x:v>Pending</x:v>
      </x:c>
      <x:c r="L304" s="6" t="str"/>
      <x:c r="M304" s="6" t="str"/>
      <x:c r="N304" s="6" t="str">
        <x:v>Not Eligible</x:v>
      </x:c>
      <x:c r="O304" s="12" t="str">
        <x:v>Manual proposal capture only.</x:v>
      </x:c>
    </x:row>
    <x:row r="305">
      <x:c r="A305" s="6" t="str">
        <x:v>DEC-000304</x:v>
      </x:c>
      <x:c r="B305" s="6" t="str">
        <x:v>Service Identity Review</x:v>
      </x:c>
      <x:c r="C305" s="6" t="str">
        <x:v>SIR-000304</x:v>
      </x:c>
      <x:c r="D305" s="6" t="str">
        <x:v>Service</x:v>
      </x:c>
      <x:c r="E305" s="6" t="str">
        <x:v>SVC000304</x:v>
      </x:c>
      <x:c r="F305" s="6" t="str">
        <x:v>Unresolved</x:v>
      </x:c>
      <x:c r="G305" s="6" t="str"/>
      <x:c r="H305" s="12" t="str"/>
      <x:c r="I305" s="6" t="str"/>
      <x:c r="J305" s="6" t="str"/>
      <x:c r="K305" s="6" t="str">
        <x:v>Pending</x:v>
      </x:c>
      <x:c r="L305" s="6" t="str"/>
      <x:c r="M305" s="6" t="str"/>
      <x:c r="N305" s="6" t="str">
        <x:v>Not Eligible</x:v>
      </x:c>
      <x:c r="O305" s="12" t="str">
        <x:v>Manual proposal capture only.</x:v>
      </x:c>
    </x:row>
    <x:row r="306">
      <x:c r="A306" s="6" t="str">
        <x:v>DEC-000305</x:v>
      </x:c>
      <x:c r="B306" s="6" t="str">
        <x:v>Service Identity Review</x:v>
      </x:c>
      <x:c r="C306" s="6" t="str">
        <x:v>SIR-000305</x:v>
      </x:c>
      <x:c r="D306" s="6" t="str">
        <x:v>Service</x:v>
      </x:c>
      <x:c r="E306" s="6" t="str">
        <x:v>SVC000305</x:v>
      </x:c>
      <x:c r="F306" s="6" t="str">
        <x:v>Unresolved</x:v>
      </x:c>
      <x:c r="G306" s="6" t="str"/>
      <x:c r="H306" s="12" t="str"/>
      <x:c r="I306" s="6" t="str"/>
      <x:c r="J306" s="6" t="str"/>
      <x:c r="K306" s="6" t="str">
        <x:v>Pending</x:v>
      </x:c>
      <x:c r="L306" s="6" t="str"/>
      <x:c r="M306" s="6" t="str"/>
      <x:c r="N306" s="6" t="str">
        <x:v>Not Eligible</x:v>
      </x:c>
      <x:c r="O306" s="12" t="str">
        <x:v>Manual proposal capture only.</x:v>
      </x:c>
    </x:row>
    <x:row r="307">
      <x:c r="A307" s="6" t="str">
        <x:v>DEC-000306</x:v>
      </x:c>
      <x:c r="B307" s="6" t="str">
        <x:v>Service Identity Review</x:v>
      </x:c>
      <x:c r="C307" s="6" t="str">
        <x:v>SIR-000306</x:v>
      </x:c>
      <x:c r="D307" s="6" t="str">
        <x:v>Service</x:v>
      </x:c>
      <x:c r="E307" s="6" t="str">
        <x:v>SVC000306</x:v>
      </x:c>
      <x:c r="F307" s="6" t="str">
        <x:v>Unresolved</x:v>
      </x:c>
      <x:c r="G307" s="6" t="str"/>
      <x:c r="H307" s="12" t="str"/>
      <x:c r="I307" s="6" t="str"/>
      <x:c r="J307" s="6" t="str"/>
      <x:c r="K307" s="6" t="str">
        <x:v>Pending</x:v>
      </x:c>
      <x:c r="L307" s="6" t="str"/>
      <x:c r="M307" s="6" t="str"/>
      <x:c r="N307" s="6" t="str">
        <x:v>Not Eligible</x:v>
      </x:c>
      <x:c r="O307" s="12" t="str">
        <x:v>Manual proposal capture only.</x:v>
      </x:c>
    </x:row>
    <x:row r="308">
      <x:c r="A308" s="6" t="str">
        <x:v>DEC-000307</x:v>
      </x:c>
      <x:c r="B308" s="6" t="str">
        <x:v>Service Identity Review</x:v>
      </x:c>
      <x:c r="C308" s="6" t="str">
        <x:v>SIR-000307</x:v>
      </x:c>
      <x:c r="D308" s="6" t="str">
        <x:v>Service</x:v>
      </x:c>
      <x:c r="E308" s="6" t="str">
        <x:v>SVC000307</x:v>
      </x:c>
      <x:c r="F308" s="6" t="str">
        <x:v>Unresolved</x:v>
      </x:c>
      <x:c r="G308" s="6" t="str"/>
      <x:c r="H308" s="12" t="str"/>
      <x:c r="I308" s="6" t="str"/>
      <x:c r="J308" s="6" t="str"/>
      <x:c r="K308" s="6" t="str">
        <x:v>Pending</x:v>
      </x:c>
      <x:c r="L308" s="6" t="str"/>
      <x:c r="M308" s="6" t="str"/>
      <x:c r="N308" s="6" t="str">
        <x:v>Not Eligible</x:v>
      </x:c>
      <x:c r="O308" s="12" t="str">
        <x:v>Manual proposal capture only.</x:v>
      </x:c>
    </x:row>
    <x:row r="309">
      <x:c r="A309" s="6" t="str">
        <x:v>DEC-000308</x:v>
      </x:c>
      <x:c r="B309" s="6" t="str">
        <x:v>Service Identity Review</x:v>
      </x:c>
      <x:c r="C309" s="6" t="str">
        <x:v>SIR-000308</x:v>
      </x:c>
      <x:c r="D309" s="6" t="str">
        <x:v>Service</x:v>
      </x:c>
      <x:c r="E309" s="6" t="str">
        <x:v>SVC000308</x:v>
      </x:c>
      <x:c r="F309" s="6" t="str">
        <x:v>Unresolved</x:v>
      </x:c>
      <x:c r="G309" s="6" t="str"/>
      <x:c r="H309" s="12" t="str"/>
      <x:c r="I309" s="6" t="str"/>
      <x:c r="J309" s="6" t="str"/>
      <x:c r="K309" s="6" t="str">
        <x:v>Pending</x:v>
      </x:c>
      <x:c r="L309" s="6" t="str"/>
      <x:c r="M309" s="6" t="str"/>
      <x:c r="N309" s="6" t="str">
        <x:v>Not Eligible</x:v>
      </x:c>
      <x:c r="O309" s="12" t="str">
        <x:v>Manual proposal capture only.</x:v>
      </x:c>
    </x:row>
    <x:row r="310">
      <x:c r="A310" s="6" t="str">
        <x:v>DEC-000309</x:v>
      </x:c>
      <x:c r="B310" s="6" t="str">
        <x:v>Service Identity Review</x:v>
      </x:c>
      <x:c r="C310" s="6" t="str">
        <x:v>SIR-000309</x:v>
      </x:c>
      <x:c r="D310" s="6" t="str">
        <x:v>Service</x:v>
      </x:c>
      <x:c r="E310" s="6" t="str">
        <x:v>SVC000309</x:v>
      </x:c>
      <x:c r="F310" s="6" t="str">
        <x:v>Unresolved</x:v>
      </x:c>
      <x:c r="G310" s="6" t="str"/>
      <x:c r="H310" s="12" t="str"/>
      <x:c r="I310" s="6" t="str"/>
      <x:c r="J310" s="6" t="str"/>
      <x:c r="K310" s="6" t="str">
        <x:v>Pending</x:v>
      </x:c>
      <x:c r="L310" s="6" t="str"/>
      <x:c r="M310" s="6" t="str"/>
      <x:c r="N310" s="6" t="str">
        <x:v>Not Eligible</x:v>
      </x:c>
      <x:c r="O310" s="12" t="str">
        <x:v>Manual proposal capture only.</x:v>
      </x:c>
    </x:row>
    <x:row r="311">
      <x:c r="A311" s="6" t="str">
        <x:v>DEC-000310</x:v>
      </x:c>
      <x:c r="B311" s="6" t="str">
        <x:v>Service Identity Review</x:v>
      </x:c>
      <x:c r="C311" s="6" t="str">
        <x:v>SIR-000310</x:v>
      </x:c>
      <x:c r="D311" s="6" t="str">
        <x:v>Service</x:v>
      </x:c>
      <x:c r="E311" s="6" t="str">
        <x:v>SVC000310</x:v>
      </x:c>
      <x:c r="F311" s="6" t="str">
        <x:v>Unresolved</x:v>
      </x:c>
      <x:c r="G311" s="6" t="str"/>
      <x:c r="H311" s="12" t="str"/>
      <x:c r="I311" s="6" t="str"/>
      <x:c r="J311" s="6" t="str"/>
      <x:c r="K311" s="6" t="str">
        <x:v>Pending</x:v>
      </x:c>
      <x:c r="L311" s="6" t="str"/>
      <x:c r="M311" s="6" t="str"/>
      <x:c r="N311" s="6" t="str">
        <x:v>Not Eligible</x:v>
      </x:c>
      <x:c r="O311" s="12" t="str">
        <x:v>Manual proposal capture only.</x:v>
      </x:c>
    </x:row>
    <x:row r="312">
      <x:c r="A312" s="6" t="str">
        <x:v>DEC-000311</x:v>
      </x:c>
      <x:c r="B312" s="6" t="str">
        <x:v>Service Identity Review</x:v>
      </x:c>
      <x:c r="C312" s="6" t="str">
        <x:v>SIR-000311</x:v>
      </x:c>
      <x:c r="D312" s="6" t="str">
        <x:v>Service</x:v>
      </x:c>
      <x:c r="E312" s="6" t="str">
        <x:v>SVC000311</x:v>
      </x:c>
      <x:c r="F312" s="6" t="str">
        <x:v>Unresolved</x:v>
      </x:c>
      <x:c r="G312" s="6" t="str"/>
      <x:c r="H312" s="12" t="str"/>
      <x:c r="I312" s="6" t="str"/>
      <x:c r="J312" s="6" t="str"/>
      <x:c r="K312" s="6" t="str">
        <x:v>Pending</x:v>
      </x:c>
      <x:c r="L312" s="6" t="str"/>
      <x:c r="M312" s="6" t="str"/>
      <x:c r="N312" s="6" t="str">
        <x:v>Not Eligible</x:v>
      </x:c>
      <x:c r="O312" s="12" t="str">
        <x:v>Manual proposal capture only.</x:v>
      </x:c>
    </x:row>
    <x:row r="313">
      <x:c r="A313" s="6" t="str">
        <x:v>DEC-000312</x:v>
      </x:c>
      <x:c r="B313" s="6" t="str">
        <x:v>Service Identity Review</x:v>
      </x:c>
      <x:c r="C313" s="6" t="str">
        <x:v>SIR-000312</x:v>
      </x:c>
      <x:c r="D313" s="6" t="str">
        <x:v>Service</x:v>
      </x:c>
      <x:c r="E313" s="6" t="str">
        <x:v>SVC000312</x:v>
      </x:c>
      <x:c r="F313" s="6" t="str">
        <x:v>Unresolved</x:v>
      </x:c>
      <x:c r="G313" s="6" t="str"/>
      <x:c r="H313" s="12" t="str"/>
      <x:c r="I313" s="6" t="str"/>
      <x:c r="J313" s="6" t="str"/>
      <x:c r="K313" s="6" t="str">
        <x:v>Pending</x:v>
      </x:c>
      <x:c r="L313" s="6" t="str"/>
      <x:c r="M313" s="6" t="str"/>
      <x:c r="N313" s="6" t="str">
        <x:v>Not Eligible</x:v>
      </x:c>
      <x:c r="O313" s="12" t="str">
        <x:v>Manual proposal capture only.</x:v>
      </x:c>
    </x:row>
    <x:row r="314">
      <x:c r="A314" s="6" t="str">
        <x:v>DEC-000313</x:v>
      </x:c>
      <x:c r="B314" s="6" t="str">
        <x:v>Service Identity Review</x:v>
      </x:c>
      <x:c r="C314" s="6" t="str">
        <x:v>SIR-000313</x:v>
      </x:c>
      <x:c r="D314" s="6" t="str">
        <x:v>Service</x:v>
      </x:c>
      <x:c r="E314" s="6" t="str">
        <x:v>SVC000313</x:v>
      </x:c>
      <x:c r="F314" s="6" t="str">
        <x:v>Unresolved</x:v>
      </x:c>
      <x:c r="G314" s="6" t="str"/>
      <x:c r="H314" s="12" t="str"/>
      <x:c r="I314" s="6" t="str"/>
      <x:c r="J314" s="6" t="str"/>
      <x:c r="K314" s="6" t="str">
        <x:v>Pending</x:v>
      </x:c>
      <x:c r="L314" s="6" t="str"/>
      <x:c r="M314" s="6" t="str"/>
      <x:c r="N314" s="6" t="str">
        <x:v>Not Eligible</x:v>
      </x:c>
      <x:c r="O314" s="12" t="str">
        <x:v>Manual proposal capture only.</x:v>
      </x:c>
    </x:row>
    <x:row r="315">
      <x:c r="A315" s="6" t="str">
        <x:v>DEC-000314</x:v>
      </x:c>
      <x:c r="B315" s="6" t="str">
        <x:v>Service Identity Review</x:v>
      </x:c>
      <x:c r="C315" s="6" t="str">
        <x:v>SIR-000314</x:v>
      </x:c>
      <x:c r="D315" s="6" t="str">
        <x:v>Service</x:v>
      </x:c>
      <x:c r="E315" s="6" t="str">
        <x:v>SVC000314</x:v>
      </x:c>
      <x:c r="F315" s="6" t="str">
        <x:v>Unresolved</x:v>
      </x:c>
      <x:c r="G315" s="6" t="str"/>
      <x:c r="H315" s="12" t="str"/>
      <x:c r="I315" s="6" t="str"/>
      <x:c r="J315" s="6" t="str"/>
      <x:c r="K315" s="6" t="str">
        <x:v>Pending</x:v>
      </x:c>
      <x:c r="L315" s="6" t="str"/>
      <x:c r="M315" s="6" t="str"/>
      <x:c r="N315" s="6" t="str">
        <x:v>Not Eligible</x:v>
      </x:c>
      <x:c r="O315" s="12" t="str">
        <x:v>Manual proposal capture only.</x:v>
      </x:c>
    </x:row>
  </x:sheetData>
  <x:dataValidations count="3">
    <x:dataValidation type="list" sqref="K2:K315">
      <x:formula1>"Pending,Approved,Rejected,Escalated,Not Approved"</x:formula1>
    </x:dataValidation>
    <x:dataValidation type="list" sqref="N2:N315">
      <x:formula1>"Not Eligible"</x:formula1>
    </x:dataValidation>
    <x:dataValidation type="list" sqref="E2:E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688d26e5c24a9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4.8799991607666" hidden="0" customWidth="1"/>
    <x:col min="3" max="3" width="14.380000114440918" hidden="0" customWidth="1"/>
    <x:col min="4" max="4" width="27.25" hidden="0" customWidth="1"/>
    <x:col min="5" max="5" width="19.3799991607666" hidden="0" customWidth="1"/>
    <x:col min="6" max="6" width="45.880001068115234" hidden="0" customWidth="1"/>
    <x:col min="7" max="7" width="36.630001068115234" hidden="0" customWidth="1"/>
    <x:col min="8" max="8" width="17.25" hidden="0" customWidth="1"/>
    <x:col min="9" max="9" width="17.25" hidden="0" customWidth="1"/>
    <x:col min="10" max="10" width="10.130000114440918" hidden="0" customWidth="1"/>
    <x:col min="11" max="11" width="16.3799991607666" hidden="0" customWidth="1"/>
    <x:col min="12" max="12" width="16.1299991607666" hidden="0" customWidth="1"/>
  </x:cols>
  <x:sheetData>
    <x:row r="1">
      <x:c r="A1" s="5" t="str">
        <x:v>Escalation ID</x:v>
      </x:c>
      <x:c r="B1" s="5" t="str">
        <x:v>Source Review Sheet</x:v>
      </x:c>
      <x:c r="C1" s="5" t="str">
        <x:v>Review Item ID</x:v>
      </x:c>
      <x:c r="D1" s="5" t="str">
        <x:v>Service ID</x:v>
      </x:c>
      <x:c r="E1" s="5" t="str">
        <x:v>Escalation Type</x:v>
      </x:c>
      <x:c r="F1" s="5" t="str">
        <x:v>Issue Summary</x:v>
      </x:c>
      <x:c r="G1" s="5" t="str">
        <x:v>Evidence Needed</x:v>
      </x:c>
      <x:c r="H1" s="5" t="str">
        <x:v>Assigned Reviewer</x:v>
      </x:c>
      <x:c r="I1" s="5" t="str">
        <x:v>Assigned Approver</x:v>
      </x:c>
      <x:c r="J1" s="5" t="str">
        <x:v>Due Date</x:v>
      </x:c>
      <x:c r="K1" s="5" t="str">
        <x:v>Escalation Status</x:v>
      </x:c>
      <x:c r="L1" s="5" t="str">
        <x:v>Resolution Notes</x:v>
      </x:c>
    </x:row>
    <x:row r="2">
      <x:c r="A2" s="6" t="str">
        <x:v>ESC-000001</x:v>
      </x:c>
      <x:c r="B2" s="6" t="str">
        <x:v>Unsupported Relationship Review</x:v>
      </x:c>
      <x:c r="C2" s="6" t="str">
        <x:v>UNS000001</x:v>
      </x:c>
      <x:c r="D2" s="6" t="str">
        <x:v>SVC000001</x:v>
      </x:c>
      <x:c r="E2" s="6" t="str">
        <x:v>Unsupported Relationship</x:v>
      </x:c>
      <x:c r="F2" s="12" t="str">
        <x:v>Device family alone is insufficient for governed relationship.</x:v>
      </x:c>
      <x:c r="G2" s="12" t="str">
        <x:v>Explicit governed evidence supporting relationship</x:v>
      </x:c>
      <x:c r="H2" s="6" t="str"/>
      <x:c r="I2" s="6" t="str"/>
      <x:c r="J2" s="6" t="str"/>
      <x:c r="K2" s="6" t="str">
        <x:v>Open</x:v>
      </x:c>
      <x:c r="L2" s="6" t="str"/>
    </x:row>
    <x:row r="3">
      <x:c r="A3" s="6" t="str">
        <x:v>ESC-000002</x:v>
      </x:c>
      <x:c r="B3" s="6" t="str">
        <x:v>Unsupported Relationship Review</x:v>
      </x:c>
      <x:c r="C3" s="6" t="str">
        <x:v>UNS000002</x:v>
      </x:c>
      <x:c r="D3" s="6" t="str">
        <x:v>SVC000002</x:v>
      </x:c>
      <x:c r="E3" s="6" t="str">
        <x:v>Unsupported Relationship</x:v>
      </x:c>
      <x:c r="F3" s="12" t="str">
        <x:v>Device family alone is insufficient for governed relationship.</x:v>
      </x:c>
      <x:c r="G3" s="12" t="str">
        <x:v>Explicit governed evidence supporting relationship</x:v>
      </x:c>
      <x:c r="H3" s="6" t="str"/>
      <x:c r="I3" s="6" t="str"/>
      <x:c r="J3" s="6" t="str"/>
      <x:c r="K3" s="6" t="str">
        <x:v>Open</x:v>
      </x:c>
      <x:c r="L3" s="6" t="str"/>
    </x:row>
    <x:row r="4">
      <x:c r="A4" s="6" t="str">
        <x:v>ESC-000003</x:v>
      </x:c>
      <x:c r="B4" s="6" t="str">
        <x:v>Unsupported Relationship Review</x:v>
      </x:c>
      <x:c r="C4" s="6" t="str">
        <x:v>UNS000003</x:v>
      </x:c>
      <x:c r="D4" s="6" t="str">
        <x:v>SVC000003</x:v>
      </x:c>
      <x:c r="E4" s="6" t="str">
        <x:v>Unsupported Relationship</x:v>
      </x:c>
      <x:c r="F4" s="12" t="str">
        <x:v>Device family alone is insufficient for governed relationship.</x:v>
      </x:c>
      <x:c r="G4" s="12" t="str">
        <x:v>Explicit governed evidence supporting relationship</x:v>
      </x:c>
      <x:c r="H4" s="6" t="str"/>
      <x:c r="I4" s="6" t="str"/>
      <x:c r="J4" s="6" t="str"/>
      <x:c r="K4" s="6" t="str">
        <x:v>Open</x:v>
      </x:c>
      <x:c r="L4" s="6" t="str"/>
    </x:row>
    <x:row r="5">
      <x:c r="A5" s="6" t="str">
        <x:v>ESC-000004</x:v>
      </x:c>
      <x:c r="B5" s="6" t="str">
        <x:v>Unsupported Relationship Review</x:v>
      </x:c>
      <x:c r="C5" s="6" t="str">
        <x:v>UNS000004</x:v>
      </x:c>
      <x:c r="D5" s="6" t="str">
        <x:v>SVC000004</x:v>
      </x:c>
      <x:c r="E5" s="6" t="str">
        <x:v>Unsupported Relationship</x:v>
      </x:c>
      <x:c r="F5" s="12" t="str">
        <x:v>Device family alone is insufficient for governed relationship.</x:v>
      </x:c>
      <x:c r="G5" s="12" t="str">
        <x:v>Explicit governed evidence supporting relationship</x:v>
      </x:c>
      <x:c r="H5" s="6" t="str"/>
      <x:c r="I5" s="6" t="str"/>
      <x:c r="J5" s="6" t="str"/>
      <x:c r="K5" s="6" t="str">
        <x:v>Open</x:v>
      </x:c>
      <x:c r="L5" s="6" t="str"/>
    </x:row>
    <x:row r="6">
      <x:c r="A6" s="6" t="str">
        <x:v>ESC-000005</x:v>
      </x:c>
      <x:c r="B6" s="6" t="str">
        <x:v>Unsupported Relationship Review</x:v>
      </x:c>
      <x:c r="C6" s="6" t="str">
        <x:v>UNS000005</x:v>
      </x:c>
      <x:c r="D6" s="6" t="str">
        <x:v>SVC000005</x:v>
      </x:c>
      <x:c r="E6" s="6" t="str">
        <x:v>Unsupported Relationship</x:v>
      </x:c>
      <x:c r="F6" s="12" t="str">
        <x:v>Device family alone is insufficient for governed relationship.</x:v>
      </x:c>
      <x:c r="G6" s="12" t="str">
        <x:v>Explicit governed evidence supporting relationship</x:v>
      </x:c>
      <x:c r="H6" s="6" t="str"/>
      <x:c r="I6" s="6" t="str"/>
      <x:c r="J6" s="6" t="str"/>
      <x:c r="K6" s="6" t="str">
        <x:v>Open</x:v>
      </x:c>
      <x:c r="L6" s="6" t="str"/>
    </x:row>
    <x:row r="7">
      <x:c r="A7" s="6" t="str">
        <x:v>ESC-000006</x:v>
      </x:c>
      <x:c r="B7" s="6" t="str">
        <x:v>Unsupported Relationship Review</x:v>
      </x:c>
      <x:c r="C7" s="6" t="str">
        <x:v>UNS000006</x:v>
      </x:c>
      <x:c r="D7" s="6" t="str">
        <x:v>SVC000006</x:v>
      </x:c>
      <x:c r="E7" s="6" t="str">
        <x:v>Unsupported Relationship</x:v>
      </x:c>
      <x:c r="F7" s="12" t="str">
        <x:v>Device family alone is insufficient for governed relationship.</x:v>
      </x:c>
      <x:c r="G7" s="12" t="str">
        <x:v>Explicit governed evidence supporting relationship</x:v>
      </x:c>
      <x:c r="H7" s="6" t="str"/>
      <x:c r="I7" s="6" t="str"/>
      <x:c r="J7" s="6" t="str"/>
      <x:c r="K7" s="6" t="str">
        <x:v>Open</x:v>
      </x:c>
      <x:c r="L7" s="6" t="str"/>
    </x:row>
    <x:row r="8">
      <x:c r="A8" s="6" t="str">
        <x:v>ESC-000007</x:v>
      </x:c>
      <x:c r="B8" s="6" t="str">
        <x:v>Unsupported Relationship Review</x:v>
      </x:c>
      <x:c r="C8" s="6" t="str">
        <x:v>UNS000007</x:v>
      </x:c>
      <x:c r="D8" s="6" t="str">
        <x:v>SVC000007</x:v>
      </x:c>
      <x:c r="E8" s="6" t="str">
        <x:v>Unsupported Relationship</x:v>
      </x:c>
      <x:c r="F8" s="12" t="str">
        <x:v>Device family alone is insufficient for governed relationship.</x:v>
      </x:c>
      <x:c r="G8" s="12" t="str">
        <x:v>Explicit governed evidence supporting relationship</x:v>
      </x:c>
      <x:c r="H8" s="6" t="str"/>
      <x:c r="I8" s="6" t="str"/>
      <x:c r="J8" s="6" t="str"/>
      <x:c r="K8" s="6" t="str">
        <x:v>Open</x:v>
      </x:c>
      <x:c r="L8" s="6" t="str"/>
    </x:row>
    <x:row r="9">
      <x:c r="A9" s="6" t="str">
        <x:v>ESC-000008</x:v>
      </x:c>
      <x:c r="B9" s="6" t="str">
        <x:v>Unsupported Relationship Review</x:v>
      </x:c>
      <x:c r="C9" s="6" t="str">
        <x:v>UNS000008</x:v>
      </x:c>
      <x:c r="D9" s="6" t="str">
        <x:v>SVC000008</x:v>
      </x:c>
      <x:c r="E9" s="6" t="str">
        <x:v>Unsupported Relationship</x:v>
      </x:c>
      <x:c r="F9" s="12" t="str">
        <x:v>Device family alone is insufficient for governed relationship.</x:v>
      </x:c>
      <x:c r="G9" s="12" t="str">
        <x:v>Explicit governed evidence supporting relationship</x:v>
      </x:c>
      <x:c r="H9" s="6" t="str"/>
      <x:c r="I9" s="6" t="str"/>
      <x:c r="J9" s="6" t="str"/>
      <x:c r="K9" s="6" t="str">
        <x:v>Open</x:v>
      </x:c>
      <x:c r="L9" s="6" t="str"/>
    </x:row>
    <x:row r="10">
      <x:c r="A10" s="6" t="str">
        <x:v>ESC-000009</x:v>
      </x:c>
      <x:c r="B10" s="6" t="str">
        <x:v>Unsupported Relationship Review</x:v>
      </x:c>
      <x:c r="C10" s="6" t="str">
        <x:v>UNS000009</x:v>
      </x:c>
      <x:c r="D10" s="6" t="str">
        <x:v>SVC000009</x:v>
      </x:c>
      <x:c r="E10" s="6" t="str">
        <x:v>Unsupported Relationship</x:v>
      </x:c>
      <x:c r="F10" s="12" t="str">
        <x:v>Device family alone is insufficient for governed relationship.</x:v>
      </x:c>
      <x:c r="G10" s="12" t="str">
        <x:v>Explicit governed evidence supporting relationship</x:v>
      </x:c>
      <x:c r="H10" s="6" t="str"/>
      <x:c r="I10" s="6" t="str"/>
      <x:c r="J10" s="6" t="str"/>
      <x:c r="K10" s="6" t="str">
        <x:v>Open</x:v>
      </x:c>
      <x:c r="L10" s="6" t="str"/>
    </x:row>
    <x:row r="11">
      <x:c r="A11" s="6" t="str">
        <x:v>ESC-000010</x:v>
      </x:c>
      <x:c r="B11" s="6" t="str">
        <x:v>Unsupported Relationship Review</x:v>
      </x:c>
      <x:c r="C11" s="6" t="str">
        <x:v>UNS000010</x:v>
      </x:c>
      <x:c r="D11" s="6" t="str">
        <x:v>SVC000010</x:v>
      </x:c>
      <x:c r="E11" s="6" t="str">
        <x:v>Unsupported Relationship</x:v>
      </x:c>
      <x:c r="F11" s="12" t="str">
        <x:v>Device family alone is insufficient for governed relationship.</x:v>
      </x:c>
      <x:c r="G11" s="12" t="str">
        <x:v>Explicit governed evidence supporting relationship</x:v>
      </x:c>
      <x:c r="H11" s="6" t="str"/>
      <x:c r="I11" s="6" t="str"/>
      <x:c r="J11" s="6" t="str"/>
      <x:c r="K11" s="6" t="str">
        <x:v>Open</x:v>
      </x:c>
      <x:c r="L11" s="6" t="str"/>
    </x:row>
    <x:row r="12">
      <x:c r="A12" s="6" t="str">
        <x:v>ESC-000011</x:v>
      </x:c>
      <x:c r="B12" s="6" t="str">
        <x:v>Unsupported Relationship Review</x:v>
      </x:c>
      <x:c r="C12" s="6" t="str">
        <x:v>UNS000011</x:v>
      </x:c>
      <x:c r="D12" s="6" t="str">
        <x:v>SVC000011</x:v>
      </x:c>
      <x:c r="E12" s="6" t="str">
        <x:v>Unsupported Relationship</x:v>
      </x:c>
      <x:c r="F12" s="12" t="str">
        <x:v>Device family alone is insufficient for governed relationship.</x:v>
      </x:c>
      <x:c r="G12" s="12" t="str">
        <x:v>Explicit governed evidence supporting relationship</x:v>
      </x:c>
      <x:c r="H12" s="6" t="str"/>
      <x:c r="I12" s="6" t="str"/>
      <x:c r="J12" s="6" t="str"/>
      <x:c r="K12" s="6" t="str">
        <x:v>Open</x:v>
      </x:c>
      <x:c r="L12" s="6" t="str"/>
    </x:row>
    <x:row r="13">
      <x:c r="A13" s="6" t="str">
        <x:v>ESC-000012</x:v>
      </x:c>
      <x:c r="B13" s="6" t="str">
        <x:v>Unsupported Relationship Review</x:v>
      </x:c>
      <x:c r="C13" s="6" t="str">
        <x:v>UNS000012</x:v>
      </x:c>
      <x:c r="D13" s="6" t="str">
        <x:v>SVC000012</x:v>
      </x:c>
      <x:c r="E13" s="6" t="str">
        <x:v>Unsupported Relationship</x:v>
      </x:c>
      <x:c r="F13" s="12" t="str">
        <x:v>Device family alone is insufficient for governed relationship.</x:v>
      </x:c>
      <x:c r="G13" s="12" t="str">
        <x:v>Explicit governed evidence supporting relationship</x:v>
      </x:c>
      <x:c r="H13" s="6" t="str"/>
      <x:c r="I13" s="6" t="str"/>
      <x:c r="J13" s="6" t="str"/>
      <x:c r="K13" s="6" t="str">
        <x:v>Open</x:v>
      </x:c>
      <x:c r="L13" s="6" t="str"/>
    </x:row>
    <x:row r="14">
      <x:c r="A14" s="6" t="str">
        <x:v>ESC-000013</x:v>
      </x:c>
      <x:c r="B14" s="6" t="str">
        <x:v>Unsupported Relationship Review</x:v>
      </x:c>
      <x:c r="C14" s="6" t="str">
        <x:v>UNS000013</x:v>
      </x:c>
      <x:c r="D14" s="6" t="str">
        <x:v>SVC000013</x:v>
      </x:c>
      <x:c r="E14" s="6" t="str">
        <x:v>Unsupported Relationship</x:v>
      </x:c>
      <x:c r="F14" s="12" t="str">
        <x:v>Device family alone is insufficient for governed relationship.</x:v>
      </x:c>
      <x:c r="G14" s="12" t="str">
        <x:v>Explicit governed evidence supporting relationship</x:v>
      </x:c>
      <x:c r="H14" s="6" t="str"/>
      <x:c r="I14" s="6" t="str"/>
      <x:c r="J14" s="6" t="str"/>
      <x:c r="K14" s="6" t="str">
        <x:v>Open</x:v>
      </x:c>
      <x:c r="L14" s="6" t="str"/>
    </x:row>
    <x:row r="15">
      <x:c r="A15" s="6" t="str">
        <x:v>ESC-000014</x:v>
      </x:c>
      <x:c r="B15" s="6" t="str">
        <x:v>Unsupported Relationship Review</x:v>
      </x:c>
      <x:c r="C15" s="6" t="str">
        <x:v>UNS000014</x:v>
      </x:c>
      <x:c r="D15" s="6" t="str">
        <x:v>SVC000014</x:v>
      </x:c>
      <x:c r="E15" s="6" t="str">
        <x:v>Unsupported Relationship</x:v>
      </x:c>
      <x:c r="F15" s="12" t="str">
        <x:v>Device family alone is insufficient for governed relationship.</x:v>
      </x:c>
      <x:c r="G15" s="12" t="str">
        <x:v>Explicit governed evidence supporting relationship</x:v>
      </x:c>
      <x:c r="H15" s="6" t="str"/>
      <x:c r="I15" s="6" t="str"/>
      <x:c r="J15" s="6" t="str"/>
      <x:c r="K15" s="6" t="str">
        <x:v>Open</x:v>
      </x:c>
      <x:c r="L15" s="6" t="str"/>
    </x:row>
    <x:row r="16">
      <x:c r="A16" s="6" t="str">
        <x:v>ESC-000015</x:v>
      </x:c>
      <x:c r="B16" s="6" t="str">
        <x:v>Unsupported Relationship Review</x:v>
      </x:c>
      <x:c r="C16" s="6" t="str">
        <x:v>UNS000015</x:v>
      </x:c>
      <x:c r="D16" s="6" t="str">
        <x:v>SVC000015</x:v>
      </x:c>
      <x:c r="E16" s="6" t="str">
        <x:v>Unsupported Relationship</x:v>
      </x:c>
      <x:c r="F16" s="12" t="str">
        <x:v>Device family alone is insufficient for governed relationship.</x:v>
      </x:c>
      <x:c r="G16" s="12" t="str">
        <x:v>Explicit governed evidence supporting relationship</x:v>
      </x:c>
      <x:c r="H16" s="6" t="str"/>
      <x:c r="I16" s="6" t="str"/>
      <x:c r="J16" s="6" t="str"/>
      <x:c r="K16" s="6" t="str">
        <x:v>Open</x:v>
      </x:c>
      <x:c r="L16" s="6" t="str"/>
    </x:row>
    <x:row r="17">
      <x:c r="A17" s="6" t="str">
        <x:v>ESC-000016</x:v>
      </x:c>
      <x:c r="B17" s="6" t="str">
        <x:v>Unsupported Relationship Review</x:v>
      </x:c>
      <x:c r="C17" s="6" t="str">
        <x:v>UNS000016</x:v>
      </x:c>
      <x:c r="D17" s="6" t="str">
        <x:v>SVC000016</x:v>
      </x:c>
      <x:c r="E17" s="6" t="str">
        <x:v>Unsupported Relationship</x:v>
      </x:c>
      <x:c r="F17" s="12" t="str">
        <x:v>Device family alone is insufficient for governed relationship.</x:v>
      </x:c>
      <x:c r="G17" s="12" t="str">
        <x:v>Explicit governed evidence supporting relationship</x:v>
      </x:c>
      <x:c r="H17" s="6" t="str"/>
      <x:c r="I17" s="6" t="str"/>
      <x:c r="J17" s="6" t="str"/>
      <x:c r="K17" s="6" t="str">
        <x:v>Open</x:v>
      </x:c>
      <x:c r="L17" s="6" t="str"/>
    </x:row>
    <x:row r="18">
      <x:c r="A18" s="6" t="str">
        <x:v>ESC-000017</x:v>
      </x:c>
      <x:c r="B18" s="6" t="str">
        <x:v>Unsupported Relationship Review</x:v>
      </x:c>
      <x:c r="C18" s="6" t="str">
        <x:v>UNS000017</x:v>
      </x:c>
      <x:c r="D18" s="6" t="str">
        <x:v>SVC000017</x:v>
      </x:c>
      <x:c r="E18" s="6" t="str">
        <x:v>Unsupported Relationship</x:v>
      </x:c>
      <x:c r="F18" s="12" t="str">
        <x:v>Device family alone is insufficient for governed relationship.</x:v>
      </x:c>
      <x:c r="G18" s="12" t="str">
        <x:v>Explicit governed evidence supporting relationship</x:v>
      </x:c>
      <x:c r="H18" s="6" t="str"/>
      <x:c r="I18" s="6" t="str"/>
      <x:c r="J18" s="6" t="str"/>
      <x:c r="K18" s="6" t="str">
        <x:v>Open</x:v>
      </x:c>
      <x:c r="L18" s="6" t="str"/>
    </x:row>
    <x:row r="19">
      <x:c r="A19" s="6" t="str">
        <x:v>ESC-000018</x:v>
      </x:c>
      <x:c r="B19" s="6" t="str">
        <x:v>Unsupported Relationship Review</x:v>
      </x:c>
      <x:c r="C19" s="6" t="str">
        <x:v>UNS000018</x:v>
      </x:c>
      <x:c r="D19" s="6" t="str">
        <x:v>SVC000018</x:v>
      </x:c>
      <x:c r="E19" s="6" t="str">
        <x:v>Unsupported Relationship</x:v>
      </x:c>
      <x:c r="F19" s="12" t="str">
        <x:v>Device family alone is insufficient for governed relationship.</x:v>
      </x:c>
      <x:c r="G19" s="12" t="str">
        <x:v>Explicit governed evidence supporting relationship</x:v>
      </x:c>
      <x:c r="H19" s="6" t="str"/>
      <x:c r="I19" s="6" t="str"/>
      <x:c r="J19" s="6" t="str"/>
      <x:c r="K19" s="6" t="str">
        <x:v>Open</x:v>
      </x:c>
      <x:c r="L19" s="6" t="str"/>
    </x:row>
    <x:row r="20">
      <x:c r="A20" s="6" t="str">
        <x:v>ESC-000019</x:v>
      </x:c>
      <x:c r="B20" s="6" t="str">
        <x:v>Unsupported Relationship Review</x:v>
      </x:c>
      <x:c r="C20" s="6" t="str">
        <x:v>UNS000019</x:v>
      </x:c>
      <x:c r="D20" s="6" t="str">
        <x:v>SVC000019</x:v>
      </x:c>
      <x:c r="E20" s="6" t="str">
        <x:v>Unsupported Relationship</x:v>
      </x:c>
      <x:c r="F20" s="12" t="str">
        <x:v>Device family alone is insufficient for governed relationship.</x:v>
      </x:c>
      <x:c r="G20" s="12" t="str">
        <x:v>Explicit governed evidence supporting relationship</x:v>
      </x:c>
      <x:c r="H20" s="6" t="str"/>
      <x:c r="I20" s="6" t="str"/>
      <x:c r="J20" s="6" t="str"/>
      <x:c r="K20" s="6" t="str">
        <x:v>Open</x:v>
      </x:c>
      <x:c r="L20" s="6" t="str"/>
    </x:row>
    <x:row r="21">
      <x:c r="A21" s="6" t="str">
        <x:v>ESC-000020</x:v>
      </x:c>
      <x:c r="B21" s="6" t="str">
        <x:v>Unsupported Relationship Review</x:v>
      </x:c>
      <x:c r="C21" s="6" t="str">
        <x:v>UNS000020</x:v>
      </x:c>
      <x:c r="D21" s="6" t="str">
        <x:v>SVC000020</x:v>
      </x:c>
      <x:c r="E21" s="6" t="str">
        <x:v>Unsupported Relationship</x:v>
      </x:c>
      <x:c r="F21" s="12" t="str">
        <x:v>Device family alone is insufficient for governed relationship.</x:v>
      </x:c>
      <x:c r="G21" s="12" t="str">
        <x:v>Explicit governed evidence supporting relationship</x:v>
      </x:c>
      <x:c r="H21" s="6" t="str"/>
      <x:c r="I21" s="6" t="str"/>
      <x:c r="J21" s="6" t="str"/>
      <x:c r="K21" s="6" t="str">
        <x:v>Open</x:v>
      </x:c>
      <x:c r="L21" s="6" t="str"/>
    </x:row>
    <x:row r="22">
      <x:c r="A22" s="6" t="str">
        <x:v>ESC-000021</x:v>
      </x:c>
      <x:c r="B22" s="6" t="str">
        <x:v>Unsupported Relationship Review</x:v>
      </x:c>
      <x:c r="C22" s="6" t="str">
        <x:v>UNS000021</x:v>
      </x:c>
      <x:c r="D22" s="6" t="str">
        <x:v>SVC000021</x:v>
      </x:c>
      <x:c r="E22" s="6" t="str">
        <x:v>Unsupported Relationship</x:v>
      </x:c>
      <x:c r="F22" s="12" t="str">
        <x:v>Device family alone is insufficient for governed relationship.</x:v>
      </x:c>
      <x:c r="G22" s="12" t="str">
        <x:v>Explicit governed evidence supporting relationship</x:v>
      </x:c>
      <x:c r="H22" s="6" t="str"/>
      <x:c r="I22" s="6" t="str"/>
      <x:c r="J22" s="6" t="str"/>
      <x:c r="K22" s="6" t="str">
        <x:v>Open</x:v>
      </x:c>
      <x:c r="L22" s="6" t="str"/>
    </x:row>
    <x:row r="23">
      <x:c r="A23" s="6" t="str">
        <x:v>ESC-000022</x:v>
      </x:c>
      <x:c r="B23" s="6" t="str">
        <x:v>Unsupported Relationship Review</x:v>
      </x:c>
      <x:c r="C23" s="6" t="str">
        <x:v>UNS000022</x:v>
      </x:c>
      <x:c r="D23" s="6" t="str">
        <x:v>SVC000022</x:v>
      </x:c>
      <x:c r="E23" s="6" t="str">
        <x:v>Unsupported Relationship</x:v>
      </x:c>
      <x:c r="F23" s="12" t="str">
        <x:v>Device family alone is insufficient for governed relationship.</x:v>
      </x:c>
      <x:c r="G23" s="12" t="str">
        <x:v>Explicit governed evidence supporting relationship</x:v>
      </x:c>
      <x:c r="H23" s="6" t="str"/>
      <x:c r="I23" s="6" t="str"/>
      <x:c r="J23" s="6" t="str"/>
      <x:c r="K23" s="6" t="str">
        <x:v>Open</x:v>
      </x:c>
      <x:c r="L23" s="6" t="str"/>
    </x:row>
    <x:row r="24">
      <x:c r="A24" s="6" t="str">
        <x:v>ESC-000023</x:v>
      </x:c>
      <x:c r="B24" s="6" t="str">
        <x:v>Unsupported Relationship Review</x:v>
      </x:c>
      <x:c r="C24" s="6" t="str">
        <x:v>UNS000023</x:v>
      </x:c>
      <x:c r="D24" s="6" t="str">
        <x:v>SVC000023</x:v>
      </x:c>
      <x:c r="E24" s="6" t="str">
        <x:v>Unsupported Relationship</x:v>
      </x:c>
      <x:c r="F24" s="12" t="str">
        <x:v>Device family alone is insufficient for governed relationship.</x:v>
      </x:c>
      <x:c r="G24" s="12" t="str">
        <x:v>Explicit governed evidence supporting relationship</x:v>
      </x:c>
      <x:c r="H24" s="6" t="str"/>
      <x:c r="I24" s="6" t="str"/>
      <x:c r="J24" s="6" t="str"/>
      <x:c r="K24" s="6" t="str">
        <x:v>Open</x:v>
      </x:c>
      <x:c r="L24" s="6" t="str"/>
    </x:row>
    <x:row r="25">
      <x:c r="A25" s="6" t="str">
        <x:v>ESC-000024</x:v>
      </x:c>
      <x:c r="B25" s="6" t="str">
        <x:v>Unsupported Relationship Review</x:v>
      </x:c>
      <x:c r="C25" s="6" t="str">
        <x:v>UNS000024</x:v>
      </x:c>
      <x:c r="D25" s="6" t="str">
        <x:v>SVC000024</x:v>
      </x:c>
      <x:c r="E25" s="6" t="str">
        <x:v>Unsupported Relationship</x:v>
      </x:c>
      <x:c r="F25" s="12" t="str">
        <x:v>Device family alone is insufficient for governed relationship.</x:v>
      </x:c>
      <x:c r="G25" s="12" t="str">
        <x:v>Explicit governed evidence supporting relationship</x:v>
      </x:c>
      <x:c r="H25" s="6" t="str"/>
      <x:c r="I25" s="6" t="str"/>
      <x:c r="J25" s="6" t="str"/>
      <x:c r="K25" s="6" t="str">
        <x:v>Open</x:v>
      </x:c>
      <x:c r="L25" s="6" t="str"/>
    </x:row>
    <x:row r="26">
      <x:c r="A26" s="6" t="str">
        <x:v>ESC-000025</x:v>
      </x:c>
      <x:c r="B26" s="6" t="str">
        <x:v>Unsupported Relationship Review</x:v>
      </x:c>
      <x:c r="C26" s="6" t="str">
        <x:v>UNS000025</x:v>
      </x:c>
      <x:c r="D26" s="6" t="str">
        <x:v>SVC000025</x:v>
      </x:c>
      <x:c r="E26" s="6" t="str">
        <x:v>Unsupported Relationship</x:v>
      </x:c>
      <x:c r="F26" s="12" t="str">
        <x:v>Device family alone is insufficient for governed relationship.</x:v>
      </x:c>
      <x:c r="G26" s="12" t="str">
        <x:v>Explicit governed evidence supporting relationship</x:v>
      </x:c>
      <x:c r="H26" s="6" t="str"/>
      <x:c r="I26" s="6" t="str"/>
      <x:c r="J26" s="6" t="str"/>
      <x:c r="K26" s="6" t="str">
        <x:v>Open</x:v>
      </x:c>
      <x:c r="L26" s="6" t="str"/>
    </x:row>
    <x:row r="27">
      <x:c r="A27" s="6" t="str">
        <x:v>ESC-000026</x:v>
      </x:c>
      <x:c r="B27" s="6" t="str">
        <x:v>Unsupported Relationship Review</x:v>
      </x:c>
      <x:c r="C27" s="6" t="str">
        <x:v>UNS000026</x:v>
      </x:c>
      <x:c r="D27" s="6" t="str">
        <x:v>SVC000026</x:v>
      </x:c>
      <x:c r="E27" s="6" t="str">
        <x:v>Unsupported Relationship</x:v>
      </x:c>
      <x:c r="F27" s="12" t="str">
        <x:v>Device family alone is insufficient for governed relationship.</x:v>
      </x:c>
      <x:c r="G27" s="12" t="str">
        <x:v>Explicit governed evidence supporting relationship</x:v>
      </x:c>
      <x:c r="H27" s="6" t="str"/>
      <x:c r="I27" s="6" t="str"/>
      <x:c r="J27" s="6" t="str"/>
      <x:c r="K27" s="6" t="str">
        <x:v>Open</x:v>
      </x:c>
      <x:c r="L27" s="6" t="str"/>
    </x:row>
    <x:row r="28">
      <x:c r="A28" s="6" t="str">
        <x:v>ESC-000027</x:v>
      </x:c>
      <x:c r="B28" s="6" t="str">
        <x:v>Unsupported Relationship Review</x:v>
      </x:c>
      <x:c r="C28" s="6" t="str">
        <x:v>UNS000027</x:v>
      </x:c>
      <x:c r="D28" s="6" t="str">
        <x:v>SVC000027</x:v>
      </x:c>
      <x:c r="E28" s="6" t="str">
        <x:v>Unsupported Relationship</x:v>
      </x:c>
      <x:c r="F28" s="12" t="str">
        <x:v>Device family alone is insufficient for governed relationship.</x:v>
      </x:c>
      <x:c r="G28" s="12" t="str">
        <x:v>Explicit governed evidence supporting relationship</x:v>
      </x:c>
      <x:c r="H28" s="6" t="str"/>
      <x:c r="I28" s="6" t="str"/>
      <x:c r="J28" s="6" t="str"/>
      <x:c r="K28" s="6" t="str">
        <x:v>Open</x:v>
      </x:c>
      <x:c r="L28" s="6" t="str"/>
    </x:row>
    <x:row r="29">
      <x:c r="A29" s="6" t="str">
        <x:v>ESC-000028</x:v>
      </x:c>
      <x:c r="B29" s="6" t="str">
        <x:v>Unsupported Relationship Review</x:v>
      </x:c>
      <x:c r="C29" s="6" t="str">
        <x:v>UNS000028</x:v>
      </x:c>
      <x:c r="D29" s="6" t="str">
        <x:v>SVC000028</x:v>
      </x:c>
      <x:c r="E29" s="6" t="str">
        <x:v>Unsupported Relationship</x:v>
      </x:c>
      <x:c r="F29" s="12" t="str">
        <x:v>Device family alone is insufficient for governed relationship.</x:v>
      </x:c>
      <x:c r="G29" s="12" t="str">
        <x:v>Explicit governed evidence supporting relationship</x:v>
      </x:c>
      <x:c r="H29" s="6" t="str"/>
      <x:c r="I29" s="6" t="str"/>
      <x:c r="J29" s="6" t="str"/>
      <x:c r="K29" s="6" t="str">
        <x:v>Open</x:v>
      </x:c>
      <x:c r="L29" s="6" t="str"/>
    </x:row>
    <x:row r="30">
      <x:c r="A30" s="6" t="str">
        <x:v>ESC-000029</x:v>
      </x:c>
      <x:c r="B30" s="6" t="str">
        <x:v>Unsupported Relationship Review</x:v>
      </x:c>
      <x:c r="C30" s="6" t="str">
        <x:v>UNS000029</x:v>
      </x:c>
      <x:c r="D30" s="6" t="str">
        <x:v>SVC000029</x:v>
      </x:c>
      <x:c r="E30" s="6" t="str">
        <x:v>Unsupported Relationship</x:v>
      </x:c>
      <x:c r="F30" s="12" t="str">
        <x:v>Device family alone is insufficient for governed relationship.</x:v>
      </x:c>
      <x:c r="G30" s="12" t="str">
        <x:v>Explicit governed evidence supporting relationship</x:v>
      </x:c>
      <x:c r="H30" s="6" t="str"/>
      <x:c r="I30" s="6" t="str"/>
      <x:c r="J30" s="6" t="str"/>
      <x:c r="K30" s="6" t="str">
        <x:v>Open</x:v>
      </x:c>
      <x:c r="L30" s="6" t="str"/>
    </x:row>
    <x:row r="31">
      <x:c r="A31" s="6" t="str">
        <x:v>ESC-000030</x:v>
      </x:c>
      <x:c r="B31" s="6" t="str">
        <x:v>Unsupported Relationship Review</x:v>
      </x:c>
      <x:c r="C31" s="6" t="str">
        <x:v>UNS000030</x:v>
      </x:c>
      <x:c r="D31" s="6" t="str">
        <x:v>SVC000030</x:v>
      </x:c>
      <x:c r="E31" s="6" t="str">
        <x:v>Unsupported Relationship</x:v>
      </x:c>
      <x:c r="F31" s="12" t="str">
        <x:v>Device family alone is insufficient for governed relationship.</x:v>
      </x:c>
      <x:c r="G31" s="12" t="str">
        <x:v>Explicit governed evidence supporting relationship</x:v>
      </x:c>
      <x:c r="H31" s="6" t="str"/>
      <x:c r="I31" s="6" t="str"/>
      <x:c r="J31" s="6" t="str"/>
      <x:c r="K31" s="6" t="str">
        <x:v>Open</x:v>
      </x:c>
      <x:c r="L31" s="6" t="str"/>
    </x:row>
    <x:row r="32">
      <x:c r="A32" s="6" t="str">
        <x:v>ESC-000031</x:v>
      </x:c>
      <x:c r="B32" s="6" t="str">
        <x:v>Unsupported Relationship Review</x:v>
      </x:c>
      <x:c r="C32" s="6" t="str">
        <x:v>UNS000031</x:v>
      </x:c>
      <x:c r="D32" s="6" t="str">
        <x:v>SVC000031</x:v>
      </x:c>
      <x:c r="E32" s="6" t="str">
        <x:v>Unsupported Relationship</x:v>
      </x:c>
      <x:c r="F32" s="12" t="str">
        <x:v>Device family alone is insufficient for governed relationship.</x:v>
      </x:c>
      <x:c r="G32" s="12" t="str">
        <x:v>Explicit governed evidence supporting relationship</x:v>
      </x:c>
      <x:c r="H32" s="6" t="str"/>
      <x:c r="I32" s="6" t="str"/>
      <x:c r="J32" s="6" t="str"/>
      <x:c r="K32" s="6" t="str">
        <x:v>Open</x:v>
      </x:c>
      <x:c r="L32" s="6" t="str"/>
    </x:row>
    <x:row r="33">
      <x:c r="A33" s="6" t="str">
        <x:v>ESC-000032</x:v>
      </x:c>
      <x:c r="B33" s="6" t="str">
        <x:v>Unsupported Relationship Review</x:v>
      </x:c>
      <x:c r="C33" s="6" t="str">
        <x:v>UNS000032</x:v>
      </x:c>
      <x:c r="D33" s="6" t="str">
        <x:v>SVC000032</x:v>
      </x:c>
      <x:c r="E33" s="6" t="str">
        <x:v>Unsupported Relationship</x:v>
      </x:c>
      <x:c r="F33" s="12" t="str">
        <x:v>Device family alone is insufficient for governed relationship.</x:v>
      </x:c>
      <x:c r="G33" s="12" t="str">
        <x:v>Explicit governed evidence supporting relationship</x:v>
      </x:c>
      <x:c r="H33" s="6" t="str"/>
      <x:c r="I33" s="6" t="str"/>
      <x:c r="J33" s="6" t="str"/>
      <x:c r="K33" s="6" t="str">
        <x:v>Open</x:v>
      </x:c>
      <x:c r="L33" s="6" t="str"/>
    </x:row>
    <x:row r="34">
      <x:c r="A34" s="6" t="str">
        <x:v>ESC-000033</x:v>
      </x:c>
      <x:c r="B34" s="6" t="str">
        <x:v>Unsupported Relationship Review</x:v>
      </x:c>
      <x:c r="C34" s="6" t="str">
        <x:v>UNS000033</x:v>
      </x:c>
      <x:c r="D34" s="6" t="str">
        <x:v>SVC000033</x:v>
      </x:c>
      <x:c r="E34" s="6" t="str">
        <x:v>Unsupported Relationship</x:v>
      </x:c>
      <x:c r="F34" s="12" t="str">
        <x:v>Device family alone is insufficient for governed relationship.</x:v>
      </x:c>
      <x:c r="G34" s="12" t="str">
        <x:v>Explicit governed evidence supporting relationship</x:v>
      </x:c>
      <x:c r="H34" s="6" t="str"/>
      <x:c r="I34" s="6" t="str"/>
      <x:c r="J34" s="6" t="str"/>
      <x:c r="K34" s="6" t="str">
        <x:v>Open</x:v>
      </x:c>
      <x:c r="L34" s="6" t="str"/>
    </x:row>
    <x:row r="35">
      <x:c r="A35" s="6" t="str">
        <x:v>ESC-000034</x:v>
      </x:c>
      <x:c r="B35" s="6" t="str">
        <x:v>Unsupported Relationship Review</x:v>
      </x:c>
      <x:c r="C35" s="6" t="str">
        <x:v>UNS000034</x:v>
      </x:c>
      <x:c r="D35" s="6" t="str">
        <x:v>SVC000034</x:v>
      </x:c>
      <x:c r="E35" s="6" t="str">
        <x:v>Unsupported Relationship</x:v>
      </x:c>
      <x:c r="F35" s="12" t="str">
        <x:v>Device family alone is insufficient for governed relationship.</x:v>
      </x:c>
      <x:c r="G35" s="12" t="str">
        <x:v>Explicit governed evidence supporting relationship</x:v>
      </x:c>
      <x:c r="H35" s="6" t="str"/>
      <x:c r="I35" s="6" t="str"/>
      <x:c r="J35" s="6" t="str"/>
      <x:c r="K35" s="6" t="str">
        <x:v>Open</x:v>
      </x:c>
      <x:c r="L35" s="6" t="str"/>
    </x:row>
    <x:row r="36">
      <x:c r="A36" s="6" t="str">
        <x:v>ESC-000035</x:v>
      </x:c>
      <x:c r="B36" s="6" t="str">
        <x:v>Unsupported Relationship Review</x:v>
      </x:c>
      <x:c r="C36" s="6" t="str">
        <x:v>UNS000035</x:v>
      </x:c>
      <x:c r="D36" s="6" t="str">
        <x:v>SVC000035</x:v>
      </x:c>
      <x:c r="E36" s="6" t="str">
        <x:v>Unsupported Relationship</x:v>
      </x:c>
      <x:c r="F36" s="12" t="str">
        <x:v>Device family alone is insufficient for governed relationship.</x:v>
      </x:c>
      <x:c r="G36" s="12" t="str">
        <x:v>Explicit governed evidence supporting relationship</x:v>
      </x:c>
      <x:c r="H36" s="6" t="str"/>
      <x:c r="I36" s="6" t="str"/>
      <x:c r="J36" s="6" t="str"/>
      <x:c r="K36" s="6" t="str">
        <x:v>Open</x:v>
      </x:c>
      <x:c r="L36" s="6" t="str"/>
    </x:row>
    <x:row r="37">
      <x:c r="A37" s="6" t="str">
        <x:v>ESC-000036</x:v>
      </x:c>
      <x:c r="B37" s="6" t="str">
        <x:v>Unsupported Relationship Review</x:v>
      </x:c>
      <x:c r="C37" s="6" t="str">
        <x:v>UNS000036</x:v>
      </x:c>
      <x:c r="D37" s="6" t="str">
        <x:v>SVC000036</x:v>
      </x:c>
      <x:c r="E37" s="6" t="str">
        <x:v>Unsupported Relationship</x:v>
      </x:c>
      <x:c r="F37" s="12" t="str">
        <x:v>Device family alone is insufficient for governed relationship.</x:v>
      </x:c>
      <x:c r="G37" s="12" t="str">
        <x:v>Explicit governed evidence supporting relationship</x:v>
      </x:c>
      <x:c r="H37" s="6" t="str"/>
      <x:c r="I37" s="6" t="str"/>
      <x:c r="J37" s="6" t="str"/>
      <x:c r="K37" s="6" t="str">
        <x:v>Open</x:v>
      </x:c>
      <x:c r="L37" s="6" t="str"/>
    </x:row>
    <x:row r="38">
      <x:c r="A38" s="6" t="str">
        <x:v>ESC-000037</x:v>
      </x:c>
      <x:c r="B38" s="6" t="str">
        <x:v>Unsupported Relationship Review</x:v>
      </x:c>
      <x:c r="C38" s="6" t="str">
        <x:v>UNS000037</x:v>
      </x:c>
      <x:c r="D38" s="6" t="str">
        <x:v>SVC000037</x:v>
      </x:c>
      <x:c r="E38" s="6" t="str">
        <x:v>Unsupported Relationship</x:v>
      </x:c>
      <x:c r="F38" s="12" t="str">
        <x:v>Device family alone is insufficient for governed relationship.</x:v>
      </x:c>
      <x:c r="G38" s="12" t="str">
        <x:v>Explicit governed evidence supporting relationship</x:v>
      </x:c>
      <x:c r="H38" s="6" t="str"/>
      <x:c r="I38" s="6" t="str"/>
      <x:c r="J38" s="6" t="str"/>
      <x:c r="K38" s="6" t="str">
        <x:v>Open</x:v>
      </x:c>
      <x:c r="L38" s="6" t="str"/>
    </x:row>
    <x:row r="39">
      <x:c r="A39" s="6" t="str">
        <x:v>ESC-000038</x:v>
      </x:c>
      <x:c r="B39" s="6" t="str">
        <x:v>Unsupported Relationship Review</x:v>
      </x:c>
      <x:c r="C39" s="6" t="str">
        <x:v>UNS000038</x:v>
      </x:c>
      <x:c r="D39" s="6" t="str">
        <x:v>SVC000038</x:v>
      </x:c>
      <x:c r="E39" s="6" t="str">
        <x:v>Unsupported Relationship</x:v>
      </x:c>
      <x:c r="F39" s="12" t="str">
        <x:v>Device family alone is insufficient for governed relationship.</x:v>
      </x:c>
      <x:c r="G39" s="12" t="str">
        <x:v>Explicit governed evidence supporting relationship</x:v>
      </x:c>
      <x:c r="H39" s="6" t="str"/>
      <x:c r="I39" s="6" t="str"/>
      <x:c r="J39" s="6" t="str"/>
      <x:c r="K39" s="6" t="str">
        <x:v>Open</x:v>
      </x:c>
      <x:c r="L39" s="6" t="str"/>
    </x:row>
    <x:row r="40">
      <x:c r="A40" s="6" t="str">
        <x:v>ESC-000039</x:v>
      </x:c>
      <x:c r="B40" s="6" t="str">
        <x:v>Unsupported Relationship Review</x:v>
      </x:c>
      <x:c r="C40" s="6" t="str">
        <x:v>UNS000039</x:v>
      </x:c>
      <x:c r="D40" s="6" t="str">
        <x:v>SVC000039</x:v>
      </x:c>
      <x:c r="E40" s="6" t="str">
        <x:v>Unsupported Relationship</x:v>
      </x:c>
      <x:c r="F40" s="12" t="str">
        <x:v>Device family alone is insufficient for governed relationship.</x:v>
      </x:c>
      <x:c r="G40" s="12" t="str">
        <x:v>Explicit governed evidence supporting relationship</x:v>
      </x:c>
      <x:c r="H40" s="6" t="str"/>
      <x:c r="I40" s="6" t="str"/>
      <x:c r="J40" s="6" t="str"/>
      <x:c r="K40" s="6" t="str">
        <x:v>Open</x:v>
      </x:c>
      <x:c r="L40" s="6" t="str"/>
    </x:row>
    <x:row r="41">
      <x:c r="A41" s="6" t="str">
        <x:v>ESC-000040</x:v>
      </x:c>
      <x:c r="B41" s="6" t="str">
        <x:v>Unsupported Relationship Review</x:v>
      </x:c>
      <x:c r="C41" s="6" t="str">
        <x:v>UNS000040</x:v>
      </x:c>
      <x:c r="D41" s="6" t="str">
        <x:v>SVC000040</x:v>
      </x:c>
      <x:c r="E41" s="6" t="str">
        <x:v>Unsupported Relationship</x:v>
      </x:c>
      <x:c r="F41" s="12" t="str">
        <x:v>Device family alone is insufficient for governed relationship.</x:v>
      </x:c>
      <x:c r="G41" s="12" t="str">
        <x:v>Explicit governed evidence supporting relationship</x:v>
      </x:c>
      <x:c r="H41" s="6" t="str"/>
      <x:c r="I41" s="6" t="str"/>
      <x:c r="J41" s="6" t="str"/>
      <x:c r="K41" s="6" t="str">
        <x:v>Open</x:v>
      </x:c>
      <x:c r="L41" s="6" t="str"/>
    </x:row>
    <x:row r="42">
      <x:c r="A42" s="6" t="str">
        <x:v>ESC-000041</x:v>
      </x:c>
      <x:c r="B42" s="6" t="str">
        <x:v>Unsupported Relationship Review</x:v>
      </x:c>
      <x:c r="C42" s="6" t="str">
        <x:v>UNS000041</x:v>
      </x:c>
      <x:c r="D42" s="6" t="str">
        <x:v>SVC000041</x:v>
      </x:c>
      <x:c r="E42" s="6" t="str">
        <x:v>Unsupported Relationship</x:v>
      </x:c>
      <x:c r="F42" s="12" t="str">
        <x:v>Device family alone is insufficient for governed relationship.</x:v>
      </x:c>
      <x:c r="G42" s="12" t="str">
        <x:v>Explicit governed evidence supporting relationship</x:v>
      </x:c>
      <x:c r="H42" s="6" t="str"/>
      <x:c r="I42" s="6" t="str"/>
      <x:c r="J42" s="6" t="str"/>
      <x:c r="K42" s="6" t="str">
        <x:v>Open</x:v>
      </x:c>
      <x:c r="L42" s="6" t="str"/>
    </x:row>
    <x:row r="43">
      <x:c r="A43" s="6" t="str">
        <x:v>ESC-000042</x:v>
      </x:c>
      <x:c r="B43" s="6" t="str">
        <x:v>Unsupported Relationship Review</x:v>
      </x:c>
      <x:c r="C43" s="6" t="str">
        <x:v>UNS000042</x:v>
      </x:c>
      <x:c r="D43" s="6" t="str">
        <x:v>SVC000042</x:v>
      </x:c>
      <x:c r="E43" s="6" t="str">
        <x:v>Unsupported Relationship</x:v>
      </x:c>
      <x:c r="F43" s="12" t="str">
        <x:v>Device family alone is insufficient for governed relationship.</x:v>
      </x:c>
      <x:c r="G43" s="12" t="str">
        <x:v>Explicit governed evidence supporting relationship</x:v>
      </x:c>
      <x:c r="H43" s="6" t="str"/>
      <x:c r="I43" s="6" t="str"/>
      <x:c r="J43" s="6" t="str"/>
      <x:c r="K43" s="6" t="str">
        <x:v>Open</x:v>
      </x:c>
      <x:c r="L43" s="6" t="str"/>
    </x:row>
    <x:row r="44">
      <x:c r="A44" s="6" t="str">
        <x:v>ESC-000043</x:v>
      </x:c>
      <x:c r="B44" s="6" t="str">
        <x:v>Unsupported Relationship Review</x:v>
      </x:c>
      <x:c r="C44" s="6" t="str">
        <x:v>UNS000043</x:v>
      </x:c>
      <x:c r="D44" s="6" t="str">
        <x:v>SVC000043</x:v>
      </x:c>
      <x:c r="E44" s="6" t="str">
        <x:v>Unsupported Relationship</x:v>
      </x:c>
      <x:c r="F44" s="12" t="str">
        <x:v>Device family alone is insufficient for governed relationship.</x:v>
      </x:c>
      <x:c r="G44" s="12" t="str">
        <x:v>Explicit governed evidence supporting relationship</x:v>
      </x:c>
      <x:c r="H44" s="6" t="str"/>
      <x:c r="I44" s="6" t="str"/>
      <x:c r="J44" s="6" t="str"/>
      <x:c r="K44" s="6" t="str">
        <x:v>Open</x:v>
      </x:c>
      <x:c r="L44" s="6" t="str"/>
    </x:row>
    <x:row r="45">
      <x:c r="A45" s="6" t="str">
        <x:v>ESC-000044</x:v>
      </x:c>
      <x:c r="B45" s="6" t="str">
        <x:v>Unsupported Relationship Review</x:v>
      </x:c>
      <x:c r="C45" s="6" t="str">
        <x:v>UNS000044</x:v>
      </x:c>
      <x:c r="D45" s="6" t="str">
        <x:v>SVC000044</x:v>
      </x:c>
      <x:c r="E45" s="6" t="str">
        <x:v>Unsupported Relationship</x:v>
      </x:c>
      <x:c r="F45" s="12" t="str">
        <x:v>Device family alone is insufficient for governed relationship.</x:v>
      </x:c>
      <x:c r="G45" s="12" t="str">
        <x:v>Explicit governed evidence supporting relationship</x:v>
      </x:c>
      <x:c r="H45" s="6" t="str"/>
      <x:c r="I45" s="6" t="str"/>
      <x:c r="J45" s="6" t="str"/>
      <x:c r="K45" s="6" t="str">
        <x:v>Open</x:v>
      </x:c>
      <x:c r="L45" s="6" t="str"/>
    </x:row>
    <x:row r="46">
      <x:c r="A46" s="6" t="str">
        <x:v>ESC-000045</x:v>
      </x:c>
      <x:c r="B46" s="6" t="str">
        <x:v>Unsupported Relationship Review</x:v>
      </x:c>
      <x:c r="C46" s="6" t="str">
        <x:v>UNS000045</x:v>
      </x:c>
      <x:c r="D46" s="6" t="str">
        <x:v>SVC000045</x:v>
      </x:c>
      <x:c r="E46" s="6" t="str">
        <x:v>Unsupported Relationship</x:v>
      </x:c>
      <x:c r="F46" s="12" t="str">
        <x:v>Device family alone is insufficient for governed relationship.</x:v>
      </x:c>
      <x:c r="G46" s="12" t="str">
        <x:v>Explicit governed evidence supporting relationship</x:v>
      </x:c>
      <x:c r="H46" s="6" t="str"/>
      <x:c r="I46" s="6" t="str"/>
      <x:c r="J46" s="6" t="str"/>
      <x:c r="K46" s="6" t="str">
        <x:v>Open</x:v>
      </x:c>
      <x:c r="L46" s="6" t="str"/>
    </x:row>
    <x:row r="47">
      <x:c r="A47" s="6" t="str">
        <x:v>ESC-000046</x:v>
      </x:c>
      <x:c r="B47" s="6" t="str">
        <x:v>Unsupported Relationship Review</x:v>
      </x:c>
      <x:c r="C47" s="6" t="str">
        <x:v>UNS000046</x:v>
      </x:c>
      <x:c r="D47" s="6" t="str">
        <x:v>SVC000046</x:v>
      </x:c>
      <x:c r="E47" s="6" t="str">
        <x:v>Unsupported Relationship</x:v>
      </x:c>
      <x:c r="F47" s="12" t="str">
        <x:v>Device family alone is insufficient for governed relationship.</x:v>
      </x:c>
      <x:c r="G47" s="12" t="str">
        <x:v>Explicit governed evidence supporting relationship</x:v>
      </x:c>
      <x:c r="H47" s="6" t="str"/>
      <x:c r="I47" s="6" t="str"/>
      <x:c r="J47" s="6" t="str"/>
      <x:c r="K47" s="6" t="str">
        <x:v>Open</x:v>
      </x:c>
      <x:c r="L47" s="6" t="str"/>
    </x:row>
    <x:row r="48">
      <x:c r="A48" s="6" t="str">
        <x:v>ESC-000047</x:v>
      </x:c>
      <x:c r="B48" s="6" t="str">
        <x:v>Unsupported Relationship Review</x:v>
      </x:c>
      <x:c r="C48" s="6" t="str">
        <x:v>UNS000047</x:v>
      </x:c>
      <x:c r="D48" s="6" t="str">
        <x:v>SVC000047</x:v>
      </x:c>
      <x:c r="E48" s="6" t="str">
        <x:v>Unsupported Relationship</x:v>
      </x:c>
      <x:c r="F48" s="12" t="str">
        <x:v>Device family alone is insufficient for governed relationship.</x:v>
      </x:c>
      <x:c r="G48" s="12" t="str">
        <x:v>Explicit governed evidence supporting relationship</x:v>
      </x:c>
      <x:c r="H48" s="6" t="str"/>
      <x:c r="I48" s="6" t="str"/>
      <x:c r="J48" s="6" t="str"/>
      <x:c r="K48" s="6" t="str">
        <x:v>Open</x:v>
      </x:c>
      <x:c r="L48" s="6" t="str"/>
    </x:row>
    <x:row r="49">
      <x:c r="A49" s="6" t="str">
        <x:v>ESC-000048</x:v>
      </x:c>
      <x:c r="B49" s="6" t="str">
        <x:v>Unsupported Relationship Review</x:v>
      </x:c>
      <x:c r="C49" s="6" t="str">
        <x:v>UNS000048</x:v>
      </x:c>
      <x:c r="D49" s="6" t="str">
        <x:v>SVC000048</x:v>
      </x:c>
      <x:c r="E49" s="6" t="str">
        <x:v>Unsupported Relationship</x:v>
      </x:c>
      <x:c r="F49" s="12" t="str">
        <x:v>Device family alone is insufficient for governed relationship.</x:v>
      </x:c>
      <x:c r="G49" s="12" t="str">
        <x:v>Explicit governed evidence supporting relationship</x:v>
      </x:c>
      <x:c r="H49" s="6" t="str"/>
      <x:c r="I49" s="6" t="str"/>
      <x:c r="J49" s="6" t="str"/>
      <x:c r="K49" s="6" t="str">
        <x:v>Open</x:v>
      </x:c>
      <x:c r="L49" s="6" t="str"/>
    </x:row>
    <x:row r="50">
      <x:c r="A50" s="6" t="str">
        <x:v>ESC-000049</x:v>
      </x:c>
      <x:c r="B50" s="6" t="str">
        <x:v>Unsupported Relationship Review</x:v>
      </x:c>
      <x:c r="C50" s="6" t="str">
        <x:v>UNS000049</x:v>
      </x:c>
      <x:c r="D50" s="6" t="str">
        <x:v>SVC000049</x:v>
      </x:c>
      <x:c r="E50" s="6" t="str">
        <x:v>Unsupported Relationship</x:v>
      </x:c>
      <x:c r="F50" s="12" t="str">
        <x:v>Device family alone is insufficient for governed relationship.</x:v>
      </x:c>
      <x:c r="G50" s="12" t="str">
        <x:v>Explicit governed evidence supporting relationship</x:v>
      </x:c>
      <x:c r="H50" s="6" t="str"/>
      <x:c r="I50" s="6" t="str"/>
      <x:c r="J50" s="6" t="str"/>
      <x:c r="K50" s="6" t="str">
        <x:v>Open</x:v>
      </x:c>
      <x:c r="L50" s="6" t="str"/>
    </x:row>
    <x:row r="51">
      <x:c r="A51" s="6" t="str">
        <x:v>ESC-000050</x:v>
      </x:c>
      <x:c r="B51" s="6" t="str">
        <x:v>Unsupported Relationship Review</x:v>
      </x:c>
      <x:c r="C51" s="6" t="str">
        <x:v>UNS000050</x:v>
      </x:c>
      <x:c r="D51" s="6" t="str">
        <x:v>SVC000050</x:v>
      </x:c>
      <x:c r="E51" s="6" t="str">
        <x:v>Unsupported Relationship</x:v>
      </x:c>
      <x:c r="F51" s="12" t="str">
        <x:v>Device family alone is insufficient for governed relationship.</x:v>
      </x:c>
      <x:c r="G51" s="12" t="str">
        <x:v>Explicit governed evidence supporting relationship</x:v>
      </x:c>
      <x:c r="H51" s="6" t="str"/>
      <x:c r="I51" s="6" t="str"/>
      <x:c r="J51" s="6" t="str"/>
      <x:c r="K51" s="6" t="str">
        <x:v>Open</x:v>
      </x:c>
      <x:c r="L51" s="6" t="str"/>
    </x:row>
    <x:row r="52">
      <x:c r="A52" s="6" t="str">
        <x:v>ESC-000051</x:v>
      </x:c>
      <x:c r="B52" s="6" t="str">
        <x:v>Unsupported Relationship Review</x:v>
      </x:c>
      <x:c r="C52" s="6" t="str">
        <x:v>UNS000051</x:v>
      </x:c>
      <x:c r="D52" s="6" t="str">
        <x:v>SVC000051</x:v>
      </x:c>
      <x:c r="E52" s="6" t="str">
        <x:v>Unsupported Relationship</x:v>
      </x:c>
      <x:c r="F52" s="12" t="str">
        <x:v>Device family alone is insufficient for governed relationship.</x:v>
      </x:c>
      <x:c r="G52" s="12" t="str">
        <x:v>Explicit governed evidence supporting relationship</x:v>
      </x:c>
      <x:c r="H52" s="6" t="str"/>
      <x:c r="I52" s="6" t="str"/>
      <x:c r="J52" s="6" t="str"/>
      <x:c r="K52" s="6" t="str">
        <x:v>Open</x:v>
      </x:c>
      <x:c r="L52" s="6" t="str"/>
    </x:row>
    <x:row r="53">
      <x:c r="A53" s="6" t="str">
        <x:v>ESC-000052</x:v>
      </x:c>
      <x:c r="B53" s="6" t="str">
        <x:v>Unsupported Relationship Review</x:v>
      </x:c>
      <x:c r="C53" s="6" t="str">
        <x:v>UNS000052</x:v>
      </x:c>
      <x:c r="D53" s="6" t="str">
        <x:v>SVC000052</x:v>
      </x:c>
      <x:c r="E53" s="6" t="str">
        <x:v>Unsupported Relationship</x:v>
      </x:c>
      <x:c r="F53" s="12" t="str">
        <x:v>Device family alone is insufficient for governed relationship.</x:v>
      </x:c>
      <x:c r="G53" s="12" t="str">
        <x:v>Explicit governed evidence supporting relationship</x:v>
      </x:c>
      <x:c r="H53" s="6" t="str"/>
      <x:c r="I53" s="6" t="str"/>
      <x:c r="J53" s="6" t="str"/>
      <x:c r="K53" s="6" t="str">
        <x:v>Open</x:v>
      </x:c>
      <x:c r="L53" s="6" t="str"/>
    </x:row>
    <x:row r="54">
      <x:c r="A54" s="6" t="str">
        <x:v>ESC-000053</x:v>
      </x:c>
      <x:c r="B54" s="6" t="str">
        <x:v>Unsupported Relationship Review</x:v>
      </x:c>
      <x:c r="C54" s="6" t="str">
        <x:v>UNS000053</x:v>
      </x:c>
      <x:c r="D54" s="6" t="str">
        <x:v>SVC000053</x:v>
      </x:c>
      <x:c r="E54" s="6" t="str">
        <x:v>Unsupported Relationship</x:v>
      </x:c>
      <x:c r="F54" s="12" t="str">
        <x:v>Device family alone is insufficient for governed relationship.</x:v>
      </x:c>
      <x:c r="G54" s="12" t="str">
        <x:v>Explicit governed evidence supporting relationship</x:v>
      </x:c>
      <x:c r="H54" s="6" t="str"/>
      <x:c r="I54" s="6" t="str"/>
      <x:c r="J54" s="6" t="str"/>
      <x:c r="K54" s="6" t="str">
        <x:v>Open</x:v>
      </x:c>
      <x:c r="L54" s="6" t="str"/>
    </x:row>
    <x:row r="55">
      <x:c r="A55" s="6" t="str">
        <x:v>ESC-000054</x:v>
      </x:c>
      <x:c r="B55" s="6" t="str">
        <x:v>Unsupported Relationship Review</x:v>
      </x:c>
      <x:c r="C55" s="6" t="str">
        <x:v>UNS000054</x:v>
      </x:c>
      <x:c r="D55" s="6" t="str">
        <x:v>SVC000054</x:v>
      </x:c>
      <x:c r="E55" s="6" t="str">
        <x:v>Unsupported Relationship</x:v>
      </x:c>
      <x:c r="F55" s="12" t="str">
        <x:v>Device family alone is insufficient for governed relationship.</x:v>
      </x:c>
      <x:c r="G55" s="12" t="str">
        <x:v>Explicit governed evidence supporting relationship</x:v>
      </x:c>
      <x:c r="H55" s="6" t="str"/>
      <x:c r="I55" s="6" t="str"/>
      <x:c r="J55" s="6" t="str"/>
      <x:c r="K55" s="6" t="str">
        <x:v>Open</x:v>
      </x:c>
      <x:c r="L55" s="6" t="str"/>
    </x:row>
    <x:row r="56">
      <x:c r="A56" s="6" t="str">
        <x:v>ESC-000055</x:v>
      </x:c>
      <x:c r="B56" s="6" t="str">
        <x:v>Unsupported Relationship Review</x:v>
      </x:c>
      <x:c r="C56" s="6" t="str">
        <x:v>UNS000055</x:v>
      </x:c>
      <x:c r="D56" s="6" t="str">
        <x:v>SVC000055</x:v>
      </x:c>
      <x:c r="E56" s="6" t="str">
        <x:v>Unsupported Relationship</x:v>
      </x:c>
      <x:c r="F56" s="12" t="str">
        <x:v>Device family alone is insufficient for governed relationship.</x:v>
      </x:c>
      <x:c r="G56" s="12" t="str">
        <x:v>Explicit governed evidence supporting relationship</x:v>
      </x:c>
      <x:c r="H56" s="6" t="str"/>
      <x:c r="I56" s="6" t="str"/>
      <x:c r="J56" s="6" t="str"/>
      <x:c r="K56" s="6" t="str">
        <x:v>Open</x:v>
      </x:c>
      <x:c r="L56" s="6" t="str"/>
    </x:row>
    <x:row r="57">
      <x:c r="A57" s="6" t="str">
        <x:v>ESC-000056</x:v>
      </x:c>
      <x:c r="B57" s="6" t="str">
        <x:v>Unsupported Relationship Review</x:v>
      </x:c>
      <x:c r="C57" s="6" t="str">
        <x:v>UNS000056</x:v>
      </x:c>
      <x:c r="D57" s="6" t="str">
        <x:v>SVC000056</x:v>
      </x:c>
      <x:c r="E57" s="6" t="str">
        <x:v>Unsupported Relationship</x:v>
      </x:c>
      <x:c r="F57" s="12" t="str">
        <x:v>Device family alone is insufficient for governed relationship.</x:v>
      </x:c>
      <x:c r="G57" s="12" t="str">
        <x:v>Explicit governed evidence supporting relationship</x:v>
      </x:c>
      <x:c r="H57" s="6" t="str"/>
      <x:c r="I57" s="6" t="str"/>
      <x:c r="J57" s="6" t="str"/>
      <x:c r="K57" s="6" t="str">
        <x:v>Open</x:v>
      </x:c>
      <x:c r="L57" s="6" t="str"/>
    </x:row>
    <x:row r="58">
      <x:c r="A58" s="6" t="str">
        <x:v>ESC-000057</x:v>
      </x:c>
      <x:c r="B58" s="6" t="str">
        <x:v>Unsupported Relationship Review</x:v>
      </x:c>
      <x:c r="C58" s="6" t="str">
        <x:v>UNS000057</x:v>
      </x:c>
      <x:c r="D58" s="6" t="str">
        <x:v>SVC000057</x:v>
      </x:c>
      <x:c r="E58" s="6" t="str">
        <x:v>Unsupported Relationship</x:v>
      </x:c>
      <x:c r="F58" s="12" t="str">
        <x:v>Device family alone is insufficient for governed relationship.</x:v>
      </x:c>
      <x:c r="G58" s="12" t="str">
        <x:v>Explicit governed evidence supporting relationship</x:v>
      </x:c>
      <x:c r="H58" s="6" t="str"/>
      <x:c r="I58" s="6" t="str"/>
      <x:c r="J58" s="6" t="str"/>
      <x:c r="K58" s="6" t="str">
        <x:v>Open</x:v>
      </x:c>
      <x:c r="L58" s="6" t="str"/>
    </x:row>
    <x:row r="59">
      <x:c r="A59" s="6" t="str">
        <x:v>ESC-000058</x:v>
      </x:c>
      <x:c r="B59" s="6" t="str">
        <x:v>Unsupported Relationship Review</x:v>
      </x:c>
      <x:c r="C59" s="6" t="str">
        <x:v>UNS000058</x:v>
      </x:c>
      <x:c r="D59" s="6" t="str">
        <x:v>SVC000058</x:v>
      </x:c>
      <x:c r="E59" s="6" t="str">
        <x:v>Unsupported Relationship</x:v>
      </x:c>
      <x:c r="F59" s="12" t="str">
        <x:v>Device family alone is insufficient for governed relationship.</x:v>
      </x:c>
      <x:c r="G59" s="12" t="str">
        <x:v>Explicit governed evidence supporting relationship</x:v>
      </x:c>
      <x:c r="H59" s="6" t="str"/>
      <x:c r="I59" s="6" t="str"/>
      <x:c r="J59" s="6" t="str"/>
      <x:c r="K59" s="6" t="str">
        <x:v>Open</x:v>
      </x:c>
      <x:c r="L59" s="6" t="str"/>
    </x:row>
    <x:row r="60">
      <x:c r="A60" s="6" t="str">
        <x:v>ESC-000059</x:v>
      </x:c>
      <x:c r="B60" s="6" t="str">
        <x:v>Unsupported Relationship Review</x:v>
      </x:c>
      <x:c r="C60" s="6" t="str">
        <x:v>UNS000059</x:v>
      </x:c>
      <x:c r="D60" s="6" t="str">
        <x:v>SVC000059</x:v>
      </x:c>
      <x:c r="E60" s="6" t="str">
        <x:v>Unsupported Relationship</x:v>
      </x:c>
      <x:c r="F60" s="12" t="str">
        <x:v>Device family alone is insufficient for governed relationship.</x:v>
      </x:c>
      <x:c r="G60" s="12" t="str">
        <x:v>Explicit governed evidence supporting relationship</x:v>
      </x:c>
      <x:c r="H60" s="6" t="str"/>
      <x:c r="I60" s="6" t="str"/>
      <x:c r="J60" s="6" t="str"/>
      <x:c r="K60" s="6" t="str">
        <x:v>Open</x:v>
      </x:c>
      <x:c r="L60" s="6" t="str"/>
    </x:row>
    <x:row r="61">
      <x:c r="A61" s="6" t="str">
        <x:v>ESC-000060</x:v>
      </x:c>
      <x:c r="B61" s="6" t="str">
        <x:v>Unsupported Relationship Review</x:v>
      </x:c>
      <x:c r="C61" s="6" t="str">
        <x:v>UNS000060</x:v>
      </x:c>
      <x:c r="D61" s="6" t="str">
        <x:v>SVC000060</x:v>
      </x:c>
      <x:c r="E61" s="6" t="str">
        <x:v>Unsupported Relationship</x:v>
      </x:c>
      <x:c r="F61" s="12" t="str">
        <x:v>Device family alone is insufficient for governed relationship.</x:v>
      </x:c>
      <x:c r="G61" s="12" t="str">
        <x:v>Explicit governed evidence supporting relationship</x:v>
      </x:c>
      <x:c r="H61" s="6" t="str"/>
      <x:c r="I61" s="6" t="str"/>
      <x:c r="J61" s="6" t="str"/>
      <x:c r="K61" s="6" t="str">
        <x:v>Open</x:v>
      </x:c>
      <x:c r="L61" s="6" t="str"/>
    </x:row>
    <x:row r="62">
      <x:c r="A62" s="6" t="str">
        <x:v>ESC-000061</x:v>
      </x:c>
      <x:c r="B62" s="6" t="str">
        <x:v>Unsupported Relationship Review</x:v>
      </x:c>
      <x:c r="C62" s="6" t="str">
        <x:v>UNS000061</x:v>
      </x:c>
      <x:c r="D62" s="6" t="str">
        <x:v>SVC000061</x:v>
      </x:c>
      <x:c r="E62" s="6" t="str">
        <x:v>Unsupported Relationship</x:v>
      </x:c>
      <x:c r="F62" s="12" t="str">
        <x:v>Device family alone is insufficient for governed relationship.</x:v>
      </x:c>
      <x:c r="G62" s="12" t="str">
        <x:v>Explicit governed evidence supporting relationship</x:v>
      </x:c>
      <x:c r="H62" s="6" t="str"/>
      <x:c r="I62" s="6" t="str"/>
      <x:c r="J62" s="6" t="str"/>
      <x:c r="K62" s="6" t="str">
        <x:v>Open</x:v>
      </x:c>
      <x:c r="L62" s="6" t="str"/>
    </x:row>
    <x:row r="63">
      <x:c r="A63" s="6" t="str">
        <x:v>ESC-000062</x:v>
      </x:c>
      <x:c r="B63" s="6" t="str">
        <x:v>Unsupported Relationship Review</x:v>
      </x:c>
      <x:c r="C63" s="6" t="str">
        <x:v>UNS000062</x:v>
      </x:c>
      <x:c r="D63" s="6" t="str">
        <x:v>SVC000062</x:v>
      </x:c>
      <x:c r="E63" s="6" t="str">
        <x:v>Unsupported Relationship</x:v>
      </x:c>
      <x:c r="F63" s="12" t="str">
        <x:v>Device family alone is insufficient for governed relationship.</x:v>
      </x:c>
      <x:c r="G63" s="12" t="str">
        <x:v>Explicit governed evidence supporting relationship</x:v>
      </x:c>
      <x:c r="H63" s="6" t="str"/>
      <x:c r="I63" s="6" t="str"/>
      <x:c r="J63" s="6" t="str"/>
      <x:c r="K63" s="6" t="str">
        <x:v>Open</x:v>
      </x:c>
      <x:c r="L63" s="6" t="str"/>
    </x:row>
    <x:row r="64">
      <x:c r="A64" s="6" t="str">
        <x:v>ESC-000063</x:v>
      </x:c>
      <x:c r="B64" s="6" t="str">
        <x:v>Unsupported Relationship Review</x:v>
      </x:c>
      <x:c r="C64" s="6" t="str">
        <x:v>UNS000063</x:v>
      </x:c>
      <x:c r="D64" s="6" t="str">
        <x:v>SVC000063</x:v>
      </x:c>
      <x:c r="E64" s="6" t="str">
        <x:v>Unsupported Relationship</x:v>
      </x:c>
      <x:c r="F64" s="12" t="str">
        <x:v>Device family alone is insufficient for governed relationship.</x:v>
      </x:c>
      <x:c r="G64" s="12" t="str">
        <x:v>Explicit governed evidence supporting relationship</x:v>
      </x:c>
      <x:c r="H64" s="6" t="str"/>
      <x:c r="I64" s="6" t="str"/>
      <x:c r="J64" s="6" t="str"/>
      <x:c r="K64" s="6" t="str">
        <x:v>Open</x:v>
      </x:c>
      <x:c r="L64" s="6" t="str"/>
    </x:row>
    <x:row r="65">
      <x:c r="A65" s="6" t="str">
        <x:v>ESC-000064</x:v>
      </x:c>
      <x:c r="B65" s="6" t="str">
        <x:v>Unsupported Relationship Review</x:v>
      </x:c>
      <x:c r="C65" s="6" t="str">
        <x:v>UNS000064</x:v>
      </x:c>
      <x:c r="D65" s="6" t="str">
        <x:v>SVC000064</x:v>
      </x:c>
      <x:c r="E65" s="6" t="str">
        <x:v>Unsupported Relationship</x:v>
      </x:c>
      <x:c r="F65" s="12" t="str">
        <x:v>Device family alone is insufficient for governed relationship.</x:v>
      </x:c>
      <x:c r="G65" s="12" t="str">
        <x:v>Explicit governed evidence supporting relationship</x:v>
      </x:c>
      <x:c r="H65" s="6" t="str"/>
      <x:c r="I65" s="6" t="str"/>
      <x:c r="J65" s="6" t="str"/>
      <x:c r="K65" s="6" t="str">
        <x:v>Open</x:v>
      </x:c>
      <x:c r="L65" s="6" t="str"/>
    </x:row>
    <x:row r="66">
      <x:c r="A66" s="6" t="str">
        <x:v>ESC-000065</x:v>
      </x:c>
      <x:c r="B66" s="6" t="str">
        <x:v>Unsupported Relationship Review</x:v>
      </x:c>
      <x:c r="C66" s="6" t="str">
        <x:v>UNS000065</x:v>
      </x:c>
      <x:c r="D66" s="6" t="str">
        <x:v>SVC000065</x:v>
      </x:c>
      <x:c r="E66" s="6" t="str">
        <x:v>Unsupported Relationship</x:v>
      </x:c>
      <x:c r="F66" s="12" t="str">
        <x:v>Device family alone is insufficient for governed relationship.</x:v>
      </x:c>
      <x:c r="G66" s="12" t="str">
        <x:v>Explicit governed evidence supporting relationship</x:v>
      </x:c>
      <x:c r="H66" s="6" t="str"/>
      <x:c r="I66" s="6" t="str"/>
      <x:c r="J66" s="6" t="str"/>
      <x:c r="K66" s="6" t="str">
        <x:v>Open</x:v>
      </x:c>
      <x:c r="L66" s="6" t="str"/>
    </x:row>
    <x:row r="67">
      <x:c r="A67" s="6" t="str">
        <x:v>ESC-000066</x:v>
      </x:c>
      <x:c r="B67" s="6" t="str">
        <x:v>Unsupported Relationship Review</x:v>
      </x:c>
      <x:c r="C67" s="6" t="str">
        <x:v>UNS000066</x:v>
      </x:c>
      <x:c r="D67" s="6" t="str">
        <x:v>SVC000066</x:v>
      </x:c>
      <x:c r="E67" s="6" t="str">
        <x:v>Unsupported Relationship</x:v>
      </x:c>
      <x:c r="F67" s="12" t="str">
        <x:v>Device family alone is insufficient for governed relationship.</x:v>
      </x:c>
      <x:c r="G67" s="12" t="str">
        <x:v>Explicit governed evidence supporting relationship</x:v>
      </x:c>
      <x:c r="H67" s="6" t="str"/>
      <x:c r="I67" s="6" t="str"/>
      <x:c r="J67" s="6" t="str"/>
      <x:c r="K67" s="6" t="str">
        <x:v>Open</x:v>
      </x:c>
      <x:c r="L67" s="6" t="str"/>
    </x:row>
    <x:row r="68">
      <x:c r="A68" s="6" t="str">
        <x:v>ESC-000067</x:v>
      </x:c>
      <x:c r="B68" s="6" t="str">
        <x:v>Unsupported Relationship Review</x:v>
      </x:c>
      <x:c r="C68" s="6" t="str">
        <x:v>UNS000067</x:v>
      </x:c>
      <x:c r="D68" s="6" t="str">
        <x:v>SVC000067</x:v>
      </x:c>
      <x:c r="E68" s="6" t="str">
        <x:v>Unsupported Relationship</x:v>
      </x:c>
      <x:c r="F68" s="12" t="str">
        <x:v>Device family alone is insufficient for governed relationship.</x:v>
      </x:c>
      <x:c r="G68" s="12" t="str">
        <x:v>Explicit governed evidence supporting relationship</x:v>
      </x:c>
      <x:c r="H68" s="6" t="str"/>
      <x:c r="I68" s="6" t="str"/>
      <x:c r="J68" s="6" t="str"/>
      <x:c r="K68" s="6" t="str">
        <x:v>Open</x:v>
      </x:c>
      <x:c r="L68" s="6" t="str"/>
    </x:row>
    <x:row r="69">
      <x:c r="A69" s="6" t="str">
        <x:v>ESC-000068</x:v>
      </x:c>
      <x:c r="B69" s="6" t="str">
        <x:v>Unsupported Relationship Review</x:v>
      </x:c>
      <x:c r="C69" s="6" t="str">
        <x:v>UNS000068</x:v>
      </x:c>
      <x:c r="D69" s="6" t="str">
        <x:v>SVC000068</x:v>
      </x:c>
      <x:c r="E69" s="6" t="str">
        <x:v>Unsupported Relationship</x:v>
      </x:c>
      <x:c r="F69" s="12" t="str">
        <x:v>Device family alone is insufficient for governed relationship.</x:v>
      </x:c>
      <x:c r="G69" s="12" t="str">
        <x:v>Explicit governed evidence supporting relationship</x:v>
      </x:c>
      <x:c r="H69" s="6" t="str"/>
      <x:c r="I69" s="6" t="str"/>
      <x:c r="J69" s="6" t="str"/>
      <x:c r="K69" s="6" t="str">
        <x:v>Open</x:v>
      </x:c>
      <x:c r="L69" s="6" t="str"/>
    </x:row>
    <x:row r="70">
      <x:c r="A70" s="6" t="str">
        <x:v>ESC-000069</x:v>
      </x:c>
      <x:c r="B70" s="6" t="str">
        <x:v>Unsupported Relationship Review</x:v>
      </x:c>
      <x:c r="C70" s="6" t="str">
        <x:v>UNS000069</x:v>
      </x:c>
      <x:c r="D70" s="6" t="str">
        <x:v>SVC000069</x:v>
      </x:c>
      <x:c r="E70" s="6" t="str">
        <x:v>Unsupported Relationship</x:v>
      </x:c>
      <x:c r="F70" s="12" t="str">
        <x:v>Device family alone is insufficient for governed relationship.</x:v>
      </x:c>
      <x:c r="G70" s="12" t="str">
        <x:v>Explicit governed evidence supporting relationship</x:v>
      </x:c>
      <x:c r="H70" s="6" t="str"/>
      <x:c r="I70" s="6" t="str"/>
      <x:c r="J70" s="6" t="str"/>
      <x:c r="K70" s="6" t="str">
        <x:v>Open</x:v>
      </x:c>
      <x:c r="L70" s="6" t="str"/>
    </x:row>
    <x:row r="71">
      <x:c r="A71" s="6" t="str">
        <x:v>ESC-000070</x:v>
      </x:c>
      <x:c r="B71" s="6" t="str">
        <x:v>Unsupported Relationship Review</x:v>
      </x:c>
      <x:c r="C71" s="6" t="str">
        <x:v>UNS000070</x:v>
      </x:c>
      <x:c r="D71" s="6" t="str">
        <x:v>SVC000070</x:v>
      </x:c>
      <x:c r="E71" s="6" t="str">
        <x:v>Unsupported Relationship</x:v>
      </x:c>
      <x:c r="F71" s="12" t="str">
        <x:v>Device family alone is insufficient for governed relationship.</x:v>
      </x:c>
      <x:c r="G71" s="12" t="str">
        <x:v>Explicit governed evidence supporting relationship</x:v>
      </x:c>
      <x:c r="H71" s="6" t="str"/>
      <x:c r="I71" s="6" t="str"/>
      <x:c r="J71" s="6" t="str"/>
      <x:c r="K71" s="6" t="str">
        <x:v>Open</x:v>
      </x:c>
      <x:c r="L71" s="6" t="str"/>
    </x:row>
    <x:row r="72">
      <x:c r="A72" s="6" t="str">
        <x:v>ESC-000071</x:v>
      </x:c>
      <x:c r="B72" s="6" t="str">
        <x:v>Unsupported Relationship Review</x:v>
      </x:c>
      <x:c r="C72" s="6" t="str">
        <x:v>UNS000071</x:v>
      </x:c>
      <x:c r="D72" s="6" t="str">
        <x:v>SVC000071</x:v>
      </x:c>
      <x:c r="E72" s="6" t="str">
        <x:v>Unsupported Relationship</x:v>
      </x:c>
      <x:c r="F72" s="12" t="str">
        <x:v>Device family alone is insufficient for governed relationship.</x:v>
      </x:c>
      <x:c r="G72" s="12" t="str">
        <x:v>Explicit governed evidence supporting relationship</x:v>
      </x:c>
      <x:c r="H72" s="6" t="str"/>
      <x:c r="I72" s="6" t="str"/>
      <x:c r="J72" s="6" t="str"/>
      <x:c r="K72" s="6" t="str">
        <x:v>Open</x:v>
      </x:c>
      <x:c r="L72" s="6" t="str"/>
    </x:row>
    <x:row r="73">
      <x:c r="A73" s="6" t="str">
        <x:v>ESC-000072</x:v>
      </x:c>
      <x:c r="B73" s="6" t="str">
        <x:v>Unsupported Relationship Review</x:v>
      </x:c>
      <x:c r="C73" s="6" t="str">
        <x:v>UNS000072</x:v>
      </x:c>
      <x:c r="D73" s="6" t="str">
        <x:v>SVC000072</x:v>
      </x:c>
      <x:c r="E73" s="6" t="str">
        <x:v>Unsupported Relationship</x:v>
      </x:c>
      <x:c r="F73" s="12" t="str">
        <x:v>Device family alone is insufficient for governed relationship.</x:v>
      </x:c>
      <x:c r="G73" s="12" t="str">
        <x:v>Explicit governed evidence supporting relationship</x:v>
      </x:c>
      <x:c r="H73" s="6" t="str"/>
      <x:c r="I73" s="6" t="str"/>
      <x:c r="J73" s="6" t="str"/>
      <x:c r="K73" s="6" t="str">
        <x:v>Open</x:v>
      </x:c>
      <x:c r="L73" s="6" t="str"/>
    </x:row>
    <x:row r="74">
      <x:c r="A74" s="6" t="str">
        <x:v>ESC-000073</x:v>
      </x:c>
      <x:c r="B74" s="6" t="str">
        <x:v>Unsupported Relationship Review</x:v>
      </x:c>
      <x:c r="C74" s="6" t="str">
        <x:v>UNS000073</x:v>
      </x:c>
      <x:c r="D74" s="6" t="str">
        <x:v>SVC000073</x:v>
      </x:c>
      <x:c r="E74" s="6" t="str">
        <x:v>Unsupported Relationship</x:v>
      </x:c>
      <x:c r="F74" s="12" t="str">
        <x:v>Device family alone is insufficient for governed relationship.</x:v>
      </x:c>
      <x:c r="G74" s="12" t="str">
        <x:v>Explicit governed evidence supporting relationship</x:v>
      </x:c>
      <x:c r="H74" s="6" t="str"/>
      <x:c r="I74" s="6" t="str"/>
      <x:c r="J74" s="6" t="str"/>
      <x:c r="K74" s="6" t="str">
        <x:v>Open</x:v>
      </x:c>
      <x:c r="L74" s="6" t="str"/>
    </x:row>
    <x:row r="75">
      <x:c r="A75" s="6" t="str">
        <x:v>ESC-000074</x:v>
      </x:c>
      <x:c r="B75" s="6" t="str">
        <x:v>Unsupported Relationship Review</x:v>
      </x:c>
      <x:c r="C75" s="6" t="str">
        <x:v>UNS000074</x:v>
      </x:c>
      <x:c r="D75" s="6" t="str">
        <x:v>SVC000074</x:v>
      </x:c>
      <x:c r="E75" s="6" t="str">
        <x:v>Unsupported Relationship</x:v>
      </x:c>
      <x:c r="F75" s="12" t="str">
        <x:v>Device family alone is insufficient for governed relationship.</x:v>
      </x:c>
      <x:c r="G75" s="12" t="str">
        <x:v>Explicit governed evidence supporting relationship</x:v>
      </x:c>
      <x:c r="H75" s="6" t="str"/>
      <x:c r="I75" s="6" t="str"/>
      <x:c r="J75" s="6" t="str"/>
      <x:c r="K75" s="6" t="str">
        <x:v>Open</x:v>
      </x:c>
      <x:c r="L75" s="6" t="str"/>
    </x:row>
    <x:row r="76">
      <x:c r="A76" s="6" t="str">
        <x:v>ESC-000075</x:v>
      </x:c>
      <x:c r="B76" s="6" t="str">
        <x:v>Unsupported Relationship Review</x:v>
      </x:c>
      <x:c r="C76" s="6" t="str">
        <x:v>UNS000075</x:v>
      </x:c>
      <x:c r="D76" s="6" t="str">
        <x:v>SVC000075</x:v>
      </x:c>
      <x:c r="E76" s="6" t="str">
        <x:v>Unsupported Relationship</x:v>
      </x:c>
      <x:c r="F76" s="12" t="str">
        <x:v>Device family alone is insufficient for governed relationship.</x:v>
      </x:c>
      <x:c r="G76" s="12" t="str">
        <x:v>Explicit governed evidence supporting relationship</x:v>
      </x:c>
      <x:c r="H76" s="6" t="str"/>
      <x:c r="I76" s="6" t="str"/>
      <x:c r="J76" s="6" t="str"/>
      <x:c r="K76" s="6" t="str">
        <x:v>Open</x:v>
      </x:c>
      <x:c r="L76" s="6" t="str"/>
    </x:row>
    <x:row r="77">
      <x:c r="A77" s="6" t="str">
        <x:v>ESC-000076</x:v>
      </x:c>
      <x:c r="B77" s="6" t="str">
        <x:v>Unsupported Relationship Review</x:v>
      </x:c>
      <x:c r="C77" s="6" t="str">
        <x:v>UNS000076</x:v>
      </x:c>
      <x:c r="D77" s="6" t="str">
        <x:v>SVC000076</x:v>
      </x:c>
      <x:c r="E77" s="6" t="str">
        <x:v>Unsupported Relationship</x:v>
      </x:c>
      <x:c r="F77" s="12" t="str">
        <x:v>Device family alone is insufficient for governed relationship.</x:v>
      </x:c>
      <x:c r="G77" s="12" t="str">
        <x:v>Explicit governed evidence supporting relationship</x:v>
      </x:c>
      <x:c r="H77" s="6" t="str"/>
      <x:c r="I77" s="6" t="str"/>
      <x:c r="J77" s="6" t="str"/>
      <x:c r="K77" s="6" t="str">
        <x:v>Open</x:v>
      </x:c>
      <x:c r="L77" s="6" t="str"/>
    </x:row>
    <x:row r="78">
      <x:c r="A78" s="6" t="str">
        <x:v>ESC-000077</x:v>
      </x:c>
      <x:c r="B78" s="6" t="str">
        <x:v>Unsupported Relationship Review</x:v>
      </x:c>
      <x:c r="C78" s="6" t="str">
        <x:v>UNS000077</x:v>
      </x:c>
      <x:c r="D78" s="6" t="str">
        <x:v>SVC000077</x:v>
      </x:c>
      <x:c r="E78" s="6" t="str">
        <x:v>Unsupported Relationship</x:v>
      </x:c>
      <x:c r="F78" s="12" t="str">
        <x:v>Device family alone is insufficient for governed relationship.</x:v>
      </x:c>
      <x:c r="G78" s="12" t="str">
        <x:v>Explicit governed evidence supporting relationship</x:v>
      </x:c>
      <x:c r="H78" s="6" t="str"/>
      <x:c r="I78" s="6" t="str"/>
      <x:c r="J78" s="6" t="str"/>
      <x:c r="K78" s="6" t="str">
        <x:v>Open</x:v>
      </x:c>
      <x:c r="L78" s="6" t="str"/>
    </x:row>
    <x:row r="79">
      <x:c r="A79" s="6" t="str">
        <x:v>ESC-000078</x:v>
      </x:c>
      <x:c r="B79" s="6" t="str">
        <x:v>Unsupported Relationship Review</x:v>
      </x:c>
      <x:c r="C79" s="6" t="str">
        <x:v>UNS000078</x:v>
      </x:c>
      <x:c r="D79" s="6" t="str">
        <x:v>SVC000078</x:v>
      </x:c>
      <x:c r="E79" s="6" t="str">
        <x:v>Unsupported Relationship</x:v>
      </x:c>
      <x:c r="F79" s="12" t="str">
        <x:v>Device family alone is insufficient for governed relationship.</x:v>
      </x:c>
      <x:c r="G79" s="12" t="str">
        <x:v>Explicit governed evidence supporting relationship</x:v>
      </x:c>
      <x:c r="H79" s="6" t="str"/>
      <x:c r="I79" s="6" t="str"/>
      <x:c r="J79" s="6" t="str"/>
      <x:c r="K79" s="6" t="str">
        <x:v>Open</x:v>
      </x:c>
      <x:c r="L79" s="6" t="str"/>
    </x:row>
    <x:row r="80">
      <x:c r="A80" s="6" t="str">
        <x:v>ESC-000079</x:v>
      </x:c>
      <x:c r="B80" s="6" t="str">
        <x:v>Unsupported Relationship Review</x:v>
      </x:c>
      <x:c r="C80" s="6" t="str">
        <x:v>UNS000079</x:v>
      </x:c>
      <x:c r="D80" s="6" t="str">
        <x:v>SVC000079</x:v>
      </x:c>
      <x:c r="E80" s="6" t="str">
        <x:v>Unsupported Relationship</x:v>
      </x:c>
      <x:c r="F80" s="12" t="str">
        <x:v>Device family alone is insufficient for governed relationship.</x:v>
      </x:c>
      <x:c r="G80" s="12" t="str">
        <x:v>Explicit governed evidence supporting relationship</x:v>
      </x:c>
      <x:c r="H80" s="6" t="str"/>
      <x:c r="I80" s="6" t="str"/>
      <x:c r="J80" s="6" t="str"/>
      <x:c r="K80" s="6" t="str">
        <x:v>Open</x:v>
      </x:c>
      <x:c r="L80" s="6" t="str"/>
    </x:row>
    <x:row r="81">
      <x:c r="A81" s="6" t="str">
        <x:v>ESC-000080</x:v>
      </x:c>
      <x:c r="B81" s="6" t="str">
        <x:v>Unsupported Relationship Review</x:v>
      </x:c>
      <x:c r="C81" s="6" t="str">
        <x:v>UNS000080</x:v>
      </x:c>
      <x:c r="D81" s="6" t="str">
        <x:v>SVC000080</x:v>
      </x:c>
      <x:c r="E81" s="6" t="str">
        <x:v>Unsupported Relationship</x:v>
      </x:c>
      <x:c r="F81" s="12" t="str">
        <x:v>Device family alone is insufficient for governed relationship.</x:v>
      </x:c>
      <x:c r="G81" s="12" t="str">
        <x:v>Explicit governed evidence supporting relationship</x:v>
      </x:c>
      <x:c r="H81" s="6" t="str"/>
      <x:c r="I81" s="6" t="str"/>
      <x:c r="J81" s="6" t="str"/>
      <x:c r="K81" s="6" t="str">
        <x:v>Open</x:v>
      </x:c>
      <x:c r="L81" s="6" t="str"/>
    </x:row>
    <x:row r="82">
      <x:c r="A82" s="6" t="str">
        <x:v>ESC-000081</x:v>
      </x:c>
      <x:c r="B82" s="6" t="str">
        <x:v>Unsupported Relationship Review</x:v>
      </x:c>
      <x:c r="C82" s="6" t="str">
        <x:v>UNS000081</x:v>
      </x:c>
      <x:c r="D82" s="6" t="str">
        <x:v>SVC000081</x:v>
      </x:c>
      <x:c r="E82" s="6" t="str">
        <x:v>Unsupported Relationship</x:v>
      </x:c>
      <x:c r="F82" s="12" t="str">
        <x:v>Device family alone is insufficient for governed relationship.</x:v>
      </x:c>
      <x:c r="G82" s="12" t="str">
        <x:v>Explicit governed evidence supporting relationship</x:v>
      </x:c>
      <x:c r="H82" s="6" t="str"/>
      <x:c r="I82" s="6" t="str"/>
      <x:c r="J82" s="6" t="str"/>
      <x:c r="K82" s="6" t="str">
        <x:v>Open</x:v>
      </x:c>
      <x:c r="L82" s="6" t="str"/>
    </x:row>
    <x:row r="83">
      <x:c r="A83" s="6" t="str">
        <x:v>ESC-000082</x:v>
      </x:c>
      <x:c r="B83" s="6" t="str">
        <x:v>Unsupported Relationship Review</x:v>
      </x:c>
      <x:c r="C83" s="6" t="str">
        <x:v>UNS000082</x:v>
      </x:c>
      <x:c r="D83" s="6" t="str">
        <x:v>SVC000082</x:v>
      </x:c>
      <x:c r="E83" s="6" t="str">
        <x:v>Unsupported Relationship</x:v>
      </x:c>
      <x:c r="F83" s="12" t="str">
        <x:v>Device family alone is insufficient for governed relationship.</x:v>
      </x:c>
      <x:c r="G83" s="12" t="str">
        <x:v>Explicit governed evidence supporting relationship</x:v>
      </x:c>
      <x:c r="H83" s="6" t="str"/>
      <x:c r="I83" s="6" t="str"/>
      <x:c r="J83" s="6" t="str"/>
      <x:c r="K83" s="6" t="str">
        <x:v>Open</x:v>
      </x:c>
      <x:c r="L83" s="6" t="str"/>
    </x:row>
    <x:row r="84">
      <x:c r="A84" s="6" t="str">
        <x:v>ESC-000083</x:v>
      </x:c>
      <x:c r="B84" s="6" t="str">
        <x:v>Unsupported Relationship Review</x:v>
      </x:c>
      <x:c r="C84" s="6" t="str">
        <x:v>UNS000083</x:v>
      </x:c>
      <x:c r="D84" s="6" t="str">
        <x:v>SVC000083</x:v>
      </x:c>
      <x:c r="E84" s="6" t="str">
        <x:v>Unsupported Relationship</x:v>
      </x:c>
      <x:c r="F84" s="12" t="str">
        <x:v>Device family alone is insufficient for governed relationship.</x:v>
      </x:c>
      <x:c r="G84" s="12" t="str">
        <x:v>Explicit governed evidence supporting relationship</x:v>
      </x:c>
      <x:c r="H84" s="6" t="str"/>
      <x:c r="I84" s="6" t="str"/>
      <x:c r="J84" s="6" t="str"/>
      <x:c r="K84" s="6" t="str">
        <x:v>Open</x:v>
      </x:c>
      <x:c r="L84" s="6" t="str"/>
    </x:row>
    <x:row r="85">
      <x:c r="A85" s="6" t="str">
        <x:v>ESC-000084</x:v>
      </x:c>
      <x:c r="B85" s="6" t="str">
        <x:v>Unsupported Relationship Review</x:v>
      </x:c>
      <x:c r="C85" s="6" t="str">
        <x:v>UNS000084</x:v>
      </x:c>
      <x:c r="D85" s="6" t="str">
        <x:v>SVC000084</x:v>
      </x:c>
      <x:c r="E85" s="6" t="str">
        <x:v>Unsupported Relationship</x:v>
      </x:c>
      <x:c r="F85" s="12" t="str">
        <x:v>Device family alone is insufficient for governed relationship.</x:v>
      </x:c>
      <x:c r="G85" s="12" t="str">
        <x:v>Explicit governed evidence supporting relationship</x:v>
      </x:c>
      <x:c r="H85" s="6" t="str"/>
      <x:c r="I85" s="6" t="str"/>
      <x:c r="J85" s="6" t="str"/>
      <x:c r="K85" s="6" t="str">
        <x:v>Open</x:v>
      </x:c>
      <x:c r="L85" s="6" t="str"/>
    </x:row>
    <x:row r="86">
      <x:c r="A86" s="6" t="str">
        <x:v>ESC-000085</x:v>
      </x:c>
      <x:c r="B86" s="6" t="str">
        <x:v>Unsupported Relationship Review</x:v>
      </x:c>
      <x:c r="C86" s="6" t="str">
        <x:v>UNS000085</x:v>
      </x:c>
      <x:c r="D86" s="6" t="str">
        <x:v>SVC000085</x:v>
      </x:c>
      <x:c r="E86" s="6" t="str">
        <x:v>Unsupported Relationship</x:v>
      </x:c>
      <x:c r="F86" s="12" t="str">
        <x:v>Device family alone is insufficient for governed relationship.</x:v>
      </x:c>
      <x:c r="G86" s="12" t="str">
        <x:v>Explicit governed evidence supporting relationship</x:v>
      </x:c>
      <x:c r="H86" s="6" t="str"/>
      <x:c r="I86" s="6" t="str"/>
      <x:c r="J86" s="6" t="str"/>
      <x:c r="K86" s="6" t="str">
        <x:v>Open</x:v>
      </x:c>
      <x:c r="L86" s="6" t="str"/>
    </x:row>
    <x:row r="87">
      <x:c r="A87" s="6" t="str">
        <x:v>ESC-000086</x:v>
      </x:c>
      <x:c r="B87" s="6" t="str">
        <x:v>Unsupported Relationship Review</x:v>
      </x:c>
      <x:c r="C87" s="6" t="str">
        <x:v>UNS000086</x:v>
      </x:c>
      <x:c r="D87" s="6" t="str">
        <x:v>SVC000086</x:v>
      </x:c>
      <x:c r="E87" s="6" t="str">
        <x:v>Unsupported Relationship</x:v>
      </x:c>
      <x:c r="F87" s="12" t="str">
        <x:v>Device family alone is insufficient for governed relationship.</x:v>
      </x:c>
      <x:c r="G87" s="12" t="str">
        <x:v>Explicit governed evidence supporting relationship</x:v>
      </x:c>
      <x:c r="H87" s="6" t="str"/>
      <x:c r="I87" s="6" t="str"/>
      <x:c r="J87" s="6" t="str"/>
      <x:c r="K87" s="6" t="str">
        <x:v>Open</x:v>
      </x:c>
      <x:c r="L87" s="6" t="str"/>
    </x:row>
    <x:row r="88">
      <x:c r="A88" s="6" t="str">
        <x:v>ESC-000087</x:v>
      </x:c>
      <x:c r="B88" s="6" t="str">
        <x:v>Unsupported Relationship Review</x:v>
      </x:c>
      <x:c r="C88" s="6" t="str">
        <x:v>UNS000087</x:v>
      </x:c>
      <x:c r="D88" s="6" t="str">
        <x:v>SVC000087</x:v>
      </x:c>
      <x:c r="E88" s="6" t="str">
        <x:v>Unsupported Relationship</x:v>
      </x:c>
      <x:c r="F88" s="12" t="str">
        <x:v>Device family alone is insufficient for governed relationship.</x:v>
      </x:c>
      <x:c r="G88" s="12" t="str">
        <x:v>Explicit governed evidence supporting relationship</x:v>
      </x:c>
      <x:c r="H88" s="6" t="str"/>
      <x:c r="I88" s="6" t="str"/>
      <x:c r="J88" s="6" t="str"/>
      <x:c r="K88" s="6" t="str">
        <x:v>Open</x:v>
      </x:c>
      <x:c r="L88" s="6" t="str"/>
    </x:row>
    <x:row r="89">
      <x:c r="A89" s="6" t="str">
        <x:v>ESC-000088</x:v>
      </x:c>
      <x:c r="B89" s="6" t="str">
        <x:v>Unsupported Relationship Review</x:v>
      </x:c>
      <x:c r="C89" s="6" t="str">
        <x:v>UNS000088</x:v>
      </x:c>
      <x:c r="D89" s="6" t="str">
        <x:v>SVC000088</x:v>
      </x:c>
      <x:c r="E89" s="6" t="str">
        <x:v>Unsupported Relationship</x:v>
      </x:c>
      <x:c r="F89" s="12" t="str">
        <x:v>Device family alone is insufficient for governed relationship.</x:v>
      </x:c>
      <x:c r="G89" s="12" t="str">
        <x:v>Explicit governed evidence supporting relationship</x:v>
      </x:c>
      <x:c r="H89" s="6" t="str"/>
      <x:c r="I89" s="6" t="str"/>
      <x:c r="J89" s="6" t="str"/>
      <x:c r="K89" s="6" t="str">
        <x:v>Open</x:v>
      </x:c>
      <x:c r="L89" s="6" t="str"/>
    </x:row>
    <x:row r="90">
      <x:c r="A90" s="6" t="str">
        <x:v>ESC-000089</x:v>
      </x:c>
      <x:c r="B90" s="6" t="str">
        <x:v>Unsupported Relationship Review</x:v>
      </x:c>
      <x:c r="C90" s="6" t="str">
        <x:v>UNS000089</x:v>
      </x:c>
      <x:c r="D90" s="6" t="str">
        <x:v>SVC000089</x:v>
      </x:c>
      <x:c r="E90" s="6" t="str">
        <x:v>Unsupported Relationship</x:v>
      </x:c>
      <x:c r="F90" s="12" t="str">
        <x:v>Device family alone is insufficient for governed relationship.</x:v>
      </x:c>
      <x:c r="G90" s="12" t="str">
        <x:v>Explicit governed evidence supporting relationship</x:v>
      </x:c>
      <x:c r="H90" s="6" t="str"/>
      <x:c r="I90" s="6" t="str"/>
      <x:c r="J90" s="6" t="str"/>
      <x:c r="K90" s="6" t="str">
        <x:v>Open</x:v>
      </x:c>
      <x:c r="L90" s="6" t="str"/>
    </x:row>
    <x:row r="91">
      <x:c r="A91" s="6" t="str">
        <x:v>ESC-000090</x:v>
      </x:c>
      <x:c r="B91" s="6" t="str">
        <x:v>Unsupported Relationship Review</x:v>
      </x:c>
      <x:c r="C91" s="6" t="str">
        <x:v>UNS000090</x:v>
      </x:c>
      <x:c r="D91" s="6" t="str">
        <x:v>SVC000090</x:v>
      </x:c>
      <x:c r="E91" s="6" t="str">
        <x:v>Unsupported Relationship</x:v>
      </x:c>
      <x:c r="F91" s="12" t="str">
        <x:v>Device family alone is insufficient for governed relationship.</x:v>
      </x:c>
      <x:c r="G91" s="12" t="str">
        <x:v>Explicit governed evidence supporting relationship</x:v>
      </x:c>
      <x:c r="H91" s="6" t="str"/>
      <x:c r="I91" s="6" t="str"/>
      <x:c r="J91" s="6" t="str"/>
      <x:c r="K91" s="6" t="str">
        <x:v>Open</x:v>
      </x:c>
      <x:c r="L91" s="6" t="str"/>
    </x:row>
    <x:row r="92">
      <x:c r="A92" s="6" t="str">
        <x:v>ESC-000091</x:v>
      </x:c>
      <x:c r="B92" s="6" t="str">
        <x:v>Unsupported Relationship Review</x:v>
      </x:c>
      <x:c r="C92" s="6" t="str">
        <x:v>UNS000091</x:v>
      </x:c>
      <x:c r="D92" s="6" t="str">
        <x:v>SVC000091</x:v>
      </x:c>
      <x:c r="E92" s="6" t="str">
        <x:v>Unsupported Relationship</x:v>
      </x:c>
      <x:c r="F92" s="12" t="str">
        <x:v>Device family alone is insufficient for governed relationship.</x:v>
      </x:c>
      <x:c r="G92" s="12" t="str">
        <x:v>Explicit governed evidence supporting relationship</x:v>
      </x:c>
      <x:c r="H92" s="6" t="str"/>
      <x:c r="I92" s="6" t="str"/>
      <x:c r="J92" s="6" t="str"/>
      <x:c r="K92" s="6" t="str">
        <x:v>Open</x:v>
      </x:c>
      <x:c r="L92" s="6" t="str"/>
    </x:row>
    <x:row r="93">
      <x:c r="A93" s="6" t="str">
        <x:v>ESC-000092</x:v>
      </x:c>
      <x:c r="B93" s="6" t="str">
        <x:v>Unsupported Relationship Review</x:v>
      </x:c>
      <x:c r="C93" s="6" t="str">
        <x:v>UNS000092</x:v>
      </x:c>
      <x:c r="D93" s="6" t="str">
        <x:v>SVC000092</x:v>
      </x:c>
      <x:c r="E93" s="6" t="str">
        <x:v>Unsupported Relationship</x:v>
      </x:c>
      <x:c r="F93" s="12" t="str">
        <x:v>Device family alone is insufficient for governed relationship.</x:v>
      </x:c>
      <x:c r="G93" s="12" t="str">
        <x:v>Explicit governed evidence supporting relationship</x:v>
      </x:c>
      <x:c r="H93" s="6" t="str"/>
      <x:c r="I93" s="6" t="str"/>
      <x:c r="J93" s="6" t="str"/>
      <x:c r="K93" s="6" t="str">
        <x:v>Open</x:v>
      </x:c>
      <x:c r="L93" s="6" t="str"/>
    </x:row>
    <x:row r="94">
      <x:c r="A94" s="6" t="str">
        <x:v>ESC-000093</x:v>
      </x:c>
      <x:c r="B94" s="6" t="str">
        <x:v>Unsupported Relationship Review</x:v>
      </x:c>
      <x:c r="C94" s="6" t="str">
        <x:v>UNS000093</x:v>
      </x:c>
      <x:c r="D94" s="6" t="str">
        <x:v>SVC000093</x:v>
      </x:c>
      <x:c r="E94" s="6" t="str">
        <x:v>Unsupported Relationship</x:v>
      </x:c>
      <x:c r="F94" s="12" t="str">
        <x:v>Device family alone is insufficient for governed relationship.</x:v>
      </x:c>
      <x:c r="G94" s="12" t="str">
        <x:v>Explicit governed evidence supporting relationship</x:v>
      </x:c>
      <x:c r="H94" s="6" t="str"/>
      <x:c r="I94" s="6" t="str"/>
      <x:c r="J94" s="6" t="str"/>
      <x:c r="K94" s="6" t="str">
        <x:v>Open</x:v>
      </x:c>
      <x:c r="L94" s="6" t="str"/>
    </x:row>
    <x:row r="95">
      <x:c r="A95" s="6" t="str">
        <x:v>ESC-000094</x:v>
      </x:c>
      <x:c r="B95" s="6" t="str">
        <x:v>Unsupported Relationship Review</x:v>
      </x:c>
      <x:c r="C95" s="6" t="str">
        <x:v>UNS000094</x:v>
      </x:c>
      <x:c r="D95" s="6" t="str">
        <x:v>SVC000094</x:v>
      </x:c>
      <x:c r="E95" s="6" t="str">
        <x:v>Unsupported Relationship</x:v>
      </x:c>
      <x:c r="F95" s="12" t="str">
        <x:v>Device family alone is insufficient for governed relationship.</x:v>
      </x:c>
      <x:c r="G95" s="12" t="str">
        <x:v>Explicit governed evidence supporting relationship</x:v>
      </x:c>
      <x:c r="H95" s="6" t="str"/>
      <x:c r="I95" s="6" t="str"/>
      <x:c r="J95" s="6" t="str"/>
      <x:c r="K95" s="6" t="str">
        <x:v>Open</x:v>
      </x:c>
      <x:c r="L95" s="6" t="str"/>
    </x:row>
    <x:row r="96">
      <x:c r="A96" s="6" t="str">
        <x:v>ESC-000095</x:v>
      </x:c>
      <x:c r="B96" s="6" t="str">
        <x:v>Unsupported Relationship Review</x:v>
      </x:c>
      <x:c r="C96" s="6" t="str">
        <x:v>UNS000095</x:v>
      </x:c>
      <x:c r="D96" s="6" t="str">
        <x:v>SVC000095</x:v>
      </x:c>
      <x:c r="E96" s="6" t="str">
        <x:v>Unsupported Relationship</x:v>
      </x:c>
      <x:c r="F96" s="12" t="str">
        <x:v>Device family alone is insufficient for governed relationship.</x:v>
      </x:c>
      <x:c r="G96" s="12" t="str">
        <x:v>Explicit governed evidence supporting relationship</x:v>
      </x:c>
      <x:c r="H96" s="6" t="str"/>
      <x:c r="I96" s="6" t="str"/>
      <x:c r="J96" s="6" t="str"/>
      <x:c r="K96" s="6" t="str">
        <x:v>Open</x:v>
      </x:c>
      <x:c r="L96" s="6" t="str"/>
    </x:row>
    <x:row r="97">
      <x:c r="A97" s="6" t="str">
        <x:v>ESC-000096</x:v>
      </x:c>
      <x:c r="B97" s="6" t="str">
        <x:v>Unsupported Relationship Review</x:v>
      </x:c>
      <x:c r="C97" s="6" t="str">
        <x:v>UNS000096</x:v>
      </x:c>
      <x:c r="D97" s="6" t="str">
        <x:v>SVC000096</x:v>
      </x:c>
      <x:c r="E97" s="6" t="str">
        <x:v>Unsupported Relationship</x:v>
      </x:c>
      <x:c r="F97" s="12" t="str">
        <x:v>Device family alone is insufficient for governed relationship.</x:v>
      </x:c>
      <x:c r="G97" s="12" t="str">
        <x:v>Explicit governed evidence supporting relationship</x:v>
      </x:c>
      <x:c r="H97" s="6" t="str"/>
      <x:c r="I97" s="6" t="str"/>
      <x:c r="J97" s="6" t="str"/>
      <x:c r="K97" s="6" t="str">
        <x:v>Open</x:v>
      </x:c>
      <x:c r="L97" s="6" t="str"/>
    </x:row>
    <x:row r="98">
      <x:c r="A98" s="6" t="str">
        <x:v>ESC-000097</x:v>
      </x:c>
      <x:c r="B98" s="6" t="str">
        <x:v>Unsupported Relationship Review</x:v>
      </x:c>
      <x:c r="C98" s="6" t="str">
        <x:v>UNS000097</x:v>
      </x:c>
      <x:c r="D98" s="6" t="str">
        <x:v>SVC000097</x:v>
      </x:c>
      <x:c r="E98" s="6" t="str">
        <x:v>Unsupported Relationship</x:v>
      </x:c>
      <x:c r="F98" s="12" t="str">
        <x:v>Device family alone is insufficient for governed relationship.</x:v>
      </x:c>
      <x:c r="G98" s="12" t="str">
        <x:v>Explicit governed evidence supporting relationship</x:v>
      </x:c>
      <x:c r="H98" s="6" t="str"/>
      <x:c r="I98" s="6" t="str"/>
      <x:c r="J98" s="6" t="str"/>
      <x:c r="K98" s="6" t="str">
        <x:v>Open</x:v>
      </x:c>
      <x:c r="L98" s="6" t="str"/>
    </x:row>
    <x:row r="99">
      <x:c r="A99" s="6" t="str">
        <x:v>ESC-000098</x:v>
      </x:c>
      <x:c r="B99" s="6" t="str">
        <x:v>Unsupported Relationship Review</x:v>
      </x:c>
      <x:c r="C99" s="6" t="str">
        <x:v>UNS000098</x:v>
      </x:c>
      <x:c r="D99" s="6" t="str">
        <x:v>SVC000098</x:v>
      </x:c>
      <x:c r="E99" s="6" t="str">
        <x:v>Unsupported Relationship</x:v>
      </x:c>
      <x:c r="F99" s="12" t="str">
        <x:v>Device family alone is insufficient for governed relationship.</x:v>
      </x:c>
      <x:c r="G99" s="12" t="str">
        <x:v>Explicit governed evidence supporting relationship</x:v>
      </x:c>
      <x:c r="H99" s="6" t="str"/>
      <x:c r="I99" s="6" t="str"/>
      <x:c r="J99" s="6" t="str"/>
      <x:c r="K99" s="6" t="str">
        <x:v>Open</x:v>
      </x:c>
      <x:c r="L99" s="6" t="str"/>
    </x:row>
    <x:row r="100">
      <x:c r="A100" s="6" t="str">
        <x:v>ESC-000099</x:v>
      </x:c>
      <x:c r="B100" s="6" t="str">
        <x:v>Unsupported Relationship Review</x:v>
      </x:c>
      <x:c r="C100" s="6" t="str">
        <x:v>UNS000099</x:v>
      </x:c>
      <x:c r="D100" s="6" t="str">
        <x:v>SVC000099</x:v>
      </x:c>
      <x:c r="E100" s="6" t="str">
        <x:v>Unsupported Relationship</x:v>
      </x:c>
      <x:c r="F100" s="12" t="str">
        <x:v>Device family alone is insufficient for governed relationship.</x:v>
      </x:c>
      <x:c r="G100" s="12" t="str">
        <x:v>Explicit governed evidence supporting relationship</x:v>
      </x:c>
      <x:c r="H100" s="6" t="str"/>
      <x:c r="I100" s="6" t="str"/>
      <x:c r="J100" s="6" t="str"/>
      <x:c r="K100" s="6" t="str">
        <x:v>Open</x:v>
      </x:c>
      <x:c r="L100" s="6" t="str"/>
    </x:row>
    <x:row r="101">
      <x:c r="A101" s="6" t="str">
        <x:v>ESC-000100</x:v>
      </x:c>
      <x:c r="B101" s="6" t="str">
        <x:v>Unsupported Relationship Review</x:v>
      </x:c>
      <x:c r="C101" s="6" t="str">
        <x:v>UNS000100</x:v>
      </x:c>
      <x:c r="D101" s="6" t="str">
        <x:v>SVC000100</x:v>
      </x:c>
      <x:c r="E101" s="6" t="str">
        <x:v>Unsupported Relationship</x:v>
      </x:c>
      <x:c r="F101" s="12" t="str">
        <x:v>Device family alone is insufficient for governed relationship.</x:v>
      </x:c>
      <x:c r="G101" s="12" t="str">
        <x:v>Explicit governed evidence supporting relationship</x:v>
      </x:c>
      <x:c r="H101" s="6" t="str"/>
      <x:c r="I101" s="6" t="str"/>
      <x:c r="J101" s="6" t="str"/>
      <x:c r="K101" s="6" t="str">
        <x:v>Open</x:v>
      </x:c>
      <x:c r="L101" s="6" t="str"/>
    </x:row>
    <x:row r="102">
      <x:c r="A102" s="6" t="str">
        <x:v>ESC-000101</x:v>
      </x:c>
      <x:c r="B102" s="6" t="str">
        <x:v>Unsupported Relationship Review</x:v>
      </x:c>
      <x:c r="C102" s="6" t="str">
        <x:v>UNS000101</x:v>
      </x:c>
      <x:c r="D102" s="6" t="str">
        <x:v>SVC000101</x:v>
      </x:c>
      <x:c r="E102" s="6" t="str">
        <x:v>Unsupported Relationship</x:v>
      </x:c>
      <x:c r="F102" s="12" t="str">
        <x:v>Device family alone is insufficient for governed relationship.</x:v>
      </x:c>
      <x:c r="G102" s="12" t="str">
        <x:v>Explicit governed evidence supporting relationship</x:v>
      </x:c>
      <x:c r="H102" s="6" t="str"/>
      <x:c r="I102" s="6" t="str"/>
      <x:c r="J102" s="6" t="str"/>
      <x:c r="K102" s="6" t="str">
        <x:v>Open</x:v>
      </x:c>
      <x:c r="L102" s="6" t="str"/>
    </x:row>
    <x:row r="103">
      <x:c r="A103" s="6" t="str">
        <x:v>ESC-000102</x:v>
      </x:c>
      <x:c r="B103" s="6" t="str">
        <x:v>Unsupported Relationship Review</x:v>
      </x:c>
      <x:c r="C103" s="6" t="str">
        <x:v>UNS000102</x:v>
      </x:c>
      <x:c r="D103" s="6" t="str">
        <x:v>SVC000102</x:v>
      </x:c>
      <x:c r="E103" s="6" t="str">
        <x:v>Unsupported Relationship</x:v>
      </x:c>
      <x:c r="F103" s="12" t="str">
        <x:v>Device family alone is insufficient for governed relationship.</x:v>
      </x:c>
      <x:c r="G103" s="12" t="str">
        <x:v>Explicit governed evidence supporting relationship</x:v>
      </x:c>
      <x:c r="H103" s="6" t="str"/>
      <x:c r="I103" s="6" t="str"/>
      <x:c r="J103" s="6" t="str"/>
      <x:c r="K103" s="6" t="str">
        <x:v>Open</x:v>
      </x:c>
      <x:c r="L103" s="6" t="str"/>
    </x:row>
    <x:row r="104">
      <x:c r="A104" s="6" t="str">
        <x:v>ESC-000103</x:v>
      </x:c>
      <x:c r="B104" s="6" t="str">
        <x:v>Unsupported Relationship Review</x:v>
      </x:c>
      <x:c r="C104" s="6" t="str">
        <x:v>UNS000103</x:v>
      </x:c>
      <x:c r="D104" s="6" t="str">
        <x:v>SVC000103</x:v>
      </x:c>
      <x:c r="E104" s="6" t="str">
        <x:v>Unsupported Relationship</x:v>
      </x:c>
      <x:c r="F104" s="12" t="str">
        <x:v>Device family alone is insufficient for governed relationship.</x:v>
      </x:c>
      <x:c r="G104" s="12" t="str">
        <x:v>Explicit governed evidence supporting relationship</x:v>
      </x:c>
      <x:c r="H104" s="6" t="str"/>
      <x:c r="I104" s="6" t="str"/>
      <x:c r="J104" s="6" t="str"/>
      <x:c r="K104" s="6" t="str">
        <x:v>Open</x:v>
      </x:c>
      <x:c r="L104" s="6" t="str"/>
    </x:row>
    <x:row r="105">
      <x:c r="A105" s="6" t="str">
        <x:v>ESC-000104</x:v>
      </x:c>
      <x:c r="B105" s="6" t="str">
        <x:v>Unsupported Relationship Review</x:v>
      </x:c>
      <x:c r="C105" s="6" t="str">
        <x:v>UNS000104</x:v>
      </x:c>
      <x:c r="D105" s="6" t="str">
        <x:v>SVC000104</x:v>
      </x:c>
      <x:c r="E105" s="6" t="str">
        <x:v>Unsupported Relationship</x:v>
      </x:c>
      <x:c r="F105" s="12" t="str">
        <x:v>Device family alone is insufficient for governed relationship.</x:v>
      </x:c>
      <x:c r="G105" s="12" t="str">
        <x:v>Explicit governed evidence supporting relationship</x:v>
      </x:c>
      <x:c r="H105" s="6" t="str"/>
      <x:c r="I105" s="6" t="str"/>
      <x:c r="J105" s="6" t="str"/>
      <x:c r="K105" s="6" t="str">
        <x:v>Open</x:v>
      </x:c>
      <x:c r="L105" s="6" t="str"/>
    </x:row>
    <x:row r="106">
      <x:c r="A106" s="6" t="str">
        <x:v>ESC-000105</x:v>
      </x:c>
      <x:c r="B106" s="6" t="str">
        <x:v>Unsupported Relationship Review</x:v>
      </x:c>
      <x:c r="C106" s="6" t="str">
        <x:v>UNS000105</x:v>
      </x:c>
      <x:c r="D106" s="6" t="str">
        <x:v>SVC000105</x:v>
      </x:c>
      <x:c r="E106" s="6" t="str">
        <x:v>Unsupported Relationship</x:v>
      </x:c>
      <x:c r="F106" s="12" t="str">
        <x:v>Device family alone is insufficient for governed relationship.</x:v>
      </x:c>
      <x:c r="G106" s="12" t="str">
        <x:v>Explicit governed evidence supporting relationship</x:v>
      </x:c>
      <x:c r="H106" s="6" t="str"/>
      <x:c r="I106" s="6" t="str"/>
      <x:c r="J106" s="6" t="str"/>
      <x:c r="K106" s="6" t="str">
        <x:v>Open</x:v>
      </x:c>
      <x:c r="L106" s="6" t="str"/>
    </x:row>
    <x:row r="107">
      <x:c r="A107" s="6" t="str">
        <x:v>ESC-000106</x:v>
      </x:c>
      <x:c r="B107" s="6" t="str">
        <x:v>Unsupported Relationship Review</x:v>
      </x:c>
      <x:c r="C107" s="6" t="str">
        <x:v>UNS000106</x:v>
      </x:c>
      <x:c r="D107" s="6" t="str">
        <x:v>SVC000106</x:v>
      </x:c>
      <x:c r="E107" s="6" t="str">
        <x:v>Unsupported Relationship</x:v>
      </x:c>
      <x:c r="F107" s="12" t="str">
        <x:v>Device family alone is insufficient for governed relationship.</x:v>
      </x:c>
      <x:c r="G107" s="12" t="str">
        <x:v>Explicit governed evidence supporting relationship</x:v>
      </x:c>
      <x:c r="H107" s="6" t="str"/>
      <x:c r="I107" s="6" t="str"/>
      <x:c r="J107" s="6" t="str"/>
      <x:c r="K107" s="6" t="str">
        <x:v>Open</x:v>
      </x:c>
      <x:c r="L107" s="6" t="str"/>
    </x:row>
    <x:row r="108">
      <x:c r="A108" s="6" t="str">
        <x:v>ESC-000107</x:v>
      </x:c>
      <x:c r="B108" s="6" t="str">
        <x:v>Unsupported Relationship Review</x:v>
      </x:c>
      <x:c r="C108" s="6" t="str">
        <x:v>UNS000107</x:v>
      </x:c>
      <x:c r="D108" s="6" t="str">
        <x:v>SVC000107</x:v>
      </x:c>
      <x:c r="E108" s="6" t="str">
        <x:v>Unsupported Relationship</x:v>
      </x:c>
      <x:c r="F108" s="12" t="str">
        <x:v>Device family alone is insufficient for governed relationship.</x:v>
      </x:c>
      <x:c r="G108" s="12" t="str">
        <x:v>Explicit governed evidence supporting relationship</x:v>
      </x:c>
      <x:c r="H108" s="6" t="str"/>
      <x:c r="I108" s="6" t="str"/>
      <x:c r="J108" s="6" t="str"/>
      <x:c r="K108" s="6" t="str">
        <x:v>Open</x:v>
      </x:c>
      <x:c r="L108" s="6" t="str"/>
    </x:row>
    <x:row r="109">
      <x:c r="A109" s="6" t="str">
        <x:v>ESC-000108</x:v>
      </x:c>
      <x:c r="B109" s="6" t="str">
        <x:v>Unsupported Relationship Review</x:v>
      </x:c>
      <x:c r="C109" s="6" t="str">
        <x:v>UNS000108</x:v>
      </x:c>
      <x:c r="D109" s="6" t="str">
        <x:v>SVC000108</x:v>
      </x:c>
      <x:c r="E109" s="6" t="str">
        <x:v>Unsupported Relationship</x:v>
      </x:c>
      <x:c r="F109" s="12" t="str">
        <x:v>Device family alone is insufficient for governed relationship.</x:v>
      </x:c>
      <x:c r="G109" s="12" t="str">
        <x:v>Explicit governed evidence supporting relationship</x:v>
      </x:c>
      <x:c r="H109" s="6" t="str"/>
      <x:c r="I109" s="6" t="str"/>
      <x:c r="J109" s="6" t="str"/>
      <x:c r="K109" s="6" t="str">
        <x:v>Open</x:v>
      </x:c>
      <x:c r="L109" s="6" t="str"/>
    </x:row>
    <x:row r="110">
      <x:c r="A110" s="6" t="str">
        <x:v>ESC-000109</x:v>
      </x:c>
      <x:c r="B110" s="6" t="str">
        <x:v>Unsupported Relationship Review</x:v>
      </x:c>
      <x:c r="C110" s="6" t="str">
        <x:v>UNS000109</x:v>
      </x:c>
      <x:c r="D110" s="6" t="str">
        <x:v>SVC000109</x:v>
      </x:c>
      <x:c r="E110" s="6" t="str">
        <x:v>Unsupported Relationship</x:v>
      </x:c>
      <x:c r="F110" s="12" t="str">
        <x:v>Device family alone is insufficient for governed relationship.</x:v>
      </x:c>
      <x:c r="G110" s="12" t="str">
        <x:v>Explicit governed evidence supporting relationship</x:v>
      </x:c>
      <x:c r="H110" s="6" t="str"/>
      <x:c r="I110" s="6" t="str"/>
      <x:c r="J110" s="6" t="str"/>
      <x:c r="K110" s="6" t="str">
        <x:v>Open</x:v>
      </x:c>
      <x:c r="L110" s="6" t="str"/>
    </x:row>
    <x:row r="111">
      <x:c r="A111" s="6" t="str">
        <x:v>ESC-000110</x:v>
      </x:c>
      <x:c r="B111" s="6" t="str">
        <x:v>Unsupported Relationship Review</x:v>
      </x:c>
      <x:c r="C111" s="6" t="str">
        <x:v>UNS000110</x:v>
      </x:c>
      <x:c r="D111" s="6" t="str">
        <x:v>SVC000110</x:v>
      </x:c>
      <x:c r="E111" s="6" t="str">
        <x:v>Unsupported Relationship</x:v>
      </x:c>
      <x:c r="F111" s="12" t="str">
        <x:v>Device family alone is insufficient for governed relationship.</x:v>
      </x:c>
      <x:c r="G111" s="12" t="str">
        <x:v>Explicit governed evidence supporting relationship</x:v>
      </x:c>
      <x:c r="H111" s="6" t="str"/>
      <x:c r="I111" s="6" t="str"/>
      <x:c r="J111" s="6" t="str"/>
      <x:c r="K111" s="6" t="str">
        <x:v>Open</x:v>
      </x:c>
      <x:c r="L111" s="6" t="str"/>
    </x:row>
    <x:row r="112">
      <x:c r="A112" s="6" t="str">
        <x:v>ESC-000111</x:v>
      </x:c>
      <x:c r="B112" s="6" t="str">
        <x:v>Unsupported Relationship Review</x:v>
      </x:c>
      <x:c r="C112" s="6" t="str">
        <x:v>UNS000111</x:v>
      </x:c>
      <x:c r="D112" s="6" t="str">
        <x:v>SVC000111</x:v>
      </x:c>
      <x:c r="E112" s="6" t="str">
        <x:v>Unsupported Relationship</x:v>
      </x:c>
      <x:c r="F112" s="12" t="str">
        <x:v>Device family alone is insufficient for governed relationship.</x:v>
      </x:c>
      <x:c r="G112" s="12" t="str">
        <x:v>Explicit governed evidence supporting relationship</x:v>
      </x:c>
      <x:c r="H112" s="6" t="str"/>
      <x:c r="I112" s="6" t="str"/>
      <x:c r="J112" s="6" t="str"/>
      <x:c r="K112" s="6" t="str">
        <x:v>Open</x:v>
      </x:c>
      <x:c r="L112" s="6" t="str"/>
    </x:row>
    <x:row r="113">
      <x:c r="A113" s="6" t="str">
        <x:v>ESC-000112</x:v>
      </x:c>
      <x:c r="B113" s="6" t="str">
        <x:v>Unsupported Relationship Review</x:v>
      </x:c>
      <x:c r="C113" s="6" t="str">
        <x:v>UNS000112</x:v>
      </x:c>
      <x:c r="D113" s="6" t="str">
        <x:v>SVC000112</x:v>
      </x:c>
      <x:c r="E113" s="6" t="str">
        <x:v>Unsupported Relationship</x:v>
      </x:c>
      <x:c r="F113" s="12" t="str">
        <x:v>Device family alone is insufficient for governed relationship.</x:v>
      </x:c>
      <x:c r="G113" s="12" t="str">
        <x:v>Explicit governed evidence supporting relationship</x:v>
      </x:c>
      <x:c r="H113" s="6" t="str"/>
      <x:c r="I113" s="6" t="str"/>
      <x:c r="J113" s="6" t="str"/>
      <x:c r="K113" s="6" t="str">
        <x:v>Open</x:v>
      </x:c>
      <x:c r="L113" s="6" t="str"/>
    </x:row>
    <x:row r="114">
      <x:c r="A114" s="6" t="str">
        <x:v>ESC-000113</x:v>
      </x:c>
      <x:c r="B114" s="6" t="str">
        <x:v>Unsupported Relationship Review</x:v>
      </x:c>
      <x:c r="C114" s="6" t="str">
        <x:v>UNS000113</x:v>
      </x:c>
      <x:c r="D114" s="6" t="str">
        <x:v>SVC000113</x:v>
      </x:c>
      <x:c r="E114" s="6" t="str">
        <x:v>Unsupported Relationship</x:v>
      </x:c>
      <x:c r="F114" s="12" t="str">
        <x:v>Device family alone is insufficient for governed relationship.</x:v>
      </x:c>
      <x:c r="G114" s="12" t="str">
        <x:v>Explicit governed evidence supporting relationship</x:v>
      </x:c>
      <x:c r="H114" s="6" t="str"/>
      <x:c r="I114" s="6" t="str"/>
      <x:c r="J114" s="6" t="str"/>
      <x:c r="K114" s="6" t="str">
        <x:v>Open</x:v>
      </x:c>
      <x:c r="L114" s="6" t="str"/>
    </x:row>
    <x:row r="115">
      <x:c r="A115" s="6" t="str">
        <x:v>ESC-000114</x:v>
      </x:c>
      <x:c r="B115" s="6" t="str">
        <x:v>Unsupported Relationship Review</x:v>
      </x:c>
      <x:c r="C115" s="6" t="str">
        <x:v>UNS000114</x:v>
      </x:c>
      <x:c r="D115" s="6" t="str">
        <x:v>SVC000114</x:v>
      </x:c>
      <x:c r="E115" s="6" t="str">
        <x:v>Unsupported Relationship</x:v>
      </x:c>
      <x:c r="F115" s="12" t="str">
        <x:v>Device family alone is insufficient for governed relationship.</x:v>
      </x:c>
      <x:c r="G115" s="12" t="str">
        <x:v>Explicit governed evidence supporting relationship</x:v>
      </x:c>
      <x:c r="H115" s="6" t="str"/>
      <x:c r="I115" s="6" t="str"/>
      <x:c r="J115" s="6" t="str"/>
      <x:c r="K115" s="6" t="str">
        <x:v>Open</x:v>
      </x:c>
      <x:c r="L115" s="6" t="str"/>
    </x:row>
    <x:row r="116">
      <x:c r="A116" s="6" t="str">
        <x:v>ESC-000115</x:v>
      </x:c>
      <x:c r="B116" s="6" t="str">
        <x:v>Unsupported Relationship Review</x:v>
      </x:c>
      <x:c r="C116" s="6" t="str">
        <x:v>UNS000115</x:v>
      </x:c>
      <x:c r="D116" s="6" t="str">
        <x:v>SVC000115</x:v>
      </x:c>
      <x:c r="E116" s="6" t="str">
        <x:v>Unsupported Relationship</x:v>
      </x:c>
      <x:c r="F116" s="12" t="str">
        <x:v>Device family alone is insufficient for governed relationship.</x:v>
      </x:c>
      <x:c r="G116" s="12" t="str">
        <x:v>Explicit governed evidence supporting relationship</x:v>
      </x:c>
      <x:c r="H116" s="6" t="str"/>
      <x:c r="I116" s="6" t="str"/>
      <x:c r="J116" s="6" t="str"/>
      <x:c r="K116" s="6" t="str">
        <x:v>Open</x:v>
      </x:c>
      <x:c r="L116" s="6" t="str"/>
    </x:row>
    <x:row r="117">
      <x:c r="A117" s="6" t="str">
        <x:v>ESC-000116</x:v>
      </x:c>
      <x:c r="B117" s="6" t="str">
        <x:v>Unsupported Relationship Review</x:v>
      </x:c>
      <x:c r="C117" s="6" t="str">
        <x:v>UNS000116</x:v>
      </x:c>
      <x:c r="D117" s="6" t="str">
        <x:v>SVC000116</x:v>
      </x:c>
      <x:c r="E117" s="6" t="str">
        <x:v>Unsupported Relationship</x:v>
      </x:c>
      <x:c r="F117" s="12" t="str">
        <x:v>Device family alone is insufficient for governed relationship.</x:v>
      </x:c>
      <x:c r="G117" s="12" t="str">
        <x:v>Explicit governed evidence supporting relationship</x:v>
      </x:c>
      <x:c r="H117" s="6" t="str"/>
      <x:c r="I117" s="6" t="str"/>
      <x:c r="J117" s="6" t="str"/>
      <x:c r="K117" s="6" t="str">
        <x:v>Open</x:v>
      </x:c>
      <x:c r="L117" s="6" t="str"/>
    </x:row>
    <x:row r="118">
      <x:c r="A118" s="6" t="str">
        <x:v>ESC-000117</x:v>
      </x:c>
      <x:c r="B118" s="6" t="str">
        <x:v>Unsupported Relationship Review</x:v>
      </x:c>
      <x:c r="C118" s="6" t="str">
        <x:v>UNS000117</x:v>
      </x:c>
      <x:c r="D118" s="6" t="str">
        <x:v>SVC000117</x:v>
      </x:c>
      <x:c r="E118" s="6" t="str">
        <x:v>Unsupported Relationship</x:v>
      </x:c>
      <x:c r="F118" s="12" t="str">
        <x:v>Device family alone is insufficient for governed relationship.</x:v>
      </x:c>
      <x:c r="G118" s="12" t="str">
        <x:v>Explicit governed evidence supporting relationship</x:v>
      </x:c>
      <x:c r="H118" s="6" t="str"/>
      <x:c r="I118" s="6" t="str"/>
      <x:c r="J118" s="6" t="str"/>
      <x:c r="K118" s="6" t="str">
        <x:v>Open</x:v>
      </x:c>
      <x:c r="L118" s="6" t="str"/>
    </x:row>
    <x:row r="119">
      <x:c r="A119" s="6" t="str">
        <x:v>ESC-000118</x:v>
      </x:c>
      <x:c r="B119" s="6" t="str">
        <x:v>Unsupported Relationship Review</x:v>
      </x:c>
      <x:c r="C119" s="6" t="str">
        <x:v>UNS000118</x:v>
      </x:c>
      <x:c r="D119" s="6" t="str">
        <x:v>SVC000118</x:v>
      </x:c>
      <x:c r="E119" s="6" t="str">
        <x:v>Unsupported Relationship</x:v>
      </x:c>
      <x:c r="F119" s="12" t="str">
        <x:v>Device family alone is insufficient for governed relationship.</x:v>
      </x:c>
      <x:c r="G119" s="12" t="str">
        <x:v>Explicit governed evidence supporting relationship</x:v>
      </x:c>
      <x:c r="H119" s="6" t="str"/>
      <x:c r="I119" s="6" t="str"/>
      <x:c r="J119" s="6" t="str"/>
      <x:c r="K119" s="6" t="str">
        <x:v>Open</x:v>
      </x:c>
      <x:c r="L119" s="6" t="str"/>
    </x:row>
    <x:row r="120">
      <x:c r="A120" s="6" t="str">
        <x:v>ESC-000119</x:v>
      </x:c>
      <x:c r="B120" s="6" t="str">
        <x:v>Unsupported Relationship Review</x:v>
      </x:c>
      <x:c r="C120" s="6" t="str">
        <x:v>UNS000119</x:v>
      </x:c>
      <x:c r="D120" s="6" t="str">
        <x:v>SVC000119</x:v>
      </x:c>
      <x:c r="E120" s="6" t="str">
        <x:v>Unsupported Relationship</x:v>
      </x:c>
      <x:c r="F120" s="12" t="str">
        <x:v>Device family alone is insufficient for governed relationship.</x:v>
      </x:c>
      <x:c r="G120" s="12" t="str">
        <x:v>Explicit governed evidence supporting relationship</x:v>
      </x:c>
      <x:c r="H120" s="6" t="str"/>
      <x:c r="I120" s="6" t="str"/>
      <x:c r="J120" s="6" t="str"/>
      <x:c r="K120" s="6" t="str">
        <x:v>Open</x:v>
      </x:c>
      <x:c r="L120" s="6" t="str"/>
    </x:row>
    <x:row r="121">
      <x:c r="A121" s="6" t="str">
        <x:v>ESC-000120</x:v>
      </x:c>
      <x:c r="B121" s="6" t="str">
        <x:v>Unsupported Relationship Review</x:v>
      </x:c>
      <x:c r="C121" s="6" t="str">
        <x:v>UNS000120</x:v>
      </x:c>
      <x:c r="D121" s="6" t="str">
        <x:v>SVC000120</x:v>
      </x:c>
      <x:c r="E121" s="6" t="str">
        <x:v>Unsupported Relationship</x:v>
      </x:c>
      <x:c r="F121" s="12" t="str">
        <x:v>Device family alone is insufficient for governed relationship.</x:v>
      </x:c>
      <x:c r="G121" s="12" t="str">
        <x:v>Explicit governed evidence supporting relationship</x:v>
      </x:c>
      <x:c r="H121" s="6" t="str"/>
      <x:c r="I121" s="6" t="str"/>
      <x:c r="J121" s="6" t="str"/>
      <x:c r="K121" s="6" t="str">
        <x:v>Open</x:v>
      </x:c>
      <x:c r="L121" s="6" t="str"/>
    </x:row>
    <x:row r="122">
      <x:c r="A122" s="6" t="str">
        <x:v>ESC-000121</x:v>
      </x:c>
      <x:c r="B122" s="6" t="str">
        <x:v>Unsupported Relationship Review</x:v>
      </x:c>
      <x:c r="C122" s="6" t="str">
        <x:v>UNS000121</x:v>
      </x:c>
      <x:c r="D122" s="6" t="str">
        <x:v>SVC000121</x:v>
      </x:c>
      <x:c r="E122" s="6" t="str">
        <x:v>Unsupported Relationship</x:v>
      </x:c>
      <x:c r="F122" s="12" t="str">
        <x:v>Device family alone is insufficient for governed relationship.</x:v>
      </x:c>
      <x:c r="G122" s="12" t="str">
        <x:v>Explicit governed evidence supporting relationship</x:v>
      </x:c>
      <x:c r="H122" s="6" t="str"/>
      <x:c r="I122" s="6" t="str"/>
      <x:c r="J122" s="6" t="str"/>
      <x:c r="K122" s="6" t="str">
        <x:v>Open</x:v>
      </x:c>
      <x:c r="L122" s="6" t="str"/>
    </x:row>
    <x:row r="123">
      <x:c r="A123" s="6" t="str">
        <x:v>ESC-000122</x:v>
      </x:c>
      <x:c r="B123" s="6" t="str">
        <x:v>Unsupported Relationship Review</x:v>
      </x:c>
      <x:c r="C123" s="6" t="str">
        <x:v>UNS000122</x:v>
      </x:c>
      <x:c r="D123" s="6" t="str">
        <x:v>SVC000122</x:v>
      </x:c>
      <x:c r="E123" s="6" t="str">
        <x:v>Unsupported Relationship</x:v>
      </x:c>
      <x:c r="F123" s="12" t="str">
        <x:v>Device family alone is insufficient for governed relationship.</x:v>
      </x:c>
      <x:c r="G123" s="12" t="str">
        <x:v>Explicit governed evidence supporting relationship</x:v>
      </x:c>
      <x:c r="H123" s="6" t="str"/>
      <x:c r="I123" s="6" t="str"/>
      <x:c r="J123" s="6" t="str"/>
      <x:c r="K123" s="6" t="str">
        <x:v>Open</x:v>
      </x:c>
      <x:c r="L123" s="6" t="str"/>
    </x:row>
    <x:row r="124">
      <x:c r="A124" s="6" t="str">
        <x:v>ESC-000123</x:v>
      </x:c>
      <x:c r="B124" s="6" t="str">
        <x:v>Unsupported Relationship Review</x:v>
      </x:c>
      <x:c r="C124" s="6" t="str">
        <x:v>UNS000123</x:v>
      </x:c>
      <x:c r="D124" s="6" t="str">
        <x:v>SVC000123</x:v>
      </x:c>
      <x:c r="E124" s="6" t="str">
        <x:v>Unsupported Relationship</x:v>
      </x:c>
      <x:c r="F124" s="12" t="str">
        <x:v>Device family alone is insufficient for governed relationship.</x:v>
      </x:c>
      <x:c r="G124" s="12" t="str">
        <x:v>Explicit governed evidence supporting relationship</x:v>
      </x:c>
      <x:c r="H124" s="6" t="str"/>
      <x:c r="I124" s="6" t="str"/>
      <x:c r="J124" s="6" t="str"/>
      <x:c r="K124" s="6" t="str">
        <x:v>Open</x:v>
      </x:c>
      <x:c r="L124" s="6" t="str"/>
    </x:row>
    <x:row r="125">
      <x:c r="A125" s="6" t="str">
        <x:v>ESC-000124</x:v>
      </x:c>
      <x:c r="B125" s="6" t="str">
        <x:v>Unsupported Relationship Review</x:v>
      </x:c>
      <x:c r="C125" s="6" t="str">
        <x:v>UNS000124</x:v>
      </x:c>
      <x:c r="D125" s="6" t="str">
        <x:v>SVC000124</x:v>
      </x:c>
      <x:c r="E125" s="6" t="str">
        <x:v>Unsupported Relationship</x:v>
      </x:c>
      <x:c r="F125" s="12" t="str">
        <x:v>Device family alone is insufficient for governed relationship.</x:v>
      </x:c>
      <x:c r="G125" s="12" t="str">
        <x:v>Explicit governed evidence supporting relationship</x:v>
      </x:c>
      <x:c r="H125" s="6" t="str"/>
      <x:c r="I125" s="6" t="str"/>
      <x:c r="J125" s="6" t="str"/>
      <x:c r="K125" s="6" t="str">
        <x:v>Open</x:v>
      </x:c>
      <x:c r="L125" s="6" t="str"/>
    </x:row>
    <x:row r="126">
      <x:c r="A126" s="6" t="str">
        <x:v>ESC-000125</x:v>
      </x:c>
      <x:c r="B126" s="6" t="str">
        <x:v>Unsupported Relationship Review</x:v>
      </x:c>
      <x:c r="C126" s="6" t="str">
        <x:v>UNS000125</x:v>
      </x:c>
      <x:c r="D126" s="6" t="str">
        <x:v>SVC000125</x:v>
      </x:c>
      <x:c r="E126" s="6" t="str">
        <x:v>Unsupported Relationship</x:v>
      </x:c>
      <x:c r="F126" s="12" t="str">
        <x:v>Device family alone is insufficient for governed relationship.</x:v>
      </x:c>
      <x:c r="G126" s="12" t="str">
        <x:v>Explicit governed evidence supporting relationship</x:v>
      </x:c>
      <x:c r="H126" s="6" t="str"/>
      <x:c r="I126" s="6" t="str"/>
      <x:c r="J126" s="6" t="str"/>
      <x:c r="K126" s="6" t="str">
        <x:v>Open</x:v>
      </x:c>
      <x:c r="L126" s="6" t="str"/>
    </x:row>
    <x:row r="127">
      <x:c r="A127" s="6" t="str">
        <x:v>ESC-000126</x:v>
      </x:c>
      <x:c r="B127" s="6" t="str">
        <x:v>Unsupported Relationship Review</x:v>
      </x:c>
      <x:c r="C127" s="6" t="str">
        <x:v>UNS000126</x:v>
      </x:c>
      <x:c r="D127" s="6" t="str">
        <x:v>SVC000126</x:v>
      </x:c>
      <x:c r="E127" s="6" t="str">
        <x:v>Unsupported Relationship</x:v>
      </x:c>
      <x:c r="F127" s="12" t="str">
        <x:v>Device family alone is insufficient for governed relationship.</x:v>
      </x:c>
      <x:c r="G127" s="12" t="str">
        <x:v>Explicit governed evidence supporting relationship</x:v>
      </x:c>
      <x:c r="H127" s="6" t="str"/>
      <x:c r="I127" s="6" t="str"/>
      <x:c r="J127" s="6" t="str"/>
      <x:c r="K127" s="6" t="str">
        <x:v>Open</x:v>
      </x:c>
      <x:c r="L127" s="6" t="str"/>
    </x:row>
    <x:row r="128">
      <x:c r="A128" s="6" t="str">
        <x:v>ESC-000127</x:v>
      </x:c>
      <x:c r="B128" s="6" t="str">
        <x:v>Unsupported Relationship Review</x:v>
      </x:c>
      <x:c r="C128" s="6" t="str">
        <x:v>UNS000127</x:v>
      </x:c>
      <x:c r="D128" s="6" t="str">
        <x:v>SVC000127</x:v>
      </x:c>
      <x:c r="E128" s="6" t="str">
        <x:v>Unsupported Relationship</x:v>
      </x:c>
      <x:c r="F128" s="12" t="str">
        <x:v>Device family alone is insufficient for governed relationship.</x:v>
      </x:c>
      <x:c r="G128" s="12" t="str">
        <x:v>Explicit governed evidence supporting relationship</x:v>
      </x:c>
      <x:c r="H128" s="6" t="str"/>
      <x:c r="I128" s="6" t="str"/>
      <x:c r="J128" s="6" t="str"/>
      <x:c r="K128" s="6" t="str">
        <x:v>Open</x:v>
      </x:c>
      <x:c r="L128" s="6" t="str"/>
    </x:row>
    <x:row r="129">
      <x:c r="A129" s="6" t="str">
        <x:v>ESC-000128</x:v>
      </x:c>
      <x:c r="B129" s="6" t="str">
        <x:v>Unsupported Relationship Review</x:v>
      </x:c>
      <x:c r="C129" s="6" t="str">
        <x:v>UNS000128</x:v>
      </x:c>
      <x:c r="D129" s="6" t="str">
        <x:v>SVC000128</x:v>
      </x:c>
      <x:c r="E129" s="6" t="str">
        <x:v>Unsupported Relationship</x:v>
      </x:c>
      <x:c r="F129" s="12" t="str">
        <x:v>Device family alone is insufficient for governed relationship.</x:v>
      </x:c>
      <x:c r="G129" s="12" t="str">
        <x:v>Explicit governed evidence supporting relationship</x:v>
      </x:c>
      <x:c r="H129" s="6" t="str"/>
      <x:c r="I129" s="6" t="str"/>
      <x:c r="J129" s="6" t="str"/>
      <x:c r="K129" s="6" t="str">
        <x:v>Open</x:v>
      </x:c>
      <x:c r="L129" s="6" t="str"/>
    </x:row>
    <x:row r="130">
      <x:c r="A130" s="6" t="str">
        <x:v>ESC-000129</x:v>
      </x:c>
      <x:c r="B130" s="6" t="str">
        <x:v>Unsupported Relationship Review</x:v>
      </x:c>
      <x:c r="C130" s="6" t="str">
        <x:v>UNS000129</x:v>
      </x:c>
      <x:c r="D130" s="6" t="str">
        <x:v>SVC000129</x:v>
      </x:c>
      <x:c r="E130" s="6" t="str">
        <x:v>Unsupported Relationship</x:v>
      </x:c>
      <x:c r="F130" s="12" t="str">
        <x:v>Device family alone is insufficient for governed relationship.</x:v>
      </x:c>
      <x:c r="G130" s="12" t="str">
        <x:v>Explicit governed evidence supporting relationship</x:v>
      </x:c>
      <x:c r="H130" s="6" t="str"/>
      <x:c r="I130" s="6" t="str"/>
      <x:c r="J130" s="6" t="str"/>
      <x:c r="K130" s="6" t="str">
        <x:v>Open</x:v>
      </x:c>
      <x:c r="L130" s="6" t="str"/>
    </x:row>
    <x:row r="131">
      <x:c r="A131" s="6" t="str">
        <x:v>ESC-000130</x:v>
      </x:c>
      <x:c r="B131" s="6" t="str">
        <x:v>Unsupported Relationship Review</x:v>
      </x:c>
      <x:c r="C131" s="6" t="str">
        <x:v>UNS000130</x:v>
      </x:c>
      <x:c r="D131" s="6" t="str">
        <x:v>SVC000130</x:v>
      </x:c>
      <x:c r="E131" s="6" t="str">
        <x:v>Unsupported Relationship</x:v>
      </x:c>
      <x:c r="F131" s="12" t="str">
        <x:v>Device family alone is insufficient for governed relationship.</x:v>
      </x:c>
      <x:c r="G131" s="12" t="str">
        <x:v>Explicit governed evidence supporting relationship</x:v>
      </x:c>
      <x:c r="H131" s="6" t="str"/>
      <x:c r="I131" s="6" t="str"/>
      <x:c r="J131" s="6" t="str"/>
      <x:c r="K131" s="6" t="str">
        <x:v>Open</x:v>
      </x:c>
      <x:c r="L131" s="6" t="str"/>
    </x:row>
    <x:row r="132">
      <x:c r="A132" s="6" t="str">
        <x:v>ESC-000131</x:v>
      </x:c>
      <x:c r="B132" s="6" t="str">
        <x:v>Unsupported Relationship Review</x:v>
      </x:c>
      <x:c r="C132" s="6" t="str">
        <x:v>UNS000131</x:v>
      </x:c>
      <x:c r="D132" s="6" t="str">
        <x:v>SVC000131</x:v>
      </x:c>
      <x:c r="E132" s="6" t="str">
        <x:v>Unsupported Relationship</x:v>
      </x:c>
      <x:c r="F132" s="12" t="str">
        <x:v>Device family alone is insufficient for governed relationship.</x:v>
      </x:c>
      <x:c r="G132" s="12" t="str">
        <x:v>Explicit governed evidence supporting relationship</x:v>
      </x:c>
      <x:c r="H132" s="6" t="str"/>
      <x:c r="I132" s="6" t="str"/>
      <x:c r="J132" s="6" t="str"/>
      <x:c r="K132" s="6" t="str">
        <x:v>Open</x:v>
      </x:c>
      <x:c r="L132" s="6" t="str"/>
    </x:row>
    <x:row r="133">
      <x:c r="A133" s="6" t="str">
        <x:v>ESC-000132</x:v>
      </x:c>
      <x:c r="B133" s="6" t="str">
        <x:v>Unsupported Relationship Review</x:v>
      </x:c>
      <x:c r="C133" s="6" t="str">
        <x:v>UNS000132</x:v>
      </x:c>
      <x:c r="D133" s="6" t="str">
        <x:v>SVC000132</x:v>
      </x:c>
      <x:c r="E133" s="6" t="str">
        <x:v>Unsupported Relationship</x:v>
      </x:c>
      <x:c r="F133" s="12" t="str">
        <x:v>Device family alone is insufficient for governed relationship.</x:v>
      </x:c>
      <x:c r="G133" s="12" t="str">
        <x:v>Explicit governed evidence supporting relationship</x:v>
      </x:c>
      <x:c r="H133" s="6" t="str"/>
      <x:c r="I133" s="6" t="str"/>
      <x:c r="J133" s="6" t="str"/>
      <x:c r="K133" s="6" t="str">
        <x:v>Open</x:v>
      </x:c>
      <x:c r="L133" s="6" t="str"/>
    </x:row>
    <x:row r="134">
      <x:c r="A134" s="6" t="str">
        <x:v>ESC-000133</x:v>
      </x:c>
      <x:c r="B134" s="6" t="str">
        <x:v>Unsupported Relationship Review</x:v>
      </x:c>
      <x:c r="C134" s="6" t="str">
        <x:v>UNS000133</x:v>
      </x:c>
      <x:c r="D134" s="6" t="str">
        <x:v>SVC000133</x:v>
      </x:c>
      <x:c r="E134" s="6" t="str">
        <x:v>Unsupported Relationship</x:v>
      </x:c>
      <x:c r="F134" s="12" t="str">
        <x:v>Device family alone is insufficient for governed relationship.</x:v>
      </x:c>
      <x:c r="G134" s="12" t="str">
        <x:v>Explicit governed evidence supporting relationship</x:v>
      </x:c>
      <x:c r="H134" s="6" t="str"/>
      <x:c r="I134" s="6" t="str"/>
      <x:c r="J134" s="6" t="str"/>
      <x:c r="K134" s="6" t="str">
        <x:v>Open</x:v>
      </x:c>
      <x:c r="L134" s="6" t="str"/>
    </x:row>
    <x:row r="135">
      <x:c r="A135" s="6" t="str">
        <x:v>ESC-000134</x:v>
      </x:c>
      <x:c r="B135" s="6" t="str">
        <x:v>Unsupported Relationship Review</x:v>
      </x:c>
      <x:c r="C135" s="6" t="str">
        <x:v>UNS000134</x:v>
      </x:c>
      <x:c r="D135" s="6" t="str">
        <x:v>SVC000134</x:v>
      </x:c>
      <x:c r="E135" s="6" t="str">
        <x:v>Unsupported Relationship</x:v>
      </x:c>
      <x:c r="F135" s="12" t="str">
        <x:v>Device family alone is insufficient for governed relationship.</x:v>
      </x:c>
      <x:c r="G135" s="12" t="str">
        <x:v>Explicit governed evidence supporting relationship</x:v>
      </x:c>
      <x:c r="H135" s="6" t="str"/>
      <x:c r="I135" s="6" t="str"/>
      <x:c r="J135" s="6" t="str"/>
      <x:c r="K135" s="6" t="str">
        <x:v>Open</x:v>
      </x:c>
      <x:c r="L135" s="6" t="str"/>
    </x:row>
    <x:row r="136">
      <x:c r="A136" s="6" t="str">
        <x:v>ESC-000135</x:v>
      </x:c>
      <x:c r="B136" s="6" t="str">
        <x:v>Unsupported Relationship Review</x:v>
      </x:c>
      <x:c r="C136" s="6" t="str">
        <x:v>UNS000135</x:v>
      </x:c>
      <x:c r="D136" s="6" t="str">
        <x:v>SVC000135</x:v>
      </x:c>
      <x:c r="E136" s="6" t="str">
        <x:v>Unsupported Relationship</x:v>
      </x:c>
      <x:c r="F136" s="12" t="str">
        <x:v>Device family alone is insufficient for governed relationship.</x:v>
      </x:c>
      <x:c r="G136" s="12" t="str">
        <x:v>Explicit governed evidence supporting relationship</x:v>
      </x:c>
      <x:c r="H136" s="6" t="str"/>
      <x:c r="I136" s="6" t="str"/>
      <x:c r="J136" s="6" t="str"/>
      <x:c r="K136" s="6" t="str">
        <x:v>Open</x:v>
      </x:c>
      <x:c r="L136" s="6" t="str"/>
    </x:row>
    <x:row r="137">
      <x:c r="A137" s="6" t="str">
        <x:v>ESC-000136</x:v>
      </x:c>
      <x:c r="B137" s="6" t="str">
        <x:v>Unsupported Relationship Review</x:v>
      </x:c>
      <x:c r="C137" s="6" t="str">
        <x:v>UNS000136</x:v>
      </x:c>
      <x:c r="D137" s="6" t="str">
        <x:v>SVC000136</x:v>
      </x:c>
      <x:c r="E137" s="6" t="str">
        <x:v>Unsupported Relationship</x:v>
      </x:c>
      <x:c r="F137" s="12" t="str">
        <x:v>Device family alone is insufficient for governed relationship.</x:v>
      </x:c>
      <x:c r="G137" s="12" t="str">
        <x:v>Explicit governed evidence supporting relationship</x:v>
      </x:c>
      <x:c r="H137" s="6" t="str"/>
      <x:c r="I137" s="6" t="str"/>
      <x:c r="J137" s="6" t="str"/>
      <x:c r="K137" s="6" t="str">
        <x:v>Open</x:v>
      </x:c>
      <x:c r="L137" s="6" t="str"/>
    </x:row>
    <x:row r="138">
      <x:c r="A138" s="6" t="str">
        <x:v>ESC-000137</x:v>
      </x:c>
      <x:c r="B138" s="6" t="str">
        <x:v>Unsupported Relationship Review</x:v>
      </x:c>
      <x:c r="C138" s="6" t="str">
        <x:v>UNS000137</x:v>
      </x:c>
      <x:c r="D138" s="6" t="str">
        <x:v>SVC000137</x:v>
      </x:c>
      <x:c r="E138" s="6" t="str">
        <x:v>Unsupported Relationship</x:v>
      </x:c>
      <x:c r="F138" s="12" t="str">
        <x:v>Device family alone is insufficient for governed relationship.</x:v>
      </x:c>
      <x:c r="G138" s="12" t="str">
        <x:v>Explicit governed evidence supporting relationship</x:v>
      </x:c>
      <x:c r="H138" s="6" t="str"/>
      <x:c r="I138" s="6" t="str"/>
      <x:c r="J138" s="6" t="str"/>
      <x:c r="K138" s="6" t="str">
        <x:v>Open</x:v>
      </x:c>
      <x:c r="L138" s="6" t="str"/>
    </x:row>
    <x:row r="139">
      <x:c r="A139" s="6" t="str">
        <x:v>ESC-000138</x:v>
      </x:c>
      <x:c r="B139" s="6" t="str">
        <x:v>Unsupported Relationship Review</x:v>
      </x:c>
      <x:c r="C139" s="6" t="str">
        <x:v>UNS000138</x:v>
      </x:c>
      <x:c r="D139" s="6" t="str">
        <x:v>SVC000138</x:v>
      </x:c>
      <x:c r="E139" s="6" t="str">
        <x:v>Unsupported Relationship</x:v>
      </x:c>
      <x:c r="F139" s="12" t="str">
        <x:v>Device family alone is insufficient for governed relationship.</x:v>
      </x:c>
      <x:c r="G139" s="12" t="str">
        <x:v>Explicit governed evidence supporting relationship</x:v>
      </x:c>
      <x:c r="H139" s="6" t="str"/>
      <x:c r="I139" s="6" t="str"/>
      <x:c r="J139" s="6" t="str"/>
      <x:c r="K139" s="6" t="str">
        <x:v>Open</x:v>
      </x:c>
      <x:c r="L139" s="6" t="str"/>
    </x:row>
    <x:row r="140">
      <x:c r="A140" s="6" t="str">
        <x:v>ESC-000139</x:v>
      </x:c>
      <x:c r="B140" s="6" t="str">
        <x:v>Unsupported Relationship Review</x:v>
      </x:c>
      <x:c r="C140" s="6" t="str">
        <x:v>UNS000139</x:v>
      </x:c>
      <x:c r="D140" s="6" t="str">
        <x:v>SVC000139</x:v>
      </x:c>
      <x:c r="E140" s="6" t="str">
        <x:v>Unsupported Relationship</x:v>
      </x:c>
      <x:c r="F140" s="12" t="str">
        <x:v>Device family alone is insufficient for governed relationship.</x:v>
      </x:c>
      <x:c r="G140" s="12" t="str">
        <x:v>Explicit governed evidence supporting relationship</x:v>
      </x:c>
      <x:c r="H140" s="6" t="str"/>
      <x:c r="I140" s="6" t="str"/>
      <x:c r="J140" s="6" t="str"/>
      <x:c r="K140" s="6" t="str">
        <x:v>Open</x:v>
      </x:c>
      <x:c r="L140" s="6" t="str"/>
    </x:row>
    <x:row r="141">
      <x:c r="A141" s="6" t="str">
        <x:v>ESC-000140</x:v>
      </x:c>
      <x:c r="B141" s="6" t="str">
        <x:v>Unsupported Relationship Review</x:v>
      </x:c>
      <x:c r="C141" s="6" t="str">
        <x:v>UNS000140</x:v>
      </x:c>
      <x:c r="D141" s="6" t="str">
        <x:v>SVC000140</x:v>
      </x:c>
      <x:c r="E141" s="6" t="str">
        <x:v>Unsupported Relationship</x:v>
      </x:c>
      <x:c r="F141" s="12" t="str">
        <x:v>Device family alone is insufficient for governed relationship.</x:v>
      </x:c>
      <x:c r="G141" s="12" t="str">
        <x:v>Explicit governed evidence supporting relationship</x:v>
      </x:c>
      <x:c r="H141" s="6" t="str"/>
      <x:c r="I141" s="6" t="str"/>
      <x:c r="J141" s="6" t="str"/>
      <x:c r="K141" s="6" t="str">
        <x:v>Open</x:v>
      </x:c>
      <x:c r="L141" s="6" t="str"/>
    </x:row>
    <x:row r="142">
      <x:c r="A142" s="6" t="str">
        <x:v>ESC-000141</x:v>
      </x:c>
      <x:c r="B142" s="6" t="str">
        <x:v>Unsupported Relationship Review</x:v>
      </x:c>
      <x:c r="C142" s="6" t="str">
        <x:v>UNS000141</x:v>
      </x:c>
      <x:c r="D142" s="6" t="str">
        <x:v>SVC000141</x:v>
      </x:c>
      <x:c r="E142" s="6" t="str">
        <x:v>Unsupported Relationship</x:v>
      </x:c>
      <x:c r="F142" s="12" t="str">
        <x:v>Device family alone is insufficient for governed relationship.</x:v>
      </x:c>
      <x:c r="G142" s="12" t="str">
        <x:v>Explicit governed evidence supporting relationship</x:v>
      </x:c>
      <x:c r="H142" s="6" t="str"/>
      <x:c r="I142" s="6" t="str"/>
      <x:c r="J142" s="6" t="str"/>
      <x:c r="K142" s="6" t="str">
        <x:v>Open</x:v>
      </x:c>
      <x:c r="L142" s="6" t="str"/>
    </x:row>
    <x:row r="143">
      <x:c r="A143" s="6" t="str">
        <x:v>ESC-000142</x:v>
      </x:c>
      <x:c r="B143" s="6" t="str">
        <x:v>Unsupported Relationship Review</x:v>
      </x:c>
      <x:c r="C143" s="6" t="str">
        <x:v>UNS000142</x:v>
      </x:c>
      <x:c r="D143" s="6" t="str">
        <x:v>SVC000142</x:v>
      </x:c>
      <x:c r="E143" s="6" t="str">
        <x:v>Unsupported Relationship</x:v>
      </x:c>
      <x:c r="F143" s="12" t="str">
        <x:v>Device family alone is insufficient for governed relationship.</x:v>
      </x:c>
      <x:c r="G143" s="12" t="str">
        <x:v>Explicit governed evidence supporting relationship</x:v>
      </x:c>
      <x:c r="H143" s="6" t="str"/>
      <x:c r="I143" s="6" t="str"/>
      <x:c r="J143" s="6" t="str"/>
      <x:c r="K143" s="6" t="str">
        <x:v>Open</x:v>
      </x:c>
      <x:c r="L143" s="6" t="str"/>
    </x:row>
    <x:row r="144">
      <x:c r="A144" s="6" t="str">
        <x:v>ESC-000143</x:v>
      </x:c>
      <x:c r="B144" s="6" t="str">
        <x:v>Unsupported Relationship Review</x:v>
      </x:c>
      <x:c r="C144" s="6" t="str">
        <x:v>UNS000143</x:v>
      </x:c>
      <x:c r="D144" s="6" t="str">
        <x:v>SVC000143</x:v>
      </x:c>
      <x:c r="E144" s="6" t="str">
        <x:v>Unsupported Relationship</x:v>
      </x:c>
      <x:c r="F144" s="12" t="str">
        <x:v>Device family alone is insufficient for governed relationship.</x:v>
      </x:c>
      <x:c r="G144" s="12" t="str">
        <x:v>Explicit governed evidence supporting relationship</x:v>
      </x:c>
      <x:c r="H144" s="6" t="str"/>
      <x:c r="I144" s="6" t="str"/>
      <x:c r="J144" s="6" t="str"/>
      <x:c r="K144" s="6" t="str">
        <x:v>Open</x:v>
      </x:c>
      <x:c r="L144" s="6" t="str"/>
    </x:row>
    <x:row r="145">
      <x:c r="A145" s="6" t="str">
        <x:v>ESC-000144</x:v>
      </x:c>
      <x:c r="B145" s="6" t="str">
        <x:v>Unsupported Relationship Review</x:v>
      </x:c>
      <x:c r="C145" s="6" t="str">
        <x:v>UNS000144</x:v>
      </x:c>
      <x:c r="D145" s="6" t="str">
        <x:v>SVC000144</x:v>
      </x:c>
      <x:c r="E145" s="6" t="str">
        <x:v>Unsupported Relationship</x:v>
      </x:c>
      <x:c r="F145" s="12" t="str">
        <x:v>Device family alone is insufficient for governed relationship.</x:v>
      </x:c>
      <x:c r="G145" s="12" t="str">
        <x:v>Explicit governed evidence supporting relationship</x:v>
      </x:c>
      <x:c r="H145" s="6" t="str"/>
      <x:c r="I145" s="6" t="str"/>
      <x:c r="J145" s="6" t="str"/>
      <x:c r="K145" s="6" t="str">
        <x:v>Open</x:v>
      </x:c>
      <x:c r="L145" s="6" t="str"/>
    </x:row>
    <x:row r="146">
      <x:c r="A146" s="6" t="str">
        <x:v>ESC-000145</x:v>
      </x:c>
      <x:c r="B146" s="6" t="str">
        <x:v>Unsupported Relationship Review</x:v>
      </x:c>
      <x:c r="C146" s="6" t="str">
        <x:v>UNS000145</x:v>
      </x:c>
      <x:c r="D146" s="6" t="str">
        <x:v>SVC000145</x:v>
      </x:c>
      <x:c r="E146" s="6" t="str">
        <x:v>Unsupported Relationship</x:v>
      </x:c>
      <x:c r="F146" s="12" t="str">
        <x:v>Device family alone is insufficient for governed relationship.</x:v>
      </x:c>
      <x:c r="G146" s="12" t="str">
        <x:v>Explicit governed evidence supporting relationship</x:v>
      </x:c>
      <x:c r="H146" s="6" t="str"/>
      <x:c r="I146" s="6" t="str"/>
      <x:c r="J146" s="6" t="str"/>
      <x:c r="K146" s="6" t="str">
        <x:v>Open</x:v>
      </x:c>
      <x:c r="L146" s="6" t="str"/>
    </x:row>
    <x:row r="147">
      <x:c r="A147" s="6" t="str">
        <x:v>ESC-000146</x:v>
      </x:c>
      <x:c r="B147" s="6" t="str">
        <x:v>Unsupported Relationship Review</x:v>
      </x:c>
      <x:c r="C147" s="6" t="str">
        <x:v>UNS000146</x:v>
      </x:c>
      <x:c r="D147" s="6" t="str">
        <x:v>SVC000146</x:v>
      </x:c>
      <x:c r="E147" s="6" t="str">
        <x:v>Unsupported Relationship</x:v>
      </x:c>
      <x:c r="F147" s="12" t="str">
        <x:v>Device family alone is insufficient for governed relationship.</x:v>
      </x:c>
      <x:c r="G147" s="12" t="str">
        <x:v>Explicit governed evidence supporting relationship</x:v>
      </x:c>
      <x:c r="H147" s="6" t="str"/>
      <x:c r="I147" s="6" t="str"/>
      <x:c r="J147" s="6" t="str"/>
      <x:c r="K147" s="6" t="str">
        <x:v>Open</x:v>
      </x:c>
      <x:c r="L147" s="6" t="str"/>
    </x:row>
    <x:row r="148">
      <x:c r="A148" s="6" t="str">
        <x:v>ESC-000147</x:v>
      </x:c>
      <x:c r="B148" s="6" t="str">
        <x:v>Unsupported Relationship Review</x:v>
      </x:c>
      <x:c r="C148" s="6" t="str">
        <x:v>UNS000147</x:v>
      </x:c>
      <x:c r="D148" s="6" t="str">
        <x:v>SVC000147</x:v>
      </x:c>
      <x:c r="E148" s="6" t="str">
        <x:v>Unsupported Relationship</x:v>
      </x:c>
      <x:c r="F148" s="12" t="str">
        <x:v>Device family alone is insufficient for governed relationship.</x:v>
      </x:c>
      <x:c r="G148" s="12" t="str">
        <x:v>Explicit governed evidence supporting relationship</x:v>
      </x:c>
      <x:c r="H148" s="6" t="str"/>
      <x:c r="I148" s="6" t="str"/>
      <x:c r="J148" s="6" t="str"/>
      <x:c r="K148" s="6" t="str">
        <x:v>Open</x:v>
      </x:c>
      <x:c r="L148" s="6" t="str"/>
    </x:row>
    <x:row r="149">
      <x:c r="A149" s="6" t="str">
        <x:v>ESC-000148</x:v>
      </x:c>
      <x:c r="B149" s="6" t="str">
        <x:v>Unsupported Relationship Review</x:v>
      </x:c>
      <x:c r="C149" s="6" t="str">
        <x:v>UNS000148</x:v>
      </x:c>
      <x:c r="D149" s="6" t="str">
        <x:v>SVC000148</x:v>
      </x:c>
      <x:c r="E149" s="6" t="str">
        <x:v>Unsupported Relationship</x:v>
      </x:c>
      <x:c r="F149" s="12" t="str">
        <x:v>Device family alone is insufficient for governed relationship.</x:v>
      </x:c>
      <x:c r="G149" s="12" t="str">
        <x:v>Explicit governed evidence supporting relationship</x:v>
      </x:c>
      <x:c r="H149" s="6" t="str"/>
      <x:c r="I149" s="6" t="str"/>
      <x:c r="J149" s="6" t="str"/>
      <x:c r="K149" s="6" t="str">
        <x:v>Open</x:v>
      </x:c>
      <x:c r="L149" s="6" t="str"/>
    </x:row>
    <x:row r="150">
      <x:c r="A150" s="6" t="str">
        <x:v>ESC-000149</x:v>
      </x:c>
      <x:c r="B150" s="6" t="str">
        <x:v>Unsupported Relationship Review</x:v>
      </x:c>
      <x:c r="C150" s="6" t="str">
        <x:v>UNS000149</x:v>
      </x:c>
      <x:c r="D150" s="6" t="str">
        <x:v>SVC000149</x:v>
      </x:c>
      <x:c r="E150" s="6" t="str">
        <x:v>Unsupported Relationship</x:v>
      </x:c>
      <x:c r="F150" s="12" t="str">
        <x:v>Device family alone is insufficient for governed relationship.</x:v>
      </x:c>
      <x:c r="G150" s="12" t="str">
        <x:v>Explicit governed evidence supporting relationship</x:v>
      </x:c>
      <x:c r="H150" s="6" t="str"/>
      <x:c r="I150" s="6" t="str"/>
      <x:c r="J150" s="6" t="str"/>
      <x:c r="K150" s="6" t="str">
        <x:v>Open</x:v>
      </x:c>
      <x:c r="L150" s="6" t="str"/>
    </x:row>
    <x:row r="151">
      <x:c r="A151" s="6" t="str">
        <x:v>ESC-000150</x:v>
      </x:c>
      <x:c r="B151" s="6" t="str">
        <x:v>Unsupported Relationship Review</x:v>
      </x:c>
      <x:c r="C151" s="6" t="str">
        <x:v>UNS000150</x:v>
      </x:c>
      <x:c r="D151" s="6" t="str">
        <x:v>SVC000150</x:v>
      </x:c>
      <x:c r="E151" s="6" t="str">
        <x:v>Unsupported Relationship</x:v>
      </x:c>
      <x:c r="F151" s="12" t="str">
        <x:v>Device family alone is insufficient for governed relationship.</x:v>
      </x:c>
      <x:c r="G151" s="12" t="str">
        <x:v>Explicit governed evidence supporting relationship</x:v>
      </x:c>
      <x:c r="H151" s="6" t="str"/>
      <x:c r="I151" s="6" t="str"/>
      <x:c r="J151" s="6" t="str"/>
      <x:c r="K151" s="6" t="str">
        <x:v>Open</x:v>
      </x:c>
      <x:c r="L151" s="6" t="str"/>
    </x:row>
    <x:row r="152">
      <x:c r="A152" s="6" t="str">
        <x:v>ESC-000151</x:v>
      </x:c>
      <x:c r="B152" s="6" t="str">
        <x:v>Unsupported Relationship Review</x:v>
      </x:c>
      <x:c r="C152" s="6" t="str">
        <x:v>UNS000151</x:v>
      </x:c>
      <x:c r="D152" s="6" t="str">
        <x:v>SVC000151</x:v>
      </x:c>
      <x:c r="E152" s="6" t="str">
        <x:v>Unsupported Relationship</x:v>
      </x:c>
      <x:c r="F152" s="12" t="str">
        <x:v>Device family alone is insufficient for governed relationship.</x:v>
      </x:c>
      <x:c r="G152" s="12" t="str">
        <x:v>Explicit governed evidence supporting relationship</x:v>
      </x:c>
      <x:c r="H152" s="6" t="str"/>
      <x:c r="I152" s="6" t="str"/>
      <x:c r="J152" s="6" t="str"/>
      <x:c r="K152" s="6" t="str">
        <x:v>Open</x:v>
      </x:c>
      <x:c r="L152" s="6" t="str"/>
    </x:row>
    <x:row r="153">
      <x:c r="A153" s="6" t="str">
        <x:v>ESC-000152</x:v>
      </x:c>
      <x:c r="B153" s="6" t="str">
        <x:v>Unsupported Relationship Review</x:v>
      </x:c>
      <x:c r="C153" s="6" t="str">
        <x:v>UNS000152</x:v>
      </x:c>
      <x:c r="D153" s="6" t="str">
        <x:v>SVC000152</x:v>
      </x:c>
      <x:c r="E153" s="6" t="str">
        <x:v>Unsupported Relationship</x:v>
      </x:c>
      <x:c r="F153" s="12" t="str">
        <x:v>Device family alone is insufficient for governed relationship.</x:v>
      </x:c>
      <x:c r="G153" s="12" t="str">
        <x:v>Explicit governed evidence supporting relationship</x:v>
      </x:c>
      <x:c r="H153" s="6" t="str"/>
      <x:c r="I153" s="6" t="str"/>
      <x:c r="J153" s="6" t="str"/>
      <x:c r="K153" s="6" t="str">
        <x:v>Open</x:v>
      </x:c>
      <x:c r="L153" s="6" t="str"/>
    </x:row>
    <x:row r="154">
      <x:c r="A154" s="6" t="str">
        <x:v>ESC-000153</x:v>
      </x:c>
      <x:c r="B154" s="6" t="str">
        <x:v>Unsupported Relationship Review</x:v>
      </x:c>
      <x:c r="C154" s="6" t="str">
        <x:v>UNS000153</x:v>
      </x:c>
      <x:c r="D154" s="6" t="str">
        <x:v>SVC000153</x:v>
      </x:c>
      <x:c r="E154" s="6" t="str">
        <x:v>Unsupported Relationship</x:v>
      </x:c>
      <x:c r="F154" s="12" t="str">
        <x:v>Device family alone is insufficient for governed relationship.</x:v>
      </x:c>
      <x:c r="G154" s="12" t="str">
        <x:v>Explicit governed evidence supporting relationship</x:v>
      </x:c>
      <x:c r="H154" s="6" t="str"/>
      <x:c r="I154" s="6" t="str"/>
      <x:c r="J154" s="6" t="str"/>
      <x:c r="K154" s="6" t="str">
        <x:v>Open</x:v>
      </x:c>
      <x:c r="L154" s="6" t="str"/>
    </x:row>
    <x:row r="155">
      <x:c r="A155" s="6" t="str">
        <x:v>ESC-000154</x:v>
      </x:c>
      <x:c r="B155" s="6" t="str">
        <x:v>Unsupported Relationship Review</x:v>
      </x:c>
      <x:c r="C155" s="6" t="str">
        <x:v>UNS000154</x:v>
      </x:c>
      <x:c r="D155" s="6" t="str">
        <x:v>SVC000154</x:v>
      </x:c>
      <x:c r="E155" s="6" t="str">
        <x:v>Unsupported Relationship</x:v>
      </x:c>
      <x:c r="F155" s="12" t="str">
        <x:v>Device family alone is insufficient for governed relationship.</x:v>
      </x:c>
      <x:c r="G155" s="12" t="str">
        <x:v>Explicit governed evidence supporting relationship</x:v>
      </x:c>
      <x:c r="H155" s="6" t="str"/>
      <x:c r="I155" s="6" t="str"/>
      <x:c r="J155" s="6" t="str"/>
      <x:c r="K155" s="6" t="str">
        <x:v>Open</x:v>
      </x:c>
      <x:c r="L155" s="6" t="str"/>
    </x:row>
    <x:row r="156">
      <x:c r="A156" s="6" t="str">
        <x:v>ESC-000155</x:v>
      </x:c>
      <x:c r="B156" s="6" t="str">
        <x:v>Unsupported Relationship Review</x:v>
      </x:c>
      <x:c r="C156" s="6" t="str">
        <x:v>UNS000155</x:v>
      </x:c>
      <x:c r="D156" s="6" t="str">
        <x:v>SVC000155</x:v>
      </x:c>
      <x:c r="E156" s="6" t="str">
        <x:v>Unsupported Relationship</x:v>
      </x:c>
      <x:c r="F156" s="12" t="str">
        <x:v>Device family alone is insufficient for governed relationship.</x:v>
      </x:c>
      <x:c r="G156" s="12" t="str">
        <x:v>Explicit governed evidence supporting relationship</x:v>
      </x:c>
      <x:c r="H156" s="6" t="str"/>
      <x:c r="I156" s="6" t="str"/>
      <x:c r="J156" s="6" t="str"/>
      <x:c r="K156" s="6" t="str">
        <x:v>Open</x:v>
      </x:c>
      <x:c r="L156" s="6" t="str"/>
    </x:row>
    <x:row r="157">
      <x:c r="A157" s="6" t="str">
        <x:v>ESC-000156</x:v>
      </x:c>
      <x:c r="B157" s="6" t="str">
        <x:v>Unsupported Relationship Review</x:v>
      </x:c>
      <x:c r="C157" s="6" t="str">
        <x:v>UNS000156</x:v>
      </x:c>
      <x:c r="D157" s="6" t="str">
        <x:v>SVC000156</x:v>
      </x:c>
      <x:c r="E157" s="6" t="str">
        <x:v>Unsupported Relationship</x:v>
      </x:c>
      <x:c r="F157" s="12" t="str">
        <x:v>Device family alone is insufficient for governed relationship.</x:v>
      </x:c>
      <x:c r="G157" s="12" t="str">
        <x:v>Explicit governed evidence supporting relationship</x:v>
      </x:c>
      <x:c r="H157" s="6" t="str"/>
      <x:c r="I157" s="6" t="str"/>
      <x:c r="J157" s="6" t="str"/>
      <x:c r="K157" s="6" t="str">
        <x:v>Open</x:v>
      </x:c>
      <x:c r="L157" s="6" t="str"/>
    </x:row>
    <x:row r="158">
      <x:c r="A158" s="6" t="str">
        <x:v>ESC-000157</x:v>
      </x:c>
      <x:c r="B158" s="6" t="str">
        <x:v>Unsupported Relationship Review</x:v>
      </x:c>
      <x:c r="C158" s="6" t="str">
        <x:v>UNS000157</x:v>
      </x:c>
      <x:c r="D158" s="6" t="str">
        <x:v>SVC000157</x:v>
      </x:c>
      <x:c r="E158" s="6" t="str">
        <x:v>Unsupported Relationship</x:v>
      </x:c>
      <x:c r="F158" s="12" t="str">
        <x:v>Device family alone is insufficient for governed relationship.</x:v>
      </x:c>
      <x:c r="G158" s="12" t="str">
        <x:v>Explicit governed evidence supporting relationship</x:v>
      </x:c>
      <x:c r="H158" s="6" t="str"/>
      <x:c r="I158" s="6" t="str"/>
      <x:c r="J158" s="6" t="str"/>
      <x:c r="K158" s="6" t="str">
        <x:v>Open</x:v>
      </x:c>
      <x:c r="L158" s="6" t="str"/>
    </x:row>
    <x:row r="159">
      <x:c r="A159" s="6" t="str">
        <x:v>ESC-000158</x:v>
      </x:c>
      <x:c r="B159" s="6" t="str">
        <x:v>Unsupported Relationship Review</x:v>
      </x:c>
      <x:c r="C159" s="6" t="str">
        <x:v>UNS000158</x:v>
      </x:c>
      <x:c r="D159" s="6" t="str">
        <x:v>SVC000158</x:v>
      </x:c>
      <x:c r="E159" s="6" t="str">
        <x:v>Unsupported Relationship</x:v>
      </x:c>
      <x:c r="F159" s="12" t="str">
        <x:v>Device family alone is insufficient for governed relationship.</x:v>
      </x:c>
      <x:c r="G159" s="12" t="str">
        <x:v>Explicit governed evidence supporting relationship</x:v>
      </x:c>
      <x:c r="H159" s="6" t="str"/>
      <x:c r="I159" s="6" t="str"/>
      <x:c r="J159" s="6" t="str"/>
      <x:c r="K159" s="6" t="str">
        <x:v>Open</x:v>
      </x:c>
      <x:c r="L159" s="6" t="str"/>
    </x:row>
    <x:row r="160">
      <x:c r="A160" s="6" t="str">
        <x:v>ESC-000159</x:v>
      </x:c>
      <x:c r="B160" s="6" t="str">
        <x:v>Unsupported Relationship Review</x:v>
      </x:c>
      <x:c r="C160" s="6" t="str">
        <x:v>UNS000159</x:v>
      </x:c>
      <x:c r="D160" s="6" t="str">
        <x:v>SVC000159</x:v>
      </x:c>
      <x:c r="E160" s="6" t="str">
        <x:v>Unsupported Relationship</x:v>
      </x:c>
      <x:c r="F160" s="12" t="str">
        <x:v>Device family alone is insufficient for governed relationship.</x:v>
      </x:c>
      <x:c r="G160" s="12" t="str">
        <x:v>Explicit governed evidence supporting relationship</x:v>
      </x:c>
      <x:c r="H160" s="6" t="str"/>
      <x:c r="I160" s="6" t="str"/>
      <x:c r="J160" s="6" t="str"/>
      <x:c r="K160" s="6" t="str">
        <x:v>Open</x:v>
      </x:c>
      <x:c r="L160" s="6" t="str"/>
    </x:row>
    <x:row r="161">
      <x:c r="A161" s="6" t="str">
        <x:v>ESC-000160</x:v>
      </x:c>
      <x:c r="B161" s="6" t="str">
        <x:v>Unsupported Relationship Review</x:v>
      </x:c>
      <x:c r="C161" s="6" t="str">
        <x:v>UNS000160</x:v>
      </x:c>
      <x:c r="D161" s="6" t="str">
        <x:v>SVC000160</x:v>
      </x:c>
      <x:c r="E161" s="6" t="str">
        <x:v>Unsupported Relationship</x:v>
      </x:c>
      <x:c r="F161" s="12" t="str">
        <x:v>Device family alone is insufficient for governed relationship.</x:v>
      </x:c>
      <x:c r="G161" s="12" t="str">
        <x:v>Explicit governed evidence supporting relationship</x:v>
      </x:c>
      <x:c r="H161" s="6" t="str"/>
      <x:c r="I161" s="6" t="str"/>
      <x:c r="J161" s="6" t="str"/>
      <x:c r="K161" s="6" t="str">
        <x:v>Open</x:v>
      </x:c>
      <x:c r="L161" s="6" t="str"/>
    </x:row>
    <x:row r="162">
      <x:c r="A162" s="6" t="str">
        <x:v>ESC-000161</x:v>
      </x:c>
      <x:c r="B162" s="6" t="str">
        <x:v>Unsupported Relationship Review</x:v>
      </x:c>
      <x:c r="C162" s="6" t="str">
        <x:v>UNS000161</x:v>
      </x:c>
      <x:c r="D162" s="6" t="str">
        <x:v>SVC000161</x:v>
      </x:c>
      <x:c r="E162" s="6" t="str">
        <x:v>Unsupported Relationship</x:v>
      </x:c>
      <x:c r="F162" s="12" t="str">
        <x:v>Device family alone is insufficient for governed relationship.</x:v>
      </x:c>
      <x:c r="G162" s="12" t="str">
        <x:v>Explicit governed evidence supporting relationship</x:v>
      </x:c>
      <x:c r="H162" s="6" t="str"/>
      <x:c r="I162" s="6" t="str"/>
      <x:c r="J162" s="6" t="str"/>
      <x:c r="K162" s="6" t="str">
        <x:v>Open</x:v>
      </x:c>
      <x:c r="L162" s="6" t="str"/>
    </x:row>
    <x:row r="163">
      <x:c r="A163" s="6" t="str">
        <x:v>ESC-000162</x:v>
      </x:c>
      <x:c r="B163" s="6" t="str">
        <x:v>Unsupported Relationship Review</x:v>
      </x:c>
      <x:c r="C163" s="6" t="str">
        <x:v>UNS000162</x:v>
      </x:c>
      <x:c r="D163" s="6" t="str">
        <x:v>SVC000162</x:v>
      </x:c>
      <x:c r="E163" s="6" t="str">
        <x:v>Unsupported Relationship</x:v>
      </x:c>
      <x:c r="F163" s="12" t="str">
        <x:v>Device family alone is insufficient for governed relationship.</x:v>
      </x:c>
      <x:c r="G163" s="12" t="str">
        <x:v>Explicit governed evidence supporting relationship</x:v>
      </x:c>
      <x:c r="H163" s="6" t="str"/>
      <x:c r="I163" s="6" t="str"/>
      <x:c r="J163" s="6" t="str"/>
      <x:c r="K163" s="6" t="str">
        <x:v>Open</x:v>
      </x:c>
      <x:c r="L163" s="6" t="str"/>
    </x:row>
    <x:row r="164">
      <x:c r="A164" s="6" t="str">
        <x:v>ESC-000163</x:v>
      </x:c>
      <x:c r="B164" s="6" t="str">
        <x:v>Unsupported Relationship Review</x:v>
      </x:c>
      <x:c r="C164" s="6" t="str">
        <x:v>UNS000163</x:v>
      </x:c>
      <x:c r="D164" s="6" t="str">
        <x:v>SVC000163</x:v>
      </x:c>
      <x:c r="E164" s="6" t="str">
        <x:v>Unsupported Relationship</x:v>
      </x:c>
      <x:c r="F164" s="12" t="str">
        <x:v>Device family alone is insufficient for governed relationship.</x:v>
      </x:c>
      <x:c r="G164" s="12" t="str">
        <x:v>Explicit governed evidence supporting relationship</x:v>
      </x:c>
      <x:c r="H164" s="6" t="str"/>
      <x:c r="I164" s="6" t="str"/>
      <x:c r="J164" s="6" t="str"/>
      <x:c r="K164" s="6" t="str">
        <x:v>Open</x:v>
      </x:c>
      <x:c r="L164" s="6" t="str"/>
    </x:row>
    <x:row r="165">
      <x:c r="A165" s="6" t="str">
        <x:v>ESC-000164</x:v>
      </x:c>
      <x:c r="B165" s="6" t="str">
        <x:v>Unsupported Relationship Review</x:v>
      </x:c>
      <x:c r="C165" s="6" t="str">
        <x:v>UNS000164</x:v>
      </x:c>
      <x:c r="D165" s="6" t="str">
        <x:v>SVC000164</x:v>
      </x:c>
      <x:c r="E165" s="6" t="str">
        <x:v>Unsupported Relationship</x:v>
      </x:c>
      <x:c r="F165" s="12" t="str">
        <x:v>Device family alone is insufficient for governed relationship.</x:v>
      </x:c>
      <x:c r="G165" s="12" t="str">
        <x:v>Explicit governed evidence supporting relationship</x:v>
      </x:c>
      <x:c r="H165" s="6" t="str"/>
      <x:c r="I165" s="6" t="str"/>
      <x:c r="J165" s="6" t="str"/>
      <x:c r="K165" s="6" t="str">
        <x:v>Open</x:v>
      </x:c>
      <x:c r="L165" s="6" t="str"/>
    </x:row>
    <x:row r="166">
      <x:c r="A166" s="6" t="str">
        <x:v>ESC-000165</x:v>
      </x:c>
      <x:c r="B166" s="6" t="str">
        <x:v>Unsupported Relationship Review</x:v>
      </x:c>
      <x:c r="C166" s="6" t="str">
        <x:v>UNS000165</x:v>
      </x:c>
      <x:c r="D166" s="6" t="str">
        <x:v>SVC000165</x:v>
      </x:c>
      <x:c r="E166" s="6" t="str">
        <x:v>Unsupported Relationship</x:v>
      </x:c>
      <x:c r="F166" s="12" t="str">
        <x:v>Device family alone is insufficient for governed relationship.</x:v>
      </x:c>
      <x:c r="G166" s="12" t="str">
        <x:v>Explicit governed evidence supporting relationship</x:v>
      </x:c>
      <x:c r="H166" s="6" t="str"/>
      <x:c r="I166" s="6" t="str"/>
      <x:c r="J166" s="6" t="str"/>
      <x:c r="K166" s="6" t="str">
        <x:v>Open</x:v>
      </x:c>
      <x:c r="L166" s="6" t="str"/>
    </x:row>
    <x:row r="167">
      <x:c r="A167" s="6" t="str">
        <x:v>ESC-000166</x:v>
      </x:c>
      <x:c r="B167" s="6" t="str">
        <x:v>Unsupported Relationship Review</x:v>
      </x:c>
      <x:c r="C167" s="6" t="str">
        <x:v>UNS000166</x:v>
      </x:c>
      <x:c r="D167" s="6" t="str">
        <x:v>SVC000166</x:v>
      </x:c>
      <x:c r="E167" s="6" t="str">
        <x:v>Unsupported Relationship</x:v>
      </x:c>
      <x:c r="F167" s="12" t="str">
        <x:v>Device family alone is insufficient for governed relationship.</x:v>
      </x:c>
      <x:c r="G167" s="12" t="str">
        <x:v>Explicit governed evidence supporting relationship</x:v>
      </x:c>
      <x:c r="H167" s="6" t="str"/>
      <x:c r="I167" s="6" t="str"/>
      <x:c r="J167" s="6" t="str"/>
      <x:c r="K167" s="6" t="str">
        <x:v>Open</x:v>
      </x:c>
      <x:c r="L167" s="6" t="str"/>
    </x:row>
    <x:row r="168">
      <x:c r="A168" s="6" t="str">
        <x:v>ESC-000167</x:v>
      </x:c>
      <x:c r="B168" s="6" t="str">
        <x:v>Unsupported Relationship Review</x:v>
      </x:c>
      <x:c r="C168" s="6" t="str">
        <x:v>UNS000167</x:v>
      </x:c>
      <x:c r="D168" s="6" t="str">
        <x:v>SVC000167</x:v>
      </x:c>
      <x:c r="E168" s="6" t="str">
        <x:v>Unsupported Relationship</x:v>
      </x:c>
      <x:c r="F168" s="12" t="str">
        <x:v>Device family alone is insufficient for governed relationship.</x:v>
      </x:c>
      <x:c r="G168" s="12" t="str">
        <x:v>Explicit governed evidence supporting relationship</x:v>
      </x:c>
      <x:c r="H168" s="6" t="str"/>
      <x:c r="I168" s="6" t="str"/>
      <x:c r="J168" s="6" t="str"/>
      <x:c r="K168" s="6" t="str">
        <x:v>Open</x:v>
      </x:c>
      <x:c r="L168" s="6" t="str"/>
    </x:row>
    <x:row r="169">
      <x:c r="A169" s="6" t="str">
        <x:v>ESC-000168</x:v>
      </x:c>
      <x:c r="B169" s="6" t="str">
        <x:v>Unsupported Relationship Review</x:v>
      </x:c>
      <x:c r="C169" s="6" t="str">
        <x:v>UNS000168</x:v>
      </x:c>
      <x:c r="D169" s="6" t="str">
        <x:v>SVC000168</x:v>
      </x:c>
      <x:c r="E169" s="6" t="str">
        <x:v>Unsupported Relationship</x:v>
      </x:c>
      <x:c r="F169" s="12" t="str">
        <x:v>Device family alone is insufficient for governed relationship.</x:v>
      </x:c>
      <x:c r="G169" s="12" t="str">
        <x:v>Explicit governed evidence supporting relationship</x:v>
      </x:c>
      <x:c r="H169" s="6" t="str"/>
      <x:c r="I169" s="6" t="str"/>
      <x:c r="J169" s="6" t="str"/>
      <x:c r="K169" s="6" t="str">
        <x:v>Open</x:v>
      </x:c>
      <x:c r="L169" s="6" t="str"/>
    </x:row>
    <x:row r="170">
      <x:c r="A170" s="6" t="str">
        <x:v>ESC-000169</x:v>
      </x:c>
      <x:c r="B170" s="6" t="str">
        <x:v>Unsupported Relationship Review</x:v>
      </x:c>
      <x:c r="C170" s="6" t="str">
        <x:v>UNS000169</x:v>
      </x:c>
      <x:c r="D170" s="6" t="str">
        <x:v>SVC000169</x:v>
      </x:c>
      <x:c r="E170" s="6" t="str">
        <x:v>Unsupported Relationship</x:v>
      </x:c>
      <x:c r="F170" s="12" t="str">
        <x:v>Device family alone is insufficient for governed relationship.</x:v>
      </x:c>
      <x:c r="G170" s="12" t="str">
        <x:v>Explicit governed evidence supporting relationship</x:v>
      </x:c>
      <x:c r="H170" s="6" t="str"/>
      <x:c r="I170" s="6" t="str"/>
      <x:c r="J170" s="6" t="str"/>
      <x:c r="K170" s="6" t="str">
        <x:v>Open</x:v>
      </x:c>
      <x:c r="L170" s="6" t="str"/>
    </x:row>
    <x:row r="171">
      <x:c r="A171" s="6" t="str">
        <x:v>ESC-000170</x:v>
      </x:c>
      <x:c r="B171" s="6" t="str">
        <x:v>Unsupported Relationship Review</x:v>
      </x:c>
      <x:c r="C171" s="6" t="str">
        <x:v>UNS000170</x:v>
      </x:c>
      <x:c r="D171" s="6" t="str">
        <x:v>SVC000170</x:v>
      </x:c>
      <x:c r="E171" s="6" t="str">
        <x:v>Unsupported Relationship</x:v>
      </x:c>
      <x:c r="F171" s="12" t="str">
        <x:v>Device family alone is insufficient for governed relationship.</x:v>
      </x:c>
      <x:c r="G171" s="12" t="str">
        <x:v>Explicit governed evidence supporting relationship</x:v>
      </x:c>
      <x:c r="H171" s="6" t="str"/>
      <x:c r="I171" s="6" t="str"/>
      <x:c r="J171" s="6" t="str"/>
      <x:c r="K171" s="6" t="str">
        <x:v>Open</x:v>
      </x:c>
      <x:c r="L171" s="6" t="str"/>
    </x:row>
    <x:row r="172">
      <x:c r="A172" s="6" t="str">
        <x:v>ESC-000171</x:v>
      </x:c>
      <x:c r="B172" s="6" t="str">
        <x:v>Unsupported Relationship Review</x:v>
      </x:c>
      <x:c r="C172" s="6" t="str">
        <x:v>UNS000171</x:v>
      </x:c>
      <x:c r="D172" s="6" t="str">
        <x:v>SVC000171</x:v>
      </x:c>
      <x:c r="E172" s="6" t="str">
        <x:v>Unsupported Relationship</x:v>
      </x:c>
      <x:c r="F172" s="12" t="str">
        <x:v>Device family alone is insufficient for governed relationship.</x:v>
      </x:c>
      <x:c r="G172" s="12" t="str">
        <x:v>Explicit governed evidence supporting relationship</x:v>
      </x:c>
      <x:c r="H172" s="6" t="str"/>
      <x:c r="I172" s="6" t="str"/>
      <x:c r="J172" s="6" t="str"/>
      <x:c r="K172" s="6" t="str">
        <x:v>Open</x:v>
      </x:c>
      <x:c r="L172" s="6" t="str"/>
    </x:row>
    <x:row r="173">
      <x:c r="A173" s="6" t="str">
        <x:v>ESC-000172</x:v>
      </x:c>
      <x:c r="B173" s="6" t="str">
        <x:v>Unsupported Relationship Review</x:v>
      </x:c>
      <x:c r="C173" s="6" t="str">
        <x:v>UNS000172</x:v>
      </x:c>
      <x:c r="D173" s="6" t="str">
        <x:v>SVC000172</x:v>
      </x:c>
      <x:c r="E173" s="6" t="str">
        <x:v>Unsupported Relationship</x:v>
      </x:c>
      <x:c r="F173" s="12" t="str">
        <x:v>Device family alone is insufficient for governed relationship.</x:v>
      </x:c>
      <x:c r="G173" s="12" t="str">
        <x:v>Explicit governed evidence supporting relationship</x:v>
      </x:c>
      <x:c r="H173" s="6" t="str"/>
      <x:c r="I173" s="6" t="str"/>
      <x:c r="J173" s="6" t="str"/>
      <x:c r="K173" s="6" t="str">
        <x:v>Open</x:v>
      </x:c>
      <x:c r="L173" s="6" t="str"/>
    </x:row>
    <x:row r="174">
      <x:c r="A174" s="6" t="str">
        <x:v>ESC-000173</x:v>
      </x:c>
      <x:c r="B174" s="6" t="str">
        <x:v>Unsupported Relationship Review</x:v>
      </x:c>
      <x:c r="C174" s="6" t="str">
        <x:v>UNS000173</x:v>
      </x:c>
      <x:c r="D174" s="6" t="str">
        <x:v>SVC000173</x:v>
      </x:c>
      <x:c r="E174" s="6" t="str">
        <x:v>Unsupported Relationship</x:v>
      </x:c>
      <x:c r="F174" s="12" t="str">
        <x:v>Device family alone is insufficient for governed relationship.</x:v>
      </x:c>
      <x:c r="G174" s="12" t="str">
        <x:v>Explicit governed evidence supporting relationship</x:v>
      </x:c>
      <x:c r="H174" s="6" t="str"/>
      <x:c r="I174" s="6" t="str"/>
      <x:c r="J174" s="6" t="str"/>
      <x:c r="K174" s="6" t="str">
        <x:v>Open</x:v>
      </x:c>
      <x:c r="L174" s="6" t="str"/>
    </x:row>
    <x:row r="175">
      <x:c r="A175" s="6" t="str">
        <x:v>ESC-000174</x:v>
      </x:c>
      <x:c r="B175" s="6" t="str">
        <x:v>Unsupported Relationship Review</x:v>
      </x:c>
      <x:c r="C175" s="6" t="str">
        <x:v>UNS000174</x:v>
      </x:c>
      <x:c r="D175" s="6" t="str">
        <x:v>SVC000174</x:v>
      </x:c>
      <x:c r="E175" s="6" t="str">
        <x:v>Unsupported Relationship</x:v>
      </x:c>
      <x:c r="F175" s="12" t="str">
        <x:v>Device family alone is insufficient for governed relationship.</x:v>
      </x:c>
      <x:c r="G175" s="12" t="str">
        <x:v>Explicit governed evidence supporting relationship</x:v>
      </x:c>
      <x:c r="H175" s="6" t="str"/>
      <x:c r="I175" s="6" t="str"/>
      <x:c r="J175" s="6" t="str"/>
      <x:c r="K175" s="6" t="str">
        <x:v>Open</x:v>
      </x:c>
      <x:c r="L175" s="6" t="str"/>
    </x:row>
    <x:row r="176">
      <x:c r="A176" s="6" t="str">
        <x:v>ESC-000175</x:v>
      </x:c>
      <x:c r="B176" s="6" t="str">
        <x:v>Unsupported Relationship Review</x:v>
      </x:c>
      <x:c r="C176" s="6" t="str">
        <x:v>UNS000175</x:v>
      </x:c>
      <x:c r="D176" s="6" t="str">
        <x:v>SVC000175</x:v>
      </x:c>
      <x:c r="E176" s="6" t="str">
        <x:v>Unsupported Relationship</x:v>
      </x:c>
      <x:c r="F176" s="12" t="str">
        <x:v>Device family alone is insufficient for governed relationship.</x:v>
      </x:c>
      <x:c r="G176" s="12" t="str">
        <x:v>Explicit governed evidence supporting relationship</x:v>
      </x:c>
      <x:c r="H176" s="6" t="str"/>
      <x:c r="I176" s="6" t="str"/>
      <x:c r="J176" s="6" t="str"/>
      <x:c r="K176" s="6" t="str">
        <x:v>Open</x:v>
      </x:c>
      <x:c r="L176" s="6" t="str"/>
    </x:row>
    <x:row r="177">
      <x:c r="A177" s="6" t="str">
        <x:v>ESC-000176</x:v>
      </x:c>
      <x:c r="B177" s="6" t="str">
        <x:v>Unsupported Relationship Review</x:v>
      </x:c>
      <x:c r="C177" s="6" t="str">
        <x:v>UNS000176</x:v>
      </x:c>
      <x:c r="D177" s="6" t="str">
        <x:v>SVC000176</x:v>
      </x:c>
      <x:c r="E177" s="6" t="str">
        <x:v>Unsupported Relationship</x:v>
      </x:c>
      <x:c r="F177" s="12" t="str">
        <x:v>Device family alone is insufficient for governed relationship.</x:v>
      </x:c>
      <x:c r="G177" s="12" t="str">
        <x:v>Explicit governed evidence supporting relationship</x:v>
      </x:c>
      <x:c r="H177" s="6" t="str"/>
      <x:c r="I177" s="6" t="str"/>
      <x:c r="J177" s="6" t="str"/>
      <x:c r="K177" s="6" t="str">
        <x:v>Open</x:v>
      </x:c>
      <x:c r="L177" s="6" t="str"/>
    </x:row>
    <x:row r="178">
      <x:c r="A178" s="6" t="str">
        <x:v>ESC-000177</x:v>
      </x:c>
      <x:c r="B178" s="6" t="str">
        <x:v>Unsupported Relationship Review</x:v>
      </x:c>
      <x:c r="C178" s="6" t="str">
        <x:v>UNS000177</x:v>
      </x:c>
      <x:c r="D178" s="6" t="str">
        <x:v>SVC000177</x:v>
      </x:c>
      <x:c r="E178" s="6" t="str">
        <x:v>Unsupported Relationship</x:v>
      </x:c>
      <x:c r="F178" s="12" t="str">
        <x:v>Device family alone is insufficient for governed relationship.</x:v>
      </x:c>
      <x:c r="G178" s="12" t="str">
        <x:v>Explicit governed evidence supporting relationship</x:v>
      </x:c>
      <x:c r="H178" s="6" t="str"/>
      <x:c r="I178" s="6" t="str"/>
      <x:c r="J178" s="6" t="str"/>
      <x:c r="K178" s="6" t="str">
        <x:v>Open</x:v>
      </x:c>
      <x:c r="L178" s="6" t="str"/>
    </x:row>
    <x:row r="179">
      <x:c r="A179" s="6" t="str">
        <x:v>ESC-000178</x:v>
      </x:c>
      <x:c r="B179" s="6" t="str">
        <x:v>Unsupported Relationship Review</x:v>
      </x:c>
      <x:c r="C179" s="6" t="str">
        <x:v>UNS000178</x:v>
      </x:c>
      <x:c r="D179" s="6" t="str">
        <x:v>SVC000178</x:v>
      </x:c>
      <x:c r="E179" s="6" t="str">
        <x:v>Unsupported Relationship</x:v>
      </x:c>
      <x:c r="F179" s="12" t="str">
        <x:v>Device family alone is insufficient for governed relationship.</x:v>
      </x:c>
      <x:c r="G179" s="12" t="str">
        <x:v>Explicit governed evidence supporting relationship</x:v>
      </x:c>
      <x:c r="H179" s="6" t="str"/>
      <x:c r="I179" s="6" t="str"/>
      <x:c r="J179" s="6" t="str"/>
      <x:c r="K179" s="6" t="str">
        <x:v>Open</x:v>
      </x:c>
      <x:c r="L179" s="6" t="str"/>
    </x:row>
    <x:row r="180">
      <x:c r="A180" s="6" t="str">
        <x:v>ESC-000179</x:v>
      </x:c>
      <x:c r="B180" s="6" t="str">
        <x:v>Unsupported Relationship Review</x:v>
      </x:c>
      <x:c r="C180" s="6" t="str">
        <x:v>UNS000179</x:v>
      </x:c>
      <x:c r="D180" s="6" t="str">
        <x:v>SVC000179</x:v>
      </x:c>
      <x:c r="E180" s="6" t="str">
        <x:v>Unsupported Relationship</x:v>
      </x:c>
      <x:c r="F180" s="12" t="str">
        <x:v>Device family alone is insufficient for governed relationship.</x:v>
      </x:c>
      <x:c r="G180" s="12" t="str">
        <x:v>Explicit governed evidence supporting relationship</x:v>
      </x:c>
      <x:c r="H180" s="6" t="str"/>
      <x:c r="I180" s="6" t="str"/>
      <x:c r="J180" s="6" t="str"/>
      <x:c r="K180" s="6" t="str">
        <x:v>Open</x:v>
      </x:c>
      <x:c r="L180" s="6" t="str"/>
    </x:row>
    <x:row r="181">
      <x:c r="A181" s="6" t="str">
        <x:v>ESC-000180</x:v>
      </x:c>
      <x:c r="B181" s="6" t="str">
        <x:v>Unsupported Relationship Review</x:v>
      </x:c>
      <x:c r="C181" s="6" t="str">
        <x:v>UNS000180</x:v>
      </x:c>
      <x:c r="D181" s="6" t="str">
        <x:v>SVC000180</x:v>
      </x:c>
      <x:c r="E181" s="6" t="str">
        <x:v>Unsupported Relationship</x:v>
      </x:c>
      <x:c r="F181" s="12" t="str">
        <x:v>Device family alone is insufficient for governed relationship.</x:v>
      </x:c>
      <x:c r="G181" s="12" t="str">
        <x:v>Explicit governed evidence supporting relationship</x:v>
      </x:c>
      <x:c r="H181" s="6" t="str"/>
      <x:c r="I181" s="6" t="str"/>
      <x:c r="J181" s="6" t="str"/>
      <x:c r="K181" s="6" t="str">
        <x:v>Open</x:v>
      </x:c>
      <x:c r="L181" s="6" t="str"/>
    </x:row>
    <x:row r="182">
      <x:c r="A182" s="6" t="str">
        <x:v>ESC-000181</x:v>
      </x:c>
      <x:c r="B182" s="6" t="str">
        <x:v>Unsupported Relationship Review</x:v>
      </x:c>
      <x:c r="C182" s="6" t="str">
        <x:v>UNS000181</x:v>
      </x:c>
      <x:c r="D182" s="6" t="str">
        <x:v>SVC000181</x:v>
      </x:c>
      <x:c r="E182" s="6" t="str">
        <x:v>Unsupported Relationship</x:v>
      </x:c>
      <x:c r="F182" s="12" t="str">
        <x:v>Device family alone is insufficient for governed relationship.</x:v>
      </x:c>
      <x:c r="G182" s="12" t="str">
        <x:v>Explicit governed evidence supporting relationship</x:v>
      </x:c>
      <x:c r="H182" s="6" t="str"/>
      <x:c r="I182" s="6" t="str"/>
      <x:c r="J182" s="6" t="str"/>
      <x:c r="K182" s="6" t="str">
        <x:v>Open</x:v>
      </x:c>
      <x:c r="L182" s="6" t="str"/>
    </x:row>
    <x:row r="183">
      <x:c r="A183" s="6" t="str">
        <x:v>ESC-000182</x:v>
      </x:c>
      <x:c r="B183" s="6" t="str">
        <x:v>Unsupported Relationship Review</x:v>
      </x:c>
      <x:c r="C183" s="6" t="str">
        <x:v>UNS000182</x:v>
      </x:c>
      <x:c r="D183" s="6" t="str">
        <x:v>SVC000182</x:v>
      </x:c>
      <x:c r="E183" s="6" t="str">
        <x:v>Unsupported Relationship</x:v>
      </x:c>
      <x:c r="F183" s="12" t="str">
        <x:v>Device family alone is insufficient for governed relationship.</x:v>
      </x:c>
      <x:c r="G183" s="12" t="str">
        <x:v>Explicit governed evidence supporting relationship</x:v>
      </x:c>
      <x:c r="H183" s="6" t="str"/>
      <x:c r="I183" s="6" t="str"/>
      <x:c r="J183" s="6" t="str"/>
      <x:c r="K183" s="6" t="str">
        <x:v>Open</x:v>
      </x:c>
      <x:c r="L183" s="6" t="str"/>
    </x:row>
    <x:row r="184">
      <x:c r="A184" s="6" t="str">
        <x:v>ESC-000183</x:v>
      </x:c>
      <x:c r="B184" s="6" t="str">
        <x:v>Unsupported Relationship Review</x:v>
      </x:c>
      <x:c r="C184" s="6" t="str">
        <x:v>UNS000183</x:v>
      </x:c>
      <x:c r="D184" s="6" t="str">
        <x:v>SVC000183</x:v>
      </x:c>
      <x:c r="E184" s="6" t="str">
        <x:v>Unsupported Relationship</x:v>
      </x:c>
      <x:c r="F184" s="12" t="str">
        <x:v>Device family alone is insufficient for governed relationship.</x:v>
      </x:c>
      <x:c r="G184" s="12" t="str">
        <x:v>Explicit governed evidence supporting relationship</x:v>
      </x:c>
      <x:c r="H184" s="6" t="str"/>
      <x:c r="I184" s="6" t="str"/>
      <x:c r="J184" s="6" t="str"/>
      <x:c r="K184" s="6" t="str">
        <x:v>Open</x:v>
      </x:c>
      <x:c r="L184" s="6" t="str"/>
    </x:row>
    <x:row r="185">
      <x:c r="A185" s="6" t="str">
        <x:v>ESC-000184</x:v>
      </x:c>
      <x:c r="B185" s="6" t="str">
        <x:v>Unsupported Relationship Review</x:v>
      </x:c>
      <x:c r="C185" s="6" t="str">
        <x:v>UNS000184</x:v>
      </x:c>
      <x:c r="D185" s="6" t="str">
        <x:v>SVC000184</x:v>
      </x:c>
      <x:c r="E185" s="6" t="str">
        <x:v>Unsupported Relationship</x:v>
      </x:c>
      <x:c r="F185" s="12" t="str">
        <x:v>Device family alone is insufficient for governed relationship.</x:v>
      </x:c>
      <x:c r="G185" s="12" t="str">
        <x:v>Explicit governed evidence supporting relationship</x:v>
      </x:c>
      <x:c r="H185" s="6" t="str"/>
      <x:c r="I185" s="6" t="str"/>
      <x:c r="J185" s="6" t="str"/>
      <x:c r="K185" s="6" t="str">
        <x:v>Open</x:v>
      </x:c>
      <x:c r="L185" s="6" t="str"/>
    </x:row>
    <x:row r="186">
      <x:c r="A186" s="6" t="str">
        <x:v>ESC-000185</x:v>
      </x:c>
      <x:c r="B186" s="6" t="str">
        <x:v>Unsupported Relationship Review</x:v>
      </x:c>
      <x:c r="C186" s="6" t="str">
        <x:v>UNS000185</x:v>
      </x:c>
      <x:c r="D186" s="6" t="str">
        <x:v>SVC000185</x:v>
      </x:c>
      <x:c r="E186" s="6" t="str">
        <x:v>Unsupported Relationship</x:v>
      </x:c>
      <x:c r="F186" s="12" t="str">
        <x:v>Device family alone is insufficient for governed relationship.</x:v>
      </x:c>
      <x:c r="G186" s="12" t="str">
        <x:v>Explicit governed evidence supporting relationship</x:v>
      </x:c>
      <x:c r="H186" s="6" t="str"/>
      <x:c r="I186" s="6" t="str"/>
      <x:c r="J186" s="6" t="str"/>
      <x:c r="K186" s="6" t="str">
        <x:v>Open</x:v>
      </x:c>
      <x:c r="L186" s="6" t="str"/>
    </x:row>
    <x:row r="187">
      <x:c r="A187" s="6" t="str">
        <x:v>ESC-000186</x:v>
      </x:c>
      <x:c r="B187" s="6" t="str">
        <x:v>Unsupported Relationship Review</x:v>
      </x:c>
      <x:c r="C187" s="6" t="str">
        <x:v>UNS000186</x:v>
      </x:c>
      <x:c r="D187" s="6" t="str">
        <x:v>SVC000186</x:v>
      </x:c>
      <x:c r="E187" s="6" t="str">
        <x:v>Unsupported Relationship</x:v>
      </x:c>
      <x:c r="F187" s="12" t="str">
        <x:v>Device family alone is insufficient for governed relationship.</x:v>
      </x:c>
      <x:c r="G187" s="12" t="str">
        <x:v>Explicit governed evidence supporting relationship</x:v>
      </x:c>
      <x:c r="H187" s="6" t="str"/>
      <x:c r="I187" s="6" t="str"/>
      <x:c r="J187" s="6" t="str"/>
      <x:c r="K187" s="6" t="str">
        <x:v>Open</x:v>
      </x:c>
      <x:c r="L187" s="6" t="str"/>
    </x:row>
    <x:row r="188">
      <x:c r="A188" s="6" t="str">
        <x:v>ESC-000187</x:v>
      </x:c>
      <x:c r="B188" s="6" t="str">
        <x:v>Unsupported Relationship Review</x:v>
      </x:c>
      <x:c r="C188" s="6" t="str">
        <x:v>UNS000187</x:v>
      </x:c>
      <x:c r="D188" s="6" t="str">
        <x:v>SVC000187</x:v>
      </x:c>
      <x:c r="E188" s="6" t="str">
        <x:v>Unsupported Relationship</x:v>
      </x:c>
      <x:c r="F188" s="12" t="str">
        <x:v>Device family alone is insufficient for governed relationship.</x:v>
      </x:c>
      <x:c r="G188" s="12" t="str">
        <x:v>Explicit governed evidence supporting relationship</x:v>
      </x:c>
      <x:c r="H188" s="6" t="str"/>
      <x:c r="I188" s="6" t="str"/>
      <x:c r="J188" s="6" t="str"/>
      <x:c r="K188" s="6" t="str">
        <x:v>Open</x:v>
      </x:c>
      <x:c r="L188" s="6" t="str"/>
    </x:row>
    <x:row r="189">
      <x:c r="A189" s="6" t="str">
        <x:v>ESC-000188</x:v>
      </x:c>
      <x:c r="B189" s="6" t="str">
        <x:v>Unsupported Relationship Review</x:v>
      </x:c>
      <x:c r="C189" s="6" t="str">
        <x:v>UNS000188</x:v>
      </x:c>
      <x:c r="D189" s="6" t="str">
        <x:v>SVC000188</x:v>
      </x:c>
      <x:c r="E189" s="6" t="str">
        <x:v>Unsupported Relationship</x:v>
      </x:c>
      <x:c r="F189" s="12" t="str">
        <x:v>Device family alone is insufficient for governed relationship.</x:v>
      </x:c>
      <x:c r="G189" s="12" t="str">
        <x:v>Explicit governed evidence supporting relationship</x:v>
      </x:c>
      <x:c r="H189" s="6" t="str"/>
      <x:c r="I189" s="6" t="str"/>
      <x:c r="J189" s="6" t="str"/>
      <x:c r="K189" s="6" t="str">
        <x:v>Open</x:v>
      </x:c>
      <x:c r="L189" s="6" t="str"/>
    </x:row>
    <x:row r="190">
      <x:c r="A190" s="6" t="str">
        <x:v>ESC-000189</x:v>
      </x:c>
      <x:c r="B190" s="6" t="str">
        <x:v>Unsupported Relationship Review</x:v>
      </x:c>
      <x:c r="C190" s="6" t="str">
        <x:v>UNS000189</x:v>
      </x:c>
      <x:c r="D190" s="6" t="str">
        <x:v>SVC000189</x:v>
      </x:c>
      <x:c r="E190" s="6" t="str">
        <x:v>Unsupported Relationship</x:v>
      </x:c>
      <x:c r="F190" s="12" t="str">
        <x:v>Device family alone is insufficient for governed relationship.</x:v>
      </x:c>
      <x:c r="G190" s="12" t="str">
        <x:v>Explicit governed evidence supporting relationship</x:v>
      </x:c>
      <x:c r="H190" s="6" t="str"/>
      <x:c r="I190" s="6" t="str"/>
      <x:c r="J190" s="6" t="str"/>
      <x:c r="K190" s="6" t="str">
        <x:v>Open</x:v>
      </x:c>
      <x:c r="L190" s="6" t="str"/>
    </x:row>
    <x:row r="191">
      <x:c r="A191" s="6" t="str">
        <x:v>ESC-000190</x:v>
      </x:c>
      <x:c r="B191" s="6" t="str">
        <x:v>Unsupported Relationship Review</x:v>
      </x:c>
      <x:c r="C191" s="6" t="str">
        <x:v>UNS000190</x:v>
      </x:c>
      <x:c r="D191" s="6" t="str">
        <x:v>SVC000190</x:v>
      </x:c>
      <x:c r="E191" s="6" t="str">
        <x:v>Unsupported Relationship</x:v>
      </x:c>
      <x:c r="F191" s="12" t="str">
        <x:v>Device family alone is insufficient for governed relationship.</x:v>
      </x:c>
      <x:c r="G191" s="12" t="str">
        <x:v>Explicit governed evidence supporting relationship</x:v>
      </x:c>
      <x:c r="H191" s="6" t="str"/>
      <x:c r="I191" s="6" t="str"/>
      <x:c r="J191" s="6" t="str"/>
      <x:c r="K191" s="6" t="str">
        <x:v>Open</x:v>
      </x:c>
      <x:c r="L191" s="6" t="str"/>
    </x:row>
    <x:row r="192">
      <x:c r="A192" s="6" t="str">
        <x:v>ESC-000191</x:v>
      </x:c>
      <x:c r="B192" s="6" t="str">
        <x:v>Unsupported Relationship Review</x:v>
      </x:c>
      <x:c r="C192" s="6" t="str">
        <x:v>UNS000191</x:v>
      </x:c>
      <x:c r="D192" s="6" t="str">
        <x:v>SVC000191</x:v>
      </x:c>
      <x:c r="E192" s="6" t="str">
        <x:v>Unsupported Relationship</x:v>
      </x:c>
      <x:c r="F192" s="12" t="str">
        <x:v>Device family alone is insufficient for governed relationship.</x:v>
      </x:c>
      <x:c r="G192" s="12" t="str">
        <x:v>Explicit governed evidence supporting relationship</x:v>
      </x:c>
      <x:c r="H192" s="6" t="str"/>
      <x:c r="I192" s="6" t="str"/>
      <x:c r="J192" s="6" t="str"/>
      <x:c r="K192" s="6" t="str">
        <x:v>Open</x:v>
      </x:c>
      <x:c r="L192" s="6" t="str"/>
    </x:row>
    <x:row r="193">
      <x:c r="A193" s="6" t="str">
        <x:v>ESC-000192</x:v>
      </x:c>
      <x:c r="B193" s="6" t="str">
        <x:v>Unsupported Relationship Review</x:v>
      </x:c>
      <x:c r="C193" s="6" t="str">
        <x:v>UNS000192</x:v>
      </x:c>
      <x:c r="D193" s="6" t="str">
        <x:v>SVC000192</x:v>
      </x:c>
      <x:c r="E193" s="6" t="str">
        <x:v>Unsupported Relationship</x:v>
      </x:c>
      <x:c r="F193" s="12" t="str">
        <x:v>Device family alone is insufficient for governed relationship.</x:v>
      </x:c>
      <x:c r="G193" s="12" t="str">
        <x:v>Explicit governed evidence supporting relationship</x:v>
      </x:c>
      <x:c r="H193" s="6" t="str"/>
      <x:c r="I193" s="6" t="str"/>
      <x:c r="J193" s="6" t="str"/>
      <x:c r="K193" s="6" t="str">
        <x:v>Open</x:v>
      </x:c>
      <x:c r="L193" s="6" t="str"/>
    </x:row>
    <x:row r="194">
      <x:c r="A194" s="6" t="str">
        <x:v>ESC-000193</x:v>
      </x:c>
      <x:c r="B194" s="6" t="str">
        <x:v>Unsupported Relationship Review</x:v>
      </x:c>
      <x:c r="C194" s="6" t="str">
        <x:v>UNS000193</x:v>
      </x:c>
      <x:c r="D194" s="6" t="str">
        <x:v>SVC000193</x:v>
      </x:c>
      <x:c r="E194" s="6" t="str">
        <x:v>Unsupported Relationship</x:v>
      </x:c>
      <x:c r="F194" s="12" t="str">
        <x:v>Device family alone is insufficient for governed relationship.</x:v>
      </x:c>
      <x:c r="G194" s="12" t="str">
        <x:v>Explicit governed evidence supporting relationship</x:v>
      </x:c>
      <x:c r="H194" s="6" t="str"/>
      <x:c r="I194" s="6" t="str"/>
      <x:c r="J194" s="6" t="str"/>
      <x:c r="K194" s="6" t="str">
        <x:v>Open</x:v>
      </x:c>
      <x:c r="L194" s="6" t="str"/>
    </x:row>
    <x:row r="195">
      <x:c r="A195" s="6" t="str">
        <x:v>ESC-000194</x:v>
      </x:c>
      <x:c r="B195" s="6" t="str">
        <x:v>Unsupported Relationship Review</x:v>
      </x:c>
      <x:c r="C195" s="6" t="str">
        <x:v>UNS000194</x:v>
      </x:c>
      <x:c r="D195" s="6" t="str">
        <x:v>SVC000194</x:v>
      </x:c>
      <x:c r="E195" s="6" t="str">
        <x:v>Unsupported Relationship</x:v>
      </x:c>
      <x:c r="F195" s="12" t="str">
        <x:v>Device family alone is insufficient for governed relationship.</x:v>
      </x:c>
      <x:c r="G195" s="12" t="str">
        <x:v>Explicit governed evidence supporting relationship</x:v>
      </x:c>
      <x:c r="H195" s="6" t="str"/>
      <x:c r="I195" s="6" t="str"/>
      <x:c r="J195" s="6" t="str"/>
      <x:c r="K195" s="6" t="str">
        <x:v>Open</x:v>
      </x:c>
      <x:c r="L195" s="6" t="str"/>
    </x:row>
    <x:row r="196">
      <x:c r="A196" s="6" t="str">
        <x:v>ESC-000195</x:v>
      </x:c>
      <x:c r="B196" s="6" t="str">
        <x:v>Unsupported Relationship Review</x:v>
      </x:c>
      <x:c r="C196" s="6" t="str">
        <x:v>UNS000195</x:v>
      </x:c>
      <x:c r="D196" s="6" t="str">
        <x:v>SVC000195</x:v>
      </x:c>
      <x:c r="E196" s="6" t="str">
        <x:v>Unsupported Relationship</x:v>
      </x:c>
      <x:c r="F196" s="12" t="str">
        <x:v>Device family alone is insufficient for governed relationship.</x:v>
      </x:c>
      <x:c r="G196" s="12" t="str">
        <x:v>Explicit governed evidence supporting relationship</x:v>
      </x:c>
      <x:c r="H196" s="6" t="str"/>
      <x:c r="I196" s="6" t="str"/>
      <x:c r="J196" s="6" t="str"/>
      <x:c r="K196" s="6" t="str">
        <x:v>Open</x:v>
      </x:c>
      <x:c r="L196" s="6" t="str"/>
    </x:row>
    <x:row r="197">
      <x:c r="A197" s="6" t="str">
        <x:v>ESC-000196</x:v>
      </x:c>
      <x:c r="B197" s="6" t="str">
        <x:v>Unsupported Relationship Review</x:v>
      </x:c>
      <x:c r="C197" s="6" t="str">
        <x:v>UNS000196</x:v>
      </x:c>
      <x:c r="D197" s="6" t="str">
        <x:v>SVC000196</x:v>
      </x:c>
      <x:c r="E197" s="6" t="str">
        <x:v>Unsupported Relationship</x:v>
      </x:c>
      <x:c r="F197" s="12" t="str">
        <x:v>Device family alone is insufficient for governed relationship.</x:v>
      </x:c>
      <x:c r="G197" s="12" t="str">
        <x:v>Explicit governed evidence supporting relationship</x:v>
      </x:c>
      <x:c r="H197" s="6" t="str"/>
      <x:c r="I197" s="6" t="str"/>
      <x:c r="J197" s="6" t="str"/>
      <x:c r="K197" s="6" t="str">
        <x:v>Open</x:v>
      </x:c>
      <x:c r="L197" s="6" t="str"/>
    </x:row>
    <x:row r="198">
      <x:c r="A198" s="6" t="str">
        <x:v>ESC-000197</x:v>
      </x:c>
      <x:c r="B198" s="6" t="str">
        <x:v>Unsupported Relationship Review</x:v>
      </x:c>
      <x:c r="C198" s="6" t="str">
        <x:v>UNS000197</x:v>
      </x:c>
      <x:c r="D198" s="6" t="str">
        <x:v>SVC000197</x:v>
      </x:c>
      <x:c r="E198" s="6" t="str">
        <x:v>Unsupported Relationship</x:v>
      </x:c>
      <x:c r="F198" s="12" t="str">
        <x:v>Device family alone is insufficient for governed relationship.</x:v>
      </x:c>
      <x:c r="G198" s="12" t="str">
        <x:v>Explicit governed evidence supporting relationship</x:v>
      </x:c>
      <x:c r="H198" s="6" t="str"/>
      <x:c r="I198" s="6" t="str"/>
      <x:c r="J198" s="6" t="str"/>
      <x:c r="K198" s="6" t="str">
        <x:v>Open</x:v>
      </x:c>
      <x:c r="L198" s="6" t="str"/>
    </x:row>
    <x:row r="199">
      <x:c r="A199" s="6" t="str">
        <x:v>ESC-000198</x:v>
      </x:c>
      <x:c r="B199" s="6" t="str">
        <x:v>Unsupported Relationship Review</x:v>
      </x:c>
      <x:c r="C199" s="6" t="str">
        <x:v>UNS000198</x:v>
      </x:c>
      <x:c r="D199" s="6" t="str">
        <x:v>SVC000198</x:v>
      </x:c>
      <x:c r="E199" s="6" t="str">
        <x:v>Unsupported Relationship</x:v>
      </x:c>
      <x:c r="F199" s="12" t="str">
        <x:v>Device family alone is insufficient for governed relationship.</x:v>
      </x:c>
      <x:c r="G199" s="12" t="str">
        <x:v>Explicit governed evidence supporting relationship</x:v>
      </x:c>
      <x:c r="H199" s="6" t="str"/>
      <x:c r="I199" s="6" t="str"/>
      <x:c r="J199" s="6" t="str"/>
      <x:c r="K199" s="6" t="str">
        <x:v>Open</x:v>
      </x:c>
      <x:c r="L199" s="6" t="str"/>
    </x:row>
    <x:row r="200">
      <x:c r="A200" s="6" t="str">
        <x:v>ESC-000199</x:v>
      </x:c>
      <x:c r="B200" s="6" t="str">
        <x:v>Unsupported Relationship Review</x:v>
      </x:c>
      <x:c r="C200" s="6" t="str">
        <x:v>UNS000199</x:v>
      </x:c>
      <x:c r="D200" s="6" t="str">
        <x:v>SVC000199</x:v>
      </x:c>
      <x:c r="E200" s="6" t="str">
        <x:v>Unsupported Relationship</x:v>
      </x:c>
      <x:c r="F200" s="12" t="str">
        <x:v>Device family alone is insufficient for governed relationship.</x:v>
      </x:c>
      <x:c r="G200" s="12" t="str">
        <x:v>Explicit governed evidence supporting relationship</x:v>
      </x:c>
      <x:c r="H200" s="6" t="str"/>
      <x:c r="I200" s="6" t="str"/>
      <x:c r="J200" s="6" t="str"/>
      <x:c r="K200" s="6" t="str">
        <x:v>Open</x:v>
      </x:c>
      <x:c r="L200" s="6" t="str"/>
    </x:row>
    <x:row r="201">
      <x:c r="A201" s="6" t="str">
        <x:v>ESC-000200</x:v>
      </x:c>
      <x:c r="B201" s="6" t="str">
        <x:v>Unsupported Relationship Review</x:v>
      </x:c>
      <x:c r="C201" s="6" t="str">
        <x:v>UNS000200</x:v>
      </x:c>
      <x:c r="D201" s="6" t="str">
        <x:v>SVC000200</x:v>
      </x:c>
      <x:c r="E201" s="6" t="str">
        <x:v>Unsupported Relationship</x:v>
      </x:c>
      <x:c r="F201" s="12" t="str">
        <x:v>Device family alone is insufficient for governed relationship.</x:v>
      </x:c>
      <x:c r="G201" s="12" t="str">
        <x:v>Explicit governed evidence supporting relationship</x:v>
      </x:c>
      <x:c r="H201" s="6" t="str"/>
      <x:c r="I201" s="6" t="str"/>
      <x:c r="J201" s="6" t="str"/>
      <x:c r="K201" s="6" t="str">
        <x:v>Open</x:v>
      </x:c>
      <x:c r="L201" s="6" t="str"/>
    </x:row>
    <x:row r="202">
      <x:c r="A202" s="6" t="str">
        <x:v>ESC-000201</x:v>
      </x:c>
      <x:c r="B202" s="6" t="str">
        <x:v>Unsupported Relationship Review</x:v>
      </x:c>
      <x:c r="C202" s="6" t="str">
        <x:v>UNS000201</x:v>
      </x:c>
      <x:c r="D202" s="6" t="str">
        <x:v>SVC000201</x:v>
      </x:c>
      <x:c r="E202" s="6" t="str">
        <x:v>Unsupported Relationship</x:v>
      </x:c>
      <x:c r="F202" s="12" t="str">
        <x:v>Device family alone is insufficient for governed relationship.</x:v>
      </x:c>
      <x:c r="G202" s="12" t="str">
        <x:v>Explicit governed evidence supporting relationship</x:v>
      </x:c>
      <x:c r="H202" s="6" t="str"/>
      <x:c r="I202" s="6" t="str"/>
      <x:c r="J202" s="6" t="str"/>
      <x:c r="K202" s="6" t="str">
        <x:v>Open</x:v>
      </x:c>
      <x:c r="L202" s="6" t="str"/>
    </x:row>
    <x:row r="203">
      <x:c r="A203" s="6" t="str">
        <x:v>ESC-000202</x:v>
      </x:c>
      <x:c r="B203" s="6" t="str">
        <x:v>Unsupported Relationship Review</x:v>
      </x:c>
      <x:c r="C203" s="6" t="str">
        <x:v>UNS000202</x:v>
      </x:c>
      <x:c r="D203" s="6" t="str">
        <x:v>SVC000202</x:v>
      </x:c>
      <x:c r="E203" s="6" t="str">
        <x:v>Unsupported Relationship</x:v>
      </x:c>
      <x:c r="F203" s="12" t="str">
        <x:v>Device family alone is insufficient for governed relationship.</x:v>
      </x:c>
      <x:c r="G203" s="12" t="str">
        <x:v>Explicit governed evidence supporting relationship</x:v>
      </x:c>
      <x:c r="H203" s="6" t="str"/>
      <x:c r="I203" s="6" t="str"/>
      <x:c r="J203" s="6" t="str"/>
      <x:c r="K203" s="6" t="str">
        <x:v>Open</x:v>
      </x:c>
      <x:c r="L203" s="6" t="str"/>
    </x:row>
    <x:row r="204">
      <x:c r="A204" s="6" t="str">
        <x:v>ESC-000203</x:v>
      </x:c>
      <x:c r="B204" s="6" t="str">
        <x:v>Unsupported Relationship Review</x:v>
      </x:c>
      <x:c r="C204" s="6" t="str">
        <x:v>UNS000203</x:v>
      </x:c>
      <x:c r="D204" s="6" t="str">
        <x:v>SVC000203</x:v>
      </x:c>
      <x:c r="E204" s="6" t="str">
        <x:v>Unsupported Relationship</x:v>
      </x:c>
      <x:c r="F204" s="12" t="str">
        <x:v>Device family alone is insufficient for governed relationship.</x:v>
      </x:c>
      <x:c r="G204" s="12" t="str">
        <x:v>Explicit governed evidence supporting relationship</x:v>
      </x:c>
      <x:c r="H204" s="6" t="str"/>
      <x:c r="I204" s="6" t="str"/>
      <x:c r="J204" s="6" t="str"/>
      <x:c r="K204" s="6" t="str">
        <x:v>Open</x:v>
      </x:c>
      <x:c r="L204" s="6" t="str"/>
    </x:row>
    <x:row r="205">
      <x:c r="A205" s="6" t="str">
        <x:v>ESC-000204</x:v>
      </x:c>
      <x:c r="B205" s="6" t="str">
        <x:v>Unsupported Relationship Review</x:v>
      </x:c>
      <x:c r="C205" s="6" t="str">
        <x:v>UNS000204</x:v>
      </x:c>
      <x:c r="D205" s="6" t="str">
        <x:v>SVC000204</x:v>
      </x:c>
      <x:c r="E205" s="6" t="str">
        <x:v>Unsupported Relationship</x:v>
      </x:c>
      <x:c r="F205" s="12" t="str">
        <x:v>Device family alone is insufficient for governed relationship.</x:v>
      </x:c>
      <x:c r="G205" s="12" t="str">
        <x:v>Explicit governed evidence supporting relationship</x:v>
      </x:c>
      <x:c r="H205" s="6" t="str"/>
      <x:c r="I205" s="6" t="str"/>
      <x:c r="J205" s="6" t="str"/>
      <x:c r="K205" s="6" t="str">
        <x:v>Open</x:v>
      </x:c>
      <x:c r="L205" s="6" t="str"/>
    </x:row>
    <x:row r="206">
      <x:c r="A206" s="6" t="str">
        <x:v>ESC-000205</x:v>
      </x:c>
      <x:c r="B206" s="6" t="str">
        <x:v>Unsupported Relationship Review</x:v>
      </x:c>
      <x:c r="C206" s="6" t="str">
        <x:v>UNS000205</x:v>
      </x:c>
      <x:c r="D206" s="6" t="str">
        <x:v>SVC000205</x:v>
      </x:c>
      <x:c r="E206" s="6" t="str">
        <x:v>Unsupported Relationship</x:v>
      </x:c>
      <x:c r="F206" s="12" t="str">
        <x:v>Device family alone is insufficient for governed relationship.</x:v>
      </x:c>
      <x:c r="G206" s="12" t="str">
        <x:v>Explicit governed evidence supporting relationship</x:v>
      </x:c>
      <x:c r="H206" s="6" t="str"/>
      <x:c r="I206" s="6" t="str"/>
      <x:c r="J206" s="6" t="str"/>
      <x:c r="K206" s="6" t="str">
        <x:v>Open</x:v>
      </x:c>
      <x:c r="L206" s="6" t="str"/>
    </x:row>
    <x:row r="207">
      <x:c r="A207" s="6" t="str">
        <x:v>ESC-000206</x:v>
      </x:c>
      <x:c r="B207" s="6" t="str">
        <x:v>Unsupported Relationship Review</x:v>
      </x:c>
      <x:c r="C207" s="6" t="str">
        <x:v>UNS000206</x:v>
      </x:c>
      <x:c r="D207" s="6" t="str">
        <x:v>SVC000206</x:v>
      </x:c>
      <x:c r="E207" s="6" t="str">
        <x:v>Unsupported Relationship</x:v>
      </x:c>
      <x:c r="F207" s="12" t="str">
        <x:v>Device family alone is insufficient for governed relationship.</x:v>
      </x:c>
      <x:c r="G207" s="12" t="str">
        <x:v>Explicit governed evidence supporting relationship</x:v>
      </x:c>
      <x:c r="H207" s="6" t="str"/>
      <x:c r="I207" s="6" t="str"/>
      <x:c r="J207" s="6" t="str"/>
      <x:c r="K207" s="6" t="str">
        <x:v>Open</x:v>
      </x:c>
      <x:c r="L207" s="6" t="str"/>
    </x:row>
    <x:row r="208">
      <x:c r="A208" s="6" t="str">
        <x:v>ESC-000207</x:v>
      </x:c>
      <x:c r="B208" s="6" t="str">
        <x:v>Unsupported Relationship Review</x:v>
      </x:c>
      <x:c r="C208" s="6" t="str">
        <x:v>UNS000207</x:v>
      </x:c>
      <x:c r="D208" s="6" t="str">
        <x:v>SVC000207</x:v>
      </x:c>
      <x:c r="E208" s="6" t="str">
        <x:v>Unsupported Relationship</x:v>
      </x:c>
      <x:c r="F208" s="12" t="str">
        <x:v>Device family alone is insufficient for governed relationship.</x:v>
      </x:c>
      <x:c r="G208" s="12" t="str">
        <x:v>Explicit governed evidence supporting relationship</x:v>
      </x:c>
      <x:c r="H208" s="6" t="str"/>
      <x:c r="I208" s="6" t="str"/>
      <x:c r="J208" s="6" t="str"/>
      <x:c r="K208" s="6" t="str">
        <x:v>Open</x:v>
      </x:c>
      <x:c r="L208" s="6" t="str"/>
    </x:row>
    <x:row r="209">
      <x:c r="A209" s="6" t="str">
        <x:v>ESC-000208</x:v>
      </x:c>
      <x:c r="B209" s="6" t="str">
        <x:v>Unsupported Relationship Review</x:v>
      </x:c>
      <x:c r="C209" s="6" t="str">
        <x:v>UNS000208</x:v>
      </x:c>
      <x:c r="D209" s="6" t="str">
        <x:v>SVC000208</x:v>
      </x:c>
      <x:c r="E209" s="6" t="str">
        <x:v>Unsupported Relationship</x:v>
      </x:c>
      <x:c r="F209" s="12" t="str">
        <x:v>Device family alone is insufficient for governed relationship.</x:v>
      </x:c>
      <x:c r="G209" s="12" t="str">
        <x:v>Explicit governed evidence supporting relationship</x:v>
      </x:c>
      <x:c r="H209" s="6" t="str"/>
      <x:c r="I209" s="6" t="str"/>
      <x:c r="J209" s="6" t="str"/>
      <x:c r="K209" s="6" t="str">
        <x:v>Open</x:v>
      </x:c>
      <x:c r="L209" s="6" t="str"/>
    </x:row>
    <x:row r="210">
      <x:c r="A210" s="6" t="str">
        <x:v>ESC-000209</x:v>
      </x:c>
      <x:c r="B210" s="6" t="str">
        <x:v>Unsupported Relationship Review</x:v>
      </x:c>
      <x:c r="C210" s="6" t="str">
        <x:v>UNS000209</x:v>
      </x:c>
      <x:c r="D210" s="6" t="str">
        <x:v>SVC000209</x:v>
      </x:c>
      <x:c r="E210" s="6" t="str">
        <x:v>Unsupported Relationship</x:v>
      </x:c>
      <x:c r="F210" s="12" t="str">
        <x:v>Device family alone is insufficient for governed relationship.</x:v>
      </x:c>
      <x:c r="G210" s="12" t="str">
        <x:v>Explicit governed evidence supporting relationship</x:v>
      </x:c>
      <x:c r="H210" s="6" t="str"/>
      <x:c r="I210" s="6" t="str"/>
      <x:c r="J210" s="6" t="str"/>
      <x:c r="K210" s="6" t="str">
        <x:v>Open</x:v>
      </x:c>
      <x:c r="L210" s="6" t="str"/>
    </x:row>
    <x:row r="211">
      <x:c r="A211" s="6" t="str">
        <x:v>ESC-000210</x:v>
      </x:c>
      <x:c r="B211" s="6" t="str">
        <x:v>Unsupported Relationship Review</x:v>
      </x:c>
      <x:c r="C211" s="6" t="str">
        <x:v>UNS000210</x:v>
      </x:c>
      <x:c r="D211" s="6" t="str">
        <x:v>SVC000210</x:v>
      </x:c>
      <x:c r="E211" s="6" t="str">
        <x:v>Unsupported Relationship</x:v>
      </x:c>
      <x:c r="F211" s="12" t="str">
        <x:v>Device family alone is insufficient for governed relationship.</x:v>
      </x:c>
      <x:c r="G211" s="12" t="str">
        <x:v>Explicit governed evidence supporting relationship</x:v>
      </x:c>
      <x:c r="H211" s="6" t="str"/>
      <x:c r="I211" s="6" t="str"/>
      <x:c r="J211" s="6" t="str"/>
      <x:c r="K211" s="6" t="str">
        <x:v>Open</x:v>
      </x:c>
      <x:c r="L211" s="6" t="str"/>
    </x:row>
    <x:row r="212">
      <x:c r="A212" s="6" t="str">
        <x:v>ESC-000211</x:v>
      </x:c>
      <x:c r="B212" s="6" t="str">
        <x:v>Unsupported Relationship Review</x:v>
      </x:c>
      <x:c r="C212" s="6" t="str">
        <x:v>UNS000211</x:v>
      </x:c>
      <x:c r="D212" s="6" t="str">
        <x:v>SVC000211</x:v>
      </x:c>
      <x:c r="E212" s="6" t="str">
        <x:v>Unsupported Relationship</x:v>
      </x:c>
      <x:c r="F212" s="12" t="str">
        <x:v>Device family alone is insufficient for governed relationship.</x:v>
      </x:c>
      <x:c r="G212" s="12" t="str">
        <x:v>Explicit governed evidence supporting relationship</x:v>
      </x:c>
      <x:c r="H212" s="6" t="str"/>
      <x:c r="I212" s="6" t="str"/>
      <x:c r="J212" s="6" t="str"/>
      <x:c r="K212" s="6" t="str">
        <x:v>Open</x:v>
      </x:c>
      <x:c r="L212" s="6" t="str"/>
    </x:row>
    <x:row r="213">
      <x:c r="A213" s="6" t="str">
        <x:v>ESC-000212</x:v>
      </x:c>
      <x:c r="B213" s="6" t="str">
        <x:v>Unsupported Relationship Review</x:v>
      </x:c>
      <x:c r="C213" s="6" t="str">
        <x:v>UNS000212</x:v>
      </x:c>
      <x:c r="D213" s="6" t="str">
        <x:v>SVC000212</x:v>
      </x:c>
      <x:c r="E213" s="6" t="str">
        <x:v>Unsupported Relationship</x:v>
      </x:c>
      <x:c r="F213" s="12" t="str">
        <x:v>Device family alone is insufficient for governed relationship.</x:v>
      </x:c>
      <x:c r="G213" s="12" t="str">
        <x:v>Explicit governed evidence supporting relationship</x:v>
      </x:c>
      <x:c r="H213" s="6" t="str"/>
      <x:c r="I213" s="6" t="str"/>
      <x:c r="J213" s="6" t="str"/>
      <x:c r="K213" s="6" t="str">
        <x:v>Open</x:v>
      </x:c>
      <x:c r="L213" s="6" t="str"/>
    </x:row>
    <x:row r="214">
      <x:c r="A214" s="6" t="str">
        <x:v>ESC-000213</x:v>
      </x:c>
      <x:c r="B214" s="6" t="str">
        <x:v>Unsupported Relationship Review</x:v>
      </x:c>
      <x:c r="C214" s="6" t="str">
        <x:v>UNS000213</x:v>
      </x:c>
      <x:c r="D214" s="6" t="str">
        <x:v>SVC000213</x:v>
      </x:c>
      <x:c r="E214" s="6" t="str">
        <x:v>Unsupported Relationship</x:v>
      </x:c>
      <x:c r="F214" s="12" t="str">
        <x:v>Device family alone is insufficient for governed relationship.</x:v>
      </x:c>
      <x:c r="G214" s="12" t="str">
        <x:v>Explicit governed evidence supporting relationship</x:v>
      </x:c>
      <x:c r="H214" s="6" t="str"/>
      <x:c r="I214" s="6" t="str"/>
      <x:c r="J214" s="6" t="str"/>
      <x:c r="K214" s="6" t="str">
        <x:v>Open</x:v>
      </x:c>
      <x:c r="L214" s="6" t="str"/>
    </x:row>
    <x:row r="215">
      <x:c r="A215" s="6" t="str">
        <x:v>ESC-000214</x:v>
      </x:c>
      <x:c r="B215" s="6" t="str">
        <x:v>Unsupported Relationship Review</x:v>
      </x:c>
      <x:c r="C215" s="6" t="str">
        <x:v>UNS000214</x:v>
      </x:c>
      <x:c r="D215" s="6" t="str">
        <x:v>SVC000214</x:v>
      </x:c>
      <x:c r="E215" s="6" t="str">
        <x:v>Unsupported Relationship</x:v>
      </x:c>
      <x:c r="F215" s="12" t="str">
        <x:v>Device family alone is insufficient for governed relationship.</x:v>
      </x:c>
      <x:c r="G215" s="12" t="str">
        <x:v>Explicit governed evidence supporting relationship</x:v>
      </x:c>
      <x:c r="H215" s="6" t="str"/>
      <x:c r="I215" s="6" t="str"/>
      <x:c r="J215" s="6" t="str"/>
      <x:c r="K215" s="6" t="str">
        <x:v>Open</x:v>
      </x:c>
      <x:c r="L215" s="6" t="str"/>
    </x:row>
    <x:row r="216">
      <x:c r="A216" s="6" t="str">
        <x:v>ESC-000215</x:v>
      </x:c>
      <x:c r="B216" s="6" t="str">
        <x:v>Unsupported Relationship Review</x:v>
      </x:c>
      <x:c r="C216" s="6" t="str">
        <x:v>UNS000215</x:v>
      </x:c>
      <x:c r="D216" s="6" t="str">
        <x:v>SVC000215</x:v>
      </x:c>
      <x:c r="E216" s="6" t="str">
        <x:v>Unsupported Relationship</x:v>
      </x:c>
      <x:c r="F216" s="12" t="str">
        <x:v>Device family alone is insufficient for governed relationship.</x:v>
      </x:c>
      <x:c r="G216" s="12" t="str">
        <x:v>Explicit governed evidence supporting relationship</x:v>
      </x:c>
      <x:c r="H216" s="6" t="str"/>
      <x:c r="I216" s="6" t="str"/>
      <x:c r="J216" s="6" t="str"/>
      <x:c r="K216" s="6" t="str">
        <x:v>Open</x:v>
      </x:c>
      <x:c r="L216" s="6" t="str"/>
    </x:row>
    <x:row r="217">
      <x:c r="A217" s="6" t="str">
        <x:v>ESC-000216</x:v>
      </x:c>
      <x:c r="B217" s="6" t="str">
        <x:v>Unsupported Relationship Review</x:v>
      </x:c>
      <x:c r="C217" s="6" t="str">
        <x:v>UNS000216</x:v>
      </x:c>
      <x:c r="D217" s="6" t="str">
        <x:v>SVC000216</x:v>
      </x:c>
      <x:c r="E217" s="6" t="str">
        <x:v>Unsupported Relationship</x:v>
      </x:c>
      <x:c r="F217" s="12" t="str">
        <x:v>Device family alone is insufficient for governed relationship.</x:v>
      </x:c>
      <x:c r="G217" s="12" t="str">
        <x:v>Explicit governed evidence supporting relationship</x:v>
      </x:c>
      <x:c r="H217" s="6" t="str"/>
      <x:c r="I217" s="6" t="str"/>
      <x:c r="J217" s="6" t="str"/>
      <x:c r="K217" s="6" t="str">
        <x:v>Open</x:v>
      </x:c>
      <x:c r="L217" s="6" t="str"/>
    </x:row>
    <x:row r="218">
      <x:c r="A218" s="6" t="str">
        <x:v>ESC-000217</x:v>
      </x:c>
      <x:c r="B218" s="6" t="str">
        <x:v>Unsupported Relationship Review</x:v>
      </x:c>
      <x:c r="C218" s="6" t="str">
        <x:v>UNS000217</x:v>
      </x:c>
      <x:c r="D218" s="6" t="str">
        <x:v>SVC000217</x:v>
      </x:c>
      <x:c r="E218" s="6" t="str">
        <x:v>Unsupported Relationship</x:v>
      </x:c>
      <x:c r="F218" s="12" t="str">
        <x:v>Device family alone is insufficient for governed relationship.</x:v>
      </x:c>
      <x:c r="G218" s="12" t="str">
        <x:v>Explicit governed evidence supporting relationship</x:v>
      </x:c>
      <x:c r="H218" s="6" t="str"/>
      <x:c r="I218" s="6" t="str"/>
      <x:c r="J218" s="6" t="str"/>
      <x:c r="K218" s="6" t="str">
        <x:v>Open</x:v>
      </x:c>
      <x:c r="L218" s="6" t="str"/>
    </x:row>
    <x:row r="219">
      <x:c r="A219" s="6" t="str">
        <x:v>ESC-000218</x:v>
      </x:c>
      <x:c r="B219" s="6" t="str">
        <x:v>Unsupported Relationship Review</x:v>
      </x:c>
      <x:c r="C219" s="6" t="str">
        <x:v>UNS000218</x:v>
      </x:c>
      <x:c r="D219" s="6" t="str">
        <x:v>SVC000218</x:v>
      </x:c>
      <x:c r="E219" s="6" t="str">
        <x:v>Unsupported Relationship</x:v>
      </x:c>
      <x:c r="F219" s="12" t="str">
        <x:v>Device family alone is insufficient for governed relationship.</x:v>
      </x:c>
      <x:c r="G219" s="12" t="str">
        <x:v>Explicit governed evidence supporting relationship</x:v>
      </x:c>
      <x:c r="H219" s="6" t="str"/>
      <x:c r="I219" s="6" t="str"/>
      <x:c r="J219" s="6" t="str"/>
      <x:c r="K219" s="6" t="str">
        <x:v>Open</x:v>
      </x:c>
      <x:c r="L219" s="6" t="str"/>
    </x:row>
    <x:row r="220">
      <x:c r="A220" s="6" t="str">
        <x:v>ESC-000219</x:v>
      </x:c>
      <x:c r="B220" s="6" t="str">
        <x:v>Unsupported Relationship Review</x:v>
      </x:c>
      <x:c r="C220" s="6" t="str">
        <x:v>UNS000219</x:v>
      </x:c>
      <x:c r="D220" s="6" t="str">
        <x:v>SVC000219</x:v>
      </x:c>
      <x:c r="E220" s="6" t="str">
        <x:v>Unsupported Relationship</x:v>
      </x:c>
      <x:c r="F220" s="12" t="str">
        <x:v>Device family alone is insufficient for governed relationship.</x:v>
      </x:c>
      <x:c r="G220" s="12" t="str">
        <x:v>Explicit governed evidence supporting relationship</x:v>
      </x:c>
      <x:c r="H220" s="6" t="str"/>
      <x:c r="I220" s="6" t="str"/>
      <x:c r="J220" s="6" t="str"/>
      <x:c r="K220" s="6" t="str">
        <x:v>Open</x:v>
      </x:c>
      <x:c r="L220" s="6" t="str"/>
    </x:row>
    <x:row r="221">
      <x:c r="A221" s="6" t="str">
        <x:v>ESC-000220</x:v>
      </x:c>
      <x:c r="B221" s="6" t="str">
        <x:v>Unsupported Relationship Review</x:v>
      </x:c>
      <x:c r="C221" s="6" t="str">
        <x:v>UNS000220</x:v>
      </x:c>
      <x:c r="D221" s="6" t="str">
        <x:v>SVC000220</x:v>
      </x:c>
      <x:c r="E221" s="6" t="str">
        <x:v>Unsupported Relationship</x:v>
      </x:c>
      <x:c r="F221" s="12" t="str">
        <x:v>Device family alone is insufficient for governed relationship.</x:v>
      </x:c>
      <x:c r="G221" s="12" t="str">
        <x:v>Explicit governed evidence supporting relationship</x:v>
      </x:c>
      <x:c r="H221" s="6" t="str"/>
      <x:c r="I221" s="6" t="str"/>
      <x:c r="J221" s="6" t="str"/>
      <x:c r="K221" s="6" t="str">
        <x:v>Open</x:v>
      </x:c>
      <x:c r="L221" s="6" t="str"/>
    </x:row>
    <x:row r="222">
      <x:c r="A222" s="6" t="str">
        <x:v>ESC-000221</x:v>
      </x:c>
      <x:c r="B222" s="6" t="str">
        <x:v>Unsupported Relationship Review</x:v>
      </x:c>
      <x:c r="C222" s="6" t="str">
        <x:v>UNS000221</x:v>
      </x:c>
      <x:c r="D222" s="6" t="str">
        <x:v>SVC000221</x:v>
      </x:c>
      <x:c r="E222" s="6" t="str">
        <x:v>Unsupported Relationship</x:v>
      </x:c>
      <x:c r="F222" s="12" t="str">
        <x:v>Device family alone is insufficient for governed relationship.</x:v>
      </x:c>
      <x:c r="G222" s="12" t="str">
        <x:v>Explicit governed evidence supporting relationship</x:v>
      </x:c>
      <x:c r="H222" s="6" t="str"/>
      <x:c r="I222" s="6" t="str"/>
      <x:c r="J222" s="6" t="str"/>
      <x:c r="K222" s="6" t="str">
        <x:v>Open</x:v>
      </x:c>
      <x:c r="L222" s="6" t="str"/>
    </x:row>
    <x:row r="223">
      <x:c r="A223" s="6" t="str">
        <x:v>ESC-000222</x:v>
      </x:c>
      <x:c r="B223" s="6" t="str">
        <x:v>Unsupported Relationship Review</x:v>
      </x:c>
      <x:c r="C223" s="6" t="str">
        <x:v>UNS000222</x:v>
      </x:c>
      <x:c r="D223" s="6" t="str">
        <x:v>SVC000222</x:v>
      </x:c>
      <x:c r="E223" s="6" t="str">
        <x:v>Unsupported Relationship</x:v>
      </x:c>
      <x:c r="F223" s="12" t="str">
        <x:v>Device family alone is insufficient for governed relationship.</x:v>
      </x:c>
      <x:c r="G223" s="12" t="str">
        <x:v>Explicit governed evidence supporting relationship</x:v>
      </x:c>
      <x:c r="H223" s="6" t="str"/>
      <x:c r="I223" s="6" t="str"/>
      <x:c r="J223" s="6" t="str"/>
      <x:c r="K223" s="6" t="str">
        <x:v>Open</x:v>
      </x:c>
      <x:c r="L223" s="6" t="str"/>
    </x:row>
    <x:row r="224">
      <x:c r="A224" s="6" t="str">
        <x:v>ESC-000223</x:v>
      </x:c>
      <x:c r="B224" s="6" t="str">
        <x:v>Unsupported Relationship Review</x:v>
      </x:c>
      <x:c r="C224" s="6" t="str">
        <x:v>UNS000223</x:v>
      </x:c>
      <x:c r="D224" s="6" t="str">
        <x:v>SVC000223</x:v>
      </x:c>
      <x:c r="E224" s="6" t="str">
        <x:v>Unsupported Relationship</x:v>
      </x:c>
      <x:c r="F224" s="12" t="str">
        <x:v>Device family alone is insufficient for governed relationship.</x:v>
      </x:c>
      <x:c r="G224" s="12" t="str">
        <x:v>Explicit governed evidence supporting relationship</x:v>
      </x:c>
      <x:c r="H224" s="6" t="str"/>
      <x:c r="I224" s="6" t="str"/>
      <x:c r="J224" s="6" t="str"/>
      <x:c r="K224" s="6" t="str">
        <x:v>Open</x:v>
      </x:c>
      <x:c r="L224" s="6" t="str"/>
    </x:row>
    <x:row r="225">
      <x:c r="A225" s="6" t="str">
        <x:v>ESC-000224</x:v>
      </x:c>
      <x:c r="B225" s="6" t="str">
        <x:v>Unsupported Relationship Review</x:v>
      </x:c>
      <x:c r="C225" s="6" t="str">
        <x:v>UNS000224</x:v>
      </x:c>
      <x:c r="D225" s="6" t="str">
        <x:v>SVC000224</x:v>
      </x:c>
      <x:c r="E225" s="6" t="str">
        <x:v>Unsupported Relationship</x:v>
      </x:c>
      <x:c r="F225" s="12" t="str">
        <x:v>Device family alone is insufficient for governed relationship.</x:v>
      </x:c>
      <x:c r="G225" s="12" t="str">
        <x:v>Explicit governed evidence supporting relationship</x:v>
      </x:c>
      <x:c r="H225" s="6" t="str"/>
      <x:c r="I225" s="6" t="str"/>
      <x:c r="J225" s="6" t="str"/>
      <x:c r="K225" s="6" t="str">
        <x:v>Open</x:v>
      </x:c>
      <x:c r="L225" s="6" t="str"/>
    </x:row>
    <x:row r="226">
      <x:c r="A226" s="6" t="str">
        <x:v>ESC-000225</x:v>
      </x:c>
      <x:c r="B226" s="6" t="str">
        <x:v>Unsupported Relationship Review</x:v>
      </x:c>
      <x:c r="C226" s="6" t="str">
        <x:v>UNS000225</x:v>
      </x:c>
      <x:c r="D226" s="6" t="str">
        <x:v>SVC000225</x:v>
      </x:c>
      <x:c r="E226" s="6" t="str">
        <x:v>Unsupported Relationship</x:v>
      </x:c>
      <x:c r="F226" s="12" t="str">
        <x:v>Device family alone is insufficient for governed relationship.</x:v>
      </x:c>
      <x:c r="G226" s="12" t="str">
        <x:v>Explicit governed evidence supporting relationship</x:v>
      </x:c>
      <x:c r="H226" s="6" t="str"/>
      <x:c r="I226" s="6" t="str"/>
      <x:c r="J226" s="6" t="str"/>
      <x:c r="K226" s="6" t="str">
        <x:v>Open</x:v>
      </x:c>
      <x:c r="L226" s="6" t="str"/>
    </x:row>
    <x:row r="227">
      <x:c r="A227" s="6" t="str">
        <x:v>ESC-000226</x:v>
      </x:c>
      <x:c r="B227" s="6" t="str">
        <x:v>Unsupported Relationship Review</x:v>
      </x:c>
      <x:c r="C227" s="6" t="str">
        <x:v>UNS000226</x:v>
      </x:c>
      <x:c r="D227" s="6" t="str">
        <x:v>SVC000226</x:v>
      </x:c>
      <x:c r="E227" s="6" t="str">
        <x:v>Unsupported Relationship</x:v>
      </x:c>
      <x:c r="F227" s="12" t="str">
        <x:v>Device family alone is insufficient for governed relationship.</x:v>
      </x:c>
      <x:c r="G227" s="12" t="str">
        <x:v>Explicit governed evidence supporting relationship</x:v>
      </x:c>
      <x:c r="H227" s="6" t="str"/>
      <x:c r="I227" s="6" t="str"/>
      <x:c r="J227" s="6" t="str"/>
      <x:c r="K227" s="6" t="str">
        <x:v>Open</x:v>
      </x:c>
      <x:c r="L227" s="6" t="str"/>
    </x:row>
    <x:row r="228">
      <x:c r="A228" s="6" t="str">
        <x:v>ESC-000227</x:v>
      </x:c>
      <x:c r="B228" s="6" t="str">
        <x:v>Unsupported Relationship Review</x:v>
      </x:c>
      <x:c r="C228" s="6" t="str">
        <x:v>UNS000227</x:v>
      </x:c>
      <x:c r="D228" s="6" t="str">
        <x:v>SVC000227</x:v>
      </x:c>
      <x:c r="E228" s="6" t="str">
        <x:v>Unsupported Relationship</x:v>
      </x:c>
      <x:c r="F228" s="12" t="str">
        <x:v>Device family alone is insufficient for governed relationship.</x:v>
      </x:c>
      <x:c r="G228" s="12" t="str">
        <x:v>Explicit governed evidence supporting relationship</x:v>
      </x:c>
      <x:c r="H228" s="6" t="str"/>
      <x:c r="I228" s="6" t="str"/>
      <x:c r="J228" s="6" t="str"/>
      <x:c r="K228" s="6" t="str">
        <x:v>Open</x:v>
      </x:c>
      <x:c r="L228" s="6" t="str"/>
    </x:row>
    <x:row r="229">
      <x:c r="A229" s="6" t="str">
        <x:v>ESC-000228</x:v>
      </x:c>
      <x:c r="B229" s="6" t="str">
        <x:v>Unsupported Relationship Review</x:v>
      </x:c>
      <x:c r="C229" s="6" t="str">
        <x:v>UNS000228</x:v>
      </x:c>
      <x:c r="D229" s="6" t="str">
        <x:v>SVC000228</x:v>
      </x:c>
      <x:c r="E229" s="6" t="str">
        <x:v>Unsupported Relationship</x:v>
      </x:c>
      <x:c r="F229" s="12" t="str">
        <x:v>Device family alone is insufficient for governed relationship.</x:v>
      </x:c>
      <x:c r="G229" s="12" t="str">
        <x:v>Explicit governed evidence supporting relationship</x:v>
      </x:c>
      <x:c r="H229" s="6" t="str"/>
      <x:c r="I229" s="6" t="str"/>
      <x:c r="J229" s="6" t="str"/>
      <x:c r="K229" s="6" t="str">
        <x:v>Open</x:v>
      </x:c>
      <x:c r="L229" s="6" t="str"/>
    </x:row>
    <x:row r="230">
      <x:c r="A230" s="6" t="str">
        <x:v>ESC-000229</x:v>
      </x:c>
      <x:c r="B230" s="6" t="str">
        <x:v>Unsupported Relationship Review</x:v>
      </x:c>
      <x:c r="C230" s="6" t="str">
        <x:v>UNS000229</x:v>
      </x:c>
      <x:c r="D230" s="6" t="str">
        <x:v>SVC000229</x:v>
      </x:c>
      <x:c r="E230" s="6" t="str">
        <x:v>Unsupported Relationship</x:v>
      </x:c>
      <x:c r="F230" s="12" t="str">
        <x:v>Device family alone is insufficient for governed relationship.</x:v>
      </x:c>
      <x:c r="G230" s="12" t="str">
        <x:v>Explicit governed evidence supporting relationship</x:v>
      </x:c>
      <x:c r="H230" s="6" t="str"/>
      <x:c r="I230" s="6" t="str"/>
      <x:c r="J230" s="6" t="str"/>
      <x:c r="K230" s="6" t="str">
        <x:v>Open</x:v>
      </x:c>
      <x:c r="L230" s="6" t="str"/>
    </x:row>
    <x:row r="231">
      <x:c r="A231" s="6" t="str">
        <x:v>ESC-000230</x:v>
      </x:c>
      <x:c r="B231" s="6" t="str">
        <x:v>Unsupported Relationship Review</x:v>
      </x:c>
      <x:c r="C231" s="6" t="str">
        <x:v>UNS000230</x:v>
      </x:c>
      <x:c r="D231" s="6" t="str">
        <x:v>SVC000230</x:v>
      </x:c>
      <x:c r="E231" s="6" t="str">
        <x:v>Unsupported Relationship</x:v>
      </x:c>
      <x:c r="F231" s="12" t="str">
        <x:v>Device family alone is insufficient for governed relationship.</x:v>
      </x:c>
      <x:c r="G231" s="12" t="str">
        <x:v>Explicit governed evidence supporting relationship</x:v>
      </x:c>
      <x:c r="H231" s="6" t="str"/>
      <x:c r="I231" s="6" t="str"/>
      <x:c r="J231" s="6" t="str"/>
      <x:c r="K231" s="6" t="str">
        <x:v>Open</x:v>
      </x:c>
      <x:c r="L231" s="6" t="str"/>
    </x:row>
    <x:row r="232">
      <x:c r="A232" s="6" t="str">
        <x:v>ESC-000231</x:v>
      </x:c>
      <x:c r="B232" s="6" t="str">
        <x:v>Unsupported Relationship Review</x:v>
      </x:c>
      <x:c r="C232" s="6" t="str">
        <x:v>UNS000231</x:v>
      </x:c>
      <x:c r="D232" s="6" t="str">
        <x:v>SVC000231</x:v>
      </x:c>
      <x:c r="E232" s="6" t="str">
        <x:v>Unsupported Relationship</x:v>
      </x:c>
      <x:c r="F232" s="12" t="str">
        <x:v>Device family alone is insufficient for governed relationship.</x:v>
      </x:c>
      <x:c r="G232" s="12" t="str">
        <x:v>Explicit governed evidence supporting relationship</x:v>
      </x:c>
      <x:c r="H232" s="6" t="str"/>
      <x:c r="I232" s="6" t="str"/>
      <x:c r="J232" s="6" t="str"/>
      <x:c r="K232" s="6" t="str">
        <x:v>Open</x:v>
      </x:c>
      <x:c r="L232" s="6" t="str"/>
    </x:row>
    <x:row r="233">
      <x:c r="A233" s="6" t="str">
        <x:v>ESC-000232</x:v>
      </x:c>
      <x:c r="B233" s="6" t="str">
        <x:v>Unsupported Relationship Review</x:v>
      </x:c>
      <x:c r="C233" s="6" t="str">
        <x:v>UNS000232</x:v>
      </x:c>
      <x:c r="D233" s="6" t="str">
        <x:v>SVC000232</x:v>
      </x:c>
      <x:c r="E233" s="6" t="str">
        <x:v>Unsupported Relationship</x:v>
      </x:c>
      <x:c r="F233" s="12" t="str">
        <x:v>Device family alone is insufficient for governed relationship.</x:v>
      </x:c>
      <x:c r="G233" s="12" t="str">
        <x:v>Explicit governed evidence supporting relationship</x:v>
      </x:c>
      <x:c r="H233" s="6" t="str"/>
      <x:c r="I233" s="6" t="str"/>
      <x:c r="J233" s="6" t="str"/>
      <x:c r="K233" s="6" t="str">
        <x:v>Open</x:v>
      </x:c>
      <x:c r="L233" s="6" t="str"/>
    </x:row>
    <x:row r="234">
      <x:c r="A234" s="6" t="str">
        <x:v>ESC-000233</x:v>
      </x:c>
      <x:c r="B234" s="6" t="str">
        <x:v>Unsupported Relationship Review</x:v>
      </x:c>
      <x:c r="C234" s="6" t="str">
        <x:v>UNS000233</x:v>
      </x:c>
      <x:c r="D234" s="6" t="str">
        <x:v>SVC000233</x:v>
      </x:c>
      <x:c r="E234" s="6" t="str">
        <x:v>Unsupported Relationship</x:v>
      </x:c>
      <x:c r="F234" s="12" t="str">
        <x:v>Device family alone is insufficient for governed relationship.</x:v>
      </x:c>
      <x:c r="G234" s="12" t="str">
        <x:v>Explicit governed evidence supporting relationship</x:v>
      </x:c>
      <x:c r="H234" s="6" t="str"/>
      <x:c r="I234" s="6" t="str"/>
      <x:c r="J234" s="6" t="str"/>
      <x:c r="K234" s="6" t="str">
        <x:v>Open</x:v>
      </x:c>
      <x:c r="L234" s="6" t="str"/>
    </x:row>
    <x:row r="235">
      <x:c r="A235" s="6" t="str">
        <x:v>ESC-000234</x:v>
      </x:c>
      <x:c r="B235" s="6" t="str">
        <x:v>Unsupported Relationship Review</x:v>
      </x:c>
      <x:c r="C235" s="6" t="str">
        <x:v>UNS000234</x:v>
      </x:c>
      <x:c r="D235" s="6" t="str">
        <x:v>SVC000234</x:v>
      </x:c>
      <x:c r="E235" s="6" t="str">
        <x:v>Unsupported Relationship</x:v>
      </x:c>
      <x:c r="F235" s="12" t="str">
        <x:v>Device family alone is insufficient for governed relationship.</x:v>
      </x:c>
      <x:c r="G235" s="12" t="str">
        <x:v>Explicit governed evidence supporting relationship</x:v>
      </x:c>
      <x:c r="H235" s="6" t="str"/>
      <x:c r="I235" s="6" t="str"/>
      <x:c r="J235" s="6" t="str"/>
      <x:c r="K235" s="6" t="str">
        <x:v>Open</x:v>
      </x:c>
      <x:c r="L235" s="6" t="str"/>
    </x:row>
    <x:row r="236">
      <x:c r="A236" s="6" t="str">
        <x:v>ESC-000235</x:v>
      </x:c>
      <x:c r="B236" s="6" t="str">
        <x:v>Unsupported Relationship Review</x:v>
      </x:c>
      <x:c r="C236" s="6" t="str">
        <x:v>UNS000235</x:v>
      </x:c>
      <x:c r="D236" s="6" t="str">
        <x:v>SVC000235</x:v>
      </x:c>
      <x:c r="E236" s="6" t="str">
        <x:v>Unsupported Relationship</x:v>
      </x:c>
      <x:c r="F236" s="12" t="str">
        <x:v>Device family alone is insufficient for governed relationship.</x:v>
      </x:c>
      <x:c r="G236" s="12" t="str">
        <x:v>Explicit governed evidence supporting relationship</x:v>
      </x:c>
      <x:c r="H236" s="6" t="str"/>
      <x:c r="I236" s="6" t="str"/>
      <x:c r="J236" s="6" t="str"/>
      <x:c r="K236" s="6" t="str">
        <x:v>Open</x:v>
      </x:c>
      <x:c r="L236" s="6" t="str"/>
    </x:row>
    <x:row r="237">
      <x:c r="A237" s="6" t="str">
        <x:v>ESC-000236</x:v>
      </x:c>
      <x:c r="B237" s="6" t="str">
        <x:v>Unsupported Relationship Review</x:v>
      </x:c>
      <x:c r="C237" s="6" t="str">
        <x:v>UNS000236</x:v>
      </x:c>
      <x:c r="D237" s="6" t="str">
        <x:v>SVC000236</x:v>
      </x:c>
      <x:c r="E237" s="6" t="str">
        <x:v>Unsupported Relationship</x:v>
      </x:c>
      <x:c r="F237" s="12" t="str">
        <x:v>Device family alone is insufficient for governed relationship.</x:v>
      </x:c>
      <x:c r="G237" s="12" t="str">
        <x:v>Explicit governed evidence supporting relationship</x:v>
      </x:c>
      <x:c r="H237" s="6" t="str"/>
      <x:c r="I237" s="6" t="str"/>
      <x:c r="J237" s="6" t="str"/>
      <x:c r="K237" s="6" t="str">
        <x:v>Open</x:v>
      </x:c>
      <x:c r="L237" s="6" t="str"/>
    </x:row>
    <x:row r="238">
      <x:c r="A238" s="6" t="str">
        <x:v>ESC-000237</x:v>
      </x:c>
      <x:c r="B238" s="6" t="str">
        <x:v>Unsupported Relationship Review</x:v>
      </x:c>
      <x:c r="C238" s="6" t="str">
        <x:v>UNS000237</x:v>
      </x:c>
      <x:c r="D238" s="6" t="str">
        <x:v>SVC000237</x:v>
      </x:c>
      <x:c r="E238" s="6" t="str">
        <x:v>Unsupported Relationship</x:v>
      </x:c>
      <x:c r="F238" s="12" t="str">
        <x:v>Device family alone is insufficient for governed relationship.</x:v>
      </x:c>
      <x:c r="G238" s="12" t="str">
        <x:v>Explicit governed evidence supporting relationship</x:v>
      </x:c>
      <x:c r="H238" s="6" t="str"/>
      <x:c r="I238" s="6" t="str"/>
      <x:c r="J238" s="6" t="str"/>
      <x:c r="K238" s="6" t="str">
        <x:v>Open</x:v>
      </x:c>
      <x:c r="L238" s="6" t="str"/>
    </x:row>
    <x:row r="239">
      <x:c r="A239" s="6" t="str">
        <x:v>ESC-000238</x:v>
      </x:c>
      <x:c r="B239" s="6" t="str">
        <x:v>Unsupported Relationship Review</x:v>
      </x:c>
      <x:c r="C239" s="6" t="str">
        <x:v>UNS000238</x:v>
      </x:c>
      <x:c r="D239" s="6" t="str">
        <x:v>SVC000238</x:v>
      </x:c>
      <x:c r="E239" s="6" t="str">
        <x:v>Unsupported Relationship</x:v>
      </x:c>
      <x:c r="F239" s="12" t="str">
        <x:v>Device family alone is insufficient for governed relationship.</x:v>
      </x:c>
      <x:c r="G239" s="12" t="str">
        <x:v>Explicit governed evidence supporting relationship</x:v>
      </x:c>
      <x:c r="H239" s="6" t="str"/>
      <x:c r="I239" s="6" t="str"/>
      <x:c r="J239" s="6" t="str"/>
      <x:c r="K239" s="6" t="str">
        <x:v>Open</x:v>
      </x:c>
      <x:c r="L239" s="6" t="str"/>
    </x:row>
    <x:row r="240">
      <x:c r="A240" s="6" t="str">
        <x:v>ESC-000239</x:v>
      </x:c>
      <x:c r="B240" s="6" t="str">
        <x:v>Unsupported Relationship Review</x:v>
      </x:c>
      <x:c r="C240" s="6" t="str">
        <x:v>UNS000239</x:v>
      </x:c>
      <x:c r="D240" s="6" t="str">
        <x:v>SVC000239</x:v>
      </x:c>
      <x:c r="E240" s="6" t="str">
        <x:v>Unsupported Relationship</x:v>
      </x:c>
      <x:c r="F240" s="12" t="str">
        <x:v>Device family alone is insufficient for governed relationship.</x:v>
      </x:c>
      <x:c r="G240" s="12" t="str">
        <x:v>Explicit governed evidence supporting relationship</x:v>
      </x:c>
      <x:c r="H240" s="6" t="str"/>
      <x:c r="I240" s="6" t="str"/>
      <x:c r="J240" s="6" t="str"/>
      <x:c r="K240" s="6" t="str">
        <x:v>Open</x:v>
      </x:c>
      <x:c r="L240" s="6" t="str"/>
    </x:row>
    <x:row r="241">
      <x:c r="A241" s="6" t="str">
        <x:v>ESC-000240</x:v>
      </x:c>
      <x:c r="B241" s="6" t="str">
        <x:v>Unsupported Relationship Review</x:v>
      </x:c>
      <x:c r="C241" s="6" t="str">
        <x:v>UNS000240</x:v>
      </x:c>
      <x:c r="D241" s="6" t="str">
        <x:v>SVC000240</x:v>
      </x:c>
      <x:c r="E241" s="6" t="str">
        <x:v>Unsupported Relationship</x:v>
      </x:c>
      <x:c r="F241" s="12" t="str">
        <x:v>Device family alone is insufficient for governed relationship.</x:v>
      </x:c>
      <x:c r="G241" s="12" t="str">
        <x:v>Explicit governed evidence supporting relationship</x:v>
      </x:c>
      <x:c r="H241" s="6" t="str"/>
      <x:c r="I241" s="6" t="str"/>
      <x:c r="J241" s="6" t="str"/>
      <x:c r="K241" s="6" t="str">
        <x:v>Open</x:v>
      </x:c>
      <x:c r="L241" s="6" t="str"/>
    </x:row>
    <x:row r="242">
      <x:c r="A242" s="6" t="str">
        <x:v>ESC-000241</x:v>
      </x:c>
      <x:c r="B242" s="6" t="str">
        <x:v>Unsupported Relationship Review</x:v>
      </x:c>
      <x:c r="C242" s="6" t="str">
        <x:v>UNS000241</x:v>
      </x:c>
      <x:c r="D242" s="6" t="str">
        <x:v>SVC000241</x:v>
      </x:c>
      <x:c r="E242" s="6" t="str">
        <x:v>Unsupported Relationship</x:v>
      </x:c>
      <x:c r="F242" s="12" t="str">
        <x:v>Device family alone is insufficient for governed relationship.</x:v>
      </x:c>
      <x:c r="G242" s="12" t="str">
        <x:v>Explicit governed evidence supporting relationship</x:v>
      </x:c>
      <x:c r="H242" s="6" t="str"/>
      <x:c r="I242" s="6" t="str"/>
      <x:c r="J242" s="6" t="str"/>
      <x:c r="K242" s="6" t="str">
        <x:v>Open</x:v>
      </x:c>
      <x:c r="L242" s="6" t="str"/>
    </x:row>
    <x:row r="243">
      <x:c r="A243" s="6" t="str">
        <x:v>ESC-000242</x:v>
      </x:c>
      <x:c r="B243" s="6" t="str">
        <x:v>Unsupported Relationship Review</x:v>
      </x:c>
      <x:c r="C243" s="6" t="str">
        <x:v>UNS000242</x:v>
      </x:c>
      <x:c r="D243" s="6" t="str">
        <x:v>SVC000242</x:v>
      </x:c>
      <x:c r="E243" s="6" t="str">
        <x:v>Unsupported Relationship</x:v>
      </x:c>
      <x:c r="F243" s="12" t="str">
        <x:v>Device family alone is insufficient for governed relationship.</x:v>
      </x:c>
      <x:c r="G243" s="12" t="str">
        <x:v>Explicit governed evidence supporting relationship</x:v>
      </x:c>
      <x:c r="H243" s="6" t="str"/>
      <x:c r="I243" s="6" t="str"/>
      <x:c r="J243" s="6" t="str"/>
      <x:c r="K243" s="6" t="str">
        <x:v>Open</x:v>
      </x:c>
      <x:c r="L243" s="6" t="str"/>
    </x:row>
    <x:row r="244">
      <x:c r="A244" s="6" t="str">
        <x:v>ESC-000243</x:v>
      </x:c>
      <x:c r="B244" s="6" t="str">
        <x:v>Unsupported Relationship Review</x:v>
      </x:c>
      <x:c r="C244" s="6" t="str">
        <x:v>UNS000243</x:v>
      </x:c>
      <x:c r="D244" s="6" t="str">
        <x:v>SVC000243</x:v>
      </x:c>
      <x:c r="E244" s="6" t="str">
        <x:v>Unsupported Relationship</x:v>
      </x:c>
      <x:c r="F244" s="12" t="str">
        <x:v>Device family alone is insufficient for governed relationship.</x:v>
      </x:c>
      <x:c r="G244" s="12" t="str">
        <x:v>Explicit governed evidence supporting relationship</x:v>
      </x:c>
      <x:c r="H244" s="6" t="str"/>
      <x:c r="I244" s="6" t="str"/>
      <x:c r="J244" s="6" t="str"/>
      <x:c r="K244" s="6" t="str">
        <x:v>Open</x:v>
      </x:c>
      <x:c r="L244" s="6" t="str"/>
    </x:row>
    <x:row r="245">
      <x:c r="A245" s="6" t="str">
        <x:v>ESC-000244</x:v>
      </x:c>
      <x:c r="B245" s="6" t="str">
        <x:v>Unsupported Relationship Review</x:v>
      </x:c>
      <x:c r="C245" s="6" t="str">
        <x:v>UNS000244</x:v>
      </x:c>
      <x:c r="D245" s="6" t="str">
        <x:v>SVC000244</x:v>
      </x:c>
      <x:c r="E245" s="6" t="str">
        <x:v>Unsupported Relationship</x:v>
      </x:c>
      <x:c r="F245" s="12" t="str">
        <x:v>Device family alone is insufficient for governed relationship.</x:v>
      </x:c>
      <x:c r="G245" s="12" t="str">
        <x:v>Explicit governed evidence supporting relationship</x:v>
      </x:c>
      <x:c r="H245" s="6" t="str"/>
      <x:c r="I245" s="6" t="str"/>
      <x:c r="J245" s="6" t="str"/>
      <x:c r="K245" s="6" t="str">
        <x:v>Open</x:v>
      </x:c>
      <x:c r="L245" s="6" t="str"/>
    </x:row>
    <x:row r="246">
      <x:c r="A246" s="6" t="str">
        <x:v>ESC-000245</x:v>
      </x:c>
      <x:c r="B246" s="6" t="str">
        <x:v>Unsupported Relationship Review</x:v>
      </x:c>
      <x:c r="C246" s="6" t="str">
        <x:v>UNS000245</x:v>
      </x:c>
      <x:c r="D246" s="6" t="str">
        <x:v>SVC000245</x:v>
      </x:c>
      <x:c r="E246" s="6" t="str">
        <x:v>Unsupported Relationship</x:v>
      </x:c>
      <x:c r="F246" s="12" t="str">
        <x:v>Device family alone is insufficient for governed relationship.</x:v>
      </x:c>
      <x:c r="G246" s="12" t="str">
        <x:v>Explicit governed evidence supporting relationship</x:v>
      </x:c>
      <x:c r="H246" s="6" t="str"/>
      <x:c r="I246" s="6" t="str"/>
      <x:c r="J246" s="6" t="str"/>
      <x:c r="K246" s="6" t="str">
        <x:v>Open</x:v>
      </x:c>
      <x:c r="L246" s="6" t="str"/>
    </x:row>
    <x:row r="247">
      <x:c r="A247" s="6" t="str">
        <x:v>ESC-000246</x:v>
      </x:c>
      <x:c r="B247" s="6" t="str">
        <x:v>Unsupported Relationship Review</x:v>
      </x:c>
      <x:c r="C247" s="6" t="str">
        <x:v>UNS000246</x:v>
      </x:c>
      <x:c r="D247" s="6" t="str">
        <x:v>SVC000246</x:v>
      </x:c>
      <x:c r="E247" s="6" t="str">
        <x:v>Unsupported Relationship</x:v>
      </x:c>
      <x:c r="F247" s="12" t="str">
        <x:v>Device family alone is insufficient for governed relationship.</x:v>
      </x:c>
      <x:c r="G247" s="12" t="str">
        <x:v>Explicit governed evidence supporting relationship</x:v>
      </x:c>
      <x:c r="H247" s="6" t="str"/>
      <x:c r="I247" s="6" t="str"/>
      <x:c r="J247" s="6" t="str"/>
      <x:c r="K247" s="6" t="str">
        <x:v>Open</x:v>
      </x:c>
      <x:c r="L247" s="6" t="str"/>
    </x:row>
    <x:row r="248">
      <x:c r="A248" s="6" t="str">
        <x:v>ESC-000247</x:v>
      </x:c>
      <x:c r="B248" s="6" t="str">
        <x:v>Unsupported Relationship Review</x:v>
      </x:c>
      <x:c r="C248" s="6" t="str">
        <x:v>UNS000247</x:v>
      </x:c>
      <x:c r="D248" s="6" t="str">
        <x:v>SVC000247</x:v>
      </x:c>
      <x:c r="E248" s="6" t="str">
        <x:v>Unsupported Relationship</x:v>
      </x:c>
      <x:c r="F248" s="12" t="str">
        <x:v>Device family alone is insufficient for governed relationship.</x:v>
      </x:c>
      <x:c r="G248" s="12" t="str">
        <x:v>Explicit governed evidence supporting relationship</x:v>
      </x:c>
      <x:c r="H248" s="6" t="str"/>
      <x:c r="I248" s="6" t="str"/>
      <x:c r="J248" s="6" t="str"/>
      <x:c r="K248" s="6" t="str">
        <x:v>Open</x:v>
      </x:c>
      <x:c r="L248" s="6" t="str"/>
    </x:row>
    <x:row r="249">
      <x:c r="A249" s="6" t="str">
        <x:v>ESC-000248</x:v>
      </x:c>
      <x:c r="B249" s="6" t="str">
        <x:v>Unsupported Relationship Review</x:v>
      </x:c>
      <x:c r="C249" s="6" t="str">
        <x:v>UNS000248</x:v>
      </x:c>
      <x:c r="D249" s="6" t="str">
        <x:v>SVC000248</x:v>
      </x:c>
      <x:c r="E249" s="6" t="str">
        <x:v>Unsupported Relationship</x:v>
      </x:c>
      <x:c r="F249" s="12" t="str">
        <x:v>Device family alone is insufficient for governed relationship.</x:v>
      </x:c>
      <x:c r="G249" s="12" t="str">
        <x:v>Explicit governed evidence supporting relationship</x:v>
      </x:c>
      <x:c r="H249" s="6" t="str"/>
      <x:c r="I249" s="6" t="str"/>
      <x:c r="J249" s="6" t="str"/>
      <x:c r="K249" s="6" t="str">
        <x:v>Open</x:v>
      </x:c>
      <x:c r="L249" s="6" t="str"/>
    </x:row>
    <x:row r="250">
      <x:c r="A250" s="6" t="str">
        <x:v>ESC-000249</x:v>
      </x:c>
      <x:c r="B250" s="6" t="str">
        <x:v>Unsupported Relationship Review</x:v>
      </x:c>
      <x:c r="C250" s="6" t="str">
        <x:v>UNS000249</x:v>
      </x:c>
      <x:c r="D250" s="6" t="str">
        <x:v>SVC000249</x:v>
      </x:c>
      <x:c r="E250" s="6" t="str">
        <x:v>Unsupported Relationship</x:v>
      </x:c>
      <x:c r="F250" s="12" t="str">
        <x:v>Device family alone is insufficient for governed relationship.</x:v>
      </x:c>
      <x:c r="G250" s="12" t="str">
        <x:v>Explicit governed evidence supporting relationship</x:v>
      </x:c>
      <x:c r="H250" s="6" t="str"/>
      <x:c r="I250" s="6" t="str"/>
      <x:c r="J250" s="6" t="str"/>
      <x:c r="K250" s="6" t="str">
        <x:v>Open</x:v>
      </x:c>
      <x:c r="L250" s="6" t="str"/>
    </x:row>
    <x:row r="251">
      <x:c r="A251" s="6" t="str">
        <x:v>ESC-000250</x:v>
      </x:c>
      <x:c r="B251" s="6" t="str">
        <x:v>Unsupported Relationship Review</x:v>
      </x:c>
      <x:c r="C251" s="6" t="str">
        <x:v>UNS000250</x:v>
      </x:c>
      <x:c r="D251" s="6" t="str">
        <x:v>SVC000250</x:v>
      </x:c>
      <x:c r="E251" s="6" t="str">
        <x:v>Unsupported Relationship</x:v>
      </x:c>
      <x:c r="F251" s="12" t="str">
        <x:v>Device family alone is insufficient for governed relationship.</x:v>
      </x:c>
      <x:c r="G251" s="12" t="str">
        <x:v>Explicit governed evidence supporting relationship</x:v>
      </x:c>
      <x:c r="H251" s="6" t="str"/>
      <x:c r="I251" s="6" t="str"/>
      <x:c r="J251" s="6" t="str"/>
      <x:c r="K251" s="6" t="str">
        <x:v>Open</x:v>
      </x:c>
      <x:c r="L251" s="6" t="str"/>
    </x:row>
    <x:row r="252">
      <x:c r="A252" s="6" t="str">
        <x:v>ESC-000251</x:v>
      </x:c>
      <x:c r="B252" s="6" t="str">
        <x:v>Unsupported Relationship Review</x:v>
      </x:c>
      <x:c r="C252" s="6" t="str">
        <x:v>UNS000251</x:v>
      </x:c>
      <x:c r="D252" s="6" t="str">
        <x:v>SVC000251</x:v>
      </x:c>
      <x:c r="E252" s="6" t="str">
        <x:v>Unsupported Relationship</x:v>
      </x:c>
      <x:c r="F252" s="12" t="str">
        <x:v>Device family alone is insufficient for governed relationship.</x:v>
      </x:c>
      <x:c r="G252" s="12" t="str">
        <x:v>Explicit governed evidence supporting relationship</x:v>
      </x:c>
      <x:c r="H252" s="6" t="str"/>
      <x:c r="I252" s="6" t="str"/>
      <x:c r="J252" s="6" t="str"/>
      <x:c r="K252" s="6" t="str">
        <x:v>Open</x:v>
      </x:c>
      <x:c r="L252" s="6" t="str"/>
    </x:row>
    <x:row r="253">
      <x:c r="A253" s="6" t="str">
        <x:v>ESC-000252</x:v>
      </x:c>
      <x:c r="B253" s="6" t="str">
        <x:v>Unsupported Relationship Review</x:v>
      </x:c>
      <x:c r="C253" s="6" t="str">
        <x:v>UNS000252</x:v>
      </x:c>
      <x:c r="D253" s="6" t="str">
        <x:v>SVC000252</x:v>
      </x:c>
      <x:c r="E253" s="6" t="str">
        <x:v>Unsupported Relationship</x:v>
      </x:c>
      <x:c r="F253" s="12" t="str">
        <x:v>Device family alone is insufficient for governed relationship.</x:v>
      </x:c>
      <x:c r="G253" s="12" t="str">
        <x:v>Explicit governed evidence supporting relationship</x:v>
      </x:c>
      <x:c r="H253" s="6" t="str"/>
      <x:c r="I253" s="6" t="str"/>
      <x:c r="J253" s="6" t="str"/>
      <x:c r="K253" s="6" t="str">
        <x:v>Open</x:v>
      </x:c>
      <x:c r="L253" s="6" t="str"/>
    </x:row>
    <x:row r="254">
      <x:c r="A254" s="6" t="str">
        <x:v>ESC-000253</x:v>
      </x:c>
      <x:c r="B254" s="6" t="str">
        <x:v>Unsupported Relationship Review</x:v>
      </x:c>
      <x:c r="C254" s="6" t="str">
        <x:v>UNS000253</x:v>
      </x:c>
      <x:c r="D254" s="6" t="str">
        <x:v>SVC000253</x:v>
      </x:c>
      <x:c r="E254" s="6" t="str">
        <x:v>Unsupported Relationship</x:v>
      </x:c>
      <x:c r="F254" s="12" t="str">
        <x:v>Device family alone is insufficient for governed relationship.</x:v>
      </x:c>
      <x:c r="G254" s="12" t="str">
        <x:v>Explicit governed evidence supporting relationship</x:v>
      </x:c>
      <x:c r="H254" s="6" t="str"/>
      <x:c r="I254" s="6" t="str"/>
      <x:c r="J254" s="6" t="str"/>
      <x:c r="K254" s="6" t="str">
        <x:v>Open</x:v>
      </x:c>
      <x:c r="L254" s="6" t="str"/>
    </x:row>
    <x:row r="255">
      <x:c r="A255" s="6" t="str">
        <x:v>ESC-000254</x:v>
      </x:c>
      <x:c r="B255" s="6" t="str">
        <x:v>Unsupported Relationship Review</x:v>
      </x:c>
      <x:c r="C255" s="6" t="str">
        <x:v>UNS000254</x:v>
      </x:c>
      <x:c r="D255" s="6" t="str">
        <x:v>SVC000254</x:v>
      </x:c>
      <x:c r="E255" s="6" t="str">
        <x:v>Unsupported Relationship</x:v>
      </x:c>
      <x:c r="F255" s="12" t="str">
        <x:v>Device family alone is insufficient for governed relationship.</x:v>
      </x:c>
      <x:c r="G255" s="12" t="str">
        <x:v>Explicit governed evidence supporting relationship</x:v>
      </x:c>
      <x:c r="H255" s="6" t="str"/>
      <x:c r="I255" s="6" t="str"/>
      <x:c r="J255" s="6" t="str"/>
      <x:c r="K255" s="6" t="str">
        <x:v>Open</x:v>
      </x:c>
      <x:c r="L255" s="6" t="str"/>
    </x:row>
    <x:row r="256">
      <x:c r="A256" s="6" t="str">
        <x:v>ESC-000255</x:v>
      </x:c>
      <x:c r="B256" s="6" t="str">
        <x:v>Unsupported Relationship Review</x:v>
      </x:c>
      <x:c r="C256" s="6" t="str">
        <x:v>UNS000255</x:v>
      </x:c>
      <x:c r="D256" s="6" t="str">
        <x:v>SVC000255</x:v>
      </x:c>
      <x:c r="E256" s="6" t="str">
        <x:v>Unsupported Relationship</x:v>
      </x:c>
      <x:c r="F256" s="12" t="str">
        <x:v>Device family alone is insufficient for governed relationship.</x:v>
      </x:c>
      <x:c r="G256" s="12" t="str">
        <x:v>Explicit governed evidence supporting relationship</x:v>
      </x:c>
      <x:c r="H256" s="6" t="str"/>
      <x:c r="I256" s="6" t="str"/>
      <x:c r="J256" s="6" t="str"/>
      <x:c r="K256" s="6" t="str">
        <x:v>Open</x:v>
      </x:c>
      <x:c r="L256" s="6" t="str"/>
    </x:row>
    <x:row r="257">
      <x:c r="A257" s="6" t="str">
        <x:v>ESC-000256</x:v>
      </x:c>
      <x:c r="B257" s="6" t="str">
        <x:v>Unsupported Relationship Review</x:v>
      </x:c>
      <x:c r="C257" s="6" t="str">
        <x:v>UNS000256</x:v>
      </x:c>
      <x:c r="D257" s="6" t="str">
        <x:v>SVC000256</x:v>
      </x:c>
      <x:c r="E257" s="6" t="str">
        <x:v>Unsupported Relationship</x:v>
      </x:c>
      <x:c r="F257" s="12" t="str">
        <x:v>Device family alone is insufficient for governed relationship.</x:v>
      </x:c>
      <x:c r="G257" s="12" t="str">
        <x:v>Explicit governed evidence supporting relationship</x:v>
      </x:c>
      <x:c r="H257" s="6" t="str"/>
      <x:c r="I257" s="6" t="str"/>
      <x:c r="J257" s="6" t="str"/>
      <x:c r="K257" s="6" t="str">
        <x:v>Open</x:v>
      </x:c>
      <x:c r="L257" s="6" t="str"/>
    </x:row>
    <x:row r="258">
      <x:c r="A258" s="6" t="str">
        <x:v>ESC-000257</x:v>
      </x:c>
      <x:c r="B258" s="6" t="str">
        <x:v>Unsupported Relationship Review</x:v>
      </x:c>
      <x:c r="C258" s="6" t="str">
        <x:v>UNS000257</x:v>
      </x:c>
      <x:c r="D258" s="6" t="str">
        <x:v>SVC000257</x:v>
      </x:c>
      <x:c r="E258" s="6" t="str">
        <x:v>Unsupported Relationship</x:v>
      </x:c>
      <x:c r="F258" s="12" t="str">
        <x:v>Device family alone is insufficient for governed relationship.</x:v>
      </x:c>
      <x:c r="G258" s="12" t="str">
        <x:v>Explicit governed evidence supporting relationship</x:v>
      </x:c>
      <x:c r="H258" s="6" t="str"/>
      <x:c r="I258" s="6" t="str"/>
      <x:c r="J258" s="6" t="str"/>
      <x:c r="K258" s="6" t="str">
        <x:v>Open</x:v>
      </x:c>
      <x:c r="L258" s="6" t="str"/>
    </x:row>
    <x:row r="259">
      <x:c r="A259" s="6" t="str">
        <x:v>ESC-000258</x:v>
      </x:c>
      <x:c r="B259" s="6" t="str">
        <x:v>Unsupported Relationship Review</x:v>
      </x:c>
      <x:c r="C259" s="6" t="str">
        <x:v>UNS000258</x:v>
      </x:c>
      <x:c r="D259" s="6" t="str">
        <x:v>SVC000258</x:v>
      </x:c>
      <x:c r="E259" s="6" t="str">
        <x:v>Unsupported Relationship</x:v>
      </x:c>
      <x:c r="F259" s="12" t="str">
        <x:v>Device family alone is insufficient for governed relationship.</x:v>
      </x:c>
      <x:c r="G259" s="12" t="str">
        <x:v>Explicit governed evidence supporting relationship</x:v>
      </x:c>
      <x:c r="H259" s="6" t="str"/>
      <x:c r="I259" s="6" t="str"/>
      <x:c r="J259" s="6" t="str"/>
      <x:c r="K259" s="6" t="str">
        <x:v>Open</x:v>
      </x:c>
      <x:c r="L259" s="6" t="str"/>
    </x:row>
    <x:row r="260">
      <x:c r="A260" s="6" t="str">
        <x:v>ESC-000259</x:v>
      </x:c>
      <x:c r="B260" s="6" t="str">
        <x:v>Unsupported Relationship Review</x:v>
      </x:c>
      <x:c r="C260" s="6" t="str">
        <x:v>UNS000259</x:v>
      </x:c>
      <x:c r="D260" s="6" t="str">
        <x:v>SVC000259</x:v>
      </x:c>
      <x:c r="E260" s="6" t="str">
        <x:v>Unsupported Relationship</x:v>
      </x:c>
      <x:c r="F260" s="12" t="str">
        <x:v>Device family alone is insufficient for governed relationship.</x:v>
      </x:c>
      <x:c r="G260" s="12" t="str">
        <x:v>Explicit governed evidence supporting relationship</x:v>
      </x:c>
      <x:c r="H260" s="6" t="str"/>
      <x:c r="I260" s="6" t="str"/>
      <x:c r="J260" s="6" t="str"/>
      <x:c r="K260" s="6" t="str">
        <x:v>Open</x:v>
      </x:c>
      <x:c r="L260" s="6" t="str"/>
    </x:row>
    <x:row r="261">
      <x:c r="A261" s="6" t="str">
        <x:v>ESC-000260</x:v>
      </x:c>
      <x:c r="B261" s="6" t="str">
        <x:v>Unsupported Relationship Review</x:v>
      </x:c>
      <x:c r="C261" s="6" t="str">
        <x:v>UNS000260</x:v>
      </x:c>
      <x:c r="D261" s="6" t="str">
        <x:v>SVC000260</x:v>
      </x:c>
      <x:c r="E261" s="6" t="str">
        <x:v>Unsupported Relationship</x:v>
      </x:c>
      <x:c r="F261" s="12" t="str">
        <x:v>Device family alone is insufficient for governed relationship.</x:v>
      </x:c>
      <x:c r="G261" s="12" t="str">
        <x:v>Explicit governed evidence supporting relationship</x:v>
      </x:c>
      <x:c r="H261" s="6" t="str"/>
      <x:c r="I261" s="6" t="str"/>
      <x:c r="J261" s="6" t="str"/>
      <x:c r="K261" s="6" t="str">
        <x:v>Open</x:v>
      </x:c>
      <x:c r="L261" s="6" t="str"/>
    </x:row>
    <x:row r="262">
      <x:c r="A262" s="6" t="str">
        <x:v>ESC-000261</x:v>
      </x:c>
      <x:c r="B262" s="6" t="str">
        <x:v>Unsupported Relationship Review</x:v>
      </x:c>
      <x:c r="C262" s="6" t="str">
        <x:v>UNS000261</x:v>
      </x:c>
      <x:c r="D262" s="6" t="str">
        <x:v>SVC000261</x:v>
      </x:c>
      <x:c r="E262" s="6" t="str">
        <x:v>Unsupported Relationship</x:v>
      </x:c>
      <x:c r="F262" s="12" t="str">
        <x:v>Device family alone is insufficient for governed relationship.</x:v>
      </x:c>
      <x:c r="G262" s="12" t="str">
        <x:v>Explicit governed evidence supporting relationship</x:v>
      </x:c>
      <x:c r="H262" s="6" t="str"/>
      <x:c r="I262" s="6" t="str"/>
      <x:c r="J262" s="6" t="str"/>
      <x:c r="K262" s="6" t="str">
        <x:v>Open</x:v>
      </x:c>
      <x:c r="L262" s="6" t="str"/>
    </x:row>
    <x:row r="263">
      <x:c r="A263" s="6" t="str">
        <x:v>ESC-000262</x:v>
      </x:c>
      <x:c r="B263" s="6" t="str">
        <x:v>Unsupported Relationship Review</x:v>
      </x:c>
      <x:c r="C263" s="6" t="str">
        <x:v>UNS000262</x:v>
      </x:c>
      <x:c r="D263" s="6" t="str">
        <x:v>SVC000262</x:v>
      </x:c>
      <x:c r="E263" s="6" t="str">
        <x:v>Unsupported Relationship</x:v>
      </x:c>
      <x:c r="F263" s="12" t="str">
        <x:v>Device family alone is insufficient for governed relationship.</x:v>
      </x:c>
      <x:c r="G263" s="12" t="str">
        <x:v>Explicit governed evidence supporting relationship</x:v>
      </x:c>
      <x:c r="H263" s="6" t="str"/>
      <x:c r="I263" s="6" t="str"/>
      <x:c r="J263" s="6" t="str"/>
      <x:c r="K263" s="6" t="str">
        <x:v>Open</x:v>
      </x:c>
      <x:c r="L263" s="6" t="str"/>
    </x:row>
    <x:row r="264">
      <x:c r="A264" s="6" t="str">
        <x:v>ESC-000263</x:v>
      </x:c>
      <x:c r="B264" s="6" t="str">
        <x:v>Unsupported Relationship Review</x:v>
      </x:c>
      <x:c r="C264" s="6" t="str">
        <x:v>UNS000263</x:v>
      </x:c>
      <x:c r="D264" s="6" t="str">
        <x:v>SVC000263</x:v>
      </x:c>
      <x:c r="E264" s="6" t="str">
        <x:v>Unsupported Relationship</x:v>
      </x:c>
      <x:c r="F264" s="12" t="str">
        <x:v>Device family alone is insufficient for governed relationship.</x:v>
      </x:c>
      <x:c r="G264" s="12" t="str">
        <x:v>Explicit governed evidence supporting relationship</x:v>
      </x:c>
      <x:c r="H264" s="6" t="str"/>
      <x:c r="I264" s="6" t="str"/>
      <x:c r="J264" s="6" t="str"/>
      <x:c r="K264" s="6" t="str">
        <x:v>Open</x:v>
      </x:c>
      <x:c r="L264" s="6" t="str"/>
    </x:row>
    <x:row r="265">
      <x:c r="A265" s="6" t="str">
        <x:v>ESC-000264</x:v>
      </x:c>
      <x:c r="B265" s="6" t="str">
        <x:v>Unsupported Relationship Review</x:v>
      </x:c>
      <x:c r="C265" s="6" t="str">
        <x:v>UNS000264</x:v>
      </x:c>
      <x:c r="D265" s="6" t="str">
        <x:v>SVC000264</x:v>
      </x:c>
      <x:c r="E265" s="6" t="str">
        <x:v>Unsupported Relationship</x:v>
      </x:c>
      <x:c r="F265" s="12" t="str">
        <x:v>Device family alone is insufficient for governed relationship.</x:v>
      </x:c>
      <x:c r="G265" s="12" t="str">
        <x:v>Explicit governed evidence supporting relationship</x:v>
      </x:c>
      <x:c r="H265" s="6" t="str"/>
      <x:c r="I265" s="6" t="str"/>
      <x:c r="J265" s="6" t="str"/>
      <x:c r="K265" s="6" t="str">
        <x:v>Open</x:v>
      </x:c>
      <x:c r="L265" s="6" t="str"/>
    </x:row>
    <x:row r="266">
      <x:c r="A266" s="6" t="str">
        <x:v>ESC-000265</x:v>
      </x:c>
      <x:c r="B266" s="6" t="str">
        <x:v>Unsupported Relationship Review</x:v>
      </x:c>
      <x:c r="C266" s="6" t="str">
        <x:v>UNS000265</x:v>
      </x:c>
      <x:c r="D266" s="6" t="str">
        <x:v>SVC000265</x:v>
      </x:c>
      <x:c r="E266" s="6" t="str">
        <x:v>Unsupported Relationship</x:v>
      </x:c>
      <x:c r="F266" s="12" t="str">
        <x:v>Device family alone is insufficient for governed relationship.</x:v>
      </x:c>
      <x:c r="G266" s="12" t="str">
        <x:v>Explicit governed evidence supporting relationship</x:v>
      </x:c>
      <x:c r="H266" s="6" t="str"/>
      <x:c r="I266" s="6" t="str"/>
      <x:c r="J266" s="6" t="str"/>
      <x:c r="K266" s="6" t="str">
        <x:v>Open</x:v>
      </x:c>
      <x:c r="L266" s="6" t="str"/>
    </x:row>
    <x:row r="267">
      <x:c r="A267" s="6" t="str">
        <x:v>ESC-000266</x:v>
      </x:c>
      <x:c r="B267" s="6" t="str">
        <x:v>Unsupported Relationship Review</x:v>
      </x:c>
      <x:c r="C267" s="6" t="str">
        <x:v>UNS000266</x:v>
      </x:c>
      <x:c r="D267" s="6" t="str">
        <x:v>SVC000266</x:v>
      </x:c>
      <x:c r="E267" s="6" t="str">
        <x:v>Unsupported Relationship</x:v>
      </x:c>
      <x:c r="F267" s="12" t="str">
        <x:v>Device family alone is insufficient for governed relationship.</x:v>
      </x:c>
      <x:c r="G267" s="12" t="str">
        <x:v>Explicit governed evidence supporting relationship</x:v>
      </x:c>
      <x:c r="H267" s="6" t="str"/>
      <x:c r="I267" s="6" t="str"/>
      <x:c r="J267" s="6" t="str"/>
      <x:c r="K267" s="6" t="str">
        <x:v>Open</x:v>
      </x:c>
      <x:c r="L267" s="6" t="str"/>
    </x:row>
    <x:row r="268">
      <x:c r="A268" s="6" t="str">
        <x:v>ESC-000267</x:v>
      </x:c>
      <x:c r="B268" s="6" t="str">
        <x:v>Unsupported Relationship Review</x:v>
      </x:c>
      <x:c r="C268" s="6" t="str">
        <x:v>UNS000267</x:v>
      </x:c>
      <x:c r="D268" s="6" t="str">
        <x:v>SVC000267</x:v>
      </x:c>
      <x:c r="E268" s="6" t="str">
        <x:v>Unsupported Relationship</x:v>
      </x:c>
      <x:c r="F268" s="12" t="str">
        <x:v>Device family alone is insufficient for governed relationship.</x:v>
      </x:c>
      <x:c r="G268" s="12" t="str">
        <x:v>Explicit governed evidence supporting relationship</x:v>
      </x:c>
      <x:c r="H268" s="6" t="str"/>
      <x:c r="I268" s="6" t="str"/>
      <x:c r="J268" s="6" t="str"/>
      <x:c r="K268" s="6" t="str">
        <x:v>Open</x:v>
      </x:c>
      <x:c r="L268" s="6" t="str"/>
    </x:row>
    <x:row r="269">
      <x:c r="A269" s="6" t="str">
        <x:v>ESC-000268</x:v>
      </x:c>
      <x:c r="B269" s="6" t="str">
        <x:v>Unsupported Relationship Review</x:v>
      </x:c>
      <x:c r="C269" s="6" t="str">
        <x:v>UNS000268</x:v>
      </x:c>
      <x:c r="D269" s="6" t="str">
        <x:v>SVC000268</x:v>
      </x:c>
      <x:c r="E269" s="6" t="str">
        <x:v>Unsupported Relationship</x:v>
      </x:c>
      <x:c r="F269" s="12" t="str">
        <x:v>Device family alone is insufficient for governed relationship.</x:v>
      </x:c>
      <x:c r="G269" s="12" t="str">
        <x:v>Explicit governed evidence supporting relationship</x:v>
      </x:c>
      <x:c r="H269" s="6" t="str"/>
      <x:c r="I269" s="6" t="str"/>
      <x:c r="J269" s="6" t="str"/>
      <x:c r="K269" s="6" t="str">
        <x:v>Open</x:v>
      </x:c>
      <x:c r="L269" s="6" t="str"/>
    </x:row>
    <x:row r="270">
      <x:c r="A270" s="6" t="str">
        <x:v>ESC-000269</x:v>
      </x:c>
      <x:c r="B270" s="6" t="str">
        <x:v>Unsupported Relationship Review</x:v>
      </x:c>
      <x:c r="C270" s="6" t="str">
        <x:v>UNS000269</x:v>
      </x:c>
      <x:c r="D270" s="6" t="str">
        <x:v>SVC000269</x:v>
      </x:c>
      <x:c r="E270" s="6" t="str">
        <x:v>Unsupported Relationship</x:v>
      </x:c>
      <x:c r="F270" s="12" t="str">
        <x:v>Device family alone is insufficient for governed relationship.</x:v>
      </x:c>
      <x:c r="G270" s="12" t="str">
        <x:v>Explicit governed evidence supporting relationship</x:v>
      </x:c>
      <x:c r="H270" s="6" t="str"/>
      <x:c r="I270" s="6" t="str"/>
      <x:c r="J270" s="6" t="str"/>
      <x:c r="K270" s="6" t="str">
        <x:v>Open</x:v>
      </x:c>
      <x:c r="L270" s="6" t="str"/>
    </x:row>
    <x:row r="271">
      <x:c r="A271" s="6" t="str">
        <x:v>ESC-000270</x:v>
      </x:c>
      <x:c r="B271" s="6" t="str">
        <x:v>Unsupported Relationship Review</x:v>
      </x:c>
      <x:c r="C271" s="6" t="str">
        <x:v>UNS000270</x:v>
      </x:c>
      <x:c r="D271" s="6" t="str">
        <x:v>SVC000270</x:v>
      </x:c>
      <x:c r="E271" s="6" t="str">
        <x:v>Unsupported Relationship</x:v>
      </x:c>
      <x:c r="F271" s="12" t="str">
        <x:v>Device family alone is insufficient for governed relationship.</x:v>
      </x:c>
      <x:c r="G271" s="12" t="str">
        <x:v>Explicit governed evidence supporting relationship</x:v>
      </x:c>
      <x:c r="H271" s="6" t="str"/>
      <x:c r="I271" s="6" t="str"/>
      <x:c r="J271" s="6" t="str"/>
      <x:c r="K271" s="6" t="str">
        <x:v>Open</x:v>
      </x:c>
      <x:c r="L271" s="6" t="str"/>
    </x:row>
    <x:row r="272">
      <x:c r="A272" s="6" t="str">
        <x:v>ESC-000271</x:v>
      </x:c>
      <x:c r="B272" s="6" t="str">
        <x:v>Unsupported Relationship Review</x:v>
      </x:c>
      <x:c r="C272" s="6" t="str">
        <x:v>UNS000271</x:v>
      </x:c>
      <x:c r="D272" s="6" t="str">
        <x:v>SVC000271</x:v>
      </x:c>
      <x:c r="E272" s="6" t="str">
        <x:v>Unsupported Relationship</x:v>
      </x:c>
      <x:c r="F272" s="12" t="str">
        <x:v>Device family alone is insufficient for governed relationship.</x:v>
      </x:c>
      <x:c r="G272" s="12" t="str">
        <x:v>Explicit governed evidence supporting relationship</x:v>
      </x:c>
      <x:c r="H272" s="6" t="str"/>
      <x:c r="I272" s="6" t="str"/>
      <x:c r="J272" s="6" t="str"/>
      <x:c r="K272" s="6" t="str">
        <x:v>Open</x:v>
      </x:c>
      <x:c r="L272" s="6" t="str"/>
    </x:row>
    <x:row r="273">
      <x:c r="A273" s="6" t="str">
        <x:v>ESC-000272</x:v>
      </x:c>
      <x:c r="B273" s="6" t="str">
        <x:v>Unsupported Relationship Review</x:v>
      </x:c>
      <x:c r="C273" s="6" t="str">
        <x:v>UNS000272</x:v>
      </x:c>
      <x:c r="D273" s="6" t="str">
        <x:v>SVC000272</x:v>
      </x:c>
      <x:c r="E273" s="6" t="str">
        <x:v>Unsupported Relationship</x:v>
      </x:c>
      <x:c r="F273" s="12" t="str">
        <x:v>Device family alone is insufficient for governed relationship.</x:v>
      </x:c>
      <x:c r="G273" s="12" t="str">
        <x:v>Explicit governed evidence supporting relationship</x:v>
      </x:c>
      <x:c r="H273" s="6" t="str"/>
      <x:c r="I273" s="6" t="str"/>
      <x:c r="J273" s="6" t="str"/>
      <x:c r="K273" s="6" t="str">
        <x:v>Open</x:v>
      </x:c>
      <x:c r="L273" s="6" t="str"/>
    </x:row>
    <x:row r="274">
      <x:c r="A274" s="6" t="str">
        <x:v>ESC-000273</x:v>
      </x:c>
      <x:c r="B274" s="6" t="str">
        <x:v>Unsupported Relationship Review</x:v>
      </x:c>
      <x:c r="C274" s="6" t="str">
        <x:v>UNS000273</x:v>
      </x:c>
      <x:c r="D274" s="6" t="str">
        <x:v>SVC000273</x:v>
      </x:c>
      <x:c r="E274" s="6" t="str">
        <x:v>Unsupported Relationship</x:v>
      </x:c>
      <x:c r="F274" s="12" t="str">
        <x:v>Device family alone is insufficient for governed relationship.</x:v>
      </x:c>
      <x:c r="G274" s="12" t="str">
        <x:v>Explicit governed evidence supporting relationship</x:v>
      </x:c>
      <x:c r="H274" s="6" t="str"/>
      <x:c r="I274" s="6" t="str"/>
      <x:c r="J274" s="6" t="str"/>
      <x:c r="K274" s="6" t="str">
        <x:v>Open</x:v>
      </x:c>
      <x:c r="L274" s="6" t="str"/>
    </x:row>
    <x:row r="275">
      <x:c r="A275" s="6" t="str">
        <x:v>ESC-000274</x:v>
      </x:c>
      <x:c r="B275" s="6" t="str">
        <x:v>Unsupported Relationship Review</x:v>
      </x:c>
      <x:c r="C275" s="6" t="str">
        <x:v>UNS000274</x:v>
      </x:c>
      <x:c r="D275" s="6" t="str">
        <x:v>SVC000274</x:v>
      </x:c>
      <x:c r="E275" s="6" t="str">
        <x:v>Unsupported Relationship</x:v>
      </x:c>
      <x:c r="F275" s="12" t="str">
        <x:v>Device family alone is insufficient for governed relationship.</x:v>
      </x:c>
      <x:c r="G275" s="12" t="str">
        <x:v>Explicit governed evidence supporting relationship</x:v>
      </x:c>
      <x:c r="H275" s="6" t="str"/>
      <x:c r="I275" s="6" t="str"/>
      <x:c r="J275" s="6" t="str"/>
      <x:c r="K275" s="6" t="str">
        <x:v>Open</x:v>
      </x:c>
      <x:c r="L275" s="6" t="str"/>
    </x:row>
    <x:row r="276">
      <x:c r="A276" s="6" t="str">
        <x:v>ESC-000275</x:v>
      </x:c>
      <x:c r="B276" s="6" t="str">
        <x:v>Unsupported Relationship Review</x:v>
      </x:c>
      <x:c r="C276" s="6" t="str">
        <x:v>UNS000275</x:v>
      </x:c>
      <x:c r="D276" s="6" t="str">
        <x:v>SVC000275</x:v>
      </x:c>
      <x:c r="E276" s="6" t="str">
        <x:v>Unsupported Relationship</x:v>
      </x:c>
      <x:c r="F276" s="12" t="str">
        <x:v>Device family alone is insufficient for governed relationship.</x:v>
      </x:c>
      <x:c r="G276" s="12" t="str">
        <x:v>Explicit governed evidence supporting relationship</x:v>
      </x:c>
      <x:c r="H276" s="6" t="str"/>
      <x:c r="I276" s="6" t="str"/>
      <x:c r="J276" s="6" t="str"/>
      <x:c r="K276" s="6" t="str">
        <x:v>Open</x:v>
      </x:c>
      <x:c r="L276" s="6" t="str"/>
    </x:row>
    <x:row r="277">
      <x:c r="A277" s="6" t="str">
        <x:v>ESC-000276</x:v>
      </x:c>
      <x:c r="B277" s="6" t="str">
        <x:v>Unsupported Relationship Review</x:v>
      </x:c>
      <x:c r="C277" s="6" t="str">
        <x:v>UNS000276</x:v>
      </x:c>
      <x:c r="D277" s="6" t="str">
        <x:v>SVC000276</x:v>
      </x:c>
      <x:c r="E277" s="6" t="str">
        <x:v>Unsupported Relationship</x:v>
      </x:c>
      <x:c r="F277" s="12" t="str">
        <x:v>Device family alone is insufficient for governed relationship.</x:v>
      </x:c>
      <x:c r="G277" s="12" t="str">
        <x:v>Explicit governed evidence supporting relationship</x:v>
      </x:c>
      <x:c r="H277" s="6" t="str"/>
      <x:c r="I277" s="6" t="str"/>
      <x:c r="J277" s="6" t="str"/>
      <x:c r="K277" s="6" t="str">
        <x:v>Open</x:v>
      </x:c>
      <x:c r="L277" s="6" t="str"/>
    </x:row>
    <x:row r="278">
      <x:c r="A278" s="6" t="str">
        <x:v>ESC-000277</x:v>
      </x:c>
      <x:c r="B278" s="6" t="str">
        <x:v>Unsupported Relationship Review</x:v>
      </x:c>
      <x:c r="C278" s="6" t="str">
        <x:v>UNS000277</x:v>
      </x:c>
      <x:c r="D278" s="6" t="str">
        <x:v>SVC000277</x:v>
      </x:c>
      <x:c r="E278" s="6" t="str">
        <x:v>Unsupported Relationship</x:v>
      </x:c>
      <x:c r="F278" s="12" t="str">
        <x:v>Device family alone is insufficient for governed relationship.</x:v>
      </x:c>
      <x:c r="G278" s="12" t="str">
        <x:v>Explicit governed evidence supporting relationship</x:v>
      </x:c>
      <x:c r="H278" s="6" t="str"/>
      <x:c r="I278" s="6" t="str"/>
      <x:c r="J278" s="6" t="str"/>
      <x:c r="K278" s="6" t="str">
        <x:v>Open</x:v>
      </x:c>
      <x:c r="L278" s="6" t="str"/>
    </x:row>
    <x:row r="279">
      <x:c r="A279" s="6" t="str">
        <x:v>ESC-000278</x:v>
      </x:c>
      <x:c r="B279" s="6" t="str">
        <x:v>Unsupported Relationship Review</x:v>
      </x:c>
      <x:c r="C279" s="6" t="str">
        <x:v>UNS000278</x:v>
      </x:c>
      <x:c r="D279" s="6" t="str">
        <x:v>SVC000278</x:v>
      </x:c>
      <x:c r="E279" s="6" t="str">
        <x:v>Unsupported Relationship</x:v>
      </x:c>
      <x:c r="F279" s="12" t="str">
        <x:v>Device family alone is insufficient for governed relationship.</x:v>
      </x:c>
      <x:c r="G279" s="12" t="str">
        <x:v>Explicit governed evidence supporting relationship</x:v>
      </x:c>
      <x:c r="H279" s="6" t="str"/>
      <x:c r="I279" s="6" t="str"/>
      <x:c r="J279" s="6" t="str"/>
      <x:c r="K279" s="6" t="str">
        <x:v>Open</x:v>
      </x:c>
      <x:c r="L279" s="6" t="str"/>
    </x:row>
    <x:row r="280">
      <x:c r="A280" s="6" t="str">
        <x:v>ESC-000279</x:v>
      </x:c>
      <x:c r="B280" s="6" t="str">
        <x:v>Unsupported Relationship Review</x:v>
      </x:c>
      <x:c r="C280" s="6" t="str">
        <x:v>UNS000279</x:v>
      </x:c>
      <x:c r="D280" s="6" t="str">
        <x:v>SVC000279</x:v>
      </x:c>
      <x:c r="E280" s="6" t="str">
        <x:v>Unsupported Relationship</x:v>
      </x:c>
      <x:c r="F280" s="12" t="str">
        <x:v>Device family alone is insufficient for governed relationship.</x:v>
      </x:c>
      <x:c r="G280" s="12" t="str">
        <x:v>Explicit governed evidence supporting relationship</x:v>
      </x:c>
      <x:c r="H280" s="6" t="str"/>
      <x:c r="I280" s="6" t="str"/>
      <x:c r="J280" s="6" t="str"/>
      <x:c r="K280" s="6" t="str">
        <x:v>Open</x:v>
      </x:c>
      <x:c r="L280" s="6" t="str"/>
    </x:row>
    <x:row r="281">
      <x:c r="A281" s="6" t="str">
        <x:v>ESC-000280</x:v>
      </x:c>
      <x:c r="B281" s="6" t="str">
        <x:v>Unsupported Relationship Review</x:v>
      </x:c>
      <x:c r="C281" s="6" t="str">
        <x:v>UNS000280</x:v>
      </x:c>
      <x:c r="D281" s="6" t="str">
        <x:v>SVC000280</x:v>
      </x:c>
      <x:c r="E281" s="6" t="str">
        <x:v>Unsupported Relationship</x:v>
      </x:c>
      <x:c r="F281" s="12" t="str">
        <x:v>Device family alone is insufficient for governed relationship.</x:v>
      </x:c>
      <x:c r="G281" s="12" t="str">
        <x:v>Explicit governed evidence supporting relationship</x:v>
      </x:c>
      <x:c r="H281" s="6" t="str"/>
      <x:c r="I281" s="6" t="str"/>
      <x:c r="J281" s="6" t="str"/>
      <x:c r="K281" s="6" t="str">
        <x:v>Open</x:v>
      </x:c>
      <x:c r="L281" s="6" t="str"/>
    </x:row>
    <x:row r="282">
      <x:c r="A282" s="6" t="str">
        <x:v>ESC-000281</x:v>
      </x:c>
      <x:c r="B282" s="6" t="str">
        <x:v>Unsupported Relationship Review</x:v>
      </x:c>
      <x:c r="C282" s="6" t="str">
        <x:v>UNS000281</x:v>
      </x:c>
      <x:c r="D282" s="6" t="str">
        <x:v>SVC000281</x:v>
      </x:c>
      <x:c r="E282" s="6" t="str">
        <x:v>Unsupported Relationship</x:v>
      </x:c>
      <x:c r="F282" s="12" t="str">
        <x:v>Device family alone is insufficient for governed relationship.</x:v>
      </x:c>
      <x:c r="G282" s="12" t="str">
        <x:v>Explicit governed evidence supporting relationship</x:v>
      </x:c>
      <x:c r="H282" s="6" t="str"/>
      <x:c r="I282" s="6" t="str"/>
      <x:c r="J282" s="6" t="str"/>
      <x:c r="K282" s="6" t="str">
        <x:v>Open</x:v>
      </x:c>
      <x:c r="L282" s="6" t="str"/>
    </x:row>
    <x:row r="283">
      <x:c r="A283" s="6" t="str">
        <x:v>ESC-000282</x:v>
      </x:c>
      <x:c r="B283" s="6" t="str">
        <x:v>Unsupported Relationship Review</x:v>
      </x:c>
      <x:c r="C283" s="6" t="str">
        <x:v>UNS000282</x:v>
      </x:c>
      <x:c r="D283" s="6" t="str">
        <x:v>SVC000282</x:v>
      </x:c>
      <x:c r="E283" s="6" t="str">
        <x:v>Unsupported Relationship</x:v>
      </x:c>
      <x:c r="F283" s="12" t="str">
        <x:v>Device family alone is insufficient for governed relationship.</x:v>
      </x:c>
      <x:c r="G283" s="12" t="str">
        <x:v>Explicit governed evidence supporting relationship</x:v>
      </x:c>
      <x:c r="H283" s="6" t="str"/>
      <x:c r="I283" s="6" t="str"/>
      <x:c r="J283" s="6" t="str"/>
      <x:c r="K283" s="6" t="str">
        <x:v>Open</x:v>
      </x:c>
      <x:c r="L283" s="6" t="str"/>
    </x:row>
    <x:row r="284">
      <x:c r="A284" s="6" t="str">
        <x:v>ESC-000283</x:v>
      </x:c>
      <x:c r="B284" s="6" t="str">
        <x:v>Unsupported Relationship Review</x:v>
      </x:c>
      <x:c r="C284" s="6" t="str">
        <x:v>UNS000283</x:v>
      </x:c>
      <x:c r="D284" s="6" t="str">
        <x:v>SVC000283</x:v>
      </x:c>
      <x:c r="E284" s="6" t="str">
        <x:v>Unsupported Relationship</x:v>
      </x:c>
      <x:c r="F284" s="12" t="str">
        <x:v>Device family alone is insufficient for governed relationship.</x:v>
      </x:c>
      <x:c r="G284" s="12" t="str">
        <x:v>Explicit governed evidence supporting relationship</x:v>
      </x:c>
      <x:c r="H284" s="6" t="str"/>
      <x:c r="I284" s="6" t="str"/>
      <x:c r="J284" s="6" t="str"/>
      <x:c r="K284" s="6" t="str">
        <x:v>Open</x:v>
      </x:c>
      <x:c r="L284" s="6" t="str"/>
    </x:row>
    <x:row r="285">
      <x:c r="A285" s="6" t="str">
        <x:v>ESC-000284</x:v>
      </x:c>
      <x:c r="B285" s="6" t="str">
        <x:v>Unsupported Relationship Review</x:v>
      </x:c>
      <x:c r="C285" s="6" t="str">
        <x:v>UNS000284</x:v>
      </x:c>
      <x:c r="D285" s="6" t="str">
        <x:v>SVC000284</x:v>
      </x:c>
      <x:c r="E285" s="6" t="str">
        <x:v>Unsupported Relationship</x:v>
      </x:c>
      <x:c r="F285" s="12" t="str">
        <x:v>Device family alone is insufficient for governed relationship.</x:v>
      </x:c>
      <x:c r="G285" s="12" t="str">
        <x:v>Explicit governed evidence supporting relationship</x:v>
      </x:c>
      <x:c r="H285" s="6" t="str"/>
      <x:c r="I285" s="6" t="str"/>
      <x:c r="J285" s="6" t="str"/>
      <x:c r="K285" s="6" t="str">
        <x:v>Open</x:v>
      </x:c>
      <x:c r="L285" s="6" t="str"/>
    </x:row>
    <x:row r="286">
      <x:c r="A286" s="6" t="str">
        <x:v>ESC-000285</x:v>
      </x:c>
      <x:c r="B286" s="6" t="str">
        <x:v>Unsupported Relationship Review</x:v>
      </x:c>
      <x:c r="C286" s="6" t="str">
        <x:v>UNS000285</x:v>
      </x:c>
      <x:c r="D286" s="6" t="str">
        <x:v>SVC000285</x:v>
      </x:c>
      <x:c r="E286" s="6" t="str">
        <x:v>Unsupported Relationship</x:v>
      </x:c>
      <x:c r="F286" s="12" t="str">
        <x:v>Device family alone is insufficient for governed relationship.</x:v>
      </x:c>
      <x:c r="G286" s="12" t="str">
        <x:v>Explicit governed evidence supporting relationship</x:v>
      </x:c>
      <x:c r="H286" s="6" t="str"/>
      <x:c r="I286" s="6" t="str"/>
      <x:c r="J286" s="6" t="str"/>
      <x:c r="K286" s="6" t="str">
        <x:v>Open</x:v>
      </x:c>
      <x:c r="L286" s="6" t="str"/>
    </x:row>
    <x:row r="287">
      <x:c r="A287" s="6" t="str">
        <x:v>ESC-000286</x:v>
      </x:c>
      <x:c r="B287" s="6" t="str">
        <x:v>Unsupported Relationship Review</x:v>
      </x:c>
      <x:c r="C287" s="6" t="str">
        <x:v>UNS000286</x:v>
      </x:c>
      <x:c r="D287" s="6" t="str">
        <x:v>SVC000286</x:v>
      </x:c>
      <x:c r="E287" s="6" t="str">
        <x:v>Unsupported Relationship</x:v>
      </x:c>
      <x:c r="F287" s="12" t="str">
        <x:v>Device family alone is insufficient for governed relationship.</x:v>
      </x:c>
      <x:c r="G287" s="12" t="str">
        <x:v>Explicit governed evidence supporting relationship</x:v>
      </x:c>
      <x:c r="H287" s="6" t="str"/>
      <x:c r="I287" s="6" t="str"/>
      <x:c r="J287" s="6" t="str"/>
      <x:c r="K287" s="6" t="str">
        <x:v>Open</x:v>
      </x:c>
      <x:c r="L287" s="6" t="str"/>
    </x:row>
    <x:row r="288">
      <x:c r="A288" s="6" t="str">
        <x:v>ESC-000287</x:v>
      </x:c>
      <x:c r="B288" s="6" t="str">
        <x:v>Unsupported Relationship Review</x:v>
      </x:c>
      <x:c r="C288" s="6" t="str">
        <x:v>UNS000287</x:v>
      </x:c>
      <x:c r="D288" s="6" t="str">
        <x:v>SVC000287</x:v>
      </x:c>
      <x:c r="E288" s="6" t="str">
        <x:v>Unsupported Relationship</x:v>
      </x:c>
      <x:c r="F288" s="12" t="str">
        <x:v>Device family alone is insufficient for governed relationship.</x:v>
      </x:c>
      <x:c r="G288" s="12" t="str">
        <x:v>Explicit governed evidence supporting relationship</x:v>
      </x:c>
      <x:c r="H288" s="6" t="str"/>
      <x:c r="I288" s="6" t="str"/>
      <x:c r="J288" s="6" t="str"/>
      <x:c r="K288" s="6" t="str">
        <x:v>Open</x:v>
      </x:c>
      <x:c r="L288" s="6" t="str"/>
    </x:row>
    <x:row r="289">
      <x:c r="A289" s="6" t="str">
        <x:v>ESC-000288</x:v>
      </x:c>
      <x:c r="B289" s="6" t="str">
        <x:v>Unsupported Relationship Review</x:v>
      </x:c>
      <x:c r="C289" s="6" t="str">
        <x:v>UNS000288</x:v>
      </x:c>
      <x:c r="D289" s="6" t="str">
        <x:v>SVC000288</x:v>
      </x:c>
      <x:c r="E289" s="6" t="str">
        <x:v>Unsupported Relationship</x:v>
      </x:c>
      <x:c r="F289" s="12" t="str">
        <x:v>Device family alone is insufficient for governed relationship.</x:v>
      </x:c>
      <x:c r="G289" s="12" t="str">
        <x:v>Explicit governed evidence supporting relationship</x:v>
      </x:c>
      <x:c r="H289" s="6" t="str"/>
      <x:c r="I289" s="6" t="str"/>
      <x:c r="J289" s="6" t="str"/>
      <x:c r="K289" s="6" t="str">
        <x:v>Open</x:v>
      </x:c>
      <x:c r="L289" s="6" t="str"/>
    </x:row>
    <x:row r="290">
      <x:c r="A290" s="6" t="str">
        <x:v>ESC-000289</x:v>
      </x:c>
      <x:c r="B290" s="6" t="str">
        <x:v>Unsupported Relationship Review</x:v>
      </x:c>
      <x:c r="C290" s="6" t="str">
        <x:v>UNS000289</x:v>
      </x:c>
      <x:c r="D290" s="6" t="str">
        <x:v>SVC000289</x:v>
      </x:c>
      <x:c r="E290" s="6" t="str">
        <x:v>Unsupported Relationship</x:v>
      </x:c>
      <x:c r="F290" s="12" t="str">
        <x:v>Device family alone is insufficient for governed relationship.</x:v>
      </x:c>
      <x:c r="G290" s="12" t="str">
        <x:v>Explicit governed evidence supporting relationship</x:v>
      </x:c>
      <x:c r="H290" s="6" t="str"/>
      <x:c r="I290" s="6" t="str"/>
      <x:c r="J290" s="6" t="str"/>
      <x:c r="K290" s="6" t="str">
        <x:v>Open</x:v>
      </x:c>
      <x:c r="L290" s="6" t="str"/>
    </x:row>
    <x:row r="291">
      <x:c r="A291" s="6" t="str">
        <x:v>ESC-000290</x:v>
      </x:c>
      <x:c r="B291" s="6" t="str">
        <x:v>Unsupported Relationship Review</x:v>
      </x:c>
      <x:c r="C291" s="6" t="str">
        <x:v>UNS000290</x:v>
      </x:c>
      <x:c r="D291" s="6" t="str">
        <x:v>SVC000290</x:v>
      </x:c>
      <x:c r="E291" s="6" t="str">
        <x:v>Unsupported Relationship</x:v>
      </x:c>
      <x:c r="F291" s="12" t="str">
        <x:v>Device family alone is insufficient for governed relationship.</x:v>
      </x:c>
      <x:c r="G291" s="12" t="str">
        <x:v>Explicit governed evidence supporting relationship</x:v>
      </x:c>
      <x:c r="H291" s="6" t="str"/>
      <x:c r="I291" s="6" t="str"/>
      <x:c r="J291" s="6" t="str"/>
      <x:c r="K291" s="6" t="str">
        <x:v>Open</x:v>
      </x:c>
      <x:c r="L291" s="6" t="str"/>
    </x:row>
    <x:row r="292">
      <x:c r="A292" s="6" t="str">
        <x:v>ESC-000291</x:v>
      </x:c>
      <x:c r="B292" s="6" t="str">
        <x:v>Unsupported Relationship Review</x:v>
      </x:c>
      <x:c r="C292" s="6" t="str">
        <x:v>UNS000291</x:v>
      </x:c>
      <x:c r="D292" s="6" t="str">
        <x:v>SVC000291</x:v>
      </x:c>
      <x:c r="E292" s="6" t="str">
        <x:v>Unsupported Relationship</x:v>
      </x:c>
      <x:c r="F292" s="12" t="str">
        <x:v>Device family alone is insufficient for governed relationship.</x:v>
      </x:c>
      <x:c r="G292" s="12" t="str">
        <x:v>Explicit governed evidence supporting relationship</x:v>
      </x:c>
      <x:c r="H292" s="6" t="str"/>
      <x:c r="I292" s="6" t="str"/>
      <x:c r="J292" s="6" t="str"/>
      <x:c r="K292" s="6" t="str">
        <x:v>Open</x:v>
      </x:c>
      <x:c r="L292" s="6" t="str"/>
    </x:row>
    <x:row r="293">
      <x:c r="A293" s="6" t="str">
        <x:v>ESC-000292</x:v>
      </x:c>
      <x:c r="B293" s="6" t="str">
        <x:v>Unsupported Relationship Review</x:v>
      </x:c>
      <x:c r="C293" s="6" t="str">
        <x:v>UNS000292</x:v>
      </x:c>
      <x:c r="D293" s="6" t="str">
        <x:v>SVC000292</x:v>
      </x:c>
      <x:c r="E293" s="6" t="str">
        <x:v>Unsupported Relationship</x:v>
      </x:c>
      <x:c r="F293" s="12" t="str">
        <x:v>Device family alone is insufficient for governed relationship.</x:v>
      </x:c>
      <x:c r="G293" s="12" t="str">
        <x:v>Explicit governed evidence supporting relationship</x:v>
      </x:c>
      <x:c r="H293" s="6" t="str"/>
      <x:c r="I293" s="6" t="str"/>
      <x:c r="J293" s="6" t="str"/>
      <x:c r="K293" s="6" t="str">
        <x:v>Open</x:v>
      </x:c>
      <x:c r="L293" s="6" t="str"/>
    </x:row>
    <x:row r="294">
      <x:c r="A294" s="6" t="str">
        <x:v>ESC-000293</x:v>
      </x:c>
      <x:c r="B294" s="6" t="str">
        <x:v>Unsupported Relationship Review</x:v>
      </x:c>
      <x:c r="C294" s="6" t="str">
        <x:v>UNS000293</x:v>
      </x:c>
      <x:c r="D294" s="6" t="str">
        <x:v>SVC000293</x:v>
      </x:c>
      <x:c r="E294" s="6" t="str">
        <x:v>Unsupported Relationship</x:v>
      </x:c>
      <x:c r="F294" s="12" t="str">
        <x:v>Device family alone is insufficient for governed relationship.</x:v>
      </x:c>
      <x:c r="G294" s="12" t="str">
        <x:v>Explicit governed evidence supporting relationship</x:v>
      </x:c>
      <x:c r="H294" s="6" t="str"/>
      <x:c r="I294" s="6" t="str"/>
      <x:c r="J294" s="6" t="str"/>
      <x:c r="K294" s="6" t="str">
        <x:v>Open</x:v>
      </x:c>
      <x:c r="L294" s="6" t="str"/>
    </x:row>
    <x:row r="295">
      <x:c r="A295" s="6" t="str">
        <x:v>ESC-000294</x:v>
      </x:c>
      <x:c r="B295" s="6" t="str">
        <x:v>Unsupported Relationship Review</x:v>
      </x:c>
      <x:c r="C295" s="6" t="str">
        <x:v>UNS000294</x:v>
      </x:c>
      <x:c r="D295" s="6" t="str">
        <x:v>SVC000294</x:v>
      </x:c>
      <x:c r="E295" s="6" t="str">
        <x:v>Unsupported Relationship</x:v>
      </x:c>
      <x:c r="F295" s="12" t="str">
        <x:v>Device family alone is insufficient for governed relationship.</x:v>
      </x:c>
      <x:c r="G295" s="12" t="str">
        <x:v>Explicit governed evidence supporting relationship</x:v>
      </x:c>
      <x:c r="H295" s="6" t="str"/>
      <x:c r="I295" s="6" t="str"/>
      <x:c r="J295" s="6" t="str"/>
      <x:c r="K295" s="6" t="str">
        <x:v>Open</x:v>
      </x:c>
      <x:c r="L295" s="6" t="str"/>
    </x:row>
    <x:row r="296">
      <x:c r="A296" s="6" t="str">
        <x:v>ESC-000295</x:v>
      </x:c>
      <x:c r="B296" s="6" t="str">
        <x:v>Unsupported Relationship Review</x:v>
      </x:c>
      <x:c r="C296" s="6" t="str">
        <x:v>UNS000295</x:v>
      </x:c>
      <x:c r="D296" s="6" t="str">
        <x:v>SVC000295</x:v>
      </x:c>
      <x:c r="E296" s="6" t="str">
        <x:v>Unsupported Relationship</x:v>
      </x:c>
      <x:c r="F296" s="12" t="str">
        <x:v>Device family alone is insufficient for governed relationship.</x:v>
      </x:c>
      <x:c r="G296" s="12" t="str">
        <x:v>Explicit governed evidence supporting relationship</x:v>
      </x:c>
      <x:c r="H296" s="6" t="str"/>
      <x:c r="I296" s="6" t="str"/>
      <x:c r="J296" s="6" t="str"/>
      <x:c r="K296" s="6" t="str">
        <x:v>Open</x:v>
      </x:c>
      <x:c r="L296" s="6" t="str"/>
    </x:row>
    <x:row r="297">
      <x:c r="A297" s="6" t="str">
        <x:v>ESC-000296</x:v>
      </x:c>
      <x:c r="B297" s="6" t="str">
        <x:v>Unsupported Relationship Review</x:v>
      </x:c>
      <x:c r="C297" s="6" t="str">
        <x:v>UNS000296</x:v>
      </x:c>
      <x:c r="D297" s="6" t="str">
        <x:v>SVC000296</x:v>
      </x:c>
      <x:c r="E297" s="6" t="str">
        <x:v>Unsupported Relationship</x:v>
      </x:c>
      <x:c r="F297" s="12" t="str">
        <x:v>Device family alone is insufficient for governed relationship.</x:v>
      </x:c>
      <x:c r="G297" s="12" t="str">
        <x:v>Explicit governed evidence supporting relationship</x:v>
      </x:c>
      <x:c r="H297" s="6" t="str"/>
      <x:c r="I297" s="6" t="str"/>
      <x:c r="J297" s="6" t="str"/>
      <x:c r="K297" s="6" t="str">
        <x:v>Open</x:v>
      </x:c>
      <x:c r="L297" s="6" t="str"/>
    </x:row>
    <x:row r="298">
      <x:c r="A298" s="6" t="str">
        <x:v>ESC-000297</x:v>
      </x:c>
      <x:c r="B298" s="6" t="str">
        <x:v>Unsupported Relationship Review</x:v>
      </x:c>
      <x:c r="C298" s="6" t="str">
        <x:v>UNS000297</x:v>
      </x:c>
      <x:c r="D298" s="6" t="str">
        <x:v>SVC000297</x:v>
      </x:c>
      <x:c r="E298" s="6" t="str">
        <x:v>Unsupported Relationship</x:v>
      </x:c>
      <x:c r="F298" s="12" t="str">
        <x:v>Device family alone is insufficient for governed relationship.</x:v>
      </x:c>
      <x:c r="G298" s="12" t="str">
        <x:v>Explicit governed evidence supporting relationship</x:v>
      </x:c>
      <x:c r="H298" s="6" t="str"/>
      <x:c r="I298" s="6" t="str"/>
      <x:c r="J298" s="6" t="str"/>
      <x:c r="K298" s="6" t="str">
        <x:v>Open</x:v>
      </x:c>
      <x:c r="L298" s="6" t="str"/>
    </x:row>
    <x:row r="299">
      <x:c r="A299" s="6" t="str">
        <x:v>ESC-000298</x:v>
      </x:c>
      <x:c r="B299" s="6" t="str">
        <x:v>Unsupported Relationship Review</x:v>
      </x:c>
      <x:c r="C299" s="6" t="str">
        <x:v>UNS000298</x:v>
      </x:c>
      <x:c r="D299" s="6" t="str">
        <x:v>SVC000298</x:v>
      </x:c>
      <x:c r="E299" s="6" t="str">
        <x:v>Unsupported Relationship</x:v>
      </x:c>
      <x:c r="F299" s="12" t="str">
        <x:v>Device family alone is insufficient for governed relationship.</x:v>
      </x:c>
      <x:c r="G299" s="12" t="str">
        <x:v>Explicit governed evidence supporting relationship</x:v>
      </x:c>
      <x:c r="H299" s="6" t="str"/>
      <x:c r="I299" s="6" t="str"/>
      <x:c r="J299" s="6" t="str"/>
      <x:c r="K299" s="6" t="str">
        <x:v>Open</x:v>
      </x:c>
      <x:c r="L299" s="6" t="str"/>
    </x:row>
    <x:row r="300">
      <x:c r="A300" s="6" t="str">
        <x:v>ESC-000299</x:v>
      </x:c>
      <x:c r="B300" s="6" t="str">
        <x:v>Unsupported Relationship Review</x:v>
      </x:c>
      <x:c r="C300" s="6" t="str">
        <x:v>UNS000299</x:v>
      </x:c>
      <x:c r="D300" s="6" t="str">
        <x:v>SVC000299</x:v>
      </x:c>
      <x:c r="E300" s="6" t="str">
        <x:v>Unsupported Relationship</x:v>
      </x:c>
      <x:c r="F300" s="12" t="str">
        <x:v>Device family alone is insufficient for governed relationship.</x:v>
      </x:c>
      <x:c r="G300" s="12" t="str">
        <x:v>Explicit governed evidence supporting relationship</x:v>
      </x:c>
      <x:c r="H300" s="6" t="str"/>
      <x:c r="I300" s="6" t="str"/>
      <x:c r="J300" s="6" t="str"/>
      <x:c r="K300" s="6" t="str">
        <x:v>Open</x:v>
      </x:c>
      <x:c r="L300" s="6" t="str"/>
    </x:row>
    <x:row r="301">
      <x:c r="A301" s="6" t="str">
        <x:v>ESC-000300</x:v>
      </x:c>
      <x:c r="B301" s="6" t="str">
        <x:v>Unsupported Relationship Review</x:v>
      </x:c>
      <x:c r="C301" s="6" t="str">
        <x:v>UNS000300</x:v>
      </x:c>
      <x:c r="D301" s="6" t="str">
        <x:v>SVC000300</x:v>
      </x:c>
      <x:c r="E301" s="6" t="str">
        <x:v>Unsupported Relationship</x:v>
      </x:c>
      <x:c r="F301" s="12" t="str">
        <x:v>Device family alone is insufficient for governed relationship.</x:v>
      </x:c>
      <x:c r="G301" s="12" t="str">
        <x:v>Explicit governed evidence supporting relationship</x:v>
      </x:c>
      <x:c r="H301" s="6" t="str"/>
      <x:c r="I301" s="6" t="str"/>
      <x:c r="J301" s="6" t="str"/>
      <x:c r="K301" s="6" t="str">
        <x:v>Open</x:v>
      </x:c>
      <x:c r="L301" s="6" t="str"/>
    </x:row>
    <x:row r="302">
      <x:c r="A302" s="6" t="str">
        <x:v>ESC-000301</x:v>
      </x:c>
      <x:c r="B302" s="6" t="str">
        <x:v>Unsupported Relationship Review</x:v>
      </x:c>
      <x:c r="C302" s="6" t="str">
        <x:v>UNS000301</x:v>
      </x:c>
      <x:c r="D302" s="6" t="str">
        <x:v>SVC000301</x:v>
      </x:c>
      <x:c r="E302" s="6" t="str">
        <x:v>Unsupported Relationship</x:v>
      </x:c>
      <x:c r="F302" s="12" t="str">
        <x:v>Device family alone is insufficient for governed relationship.</x:v>
      </x:c>
      <x:c r="G302" s="12" t="str">
        <x:v>Explicit governed evidence supporting relationship</x:v>
      </x:c>
      <x:c r="H302" s="6" t="str"/>
      <x:c r="I302" s="6" t="str"/>
      <x:c r="J302" s="6" t="str"/>
      <x:c r="K302" s="6" t="str">
        <x:v>Open</x:v>
      </x:c>
      <x:c r="L302" s="6" t="str"/>
    </x:row>
    <x:row r="303">
      <x:c r="A303" s="6" t="str">
        <x:v>ESC-000302</x:v>
      </x:c>
      <x:c r="B303" s="6" t="str">
        <x:v>Unsupported Relationship Review</x:v>
      </x:c>
      <x:c r="C303" s="6" t="str">
        <x:v>UNS000302</x:v>
      </x:c>
      <x:c r="D303" s="6" t="str">
        <x:v>SVC000302</x:v>
      </x:c>
      <x:c r="E303" s="6" t="str">
        <x:v>Unsupported Relationship</x:v>
      </x:c>
      <x:c r="F303" s="12" t="str">
        <x:v>Device family alone is insufficient for governed relationship.</x:v>
      </x:c>
      <x:c r="G303" s="12" t="str">
        <x:v>Explicit governed evidence supporting relationship</x:v>
      </x:c>
      <x:c r="H303" s="6" t="str"/>
      <x:c r="I303" s="6" t="str"/>
      <x:c r="J303" s="6" t="str"/>
      <x:c r="K303" s="6" t="str">
        <x:v>Open</x:v>
      </x:c>
      <x:c r="L303" s="6" t="str"/>
    </x:row>
    <x:row r="304">
      <x:c r="A304" s="6" t="str">
        <x:v>ESC-000303</x:v>
      </x:c>
      <x:c r="B304" s="6" t="str">
        <x:v>Unsupported Relationship Review</x:v>
      </x:c>
      <x:c r="C304" s="6" t="str">
        <x:v>UNS000303</x:v>
      </x:c>
      <x:c r="D304" s="6" t="str">
        <x:v>SVC000303</x:v>
      </x:c>
      <x:c r="E304" s="6" t="str">
        <x:v>Unsupported Relationship</x:v>
      </x:c>
      <x:c r="F304" s="12" t="str">
        <x:v>Device family alone is insufficient for governed relationship.</x:v>
      </x:c>
      <x:c r="G304" s="12" t="str">
        <x:v>Explicit governed evidence supporting relationship</x:v>
      </x:c>
      <x:c r="H304" s="6" t="str"/>
      <x:c r="I304" s="6" t="str"/>
      <x:c r="J304" s="6" t="str"/>
      <x:c r="K304" s="6" t="str">
        <x:v>Open</x:v>
      </x:c>
      <x:c r="L304" s="6" t="str"/>
    </x:row>
    <x:row r="305">
      <x:c r="A305" s="6" t="str">
        <x:v>ESC-000304</x:v>
      </x:c>
      <x:c r="B305" s="6" t="str">
        <x:v>Unsupported Relationship Review</x:v>
      </x:c>
      <x:c r="C305" s="6" t="str">
        <x:v>UNS000304</x:v>
      </x:c>
      <x:c r="D305" s="6" t="str">
        <x:v>SVC000304</x:v>
      </x:c>
      <x:c r="E305" s="6" t="str">
        <x:v>Unsupported Relationship</x:v>
      </x:c>
      <x:c r="F305" s="12" t="str">
        <x:v>Device family alone is insufficient for governed relationship.</x:v>
      </x:c>
      <x:c r="G305" s="12" t="str">
        <x:v>Explicit governed evidence supporting relationship</x:v>
      </x:c>
      <x:c r="H305" s="6" t="str"/>
      <x:c r="I305" s="6" t="str"/>
      <x:c r="J305" s="6" t="str"/>
      <x:c r="K305" s="6" t="str">
        <x:v>Open</x:v>
      </x:c>
      <x:c r="L305" s="6" t="str"/>
    </x:row>
    <x:row r="306">
      <x:c r="A306" s="6" t="str">
        <x:v>ESC-000305</x:v>
      </x:c>
      <x:c r="B306" s="6" t="str">
        <x:v>Unsupported Relationship Review</x:v>
      </x:c>
      <x:c r="C306" s="6" t="str">
        <x:v>UNS000305</x:v>
      </x:c>
      <x:c r="D306" s="6" t="str">
        <x:v>SVC000305</x:v>
      </x:c>
      <x:c r="E306" s="6" t="str">
        <x:v>Unsupported Relationship</x:v>
      </x:c>
      <x:c r="F306" s="12" t="str">
        <x:v>Device family alone is insufficient for governed relationship.</x:v>
      </x:c>
      <x:c r="G306" s="12" t="str">
        <x:v>Explicit governed evidence supporting relationship</x:v>
      </x:c>
      <x:c r="H306" s="6" t="str"/>
      <x:c r="I306" s="6" t="str"/>
      <x:c r="J306" s="6" t="str"/>
      <x:c r="K306" s="6" t="str">
        <x:v>Open</x:v>
      </x:c>
      <x:c r="L306" s="6" t="str"/>
    </x:row>
    <x:row r="307">
      <x:c r="A307" s="6" t="str">
        <x:v>ESC-000306</x:v>
      </x:c>
      <x:c r="B307" s="6" t="str">
        <x:v>Unsupported Relationship Review</x:v>
      </x:c>
      <x:c r="C307" s="6" t="str">
        <x:v>UNS000306</x:v>
      </x:c>
      <x:c r="D307" s="6" t="str">
        <x:v>SVC000306</x:v>
      </x:c>
      <x:c r="E307" s="6" t="str">
        <x:v>Unsupported Relationship</x:v>
      </x:c>
      <x:c r="F307" s="12" t="str">
        <x:v>Device family alone is insufficient for governed relationship.</x:v>
      </x:c>
      <x:c r="G307" s="12" t="str">
        <x:v>Explicit governed evidence supporting relationship</x:v>
      </x:c>
      <x:c r="H307" s="6" t="str"/>
      <x:c r="I307" s="6" t="str"/>
      <x:c r="J307" s="6" t="str"/>
      <x:c r="K307" s="6" t="str">
        <x:v>Open</x:v>
      </x:c>
      <x:c r="L307" s="6" t="str"/>
    </x:row>
    <x:row r="308">
      <x:c r="A308" s="6" t="str">
        <x:v>ESC-000307</x:v>
      </x:c>
      <x:c r="B308" s="6" t="str">
        <x:v>Unsupported Relationship Review</x:v>
      </x:c>
      <x:c r="C308" s="6" t="str">
        <x:v>UNS000307</x:v>
      </x:c>
      <x:c r="D308" s="6" t="str">
        <x:v>SVC000307</x:v>
      </x:c>
      <x:c r="E308" s="6" t="str">
        <x:v>Unsupported Relationship</x:v>
      </x:c>
      <x:c r="F308" s="12" t="str">
        <x:v>Device family alone is insufficient for governed relationship.</x:v>
      </x:c>
      <x:c r="G308" s="12" t="str">
        <x:v>Explicit governed evidence supporting relationship</x:v>
      </x:c>
      <x:c r="H308" s="6" t="str"/>
      <x:c r="I308" s="6" t="str"/>
      <x:c r="J308" s="6" t="str"/>
      <x:c r="K308" s="6" t="str">
        <x:v>Open</x:v>
      </x:c>
      <x:c r="L308" s="6" t="str"/>
    </x:row>
    <x:row r="309">
      <x:c r="A309" s="6" t="str">
        <x:v>ESC-000308</x:v>
      </x:c>
      <x:c r="B309" s="6" t="str">
        <x:v>Unsupported Relationship Review</x:v>
      </x:c>
      <x:c r="C309" s="6" t="str">
        <x:v>UNS000308</x:v>
      </x:c>
      <x:c r="D309" s="6" t="str">
        <x:v>SVC000308</x:v>
      </x:c>
      <x:c r="E309" s="6" t="str">
        <x:v>Unsupported Relationship</x:v>
      </x:c>
      <x:c r="F309" s="12" t="str">
        <x:v>Device family alone is insufficient for governed relationship.</x:v>
      </x:c>
      <x:c r="G309" s="12" t="str">
        <x:v>Explicit governed evidence supporting relationship</x:v>
      </x:c>
      <x:c r="H309" s="6" t="str"/>
      <x:c r="I309" s="6" t="str"/>
      <x:c r="J309" s="6" t="str"/>
      <x:c r="K309" s="6" t="str">
        <x:v>Open</x:v>
      </x:c>
      <x:c r="L309" s="6" t="str"/>
    </x:row>
    <x:row r="310">
      <x:c r="A310" s="6" t="str">
        <x:v>ESC-000309</x:v>
      </x:c>
      <x:c r="B310" s="6" t="str">
        <x:v>Unsupported Relationship Review</x:v>
      </x:c>
      <x:c r="C310" s="6" t="str">
        <x:v>UNS000309</x:v>
      </x:c>
      <x:c r="D310" s="6" t="str">
        <x:v>SVC000309</x:v>
      </x:c>
      <x:c r="E310" s="6" t="str">
        <x:v>Unsupported Relationship</x:v>
      </x:c>
      <x:c r="F310" s="12" t="str">
        <x:v>Device family alone is insufficient for governed relationship.</x:v>
      </x:c>
      <x:c r="G310" s="12" t="str">
        <x:v>Explicit governed evidence supporting relationship</x:v>
      </x:c>
      <x:c r="H310" s="6" t="str"/>
      <x:c r="I310" s="6" t="str"/>
      <x:c r="J310" s="6" t="str"/>
      <x:c r="K310" s="6" t="str">
        <x:v>Open</x:v>
      </x:c>
      <x:c r="L310" s="6" t="str"/>
    </x:row>
    <x:row r="311">
      <x:c r="A311" s="6" t="str">
        <x:v>ESC-000310</x:v>
      </x:c>
      <x:c r="B311" s="6" t="str">
        <x:v>Unsupported Relationship Review</x:v>
      </x:c>
      <x:c r="C311" s="6" t="str">
        <x:v>UNS000310</x:v>
      </x:c>
      <x:c r="D311" s="6" t="str">
        <x:v>SVC000310</x:v>
      </x:c>
      <x:c r="E311" s="6" t="str">
        <x:v>Unsupported Relationship</x:v>
      </x:c>
      <x:c r="F311" s="12" t="str">
        <x:v>Device family alone is insufficient for governed relationship.</x:v>
      </x:c>
      <x:c r="G311" s="12" t="str">
        <x:v>Explicit governed evidence supporting relationship</x:v>
      </x:c>
      <x:c r="H311" s="6" t="str"/>
      <x:c r="I311" s="6" t="str"/>
      <x:c r="J311" s="6" t="str"/>
      <x:c r="K311" s="6" t="str">
        <x:v>Open</x:v>
      </x:c>
      <x:c r="L311" s="6" t="str"/>
    </x:row>
    <x:row r="312">
      <x:c r="A312" s="6" t="str">
        <x:v>ESC-000311</x:v>
      </x:c>
      <x:c r="B312" s="6" t="str">
        <x:v>Unsupported Relationship Review</x:v>
      </x:c>
      <x:c r="C312" s="6" t="str">
        <x:v>UNS000311</x:v>
      </x:c>
      <x:c r="D312" s="6" t="str">
        <x:v>SVC000311</x:v>
      </x:c>
      <x:c r="E312" s="6" t="str">
        <x:v>Unsupported Relationship</x:v>
      </x:c>
      <x:c r="F312" s="12" t="str">
        <x:v>Device family alone is insufficient for governed relationship.</x:v>
      </x:c>
      <x:c r="G312" s="12" t="str">
        <x:v>Explicit governed evidence supporting relationship</x:v>
      </x:c>
      <x:c r="H312" s="6" t="str"/>
      <x:c r="I312" s="6" t="str"/>
      <x:c r="J312" s="6" t="str"/>
      <x:c r="K312" s="6" t="str">
        <x:v>Open</x:v>
      </x:c>
      <x:c r="L312" s="6" t="str"/>
    </x:row>
    <x:row r="313">
      <x:c r="A313" s="6" t="str">
        <x:v>ESC-000312</x:v>
      </x:c>
      <x:c r="B313" s="6" t="str">
        <x:v>Unsupported Relationship Review</x:v>
      </x:c>
      <x:c r="C313" s="6" t="str">
        <x:v>UNS000312</x:v>
      </x:c>
      <x:c r="D313" s="6" t="str">
        <x:v>SVC000312</x:v>
      </x:c>
      <x:c r="E313" s="6" t="str">
        <x:v>Unsupported Relationship</x:v>
      </x:c>
      <x:c r="F313" s="12" t="str">
        <x:v>Device family alone is insufficient for governed relationship.</x:v>
      </x:c>
      <x:c r="G313" s="12" t="str">
        <x:v>Explicit governed evidence supporting relationship</x:v>
      </x:c>
      <x:c r="H313" s="6" t="str"/>
      <x:c r="I313" s="6" t="str"/>
      <x:c r="J313" s="6" t="str"/>
      <x:c r="K313" s="6" t="str">
        <x:v>Open</x:v>
      </x:c>
      <x:c r="L313" s="6" t="str"/>
    </x:row>
    <x:row r="314">
      <x:c r="A314" s="6" t="str">
        <x:v>ESC-000313</x:v>
      </x:c>
      <x:c r="B314" s="6" t="str">
        <x:v>Unsupported Relationship Review</x:v>
      </x:c>
      <x:c r="C314" s="6" t="str">
        <x:v>UNS000313</x:v>
      </x:c>
      <x:c r="D314" s="6" t="str">
        <x:v>SVC000313</x:v>
      </x:c>
      <x:c r="E314" s="6" t="str">
        <x:v>Unsupported Relationship</x:v>
      </x:c>
      <x:c r="F314" s="12" t="str">
        <x:v>Device family alone is insufficient for governed relationship.</x:v>
      </x:c>
      <x:c r="G314" s="12" t="str">
        <x:v>Explicit governed evidence supporting relationship</x:v>
      </x:c>
      <x:c r="H314" s="6" t="str"/>
      <x:c r="I314" s="6" t="str"/>
      <x:c r="J314" s="6" t="str"/>
      <x:c r="K314" s="6" t="str">
        <x:v>Open</x:v>
      </x:c>
      <x:c r="L314" s="6" t="str"/>
    </x:row>
    <x:row r="315">
      <x:c r="A315" s="6" t="str">
        <x:v>ESC-000314</x:v>
      </x:c>
      <x:c r="B315" s="6" t="str">
        <x:v>Unsupported Relationship Review</x:v>
      </x:c>
      <x:c r="C315" s="6" t="str">
        <x:v>UNS000314</x:v>
      </x:c>
      <x:c r="D315" s="6" t="str">
        <x:v>SVC000314</x:v>
      </x:c>
      <x:c r="E315" s="6" t="str">
        <x:v>Unsupported Relationship</x:v>
      </x:c>
      <x:c r="F315" s="12" t="str">
        <x:v>Device family alone is insufficient for governed relationship.</x:v>
      </x:c>
      <x:c r="G315" s="12" t="str">
        <x:v>Explicit governed evidence supporting relationship</x:v>
      </x:c>
      <x:c r="H315" s="6" t="str"/>
      <x:c r="I315" s="6" t="str"/>
      <x:c r="J315" s="6" t="str"/>
      <x:c r="K315" s="6" t="str">
        <x:v>Open</x:v>
      </x:c>
      <x:c r="L315" s="6" t="str"/>
    </x:row>
    <x:row r="316">
      <x:c r="A316" s="6" t="str">
        <x:v>ESC-000315</x:v>
      </x:c>
      <x:c r="B316" s="6" t="str">
        <x:v>Duplicate Group Review</x:v>
      </x:c>
      <x:c r="C316" s="6" t="str">
        <x:v>DUP000001</x:v>
      </x:c>
      <x:c r="D316" s="6" t="str">
        <x:v>SVC000008; SVC000086; SVC000087</x:v>
      </x:c>
      <x:c r="E316" s="6" t="str">
        <x:v>Duplicate Disposition</x:v>
      </x:c>
      <x:c r="F316" s="12" t="str">
        <x:v>Exact normalized service identity fields match multiple records.</x:v>
      </x:c>
      <x:c r="G316" s="12" t="str">
        <x:v>Reviewer disposition and supporting evidence</x:v>
      </x:c>
      <x:c r="H316" s="6" t="str"/>
      <x:c r="I316" s="6" t="str"/>
      <x:c r="J316" s="6" t="str"/>
      <x:c r="K316" s="6" t="str">
        <x:v>Open</x:v>
      </x:c>
      <x:c r="L316" s="6" t="str"/>
    </x:row>
    <x:row r="317">
      <x:c r="A317" s="6" t="str">
        <x:v>ESC-000316</x:v>
      </x:c>
      <x:c r="B317" s="6" t="str">
        <x:v>Duplicate Group Review</x:v>
      </x:c>
      <x:c r="C317" s="6" t="str">
        <x:v>DUP000002</x:v>
      </x:c>
      <x:c r="D317" s="6" t="str">
        <x:v>SVC000009; SVC000088; SVC000089</x:v>
      </x:c>
      <x:c r="E317" s="6" t="str">
        <x:v>Duplicate Disposition</x:v>
      </x:c>
      <x:c r="F317" s="12" t="str">
        <x:v>Exact normalized service identity fields match multiple records.</x:v>
      </x:c>
      <x:c r="G317" s="12" t="str">
        <x:v>Reviewer disposition and supporting evidence</x:v>
      </x:c>
      <x:c r="H317" s="6" t="str"/>
      <x:c r="I317" s="6" t="str"/>
      <x:c r="J317" s="6" t="str"/>
      <x:c r="K317" s="6" t="str">
        <x:v>Open</x:v>
      </x:c>
      <x:c r="L317" s="6" t="str"/>
    </x:row>
    <x:row r="318">
      <x:c r="A318" s="6" t="str">
        <x:v>ESC-000317</x:v>
      </x:c>
      <x:c r="B318" s="6" t="str">
        <x:v>Duplicate Group Review</x:v>
      </x:c>
      <x:c r="C318" s="6" t="str">
        <x:v>DUP000003</x:v>
      </x:c>
      <x:c r="D318" s="6" t="str">
        <x:v>SVC000090; SVC000091</x:v>
      </x:c>
      <x:c r="E318" s="6" t="str">
        <x:v>Duplicate Disposition</x:v>
      </x:c>
      <x:c r="F318" s="12" t="str">
        <x:v>Exact normalized service identity fields match multiple records.</x:v>
      </x:c>
      <x:c r="G318" s="12" t="str">
        <x:v>Reviewer disposition and supporting evidence</x:v>
      </x:c>
      <x:c r="H318" s="6" t="str"/>
      <x:c r="I318" s="6" t="str"/>
      <x:c r="J318" s="6" t="str"/>
      <x:c r="K318" s="6" t="str">
        <x:v>Open</x:v>
      </x:c>
      <x:c r="L318" s="6" t="str"/>
    </x:row>
    <x:row r="319">
      <x:c r="A319" s="6" t="str">
        <x:v>ESC-000318</x:v>
      </x:c>
      <x:c r="B319" s="6" t="str">
        <x:v>Duplicate Group Review</x:v>
      </x:c>
      <x:c r="C319" s="6" t="str">
        <x:v>DUP000004</x:v>
      </x:c>
      <x:c r="D319" s="6" t="str">
        <x:v>SVC000092; SVC000093</x:v>
      </x:c>
      <x:c r="E319" s="6" t="str">
        <x:v>Duplicate Disposition</x:v>
      </x:c>
      <x:c r="F319" s="12" t="str">
        <x:v>Exact normalized service identity fields match multiple records.</x:v>
      </x:c>
      <x:c r="G319" s="12" t="str">
        <x:v>Reviewer disposition and supporting evidence</x:v>
      </x:c>
      <x:c r="H319" s="6" t="str"/>
      <x:c r="I319" s="6" t="str"/>
      <x:c r="J319" s="6" t="str"/>
      <x:c r="K319" s="6" t="str">
        <x:v>Open</x:v>
      </x:c>
      <x:c r="L319" s="6" t="str"/>
    </x:row>
    <x:row r="320">
      <x:c r="A320" s="6" t="str">
        <x:v>ESC-000319</x:v>
      </x:c>
      <x:c r="B320" s="6" t="str">
        <x:v>Duplicate Group Review</x:v>
      </x:c>
      <x:c r="C320" s="6" t="str">
        <x:v>DUP000005</x:v>
      </x:c>
      <x:c r="D320" s="6" t="str">
        <x:v>SVC000101; SVC000102; SVC000103</x:v>
      </x:c>
      <x:c r="E320" s="6" t="str">
        <x:v>Duplicate Disposition</x:v>
      </x:c>
      <x:c r="F320" s="12" t="str">
        <x:v>Exact normalized service identity fields match multiple records.</x:v>
      </x:c>
      <x:c r="G320" s="12" t="str">
        <x:v>Reviewer disposition and supporting evidence</x:v>
      </x:c>
      <x:c r="H320" s="6" t="str"/>
      <x:c r="I320" s="6" t="str"/>
      <x:c r="J320" s="6" t="str"/>
      <x:c r="K320" s="6" t="str">
        <x:v>Open</x:v>
      </x:c>
      <x:c r="L320" s="6" t="str"/>
    </x:row>
    <x:row r="321">
      <x:c r="A321" s="6" t="str">
        <x:v>ESC-000320</x:v>
      </x:c>
      <x:c r="B321" s="6" t="str">
        <x:v>Duplicate Group Review</x:v>
      </x:c>
      <x:c r="C321" s="6" t="str">
        <x:v>DUP000006</x:v>
      </x:c>
      <x:c r="D321" s="6" t="str">
        <x:v>SVC000167; SVC000202</x:v>
      </x:c>
      <x:c r="E321" s="6" t="str">
        <x:v>Duplicate Disposition</x:v>
      </x:c>
      <x:c r="F321" s="12" t="str">
        <x:v>Exact normalized service identity fields match multiple records.</x:v>
      </x:c>
      <x:c r="G321" s="12" t="str">
        <x:v>Reviewer disposition and supporting evidence</x:v>
      </x:c>
      <x:c r="H321" s="6" t="str"/>
      <x:c r="I321" s="6" t="str"/>
      <x:c r="J321" s="6" t="str"/>
      <x:c r="K321" s="6" t="str">
        <x:v>Open</x:v>
      </x:c>
      <x:c r="L321" s="6" t="str"/>
    </x:row>
    <x:row r="322">
      <x:c r="A322" s="6" t="str">
        <x:v>ESC-000321</x:v>
      </x:c>
      <x:c r="B322" s="6" t="str">
        <x:v>Duplicate Group Review</x:v>
      </x:c>
      <x:c r="C322" s="6" t="str">
        <x:v>DUP000007</x:v>
      </x:c>
      <x:c r="D322" s="6" t="str">
        <x:v>SVC000170; SVC000203; SVC000204</x:v>
      </x:c>
      <x:c r="E322" s="6" t="str">
        <x:v>Duplicate Disposition</x:v>
      </x:c>
      <x:c r="F322" s="12" t="str">
        <x:v>Exact normalized service identity fields match multiple records.</x:v>
      </x:c>
      <x:c r="G322" s="12" t="str">
        <x:v>Reviewer disposition and supporting evidence</x:v>
      </x:c>
      <x:c r="H322" s="6" t="str"/>
      <x:c r="I322" s="6" t="str"/>
      <x:c r="J322" s="6" t="str"/>
      <x:c r="K322" s="6" t="str">
        <x:v>Open</x:v>
      </x:c>
      <x:c r="L322" s="6" t="str"/>
    </x:row>
    <x:row r="323">
      <x:c r="A323" s="6" t="str">
        <x:v>ESC-000322</x:v>
      </x:c>
      <x:c r="B323" s="6" t="str">
        <x:v>Duplicate Group Review</x:v>
      </x:c>
      <x:c r="C323" s="6" t="str">
        <x:v>DUP000008</x:v>
      </x:c>
      <x:c r="D323" s="6" t="str">
        <x:v>SVC000173; SVC000175</x:v>
      </x:c>
      <x:c r="E323" s="6" t="str">
        <x:v>Duplicate Disposition</x:v>
      </x:c>
      <x:c r="F323" s="12" t="str">
        <x:v>Exact normalized service identity fields match multiple records.</x:v>
      </x:c>
      <x:c r="G323" s="12" t="str">
        <x:v>Reviewer disposition and supporting evidence</x:v>
      </x:c>
      <x:c r="H323" s="6" t="str"/>
      <x:c r="I323" s="6" t="str"/>
      <x:c r="J323" s="6" t="str"/>
      <x:c r="K323" s="6" t="str">
        <x:v>Open</x:v>
      </x:c>
      <x:c r="L323" s="6" t="str"/>
    </x:row>
    <x:row r="324">
      <x:c r="A324" s="6" t="str">
        <x:v>ESC-000323</x:v>
      </x:c>
      <x:c r="B324" s="6" t="str">
        <x:v>Duplicate Group Review</x:v>
      </x:c>
      <x:c r="C324" s="6" t="str">
        <x:v>DUP000009</x:v>
      </x:c>
      <x:c r="D324" s="6" t="str">
        <x:v>SVC000174; SVC000176; SVC000177</x:v>
      </x:c>
      <x:c r="E324" s="6" t="str">
        <x:v>Duplicate Disposition</x:v>
      </x:c>
      <x:c r="F324" s="12" t="str">
        <x:v>Exact normalized service identity fields match multiple records.</x:v>
      </x:c>
      <x:c r="G324" s="12" t="str">
        <x:v>Reviewer disposition and supporting evidence</x:v>
      </x:c>
      <x:c r="H324" s="6" t="str"/>
      <x:c r="I324" s="6" t="str"/>
      <x:c r="J324" s="6" t="str"/>
      <x:c r="K324" s="6" t="str">
        <x:v>Open</x:v>
      </x:c>
      <x:c r="L324" s="6" t="str"/>
    </x:row>
    <x:row r="325">
      <x:c r="A325" s="6" t="str">
        <x:v>ESC-000324</x:v>
      </x:c>
      <x:c r="B325" s="6" t="str">
        <x:v>Duplicate Group Review</x:v>
      </x:c>
      <x:c r="C325" s="6" t="str">
        <x:v>DUP000010</x:v>
      </x:c>
      <x:c r="D325" s="6" t="str">
        <x:v>SVC000180; SVC000206; SVC000207</x:v>
      </x:c>
      <x:c r="E325" s="6" t="str">
        <x:v>Duplicate Disposition</x:v>
      </x:c>
      <x:c r="F325" s="12" t="str">
        <x:v>Exact normalized service identity fields match multiple records.</x:v>
      </x:c>
      <x:c r="G325" s="12" t="str">
        <x:v>Reviewer disposition and supporting evidence</x:v>
      </x:c>
      <x:c r="H325" s="6" t="str"/>
      <x:c r="I325" s="6" t="str"/>
      <x:c r="J325" s="6" t="str"/>
      <x:c r="K325" s="6" t="str">
        <x:v>Open</x:v>
      </x:c>
      <x:c r="L325" s="6" t="str"/>
    </x:row>
    <x:row r="326">
      <x:c r="A326" s="6" t="str">
        <x:v>ESC-000325</x:v>
      </x:c>
      <x:c r="B326" s="6" t="str">
        <x:v>Duplicate Group Review</x:v>
      </x:c>
      <x:c r="C326" s="6" t="str">
        <x:v>DUP000011</x:v>
      </x:c>
      <x:c r="D326" s="6" t="str">
        <x:v>SVC000217; SVC000218; SVC000219</x:v>
      </x:c>
      <x:c r="E326" s="6" t="str">
        <x:v>Duplicate Disposition</x:v>
      </x:c>
      <x:c r="F326" s="12" t="str">
        <x:v>Exact normalized service identity fields match multiple records.</x:v>
      </x:c>
      <x:c r="G326" s="12" t="str">
        <x:v>Reviewer disposition and supporting evidence</x:v>
      </x:c>
      <x:c r="H326" s="6" t="str"/>
      <x:c r="I326" s="6" t="str"/>
      <x:c r="J326" s="6" t="str"/>
      <x:c r="K326" s="6" t="str">
        <x:v>Open</x:v>
      </x:c>
      <x:c r="L326" s="6" t="str"/>
    </x:row>
    <x:row r="327">
      <x:c r="A327" s="6" t="str">
        <x:v>ESC-000326</x:v>
      </x:c>
      <x:c r="B327" s="6" t="str">
        <x:v>Duplicate Group Review</x:v>
      </x:c>
      <x:c r="C327" s="6" t="str">
        <x:v>DUP000012</x:v>
      </x:c>
      <x:c r="D327" s="6" t="str">
        <x:v>SVC000223; SVC000224</x:v>
      </x:c>
      <x:c r="E327" s="6" t="str">
        <x:v>Duplicate Disposition</x:v>
      </x:c>
      <x:c r="F327" s="12" t="str">
        <x:v>Exact normalized service identity fields match multiple records.</x:v>
      </x:c>
      <x:c r="G327" s="12" t="str">
        <x:v>Reviewer disposition and supporting evidence</x:v>
      </x:c>
      <x:c r="H327" s="6" t="str"/>
      <x:c r="I327" s="6" t="str"/>
      <x:c r="J327" s="6" t="str"/>
      <x:c r="K327" s="6" t="str">
        <x:v>Open</x:v>
      </x:c>
      <x:c r="L327" s="6" t="str"/>
    </x:row>
    <x:row r="328">
      <x:c r="A328" s="6" t="str">
        <x:v>ESC-000327</x:v>
      </x:c>
      <x:c r="B328" s="6" t="str">
        <x:v>Duplicate Group Review</x:v>
      </x:c>
      <x:c r="C328" s="6" t="str">
        <x:v>DUP000013</x:v>
      </x:c>
      <x:c r="D328" s="6" t="str">
        <x:v>SVC000225; SVC000226; SVC000227</x:v>
      </x:c>
      <x:c r="E328" s="6" t="str">
        <x:v>Duplicate Disposition</x:v>
      </x:c>
      <x:c r="F328" s="12" t="str">
        <x:v>Exact normalized service identity fields match multiple records.</x:v>
      </x:c>
      <x:c r="G328" s="12" t="str">
        <x:v>Reviewer disposition and supporting evidence</x:v>
      </x:c>
      <x:c r="H328" s="6" t="str"/>
      <x:c r="I328" s="6" t="str"/>
      <x:c r="J328" s="6" t="str"/>
      <x:c r="K328" s="6" t="str">
        <x:v>Open</x:v>
      </x:c>
      <x:c r="L328" s="6" t="str"/>
    </x:row>
    <x:row r="329">
      <x:c r="A329" s="6" t="str">
        <x:v>ESC-000328</x:v>
      </x:c>
      <x:c r="B329" s="6" t="str">
        <x:v>Duplicate Group Review</x:v>
      </x:c>
      <x:c r="C329" s="6" t="str">
        <x:v>DUP000014</x:v>
      </x:c>
      <x:c r="D329" s="6" t="str">
        <x:v>SVC000229; SVC000230</x:v>
      </x:c>
      <x:c r="E329" s="6" t="str">
        <x:v>Duplicate Disposition</x:v>
      </x:c>
      <x:c r="F329" s="12" t="str">
        <x:v>Exact normalized service identity fields match multiple records.</x:v>
      </x:c>
      <x:c r="G329" s="12" t="str">
        <x:v>Reviewer disposition and supporting evidence</x:v>
      </x:c>
      <x:c r="H329" s="6" t="str"/>
      <x:c r="I329" s="6" t="str"/>
      <x:c r="J329" s="6" t="str"/>
      <x:c r="K329" s="6" t="str">
        <x:v>Open</x:v>
      </x:c>
      <x:c r="L329" s="6" t="str"/>
    </x:row>
    <x:row r="330">
      <x:c r="A330" s="6" t="str">
        <x:v>ESC-000329</x:v>
      </x:c>
      <x:c r="B330" s="6" t="str">
        <x:v>Duplicate Group Review</x:v>
      </x:c>
      <x:c r="C330" s="6" t="str">
        <x:v>DUP000015</x:v>
      </x:c>
      <x:c r="D330" s="6" t="str">
        <x:v>SVC000231; SVC000232</x:v>
      </x:c>
      <x:c r="E330" s="6" t="str">
        <x:v>Duplicate Disposition</x:v>
      </x:c>
      <x:c r="F330" s="12" t="str">
        <x:v>Exact normalized service identity fields match multiple records.</x:v>
      </x:c>
      <x:c r="G330" s="12" t="str">
        <x:v>Reviewer disposition and supporting evidence</x:v>
      </x:c>
      <x:c r="H330" s="6" t="str"/>
      <x:c r="I330" s="6" t="str"/>
      <x:c r="J330" s="6" t="str"/>
      <x:c r="K330" s="6" t="str">
        <x:v>Open</x:v>
      </x:c>
      <x:c r="L330" s="6" t="str"/>
    </x:row>
  </x:sheetData>
  <x:dataValidations count="1">
    <x:dataValidation type="list" sqref="K2:K330">
      <x:formula1>"Open,In Review,Resolved,Deferred"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d79aec46db4f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4.380000114440918" hidden="0" customWidth="1"/>
    <x:col min="3" max="3" width="10.75" hidden="0" customWidth="1"/>
    <x:col min="4" max="4" width="20.75" hidden="0" customWidth="1"/>
    <x:col min="5" max="5" width="35.75" hidden="0" customWidth="1"/>
    <x:col min="6" max="6" width="19.6299991607666" hidden="0" customWidth="1"/>
    <x:col min="7" max="7" width="14.25" hidden="0" customWidth="1"/>
    <x:col min="8" max="8" width="38.130001068115234" hidden="0" customWidth="1"/>
    <x:col min="9" max="9" width="36.75" hidden="0" customWidth="1"/>
    <x:col min="10" max="10" width="18.6299991607666" hidden="0" customWidth="1"/>
    <x:col min="11" max="11" width="16.8799991607666" hidden="0" customWidth="1"/>
    <x:col min="12" max="12" width="43.130001068115234" hidden="0" customWidth="1"/>
  </x:cols>
  <x:sheetData>
    <x:row r="1">
      <x:c r="A1" s="5" t="str">
        <x:v>Evidence ID</x:v>
      </x:c>
      <x:c r="B1" s="5" t="str">
        <x:v>Review Item ID</x:v>
      </x:c>
      <x:c r="C1" s="5" t="str">
        <x:v>Service ID</x:v>
      </x:c>
      <x:c r="D1" s="5" t="str">
        <x:v>Evidence Type</x:v>
      </x:c>
      <x:c r="E1" s="5" t="str">
        <x:v>Source Workbook</x:v>
      </x:c>
      <x:c r="F1" s="5" t="str">
        <x:v>Source Worksheet</x:v>
      </x:c>
      <x:c r="G1" s="5" t="str">
        <x:v>Source Record</x:v>
      </x:c>
      <x:c r="H1" s="5" t="str">
        <x:v>Original Value</x:v>
      </x:c>
      <x:c r="I1" s="5" t="str">
        <x:v>Normalized Value</x:v>
      </x:c>
      <x:c r="J1" s="5" t="str">
        <x:v>Related Governed ID</x:v>
      </x:c>
      <x:c r="K1" s="5" t="str">
        <x:v>Evidence Strength</x:v>
      </x:c>
      <x:c r="L1" s="5" t="str">
        <x:v>Evidence Notes</x:v>
      </x:c>
    </x:row>
    <x:row r="2">
      <x:c r="A2" s="12" t="str">
        <x:v>EVID-SIR-000001</x:v>
      </x:c>
      <x:c r="B2" s="6" t="str">
        <x:v>SIR-000001</x:v>
      </x:c>
      <x:c r="C2" s="6" t="str">
        <x:v>SVC000001</x:v>
      </x:c>
      <x:c r="D2" s="12" t="str">
        <x:v>Service Identity Observation</x:v>
      </x:c>
      <x:c r="E2" s="6" t="str">
        <x:v>Nocturnix_Master_Services_Catalog_v1.xlsx</x:v>
      </x:c>
      <x:c r="F2" s="6" t="str">
        <x:v>01 - Master Services</x:v>
      </x:c>
      <x:c r="G2" s="6" t="n">
        <x:v>41</x:v>
      </x:c>
      <x:c r="H2" s="12" t="str">
        <x:v>Galaxy Note 9 Screen replacement</x:v>
      </x:c>
      <x:c r="I2" s="12" t="str">
        <x:v>galaxy note 9 screen replacement</x:v>
      </x:c>
      <x:c r="J2" s="6" t="str">
        <x:v>SVC000001</x:v>
      </x:c>
      <x:c r="K2" s="12" t="str">
        <x:v>Contextual</x:v>
      </x:c>
      <x:c r="L2" s="12" t="str">
        <x:v>Source service identity preserved for manual review.</x:v>
      </x:c>
    </x:row>
    <x:row r="3">
      <x:c r="A3" s="12" t="str">
        <x:v>EVID-SIR-000002</x:v>
      </x:c>
      <x:c r="B3" s="6" t="str">
        <x:v>SIR-000002</x:v>
      </x:c>
      <x:c r="C3" s="6" t="str">
        <x:v>SVC000002</x:v>
      </x:c>
      <x:c r="D3" s="12" t="str">
        <x:v>Service Identity Observation</x:v>
      </x:c>
      <x:c r="E3" s="6" t="str">
        <x:v>Nocturnix_Master_Services_Catalog_v1.xlsx</x:v>
      </x:c>
      <x:c r="F3" s="6" t="str">
        <x:v>01 - Master Services</x:v>
      </x:c>
      <x:c r="G3" s="6" t="n">
        <x:v>42</x:v>
      </x:c>
      <x:c r="H3" s="12" t="str">
        <x:v>Galaxy S 8 Active Screen replacement</x:v>
      </x:c>
      <x:c r="I3" s="12" t="str">
        <x:v>galaxy s 8 active screen replacement</x:v>
      </x:c>
      <x:c r="J3" s="6" t="str">
        <x:v>SVC000002</x:v>
      </x:c>
      <x:c r="K3" s="12" t="str">
        <x:v>Contextual</x:v>
      </x:c>
      <x:c r="L3" s="12" t="str">
        <x:v>Source service identity preserved for manual review.</x:v>
      </x:c>
    </x:row>
    <x:row r="4">
      <x:c r="A4" s="12" t="str">
        <x:v>EVID-SIR-000003</x:v>
      </x:c>
      <x:c r="B4" s="6" t="str">
        <x:v>SIR-000003</x:v>
      </x:c>
      <x:c r="C4" s="6" t="str">
        <x:v>SVC000003</x:v>
      </x:c>
      <x:c r="D4" s="12" t="str">
        <x:v>Service Identity Observation</x:v>
      </x:c>
      <x:c r="E4" s="6" t="str">
        <x:v>Nocturnix_Master_Services_Catalog_v1.xlsx</x:v>
      </x:c>
      <x:c r="F4" s="6" t="str">
        <x:v>01 - Master Services</x:v>
      </x:c>
      <x:c r="G4" s="6" t="n">
        <x:v>43</x:v>
      </x:c>
      <x:c r="H4" s="12" t="str">
        <x:v>Galaxy S 24 Screen replacement</x:v>
      </x:c>
      <x:c r="I4" s="12" t="str">
        <x:v>galaxy s 24 screen replacement</x:v>
      </x:c>
      <x:c r="J4" s="6" t="str">
        <x:v>SVC000003</x:v>
      </x:c>
      <x:c r="K4" s="12" t="str">
        <x:v>Contextual</x:v>
      </x:c>
      <x:c r="L4" s="12" t="str">
        <x:v>Source service identity preserved for manual review.</x:v>
      </x:c>
    </x:row>
    <x:row r="5">
      <x:c r="A5" s="12" t="str">
        <x:v>EVID-SIR-000004</x:v>
      </x:c>
      <x:c r="B5" s="6" t="str">
        <x:v>SIR-000004</x:v>
      </x:c>
      <x:c r="C5" s="6" t="str">
        <x:v>SVC000004</x:v>
      </x:c>
      <x:c r="D5" s="12" t="str">
        <x:v>Service Identity Observation</x:v>
      </x:c>
      <x:c r="E5" s="6" t="str">
        <x:v>Nocturnix_Master_Services_Catalog_v1.xlsx</x:v>
      </x:c>
      <x:c r="F5" s="6" t="str">
        <x:v>01 - Master Services</x:v>
      </x:c>
      <x:c r="G5" s="6" t="n">
        <x:v>44</x:v>
      </x:c>
      <x:c r="H5" s="12" t="str">
        <x:v>Galaxy Note 10 Plus Screen replacement</x:v>
      </x:c>
      <x:c r="I5" s="12" t="str">
        <x:v>galaxy note 10 plus screen replacement</x:v>
      </x:c>
      <x:c r="J5" s="6" t="str">
        <x:v>SVC000004</x:v>
      </x:c>
      <x:c r="K5" s="12" t="str">
        <x:v>Contextual</x:v>
      </x:c>
      <x:c r="L5" s="12" t="str">
        <x:v>Source service identity preserved for manual review.</x:v>
      </x:c>
    </x:row>
    <x:row r="6">
      <x:c r="A6" s="12" t="str">
        <x:v>EVID-SIR-000005</x:v>
      </x:c>
      <x:c r="B6" s="6" t="str">
        <x:v>SIR-000005</x:v>
      </x:c>
      <x:c r="C6" s="6" t="str">
        <x:v>SVC000005</x:v>
      </x:c>
      <x:c r="D6" s="12" t="str">
        <x:v>Service Identity Observation</x:v>
      </x:c>
      <x:c r="E6" s="6" t="str">
        <x:v>Nocturnix_Master_Services_Catalog_v1.xlsx</x:v>
      </x:c>
      <x:c r="F6" s="6" t="str">
        <x:v>01 - Master Services</x:v>
      </x:c>
      <x:c r="G6" s="6" t="n">
        <x:v>45</x:v>
      </x:c>
      <x:c r="H6" s="12" t="str">
        <x:v>Galaxy Note 8 Screen replacement</x:v>
      </x:c>
      <x:c r="I6" s="12" t="str">
        <x:v>galaxy note 8 screen replacement</x:v>
      </x:c>
      <x:c r="J6" s="6" t="str">
        <x:v>SVC000005</x:v>
      </x:c>
      <x:c r="K6" s="12" t="str">
        <x:v>Contextual</x:v>
      </x:c>
      <x:c r="L6" s="12" t="str">
        <x:v>Source service identity preserved for manual review.</x:v>
      </x:c>
    </x:row>
    <x:row r="7">
      <x:c r="A7" s="12" t="str">
        <x:v>EVID-SIR-000006</x:v>
      </x:c>
      <x:c r="B7" s="6" t="str">
        <x:v>SIR-000006</x:v>
      </x:c>
      <x:c r="C7" s="6" t="str">
        <x:v>SVC000006</x:v>
      </x:c>
      <x:c r="D7" s="12" t="str">
        <x:v>Service Identity Observation</x:v>
      </x:c>
      <x:c r="E7" s="6" t="str">
        <x:v>Nocturnix_Master_Services_Catalog_v1.xlsx</x:v>
      </x:c>
      <x:c r="F7" s="6" t="str">
        <x:v>01 - Master Services</x:v>
      </x:c>
      <x:c r="G7" s="6" t="n">
        <x:v>46</x:v>
      </x:c>
      <x:c r="H7" s="12" t="str">
        <x:v>Galaxy S 25 Edge Screen replacement</x:v>
      </x:c>
      <x:c r="I7" s="12" t="str">
        <x:v>galaxy s 25 edge screen replacement</x:v>
      </x:c>
      <x:c r="J7" s="6" t="str">
        <x:v>SVC000006</x:v>
      </x:c>
      <x:c r="K7" s="12" t="str">
        <x:v>Contextual</x:v>
      </x:c>
      <x:c r="L7" s="12" t="str">
        <x:v>Source service identity preserved for manual review.</x:v>
      </x:c>
    </x:row>
    <x:row r="8">
      <x:c r="A8" s="12" t="str">
        <x:v>EVID-SIR-000007</x:v>
      </x:c>
      <x:c r="B8" s="6" t="str">
        <x:v>SIR-000007</x:v>
      </x:c>
      <x:c r="C8" s="6" t="str">
        <x:v>SVC000007</x:v>
      </x:c>
      <x:c r="D8" s="12" t="str">
        <x:v>Service Identity Observation</x:v>
      </x:c>
      <x:c r="E8" s="6" t="str">
        <x:v>Nocturnix_Master_Services_Catalog_v1.xlsx</x:v>
      </x:c>
      <x:c r="F8" s="6" t="str">
        <x:v>01 - Master Services</x:v>
      </x:c>
      <x:c r="G8" s="6" t="n">
        <x:v>47</x:v>
      </x:c>
      <x:c r="H8" s="12" t="str">
        <x:v>Galaxy S 25 FE Screen replacement</x:v>
      </x:c>
      <x:c r="I8" s="12" t="str">
        <x:v>galaxy s 25 fe screen replacement</x:v>
      </x:c>
      <x:c r="J8" s="6" t="str">
        <x:v>SVC000007</x:v>
      </x:c>
      <x:c r="K8" s="12" t="str">
        <x:v>Contextual</x:v>
      </x:c>
      <x:c r="L8" s="12" t="str">
        <x:v>Source service identity preserved for manual review.</x:v>
      </x:c>
    </x:row>
    <x:row r="9">
      <x:c r="A9" s="12" t="str">
        <x:v>EVID-SIR-000008</x:v>
      </x:c>
      <x:c r="B9" s="6" t="str">
        <x:v>SIR-000008</x:v>
      </x:c>
      <x:c r="C9" s="6" t="str">
        <x:v>SVC000008</x:v>
      </x:c>
      <x:c r="D9" s="12" t="str">
        <x:v>Service Identity Observation</x:v>
      </x:c>
      <x:c r="E9" s="6" t="str">
        <x:v>Nocturnix_Master_Services_Catalog_v1.xlsx</x:v>
      </x:c>
      <x:c r="F9" s="6" t="str">
        <x:v>01 - Master Services</x:v>
      </x:c>
      <x:c r="G9" s="6" t="n">
        <x:v>48</x:v>
      </x:c>
      <x:c r="H9" s="12" t="str">
        <x:v>iPhone 6 Screen replacement</x:v>
      </x:c>
      <x:c r="I9" s="12" t="str">
        <x:v>iphone 6 screen replacement</x:v>
      </x:c>
      <x:c r="J9" s="6" t="str">
        <x:v>SVC000008</x:v>
      </x:c>
      <x:c r="K9" s="12" t="str">
        <x:v>Contextual</x:v>
      </x:c>
      <x:c r="L9" s="12" t="str">
        <x:v>Source service identity preserved for manual review.</x:v>
      </x:c>
    </x:row>
    <x:row r="10">
      <x:c r="A10" s="12" t="str">
        <x:v>EVID-SIR-000009</x:v>
      </x:c>
      <x:c r="B10" s="6" t="str">
        <x:v>SIR-000009</x:v>
      </x:c>
      <x:c r="C10" s="6" t="str">
        <x:v>SVC000009</x:v>
      </x:c>
      <x:c r="D10" s="12" t="str">
        <x:v>Service Identity Observation</x:v>
      </x:c>
      <x:c r="E10" s="6" t="str">
        <x:v>Nocturnix_Master_Services_Catalog_v1.xlsx</x:v>
      </x:c>
      <x:c r="F10" s="6" t="str">
        <x:v>01 - Master Services</x:v>
      </x:c>
      <x:c r="G10" s="6" t="n">
        <x:v>49</x:v>
      </x:c>
      <x:c r="H10" s="12" t="str">
        <x:v>iPhone 6S+ Screen replacement</x:v>
      </x:c>
      <x:c r="I10" s="12" t="str">
        <x:v>iphone 6s screen replacement</x:v>
      </x:c>
      <x:c r="J10" s="6" t="str">
        <x:v>SVC000009</x:v>
      </x:c>
      <x:c r="K10" s="12" t="str">
        <x:v>Contextual</x:v>
      </x:c>
      <x:c r="L10" s="12" t="str">
        <x:v>Source service identity preserved for manual review.</x:v>
      </x:c>
    </x:row>
    <x:row r="11">
      <x:c r="A11" s="12" t="str">
        <x:v>EVID-SIR-000010</x:v>
      </x:c>
      <x:c r="B11" s="6" t="str">
        <x:v>SIR-000010</x:v>
      </x:c>
      <x:c r="C11" s="6" t="str">
        <x:v>SVC000010</x:v>
      </x:c>
      <x:c r="D11" s="12" t="str">
        <x:v>Service Identity Observation</x:v>
      </x:c>
      <x:c r="E11" s="6" t="str">
        <x:v>Nocturnix_Master_Services_Catalog_v1.xlsx</x:v>
      </x:c>
      <x:c r="F11" s="6" t="str">
        <x:v>01 - Master Services</x:v>
      </x:c>
      <x:c r="G11" s="6" t="n">
        <x:v>50</x:v>
      </x:c>
      <x:c r="H11" s="12" t="str">
        <x:v>Galaxy S 22 Screen replacement</x:v>
      </x:c>
      <x:c r="I11" s="12" t="str">
        <x:v>galaxy s 22 screen replacement</x:v>
      </x:c>
      <x:c r="J11" s="6" t="str">
        <x:v>SVC000010</x:v>
      </x:c>
      <x:c r="K11" s="12" t="str">
        <x:v>Contextual</x:v>
      </x:c>
      <x:c r="L11" s="12" t="str">
        <x:v>Source service identity preserved for manual review.</x:v>
      </x:c>
    </x:row>
    <x:row r="12">
      <x:c r="A12" s="12" t="str">
        <x:v>EVID-SIR-000011</x:v>
      </x:c>
      <x:c r="B12" s="6" t="str">
        <x:v>SIR-000011</x:v>
      </x:c>
      <x:c r="C12" s="6" t="str">
        <x:v>SVC000011</x:v>
      </x:c>
      <x:c r="D12" s="12" t="str">
        <x:v>Service Identity Observation</x:v>
      </x:c>
      <x:c r="E12" s="6" t="str">
        <x:v>Nocturnix_Master_Services_Catalog_v1.xlsx</x:v>
      </x:c>
      <x:c r="F12" s="6" t="str">
        <x:v>01 - Master Services</x:v>
      </x:c>
      <x:c r="G12" s="6" t="n">
        <x:v>51</x:v>
      </x:c>
      <x:c r="H12" s="12" t="str">
        <x:v>Galaxy S 20 Plus Screen replacement</x:v>
      </x:c>
      <x:c r="I12" s="12" t="str">
        <x:v>galaxy s 20 plus screen replacement</x:v>
      </x:c>
      <x:c r="J12" s="6" t="str">
        <x:v>SVC000011</x:v>
      </x:c>
      <x:c r="K12" s="12" t="str">
        <x:v>Contextual</x:v>
      </x:c>
      <x:c r="L12" s="12" t="str">
        <x:v>Source service identity preserved for manual review.</x:v>
      </x:c>
    </x:row>
    <x:row r="13">
      <x:c r="A13" s="12" t="str">
        <x:v>EVID-SIR-000012</x:v>
      </x:c>
      <x:c r="B13" s="6" t="str">
        <x:v>SIR-000012</x:v>
      </x:c>
      <x:c r="C13" s="6" t="str">
        <x:v>SVC000012</x:v>
      </x:c>
      <x:c r="D13" s="12" t="str">
        <x:v>Service Identity Observation</x:v>
      </x:c>
      <x:c r="E13" s="6" t="str">
        <x:v>Nocturnix_Master_Services_Catalog_v1.xlsx</x:v>
      </x:c>
      <x:c r="F13" s="6" t="str">
        <x:v>01 - Master Services</x:v>
      </x:c>
      <x:c r="G13" s="6" t="n">
        <x:v>52</x:v>
      </x:c>
      <x:c r="H13" s="12" t="str">
        <x:v>Galaxy S 23 Ultra Screen replacement</x:v>
      </x:c>
      <x:c r="I13" s="12" t="str">
        <x:v>galaxy s 23 ultra screen replacement</x:v>
      </x:c>
      <x:c r="J13" s="6" t="str">
        <x:v>SVC000012</x:v>
      </x:c>
      <x:c r="K13" s="12" t="str">
        <x:v>Contextual</x:v>
      </x:c>
      <x:c r="L13" s="12" t="str">
        <x:v>Source service identity preserved for manual review.</x:v>
      </x:c>
    </x:row>
    <x:row r="14">
      <x:c r="A14" s="12" t="str">
        <x:v>EVID-SIR-000013</x:v>
      </x:c>
      <x:c r="B14" s="6" t="str">
        <x:v>SIR-000013</x:v>
      </x:c>
      <x:c r="C14" s="6" t="str">
        <x:v>SVC000013</x:v>
      </x:c>
      <x:c r="D14" s="12" t="str">
        <x:v>Service Identity Observation</x:v>
      </x:c>
      <x:c r="E14" s="6" t="str">
        <x:v>Nocturnix_Master_Services_Catalog_v1.xlsx</x:v>
      </x:c>
      <x:c r="F14" s="6" t="str">
        <x:v>01 - Master Services</x:v>
      </x:c>
      <x:c r="G14" s="6" t="n">
        <x:v>53</x:v>
      </x:c>
      <x:c r="H14" s="12" t="str">
        <x:v>Galaxy S 24 Ultra Screen replacement</x:v>
      </x:c>
      <x:c r="I14" s="12" t="str">
        <x:v>galaxy s 24 ultra screen replacement</x:v>
      </x:c>
      <x:c r="J14" s="6" t="str">
        <x:v>SVC000013</x:v>
      </x:c>
      <x:c r="K14" s="12" t="str">
        <x:v>Contextual</x:v>
      </x:c>
      <x:c r="L14" s="12" t="str">
        <x:v>Source service identity preserved for manual review.</x:v>
      </x:c>
    </x:row>
    <x:row r="15">
      <x:c r="A15" s="12" t="str">
        <x:v>EVID-SIR-000014</x:v>
      </x:c>
      <x:c r="B15" s="6" t="str">
        <x:v>SIR-000014</x:v>
      </x:c>
      <x:c r="C15" s="6" t="str">
        <x:v>SVC000014</x:v>
      </x:c>
      <x:c r="D15" s="12" t="str">
        <x:v>Service Identity Observation</x:v>
      </x:c>
      <x:c r="E15" s="6" t="str">
        <x:v>Nocturnix_Master_Services_Catalog_v1.xlsx</x:v>
      </x:c>
      <x:c r="F15" s="6" t="str">
        <x:v>01 - Master Services</x:v>
      </x:c>
      <x:c r="G15" s="6" t="n">
        <x:v>54</x:v>
      </x:c>
      <x:c r="H15" s="12" t="str">
        <x:v>Galaxy S 20 FE Screen replacement</x:v>
      </x:c>
      <x:c r="I15" s="12" t="str">
        <x:v>galaxy s 20 fe screen replacement</x:v>
      </x:c>
      <x:c r="J15" s="6" t="str">
        <x:v>SVC000014</x:v>
      </x:c>
      <x:c r="K15" s="12" t="str">
        <x:v>Contextual</x:v>
      </x:c>
      <x:c r="L15" s="12" t="str">
        <x:v>Source service identity preserved for manual review.</x:v>
      </x:c>
    </x:row>
    <x:row r="16">
      <x:c r="A16" s="12" t="str">
        <x:v>EVID-SIR-000015</x:v>
      </x:c>
      <x:c r="B16" s="6" t="str">
        <x:v>SIR-000015</x:v>
      </x:c>
      <x:c r="C16" s="6" t="str">
        <x:v>SVC000015</x:v>
      </x:c>
      <x:c r="D16" s="12" t="str">
        <x:v>Service Identity Observation</x:v>
      </x:c>
      <x:c r="E16" s="6" t="str">
        <x:v>Nocturnix_Master_Services_Catalog_v1.xlsx</x:v>
      </x:c>
      <x:c r="F16" s="6" t="str">
        <x:v>01 - Master Services</x:v>
      </x:c>
      <x:c r="G16" s="6" t="n">
        <x:v>55</x:v>
      </x:c>
      <x:c r="H16" s="12" t="str">
        <x:v>Galaxy S 9 Plus Screen replacement</x:v>
      </x:c>
      <x:c r="I16" s="12" t="str">
        <x:v>galaxy s 9 plus screen replacement</x:v>
      </x:c>
      <x:c r="J16" s="6" t="str">
        <x:v>SVC000015</x:v>
      </x:c>
      <x:c r="K16" s="12" t="str">
        <x:v>Contextual</x:v>
      </x:c>
      <x:c r="L16" s="12" t="str">
        <x:v>Source service identity preserved for manual review.</x:v>
      </x:c>
    </x:row>
    <x:row r="17">
      <x:c r="A17" s="12" t="str">
        <x:v>EVID-SIR-000016</x:v>
      </x:c>
      <x:c r="B17" s="6" t="str">
        <x:v>SIR-000016</x:v>
      </x:c>
      <x:c r="C17" s="6" t="str">
        <x:v>SVC000016</x:v>
      </x:c>
      <x:c r="D17" s="12" t="str">
        <x:v>Service Identity Observation</x:v>
      </x:c>
      <x:c r="E17" s="6" t="str">
        <x:v>Nocturnix_Master_Services_Catalog_v1.xlsx</x:v>
      </x:c>
      <x:c r="F17" s="6" t="str">
        <x:v>01 - Master Services</x:v>
      </x:c>
      <x:c r="G17" s="6" t="n">
        <x:v>56</x:v>
      </x:c>
      <x:c r="H17" s="12" t="str">
        <x:v>Galaxy S 24 FE Screen replacement</x:v>
      </x:c>
      <x:c r="I17" s="12" t="str">
        <x:v>galaxy s 24 fe screen replacement</x:v>
      </x:c>
      <x:c r="J17" s="6" t="str">
        <x:v>SVC000016</x:v>
      </x:c>
      <x:c r="K17" s="12" t="str">
        <x:v>Contextual</x:v>
      </x:c>
      <x:c r="L17" s="12" t="str">
        <x:v>Source service identity preserved for manual review.</x:v>
      </x:c>
    </x:row>
    <x:row r="18">
      <x:c r="A18" s="12" t="str">
        <x:v>EVID-SIR-000017</x:v>
      </x:c>
      <x:c r="B18" s="6" t="str">
        <x:v>SIR-000017</x:v>
      </x:c>
      <x:c r="C18" s="6" t="str">
        <x:v>SVC000017</x:v>
      </x:c>
      <x:c r="D18" s="12" t="str">
        <x:v>Service Identity Observation</x:v>
      </x:c>
      <x:c r="E18" s="6" t="str">
        <x:v>Nocturnix_Master_Services_Catalog_v1.xlsx</x:v>
      </x:c>
      <x:c r="F18" s="6" t="str">
        <x:v>01 - Master Services</x:v>
      </x:c>
      <x:c r="G18" s="6" t="n">
        <x:v>57</x:v>
      </x:c>
      <x:c r="H18" s="12" t="str">
        <x:v>Galaxy S 8 Plus Screen replacement</x:v>
      </x:c>
      <x:c r="I18" s="12" t="str">
        <x:v>galaxy s 8 plus screen replacement</x:v>
      </x:c>
      <x:c r="J18" s="6" t="str">
        <x:v>SVC000017</x:v>
      </x:c>
      <x:c r="K18" s="12" t="str">
        <x:v>Contextual</x:v>
      </x:c>
      <x:c r="L18" s="12" t="str">
        <x:v>Source service identity preserved for manual review.</x:v>
      </x:c>
    </x:row>
    <x:row r="19">
      <x:c r="A19" s="12" t="str">
        <x:v>EVID-SIR-000018</x:v>
      </x:c>
      <x:c r="B19" s="6" t="str">
        <x:v>SIR-000018</x:v>
      </x:c>
      <x:c r="C19" s="6" t="str">
        <x:v>SVC000018</x:v>
      </x:c>
      <x:c r="D19" s="12" t="str">
        <x:v>Service Identity Observation</x:v>
      </x:c>
      <x:c r="E19" s="6" t="str">
        <x:v>Nocturnix_Master_Services_Catalog_v1.xlsx</x:v>
      </x:c>
      <x:c r="F19" s="6" t="str">
        <x:v>01 - Master Services</x:v>
      </x:c>
      <x:c r="G19" s="6" t="n">
        <x:v>58</x:v>
      </x:c>
      <x:c r="H19" s="12" t="str">
        <x:v>Galaxy S 25 Plus Screen replacement</x:v>
      </x:c>
      <x:c r="I19" s="12" t="str">
        <x:v>galaxy s 25 plus screen replacement</x:v>
      </x:c>
      <x:c r="J19" s="6" t="str">
        <x:v>SVC000018</x:v>
      </x:c>
      <x:c r="K19" s="12" t="str">
        <x:v>Contextual</x:v>
      </x:c>
      <x:c r="L19" s="12" t="str">
        <x:v>Source service identity preserved for manual review.</x:v>
      </x:c>
    </x:row>
    <x:row r="20">
      <x:c r="A20" s="12" t="str">
        <x:v>EVID-SIR-000019</x:v>
      </x:c>
      <x:c r="B20" s="6" t="str">
        <x:v>SIR-000019</x:v>
      </x:c>
      <x:c r="C20" s="6" t="str">
        <x:v>SVC000019</x:v>
      </x:c>
      <x:c r="D20" s="12" t="str">
        <x:v>Service Identity Observation</x:v>
      </x:c>
      <x:c r="E20" s="6" t="str">
        <x:v>Nocturnix_Master_Services_Catalog_v1.xlsx</x:v>
      </x:c>
      <x:c r="F20" s="6" t="str">
        <x:v>01 - Master Services</x:v>
      </x:c>
      <x:c r="G20" s="6" t="n">
        <x:v>59</x:v>
      </x:c>
      <x:c r="H20" s="12" t="str">
        <x:v>Galaxy S 21 Screen replacement</x:v>
      </x:c>
      <x:c r="I20" s="12" t="str">
        <x:v>galaxy s 21 screen replacement</x:v>
      </x:c>
      <x:c r="J20" s="6" t="str">
        <x:v>SVC000019</x:v>
      </x:c>
      <x:c r="K20" s="12" t="str">
        <x:v>Contextual</x:v>
      </x:c>
      <x:c r="L20" s="12" t="str">
        <x:v>Source service identity preserved for manual review.</x:v>
      </x:c>
    </x:row>
    <x:row r="21">
      <x:c r="A21" s="12" t="str">
        <x:v>EVID-SIR-000020</x:v>
      </x:c>
      <x:c r="B21" s="6" t="str">
        <x:v>SIR-000020</x:v>
      </x:c>
      <x:c r="C21" s="6" t="str">
        <x:v>SVC000020</x:v>
      </x:c>
      <x:c r="D21" s="12" t="str">
        <x:v>Service Identity Observation</x:v>
      </x:c>
      <x:c r="E21" s="6" t="str">
        <x:v>Nocturnix_Master_Services_Catalog_v1.xlsx</x:v>
      </x:c>
      <x:c r="F21" s="6" t="str">
        <x:v>01 - Master Services</x:v>
      </x:c>
      <x:c r="G21" s="6" t="n">
        <x:v>60</x:v>
      </x:c>
      <x:c r="H21" s="12" t="str">
        <x:v>Galaxy S 22 Plus Screen replacement</x:v>
      </x:c>
      <x:c r="I21" s="12" t="str">
        <x:v>galaxy s 22 plus screen replacement</x:v>
      </x:c>
      <x:c r="J21" s="6" t="str">
        <x:v>SVC000020</x:v>
      </x:c>
      <x:c r="K21" s="12" t="str">
        <x:v>Contextual</x:v>
      </x:c>
      <x:c r="L21" s="12" t="str">
        <x:v>Source service identity preserved for manual review.</x:v>
      </x:c>
    </x:row>
    <x:row r="22">
      <x:c r="A22" s="12" t="str">
        <x:v>EVID-SIR-000021</x:v>
      </x:c>
      <x:c r="B22" s="6" t="str">
        <x:v>SIR-000021</x:v>
      </x:c>
      <x:c r="C22" s="6" t="str">
        <x:v>SVC000021</x:v>
      </x:c>
      <x:c r="D22" s="12" t="str">
        <x:v>Service Identity Observation</x:v>
      </x:c>
      <x:c r="E22" s="6" t="str">
        <x:v>Nocturnix_Master_Services_Catalog_v1.xlsx</x:v>
      </x:c>
      <x:c r="F22" s="6" t="str">
        <x:v>01 - Master Services</x:v>
      </x:c>
      <x:c r="G22" s="6" t="n">
        <x:v>61</x:v>
      </x:c>
      <x:c r="H22" s="12" t="str">
        <x:v>Galaxy S 22 Ultra Screen replacement</x:v>
      </x:c>
      <x:c r="I22" s="12" t="str">
        <x:v>galaxy s 22 ultra screen replacement</x:v>
      </x:c>
      <x:c r="J22" s="6" t="str">
        <x:v>SVC000021</x:v>
      </x:c>
      <x:c r="K22" s="12" t="str">
        <x:v>Contextual</x:v>
      </x:c>
      <x:c r="L22" s="12" t="str">
        <x:v>Source service identity preserved for manual review.</x:v>
      </x:c>
    </x:row>
    <x:row r="23">
      <x:c r="A23" s="12" t="str">
        <x:v>EVID-SIR-000022</x:v>
      </x:c>
      <x:c r="B23" s="6" t="str">
        <x:v>SIR-000022</x:v>
      </x:c>
      <x:c r="C23" s="6" t="str">
        <x:v>SVC000022</x:v>
      </x:c>
      <x:c r="D23" s="12" t="str">
        <x:v>Service Identity Observation</x:v>
      </x:c>
      <x:c r="E23" s="6" t="str">
        <x:v>Nocturnix_Master_Services_Catalog_v1.xlsx</x:v>
      </x:c>
      <x:c r="F23" s="6" t="str">
        <x:v>01 - Master Services</x:v>
      </x:c>
      <x:c r="G23" s="6" t="n">
        <x:v>62</x:v>
      </x:c>
      <x:c r="H23" s="12" t="str">
        <x:v>Galaxy S 24 FE Battery Replacement</x:v>
      </x:c>
      <x:c r="I23" s="12" t="str">
        <x:v>galaxy s 24 fe battery replacement</x:v>
      </x:c>
      <x:c r="J23" s="6" t="str">
        <x:v>SVC000022</x:v>
      </x:c>
      <x:c r="K23" s="12" t="str">
        <x:v>Contextual</x:v>
      </x:c>
      <x:c r="L23" s="12" t="str">
        <x:v>Source service identity preserved for manual review.</x:v>
      </x:c>
    </x:row>
    <x:row r="24">
      <x:c r="A24" s="12" t="str">
        <x:v>EVID-SIR-000023</x:v>
      </x:c>
      <x:c r="B24" s="6" t="str">
        <x:v>SIR-000023</x:v>
      </x:c>
      <x:c r="C24" s="6" t="str">
        <x:v>SVC000023</x:v>
      </x:c>
      <x:c r="D24" s="12" t="str">
        <x:v>Service Identity Observation</x:v>
      </x:c>
      <x:c r="E24" s="6" t="str">
        <x:v>Nocturnix_Master_Services_Catalog_v1.xlsx</x:v>
      </x:c>
      <x:c r="F24" s="6" t="str">
        <x:v>01 - Master Services</x:v>
      </x:c>
      <x:c r="G24" s="6" t="n">
        <x:v>63</x:v>
      </x:c>
      <x:c r="H24" s="12" t="str">
        <x:v>Galaxy S 7 Active Screen replacement</x:v>
      </x:c>
      <x:c r="I24" s="12" t="str">
        <x:v>galaxy s 7 active screen replacement</x:v>
      </x:c>
      <x:c r="J24" s="6" t="str">
        <x:v>SVC000023</x:v>
      </x:c>
      <x:c r="K24" s="12" t="str">
        <x:v>Contextual</x:v>
      </x:c>
      <x:c r="L24" s="12" t="str">
        <x:v>Source service identity preserved for manual review.</x:v>
      </x:c>
    </x:row>
    <x:row r="25">
      <x:c r="A25" s="12" t="str">
        <x:v>EVID-SIR-000024</x:v>
      </x:c>
      <x:c r="B25" s="6" t="str">
        <x:v>SIR-000024</x:v>
      </x:c>
      <x:c r="C25" s="6" t="str">
        <x:v>SVC000024</x:v>
      </x:c>
      <x:c r="D25" s="12" t="str">
        <x:v>Service Identity Observation</x:v>
      </x:c>
      <x:c r="E25" s="6" t="str">
        <x:v>Nocturnix_Master_Services_Catalog_v1.xlsx</x:v>
      </x:c>
      <x:c r="F25" s="6" t="str">
        <x:v>01 - Master Services</x:v>
      </x:c>
      <x:c r="G25" s="6" t="n">
        <x:v>64</x:v>
      </x:c>
      <x:c r="H25" s="12" t="str">
        <x:v>Galaxy S 10 Plus Screen replacement</x:v>
      </x:c>
      <x:c r="I25" s="12" t="str">
        <x:v>galaxy s 10 plus screen replacement</x:v>
      </x:c>
      <x:c r="J25" s="6" t="str">
        <x:v>SVC000024</x:v>
      </x:c>
      <x:c r="K25" s="12" t="str">
        <x:v>Contextual</x:v>
      </x:c>
      <x:c r="L25" s="12" t="str">
        <x:v>Source service identity preserved for manual review.</x:v>
      </x:c>
    </x:row>
    <x:row r="26">
      <x:c r="A26" s="12" t="str">
        <x:v>EVID-SIR-000025</x:v>
      </x:c>
      <x:c r="B26" s="6" t="str">
        <x:v>SIR-000025</x:v>
      </x:c>
      <x:c r="C26" s="6" t="str">
        <x:v>SVC000025</x:v>
      </x:c>
      <x:c r="D26" s="12" t="str">
        <x:v>Service Identity Observation</x:v>
      </x:c>
      <x:c r="E26" s="6" t="str">
        <x:v>Nocturnix_Master_Services_Catalog_v1.xlsx</x:v>
      </x:c>
      <x:c r="F26" s="6" t="str">
        <x:v>01 - Master Services</x:v>
      </x:c>
      <x:c r="G26" s="6" t="n">
        <x:v>65</x:v>
      </x:c>
      <x:c r="H26" s="12" t="str">
        <x:v>Galaxy S 6 Active Screen replacement</x:v>
      </x:c>
      <x:c r="I26" s="12" t="str">
        <x:v>galaxy s 6 active screen replacement</x:v>
      </x:c>
      <x:c r="J26" s="6" t="str">
        <x:v>SVC000025</x:v>
      </x:c>
      <x:c r="K26" s="12" t="str">
        <x:v>Contextual</x:v>
      </x:c>
      <x:c r="L26" s="12" t="str">
        <x:v>Source service identity preserved for manual review.</x:v>
      </x:c>
    </x:row>
    <x:row r="27">
      <x:c r="A27" s="12" t="str">
        <x:v>EVID-SIR-000026</x:v>
      </x:c>
      <x:c r="B27" s="6" t="str">
        <x:v>SIR-000026</x:v>
      </x:c>
      <x:c r="C27" s="6" t="str">
        <x:v>SVC000026</x:v>
      </x:c>
      <x:c r="D27" s="12" t="str">
        <x:v>Service Identity Observation</x:v>
      </x:c>
      <x:c r="E27" s="6" t="str">
        <x:v>Nocturnix_Master_Services_Catalog_v1.xlsx</x:v>
      </x:c>
      <x:c r="F27" s="6" t="str">
        <x:v>01 - Master Services</x:v>
      </x:c>
      <x:c r="G27" s="6" t="n">
        <x:v>66</x:v>
      </x:c>
      <x:c r="H27" s="12" t="str">
        <x:v>Galaxy S 6 Screen replacement</x:v>
      </x:c>
      <x:c r="I27" s="12" t="str">
        <x:v>galaxy s 6 screen replacement</x:v>
      </x:c>
      <x:c r="J27" s="6" t="str">
        <x:v>SVC000026</x:v>
      </x:c>
      <x:c r="K27" s="12" t="str">
        <x:v>Contextual</x:v>
      </x:c>
      <x:c r="L27" s="12" t="str">
        <x:v>Source service identity preserved for manual review.</x:v>
      </x:c>
    </x:row>
    <x:row r="28">
      <x:c r="A28" s="12" t="str">
        <x:v>EVID-SIR-000027</x:v>
      </x:c>
      <x:c r="B28" s="6" t="str">
        <x:v>SIR-000027</x:v>
      </x:c>
      <x:c r="C28" s="6" t="str">
        <x:v>SVC000027</x:v>
      </x:c>
      <x:c r="D28" s="12" t="str">
        <x:v>Service Identity Observation</x:v>
      </x:c>
      <x:c r="E28" s="6" t="str">
        <x:v>Nocturnix_Master_Services_Catalog_v1.xlsx</x:v>
      </x:c>
      <x:c r="F28" s="6" t="str">
        <x:v>01 - Master Services</x:v>
      </x:c>
      <x:c r="G28" s="6" t="n">
        <x:v>67</x:v>
      </x:c>
      <x:c r="H28" s="12" t="str">
        <x:v>Galaxy S 21 FE Screen replacement</x:v>
      </x:c>
      <x:c r="I28" s="12" t="str">
        <x:v>galaxy s 21 fe screen replacement</x:v>
      </x:c>
      <x:c r="J28" s="6" t="str">
        <x:v>SVC000027</x:v>
      </x:c>
      <x:c r="K28" s="12" t="str">
        <x:v>Contextual</x:v>
      </x:c>
      <x:c r="L28" s="12" t="str">
        <x:v>Source service identity preserved for manual review.</x:v>
      </x:c>
    </x:row>
    <x:row r="29">
      <x:c r="A29" s="12" t="str">
        <x:v>EVID-SIR-000028</x:v>
      </x:c>
      <x:c r="B29" s="6" t="str">
        <x:v>SIR-000028</x:v>
      </x:c>
      <x:c r="C29" s="6" t="str">
        <x:v>SVC000028</x:v>
      </x:c>
      <x:c r="D29" s="12" t="str">
        <x:v>Service Identity Observation</x:v>
      </x:c>
      <x:c r="E29" s="6" t="str">
        <x:v>Nocturnix_Master_Services_Catalog_v1.xlsx</x:v>
      </x:c>
      <x:c r="F29" s="6" t="str">
        <x:v>01 - Master Services</x:v>
      </x:c>
      <x:c r="G29" s="6" t="n">
        <x:v>68</x:v>
      </x:c>
      <x:c r="H29" s="12" t="str">
        <x:v>Galaxy S 6 Edge Screen replacement</x:v>
      </x:c>
      <x:c r="I29" s="12" t="str">
        <x:v>galaxy s 6 edge screen replacement</x:v>
      </x:c>
      <x:c r="J29" s="6" t="str">
        <x:v>SVC000028</x:v>
      </x:c>
      <x:c r="K29" s="12" t="str">
        <x:v>Contextual</x:v>
      </x:c>
      <x:c r="L29" s="12" t="str">
        <x:v>Source service identity preserved for manual review.</x:v>
      </x:c>
    </x:row>
    <x:row r="30">
      <x:c r="A30" s="12" t="str">
        <x:v>EVID-SIR-000029</x:v>
      </x:c>
      <x:c r="B30" s="6" t="str">
        <x:v>SIR-000029</x:v>
      </x:c>
      <x:c r="C30" s="6" t="str">
        <x:v>SVC000029</x:v>
      </x:c>
      <x:c r="D30" s="12" t="str">
        <x:v>Service Identity Observation</x:v>
      </x:c>
      <x:c r="E30" s="6" t="str">
        <x:v>Nocturnix_Master_Services_Catalog_v1.xlsx</x:v>
      </x:c>
      <x:c r="F30" s="6" t="str">
        <x:v>01 - Master Services</x:v>
      </x:c>
      <x:c r="G30" s="6" t="n">
        <x:v>69</x:v>
      </x:c>
      <x:c r="H30" s="12" t="str">
        <x:v>Galaxy S 21 Plus Screen replacement</x:v>
      </x:c>
      <x:c r="I30" s="12" t="str">
        <x:v>galaxy s 21 plus screen replacement</x:v>
      </x:c>
      <x:c r="J30" s="6" t="str">
        <x:v>SVC000029</x:v>
      </x:c>
      <x:c r="K30" s="12" t="str">
        <x:v>Contextual</x:v>
      </x:c>
      <x:c r="L30" s="12" t="str">
        <x:v>Source service identity preserved for manual review.</x:v>
      </x:c>
    </x:row>
    <x:row r="31">
      <x:c r="A31" s="12" t="str">
        <x:v>EVID-SIR-000030</x:v>
      </x:c>
      <x:c r="B31" s="6" t="str">
        <x:v>SIR-000030</x:v>
      </x:c>
      <x:c r="C31" s="6" t="str">
        <x:v>SVC000030</x:v>
      </x:c>
      <x:c r="D31" s="12" t="str">
        <x:v>Service Identity Observation</x:v>
      </x:c>
      <x:c r="E31" s="6" t="str">
        <x:v>Nocturnix_Master_Services_Catalog_v1.xlsx</x:v>
      </x:c>
      <x:c r="F31" s="6" t="str">
        <x:v>01 - Master Services</x:v>
      </x:c>
      <x:c r="G31" s="6" t="n">
        <x:v>70</x:v>
      </x:c>
      <x:c r="H31" s="12" t="str">
        <x:v>Galaxy S 6 Edge Plus Screen replacement</x:v>
      </x:c>
      <x:c r="I31" s="12" t="str">
        <x:v>galaxy s 6 edge plus screen replacement</x:v>
      </x:c>
      <x:c r="J31" s="6" t="str">
        <x:v>SVC000030</x:v>
      </x:c>
      <x:c r="K31" s="12" t="str">
        <x:v>Contextual</x:v>
      </x:c>
      <x:c r="L31" s="12" t="str">
        <x:v>Source service identity preserved for manual review.</x:v>
      </x:c>
    </x:row>
    <x:row r="32">
      <x:c r="A32" s="12" t="str">
        <x:v>EVID-SIR-000031</x:v>
      </x:c>
      <x:c r="B32" s="6" t="str">
        <x:v>SIR-000031</x:v>
      </x:c>
      <x:c r="C32" s="6" t="str">
        <x:v>SVC000031</x:v>
      </x:c>
      <x:c r="D32" s="12" t="str">
        <x:v>Service Identity Observation</x:v>
      </x:c>
      <x:c r="E32" s="6" t="str">
        <x:v>Nocturnix_Master_Services_Catalog_v1.xlsx</x:v>
      </x:c>
      <x:c r="F32" s="6" t="str">
        <x:v>01 - Master Services</x:v>
      </x:c>
      <x:c r="G32" s="6" t="n">
        <x:v>71</x:v>
      </x:c>
      <x:c r="H32" s="12" t="str">
        <x:v>Galaxy S 25 Screen replacement</x:v>
      </x:c>
      <x:c r="I32" s="12" t="str">
        <x:v>galaxy s 25 screen replacement</x:v>
      </x:c>
      <x:c r="J32" s="6" t="str">
        <x:v>SVC000031</x:v>
      </x:c>
      <x:c r="K32" s="12" t="str">
        <x:v>Contextual</x:v>
      </x:c>
      <x:c r="L32" s="12" t="str">
        <x:v>Source service identity preserved for manual review.</x:v>
      </x:c>
    </x:row>
    <x:row r="33">
      <x:c r="A33" s="12" t="str">
        <x:v>EVID-SIR-000032</x:v>
      </x:c>
      <x:c r="B33" s="6" t="str">
        <x:v>SIR-000032</x:v>
      </x:c>
      <x:c r="C33" s="6" t="str">
        <x:v>SVC000032</x:v>
      </x:c>
      <x:c r="D33" s="12" t="str">
        <x:v>Service Identity Observation</x:v>
      </x:c>
      <x:c r="E33" s="6" t="str">
        <x:v>Nocturnix_Master_Services_Catalog_v1.xlsx</x:v>
      </x:c>
      <x:c r="F33" s="6" t="str">
        <x:v>01 - Master Services</x:v>
      </x:c>
      <x:c r="G33" s="6" t="n">
        <x:v>72</x:v>
      </x:c>
      <x:c r="H33" s="12" t="str">
        <x:v>Galaxy S 10 E Screen replacement</x:v>
      </x:c>
      <x:c r="I33" s="12" t="str">
        <x:v>galaxy s 10 e screen replacement</x:v>
      </x:c>
      <x:c r="J33" s="6" t="str">
        <x:v>SVC000032</x:v>
      </x:c>
      <x:c r="K33" s="12" t="str">
        <x:v>Contextual</x:v>
      </x:c>
      <x:c r="L33" s="12" t="str">
        <x:v>Source service identity preserved for manual review.</x:v>
      </x:c>
    </x:row>
    <x:row r="34">
      <x:c r="A34" s="12" t="str">
        <x:v>EVID-SIR-000033</x:v>
      </x:c>
      <x:c r="B34" s="6" t="str">
        <x:v>SIR-000033</x:v>
      </x:c>
      <x:c r="C34" s="6" t="str">
        <x:v>SVC000033</x:v>
      </x:c>
      <x:c r="D34" s="12" t="str">
        <x:v>Service Identity Observation</x:v>
      </x:c>
      <x:c r="E34" s="6" t="str">
        <x:v>Nocturnix_Master_Services_Catalog_v1.xlsx</x:v>
      </x:c>
      <x:c r="F34" s="6" t="str">
        <x:v>01 - Master Services</x:v>
      </x:c>
      <x:c r="G34" s="6" t="n">
        <x:v>73</x:v>
      </x:c>
      <x:c r="H34" s="12" t="str">
        <x:v>Galaxy S 23 Plus Screen replacement</x:v>
      </x:c>
      <x:c r="I34" s="12" t="str">
        <x:v>galaxy s 23 plus screen replacement</x:v>
      </x:c>
      <x:c r="J34" s="6" t="str">
        <x:v>SVC000033</x:v>
      </x:c>
      <x:c r="K34" s="12" t="str">
        <x:v>Contextual</x:v>
      </x:c>
      <x:c r="L34" s="12" t="str">
        <x:v>Source service identity preserved for manual review.</x:v>
      </x:c>
    </x:row>
    <x:row r="35">
      <x:c r="A35" s="12" t="str">
        <x:v>EVID-SIR-000034</x:v>
      </x:c>
      <x:c r="B35" s="6" t="str">
        <x:v>SIR-000034</x:v>
      </x:c>
      <x:c r="C35" s="6" t="str">
        <x:v>SVC000034</x:v>
      </x:c>
      <x:c r="D35" s="12" t="str">
        <x:v>Service Identity Observation</x:v>
      </x:c>
      <x:c r="E35" s="6" t="str">
        <x:v>Nocturnix_Master_Services_Catalog_v1.xlsx</x:v>
      </x:c>
      <x:c r="F35" s="6" t="str">
        <x:v>01 - Master Services</x:v>
      </x:c>
      <x:c r="G35" s="6" t="n">
        <x:v>74</x:v>
      </x:c>
      <x:c r="H35" s="12" t="str">
        <x:v>Galaxy S 8 Screen replacement</x:v>
      </x:c>
      <x:c r="I35" s="12" t="str">
        <x:v>galaxy s 8 screen replacement</x:v>
      </x:c>
      <x:c r="J35" s="6" t="str">
        <x:v>SVC000034</x:v>
      </x:c>
      <x:c r="K35" s="12" t="str">
        <x:v>Contextual</x:v>
      </x:c>
      <x:c r="L35" s="12" t="str">
        <x:v>Source service identity preserved for manual review.</x:v>
      </x:c>
    </x:row>
    <x:row r="36">
      <x:c r="A36" s="12" t="str">
        <x:v>EVID-SIR-000035</x:v>
      </x:c>
      <x:c r="B36" s="6" t="str">
        <x:v>SIR-000035</x:v>
      </x:c>
      <x:c r="C36" s="6" t="str">
        <x:v>SVC000035</x:v>
      </x:c>
      <x:c r="D36" s="12" t="str">
        <x:v>Service Identity Observation</x:v>
      </x:c>
      <x:c r="E36" s="6" t="str">
        <x:v>Nocturnix_Master_Services_Catalog_v1.xlsx</x:v>
      </x:c>
      <x:c r="F36" s="6" t="str">
        <x:v>01 - Master Services</x:v>
      </x:c>
      <x:c r="G36" s="6" t="n">
        <x:v>75</x:v>
      </x:c>
      <x:c r="H36" s="12" t="str">
        <x:v>Galaxy S 20 Screen replacement</x:v>
      </x:c>
      <x:c r="I36" s="12" t="str">
        <x:v>galaxy s 20 screen replacement</x:v>
      </x:c>
      <x:c r="J36" s="6" t="str">
        <x:v>SVC000035</x:v>
      </x:c>
      <x:c r="K36" s="12" t="str">
        <x:v>Contextual</x:v>
      </x:c>
      <x:c r="L36" s="12" t="str">
        <x:v>Source service identity preserved for manual review.</x:v>
      </x:c>
    </x:row>
    <x:row r="37">
      <x:c r="A37" s="12" t="str">
        <x:v>EVID-SIR-000036</x:v>
      </x:c>
      <x:c r="B37" s="6" t="str">
        <x:v>SIR-000036</x:v>
      </x:c>
      <x:c r="C37" s="6" t="str">
        <x:v>SVC000036</x:v>
      </x:c>
      <x:c r="D37" s="12" t="str">
        <x:v>Service Identity Observation</x:v>
      </x:c>
      <x:c r="E37" s="6" t="str">
        <x:v>Nocturnix_Master_Services_Catalog_v1.xlsx</x:v>
      </x:c>
      <x:c r="F37" s="6" t="str">
        <x:v>01 - Master Services</x:v>
      </x:c>
      <x:c r="G37" s="6" t="n">
        <x:v>76</x:v>
      </x:c>
      <x:c r="H37" s="12" t="str">
        <x:v>Galaxy S 20 Ultra Screen replacement</x:v>
      </x:c>
      <x:c r="I37" s="12" t="str">
        <x:v>galaxy s 20 ultra screen replacement</x:v>
      </x:c>
      <x:c r="J37" s="6" t="str">
        <x:v>SVC000036</x:v>
      </x:c>
      <x:c r="K37" s="12" t="str">
        <x:v>Contextual</x:v>
      </x:c>
      <x:c r="L37" s="12" t="str">
        <x:v>Source service identity preserved for manual review.</x:v>
      </x:c>
    </x:row>
    <x:row r="38">
      <x:c r="A38" s="12" t="str">
        <x:v>EVID-SIR-000037</x:v>
      </x:c>
      <x:c r="B38" s="6" t="str">
        <x:v>SIR-000037</x:v>
      </x:c>
      <x:c r="C38" s="6" t="str">
        <x:v>SVC000037</x:v>
      </x:c>
      <x:c r="D38" s="12" t="str">
        <x:v>Service Identity Observation</x:v>
      </x:c>
      <x:c r="E38" s="6" t="str">
        <x:v>Nocturnix_Master_Services_Catalog_v1.xlsx</x:v>
      </x:c>
      <x:c r="F38" s="6" t="str">
        <x:v>01 - Master Services</x:v>
      </x:c>
      <x:c r="G38" s="6" t="n">
        <x:v>77</x:v>
      </x:c>
      <x:c r="H38" s="12" t="str">
        <x:v>Galaxy S 24 Plus Screen replacement</x:v>
      </x:c>
      <x:c r="I38" s="12" t="str">
        <x:v>galaxy s 24 plus screen replacement</x:v>
      </x:c>
      <x:c r="J38" s="6" t="str">
        <x:v>SVC000037</x:v>
      </x:c>
      <x:c r="K38" s="12" t="str">
        <x:v>Contextual</x:v>
      </x:c>
      <x:c r="L38" s="12" t="str">
        <x:v>Source service identity preserved for manual review.</x:v>
      </x:c>
    </x:row>
    <x:row r="39">
      <x:c r="A39" s="12" t="str">
        <x:v>EVID-SIR-000038</x:v>
      </x:c>
      <x:c r="B39" s="6" t="str">
        <x:v>SIR-000038</x:v>
      </x:c>
      <x:c r="C39" s="6" t="str">
        <x:v>SVC000038</x:v>
      </x:c>
      <x:c r="D39" s="12" t="str">
        <x:v>Service Identity Observation</x:v>
      </x:c>
      <x:c r="E39" s="6" t="str">
        <x:v>Nocturnix_Master_Services_Catalog_v1.xlsx</x:v>
      </x:c>
      <x:c r="F39" s="6" t="str">
        <x:v>01 - Master Services</x:v>
      </x:c>
      <x:c r="G39" s="6" t="n">
        <x:v>78</x:v>
      </x:c>
      <x:c r="H39" s="12" t="str">
        <x:v>Galaxy S 7 Screen replacement</x:v>
      </x:c>
      <x:c r="I39" s="12" t="str">
        <x:v>galaxy s 7 screen replacement</x:v>
      </x:c>
      <x:c r="J39" s="6" t="str">
        <x:v>SVC000038</x:v>
      </x:c>
      <x:c r="K39" s="12" t="str">
        <x:v>Contextual</x:v>
      </x:c>
      <x:c r="L39" s="12" t="str">
        <x:v>Source service identity preserved for manual review.</x:v>
      </x:c>
    </x:row>
    <x:row r="40">
      <x:c r="A40" s="12" t="str">
        <x:v>EVID-SIR-000039</x:v>
      </x:c>
      <x:c r="B40" s="6" t="str">
        <x:v>SIR-000039</x:v>
      </x:c>
      <x:c r="C40" s="6" t="str">
        <x:v>SVC000039</x:v>
      </x:c>
      <x:c r="D40" s="12" t="str">
        <x:v>Service Identity Observation</x:v>
      </x:c>
      <x:c r="E40" s="6" t="str">
        <x:v>Nocturnix_Master_Services_Catalog_v1.xlsx</x:v>
      </x:c>
      <x:c r="F40" s="6" t="str">
        <x:v>01 - Master Services</x:v>
      </x:c>
      <x:c r="G40" s="6" t="n">
        <x:v>79</x:v>
      </x:c>
      <x:c r="H40" s="12" t="str">
        <x:v>Galaxy S 10 Screen replacement</x:v>
      </x:c>
      <x:c r="I40" s="12" t="str">
        <x:v>galaxy s 10 screen replacement</x:v>
      </x:c>
      <x:c r="J40" s="6" t="str">
        <x:v>SVC000039</x:v>
      </x:c>
      <x:c r="K40" s="12" t="str">
        <x:v>Contextual</x:v>
      </x:c>
      <x:c r="L40" s="12" t="str">
        <x:v>Source service identity preserved for manual review.</x:v>
      </x:c>
    </x:row>
    <x:row r="41">
      <x:c r="A41" s="12" t="str">
        <x:v>EVID-SIR-000040</x:v>
      </x:c>
      <x:c r="B41" s="6" t="str">
        <x:v>SIR-000040</x:v>
      </x:c>
      <x:c r="C41" s="6" t="str">
        <x:v>SVC000040</x:v>
      </x:c>
      <x:c r="D41" s="12" t="str">
        <x:v>Service Identity Observation</x:v>
      </x:c>
      <x:c r="E41" s="6" t="str">
        <x:v>Nocturnix_Master_Services_Catalog_v1.xlsx</x:v>
      </x:c>
      <x:c r="F41" s="6" t="str">
        <x:v>01 - Master Services</x:v>
      </x:c>
      <x:c r="G41" s="6" t="n">
        <x:v>80</x:v>
      </x:c>
      <x:c r="H41" s="12" t="str">
        <x:v>Galaxy S 7 Edge Screen replacement</x:v>
      </x:c>
      <x:c r="I41" s="12" t="str">
        <x:v>galaxy s 7 edge screen replacement</x:v>
      </x:c>
      <x:c r="J41" s="6" t="str">
        <x:v>SVC000040</x:v>
      </x:c>
      <x:c r="K41" s="12" t="str">
        <x:v>Contextual</x:v>
      </x:c>
      <x:c r="L41" s="12" t="str">
        <x:v>Source service identity preserved for manual review.</x:v>
      </x:c>
    </x:row>
    <x:row r="42">
      <x:c r="A42" s="12" t="str">
        <x:v>EVID-SIR-000041</x:v>
      </x:c>
      <x:c r="B42" s="6" t="str">
        <x:v>SIR-000041</x:v>
      </x:c>
      <x:c r="C42" s="6" t="str">
        <x:v>SVC000041</x:v>
      </x:c>
      <x:c r="D42" s="12" t="str">
        <x:v>Service Identity Observation</x:v>
      </x:c>
      <x:c r="E42" s="6" t="str">
        <x:v>Nocturnix_Master_Services_Catalog_v1.xlsx</x:v>
      </x:c>
      <x:c r="F42" s="6" t="str">
        <x:v>01 - Master Services</x:v>
      </x:c>
      <x:c r="G42" s="6" t="n">
        <x:v>81</x:v>
      </x:c>
      <x:c r="H42" s="12" t="str">
        <x:v>Galaxy S 9 Screen replacement</x:v>
      </x:c>
      <x:c r="I42" s="12" t="str">
        <x:v>galaxy s 9 screen replacement</x:v>
      </x:c>
      <x:c r="J42" s="6" t="str">
        <x:v>SVC000041</x:v>
      </x:c>
      <x:c r="K42" s="12" t="str">
        <x:v>Contextual</x:v>
      </x:c>
      <x:c r="L42" s="12" t="str">
        <x:v>Source service identity preserved for manual review.</x:v>
      </x:c>
    </x:row>
    <x:row r="43">
      <x:c r="A43" s="12" t="str">
        <x:v>EVID-SIR-000042</x:v>
      </x:c>
      <x:c r="B43" s="6" t="str">
        <x:v>SIR-000042</x:v>
      </x:c>
      <x:c r="C43" s="6" t="str">
        <x:v>SVC000042</x:v>
      </x:c>
      <x:c r="D43" s="12" t="str">
        <x:v>Service Identity Observation</x:v>
      </x:c>
      <x:c r="E43" s="6" t="str">
        <x:v>Nocturnix_Master_Services_Catalog_v1.xlsx</x:v>
      </x:c>
      <x:c r="F43" s="6" t="str">
        <x:v>01 - Master Services</x:v>
      </x:c>
      <x:c r="G43" s="6" t="n">
        <x:v>82</x:v>
      </x:c>
      <x:c r="H43" s="12" t="str">
        <x:v>Galaxy S 23 Screen replacement</x:v>
      </x:c>
      <x:c r="I43" s="12" t="str">
        <x:v>galaxy s 23 screen replacement</x:v>
      </x:c>
      <x:c r="J43" s="6" t="str">
        <x:v>SVC000042</x:v>
      </x:c>
      <x:c r="K43" s="12" t="str">
        <x:v>Contextual</x:v>
      </x:c>
      <x:c r="L43" s="12" t="str">
        <x:v>Source service identity preserved for manual review.</x:v>
      </x:c>
    </x:row>
    <x:row r="44">
      <x:c r="A44" s="12" t="str">
        <x:v>EVID-SIR-000043</x:v>
      </x:c>
      <x:c r="B44" s="6" t="str">
        <x:v>SIR-000043</x:v>
      </x:c>
      <x:c r="C44" s="6" t="str">
        <x:v>SVC000043</x:v>
      </x:c>
      <x:c r="D44" s="12" t="str">
        <x:v>Service Identity Observation</x:v>
      </x:c>
      <x:c r="E44" s="6" t="str">
        <x:v>Nocturnix_Master_Services_Catalog_v1.xlsx</x:v>
      </x:c>
      <x:c r="F44" s="6" t="str">
        <x:v>01 - Master Services</x:v>
      </x:c>
      <x:c r="G44" s="6" t="n">
        <x:v>83</x:v>
      </x:c>
      <x:c r="H44" s="12" t="str">
        <x:v>Galaxy S 23 FE Screen replacement</x:v>
      </x:c>
      <x:c r="I44" s="12" t="str">
        <x:v>galaxy s 23 fe screen replacement</x:v>
      </x:c>
      <x:c r="J44" s="6" t="str">
        <x:v>SVC000043</x:v>
      </x:c>
      <x:c r="K44" s="12" t="str">
        <x:v>Contextual</x:v>
      </x:c>
      <x:c r="L44" s="12" t="str">
        <x:v>Source service identity preserved for manual review.</x:v>
      </x:c>
    </x:row>
    <x:row r="45">
      <x:c r="A45" s="12" t="str">
        <x:v>EVID-SIR-000044</x:v>
      </x:c>
      <x:c r="B45" s="6" t="str">
        <x:v>SIR-000044</x:v>
      </x:c>
      <x:c r="C45" s="6" t="str">
        <x:v>SVC000044</x:v>
      </x:c>
      <x:c r="D45" s="12" t="str">
        <x:v>Service Identity Observation</x:v>
      </x:c>
      <x:c r="E45" s="6" t="str">
        <x:v>Nocturnix_Master_Services_Catalog_v1.xlsx</x:v>
      </x:c>
      <x:c r="F45" s="6" t="str">
        <x:v>01 - Master Services</x:v>
      </x:c>
      <x:c r="G45" s="6" t="n">
        <x:v>84</x:v>
      </x:c>
      <x:c r="H45" s="12" t="str">
        <x:v>Galaxy S3 Mini Screen replacement</x:v>
      </x:c>
      <x:c r="I45" s="12" t="str">
        <x:v>galaxy s3 mini screen replacement</x:v>
      </x:c>
      <x:c r="J45" s="6" t="str">
        <x:v>SVC000044</x:v>
      </x:c>
      <x:c r="K45" s="12" t="str">
        <x:v>Contextual</x:v>
      </x:c>
      <x:c r="L45" s="12" t="str">
        <x:v>Source service identity preserved for manual review.</x:v>
      </x:c>
    </x:row>
    <x:row r="46">
      <x:c r="A46" s="12" t="str">
        <x:v>EVID-SIR-000045</x:v>
      </x:c>
      <x:c r="B46" s="6" t="str">
        <x:v>SIR-000045</x:v>
      </x:c>
      <x:c r="C46" s="6" t="str">
        <x:v>SVC000045</x:v>
      </x:c>
      <x:c r="D46" s="12" t="str">
        <x:v>Service Identity Observation</x:v>
      </x:c>
      <x:c r="E46" s="6" t="str">
        <x:v>Nocturnix_Master_Services_Catalog_v1.xlsx</x:v>
      </x:c>
      <x:c r="F46" s="6" t="str">
        <x:v>01 - Master Services</x:v>
      </x:c>
      <x:c r="G46" s="6" t="n">
        <x:v>85</x:v>
      </x:c>
      <x:c r="H46" s="12" t="str">
        <x:v>Galaxy S 4 Mini Screen replacement</x:v>
      </x:c>
      <x:c r="I46" s="12" t="str">
        <x:v>galaxy s 4 mini screen replacement</x:v>
      </x:c>
      <x:c r="J46" s="6" t="str">
        <x:v>SVC000045</x:v>
      </x:c>
      <x:c r="K46" s="12" t="str">
        <x:v>Contextual</x:v>
      </x:c>
      <x:c r="L46" s="12" t="str">
        <x:v>Source service identity preserved for manual review.</x:v>
      </x:c>
    </x:row>
    <x:row r="47">
      <x:c r="A47" s="12" t="str">
        <x:v>EVID-SIR-000046</x:v>
      </x:c>
      <x:c r="B47" s="6" t="str">
        <x:v>SIR-000046</x:v>
      </x:c>
      <x:c r="C47" s="6" t="str">
        <x:v>SVC000046</x:v>
      </x:c>
      <x:c r="D47" s="12" t="str">
        <x:v>Service Identity Observation</x:v>
      </x:c>
      <x:c r="E47" s="6" t="str">
        <x:v>Nocturnix_Master_Services_Catalog_v1.xlsx</x:v>
      </x:c>
      <x:c r="F47" s="6" t="str">
        <x:v>01 - Master Services</x:v>
      </x:c>
      <x:c r="G47" s="6" t="n">
        <x:v>86</x:v>
      </x:c>
      <x:c r="H47" s="12" t="str">
        <x:v>Galaxy S Classic Screen replacement</x:v>
      </x:c>
      <x:c r="I47" s="12" t="str">
        <x:v>galaxy s classic screen replacement</x:v>
      </x:c>
      <x:c r="J47" s="6" t="str">
        <x:v>SVC000046</x:v>
      </x:c>
      <x:c r="K47" s="12" t="str">
        <x:v>Contextual</x:v>
      </x:c>
      <x:c r="L47" s="12" t="str">
        <x:v>Source service identity preserved for manual review.</x:v>
      </x:c>
    </x:row>
    <x:row r="48">
      <x:c r="A48" s="12" t="str">
        <x:v>EVID-SIR-000047</x:v>
      </x:c>
      <x:c r="B48" s="6" t="str">
        <x:v>SIR-000047</x:v>
      </x:c>
      <x:c r="C48" s="6" t="str">
        <x:v>SVC000047</x:v>
      </x:c>
      <x:c r="D48" s="12" t="str">
        <x:v>Service Identity Observation</x:v>
      </x:c>
      <x:c r="E48" s="6" t="str">
        <x:v>Nocturnix_Master_Services_Catalog_v1.xlsx</x:v>
      </x:c>
      <x:c r="F48" s="6" t="str">
        <x:v>01 - Master Services</x:v>
      </x:c>
      <x:c r="G48" s="6" t="n">
        <x:v>87</x:v>
      </x:c>
      <x:c r="H48" s="12" t="str">
        <x:v>Galaxy S 5 Active Screen replacement</x:v>
      </x:c>
      <x:c r="I48" s="12" t="str">
        <x:v>galaxy s 5 active screen replacement</x:v>
      </x:c>
      <x:c r="J48" s="6" t="str">
        <x:v>SVC000047</x:v>
      </x:c>
      <x:c r="K48" s="12" t="str">
        <x:v>Contextual</x:v>
      </x:c>
      <x:c r="L48" s="12" t="str">
        <x:v>Source service identity preserved for manual review.</x:v>
      </x:c>
    </x:row>
    <x:row r="49">
      <x:c r="A49" s="12" t="str">
        <x:v>EVID-SIR-000048</x:v>
      </x:c>
      <x:c r="B49" s="6" t="str">
        <x:v>SIR-000048</x:v>
      </x:c>
      <x:c r="C49" s="6" t="str">
        <x:v>SVC000048</x:v>
      </x:c>
      <x:c r="D49" s="12" t="str">
        <x:v>Service Identity Observation</x:v>
      </x:c>
      <x:c r="E49" s="6" t="str">
        <x:v>Nocturnix_Master_Services_Catalog_v1.xlsx</x:v>
      </x:c>
      <x:c r="F49" s="6" t="str">
        <x:v>01 - Master Services</x:v>
      </x:c>
      <x:c r="G49" s="6" t="n">
        <x:v>88</x:v>
      </x:c>
      <x:c r="H49" s="12" t="str">
        <x:v>Galaxy S 5 Neo Screen replacement</x:v>
      </x:c>
      <x:c r="I49" s="12" t="str">
        <x:v>galaxy s 5 neo screen replacement</x:v>
      </x:c>
      <x:c r="J49" s="6" t="str">
        <x:v>SVC000048</x:v>
      </x:c>
      <x:c r="K49" s="12" t="str">
        <x:v>Contextual</x:v>
      </x:c>
      <x:c r="L49" s="12" t="str">
        <x:v>Source service identity preserved for manual review.</x:v>
      </x:c>
    </x:row>
    <x:row r="50">
      <x:c r="A50" s="12" t="str">
        <x:v>EVID-SIR-000049</x:v>
      </x:c>
      <x:c r="B50" s="6" t="str">
        <x:v>SIR-000049</x:v>
      </x:c>
      <x:c r="C50" s="6" t="str">
        <x:v>SVC000049</x:v>
      </x:c>
      <x:c r="D50" s="12" t="str">
        <x:v>Service Identity Observation</x:v>
      </x:c>
      <x:c r="E50" s="6" t="str">
        <x:v>Nocturnix_Master_Services_Catalog_v1.xlsx</x:v>
      </x:c>
      <x:c r="F50" s="6" t="str">
        <x:v>01 - Master Services</x:v>
      </x:c>
      <x:c r="G50" s="6" t="n">
        <x:v>89</x:v>
      </x:c>
      <x:c r="H50" s="12" t="str">
        <x:v>Galaxy S2 Screen replacement</x:v>
      </x:c>
      <x:c r="I50" s="12" t="str">
        <x:v>galaxy s2 screen replacement</x:v>
      </x:c>
      <x:c r="J50" s="6" t="str">
        <x:v>SVC000049</x:v>
      </x:c>
      <x:c r="K50" s="12" t="str">
        <x:v>Contextual</x:v>
      </x:c>
      <x:c r="L50" s="12" t="str">
        <x:v>Source service identity preserved for manual review.</x:v>
      </x:c>
    </x:row>
    <x:row r="51">
      <x:c r="A51" s="12" t="str">
        <x:v>EVID-SIR-000050</x:v>
      </x:c>
      <x:c r="B51" s="6" t="str">
        <x:v>SIR-000050</x:v>
      </x:c>
      <x:c r="C51" s="6" t="str">
        <x:v>SVC000050</x:v>
      </x:c>
      <x:c r="D51" s="12" t="str">
        <x:v>Service Identity Observation</x:v>
      </x:c>
      <x:c r="E51" s="6" t="str">
        <x:v>Nocturnix_Master_Services_Catalog_v1.xlsx</x:v>
      </x:c>
      <x:c r="F51" s="6" t="str">
        <x:v>01 - Master Services</x:v>
      </x:c>
      <x:c r="G51" s="6" t="n">
        <x:v>90</x:v>
      </x:c>
      <x:c r="H51" s="12" t="str">
        <x:v>Galaxy S3 Neo Screen replacement</x:v>
      </x:c>
      <x:c r="I51" s="12" t="str">
        <x:v>galaxy s3 neo screen replacement</x:v>
      </x:c>
      <x:c r="J51" s="6" t="str">
        <x:v>SVC000050</x:v>
      </x:c>
      <x:c r="K51" s="12" t="str">
        <x:v>Contextual</x:v>
      </x:c>
      <x:c r="L51" s="12" t="str">
        <x:v>Source service identity preserved for manual review.</x:v>
      </x:c>
    </x:row>
    <x:row r="52">
      <x:c r="A52" s="12" t="str">
        <x:v>EVID-SIR-000051</x:v>
      </x:c>
      <x:c r="B52" s="6" t="str">
        <x:v>SIR-000051</x:v>
      </x:c>
      <x:c r="C52" s="6" t="str">
        <x:v>SVC000051</x:v>
      </x:c>
      <x:c r="D52" s="12" t="str">
        <x:v>Service Identity Observation</x:v>
      </x:c>
      <x:c r="E52" s="6" t="str">
        <x:v>Nocturnix_Master_Services_Catalog_v1.xlsx</x:v>
      </x:c>
      <x:c r="F52" s="6" t="str">
        <x:v>01 - Master Services</x:v>
      </x:c>
      <x:c r="G52" s="6" t="n">
        <x:v>91</x:v>
      </x:c>
      <x:c r="H52" s="12" t="str">
        <x:v>Galaxy S3 Screen replacement</x:v>
      </x:c>
      <x:c r="I52" s="12" t="str">
        <x:v>galaxy s3 screen replacement</x:v>
      </x:c>
      <x:c r="J52" s="6" t="str">
        <x:v>SVC000051</x:v>
      </x:c>
      <x:c r="K52" s="12" t="str">
        <x:v>Contextual</x:v>
      </x:c>
      <x:c r="L52" s="12" t="str">
        <x:v>Source service identity preserved for manual review.</x:v>
      </x:c>
    </x:row>
    <x:row r="53">
      <x:c r="A53" s="12" t="str">
        <x:v>EVID-SIR-000052</x:v>
      </x:c>
      <x:c r="B53" s="6" t="str">
        <x:v>SIR-000052</x:v>
      </x:c>
      <x:c r="C53" s="6" t="str">
        <x:v>SVC000052</x:v>
      </x:c>
      <x:c r="D53" s="12" t="str">
        <x:v>Service Identity Observation</x:v>
      </x:c>
      <x:c r="E53" s="6" t="str">
        <x:v>Nocturnix_Master_Services_Catalog_v1.xlsx</x:v>
      </x:c>
      <x:c r="F53" s="6" t="str">
        <x:v>01 - Master Services</x:v>
      </x:c>
      <x:c r="G53" s="6" t="n">
        <x:v>92</x:v>
      </x:c>
      <x:c r="H53" s="12" t="str">
        <x:v>Galaxy S4 Screen replacement</x:v>
      </x:c>
      <x:c r="I53" s="12" t="str">
        <x:v>galaxy s4 screen replacement</x:v>
      </x:c>
      <x:c r="J53" s="6" t="str">
        <x:v>SVC000052</x:v>
      </x:c>
      <x:c r="K53" s="12" t="str">
        <x:v>Contextual</x:v>
      </x:c>
      <x:c r="L53" s="12" t="str">
        <x:v>Source service identity preserved for manual review.</x:v>
      </x:c>
    </x:row>
    <x:row r="54">
      <x:c r="A54" s="12" t="str">
        <x:v>EVID-SIR-000053</x:v>
      </x:c>
      <x:c r="B54" s="6" t="str">
        <x:v>SIR-000053</x:v>
      </x:c>
      <x:c r="C54" s="6" t="str">
        <x:v>SVC000053</x:v>
      </x:c>
      <x:c r="D54" s="12" t="str">
        <x:v>Service Identity Observation</x:v>
      </x:c>
      <x:c r="E54" s="6" t="str">
        <x:v>Nocturnix_Master_Services_Catalog_v1.xlsx</x:v>
      </x:c>
      <x:c r="F54" s="6" t="str">
        <x:v>01 - Master Services</x:v>
      </x:c>
      <x:c r="G54" s="6" t="n">
        <x:v>93</x:v>
      </x:c>
      <x:c r="H54" s="12" t="str">
        <x:v>Galaxy S 4 Active Screen replacement</x:v>
      </x:c>
      <x:c r="I54" s="12" t="str">
        <x:v>galaxy s 4 active screen replacement</x:v>
      </x:c>
      <x:c r="J54" s="6" t="str">
        <x:v>SVC000053</x:v>
      </x:c>
      <x:c r="K54" s="12" t="str">
        <x:v>Contextual</x:v>
      </x:c>
      <x:c r="L54" s="12" t="str">
        <x:v>Source service identity preserved for manual review.</x:v>
      </x:c>
    </x:row>
    <x:row r="55">
      <x:c r="A55" s="12" t="str">
        <x:v>EVID-SIR-000054</x:v>
      </x:c>
      <x:c r="B55" s="6" t="str">
        <x:v>SIR-000054</x:v>
      </x:c>
      <x:c r="C55" s="6" t="str">
        <x:v>SVC000054</x:v>
      </x:c>
      <x:c r="D55" s="12" t="str">
        <x:v>Service Identity Observation</x:v>
      </x:c>
      <x:c r="E55" s="6" t="str">
        <x:v>Nocturnix_Master_Services_Catalog_v1.xlsx</x:v>
      </x:c>
      <x:c r="F55" s="6" t="str">
        <x:v>01 - Master Services</x:v>
      </x:c>
      <x:c r="G55" s="6" t="n">
        <x:v>94</x:v>
      </x:c>
      <x:c r="H55" s="12" t="str">
        <x:v>Galaxy S 5 Screen replacement</x:v>
      </x:c>
      <x:c r="I55" s="12" t="str">
        <x:v>galaxy s 5 screen replacement</x:v>
      </x:c>
      <x:c r="J55" s="6" t="str">
        <x:v>SVC000054</x:v>
      </x:c>
      <x:c r="K55" s="12" t="str">
        <x:v>Contextual</x:v>
      </x:c>
      <x:c r="L55" s="12" t="str">
        <x:v>Source service identity preserved for manual review.</x:v>
      </x:c>
    </x:row>
    <x:row r="56">
      <x:c r="A56" s="12" t="str">
        <x:v>EVID-SIR-000055</x:v>
      </x:c>
      <x:c r="B56" s="6" t="str">
        <x:v>SIR-000055</x:v>
      </x:c>
      <x:c r="C56" s="6" t="str">
        <x:v>SVC000055</x:v>
      </x:c>
      <x:c r="D56" s="12" t="str">
        <x:v>Service Identity Observation</x:v>
      </x:c>
      <x:c r="E56" s="6" t="str">
        <x:v>Nocturnix_Master_Services_Catalog_v1.xlsx</x:v>
      </x:c>
      <x:c r="F56" s="6" t="str">
        <x:v>01 - Master Services</x:v>
      </x:c>
      <x:c r="G56" s="6" t="n">
        <x:v>95</x:v>
      </x:c>
      <x:c r="H56" s="12" t="str">
        <x:v>iPhone X Screen replacement</x:v>
      </x:c>
      <x:c r="I56" s="12" t="str">
        <x:v>iphone x screen replacement</x:v>
      </x:c>
      <x:c r="J56" s="6" t="str">
        <x:v>SVC000055</x:v>
      </x:c>
      <x:c r="K56" s="12" t="str">
        <x:v>Contextual</x:v>
      </x:c>
      <x:c r="L56" s="12" t="str">
        <x:v>Source service identity preserved for manual review.</x:v>
      </x:c>
    </x:row>
    <x:row r="57">
      <x:c r="A57" s="12" t="str">
        <x:v>EVID-SIR-000056</x:v>
      </x:c>
      <x:c r="B57" s="6" t="str">
        <x:v>SIR-000056</x:v>
      </x:c>
      <x:c r="C57" s="6" t="str">
        <x:v>SVC000056</x:v>
      </x:c>
      <x:c r="D57" s="12" t="str">
        <x:v>Service Identity Observation</x:v>
      </x:c>
      <x:c r="E57" s="6" t="str">
        <x:v>Nocturnix_Master_Services_Catalog_v1.xlsx</x:v>
      </x:c>
      <x:c r="F57" s="6" t="str">
        <x:v>01 - Master Services</x:v>
      </x:c>
      <x:c r="G57" s="6" t="n">
        <x:v>96</x:v>
      </x:c>
      <x:c r="H57" s="12" t="str">
        <x:v>iPhone XS Max Screen replacement</x:v>
      </x:c>
      <x:c r="I57" s="12" t="str">
        <x:v>iphone xs max screen replacement</x:v>
      </x:c>
      <x:c r="J57" s="6" t="str">
        <x:v>SVC000056</x:v>
      </x:c>
      <x:c r="K57" s="12" t="str">
        <x:v>Contextual</x:v>
      </x:c>
      <x:c r="L57" s="12" t="str">
        <x:v>Source service identity preserved for manual review.</x:v>
      </x:c>
    </x:row>
    <x:row r="58">
      <x:c r="A58" s="12" t="str">
        <x:v>EVID-SIR-000057</x:v>
      </x:c>
      <x:c r="B58" s="6" t="str">
        <x:v>SIR-000057</x:v>
      </x:c>
      <x:c r="C58" s="6" t="str">
        <x:v>SVC000057</x:v>
      </x:c>
      <x:c r="D58" s="12" t="str">
        <x:v>Service Identity Observation</x:v>
      </x:c>
      <x:c r="E58" s="6" t="str">
        <x:v>Nocturnix_Master_Services_Catalog_v1.xlsx</x:v>
      </x:c>
      <x:c r="F58" s="6" t="str">
        <x:v>01 - Master Services</x:v>
      </x:c>
      <x:c r="G58" s="6" t="n">
        <x:v>97</x:v>
      </x:c>
      <x:c r="H58" s="12" t="str">
        <x:v>iPhone 12 Screen replacement</x:v>
      </x:c>
      <x:c r="I58" s="12" t="str">
        <x:v>iphone 12 screen replacement</x:v>
      </x:c>
      <x:c r="J58" s="6" t="str">
        <x:v>SVC000057</x:v>
      </x:c>
      <x:c r="K58" s="12" t="str">
        <x:v>Contextual</x:v>
      </x:c>
      <x:c r="L58" s="12" t="str">
        <x:v>Source service identity preserved for manual review.</x:v>
      </x:c>
    </x:row>
    <x:row r="59">
      <x:c r="A59" s="12" t="str">
        <x:v>EVID-SIR-000058</x:v>
      </x:c>
      <x:c r="B59" s="6" t="str">
        <x:v>SIR-000058</x:v>
      </x:c>
      <x:c r="C59" s="6" t="str">
        <x:v>SVC000058</x:v>
      </x:c>
      <x:c r="D59" s="12" t="str">
        <x:v>Service Identity Observation</x:v>
      </x:c>
      <x:c r="E59" s="6" t="str">
        <x:v>Nocturnix_Master_Services_Catalog_v1.xlsx</x:v>
      </x:c>
      <x:c r="F59" s="6" t="str">
        <x:v>01 - Master Services</x:v>
      </x:c>
      <x:c r="G59" s="6" t="n">
        <x:v>98</x:v>
      </x:c>
      <x:c r="H59" s="12" t="str">
        <x:v>iPhone 12 Pro Max Screen replacement</x:v>
      </x:c>
      <x:c r="I59" s="12" t="str">
        <x:v>iphone 12 pro max screen replacement</x:v>
      </x:c>
      <x:c r="J59" s="6" t="str">
        <x:v>SVC000058</x:v>
      </x:c>
      <x:c r="K59" s="12" t="str">
        <x:v>Contextual</x:v>
      </x:c>
      <x:c r="L59" s="12" t="str">
        <x:v>Source service identity preserved for manual review.</x:v>
      </x:c>
    </x:row>
    <x:row r="60">
      <x:c r="A60" s="12" t="str">
        <x:v>EVID-SIR-000059</x:v>
      </x:c>
      <x:c r="B60" s="6" t="str">
        <x:v>SIR-000059</x:v>
      </x:c>
      <x:c r="C60" s="6" t="str">
        <x:v>SVC000059</x:v>
      </x:c>
      <x:c r="D60" s="12" t="str">
        <x:v>Service Identity Observation</x:v>
      </x:c>
      <x:c r="E60" s="6" t="str">
        <x:v>Nocturnix_Master_Services_Catalog_v1.xlsx</x:v>
      </x:c>
      <x:c r="F60" s="6" t="str">
        <x:v>01 - Master Services</x:v>
      </x:c>
      <x:c r="G60" s="6" t="n">
        <x:v>99</x:v>
      </x:c>
      <x:c r="H60" s="12" t="str">
        <x:v>iPhone 12 Mini Screen replacement</x:v>
      </x:c>
      <x:c r="I60" s="12" t="str">
        <x:v>iphone 12 mini screen replacement</x:v>
      </x:c>
      <x:c r="J60" s="6" t="str">
        <x:v>SVC000059</x:v>
      </x:c>
      <x:c r="K60" s="12" t="str">
        <x:v>Contextual</x:v>
      </x:c>
      <x:c r="L60" s="12" t="str">
        <x:v>Source service identity preserved for manual review.</x:v>
      </x:c>
    </x:row>
    <x:row r="61">
      <x:c r="A61" s="12" t="str">
        <x:v>EVID-SIR-000060</x:v>
      </x:c>
      <x:c r="B61" s="6" t="str">
        <x:v>SIR-000060</x:v>
      </x:c>
      <x:c r="C61" s="6" t="str">
        <x:v>SVC000060</x:v>
      </x:c>
      <x:c r="D61" s="12" t="str">
        <x:v>Service Identity Observation</x:v>
      </x:c>
      <x:c r="E61" s="6" t="str">
        <x:v>Nocturnix_Master_Services_Catalog_v1.xlsx</x:v>
      </x:c>
      <x:c r="F61" s="6" t="str">
        <x:v>01 - Master Services</x:v>
      </x:c>
      <x:c r="G61" s="6" t="n">
        <x:v>100</x:v>
      </x:c>
      <x:c r="H61" s="12" t="str">
        <x:v>iPhone 11 Pro Screen replacement</x:v>
      </x:c>
      <x:c r="I61" s="12" t="str">
        <x:v>iphone 11 pro screen replacement</x:v>
      </x:c>
      <x:c r="J61" s="6" t="str">
        <x:v>SVC000060</x:v>
      </x:c>
      <x:c r="K61" s="12" t="str">
        <x:v>Contextual</x:v>
      </x:c>
      <x:c r="L61" s="12" t="str">
        <x:v>Source service identity preserved for manual review.</x:v>
      </x:c>
    </x:row>
    <x:row r="62">
      <x:c r="A62" s="12" t="str">
        <x:v>EVID-SIR-000061</x:v>
      </x:c>
      <x:c r="B62" s="6" t="str">
        <x:v>SIR-000061</x:v>
      </x:c>
      <x:c r="C62" s="6" t="str">
        <x:v>SVC000061</x:v>
      </x:c>
      <x:c r="D62" s="12" t="str">
        <x:v>Service Identity Observation</x:v>
      </x:c>
      <x:c r="E62" s="6" t="str">
        <x:v>Nocturnix_Master_Services_Catalog_v1.xlsx</x:v>
      </x:c>
      <x:c r="F62" s="6" t="str">
        <x:v>01 - Master Services</x:v>
      </x:c>
      <x:c r="G62" s="6" t="n">
        <x:v>101</x:v>
      </x:c>
      <x:c r="H62" s="12" t="str">
        <x:v>iPhone 11 Screen replacement</x:v>
      </x:c>
      <x:c r="I62" s="12" t="str">
        <x:v>iphone 11 screen replacement</x:v>
      </x:c>
      <x:c r="J62" s="6" t="str">
        <x:v>SVC000061</x:v>
      </x:c>
      <x:c r="K62" s="12" t="str">
        <x:v>Contextual</x:v>
      </x:c>
      <x:c r="L62" s="12" t="str">
        <x:v>Source service identity preserved for manual review.</x:v>
      </x:c>
    </x:row>
    <x:row r="63">
      <x:c r="A63" s="12" t="str">
        <x:v>EVID-SIR-000062</x:v>
      </x:c>
      <x:c r="B63" s="6" t="str">
        <x:v>SIR-000062</x:v>
      </x:c>
      <x:c r="C63" s="6" t="str">
        <x:v>SVC000062</x:v>
      </x:c>
      <x:c r="D63" s="12" t="str">
        <x:v>Service Identity Observation</x:v>
      </x:c>
      <x:c r="E63" s="6" t="str">
        <x:v>Nocturnix_Master_Services_Catalog_v1.xlsx</x:v>
      </x:c>
      <x:c r="F63" s="6" t="str">
        <x:v>01 - Master Services</x:v>
      </x:c>
      <x:c r="G63" s="6" t="n">
        <x:v>102</x:v>
      </x:c>
      <x:c r="H63" s="12" t="str">
        <x:v>iPhone 11 Pro Max Screen replacement</x:v>
      </x:c>
      <x:c r="I63" s="12" t="str">
        <x:v>iphone 11 pro max screen replacement</x:v>
      </x:c>
      <x:c r="J63" s="6" t="str">
        <x:v>SVC000062</x:v>
      </x:c>
      <x:c r="K63" s="12" t="str">
        <x:v>Contextual</x:v>
      </x:c>
      <x:c r="L63" s="12" t="str">
        <x:v>Source service identity preserved for manual review.</x:v>
      </x:c>
    </x:row>
    <x:row r="64">
      <x:c r="A64" s="12" t="str">
        <x:v>EVID-SIR-000063</x:v>
      </x:c>
      <x:c r="B64" s="6" t="str">
        <x:v>SIR-000063</x:v>
      </x:c>
      <x:c r="C64" s="6" t="str">
        <x:v>SVC000063</x:v>
      </x:c>
      <x:c r="D64" s="12" t="str">
        <x:v>Service Identity Observation</x:v>
      </x:c>
      <x:c r="E64" s="6" t="str">
        <x:v>Nocturnix_Master_Services_Catalog_v1.xlsx</x:v>
      </x:c>
      <x:c r="F64" s="6" t="str">
        <x:v>01 - Master Services</x:v>
      </x:c>
      <x:c r="G64" s="6" t="n">
        <x:v>103</x:v>
      </x:c>
      <x:c r="H64" s="12" t="str">
        <x:v>iPhone 12 Pro Screen replacement</x:v>
      </x:c>
      <x:c r="I64" s="12" t="str">
        <x:v>iphone 12 pro screen replacement</x:v>
      </x:c>
      <x:c r="J64" s="6" t="str">
        <x:v>SVC000063</x:v>
      </x:c>
      <x:c r="K64" s="12" t="str">
        <x:v>Contextual</x:v>
      </x:c>
      <x:c r="L64" s="12" t="str">
        <x:v>Source service identity preserved for manual review.</x:v>
      </x:c>
    </x:row>
    <x:row r="65">
      <x:c r="A65" s="12" t="str">
        <x:v>EVID-SIR-000064</x:v>
      </x:c>
      <x:c r="B65" s="6" t="str">
        <x:v>SIR-000064</x:v>
      </x:c>
      <x:c r="C65" s="6" t="str">
        <x:v>SVC000064</x:v>
      </x:c>
      <x:c r="D65" s="12" t="str">
        <x:v>Service Identity Observation</x:v>
      </x:c>
      <x:c r="E65" s="6" t="str">
        <x:v>Nocturnix_Master_Services_Catalog_v1.xlsx</x:v>
      </x:c>
      <x:c r="F65" s="6" t="str">
        <x:v>01 - Master Services</x:v>
      </x:c>
      <x:c r="G65" s="6" t="n">
        <x:v>104</x:v>
      </x:c>
      <x:c r="H65" s="12" t="str">
        <x:v>iPhone 13 Pro Screen replacement</x:v>
      </x:c>
      <x:c r="I65" s="12" t="str">
        <x:v>iphone 13 pro screen replacement</x:v>
      </x:c>
      <x:c r="J65" s="6" t="str">
        <x:v>SVC000064</x:v>
      </x:c>
      <x:c r="K65" s="12" t="str">
        <x:v>Contextual</x:v>
      </x:c>
      <x:c r="L65" s="12" t="str">
        <x:v>Source service identity preserved for manual review.</x:v>
      </x:c>
    </x:row>
    <x:row r="66">
      <x:c r="A66" s="12" t="str">
        <x:v>EVID-SIR-000065</x:v>
      </x:c>
      <x:c r="B66" s="6" t="str">
        <x:v>SIR-000065</x:v>
      </x:c>
      <x:c r="C66" s="6" t="str">
        <x:v>SVC000065</x:v>
      </x:c>
      <x:c r="D66" s="12" t="str">
        <x:v>Service Identity Observation</x:v>
      </x:c>
      <x:c r="E66" s="6" t="str">
        <x:v>Nocturnix_Master_Services_Catalog_v1.xlsx</x:v>
      </x:c>
      <x:c r="F66" s="6" t="str">
        <x:v>01 - Master Services</x:v>
      </x:c>
      <x:c r="G66" s="6" t="n">
        <x:v>105</x:v>
      </x:c>
      <x:c r="H66" s="12" t="str">
        <x:v>iPhone 13 Screen replacement</x:v>
      </x:c>
      <x:c r="I66" s="12" t="str">
        <x:v>iphone 13 screen replacement</x:v>
      </x:c>
      <x:c r="J66" s="6" t="str">
        <x:v>SVC000065</x:v>
      </x:c>
      <x:c r="K66" s="12" t="str">
        <x:v>Contextual</x:v>
      </x:c>
      <x:c r="L66" s="12" t="str">
        <x:v>Source service identity preserved for manual review.</x:v>
      </x:c>
    </x:row>
    <x:row r="67">
      <x:c r="A67" s="12" t="str">
        <x:v>EVID-SIR-000066</x:v>
      </x:c>
      <x:c r="B67" s="6" t="str">
        <x:v>SIR-000066</x:v>
      </x:c>
      <x:c r="C67" s="6" t="str">
        <x:v>SVC000066</x:v>
      </x:c>
      <x:c r="D67" s="12" t="str">
        <x:v>Service Identity Observation</x:v>
      </x:c>
      <x:c r="E67" s="6" t="str">
        <x:v>Nocturnix_Master_Services_Catalog_v1.xlsx</x:v>
      </x:c>
      <x:c r="F67" s="6" t="str">
        <x:v>01 - Master Services</x:v>
      </x:c>
      <x:c r="G67" s="6" t="n">
        <x:v>106</x:v>
      </x:c>
      <x:c r="H67" s="12" t="str">
        <x:v>iPhone 13 Pro Max Screen replacement</x:v>
      </x:c>
      <x:c r="I67" s="12" t="str">
        <x:v>iphone 13 pro max screen replacement</x:v>
      </x:c>
      <x:c r="J67" s="6" t="str">
        <x:v>SVC000066</x:v>
      </x:c>
      <x:c r="K67" s="12" t="str">
        <x:v>Contextual</x:v>
      </x:c>
      <x:c r="L67" s="12" t="str">
        <x:v>Source service identity preserved for manual review.</x:v>
      </x:c>
    </x:row>
    <x:row r="68">
      <x:c r="A68" s="12" t="str">
        <x:v>EVID-SIR-000067</x:v>
      </x:c>
      <x:c r="B68" s="6" t="str">
        <x:v>SIR-000067</x:v>
      </x:c>
      <x:c r="C68" s="6" t="str">
        <x:v>SVC000067</x:v>
      </x:c>
      <x:c r="D68" s="12" t="str">
        <x:v>Service Identity Observation</x:v>
      </x:c>
      <x:c r="E68" s="6" t="str">
        <x:v>Nocturnix_Master_Services_Catalog_v1.xlsx</x:v>
      </x:c>
      <x:c r="F68" s="6" t="str">
        <x:v>01 - Master Services</x:v>
      </x:c>
      <x:c r="G68" s="6" t="n">
        <x:v>107</x:v>
      </x:c>
      <x:c r="H68" s="12" t="str">
        <x:v>iPhone 13 Mini Screen replacement</x:v>
      </x:c>
      <x:c r="I68" s="12" t="str">
        <x:v>iphone 13 mini screen replacement</x:v>
      </x:c>
      <x:c r="J68" s="6" t="str">
        <x:v>SVC000067</x:v>
      </x:c>
      <x:c r="K68" s="12" t="str">
        <x:v>Contextual</x:v>
      </x:c>
      <x:c r="L68" s="12" t="str">
        <x:v>Source service identity preserved for manual review.</x:v>
      </x:c>
    </x:row>
    <x:row r="69">
      <x:c r="A69" s="12" t="str">
        <x:v>EVID-SIR-000068</x:v>
      </x:c>
      <x:c r="B69" s="6" t="str">
        <x:v>SIR-000068</x:v>
      </x:c>
      <x:c r="C69" s="6" t="str">
        <x:v>SVC000068</x:v>
      </x:c>
      <x:c r="D69" s="12" t="str">
        <x:v>Service Identity Observation</x:v>
      </x:c>
      <x:c r="E69" s="6" t="str">
        <x:v>Nocturnix_Master_Services_Catalog_v1.xlsx</x:v>
      </x:c>
      <x:c r="F69" s="6" t="str">
        <x:v>01 - Master Services</x:v>
      </x:c>
      <x:c r="G69" s="6" t="n">
        <x:v>108</x:v>
      </x:c>
      <x:c r="H69" s="12" t="str">
        <x:v>iPhone 14 Screen replacement</x:v>
      </x:c>
      <x:c r="I69" s="12" t="str">
        <x:v>iphone 14 screen replacement</x:v>
      </x:c>
      <x:c r="J69" s="6" t="str">
        <x:v>SVC000068</x:v>
      </x:c>
      <x:c r="K69" s="12" t="str">
        <x:v>Contextual</x:v>
      </x:c>
      <x:c r="L69" s="12" t="str">
        <x:v>Source service identity preserved for manual review.</x:v>
      </x:c>
    </x:row>
    <x:row r="70">
      <x:c r="A70" s="12" t="str">
        <x:v>EVID-SIR-000069</x:v>
      </x:c>
      <x:c r="B70" s="6" t="str">
        <x:v>SIR-000069</x:v>
      </x:c>
      <x:c r="C70" s="6" t="str">
        <x:v>SVC000069</x:v>
      </x:c>
      <x:c r="D70" s="12" t="str">
        <x:v>Service Identity Observation</x:v>
      </x:c>
      <x:c r="E70" s="6" t="str">
        <x:v>Nocturnix_Master_Services_Catalog_v1.xlsx</x:v>
      </x:c>
      <x:c r="F70" s="6" t="str">
        <x:v>01 - Master Services</x:v>
      </x:c>
      <x:c r="G70" s="6" t="n">
        <x:v>109</x:v>
      </x:c>
      <x:c r="H70" s="12" t="str">
        <x:v>iPhone 14 Pro Max Screen replacement</x:v>
      </x:c>
      <x:c r="I70" s="12" t="str">
        <x:v>iphone 14 pro max screen replacement</x:v>
      </x:c>
      <x:c r="J70" s="6" t="str">
        <x:v>SVC000069</x:v>
      </x:c>
      <x:c r="K70" s="12" t="str">
        <x:v>Contextual</x:v>
      </x:c>
      <x:c r="L70" s="12" t="str">
        <x:v>Source service identity preserved for manual review.</x:v>
      </x:c>
    </x:row>
    <x:row r="71">
      <x:c r="A71" s="12" t="str">
        <x:v>EVID-SIR-000070</x:v>
      </x:c>
      <x:c r="B71" s="6" t="str">
        <x:v>SIR-000070</x:v>
      </x:c>
      <x:c r="C71" s="6" t="str">
        <x:v>SVC000070</x:v>
      </x:c>
      <x:c r="D71" s="12" t="str">
        <x:v>Service Identity Observation</x:v>
      </x:c>
      <x:c r="E71" s="6" t="str">
        <x:v>Nocturnix_Master_Services_Catalog_v1.xlsx</x:v>
      </x:c>
      <x:c r="F71" s="6" t="str">
        <x:v>01 - Master Services</x:v>
      </x:c>
      <x:c r="G71" s="6" t="n">
        <x:v>110</x:v>
      </x:c>
      <x:c r="H71" s="12" t="str">
        <x:v>iPhone 14 Plus Screen replacement</x:v>
      </x:c>
      <x:c r="I71" s="12" t="str">
        <x:v>iphone 14 plus screen replacement</x:v>
      </x:c>
      <x:c r="J71" s="6" t="str">
        <x:v>SVC000070</x:v>
      </x:c>
      <x:c r="K71" s="12" t="str">
        <x:v>Contextual</x:v>
      </x:c>
      <x:c r="L71" s="12" t="str">
        <x:v>Source service identity preserved for manual review.</x:v>
      </x:c>
    </x:row>
    <x:row r="72">
      <x:c r="A72" s="12" t="str">
        <x:v>EVID-SIR-000071</x:v>
      </x:c>
      <x:c r="B72" s="6" t="str">
        <x:v>SIR-000071</x:v>
      </x:c>
      <x:c r="C72" s="6" t="str">
        <x:v>SVC000071</x:v>
      </x:c>
      <x:c r="D72" s="12" t="str">
        <x:v>Service Identity Observation</x:v>
      </x:c>
      <x:c r="E72" s="6" t="str">
        <x:v>Nocturnix_Master_Services_Catalog_v1.xlsx</x:v>
      </x:c>
      <x:c r="F72" s="6" t="str">
        <x:v>01 - Master Services</x:v>
      </x:c>
      <x:c r="G72" s="6" t="n">
        <x:v>111</x:v>
      </x:c>
      <x:c r="H72" s="12" t="str">
        <x:v>iPhone 14 Pro Screen replacement</x:v>
      </x:c>
      <x:c r="I72" s="12" t="str">
        <x:v>iphone 14 pro screen replacement</x:v>
      </x:c>
      <x:c r="J72" s="6" t="str">
        <x:v>SVC000071</x:v>
      </x:c>
      <x:c r="K72" s="12" t="str">
        <x:v>Contextual</x:v>
      </x:c>
      <x:c r="L72" s="12" t="str">
        <x:v>Source service identity preserved for manual review.</x:v>
      </x:c>
    </x:row>
    <x:row r="73">
      <x:c r="A73" s="12" t="str">
        <x:v>EVID-SIR-000072</x:v>
      </x:c>
      <x:c r="B73" s="6" t="str">
        <x:v>SIR-000072</x:v>
      </x:c>
      <x:c r="C73" s="6" t="str">
        <x:v>SVC000072</x:v>
      </x:c>
      <x:c r="D73" s="12" t="str">
        <x:v>Service Identity Observation</x:v>
      </x:c>
      <x:c r="E73" s="6" t="str">
        <x:v>Nocturnix_Master_Services_Catalog_v1.xlsx</x:v>
      </x:c>
      <x:c r="F73" s="6" t="str">
        <x:v>01 - Master Services</x:v>
      </x:c>
      <x:c r="G73" s="6" t="n">
        <x:v>112</x:v>
      </x:c>
      <x:c r="H73" s="12" t="str">
        <x:v>iPhone 15 Pro Screen replacement</x:v>
      </x:c>
      <x:c r="I73" s="12" t="str">
        <x:v>iphone 15 pro screen replacement</x:v>
      </x:c>
      <x:c r="J73" s="6" t="str">
        <x:v>SVC000072</x:v>
      </x:c>
      <x:c r="K73" s="12" t="str">
        <x:v>Contextual</x:v>
      </x:c>
      <x:c r="L73" s="12" t="str">
        <x:v>Source service identity preserved for manual review.</x:v>
      </x:c>
    </x:row>
    <x:row r="74">
      <x:c r="A74" s="12" t="str">
        <x:v>EVID-SIR-000073</x:v>
      </x:c>
      <x:c r="B74" s="6" t="str">
        <x:v>SIR-000073</x:v>
      </x:c>
      <x:c r="C74" s="6" t="str">
        <x:v>SVC000073</x:v>
      </x:c>
      <x:c r="D74" s="12" t="str">
        <x:v>Service Identity Observation</x:v>
      </x:c>
      <x:c r="E74" s="6" t="str">
        <x:v>Nocturnix_Master_Services_Catalog_v1.xlsx</x:v>
      </x:c>
      <x:c r="F74" s="6" t="str">
        <x:v>01 - Master Services</x:v>
      </x:c>
      <x:c r="G74" s="6" t="n">
        <x:v>113</x:v>
      </x:c>
      <x:c r="H74" s="12" t="str">
        <x:v>iPhone 15 Pro Max Screen replacement</x:v>
      </x:c>
      <x:c r="I74" s="12" t="str">
        <x:v>iphone 15 pro max screen replacement</x:v>
      </x:c>
      <x:c r="J74" s="6" t="str">
        <x:v>SVC000073</x:v>
      </x:c>
      <x:c r="K74" s="12" t="str">
        <x:v>Contextual</x:v>
      </x:c>
      <x:c r="L74" s="12" t="str">
        <x:v>Source service identity preserved for manual review.</x:v>
      </x:c>
    </x:row>
    <x:row r="75">
      <x:c r="A75" s="12" t="str">
        <x:v>EVID-SIR-000074</x:v>
      </x:c>
      <x:c r="B75" s="6" t="str">
        <x:v>SIR-000074</x:v>
      </x:c>
      <x:c r="C75" s="6" t="str">
        <x:v>SVC000074</x:v>
      </x:c>
      <x:c r="D75" s="12" t="str">
        <x:v>Service Identity Observation</x:v>
      </x:c>
      <x:c r="E75" s="6" t="str">
        <x:v>Nocturnix_Master_Services_Catalog_v1.xlsx</x:v>
      </x:c>
      <x:c r="F75" s="6" t="str">
        <x:v>01 - Master Services</x:v>
      </x:c>
      <x:c r="G75" s="6" t="n">
        <x:v>114</x:v>
      </x:c>
      <x:c r="H75" s="12" t="str">
        <x:v>iPhone 15 Screen replacement</x:v>
      </x:c>
      <x:c r="I75" s="12" t="str">
        <x:v>iphone 15 screen replacement</x:v>
      </x:c>
      <x:c r="J75" s="6" t="str">
        <x:v>SVC000074</x:v>
      </x:c>
      <x:c r="K75" s="12" t="str">
        <x:v>Contextual</x:v>
      </x:c>
      <x:c r="L75" s="12" t="str">
        <x:v>Source service identity preserved for manual review.</x:v>
      </x:c>
    </x:row>
    <x:row r="76">
      <x:c r="A76" s="12" t="str">
        <x:v>EVID-SIR-000075</x:v>
      </x:c>
      <x:c r="B76" s="6" t="str">
        <x:v>SIR-000075</x:v>
      </x:c>
      <x:c r="C76" s="6" t="str">
        <x:v>SVC000075</x:v>
      </x:c>
      <x:c r="D76" s="12" t="str">
        <x:v>Service Identity Observation</x:v>
      </x:c>
      <x:c r="E76" s="6" t="str">
        <x:v>Nocturnix_Master_Services_Catalog_v1.xlsx</x:v>
      </x:c>
      <x:c r="F76" s="6" t="str">
        <x:v>01 - Master Services</x:v>
      </x:c>
      <x:c r="G76" s="6" t="n">
        <x:v>115</x:v>
      </x:c>
      <x:c r="H76" s="12" t="str">
        <x:v>iPhone 15 Plus Screen replacement</x:v>
      </x:c>
      <x:c r="I76" s="12" t="str">
        <x:v>iphone 15 plus screen replacement</x:v>
      </x:c>
      <x:c r="J76" s="6" t="str">
        <x:v>SVC000075</x:v>
      </x:c>
      <x:c r="K76" s="12" t="str">
        <x:v>Contextual</x:v>
      </x:c>
      <x:c r="L76" s="12" t="str">
        <x:v>Source service identity preserved for manual review.</x:v>
      </x:c>
    </x:row>
    <x:row r="77">
      <x:c r="A77" s="12" t="str">
        <x:v>EVID-SIR-000076</x:v>
      </x:c>
      <x:c r="B77" s="6" t="str">
        <x:v>SIR-000076</x:v>
      </x:c>
      <x:c r="C77" s="6" t="str">
        <x:v>SVC000076</x:v>
      </x:c>
      <x:c r="D77" s="12" t="str">
        <x:v>Service Identity Observation</x:v>
      </x:c>
      <x:c r="E77" s="6" t="str">
        <x:v>Nocturnix_Master_Services_Catalog_v1.xlsx</x:v>
      </x:c>
      <x:c r="F77" s="6" t="str">
        <x:v>01 - Master Services</x:v>
      </x:c>
      <x:c r="G77" s="6" t="n">
        <x:v>116</x:v>
      </x:c>
      <x:c r="H77" s="12" t="str">
        <x:v>iPhone 16 Plus Screen replacement</x:v>
      </x:c>
      <x:c r="I77" s="12" t="str">
        <x:v>iphone 16 plus screen replacement</x:v>
      </x:c>
      <x:c r="J77" s="6" t="str">
        <x:v>SVC000076</x:v>
      </x:c>
      <x:c r="K77" s="12" t="str">
        <x:v>Contextual</x:v>
      </x:c>
      <x:c r="L77" s="12" t="str">
        <x:v>Source service identity preserved for manual review.</x:v>
      </x:c>
    </x:row>
    <x:row r="78">
      <x:c r="A78" s="12" t="str">
        <x:v>EVID-SIR-000077</x:v>
      </x:c>
      <x:c r="B78" s="6" t="str">
        <x:v>SIR-000077</x:v>
      </x:c>
      <x:c r="C78" s="6" t="str">
        <x:v>SVC000077</x:v>
      </x:c>
      <x:c r="D78" s="12" t="str">
        <x:v>Service Identity Observation</x:v>
      </x:c>
      <x:c r="E78" s="6" t="str">
        <x:v>Nocturnix_Master_Services_Catalog_v1.xlsx</x:v>
      </x:c>
      <x:c r="F78" s="6" t="str">
        <x:v>01 - Master Services</x:v>
      </x:c>
      <x:c r="G78" s="6" t="n">
        <x:v>117</x:v>
      </x:c>
      <x:c r="H78" s="12" t="str">
        <x:v>iPhone 16 Pro Max Screen replacement</x:v>
      </x:c>
      <x:c r="I78" s="12" t="str">
        <x:v>iphone 16 pro max screen replacement</x:v>
      </x:c>
      <x:c r="J78" s="6" t="str">
        <x:v>SVC000077</x:v>
      </x:c>
      <x:c r="K78" s="12" t="str">
        <x:v>Contextual</x:v>
      </x:c>
      <x:c r="L78" s="12" t="str">
        <x:v>Source service identity preserved for manual review.</x:v>
      </x:c>
    </x:row>
    <x:row r="79">
      <x:c r="A79" s="12" t="str">
        <x:v>EVID-SIR-000078</x:v>
      </x:c>
      <x:c r="B79" s="6" t="str">
        <x:v>SIR-000078</x:v>
      </x:c>
      <x:c r="C79" s="6" t="str">
        <x:v>SVC000078</x:v>
      </x:c>
      <x:c r="D79" s="12" t="str">
        <x:v>Service Identity Observation</x:v>
      </x:c>
      <x:c r="E79" s="6" t="str">
        <x:v>Nocturnix_Master_Services_Catalog_v1.xlsx</x:v>
      </x:c>
      <x:c r="F79" s="6" t="str">
        <x:v>01 - Master Services</x:v>
      </x:c>
      <x:c r="G79" s="6" t="n">
        <x:v>118</x:v>
      </x:c>
      <x:c r="H79" s="12" t="str">
        <x:v>iPhone 16 Screen replacement</x:v>
      </x:c>
      <x:c r="I79" s="12" t="str">
        <x:v>iphone 16 screen replacement</x:v>
      </x:c>
      <x:c r="J79" s="6" t="str">
        <x:v>SVC000078</x:v>
      </x:c>
      <x:c r="K79" s="12" t="str">
        <x:v>Contextual</x:v>
      </x:c>
      <x:c r="L79" s="12" t="str">
        <x:v>Source service identity preserved for manual review.</x:v>
      </x:c>
    </x:row>
    <x:row r="80">
      <x:c r="A80" s="12" t="str">
        <x:v>EVID-SIR-000079</x:v>
      </x:c>
      <x:c r="B80" s="6" t="str">
        <x:v>SIR-000079</x:v>
      </x:c>
      <x:c r="C80" s="6" t="str">
        <x:v>SVC000079</x:v>
      </x:c>
      <x:c r="D80" s="12" t="str">
        <x:v>Service Identity Observation</x:v>
      </x:c>
      <x:c r="E80" s="6" t="str">
        <x:v>Nocturnix_Master_Services_Catalog_v1.xlsx</x:v>
      </x:c>
      <x:c r="F80" s="6" t="str">
        <x:v>01 - Master Services</x:v>
      </x:c>
      <x:c r="G80" s="6" t="n">
        <x:v>119</x:v>
      </x:c>
      <x:c r="H80" s="12" t="str">
        <x:v>iPhone 16 Pro Screen replacement</x:v>
      </x:c>
      <x:c r="I80" s="12" t="str">
        <x:v>iphone 16 pro screen replacement</x:v>
      </x:c>
      <x:c r="J80" s="6" t="str">
        <x:v>SVC000079</x:v>
      </x:c>
      <x:c r="K80" s="12" t="str">
        <x:v>Contextual</x:v>
      </x:c>
      <x:c r="L80" s="12" t="str">
        <x:v>Source service identity preserved for manual review.</x:v>
      </x:c>
    </x:row>
    <x:row r="81">
      <x:c r="A81" s="12" t="str">
        <x:v>EVID-SIR-000080</x:v>
      </x:c>
      <x:c r="B81" s="6" t="str">
        <x:v>SIR-000080</x:v>
      </x:c>
      <x:c r="C81" s="6" t="str">
        <x:v>SVC000080</x:v>
      </x:c>
      <x:c r="D81" s="12" t="str">
        <x:v>Service Identity Observation</x:v>
      </x:c>
      <x:c r="E81" s="6" t="str">
        <x:v>Nocturnix_Master_Services_Catalog_v1.xlsx</x:v>
      </x:c>
      <x:c r="F81" s="6" t="str">
        <x:v>01 - Master Services</x:v>
      </x:c>
      <x:c r="G81" s="6" t="n">
        <x:v>120</x:v>
      </x:c>
      <x:c r="H81" s="12" t="str">
        <x:v>iPhone 16E Screen replacement</x:v>
      </x:c>
      <x:c r="I81" s="12" t="str">
        <x:v>iphone 16e screen replacement</x:v>
      </x:c>
      <x:c r="J81" s="6" t="str">
        <x:v>SVC000080</x:v>
      </x:c>
      <x:c r="K81" s="12" t="str">
        <x:v>Contextual</x:v>
      </x:c>
      <x:c r="L81" s="12" t="str">
        <x:v>Source service identity preserved for manual review.</x:v>
      </x:c>
    </x:row>
    <x:row r="82">
      <x:c r="A82" s="12" t="str">
        <x:v>EVID-SIR-000081</x:v>
      </x:c>
      <x:c r="B82" s="6" t="str">
        <x:v>SIR-000081</x:v>
      </x:c>
      <x:c r="C82" s="6" t="str">
        <x:v>SVC000081</x:v>
      </x:c>
      <x:c r="D82" s="12" t="str">
        <x:v>Service Identity Observation</x:v>
      </x:c>
      <x:c r="E82" s="6" t="str">
        <x:v>Nocturnix_Master_Services_Catalog_v1.xlsx</x:v>
      </x:c>
      <x:c r="F82" s="6" t="str">
        <x:v>01 - Master Services</x:v>
      </x:c>
      <x:c r="G82" s="6" t="n">
        <x:v>121</x:v>
      </x:c>
      <x:c r="H82" s="12" t="str">
        <x:v>iPhone 17 Pro Max Phone* Screen replacement</x:v>
      </x:c>
      <x:c r="I82" s="12" t="str">
        <x:v>iphone 17 pro max phone screen replacement</x:v>
      </x:c>
      <x:c r="J82" s="6" t="str">
        <x:v>SVC000081</x:v>
      </x:c>
      <x:c r="K82" s="12" t="str">
        <x:v>Contextual</x:v>
      </x:c>
      <x:c r="L82" s="12" t="str">
        <x:v>Source service identity preserved for manual review.</x:v>
      </x:c>
    </x:row>
    <x:row r="83">
      <x:c r="A83" s="12" t="str">
        <x:v>EVID-SIR-000082</x:v>
      </x:c>
      <x:c r="B83" s="6" t="str">
        <x:v>SIR-000082</x:v>
      </x:c>
      <x:c r="C83" s="6" t="str">
        <x:v>SVC000082</x:v>
      </x:c>
      <x:c r="D83" s="12" t="str">
        <x:v>Service Identity Observation</x:v>
      </x:c>
      <x:c r="E83" s="6" t="str">
        <x:v>Nocturnix_Master_Services_Catalog_v1.xlsx</x:v>
      </x:c>
      <x:c r="F83" s="6" t="str">
        <x:v>01 - Master Services</x:v>
      </x:c>
      <x:c r="G83" s="6" t="n">
        <x:v>122</x:v>
      </x:c>
      <x:c r="H83" s="12" t="str">
        <x:v>iPhone 17 Pro Screen replacement</x:v>
      </x:c>
      <x:c r="I83" s="12" t="str">
        <x:v>iphone 17 pro screen replacement</x:v>
      </x:c>
      <x:c r="J83" s="6" t="str">
        <x:v>SVC000082</x:v>
      </x:c>
      <x:c r="K83" s="12" t="str">
        <x:v>Contextual</x:v>
      </x:c>
      <x:c r="L83" s="12" t="str">
        <x:v>Source service identity preserved for manual review.</x:v>
      </x:c>
    </x:row>
    <x:row r="84">
      <x:c r="A84" s="12" t="str">
        <x:v>EVID-SIR-000083</x:v>
      </x:c>
      <x:c r="B84" s="6" t="str">
        <x:v>SIR-000083</x:v>
      </x:c>
      <x:c r="C84" s="6" t="str">
        <x:v>SVC000083</x:v>
      </x:c>
      <x:c r="D84" s="12" t="str">
        <x:v>Service Identity Observation</x:v>
      </x:c>
      <x:c r="E84" s="6" t="str">
        <x:v>Nocturnix_Master_Services_Catalog_v1.xlsx</x:v>
      </x:c>
      <x:c r="F84" s="6" t="str">
        <x:v>01 - Master Services</x:v>
      </x:c>
      <x:c r="G84" s="6" t="n">
        <x:v>123</x:v>
      </x:c>
      <x:c r="H84" s="12" t="str">
        <x:v>iPhone 17 Screen replacement</x:v>
      </x:c>
      <x:c r="I84" s="12" t="str">
        <x:v>iphone 17 screen replacement</x:v>
      </x:c>
      <x:c r="J84" s="6" t="str">
        <x:v>SVC000083</x:v>
      </x:c>
      <x:c r="K84" s="12" t="str">
        <x:v>Contextual</x:v>
      </x:c>
      <x:c r="L84" s="12" t="str">
        <x:v>Source service identity preserved for manual review.</x:v>
      </x:c>
    </x:row>
    <x:row r="85">
      <x:c r="A85" s="12" t="str">
        <x:v>EVID-SIR-000084</x:v>
      </x:c>
      <x:c r="B85" s="6" t="str">
        <x:v>SIR-000084</x:v>
      </x:c>
      <x:c r="C85" s="6" t="str">
        <x:v>SVC000084</x:v>
      </x:c>
      <x:c r="D85" s="12" t="str">
        <x:v>Service Identity Observation</x:v>
      </x:c>
      <x:c r="E85" s="6" t="str">
        <x:v>Nocturnix_Master_Services_Catalog_v1.xlsx</x:v>
      </x:c>
      <x:c r="F85" s="6" t="str">
        <x:v>01 - Master Services</x:v>
      </x:c>
      <x:c r="G85" s="6" t="n">
        <x:v>124</x:v>
      </x:c>
      <x:c r="H85" s="12" t="str">
        <x:v>iPhone 5C Screen replacement</x:v>
      </x:c>
      <x:c r="I85" s="12" t="str">
        <x:v>iphone 5c screen replacement</x:v>
      </x:c>
      <x:c r="J85" s="6" t="str">
        <x:v>SVC000084</x:v>
      </x:c>
      <x:c r="K85" s="12" t="str">
        <x:v>Contextual</x:v>
      </x:c>
      <x:c r="L85" s="12" t="str">
        <x:v>Source service identity preserved for manual review.</x:v>
      </x:c>
    </x:row>
    <x:row r="86">
      <x:c r="A86" s="12" t="str">
        <x:v>EVID-SIR-000085</x:v>
      </x:c>
      <x:c r="B86" s="6" t="str">
        <x:v>SIR-000085</x:v>
      </x:c>
      <x:c r="C86" s="6" t="str">
        <x:v>SVC000085</x:v>
      </x:c>
      <x:c r="D86" s="12" t="str">
        <x:v>Service Identity Observation</x:v>
      </x:c>
      <x:c r="E86" s="6" t="str">
        <x:v>Nocturnix_Master_Services_Catalog_v1.xlsx</x:v>
      </x:c>
      <x:c r="F86" s="6" t="str">
        <x:v>01 - Master Services</x:v>
      </x:c>
      <x:c r="G86" s="6" t="n">
        <x:v>125</x:v>
      </x:c>
      <x:c r="H86" s="12" t="str">
        <x:v>iPhone 5S Screen replacement</x:v>
      </x:c>
      <x:c r="I86" s="12" t="str">
        <x:v>iphone 5s screen replacement</x:v>
      </x:c>
      <x:c r="J86" s="6" t="str">
        <x:v>SVC000085</x:v>
      </x:c>
      <x:c r="K86" s="12" t="str">
        <x:v>Contextual</x:v>
      </x:c>
      <x:c r="L86" s="12" t="str">
        <x:v>Source service identity preserved for manual review.</x:v>
      </x:c>
    </x:row>
    <x:row r="87">
      <x:c r="A87" s="12" t="str">
        <x:v>EVID-SIR-000086</x:v>
      </x:c>
      <x:c r="B87" s="6" t="str">
        <x:v>SIR-000086</x:v>
      </x:c>
      <x:c r="C87" s="6" t="str">
        <x:v>SVC000086</x:v>
      </x:c>
      <x:c r="D87" s="12" t="str">
        <x:v>Service Identity Observation</x:v>
      </x:c>
      <x:c r="E87" s="6" t="str">
        <x:v>Nocturnix_Master_Services_Catalog_v1.xlsx</x:v>
      </x:c>
      <x:c r="F87" s="6" t="str">
        <x:v>01 - Master Services</x:v>
      </x:c>
      <x:c r="G87" s="6" t="n">
        <x:v>126</x:v>
      </x:c>
      <x:c r="H87" s="12" t="str">
        <x:v>iPhone 6+ Screen replacement</x:v>
      </x:c>
      <x:c r="I87" s="12" t="str">
        <x:v>iphone 6 screen replacement</x:v>
      </x:c>
      <x:c r="J87" s="6" t="str">
        <x:v>SVC000086</x:v>
      </x:c>
      <x:c r="K87" s="12" t="str">
        <x:v>Contextual</x:v>
      </x:c>
      <x:c r="L87" s="12" t="str">
        <x:v>Source service identity preserved for manual review.</x:v>
      </x:c>
    </x:row>
    <x:row r="88">
      <x:c r="A88" s="12" t="str">
        <x:v>EVID-SIR-000087</x:v>
      </x:c>
      <x:c r="B88" s="6" t="str">
        <x:v>SIR-000087</x:v>
      </x:c>
      <x:c r="C88" s="6" t="str">
        <x:v>SVC000087</x:v>
      </x:c>
      <x:c r="D88" s="12" t="str">
        <x:v>Service Identity Observation</x:v>
      </x:c>
      <x:c r="E88" s="6" t="str">
        <x:v>Nocturnix_Master_Services_Catalog_v1.xlsx</x:v>
      </x:c>
      <x:c r="F88" s="6" t="str">
        <x:v>01 - Master Services</x:v>
      </x:c>
      <x:c r="G88" s="6" t="n">
        <x:v>127</x:v>
      </x:c>
      <x:c r="H88" s="12" t="str">
        <x:v>iPhone 6 Screen replacement</x:v>
      </x:c>
      <x:c r="I88" s="12" t="str">
        <x:v>iphone 6 screen replacement</x:v>
      </x:c>
      <x:c r="J88" s="6" t="str">
        <x:v>SVC000087</x:v>
      </x:c>
      <x:c r="K88" s="12" t="str">
        <x:v>Contextual</x:v>
      </x:c>
      <x:c r="L88" s="12" t="str">
        <x:v>Source service identity preserved for manual review.</x:v>
      </x:c>
    </x:row>
    <x:row r="89">
      <x:c r="A89" s="12" t="str">
        <x:v>EVID-SIR-000088</x:v>
      </x:c>
      <x:c r="B89" s="6" t="str">
        <x:v>SIR-000088</x:v>
      </x:c>
      <x:c r="C89" s="6" t="str">
        <x:v>SVC000088</x:v>
      </x:c>
      <x:c r="D89" s="12" t="str">
        <x:v>Service Identity Observation</x:v>
      </x:c>
      <x:c r="E89" s="6" t="str">
        <x:v>Nocturnix_Master_Services_Catalog_v1.xlsx</x:v>
      </x:c>
      <x:c r="F89" s="6" t="str">
        <x:v>01 - Master Services</x:v>
      </x:c>
      <x:c r="G89" s="6" t="n">
        <x:v>128</x:v>
      </x:c>
      <x:c r="H89" s="12" t="str">
        <x:v>iPhone 6S+ Screen replacement</x:v>
      </x:c>
      <x:c r="I89" s="12" t="str">
        <x:v>iphone 6s screen replacement</x:v>
      </x:c>
      <x:c r="J89" s="6" t="str">
        <x:v>SVC000088</x:v>
      </x:c>
      <x:c r="K89" s="12" t="str">
        <x:v>Contextual</x:v>
      </x:c>
      <x:c r="L89" s="12" t="str">
        <x:v>Source service identity preserved for manual review.</x:v>
      </x:c>
    </x:row>
    <x:row r="90">
      <x:c r="A90" s="12" t="str">
        <x:v>EVID-SIR-000089</x:v>
      </x:c>
      <x:c r="B90" s="6" t="str">
        <x:v>SIR-000089</x:v>
      </x:c>
      <x:c r="C90" s="6" t="str">
        <x:v>SVC000089</x:v>
      </x:c>
      <x:c r="D90" s="12" t="str">
        <x:v>Service Identity Observation</x:v>
      </x:c>
      <x:c r="E90" s="6" t="str">
        <x:v>Nocturnix_Master_Services_Catalog_v1.xlsx</x:v>
      </x:c>
      <x:c r="F90" s="6" t="str">
        <x:v>01 - Master Services</x:v>
      </x:c>
      <x:c r="G90" s="6" t="n">
        <x:v>129</x:v>
      </x:c>
      <x:c r="H90" s="12" t="str">
        <x:v>iPhone 6S Screen replacement</x:v>
      </x:c>
      <x:c r="I90" s="12" t="str">
        <x:v>iphone 6s screen replacement</x:v>
      </x:c>
      <x:c r="J90" s="6" t="str">
        <x:v>SVC000089</x:v>
      </x:c>
      <x:c r="K90" s="12" t="str">
        <x:v>Contextual</x:v>
      </x:c>
      <x:c r="L90" s="12" t="str">
        <x:v>Source service identity preserved for manual review.</x:v>
      </x:c>
    </x:row>
    <x:row r="91">
      <x:c r="A91" s="12" t="str">
        <x:v>EVID-SIR-000090</x:v>
      </x:c>
      <x:c r="B91" s="6" t="str">
        <x:v>SIR-000090</x:v>
      </x:c>
      <x:c r="C91" s="6" t="str">
        <x:v>SVC000090</x:v>
      </x:c>
      <x:c r="D91" s="12" t="str">
        <x:v>Service Identity Observation</x:v>
      </x:c>
      <x:c r="E91" s="6" t="str">
        <x:v>Nocturnix_Master_Services_Catalog_v1.xlsx</x:v>
      </x:c>
      <x:c r="F91" s="6" t="str">
        <x:v>01 - Master Services</x:v>
      </x:c>
      <x:c r="G91" s="6" t="n">
        <x:v>130</x:v>
      </x:c>
      <x:c r="H91" s="12" t="str">
        <x:v>iPhone 7+ Screen replacement</x:v>
      </x:c>
      <x:c r="I91" s="12" t="str">
        <x:v>iphone 7 screen replacement</x:v>
      </x:c>
      <x:c r="J91" s="6" t="str">
        <x:v>SVC000090</x:v>
      </x:c>
      <x:c r="K91" s="12" t="str">
        <x:v>Contextual</x:v>
      </x:c>
      <x:c r="L91" s="12" t="str">
        <x:v>Source service identity preserved for manual review.</x:v>
      </x:c>
    </x:row>
    <x:row r="92">
      <x:c r="A92" s="12" t="str">
        <x:v>EVID-SIR-000091</x:v>
      </x:c>
      <x:c r="B92" s="6" t="str">
        <x:v>SIR-000091</x:v>
      </x:c>
      <x:c r="C92" s="6" t="str">
        <x:v>SVC000091</x:v>
      </x:c>
      <x:c r="D92" s="12" t="str">
        <x:v>Service Identity Observation</x:v>
      </x:c>
      <x:c r="E92" s="6" t="str">
        <x:v>Nocturnix_Master_Services_Catalog_v1.xlsx</x:v>
      </x:c>
      <x:c r="F92" s="6" t="str">
        <x:v>01 - Master Services</x:v>
      </x:c>
      <x:c r="G92" s="6" t="n">
        <x:v>131</x:v>
      </x:c>
      <x:c r="H92" s="12" t="str">
        <x:v>iPhone 7 Screen replacement</x:v>
      </x:c>
      <x:c r="I92" s="12" t="str">
        <x:v>iphone 7 screen replacement</x:v>
      </x:c>
      <x:c r="J92" s="6" t="str">
        <x:v>SVC000091</x:v>
      </x:c>
      <x:c r="K92" s="12" t="str">
        <x:v>Contextual</x:v>
      </x:c>
      <x:c r="L92" s="12" t="str">
        <x:v>Source service identity preserved for manual review.</x:v>
      </x:c>
    </x:row>
    <x:row r="93">
      <x:c r="A93" s="12" t="str">
        <x:v>EVID-SIR-000092</x:v>
      </x:c>
      <x:c r="B93" s="6" t="str">
        <x:v>SIR-000092</x:v>
      </x:c>
      <x:c r="C93" s="6" t="str">
        <x:v>SVC000092</x:v>
      </x:c>
      <x:c r="D93" s="12" t="str">
        <x:v>Service Identity Observation</x:v>
      </x:c>
      <x:c r="E93" s="6" t="str">
        <x:v>Nocturnix_Master_Services_Catalog_v1.xlsx</x:v>
      </x:c>
      <x:c r="F93" s="6" t="str">
        <x:v>01 - Master Services</x:v>
      </x:c>
      <x:c r="G93" s="6" t="n">
        <x:v>132</x:v>
      </x:c>
      <x:c r="H93" s="12" t="str">
        <x:v>iPhone 8+ Screen replacement</x:v>
      </x:c>
      <x:c r="I93" s="12" t="str">
        <x:v>iphone 8 screen replacement</x:v>
      </x:c>
      <x:c r="J93" s="6" t="str">
        <x:v>SVC000092</x:v>
      </x:c>
      <x:c r="K93" s="12" t="str">
        <x:v>Contextual</x:v>
      </x:c>
      <x:c r="L93" s="12" t="str">
        <x:v>Source service identity preserved for manual review.</x:v>
      </x:c>
    </x:row>
    <x:row r="94">
      <x:c r="A94" s="12" t="str">
        <x:v>EVID-SIR-000093</x:v>
      </x:c>
      <x:c r="B94" s="6" t="str">
        <x:v>SIR-000093</x:v>
      </x:c>
      <x:c r="C94" s="6" t="str">
        <x:v>SVC000093</x:v>
      </x:c>
      <x:c r="D94" s="12" t="str">
        <x:v>Service Identity Observation</x:v>
      </x:c>
      <x:c r="E94" s="6" t="str">
        <x:v>Nocturnix_Master_Services_Catalog_v1.xlsx</x:v>
      </x:c>
      <x:c r="F94" s="6" t="str">
        <x:v>01 - Master Services</x:v>
      </x:c>
      <x:c r="G94" s="6" t="n">
        <x:v>133</x:v>
      </x:c>
      <x:c r="H94" s="12" t="str">
        <x:v>iPhone 8 Screen replacement</x:v>
      </x:c>
      <x:c r="I94" s="12" t="str">
        <x:v>iphone 8 screen replacement</x:v>
      </x:c>
      <x:c r="J94" s="6" t="str">
        <x:v>SVC000093</x:v>
      </x:c>
      <x:c r="K94" s="12" t="str">
        <x:v>Contextual</x:v>
      </x:c>
      <x:c r="L94" s="12" t="str">
        <x:v>Source service identity preserved for manual review.</x:v>
      </x:c>
    </x:row>
    <x:row r="95">
      <x:c r="A95" s="12" t="str">
        <x:v>EVID-SIR-000094</x:v>
      </x:c>
      <x:c r="B95" s="6" t="str">
        <x:v>SIR-000094</x:v>
      </x:c>
      <x:c r="C95" s="6" t="str">
        <x:v>SVC000094</x:v>
      </x:c>
      <x:c r="D95" s="12" t="str">
        <x:v>Service Identity Observation</x:v>
      </x:c>
      <x:c r="E95" s="6" t="str">
        <x:v>Nocturnix_Master_Services_Catalog_v1.xlsx</x:v>
      </x:c>
      <x:c r="F95" s="6" t="str">
        <x:v>01 - Master Services</x:v>
      </x:c>
      <x:c r="G95" s="6" t="n">
        <x:v>134</x:v>
      </x:c>
      <x:c r="H95" s="12" t="str">
        <x:v>iPhone Air Screen replacement</x:v>
      </x:c>
      <x:c r="I95" s="12" t="str">
        <x:v>iphone air screen replacement</x:v>
      </x:c>
      <x:c r="J95" s="6" t="str">
        <x:v>SVC000094</x:v>
      </x:c>
      <x:c r="K95" s="12" t="str">
        <x:v>Contextual</x:v>
      </x:c>
      <x:c r="L95" s="12" t="str">
        <x:v>Source service identity preserved for manual review.</x:v>
      </x:c>
    </x:row>
    <x:row r="96">
      <x:c r="A96" s="12" t="str">
        <x:v>EVID-SIR-000095</x:v>
      </x:c>
      <x:c r="B96" s="6" t="str">
        <x:v>SIR-000095</x:v>
      </x:c>
      <x:c r="C96" s="6" t="str">
        <x:v>SVC000095</x:v>
      </x:c>
      <x:c r="D96" s="12" t="str">
        <x:v>Service Identity Observation</x:v>
      </x:c>
      <x:c r="E96" s="6" t="str">
        <x:v>Nocturnix_Master_Services_Catalog_v1.xlsx</x:v>
      </x:c>
      <x:c r="F96" s="6" t="str">
        <x:v>01 - Master Services</x:v>
      </x:c>
      <x:c r="G96" s="6" t="n">
        <x:v>135</x:v>
      </x:c>
      <x:c r="H96" s="12" t="str">
        <x:v>iPhone SE(1ST GEN) Screen replacement</x:v>
      </x:c>
      <x:c r="I96" s="12" t="str">
        <x:v>iphone se 1st gen screen replacement</x:v>
      </x:c>
      <x:c r="J96" s="6" t="str">
        <x:v>SVC000095</x:v>
      </x:c>
      <x:c r="K96" s="12" t="str">
        <x:v>Contextual</x:v>
      </x:c>
      <x:c r="L96" s="12" t="str">
        <x:v>Source service identity preserved for manual review.</x:v>
      </x:c>
    </x:row>
    <x:row r="97">
      <x:c r="A97" s="12" t="str">
        <x:v>EVID-SIR-000096</x:v>
      </x:c>
      <x:c r="B97" s="6" t="str">
        <x:v>SIR-000096</x:v>
      </x:c>
      <x:c r="C97" s="6" t="str">
        <x:v>SVC000096</x:v>
      </x:c>
      <x:c r="D97" s="12" t="str">
        <x:v>Service Identity Observation</x:v>
      </x:c>
      <x:c r="E97" s="6" t="str">
        <x:v>Nocturnix_Master_Services_Catalog_v1.xlsx</x:v>
      </x:c>
      <x:c r="F97" s="6" t="str">
        <x:v>01 - Master Services</x:v>
      </x:c>
      <x:c r="G97" s="6" t="n">
        <x:v>136</x:v>
      </x:c>
      <x:c r="H97" s="12" t="str">
        <x:v>iPhone SE (2ND GEN) Screen replacement</x:v>
      </x:c>
      <x:c r="I97" s="12" t="str">
        <x:v>iphone se 2nd gen screen replacement</x:v>
      </x:c>
      <x:c r="J97" s="6" t="str">
        <x:v>SVC000096</x:v>
      </x:c>
      <x:c r="K97" s="12" t="str">
        <x:v>Contextual</x:v>
      </x:c>
      <x:c r="L97" s="12" t="str">
        <x:v>Source service identity preserved for manual review.</x:v>
      </x:c>
    </x:row>
    <x:row r="98">
      <x:c r="A98" s="12" t="str">
        <x:v>EVID-SIR-000097</x:v>
      </x:c>
      <x:c r="B98" s="6" t="str">
        <x:v>SIR-000097</x:v>
      </x:c>
      <x:c r="C98" s="6" t="str">
        <x:v>SVC000097</x:v>
      </x:c>
      <x:c r="D98" s="12" t="str">
        <x:v>Service Identity Observation</x:v>
      </x:c>
      <x:c r="E98" s="6" t="str">
        <x:v>Nocturnix_Master_Services_Catalog_v1.xlsx</x:v>
      </x:c>
      <x:c r="F98" s="6" t="str">
        <x:v>01 - Master Services</x:v>
      </x:c>
      <x:c r="G98" s="6" t="n">
        <x:v>137</x:v>
      </x:c>
      <x:c r="H98" s="12" t="str">
        <x:v>iPhone SE (3RD GEN) Screen replacement</x:v>
      </x:c>
      <x:c r="I98" s="12" t="str">
        <x:v>iphone se 3rd gen screen replacement</x:v>
      </x:c>
      <x:c r="J98" s="6" t="str">
        <x:v>SVC000097</x:v>
      </x:c>
      <x:c r="K98" s="12" t="str">
        <x:v>Contextual</x:v>
      </x:c>
      <x:c r="L98" s="12" t="str">
        <x:v>Source service identity preserved for manual review.</x:v>
      </x:c>
    </x:row>
    <x:row r="99">
      <x:c r="A99" s="12" t="str">
        <x:v>EVID-SIR-000098</x:v>
      </x:c>
      <x:c r="B99" s="6" t="str">
        <x:v>SIR-000098</x:v>
      </x:c>
      <x:c r="C99" s="6" t="str">
        <x:v>SVC000098</x:v>
      </x:c>
      <x:c r="D99" s="12" t="str">
        <x:v>Service Identity Observation</x:v>
      </x:c>
      <x:c r="E99" s="6" t="str">
        <x:v>Nocturnix_Master_Services_Catalog_v1.xlsx</x:v>
      </x:c>
      <x:c r="F99" s="6" t="str">
        <x:v>01 - Master Services</x:v>
      </x:c>
      <x:c r="G99" s="6" t="n">
        <x:v>138</x:v>
      </x:c>
      <x:c r="H99" s="12" t="str">
        <x:v>iPhone XR Screen replacement</x:v>
      </x:c>
      <x:c r="I99" s="12" t="str">
        <x:v>iphone xr screen replacement</x:v>
      </x:c>
      <x:c r="J99" s="6" t="str">
        <x:v>SVC000098</x:v>
      </x:c>
      <x:c r="K99" s="12" t="str">
        <x:v>Contextual</x:v>
      </x:c>
      <x:c r="L99" s="12" t="str">
        <x:v>Source service identity preserved for manual review.</x:v>
      </x:c>
    </x:row>
    <x:row r="100">
      <x:c r="A100" s="12" t="str">
        <x:v>EVID-SIR-000099</x:v>
      </x:c>
      <x:c r="B100" s="6" t="str">
        <x:v>SIR-000099</x:v>
      </x:c>
      <x:c r="C100" s="6" t="str">
        <x:v>SVC000099</x:v>
      </x:c>
      <x:c r="D100" s="12" t="str">
        <x:v>Service Identity Observation</x:v>
      </x:c>
      <x:c r="E100" s="6" t="str">
        <x:v>Nocturnix_Master_Services_Catalog_v1.xlsx</x:v>
      </x:c>
      <x:c r="F100" s="6" t="str">
        <x:v>01 - Master Services</x:v>
      </x:c>
      <x:c r="G100" s="6" t="n">
        <x:v>139</x:v>
      </x:c>
      <x:c r="H100" s="12" t="str">
        <x:v>iPhone XS Screen replacement</x:v>
      </x:c>
      <x:c r="I100" s="12" t="str">
        <x:v>iphone xs screen replacement</x:v>
      </x:c>
      <x:c r="J100" s="6" t="str">
        <x:v>SVC000099</x:v>
      </x:c>
      <x:c r="K100" s="12" t="str">
        <x:v>Contextual</x:v>
      </x:c>
      <x:c r="L100" s="12" t="str">
        <x:v>Source service identity preserved for manual review.</x:v>
      </x:c>
    </x:row>
    <x:row r="101">
      <x:c r="A101" s="12" t="str">
        <x:v>EVID-SIR-000100</x:v>
      </x:c>
      <x:c r="B101" s="6" t="str">
        <x:v>SIR-000100</x:v>
      </x:c>
      <x:c r="C101" s="6" t="str">
        <x:v>SVC000100</x:v>
      </x:c>
      <x:c r="D101" s="12" t="str">
        <x:v>Service Identity Observation</x:v>
      </x:c>
      <x:c r="E101" s="6" t="str">
        <x:v>Nocturnix_Master_Services_Catalog_v1.xlsx</x:v>
      </x:c>
      <x:c r="F101" s="6" t="str">
        <x:v>01 - Master Services</x:v>
      </x:c>
      <x:c r="G101" s="6" t="n">
        <x:v>140</x:v>
      </x:c>
      <x:c r="H101" s="12" t="str">
        <x:v>iPhone 5 Screen replacement</x:v>
      </x:c>
      <x:c r="I101" s="12" t="str">
        <x:v>iphone 5 screen replacement</x:v>
      </x:c>
      <x:c r="J101" s="6" t="str">
        <x:v>SVC000100</x:v>
      </x:c>
      <x:c r="K101" s="12" t="str">
        <x:v>Contextual</x:v>
      </x:c>
      <x:c r="L101" s="12" t="str">
        <x:v>Source service identity preserved for manual review.</x:v>
      </x:c>
    </x:row>
    <x:row r="102">
      <x:c r="A102" s="12" t="str">
        <x:v>EVID-SIR-000101</x:v>
      </x:c>
      <x:c r="B102" s="6" t="str">
        <x:v>SIR-000101</x:v>
      </x:c>
      <x:c r="C102" s="6" t="str">
        <x:v>SVC000101</x:v>
      </x:c>
      <x:c r="D102" s="12" t="str">
        <x:v>Service Identity Observation</x:v>
      </x:c>
      <x:c r="E102" s="6" t="str">
        <x:v>Nocturnix_Master_Services_Catalog_v1.xlsx</x:v>
      </x:c>
      <x:c r="F102" s="6" t="str">
        <x:v>01 - Master Services</x:v>
      </x:c>
      <x:c r="G102" s="6" t="n">
        <x:v>141</x:v>
      </x:c>
      <x:c r="H102" s="12" t="str">
        <x:v>iPhone 4S Screen replacement</x:v>
      </x:c>
      <x:c r="I102" s="12" t="str">
        <x:v>iphone 4s screen replacement</x:v>
      </x:c>
      <x:c r="J102" s="6" t="str">
        <x:v>SVC000101</x:v>
      </x:c>
      <x:c r="K102" s="12" t="str">
        <x:v>Contextual</x:v>
      </x:c>
      <x:c r="L102" s="12" t="str">
        <x:v>Source service identity preserved for manual review.</x:v>
      </x:c>
    </x:row>
    <x:row r="103">
      <x:c r="A103" s="12" t="str">
        <x:v>EVID-SIR-000102</x:v>
      </x:c>
      <x:c r="B103" s="6" t="str">
        <x:v>SIR-000102</x:v>
      </x:c>
      <x:c r="C103" s="6" t="str">
        <x:v>SVC000102</x:v>
      </x:c>
      <x:c r="D103" s="12" t="str">
        <x:v>Service Identity Observation</x:v>
      </x:c>
      <x:c r="E103" s="6" t="str">
        <x:v>Nocturnix_Master_Services_Catalog_v1.xlsx</x:v>
      </x:c>
      <x:c r="F103" s="6" t="str">
        <x:v>01 - Master Services</x:v>
      </x:c>
      <x:c r="G103" s="6" t="n">
        <x:v>142</x:v>
      </x:c>
      <x:c r="H103" s="12" t="str">
        <x:v>iPhone 4S Screen replacement</x:v>
      </x:c>
      <x:c r="I103" s="12" t="str">
        <x:v>iphone 4s screen replacement</x:v>
      </x:c>
      <x:c r="J103" s="6" t="str">
        <x:v>SVC000102</x:v>
      </x:c>
      <x:c r="K103" s="12" t="str">
        <x:v>Contextual</x:v>
      </x:c>
      <x:c r="L103" s="12" t="str">
        <x:v>Source service identity preserved for manual review.</x:v>
      </x:c>
    </x:row>
    <x:row r="104">
      <x:c r="A104" s="12" t="str">
        <x:v>EVID-SIR-000103</x:v>
      </x:c>
      <x:c r="B104" s="6" t="str">
        <x:v>SIR-000103</x:v>
      </x:c>
      <x:c r="C104" s="6" t="str">
        <x:v>SVC000103</x:v>
      </x:c>
      <x:c r="D104" s="12" t="str">
        <x:v>Service Identity Observation</x:v>
      </x:c>
      <x:c r="E104" s="6" t="str">
        <x:v>Nocturnix_Master_Services_Catalog_v1.xlsx</x:v>
      </x:c>
      <x:c r="F104" s="6" t="str">
        <x:v>01 - Master Services</x:v>
      </x:c>
      <x:c r="G104" s="6" t="n">
        <x:v>143</x:v>
      </x:c>
      <x:c r="H104" s="12" t="str">
        <x:v>iPhone 4S Screen replacement</x:v>
      </x:c>
      <x:c r="I104" s="12" t="str">
        <x:v>iphone 4s screen replacement</x:v>
      </x:c>
      <x:c r="J104" s="6" t="str">
        <x:v>SVC000103</x:v>
      </x:c>
      <x:c r="K104" s="12" t="str">
        <x:v>Contextual</x:v>
      </x:c>
      <x:c r="L104" s="12" t="str">
        <x:v>Source service identity preserved for manual review.</x:v>
      </x:c>
    </x:row>
    <x:row r="105">
      <x:c r="A105" s="12" t="str">
        <x:v>EVID-SIR-000104</x:v>
      </x:c>
      <x:c r="B105" s="6" t="str">
        <x:v>SIR-000104</x:v>
      </x:c>
      <x:c r="C105" s="6" t="str">
        <x:v>SVC000104</x:v>
      </x:c>
      <x:c r="D105" s="12" t="str">
        <x:v>Service Identity Observation</x:v>
      </x:c>
      <x:c r="E105" s="6" t="str">
        <x:v>Nocturnix_Master_Services_Catalog_v1.xlsx</x:v>
      </x:c>
      <x:c r="F105" s="6" t="str">
        <x:v>01 - Master Services</x:v>
      </x:c>
      <x:c r="G105" s="6" t="n">
        <x:v>144</x:v>
      </x:c>
      <x:c r="H105" s="12" t="str">
        <x:v>iPhone 3GS Screen replacement</x:v>
      </x:c>
      <x:c r="I105" s="12" t="str">
        <x:v>iphone 3gs screen replacement</x:v>
      </x:c>
      <x:c r="J105" s="6" t="str">
        <x:v>SVC000104</x:v>
      </x:c>
      <x:c r="K105" s="12" t="str">
        <x:v>Contextual</x:v>
      </x:c>
      <x:c r="L105" s="12" t="str">
        <x:v>Source service identity preserved for manual review.</x:v>
      </x:c>
    </x:row>
    <x:row r="106">
      <x:c r="A106" s="12" t="str">
        <x:v>EVID-SIR-000105</x:v>
      </x:c>
      <x:c r="B106" s="6" t="str">
        <x:v>SIR-000105</x:v>
      </x:c>
      <x:c r="C106" s="6" t="str">
        <x:v>SVC000105</x:v>
      </x:c>
      <x:c r="D106" s="12" t="str">
        <x:v>Service Identity Observation</x:v>
      </x:c>
      <x:c r="E106" s="6" t="str">
        <x:v>Nocturnix_Master_Services_Catalog_v1.xlsx</x:v>
      </x:c>
      <x:c r="F106" s="6" t="str">
        <x:v>01 - Master Services</x:v>
      </x:c>
      <x:c r="G106" s="6" t="n">
        <x:v>145</x:v>
      </x:c>
      <x:c r="H106" s="12" t="str">
        <x:v>iPhone 3G Screen replacement</x:v>
      </x:c>
      <x:c r="I106" s="12" t="str">
        <x:v>iphone 3g screen replacement</x:v>
      </x:c>
      <x:c r="J106" s="6" t="str">
        <x:v>SVC000105</x:v>
      </x:c>
      <x:c r="K106" s="12" t="str">
        <x:v>Contextual</x:v>
      </x:c>
      <x:c r="L106" s="12" t="str">
        <x:v>Source service identity preserved for manual review.</x:v>
      </x:c>
    </x:row>
    <x:row r="107">
      <x:c r="A107" s="12" t="str">
        <x:v>EVID-SIR-000106</x:v>
      </x:c>
      <x:c r="B107" s="6" t="str">
        <x:v>SIR-000106</x:v>
      </x:c>
      <x:c r="C107" s="6" t="str">
        <x:v>SVC000106</x:v>
      </x:c>
      <x:c r="D107" s="12" t="str">
        <x:v>Service Identity Observation</x:v>
      </x:c>
      <x:c r="E107" s="6" t="str">
        <x:v>Nocturnix_Master_Services_Catalog_v1.xlsx</x:v>
      </x:c>
      <x:c r="F107" s="6" t="str">
        <x:v>01 - Master Services</x:v>
      </x:c>
      <x:c r="G107" s="6" t="n">
        <x:v>146</x:v>
      </x:c>
      <x:c r="H107" s="12" t="str">
        <x:v>iPhone Screen replacement</x:v>
      </x:c>
      <x:c r="I107" s="12" t="str">
        <x:v>iphone screen replacement</x:v>
      </x:c>
      <x:c r="J107" s="6" t="str">
        <x:v>SVC000106</x:v>
      </x:c>
      <x:c r="K107" s="12" t="str">
        <x:v>Contextual</x:v>
      </x:c>
      <x:c r="L107" s="12" t="str">
        <x:v>Source service identity preserved for manual review.</x:v>
      </x:c>
    </x:row>
    <x:row r="108">
      <x:c r="A108" s="12" t="str">
        <x:v>EVID-SIR-000107</x:v>
      </x:c>
      <x:c r="B108" s="6" t="str">
        <x:v>SIR-000107</x:v>
      </x:c>
      <x:c r="C108" s="6" t="str">
        <x:v>SVC000107</x:v>
      </x:c>
      <x:c r="D108" s="12" t="str">
        <x:v>Service Identity Observation</x:v>
      </x:c>
      <x:c r="E108" s="6" t="str">
        <x:v>Nocturnix_Master_Services_Catalog_v1.xlsx</x:v>
      </x:c>
      <x:c r="F108" s="6" t="str">
        <x:v>01 - Master Services</x:v>
      </x:c>
      <x:c r="G108" s="6" t="n">
        <x:v>147</x:v>
      </x:c>
      <x:c r="H108" s="12" t="str">
        <x:v>Galaxy S 24 FE Charge Port Replacement</x:v>
      </x:c>
      <x:c r="I108" s="12" t="str">
        <x:v>galaxy s 24 fe charge port replacement</x:v>
      </x:c>
      <x:c r="J108" s="6" t="str">
        <x:v>SVC000107</x:v>
      </x:c>
      <x:c r="K108" s="12" t="str">
        <x:v>Contextual</x:v>
      </x:c>
      <x:c r="L108" s="12" t="str">
        <x:v>Source service identity preserved for manual review.</x:v>
      </x:c>
    </x:row>
    <x:row r="109">
      <x:c r="A109" s="12" t="str">
        <x:v>EVID-SIR-000108</x:v>
      </x:c>
      <x:c r="B109" s="6" t="str">
        <x:v>SIR-000108</x:v>
      </x:c>
      <x:c r="C109" s="6" t="str">
        <x:v>SVC000108</x:v>
      </x:c>
      <x:c r="D109" s="12" t="str">
        <x:v>Service Identity Observation</x:v>
      </x:c>
      <x:c r="E109" s="6" t="str">
        <x:v>Nocturnix_Master_Services_Catalog_v1.xlsx</x:v>
      </x:c>
      <x:c r="F109" s="6" t="str">
        <x:v>01 - Master Services</x:v>
      </x:c>
      <x:c r="G109" s="6" t="n">
        <x:v>148</x:v>
      </x:c>
      <x:c r="H109" s="12" t="str">
        <x:v>Galaxy S 25 Charge Port Replacement</x:v>
      </x:c>
      <x:c r="I109" s="12" t="str">
        <x:v>galaxy s 25 charge port replacement</x:v>
      </x:c>
      <x:c r="J109" s="6" t="str">
        <x:v>SVC000108</x:v>
      </x:c>
      <x:c r="K109" s="12" t="str">
        <x:v>Contextual</x:v>
      </x:c>
      <x:c r="L109" s="12" t="str">
        <x:v>Source service identity preserved for manual review.</x:v>
      </x:c>
    </x:row>
    <x:row r="110">
      <x:c r="A110" s="12" t="str">
        <x:v>EVID-SIR-000109</x:v>
      </x:c>
      <x:c r="B110" s="6" t="str">
        <x:v>SIR-000109</x:v>
      </x:c>
      <x:c r="C110" s="6" t="str">
        <x:v>SVC000109</x:v>
      </x:c>
      <x:c r="D110" s="12" t="str">
        <x:v>Service Identity Observation</x:v>
      </x:c>
      <x:c r="E110" s="6" t="str">
        <x:v>Nocturnix_Master_Services_Catalog_v1.xlsx</x:v>
      </x:c>
      <x:c r="F110" s="6" t="str">
        <x:v>01 - Master Services</x:v>
      </x:c>
      <x:c r="G110" s="6" t="n">
        <x:v>149</x:v>
      </x:c>
      <x:c r="H110" s="12" t="str">
        <x:v>Galaxy S 25 Plus Charge Port Replacement</x:v>
      </x:c>
      <x:c r="I110" s="12" t="str">
        <x:v>galaxy s 25 plus charge port replacement</x:v>
      </x:c>
      <x:c r="J110" s="6" t="str">
        <x:v>SVC000109</x:v>
      </x:c>
      <x:c r="K110" s="12" t="str">
        <x:v>Contextual</x:v>
      </x:c>
      <x:c r="L110" s="12" t="str">
        <x:v>Source service identity preserved for manual review.</x:v>
      </x:c>
    </x:row>
    <x:row r="111">
      <x:c r="A111" s="12" t="str">
        <x:v>EVID-SIR-000110</x:v>
      </x:c>
      <x:c r="B111" s="6" t="str">
        <x:v>SIR-000110</x:v>
      </x:c>
      <x:c r="C111" s="6" t="str">
        <x:v>SVC000110</x:v>
      </x:c>
      <x:c r="D111" s="12" t="str">
        <x:v>Service Identity Observation</x:v>
      </x:c>
      <x:c r="E111" s="6" t="str">
        <x:v>Nocturnix_Master_Services_Catalog_v1.xlsx</x:v>
      </x:c>
      <x:c r="F111" s="6" t="str">
        <x:v>01 - Master Services</x:v>
      </x:c>
      <x:c r="G111" s="6" t="n">
        <x:v>150</x:v>
      </x:c>
      <x:c r="H111" s="12" t="str">
        <x:v>Galaxy S 25 Edge Charge Port Replacement</x:v>
      </x:c>
      <x:c r="I111" s="12" t="str">
        <x:v>galaxy s 25 edge charge port replacement</x:v>
      </x:c>
      <x:c r="J111" s="6" t="str">
        <x:v>SVC000110</x:v>
      </x:c>
      <x:c r="K111" s="12" t="str">
        <x:v>Contextual</x:v>
      </x:c>
      <x:c r="L111" s="12" t="str">
        <x:v>Source service identity preserved for manual review.</x:v>
      </x:c>
    </x:row>
    <x:row r="112">
      <x:c r="A112" s="12" t="str">
        <x:v>EVID-SIR-000111</x:v>
      </x:c>
      <x:c r="B112" s="6" t="str">
        <x:v>SIR-000111</x:v>
      </x:c>
      <x:c r="C112" s="6" t="str">
        <x:v>SVC000111</x:v>
      </x:c>
      <x:c r="D112" s="12" t="str">
        <x:v>Service Identity Observation</x:v>
      </x:c>
      <x:c r="E112" s="6" t="str">
        <x:v>Nocturnix_Master_Services_Catalog_v1.xlsx</x:v>
      </x:c>
      <x:c r="F112" s="6" t="str">
        <x:v>01 - Master Services</x:v>
      </x:c>
      <x:c r="G112" s="6" t="n">
        <x:v>151</x:v>
      </x:c>
      <x:c r="H112" s="12" t="str">
        <x:v>Galaxy S 22 Plus Battery Replacement</x:v>
      </x:c>
      <x:c r="I112" s="12" t="str">
        <x:v>galaxy s 22 plus battery replacement</x:v>
      </x:c>
      <x:c r="J112" s="6" t="str">
        <x:v>SVC000111</x:v>
      </x:c>
      <x:c r="K112" s="12" t="str">
        <x:v>Contextual</x:v>
      </x:c>
      <x:c r="L112" s="12" t="str">
        <x:v>Source service identity preserved for manual review.</x:v>
      </x:c>
    </x:row>
    <x:row r="113">
      <x:c r="A113" s="12" t="str">
        <x:v>EVID-SIR-000112</x:v>
      </x:c>
      <x:c r="B113" s="6" t="str">
        <x:v>SIR-000112</x:v>
      </x:c>
      <x:c r="C113" s="6" t="str">
        <x:v>SVC000112</x:v>
      </x:c>
      <x:c r="D113" s="12" t="str">
        <x:v>Service Identity Observation</x:v>
      </x:c>
      <x:c r="E113" s="6" t="str">
        <x:v>Nocturnix_Master_Services_Catalog_v1.xlsx</x:v>
      </x:c>
      <x:c r="F113" s="6" t="str">
        <x:v>01 - Master Services</x:v>
      </x:c>
      <x:c r="G113" s="6" t="n">
        <x:v>152</x:v>
      </x:c>
      <x:c r="H113" s="12" t="str">
        <x:v>Galaxy S 22 Ultra Battery Replacement</x:v>
      </x:c>
      <x:c r="I113" s="12" t="str">
        <x:v>galaxy s 22 ultra battery replacement</x:v>
      </x:c>
      <x:c r="J113" s="6" t="str">
        <x:v>SVC000112</x:v>
      </x:c>
      <x:c r="K113" s="12" t="str">
        <x:v>Contextual</x:v>
      </x:c>
      <x:c r="L113" s="12" t="str">
        <x:v>Source service identity preserved for manual review.</x:v>
      </x:c>
    </x:row>
    <x:row r="114">
      <x:c r="A114" s="12" t="str">
        <x:v>EVID-SIR-000113</x:v>
      </x:c>
      <x:c r="B114" s="6" t="str">
        <x:v>SIR-000113</x:v>
      </x:c>
      <x:c r="C114" s="6" t="str">
        <x:v>SVC000113</x:v>
      </x:c>
      <x:c r="D114" s="12" t="str">
        <x:v>Service Identity Observation</x:v>
      </x:c>
      <x:c r="E114" s="6" t="str">
        <x:v>Nocturnix_Master_Services_Catalog_v1.xlsx</x:v>
      </x:c>
      <x:c r="F114" s="6" t="str">
        <x:v>01 - Master Services</x:v>
      </x:c>
      <x:c r="G114" s="6" t="n">
        <x:v>153</x:v>
      </x:c>
      <x:c r="H114" s="12" t="str">
        <x:v>Galaxy S 23 Plus Battery Replacement</x:v>
      </x:c>
      <x:c r="I114" s="12" t="str">
        <x:v>galaxy s 23 plus battery replacement</x:v>
      </x:c>
      <x:c r="J114" s="6" t="str">
        <x:v>SVC000113</x:v>
      </x:c>
      <x:c r="K114" s="12" t="str">
        <x:v>Contextual</x:v>
      </x:c>
      <x:c r="L114" s="12" t="str">
        <x:v>Source service identity preserved for manual review.</x:v>
      </x:c>
    </x:row>
    <x:row r="115">
      <x:c r="A115" s="12" t="str">
        <x:v>EVID-SIR-000114</x:v>
      </x:c>
      <x:c r="B115" s="6" t="str">
        <x:v>SIR-000114</x:v>
      </x:c>
      <x:c r="C115" s="6" t="str">
        <x:v>SVC000114</x:v>
      </x:c>
      <x:c r="D115" s="12" t="str">
        <x:v>Service Identity Observation</x:v>
      </x:c>
      <x:c r="E115" s="6" t="str">
        <x:v>Nocturnix_Master_Services_Catalog_v1.xlsx</x:v>
      </x:c>
      <x:c r="F115" s="6" t="str">
        <x:v>01 - Master Services</x:v>
      </x:c>
      <x:c r="G115" s="6" t="n">
        <x:v>154</x:v>
      </x:c>
      <x:c r="H115" s="12" t="str">
        <x:v>Galaxy S 24 Battery Replacement</x:v>
      </x:c>
      <x:c r="I115" s="12" t="str">
        <x:v>galaxy s 24 battery replacement</x:v>
      </x:c>
      <x:c r="J115" s="6" t="str">
        <x:v>SVC000114</x:v>
      </x:c>
      <x:c r="K115" s="12" t="str">
        <x:v>Contextual</x:v>
      </x:c>
      <x:c r="L115" s="12" t="str">
        <x:v>Source service identity preserved for manual review.</x:v>
      </x:c>
    </x:row>
    <x:row r="116">
      <x:c r="A116" s="12" t="str">
        <x:v>EVID-SIR-000115</x:v>
      </x:c>
      <x:c r="B116" s="6" t="str">
        <x:v>SIR-000115</x:v>
      </x:c>
      <x:c r="C116" s="6" t="str">
        <x:v>SVC000115</x:v>
      </x:c>
      <x:c r="D116" s="12" t="str">
        <x:v>Service Identity Observation</x:v>
      </x:c>
      <x:c r="E116" s="6" t="str">
        <x:v>Nocturnix_Master_Services_Catalog_v1.xlsx</x:v>
      </x:c>
      <x:c r="F116" s="6" t="str">
        <x:v>01 - Master Services</x:v>
      </x:c>
      <x:c r="G116" s="6" t="n">
        <x:v>155</x:v>
      </x:c>
      <x:c r="H116" s="12" t="str">
        <x:v>Galaxy S 24 Plus Battery Replacement</x:v>
      </x:c>
      <x:c r="I116" s="12" t="str">
        <x:v>galaxy s 24 plus battery replacement</x:v>
      </x:c>
      <x:c r="J116" s="6" t="str">
        <x:v>SVC000115</x:v>
      </x:c>
      <x:c r="K116" s="12" t="str">
        <x:v>Contextual</x:v>
      </x:c>
      <x:c r="L116" s="12" t="str">
        <x:v>Source service identity preserved for manual review.</x:v>
      </x:c>
    </x:row>
    <x:row r="117">
      <x:c r="A117" s="12" t="str">
        <x:v>EVID-SIR-000116</x:v>
      </x:c>
      <x:c r="B117" s="6" t="str">
        <x:v>SIR-000116</x:v>
      </x:c>
      <x:c r="C117" s="6" t="str">
        <x:v>SVC000116</x:v>
      </x:c>
      <x:c r="D117" s="12" t="str">
        <x:v>Service Identity Observation</x:v>
      </x:c>
      <x:c r="E117" s="6" t="str">
        <x:v>Nocturnix_Master_Services_Catalog_v1.xlsx</x:v>
      </x:c>
      <x:c r="F117" s="6" t="str">
        <x:v>01 - Master Services</x:v>
      </x:c>
      <x:c r="G117" s="6" t="n">
        <x:v>156</x:v>
      </x:c>
      <x:c r="H117" s="12" t="str">
        <x:v>Galaxy S 24 Ultra Battery Replacement</x:v>
      </x:c>
      <x:c r="I117" s="12" t="str">
        <x:v>galaxy s 24 ultra battery replacement</x:v>
      </x:c>
      <x:c r="J117" s="6" t="str">
        <x:v>SVC000116</x:v>
      </x:c>
      <x:c r="K117" s="12" t="str">
        <x:v>Contextual</x:v>
      </x:c>
      <x:c r="L117" s="12" t="str">
        <x:v>Source service identity preserved for manual review.</x:v>
      </x:c>
    </x:row>
    <x:row r="118">
      <x:c r="A118" s="12" t="str">
        <x:v>EVID-SIR-000117</x:v>
      </x:c>
      <x:c r="B118" s="6" t="str">
        <x:v>SIR-000117</x:v>
      </x:c>
      <x:c r="C118" s="6" t="str">
        <x:v>SVC000117</x:v>
      </x:c>
      <x:c r="D118" s="12" t="str">
        <x:v>Service Identity Observation</x:v>
      </x:c>
      <x:c r="E118" s="6" t="str">
        <x:v>Nocturnix_Master_Services_Catalog_v1.xlsx</x:v>
      </x:c>
      <x:c r="F118" s="6" t="str">
        <x:v>01 - Master Services</x:v>
      </x:c>
      <x:c r="G118" s="6" t="n">
        <x:v>157</x:v>
      </x:c>
      <x:c r="H118" s="12" t="str">
        <x:v>Galaxy S 25 Plus Battery Replacement</x:v>
      </x:c>
      <x:c r="I118" s="12" t="str">
        <x:v>galaxy s 25 plus battery replacement</x:v>
      </x:c>
      <x:c r="J118" s="6" t="str">
        <x:v>SVC000117</x:v>
      </x:c>
      <x:c r="K118" s="12" t="str">
        <x:v>Contextual</x:v>
      </x:c>
      <x:c r="L118" s="12" t="str">
        <x:v>Source service identity preserved for manual review.</x:v>
      </x:c>
    </x:row>
    <x:row r="119">
      <x:c r="A119" s="12" t="str">
        <x:v>EVID-SIR-000118</x:v>
      </x:c>
      <x:c r="B119" s="6" t="str">
        <x:v>SIR-000118</x:v>
      </x:c>
      <x:c r="C119" s="6" t="str">
        <x:v>SVC000118</x:v>
      </x:c>
      <x:c r="D119" s="12" t="str">
        <x:v>Service Identity Observation</x:v>
      </x:c>
      <x:c r="E119" s="6" t="str">
        <x:v>Nocturnix_Master_Services_Catalog_v1.xlsx</x:v>
      </x:c>
      <x:c r="F119" s="6" t="str">
        <x:v>01 - Master Services</x:v>
      </x:c>
      <x:c r="G119" s="6" t="n">
        <x:v>158</x:v>
      </x:c>
      <x:c r="H119" s="12" t="str">
        <x:v>Galaxy S 10 Battery Replacement</x:v>
      </x:c>
      <x:c r="I119" s="12" t="str">
        <x:v>galaxy s 10 battery replacement</x:v>
      </x:c>
      <x:c r="J119" s="6" t="str">
        <x:v>SVC000118</x:v>
      </x:c>
      <x:c r="K119" s="12" t="str">
        <x:v>Contextual</x:v>
      </x:c>
      <x:c r="L119" s="12" t="str">
        <x:v>Source service identity preserved for manual review.</x:v>
      </x:c>
    </x:row>
    <x:row r="120">
      <x:c r="A120" s="12" t="str">
        <x:v>EVID-SIR-000119</x:v>
      </x:c>
      <x:c r="B120" s="6" t="str">
        <x:v>SIR-000119</x:v>
      </x:c>
      <x:c r="C120" s="6" t="str">
        <x:v>SVC000119</x:v>
      </x:c>
      <x:c r="D120" s="12" t="str">
        <x:v>Service Identity Observation</x:v>
      </x:c>
      <x:c r="E120" s="6" t="str">
        <x:v>Nocturnix_Master_Services_Catalog_v1.xlsx</x:v>
      </x:c>
      <x:c r="F120" s="6" t="str">
        <x:v>01 - Master Services</x:v>
      </x:c>
      <x:c r="G120" s="6" t="n">
        <x:v>159</x:v>
      </x:c>
      <x:c r="H120" s="12" t="str">
        <x:v>Galaxy S 10 Plus Battery Replacement</x:v>
      </x:c>
      <x:c r="I120" s="12" t="str">
        <x:v>galaxy s 10 plus battery replacement</x:v>
      </x:c>
      <x:c r="J120" s="6" t="str">
        <x:v>SVC000119</x:v>
      </x:c>
      <x:c r="K120" s="12" t="str">
        <x:v>Contextual</x:v>
      </x:c>
      <x:c r="L120" s="12" t="str">
        <x:v>Source service identity preserved for manual review.</x:v>
      </x:c>
    </x:row>
    <x:row r="121">
      <x:c r="A121" s="12" t="str">
        <x:v>EVID-SIR-000120</x:v>
      </x:c>
      <x:c r="B121" s="6" t="str">
        <x:v>SIR-000120</x:v>
      </x:c>
      <x:c r="C121" s="6" t="str">
        <x:v>SVC000120</x:v>
      </x:c>
      <x:c r="D121" s="12" t="str">
        <x:v>Service Identity Observation</x:v>
      </x:c>
      <x:c r="E121" s="6" t="str">
        <x:v>Nocturnix_Master_Services_Catalog_v1.xlsx</x:v>
      </x:c>
      <x:c r="F121" s="6" t="str">
        <x:v>01 - Master Services</x:v>
      </x:c>
      <x:c r="G121" s="6" t="n">
        <x:v>160</x:v>
      </x:c>
      <x:c r="H121" s="12" t="str">
        <x:v>Galaxy S 10 E Battery Replacement</x:v>
      </x:c>
      <x:c r="I121" s="12" t="str">
        <x:v>galaxy s 10 e battery replacement</x:v>
      </x:c>
      <x:c r="J121" s="6" t="str">
        <x:v>SVC000120</x:v>
      </x:c>
      <x:c r="K121" s="12" t="str">
        <x:v>Contextual</x:v>
      </x:c>
      <x:c r="L121" s="12" t="str">
        <x:v>Source service identity preserved for manual review.</x:v>
      </x:c>
    </x:row>
    <x:row r="122">
      <x:c r="A122" s="12" t="str">
        <x:v>EVID-SIR-000121</x:v>
      </x:c>
      <x:c r="B122" s="6" t="str">
        <x:v>SIR-000121</x:v>
      </x:c>
      <x:c r="C122" s="6" t="str">
        <x:v>SVC000121</x:v>
      </x:c>
      <x:c r="D122" s="12" t="str">
        <x:v>Service Identity Observation</x:v>
      </x:c>
      <x:c r="E122" s="6" t="str">
        <x:v>Nocturnix_Master_Services_Catalog_v1.xlsx</x:v>
      </x:c>
      <x:c r="F122" s="6" t="str">
        <x:v>01 - Master Services</x:v>
      </x:c>
      <x:c r="G122" s="6" t="n">
        <x:v>161</x:v>
      </x:c>
      <x:c r="H122" s="12" t="str">
        <x:v>Galaxy Note 9 Battery Replacement</x:v>
      </x:c>
      <x:c r="I122" s="12" t="str">
        <x:v>galaxy note 9 battery replacement</x:v>
      </x:c>
      <x:c r="J122" s="6" t="str">
        <x:v>SVC000121</x:v>
      </x:c>
      <x:c r="K122" s="12" t="str">
        <x:v>Contextual</x:v>
      </x:c>
      <x:c r="L122" s="12" t="str">
        <x:v>Source service identity preserved for manual review.</x:v>
      </x:c>
    </x:row>
    <x:row r="123">
      <x:c r="A123" s="12" t="str">
        <x:v>EVID-SIR-000122</x:v>
      </x:c>
      <x:c r="B123" s="6" t="str">
        <x:v>SIR-000122</x:v>
      </x:c>
      <x:c r="C123" s="6" t="str">
        <x:v>SVC000122</x:v>
      </x:c>
      <x:c r="D123" s="12" t="str">
        <x:v>Service Identity Observation</x:v>
      </x:c>
      <x:c r="E123" s="6" t="str">
        <x:v>Nocturnix_Master_Services_Catalog_v1.xlsx</x:v>
      </x:c>
      <x:c r="F123" s="6" t="str">
        <x:v>01 - Master Services</x:v>
      </x:c>
      <x:c r="G123" s="6" t="n">
        <x:v>162</x:v>
      </x:c>
      <x:c r="H123" s="12" t="str">
        <x:v>Galaxy Note 10 Plus Battery Replacement</x:v>
      </x:c>
      <x:c r="I123" s="12" t="str">
        <x:v>galaxy note 10 plus battery replacement</x:v>
      </x:c>
      <x:c r="J123" s="6" t="str">
        <x:v>SVC000122</x:v>
      </x:c>
      <x:c r="K123" s="12" t="str">
        <x:v>Contextual</x:v>
      </x:c>
      <x:c r="L123" s="12" t="str">
        <x:v>Source service identity preserved for manual review.</x:v>
      </x:c>
    </x:row>
    <x:row r="124">
      <x:c r="A124" s="12" t="str">
        <x:v>EVID-SIR-000123</x:v>
      </x:c>
      <x:c r="B124" s="6" t="str">
        <x:v>SIR-000123</x:v>
      </x:c>
      <x:c r="C124" s="6" t="str">
        <x:v>SVC000123</x:v>
      </x:c>
      <x:c r="D124" s="12" t="str">
        <x:v>Service Identity Observation</x:v>
      </x:c>
      <x:c r="E124" s="6" t="str">
        <x:v>Nocturnix_Master_Services_Catalog_v1.xlsx</x:v>
      </x:c>
      <x:c r="F124" s="6" t="str">
        <x:v>01 - Master Services</x:v>
      </x:c>
      <x:c r="G124" s="6" t="n">
        <x:v>163</x:v>
      </x:c>
      <x:c r="H124" s="12" t="str">
        <x:v>Galaxy S 20 Battery Replacement</x:v>
      </x:c>
      <x:c r="I124" s="12" t="str">
        <x:v>galaxy s 20 battery replacement</x:v>
      </x:c>
      <x:c r="J124" s="6" t="str">
        <x:v>SVC000123</x:v>
      </x:c>
      <x:c r="K124" s="12" t="str">
        <x:v>Contextual</x:v>
      </x:c>
      <x:c r="L124" s="12" t="str">
        <x:v>Source service identity preserved for manual review.</x:v>
      </x:c>
    </x:row>
    <x:row r="125">
      <x:c r="A125" s="12" t="str">
        <x:v>EVID-SIR-000124</x:v>
      </x:c>
      <x:c r="B125" s="6" t="str">
        <x:v>SIR-000124</x:v>
      </x:c>
      <x:c r="C125" s="6" t="str">
        <x:v>SVC000124</x:v>
      </x:c>
      <x:c r="D125" s="12" t="str">
        <x:v>Service Identity Observation</x:v>
      </x:c>
      <x:c r="E125" s="6" t="str">
        <x:v>Nocturnix_Master_Services_Catalog_v1.xlsx</x:v>
      </x:c>
      <x:c r="F125" s="6" t="str">
        <x:v>01 - Master Services</x:v>
      </x:c>
      <x:c r="G125" s="6" t="n">
        <x:v>164</x:v>
      </x:c>
      <x:c r="H125" s="12" t="str">
        <x:v>Galaxy S 20 Plus Battery Replacement</x:v>
      </x:c>
      <x:c r="I125" s="12" t="str">
        <x:v>galaxy s 20 plus battery replacement</x:v>
      </x:c>
      <x:c r="J125" s="6" t="str">
        <x:v>SVC000124</x:v>
      </x:c>
      <x:c r="K125" s="12" t="str">
        <x:v>Contextual</x:v>
      </x:c>
      <x:c r="L125" s="12" t="str">
        <x:v>Source service identity preserved for manual review.</x:v>
      </x:c>
    </x:row>
    <x:row r="126">
      <x:c r="A126" s="12" t="str">
        <x:v>EVID-SIR-000125</x:v>
      </x:c>
      <x:c r="B126" s="6" t="str">
        <x:v>SIR-000125</x:v>
      </x:c>
      <x:c r="C126" s="6" t="str">
        <x:v>SVC000125</x:v>
      </x:c>
      <x:c r="D126" s="12" t="str">
        <x:v>Service Identity Observation</x:v>
      </x:c>
      <x:c r="E126" s="6" t="str">
        <x:v>Nocturnix_Master_Services_Catalog_v1.xlsx</x:v>
      </x:c>
      <x:c r="F126" s="6" t="str">
        <x:v>01 - Master Services</x:v>
      </x:c>
      <x:c r="G126" s="6" t="n">
        <x:v>165</x:v>
      </x:c>
      <x:c r="H126" s="12" t="str">
        <x:v>Galaxy S 21 Plus Battery Replacement</x:v>
      </x:c>
      <x:c r="I126" s="12" t="str">
        <x:v>galaxy s 21 plus battery replacement</x:v>
      </x:c>
      <x:c r="J126" s="6" t="str">
        <x:v>SVC000125</x:v>
      </x:c>
      <x:c r="K126" s="12" t="str">
        <x:v>Contextual</x:v>
      </x:c>
      <x:c r="L126" s="12" t="str">
        <x:v>Source service identity preserved for manual review.</x:v>
      </x:c>
    </x:row>
    <x:row r="127">
      <x:c r="A127" s="12" t="str">
        <x:v>EVID-SIR-000126</x:v>
      </x:c>
      <x:c r="B127" s="6" t="str">
        <x:v>SIR-000126</x:v>
      </x:c>
      <x:c r="C127" s="6" t="str">
        <x:v>SVC000126</x:v>
      </x:c>
      <x:c r="D127" s="12" t="str">
        <x:v>Service Identity Observation</x:v>
      </x:c>
      <x:c r="E127" s="6" t="str">
        <x:v>Nocturnix_Master_Services_Catalog_v1.xlsx</x:v>
      </x:c>
      <x:c r="F127" s="6" t="str">
        <x:v>01 - Master Services</x:v>
      </x:c>
      <x:c r="G127" s="6" t="n">
        <x:v>166</x:v>
      </x:c>
      <x:c r="H127" s="12" t="str">
        <x:v>Galaxy S 7 Battery Replacement</x:v>
      </x:c>
      <x:c r="I127" s="12" t="str">
        <x:v>galaxy s 7 battery replacement</x:v>
      </x:c>
      <x:c r="J127" s="6" t="str">
        <x:v>SVC000126</x:v>
      </x:c>
      <x:c r="K127" s="12" t="str">
        <x:v>Contextual</x:v>
      </x:c>
      <x:c r="L127" s="12" t="str">
        <x:v>Source service identity preserved for manual review.</x:v>
      </x:c>
    </x:row>
    <x:row r="128">
      <x:c r="A128" s="12" t="str">
        <x:v>EVID-SIR-000127</x:v>
      </x:c>
      <x:c r="B128" s="6" t="str">
        <x:v>SIR-000127</x:v>
      </x:c>
      <x:c r="C128" s="6" t="str">
        <x:v>SVC000127</x:v>
      </x:c>
      <x:c r="D128" s="12" t="str">
        <x:v>Service Identity Observation</x:v>
      </x:c>
      <x:c r="E128" s="6" t="str">
        <x:v>Nocturnix_Master_Services_Catalog_v1.xlsx</x:v>
      </x:c>
      <x:c r="F128" s="6" t="str">
        <x:v>01 - Master Services</x:v>
      </x:c>
      <x:c r="G128" s="6" t="n">
        <x:v>167</x:v>
      </x:c>
      <x:c r="H128" s="12" t="str">
        <x:v>Galaxy S 7 Edge Battery Replacement</x:v>
      </x:c>
      <x:c r="I128" s="12" t="str">
        <x:v>galaxy s 7 edge battery replacement</x:v>
      </x:c>
      <x:c r="J128" s="6" t="str">
        <x:v>SVC000127</x:v>
      </x:c>
      <x:c r="K128" s="12" t="str">
        <x:v>Contextual</x:v>
      </x:c>
      <x:c r="L128" s="12" t="str">
        <x:v>Source service identity preserved for manual review.</x:v>
      </x:c>
    </x:row>
    <x:row r="129">
      <x:c r="A129" s="12" t="str">
        <x:v>EVID-SIR-000128</x:v>
      </x:c>
      <x:c r="B129" s="6" t="str">
        <x:v>SIR-000128</x:v>
      </x:c>
      <x:c r="C129" s="6" t="str">
        <x:v>SVC000128</x:v>
      </x:c>
      <x:c r="D129" s="12" t="str">
        <x:v>Service Identity Observation</x:v>
      </x:c>
      <x:c r="E129" s="6" t="str">
        <x:v>Nocturnix_Master_Services_Catalog_v1.xlsx</x:v>
      </x:c>
      <x:c r="F129" s="6" t="str">
        <x:v>01 - Master Services</x:v>
      </x:c>
      <x:c r="G129" s="6" t="n">
        <x:v>168</x:v>
      </x:c>
      <x:c r="H129" s="12" t="str">
        <x:v>Galaxy S 5 Active Battery Replacement</x:v>
      </x:c>
      <x:c r="I129" s="12" t="str">
        <x:v>galaxy s 5 active battery replacement</x:v>
      </x:c>
      <x:c r="J129" s="6" t="str">
        <x:v>SVC000128</x:v>
      </x:c>
      <x:c r="K129" s="12" t="str">
        <x:v>Contextual</x:v>
      </x:c>
      <x:c r="L129" s="12" t="str">
        <x:v>Source service identity preserved for manual review.</x:v>
      </x:c>
    </x:row>
    <x:row r="130">
      <x:c r="A130" s="12" t="str">
        <x:v>EVID-SIR-000129</x:v>
      </x:c>
      <x:c r="B130" s="6" t="str">
        <x:v>SIR-000129</x:v>
      </x:c>
      <x:c r="C130" s="6" t="str">
        <x:v>SVC000129</x:v>
      </x:c>
      <x:c r="D130" s="12" t="str">
        <x:v>Service Identity Observation</x:v>
      </x:c>
      <x:c r="E130" s="6" t="str">
        <x:v>Nocturnix_Master_Services_Catalog_v1.xlsx</x:v>
      </x:c>
      <x:c r="F130" s="6" t="str">
        <x:v>01 - Master Services</x:v>
      </x:c>
      <x:c r="G130" s="6" t="n">
        <x:v>169</x:v>
      </x:c>
      <x:c r="H130" s="12" t="str">
        <x:v>Galaxy S 6 Edge Battery Replacement</x:v>
      </x:c>
      <x:c r="I130" s="12" t="str">
        <x:v>galaxy s 6 edge battery replacement</x:v>
      </x:c>
      <x:c r="J130" s="6" t="str">
        <x:v>SVC000129</x:v>
      </x:c>
      <x:c r="K130" s="12" t="str">
        <x:v>Contextual</x:v>
      </x:c>
      <x:c r="L130" s="12" t="str">
        <x:v>Source service identity preserved for manual review.</x:v>
      </x:c>
    </x:row>
    <x:row r="131">
      <x:c r="A131" s="12" t="str">
        <x:v>EVID-SIR-000130</x:v>
      </x:c>
      <x:c r="B131" s="6" t="str">
        <x:v>SIR-000130</x:v>
      </x:c>
      <x:c r="C131" s="6" t="str">
        <x:v>SVC000130</x:v>
      </x:c>
      <x:c r="D131" s="12" t="str">
        <x:v>Service Identity Observation</x:v>
      </x:c>
      <x:c r="E131" s="6" t="str">
        <x:v>Nocturnix_Master_Services_Catalog_v1.xlsx</x:v>
      </x:c>
      <x:c r="F131" s="6" t="str">
        <x:v>01 - Master Services</x:v>
      </x:c>
      <x:c r="G131" s="6" t="n">
        <x:v>170</x:v>
      </x:c>
      <x:c r="H131" s="12" t="str">
        <x:v>Galaxy S 8 Plus Battery Replacement</x:v>
      </x:c>
      <x:c r="I131" s="12" t="str">
        <x:v>galaxy s 8 plus battery replacement</x:v>
      </x:c>
      <x:c r="J131" s="6" t="str">
        <x:v>SVC000130</x:v>
      </x:c>
      <x:c r="K131" s="12" t="str">
        <x:v>Contextual</x:v>
      </x:c>
      <x:c r="L131" s="12" t="str">
        <x:v>Source service identity preserved for manual review.</x:v>
      </x:c>
    </x:row>
    <x:row r="132">
      <x:c r="A132" s="12" t="str">
        <x:v>EVID-SIR-000131</x:v>
      </x:c>
      <x:c r="B132" s="6" t="str">
        <x:v>SIR-000131</x:v>
      </x:c>
      <x:c r="C132" s="6" t="str">
        <x:v>SVC000131</x:v>
      </x:c>
      <x:c r="D132" s="12" t="str">
        <x:v>Service Identity Observation</x:v>
      </x:c>
      <x:c r="E132" s="6" t="str">
        <x:v>Nocturnix_Master_Services_Catalog_v1.xlsx</x:v>
      </x:c>
      <x:c r="F132" s="6" t="str">
        <x:v>01 - Master Services</x:v>
      </x:c>
      <x:c r="G132" s="6" t="n">
        <x:v>171</x:v>
      </x:c>
      <x:c r="H132" s="12" t="str">
        <x:v>Galaxy S 8 Active Battery Replacement</x:v>
      </x:c>
      <x:c r="I132" s="12" t="str">
        <x:v>galaxy s 8 active battery replacement</x:v>
      </x:c>
      <x:c r="J132" s="6" t="str">
        <x:v>SVC000131</x:v>
      </x:c>
      <x:c r="K132" s="12" t="str">
        <x:v>Contextual</x:v>
      </x:c>
      <x:c r="L132" s="12" t="str">
        <x:v>Source service identity preserved for manual review.</x:v>
      </x:c>
    </x:row>
    <x:row r="133">
      <x:c r="A133" s="12" t="str">
        <x:v>EVID-SIR-000132</x:v>
      </x:c>
      <x:c r="B133" s="6" t="str">
        <x:v>SIR-000132</x:v>
      </x:c>
      <x:c r="C133" s="6" t="str">
        <x:v>SVC000132</x:v>
      </x:c>
      <x:c r="D133" s="12" t="str">
        <x:v>Service Identity Observation</x:v>
      </x:c>
      <x:c r="E133" s="6" t="str">
        <x:v>Nocturnix_Master_Services_Catalog_v1.xlsx</x:v>
      </x:c>
      <x:c r="F133" s="6" t="str">
        <x:v>01 - Master Services</x:v>
      </x:c>
      <x:c r="G133" s="6" t="n">
        <x:v>172</x:v>
      </x:c>
      <x:c r="H133" s="12" t="str">
        <x:v>Galaxy S 9 Plus Battery Replacement</x:v>
      </x:c>
      <x:c r="I133" s="12" t="str">
        <x:v>galaxy s 9 plus battery replacement</x:v>
      </x:c>
      <x:c r="J133" s="6" t="str">
        <x:v>SVC000132</x:v>
      </x:c>
      <x:c r="K133" s="12" t="str">
        <x:v>Contextual</x:v>
      </x:c>
      <x:c r="L133" s="12" t="str">
        <x:v>Source service identity preserved for manual review.</x:v>
      </x:c>
    </x:row>
    <x:row r="134">
      <x:c r="A134" s="12" t="str">
        <x:v>EVID-SIR-000133</x:v>
      </x:c>
      <x:c r="B134" s="6" t="str">
        <x:v>SIR-000133</x:v>
      </x:c>
      <x:c r="C134" s="6" t="str">
        <x:v>SVC000133</x:v>
      </x:c>
      <x:c r="D134" s="12" t="str">
        <x:v>Service Identity Observation</x:v>
      </x:c>
      <x:c r="E134" s="6" t="str">
        <x:v>Nocturnix_Master_Services_Catalog_v1.xlsx</x:v>
      </x:c>
      <x:c r="F134" s="6" t="str">
        <x:v>01 - Master Services</x:v>
      </x:c>
      <x:c r="G134" s="6" t="n">
        <x:v>173</x:v>
      </x:c>
      <x:c r="H134" s="12" t="str">
        <x:v>Galaxy S 20 Ultra Battery Replacement</x:v>
      </x:c>
      <x:c r="I134" s="12" t="str">
        <x:v>galaxy s 20 ultra battery replacement</x:v>
      </x:c>
      <x:c r="J134" s="6" t="str">
        <x:v>SVC000133</x:v>
      </x:c>
      <x:c r="K134" s="12" t="str">
        <x:v>Contextual</x:v>
      </x:c>
      <x:c r="L134" s="12" t="str">
        <x:v>Source service identity preserved for manual review.</x:v>
      </x:c>
    </x:row>
    <x:row r="135">
      <x:c r="A135" s="12" t="str">
        <x:v>EVID-SIR-000134</x:v>
      </x:c>
      <x:c r="B135" s="6" t="str">
        <x:v>SIR-000134</x:v>
      </x:c>
      <x:c r="C135" s="6" t="str">
        <x:v>SVC000134</x:v>
      </x:c>
      <x:c r="D135" s="12" t="str">
        <x:v>Service Identity Observation</x:v>
      </x:c>
      <x:c r="E135" s="6" t="str">
        <x:v>Nocturnix_Master_Services_Catalog_v1.xlsx</x:v>
      </x:c>
      <x:c r="F135" s="6" t="str">
        <x:v>01 - Master Services</x:v>
      </x:c>
      <x:c r="G135" s="6" t="n">
        <x:v>174</x:v>
      </x:c>
      <x:c r="H135" s="12" t="str">
        <x:v>Galaxy S 5 Neo Battery Replacement</x:v>
      </x:c>
      <x:c r="I135" s="12" t="str">
        <x:v>galaxy s 5 neo battery replacement</x:v>
      </x:c>
      <x:c r="J135" s="6" t="str">
        <x:v>SVC000134</x:v>
      </x:c>
      <x:c r="K135" s="12" t="str">
        <x:v>Contextual</x:v>
      </x:c>
      <x:c r="L135" s="12" t="str">
        <x:v>Source service identity preserved for manual review.</x:v>
      </x:c>
    </x:row>
    <x:row r="136">
      <x:c r="A136" s="12" t="str">
        <x:v>EVID-SIR-000135</x:v>
      </x:c>
      <x:c r="B136" s="6" t="str">
        <x:v>SIR-000135</x:v>
      </x:c>
      <x:c r="C136" s="6" t="str">
        <x:v>SVC000135</x:v>
      </x:c>
      <x:c r="D136" s="12" t="str">
        <x:v>Service Identity Observation</x:v>
      </x:c>
      <x:c r="E136" s="6" t="str">
        <x:v>Nocturnix_Master_Services_Catalog_v1.xlsx</x:v>
      </x:c>
      <x:c r="F136" s="6" t="str">
        <x:v>01 - Master Services</x:v>
      </x:c>
      <x:c r="G136" s="6" t="n">
        <x:v>175</x:v>
      </x:c>
      <x:c r="H136" s="12" t="str">
        <x:v>Galaxy S 4 Mini Battery Replacement</x:v>
      </x:c>
      <x:c r="I136" s="12" t="str">
        <x:v>galaxy s 4 mini battery replacement</x:v>
      </x:c>
      <x:c r="J136" s="6" t="str">
        <x:v>SVC000135</x:v>
      </x:c>
      <x:c r="K136" s="12" t="str">
        <x:v>Contextual</x:v>
      </x:c>
      <x:c r="L136" s="12" t="str">
        <x:v>Source service identity preserved for manual review.</x:v>
      </x:c>
    </x:row>
    <x:row r="137">
      <x:c r="A137" s="12" t="str">
        <x:v>EVID-SIR-000136</x:v>
      </x:c>
      <x:c r="B137" s="6" t="str">
        <x:v>SIR-000136</x:v>
      </x:c>
      <x:c r="C137" s="6" t="str">
        <x:v>SVC000136</x:v>
      </x:c>
      <x:c r="D137" s="12" t="str">
        <x:v>Service Identity Observation</x:v>
      </x:c>
      <x:c r="E137" s="6" t="str">
        <x:v>Nocturnix_Master_Services_Catalog_v1.xlsx</x:v>
      </x:c>
      <x:c r="F137" s="6" t="str">
        <x:v>01 - Master Services</x:v>
      </x:c>
      <x:c r="G137" s="6" t="n">
        <x:v>176</x:v>
      </x:c>
      <x:c r="H137" s="12" t="str">
        <x:v>Galaxy S 23 Ultra Battery Replacement</x:v>
      </x:c>
      <x:c r="I137" s="12" t="str">
        <x:v>galaxy s 23 ultra battery replacement</x:v>
      </x:c>
      <x:c r="J137" s="6" t="str">
        <x:v>SVC000136</x:v>
      </x:c>
      <x:c r="K137" s="12" t="str">
        <x:v>Contextual</x:v>
      </x:c>
      <x:c r="L137" s="12" t="str">
        <x:v>Source service identity preserved for manual review.</x:v>
      </x:c>
    </x:row>
    <x:row r="138">
      <x:c r="A138" s="12" t="str">
        <x:v>EVID-SIR-000137</x:v>
      </x:c>
      <x:c r="B138" s="6" t="str">
        <x:v>SIR-000137</x:v>
      </x:c>
      <x:c r="C138" s="6" t="str">
        <x:v>SVC000137</x:v>
      </x:c>
      <x:c r="D138" s="12" t="str">
        <x:v>Service Identity Observation</x:v>
      </x:c>
      <x:c r="E138" s="6" t="str">
        <x:v>Nocturnix_Master_Services_Catalog_v1.xlsx</x:v>
      </x:c>
      <x:c r="F138" s="6" t="str">
        <x:v>01 - Master Services</x:v>
      </x:c>
      <x:c r="G138" s="6" t="n">
        <x:v>177</x:v>
      </x:c>
      <x:c r="H138" s="12" t="str">
        <x:v>Galaxy S 23 FE Battery Replacement</x:v>
      </x:c>
      <x:c r="I138" s="12" t="str">
        <x:v>galaxy s 23 fe battery replacement</x:v>
      </x:c>
      <x:c r="J138" s="6" t="str">
        <x:v>SVC000137</x:v>
      </x:c>
      <x:c r="K138" s="12" t="str">
        <x:v>Contextual</x:v>
      </x:c>
      <x:c r="L138" s="12" t="str">
        <x:v>Source service identity preserved for manual review.</x:v>
      </x:c>
    </x:row>
    <x:row r="139">
      <x:c r="A139" s="12" t="str">
        <x:v>EVID-SIR-000138</x:v>
      </x:c>
      <x:c r="B139" s="6" t="str">
        <x:v>SIR-000138</x:v>
      </x:c>
      <x:c r="C139" s="6" t="str">
        <x:v>SVC000138</x:v>
      </x:c>
      <x:c r="D139" s="12" t="str">
        <x:v>Service Identity Observation</x:v>
      </x:c>
      <x:c r="E139" s="6" t="str">
        <x:v>Nocturnix_Master_Services_Catalog_v1.xlsx</x:v>
      </x:c>
      <x:c r="F139" s="6" t="str">
        <x:v>01 - Master Services</x:v>
      </x:c>
      <x:c r="G139" s="6" t="n">
        <x:v>178</x:v>
      </x:c>
      <x:c r="H139" s="12" t="str">
        <x:v>Galaxy S 25 Battery Replacement</x:v>
      </x:c>
      <x:c r="I139" s="12" t="str">
        <x:v>galaxy s 25 battery replacement</x:v>
      </x:c>
      <x:c r="J139" s="6" t="str">
        <x:v>SVC000138</x:v>
      </x:c>
      <x:c r="K139" s="12" t="str">
        <x:v>Contextual</x:v>
      </x:c>
      <x:c r="L139" s="12" t="str">
        <x:v>Source service identity preserved for manual review.</x:v>
      </x:c>
    </x:row>
    <x:row r="140">
      <x:c r="A140" s="12" t="str">
        <x:v>EVID-SIR-000139</x:v>
      </x:c>
      <x:c r="B140" s="6" t="str">
        <x:v>SIR-000139</x:v>
      </x:c>
      <x:c r="C140" s="6" t="str">
        <x:v>SVC000139</x:v>
      </x:c>
      <x:c r="D140" s="12" t="str">
        <x:v>Service Identity Observation</x:v>
      </x:c>
      <x:c r="E140" s="6" t="str">
        <x:v>Nocturnix_Master_Services_Catalog_v1.xlsx</x:v>
      </x:c>
      <x:c r="F140" s="6" t="str">
        <x:v>01 - Master Services</x:v>
      </x:c>
      <x:c r="G140" s="6" t="n">
        <x:v>179</x:v>
      </x:c>
      <x:c r="H140" s="12" t="str">
        <x:v>Galaxy S 25 Edge Battery Replacement</x:v>
      </x:c>
      <x:c r="I140" s="12" t="str">
        <x:v>galaxy s 25 edge battery replacement</x:v>
      </x:c>
      <x:c r="J140" s="6" t="str">
        <x:v>SVC000139</x:v>
      </x:c>
      <x:c r="K140" s="12" t="str">
        <x:v>Contextual</x:v>
      </x:c>
      <x:c r="L140" s="12" t="str">
        <x:v>Source service identity preserved for manual review.</x:v>
      </x:c>
    </x:row>
    <x:row r="141">
      <x:c r="A141" s="12" t="str">
        <x:v>EVID-SIR-000140</x:v>
      </x:c>
      <x:c r="B141" s="6" t="str">
        <x:v>SIR-000140</x:v>
      </x:c>
      <x:c r="C141" s="6" t="str">
        <x:v>SVC000140</x:v>
      </x:c>
      <x:c r="D141" s="12" t="str">
        <x:v>Service Identity Observation</x:v>
      </x:c>
      <x:c r="E141" s="6" t="str">
        <x:v>Nocturnix_Master_Services_Catalog_v1.xlsx</x:v>
      </x:c>
      <x:c r="F141" s="6" t="str">
        <x:v>01 - Master Services</x:v>
      </x:c>
      <x:c r="G141" s="6" t="n">
        <x:v>180</x:v>
      </x:c>
      <x:c r="H141" s="12" t="str">
        <x:v>iPhone 14 Plus Battery Replacement</x:v>
      </x:c>
      <x:c r="I141" s="12" t="str">
        <x:v>iphone 14 plus battery replacement</x:v>
      </x:c>
      <x:c r="J141" s="6" t="str">
        <x:v>SVC000140</x:v>
      </x:c>
      <x:c r="K141" s="12" t="str">
        <x:v>Contextual</x:v>
      </x:c>
      <x:c r="L141" s="12" t="str">
        <x:v>Source service identity preserved for manual review.</x:v>
      </x:c>
    </x:row>
    <x:row r="142">
      <x:c r="A142" s="12" t="str">
        <x:v>EVID-SIR-000141</x:v>
      </x:c>
      <x:c r="B142" s="6" t="str">
        <x:v>SIR-000141</x:v>
      </x:c>
      <x:c r="C142" s="6" t="str">
        <x:v>SVC000141</x:v>
      </x:c>
      <x:c r="D142" s="12" t="str">
        <x:v>Service Identity Observation</x:v>
      </x:c>
      <x:c r="E142" s="6" t="str">
        <x:v>Nocturnix_Master_Services_Catalog_v1.xlsx</x:v>
      </x:c>
      <x:c r="F142" s="6" t="str">
        <x:v>01 - Master Services</x:v>
      </x:c>
      <x:c r="G142" s="6" t="n">
        <x:v>181</x:v>
      </x:c>
      <x:c r="H142" s="12" t="str">
        <x:v>iPhone 13 Pro Battery Replacement</x:v>
      </x:c>
      <x:c r="I142" s="12" t="str">
        <x:v>iphone 13 pro battery replacement</x:v>
      </x:c>
      <x:c r="J142" s="6" t="str">
        <x:v>SVC000141</x:v>
      </x:c>
      <x:c r="K142" s="12" t="str">
        <x:v>Contextual</x:v>
      </x:c>
      <x:c r="L142" s="12" t="str">
        <x:v>Source service identity preserved for manual review.</x:v>
      </x:c>
    </x:row>
    <x:row r="143">
      <x:c r="A143" s="12" t="str">
        <x:v>EVID-SIR-000142</x:v>
      </x:c>
      <x:c r="B143" s="6" t="str">
        <x:v>SIR-000142</x:v>
      </x:c>
      <x:c r="C143" s="6" t="str">
        <x:v>SVC000142</x:v>
      </x:c>
      <x:c r="D143" s="12" t="str">
        <x:v>Service Identity Observation</x:v>
      </x:c>
      <x:c r="E143" s="6" t="str">
        <x:v>Nocturnix_Master_Services_Catalog_v1.xlsx</x:v>
      </x:c>
      <x:c r="F143" s="6" t="str">
        <x:v>01 - Master Services</x:v>
      </x:c>
      <x:c r="G143" s="6" t="n">
        <x:v>182</x:v>
      </x:c>
      <x:c r="H143" s="12" t="str">
        <x:v>iPhone 13 Mini Battery Replacement</x:v>
      </x:c>
      <x:c r="I143" s="12" t="str">
        <x:v>iphone 13 mini battery replacement</x:v>
      </x:c>
      <x:c r="J143" s="6" t="str">
        <x:v>SVC000142</x:v>
      </x:c>
      <x:c r="K143" s="12" t="str">
        <x:v>Contextual</x:v>
      </x:c>
      <x:c r="L143" s="12" t="str">
        <x:v>Source service identity preserved for manual review.</x:v>
      </x:c>
    </x:row>
    <x:row r="144">
      <x:c r="A144" s="12" t="str">
        <x:v>EVID-SIR-000143</x:v>
      </x:c>
      <x:c r="B144" s="6" t="str">
        <x:v>SIR-000143</x:v>
      </x:c>
      <x:c r="C144" s="6" t="str">
        <x:v>SVC000143</x:v>
      </x:c>
      <x:c r="D144" s="12" t="str">
        <x:v>Service Identity Observation</x:v>
      </x:c>
      <x:c r="E144" s="6" t="str">
        <x:v>Nocturnix_Master_Services_Catalog_v1.xlsx</x:v>
      </x:c>
      <x:c r="F144" s="6" t="str">
        <x:v>01 - Master Services</x:v>
      </x:c>
      <x:c r="G144" s="6" t="n">
        <x:v>183</x:v>
      </x:c>
      <x:c r="H144" s="12" t="str">
        <x:v>iPhone 13 Battery Replacement</x:v>
      </x:c>
      <x:c r="I144" s="12" t="str">
        <x:v>iphone 13 battery replacement</x:v>
      </x:c>
      <x:c r="J144" s="6" t="str">
        <x:v>SVC000143</x:v>
      </x:c>
      <x:c r="K144" s="12" t="str">
        <x:v>Contextual</x:v>
      </x:c>
      <x:c r="L144" s="12" t="str">
        <x:v>Source service identity preserved for manual review.</x:v>
      </x:c>
    </x:row>
    <x:row r="145">
      <x:c r="A145" s="12" t="str">
        <x:v>EVID-SIR-000144</x:v>
      </x:c>
      <x:c r="B145" s="6" t="str">
        <x:v>SIR-000144</x:v>
      </x:c>
      <x:c r="C145" s="6" t="str">
        <x:v>SVC000144</x:v>
      </x:c>
      <x:c r="D145" s="12" t="str">
        <x:v>Service Identity Observation</x:v>
      </x:c>
      <x:c r="E145" s="6" t="str">
        <x:v>Nocturnix_Master_Services_Catalog_v1.xlsx</x:v>
      </x:c>
      <x:c r="F145" s="6" t="str">
        <x:v>01 - Master Services</x:v>
      </x:c>
      <x:c r="G145" s="6" t="n">
        <x:v>184</x:v>
      </x:c>
      <x:c r="H145" s="12" t="str">
        <x:v>iPhone 12 Battery Replacement</x:v>
      </x:c>
      <x:c r="I145" s="12" t="str">
        <x:v>iphone 12 battery replacement</x:v>
      </x:c>
      <x:c r="J145" s="6" t="str">
        <x:v>SVC000144</x:v>
      </x:c>
      <x:c r="K145" s="12" t="str">
        <x:v>Contextual</x:v>
      </x:c>
      <x:c r="L145" s="12" t="str">
        <x:v>Source service identity preserved for manual review.</x:v>
      </x:c>
    </x:row>
    <x:row r="146">
      <x:c r="A146" s="12" t="str">
        <x:v>EVID-SIR-000145</x:v>
      </x:c>
      <x:c r="B146" s="6" t="str">
        <x:v>SIR-000145</x:v>
      </x:c>
      <x:c r="C146" s="6" t="str">
        <x:v>SVC000145</x:v>
      </x:c>
      <x:c r="D146" s="12" t="str">
        <x:v>Service Identity Observation</x:v>
      </x:c>
      <x:c r="E146" s="6" t="str">
        <x:v>Nocturnix_Master_Services_Catalog_v1.xlsx</x:v>
      </x:c>
      <x:c r="F146" s="6" t="str">
        <x:v>01 - Master Services</x:v>
      </x:c>
      <x:c r="G146" s="6" t="n">
        <x:v>185</x:v>
      </x:c>
      <x:c r="H146" s="12" t="str">
        <x:v>iPhone 12 Pro Max Battery Replacement</x:v>
      </x:c>
      <x:c r="I146" s="12" t="str">
        <x:v>iphone 12 pro max battery replacement</x:v>
      </x:c>
      <x:c r="J146" s="6" t="str">
        <x:v>SVC000145</x:v>
      </x:c>
      <x:c r="K146" s="12" t="str">
        <x:v>Contextual</x:v>
      </x:c>
      <x:c r="L146" s="12" t="str">
        <x:v>Source service identity preserved for manual review.</x:v>
      </x:c>
    </x:row>
    <x:row r="147">
      <x:c r="A147" s="12" t="str">
        <x:v>EVID-SIR-000146</x:v>
      </x:c>
      <x:c r="B147" s="6" t="str">
        <x:v>SIR-000146</x:v>
      </x:c>
      <x:c r="C147" s="6" t="str">
        <x:v>SVC000146</x:v>
      </x:c>
      <x:c r="D147" s="12" t="str">
        <x:v>Service Identity Observation</x:v>
      </x:c>
      <x:c r="E147" s="6" t="str">
        <x:v>Nocturnix_Master_Services_Catalog_v1.xlsx</x:v>
      </x:c>
      <x:c r="F147" s="6" t="str">
        <x:v>01 - Master Services</x:v>
      </x:c>
      <x:c r="G147" s="6" t="n">
        <x:v>186</x:v>
      </x:c>
      <x:c r="H147" s="12" t="str">
        <x:v>iPhone 12 Pro Battery Replacement</x:v>
      </x:c>
      <x:c r="I147" s="12" t="str">
        <x:v>iphone 12 pro battery replacement</x:v>
      </x:c>
      <x:c r="J147" s="6" t="str">
        <x:v>SVC000146</x:v>
      </x:c>
      <x:c r="K147" s="12" t="str">
        <x:v>Contextual</x:v>
      </x:c>
      <x:c r="L147" s="12" t="str">
        <x:v>Source service identity preserved for manual review.</x:v>
      </x:c>
    </x:row>
    <x:row r="148">
      <x:c r="A148" s="12" t="str">
        <x:v>EVID-SIR-000147</x:v>
      </x:c>
      <x:c r="B148" s="6" t="str">
        <x:v>SIR-000147</x:v>
      </x:c>
      <x:c r="C148" s="6" t="str">
        <x:v>SVC000147</x:v>
      </x:c>
      <x:c r="D148" s="12" t="str">
        <x:v>Service Identity Observation</x:v>
      </x:c>
      <x:c r="E148" s="6" t="str">
        <x:v>Nocturnix_Master_Services_Catalog_v1.xlsx</x:v>
      </x:c>
      <x:c r="F148" s="6" t="str">
        <x:v>01 - Master Services</x:v>
      </x:c>
      <x:c r="G148" s="6" t="n">
        <x:v>187</x:v>
      </x:c>
      <x:c r="H148" s="12" t="str">
        <x:v>iPhone 13 Pro Max Battery Replacement</x:v>
      </x:c>
      <x:c r="I148" s="12" t="str">
        <x:v>iphone 13 pro max battery replacement</x:v>
      </x:c>
      <x:c r="J148" s="6" t="str">
        <x:v>SVC000147</x:v>
      </x:c>
      <x:c r="K148" s="12" t="str">
        <x:v>Contextual</x:v>
      </x:c>
      <x:c r="L148" s="12" t="str">
        <x:v>Source service identity preserved for manual review.</x:v>
      </x:c>
    </x:row>
    <x:row r="149">
      <x:c r="A149" s="12" t="str">
        <x:v>EVID-SIR-000148</x:v>
      </x:c>
      <x:c r="B149" s="6" t="str">
        <x:v>SIR-000148</x:v>
      </x:c>
      <x:c r="C149" s="6" t="str">
        <x:v>SVC000148</x:v>
      </x:c>
      <x:c r="D149" s="12" t="str">
        <x:v>Service Identity Observation</x:v>
      </x:c>
      <x:c r="E149" s="6" t="str">
        <x:v>Nocturnix_Master_Services_Catalog_v1.xlsx</x:v>
      </x:c>
      <x:c r="F149" s="6" t="str">
        <x:v>01 - Master Services</x:v>
      </x:c>
      <x:c r="G149" s="6" t="n">
        <x:v>188</x:v>
      </x:c>
      <x:c r="H149" s="12" t="str">
        <x:v>iPhone 12 Mini Battery Replacement</x:v>
      </x:c>
      <x:c r="I149" s="12" t="str">
        <x:v>iphone 12 mini battery replacement</x:v>
      </x:c>
      <x:c r="J149" s="6" t="str">
        <x:v>SVC000148</x:v>
      </x:c>
      <x:c r="K149" s="12" t="str">
        <x:v>Contextual</x:v>
      </x:c>
      <x:c r="L149" s="12" t="str">
        <x:v>Source service identity preserved for manual review.</x:v>
      </x:c>
    </x:row>
    <x:row r="150">
      <x:c r="A150" s="12" t="str">
        <x:v>EVID-SIR-000149</x:v>
      </x:c>
      <x:c r="B150" s="6" t="str">
        <x:v>SIR-000149</x:v>
      </x:c>
      <x:c r="C150" s="6" t="str">
        <x:v>SVC000149</x:v>
      </x:c>
      <x:c r="D150" s="12" t="str">
        <x:v>Service Identity Observation</x:v>
      </x:c>
      <x:c r="E150" s="6" t="str">
        <x:v>Nocturnix_Master_Services_Catalog_v1.xlsx</x:v>
      </x:c>
      <x:c r="F150" s="6" t="str">
        <x:v>01 - Master Services</x:v>
      </x:c>
      <x:c r="G150" s="6" t="n">
        <x:v>189</x:v>
      </x:c>
      <x:c r="H150" s="12" t="str">
        <x:v>iPhone 14 Pro Max Battery Replacement</x:v>
      </x:c>
      <x:c r="I150" s="12" t="str">
        <x:v>iphone 14 pro max battery replacement</x:v>
      </x:c>
      <x:c r="J150" s="6" t="str">
        <x:v>SVC000149</x:v>
      </x:c>
      <x:c r="K150" s="12" t="str">
        <x:v>Contextual</x:v>
      </x:c>
      <x:c r="L150" s="12" t="str">
        <x:v>Source service identity preserved for manual review.</x:v>
      </x:c>
    </x:row>
    <x:row r="151">
      <x:c r="A151" s="12" t="str">
        <x:v>EVID-SIR-000150</x:v>
      </x:c>
      <x:c r="B151" s="6" t="str">
        <x:v>SIR-000150</x:v>
      </x:c>
      <x:c r="C151" s="6" t="str">
        <x:v>SVC000150</x:v>
      </x:c>
      <x:c r="D151" s="12" t="str">
        <x:v>Service Identity Observation</x:v>
      </x:c>
      <x:c r="E151" s="6" t="str">
        <x:v>Nocturnix_Master_Services_Catalog_v1.xlsx</x:v>
      </x:c>
      <x:c r="F151" s="6" t="str">
        <x:v>01 - Master Services</x:v>
      </x:c>
      <x:c r="G151" s="6" t="n">
        <x:v>190</x:v>
      </x:c>
      <x:c r="H151" s="12" t="str">
        <x:v>Galaxy S 21 FE Battery Replacement</x:v>
      </x:c>
      <x:c r="I151" s="12" t="str">
        <x:v>galaxy s 21 fe battery replacement</x:v>
      </x:c>
      <x:c r="J151" s="6" t="str">
        <x:v>SVC000150</x:v>
      </x:c>
      <x:c r="K151" s="12" t="str">
        <x:v>Contextual</x:v>
      </x:c>
      <x:c r="L151" s="12" t="str">
        <x:v>Source service identity preserved for manual review.</x:v>
      </x:c>
    </x:row>
    <x:row r="152">
      <x:c r="A152" s="12" t="str">
        <x:v>EVID-SIR-000151</x:v>
      </x:c>
      <x:c r="B152" s="6" t="str">
        <x:v>SIR-000151</x:v>
      </x:c>
      <x:c r="C152" s="6" t="str">
        <x:v>SVC000151</x:v>
      </x:c>
      <x:c r="D152" s="12" t="str">
        <x:v>Service Identity Observation</x:v>
      </x:c>
      <x:c r="E152" s="6" t="str">
        <x:v>Nocturnix_Master_Services_Catalog_v1.xlsx</x:v>
      </x:c>
      <x:c r="F152" s="6" t="str">
        <x:v>01 - Master Services</x:v>
      </x:c>
      <x:c r="G152" s="6" t="n">
        <x:v>191</x:v>
      </x:c>
      <x:c r="H152" s="12" t="str">
        <x:v>Galaxy S 6 Active Battery Replacement</x:v>
      </x:c>
      <x:c r="I152" s="12" t="str">
        <x:v>galaxy s 6 active battery replacement</x:v>
      </x:c>
      <x:c r="J152" s="6" t="str">
        <x:v>SVC000151</x:v>
      </x:c>
      <x:c r="K152" s="12" t="str">
        <x:v>Contextual</x:v>
      </x:c>
      <x:c r="L152" s="12" t="str">
        <x:v>Source service identity preserved for manual review.</x:v>
      </x:c>
    </x:row>
    <x:row r="153">
      <x:c r="A153" s="12" t="str">
        <x:v>EVID-SIR-000152</x:v>
      </x:c>
      <x:c r="B153" s="6" t="str">
        <x:v>SIR-000152</x:v>
      </x:c>
      <x:c r="C153" s="6" t="str">
        <x:v>SVC000152</x:v>
      </x:c>
      <x:c r="D153" s="12" t="str">
        <x:v>Service Identity Observation</x:v>
      </x:c>
      <x:c r="E153" s="6" t="str">
        <x:v>Nocturnix_Master_Services_Catalog_v1.xlsx</x:v>
      </x:c>
      <x:c r="F153" s="6" t="str">
        <x:v>01 - Master Services</x:v>
      </x:c>
      <x:c r="G153" s="6" t="n">
        <x:v>192</x:v>
      </x:c>
      <x:c r="H153" s="12" t="str">
        <x:v>Galaxy S 21 Battery Replacement</x:v>
      </x:c>
      <x:c r="I153" s="12" t="str">
        <x:v>galaxy s 21 battery replacement</x:v>
      </x:c>
      <x:c r="J153" s="6" t="str">
        <x:v>SVC000152</x:v>
      </x:c>
      <x:c r="K153" s="12" t="str">
        <x:v>Contextual</x:v>
      </x:c>
      <x:c r="L153" s="12" t="str">
        <x:v>Source service identity preserved for manual review.</x:v>
      </x:c>
    </x:row>
    <x:row r="154">
      <x:c r="A154" s="12" t="str">
        <x:v>EVID-SIR-000153</x:v>
      </x:c>
      <x:c r="B154" s="6" t="str">
        <x:v>SIR-000153</x:v>
      </x:c>
      <x:c r="C154" s="6" t="str">
        <x:v>SVC000153</x:v>
      </x:c>
      <x:c r="D154" s="12" t="str">
        <x:v>Service Identity Observation</x:v>
      </x:c>
      <x:c r="E154" s="6" t="str">
        <x:v>Nocturnix_Master_Services_Catalog_v1.xlsx</x:v>
      </x:c>
      <x:c r="F154" s="6" t="str">
        <x:v>01 - Master Services</x:v>
      </x:c>
      <x:c r="G154" s="6" t="n">
        <x:v>193</x:v>
      </x:c>
      <x:c r="H154" s="12" t="str">
        <x:v>Galaxy S 6 Battery Replacement</x:v>
      </x:c>
      <x:c r="I154" s="12" t="str">
        <x:v>galaxy s 6 battery replacement</x:v>
      </x:c>
      <x:c r="J154" s="6" t="str">
        <x:v>SVC000153</x:v>
      </x:c>
      <x:c r="K154" s="12" t="str">
        <x:v>Contextual</x:v>
      </x:c>
      <x:c r="L154" s="12" t="str">
        <x:v>Source service identity preserved for manual review.</x:v>
      </x:c>
    </x:row>
    <x:row r="155">
      <x:c r="A155" s="12" t="str">
        <x:v>EVID-SIR-000154</x:v>
      </x:c>
      <x:c r="B155" s="6" t="str">
        <x:v>SIR-000154</x:v>
      </x:c>
      <x:c r="C155" s="6" t="str">
        <x:v>SVC000154</x:v>
      </x:c>
      <x:c r="D155" s="12" t="str">
        <x:v>Service Identity Observation</x:v>
      </x:c>
      <x:c r="E155" s="6" t="str">
        <x:v>Nocturnix_Master_Services_Catalog_v1.xlsx</x:v>
      </x:c>
      <x:c r="F155" s="6" t="str">
        <x:v>01 - Master Services</x:v>
      </x:c>
      <x:c r="G155" s="6" t="n">
        <x:v>194</x:v>
      </x:c>
      <x:c r="H155" s="12" t="str">
        <x:v>Galaxy S 6 Edge Plus Battery Replacement</x:v>
      </x:c>
      <x:c r="I155" s="12" t="str">
        <x:v>galaxy s 6 edge plus battery replacement</x:v>
      </x:c>
      <x:c r="J155" s="6" t="str">
        <x:v>SVC000154</x:v>
      </x:c>
      <x:c r="K155" s="12" t="str">
        <x:v>Contextual</x:v>
      </x:c>
      <x:c r="L155" s="12" t="str">
        <x:v>Source service identity preserved for manual review.</x:v>
      </x:c>
    </x:row>
    <x:row r="156">
      <x:c r="A156" s="12" t="str">
        <x:v>EVID-SIR-000155</x:v>
      </x:c>
      <x:c r="B156" s="6" t="str">
        <x:v>SIR-000155</x:v>
      </x:c>
      <x:c r="C156" s="6" t="str">
        <x:v>SVC000155</x:v>
      </x:c>
      <x:c r="D156" s="12" t="str">
        <x:v>Service Identity Observation</x:v>
      </x:c>
      <x:c r="E156" s="6" t="str">
        <x:v>Nocturnix_Master_Services_Catalog_v1.xlsx</x:v>
      </x:c>
      <x:c r="F156" s="6" t="str">
        <x:v>01 - Master Services</x:v>
      </x:c>
      <x:c r="G156" s="6" t="n">
        <x:v>195</x:v>
      </x:c>
      <x:c r="H156" s="12" t="str">
        <x:v>Galaxy S 7 Active Battery Replacement</x:v>
      </x:c>
      <x:c r="I156" s="12" t="str">
        <x:v>galaxy s 7 active battery replacement</x:v>
      </x:c>
      <x:c r="J156" s="6" t="str">
        <x:v>SVC000155</x:v>
      </x:c>
      <x:c r="K156" s="12" t="str">
        <x:v>Contextual</x:v>
      </x:c>
      <x:c r="L156" s="12" t="str">
        <x:v>Source service identity preserved for manual review.</x:v>
      </x:c>
    </x:row>
    <x:row r="157">
      <x:c r="A157" s="12" t="str">
        <x:v>EVID-SIR-000156</x:v>
      </x:c>
      <x:c r="B157" s="6" t="str">
        <x:v>SIR-000156</x:v>
      </x:c>
      <x:c r="C157" s="6" t="str">
        <x:v>SVC000156</x:v>
      </x:c>
      <x:c r="D157" s="12" t="str">
        <x:v>Service Identity Observation</x:v>
      </x:c>
      <x:c r="E157" s="6" t="str">
        <x:v>Nocturnix_Master_Services_Catalog_v1.xlsx</x:v>
      </x:c>
      <x:c r="F157" s="6" t="str">
        <x:v>01 - Master Services</x:v>
      </x:c>
      <x:c r="G157" s="6" t="n">
        <x:v>196</x:v>
      </x:c>
      <x:c r="H157" s="12" t="str">
        <x:v>Galaxy S 8 Battery Replacement</x:v>
      </x:c>
      <x:c r="I157" s="12" t="str">
        <x:v>galaxy s 8 battery replacement</x:v>
      </x:c>
      <x:c r="J157" s="6" t="str">
        <x:v>SVC000156</x:v>
      </x:c>
      <x:c r="K157" s="12" t="str">
        <x:v>Contextual</x:v>
      </x:c>
      <x:c r="L157" s="12" t="str">
        <x:v>Source service identity preserved for manual review.</x:v>
      </x:c>
    </x:row>
    <x:row r="158">
      <x:c r="A158" s="12" t="str">
        <x:v>EVID-SIR-000157</x:v>
      </x:c>
      <x:c r="B158" s="6" t="str">
        <x:v>SIR-000157</x:v>
      </x:c>
      <x:c r="C158" s="6" t="str">
        <x:v>SVC000157</x:v>
      </x:c>
      <x:c r="D158" s="12" t="str">
        <x:v>Service Identity Observation</x:v>
      </x:c>
      <x:c r="E158" s="6" t="str">
        <x:v>Nocturnix_Master_Services_Catalog_v1.xlsx</x:v>
      </x:c>
      <x:c r="F158" s="6" t="str">
        <x:v>01 - Master Services</x:v>
      </x:c>
      <x:c r="G158" s="6" t="n">
        <x:v>197</x:v>
      </x:c>
      <x:c r="H158" s="12" t="str">
        <x:v>Galaxy S 9 Battery Replacement</x:v>
      </x:c>
      <x:c r="I158" s="12" t="str">
        <x:v>galaxy s 9 battery replacement</x:v>
      </x:c>
      <x:c r="J158" s="6" t="str">
        <x:v>SVC000157</x:v>
      </x:c>
      <x:c r="K158" s="12" t="str">
        <x:v>Contextual</x:v>
      </x:c>
      <x:c r="L158" s="12" t="str">
        <x:v>Source service identity preserved for manual review.</x:v>
      </x:c>
    </x:row>
    <x:row r="159">
      <x:c r="A159" s="12" t="str">
        <x:v>EVID-SIR-000158</x:v>
      </x:c>
      <x:c r="B159" s="6" t="str">
        <x:v>SIR-000158</x:v>
      </x:c>
      <x:c r="C159" s="6" t="str">
        <x:v>SVC000158</x:v>
      </x:c>
      <x:c r="D159" s="12" t="str">
        <x:v>Service Identity Observation</x:v>
      </x:c>
      <x:c r="E159" s="6" t="str">
        <x:v>Nocturnix_Master_Services_Catalog_v1.xlsx</x:v>
      </x:c>
      <x:c r="F159" s="6" t="str">
        <x:v>01 - Master Services</x:v>
      </x:c>
      <x:c r="G159" s="6" t="n">
        <x:v>198</x:v>
      </x:c>
      <x:c r="H159" s="12" t="str">
        <x:v>Galaxy S 20 FE Battery Replacement</x:v>
      </x:c>
      <x:c r="I159" s="12" t="str">
        <x:v>galaxy s 20 fe battery replacement</x:v>
      </x:c>
      <x:c r="J159" s="6" t="str">
        <x:v>SVC000158</x:v>
      </x:c>
      <x:c r="K159" s="12" t="str">
        <x:v>Contextual</x:v>
      </x:c>
      <x:c r="L159" s="12" t="str">
        <x:v>Source service identity preserved for manual review.</x:v>
      </x:c>
    </x:row>
    <x:row r="160">
      <x:c r="A160" s="12" t="str">
        <x:v>EVID-SIR-000159</x:v>
      </x:c>
      <x:c r="B160" s="6" t="str">
        <x:v>SIR-000159</x:v>
      </x:c>
      <x:c r="C160" s="6" t="str">
        <x:v>SVC000159</x:v>
      </x:c>
      <x:c r="D160" s="12" t="str">
        <x:v>Service Identity Observation</x:v>
      </x:c>
      <x:c r="E160" s="6" t="str">
        <x:v>Nocturnix_Master_Services_Catalog_v1.xlsx</x:v>
      </x:c>
      <x:c r="F160" s="6" t="str">
        <x:v>01 - Master Services</x:v>
      </x:c>
      <x:c r="G160" s="6" t="n">
        <x:v>199</x:v>
      </x:c>
      <x:c r="H160" s="12" t="str">
        <x:v>Galaxy S Classic Battery Replacement</x:v>
      </x:c>
      <x:c r="I160" s="12" t="str">
        <x:v>galaxy s classic battery replacement</x:v>
      </x:c>
      <x:c r="J160" s="6" t="str">
        <x:v>SVC000159</x:v>
      </x:c>
      <x:c r="K160" s="12" t="str">
        <x:v>Contextual</x:v>
      </x:c>
      <x:c r="L160" s="12" t="str">
        <x:v>Source service identity preserved for manual review.</x:v>
      </x:c>
    </x:row>
    <x:row r="161">
      <x:c r="A161" s="12" t="str">
        <x:v>EVID-SIR-000160</x:v>
      </x:c>
      <x:c r="B161" s="6" t="str">
        <x:v>SIR-000160</x:v>
      </x:c>
      <x:c r="C161" s="6" t="str">
        <x:v>SVC000160</x:v>
      </x:c>
      <x:c r="D161" s="12" t="str">
        <x:v>Service Identity Observation</x:v>
      </x:c>
      <x:c r="E161" s="6" t="str">
        <x:v>Nocturnix_Master_Services_Catalog_v1.xlsx</x:v>
      </x:c>
      <x:c r="F161" s="6" t="str">
        <x:v>01 - Master Services</x:v>
      </x:c>
      <x:c r="G161" s="6" t="n">
        <x:v>200</x:v>
      </x:c>
      <x:c r="H161" s="12" t="str">
        <x:v>Galaxy S2 Battery Replacement</x:v>
      </x:c>
      <x:c r="I161" s="12" t="str">
        <x:v>galaxy s2 battery replacement</x:v>
      </x:c>
      <x:c r="J161" s="6" t="str">
        <x:v>SVC000160</x:v>
      </x:c>
      <x:c r="K161" s="12" t="str">
        <x:v>Contextual</x:v>
      </x:c>
      <x:c r="L161" s="12" t="str">
        <x:v>Source service identity preserved for manual review.</x:v>
      </x:c>
    </x:row>
    <x:row r="162">
      <x:c r="A162" s="12" t="str">
        <x:v>EVID-SIR-000161</x:v>
      </x:c>
      <x:c r="B162" s="6" t="str">
        <x:v>SIR-000161</x:v>
      </x:c>
      <x:c r="C162" s="6" t="str">
        <x:v>SVC000161</x:v>
      </x:c>
      <x:c r="D162" s="12" t="str">
        <x:v>Service Identity Observation</x:v>
      </x:c>
      <x:c r="E162" s="6" t="str">
        <x:v>Nocturnix_Master_Services_Catalog_v1.xlsx</x:v>
      </x:c>
      <x:c r="F162" s="6" t="str">
        <x:v>01 - Master Services</x:v>
      </x:c>
      <x:c r="G162" s="6" t="n">
        <x:v>201</x:v>
      </x:c>
      <x:c r="H162" s="12" t="str">
        <x:v>Galaxy S3 Battery Replacement</x:v>
      </x:c>
      <x:c r="I162" s="12" t="str">
        <x:v>galaxy s3 battery replacement</x:v>
      </x:c>
      <x:c r="J162" s="6" t="str">
        <x:v>SVC000161</x:v>
      </x:c>
      <x:c r="K162" s="12" t="str">
        <x:v>Contextual</x:v>
      </x:c>
      <x:c r="L162" s="12" t="str">
        <x:v>Source service identity preserved for manual review.</x:v>
      </x:c>
    </x:row>
    <x:row r="163">
      <x:c r="A163" s="12" t="str">
        <x:v>EVID-SIR-000162</x:v>
      </x:c>
      <x:c r="B163" s="6" t="str">
        <x:v>SIR-000162</x:v>
      </x:c>
      <x:c r="C163" s="6" t="str">
        <x:v>SVC000162</x:v>
      </x:c>
      <x:c r="D163" s="12" t="str">
        <x:v>Service Identity Observation</x:v>
      </x:c>
      <x:c r="E163" s="6" t="str">
        <x:v>Nocturnix_Master_Services_Catalog_v1.xlsx</x:v>
      </x:c>
      <x:c r="F163" s="6" t="str">
        <x:v>01 - Master Services</x:v>
      </x:c>
      <x:c r="G163" s="6" t="n">
        <x:v>202</x:v>
      </x:c>
      <x:c r="H163" s="12" t="str">
        <x:v>Galaxy S3 Mini Battery Replacement</x:v>
      </x:c>
      <x:c r="I163" s="12" t="str">
        <x:v>galaxy s3 mini battery replacement</x:v>
      </x:c>
      <x:c r="J163" s="6" t="str">
        <x:v>SVC000162</x:v>
      </x:c>
      <x:c r="K163" s="12" t="str">
        <x:v>Contextual</x:v>
      </x:c>
      <x:c r="L163" s="12" t="str">
        <x:v>Source service identity preserved for manual review.</x:v>
      </x:c>
    </x:row>
    <x:row r="164">
      <x:c r="A164" s="12" t="str">
        <x:v>EVID-SIR-000163</x:v>
      </x:c>
      <x:c r="B164" s="6" t="str">
        <x:v>SIR-000163</x:v>
      </x:c>
      <x:c r="C164" s="6" t="str">
        <x:v>SVC000163</x:v>
      </x:c>
      <x:c r="D164" s="12" t="str">
        <x:v>Service Identity Observation</x:v>
      </x:c>
      <x:c r="E164" s="6" t="str">
        <x:v>Nocturnix_Master_Services_Catalog_v1.xlsx</x:v>
      </x:c>
      <x:c r="F164" s="6" t="str">
        <x:v>01 - Master Services</x:v>
      </x:c>
      <x:c r="G164" s="6" t="n">
        <x:v>203</x:v>
      </x:c>
      <x:c r="H164" s="12" t="str">
        <x:v>Galaxy S3 Neo Battery Replacement</x:v>
      </x:c>
      <x:c r="I164" s="12" t="str">
        <x:v>galaxy s3 neo battery replacement</x:v>
      </x:c>
      <x:c r="J164" s="6" t="str">
        <x:v>SVC000163</x:v>
      </x:c>
      <x:c r="K164" s="12" t="str">
        <x:v>Contextual</x:v>
      </x:c>
      <x:c r="L164" s="12" t="str">
        <x:v>Source service identity preserved for manual review.</x:v>
      </x:c>
    </x:row>
    <x:row r="165">
      <x:c r="A165" s="12" t="str">
        <x:v>EVID-SIR-000164</x:v>
      </x:c>
      <x:c r="B165" s="6" t="str">
        <x:v>SIR-000164</x:v>
      </x:c>
      <x:c r="C165" s="6" t="str">
        <x:v>SVC000164</x:v>
      </x:c>
      <x:c r="D165" s="12" t="str">
        <x:v>Service Identity Observation</x:v>
      </x:c>
      <x:c r="E165" s="6" t="str">
        <x:v>Nocturnix_Master_Services_Catalog_v1.xlsx</x:v>
      </x:c>
      <x:c r="F165" s="6" t="str">
        <x:v>01 - Master Services</x:v>
      </x:c>
      <x:c r="G165" s="6" t="n">
        <x:v>204</x:v>
      </x:c>
      <x:c r="H165" s="12" t="str">
        <x:v>Galaxy S4 Battery Replacement</x:v>
      </x:c>
      <x:c r="I165" s="12" t="str">
        <x:v>galaxy s4 battery replacement</x:v>
      </x:c>
      <x:c r="J165" s="6" t="str">
        <x:v>SVC000164</x:v>
      </x:c>
      <x:c r="K165" s="12" t="str">
        <x:v>Contextual</x:v>
      </x:c>
      <x:c r="L165" s="12" t="str">
        <x:v>Source service identity preserved for manual review.</x:v>
      </x:c>
    </x:row>
    <x:row r="166">
      <x:c r="A166" s="12" t="str">
        <x:v>EVID-SIR-000165</x:v>
      </x:c>
      <x:c r="B166" s="6" t="str">
        <x:v>SIR-000165</x:v>
      </x:c>
      <x:c r="C166" s="6" t="str">
        <x:v>SVC000165</x:v>
      </x:c>
      <x:c r="D166" s="12" t="str">
        <x:v>Service Identity Observation</x:v>
      </x:c>
      <x:c r="E166" s="6" t="str">
        <x:v>Nocturnix_Master_Services_Catalog_v1.xlsx</x:v>
      </x:c>
      <x:c r="F166" s="6" t="str">
        <x:v>01 - Master Services</x:v>
      </x:c>
      <x:c r="G166" s="6" t="n">
        <x:v>205</x:v>
      </x:c>
      <x:c r="H166" s="12" t="str">
        <x:v>Galaxy S 4 Active Battery Replacement</x:v>
      </x:c>
      <x:c r="I166" s="12" t="str">
        <x:v>galaxy s 4 active battery replacement</x:v>
      </x:c>
      <x:c r="J166" s="6" t="str">
        <x:v>SVC000165</x:v>
      </x:c>
      <x:c r="K166" s="12" t="str">
        <x:v>Contextual</x:v>
      </x:c>
      <x:c r="L166" s="12" t="str">
        <x:v>Source service identity preserved for manual review.</x:v>
      </x:c>
    </x:row>
    <x:row r="167">
      <x:c r="A167" s="12" t="str">
        <x:v>EVID-SIR-000166</x:v>
      </x:c>
      <x:c r="B167" s="6" t="str">
        <x:v>SIR-000166</x:v>
      </x:c>
      <x:c r="C167" s="6" t="str">
        <x:v>SVC000166</x:v>
      </x:c>
      <x:c r="D167" s="12" t="str">
        <x:v>Service Identity Observation</x:v>
      </x:c>
      <x:c r="E167" s="6" t="str">
        <x:v>Nocturnix_Master_Services_Catalog_v1.xlsx</x:v>
      </x:c>
      <x:c r="F167" s="6" t="str">
        <x:v>01 - Master Services</x:v>
      </x:c>
      <x:c r="G167" s="6" t="n">
        <x:v>206</x:v>
      </x:c>
      <x:c r="H167" s="12" t="str">
        <x:v>Galaxy S 5 Battery Replacement</x:v>
      </x:c>
      <x:c r="I167" s="12" t="str">
        <x:v>galaxy s 5 battery replacement</x:v>
      </x:c>
      <x:c r="J167" s="6" t="str">
        <x:v>SVC000166</x:v>
      </x:c>
      <x:c r="K167" s="12" t="str">
        <x:v>Contextual</x:v>
      </x:c>
      <x:c r="L167" s="12" t="str">
        <x:v>Source service identity preserved for manual review.</x:v>
      </x:c>
    </x:row>
    <x:row r="168">
      <x:c r="A168" s="12" t="str">
        <x:v>EVID-SIR-000167</x:v>
      </x:c>
      <x:c r="B168" s="6" t="str">
        <x:v>SIR-000167</x:v>
      </x:c>
      <x:c r="C168" s="6" t="str">
        <x:v>SVC000167</x:v>
      </x:c>
      <x:c r="D168" s="12" t="str">
        <x:v>Service Identity Observation</x:v>
      </x:c>
      <x:c r="E168" s="6" t="str">
        <x:v>Nocturnix_Master_Services_Catalog_v1.xlsx</x:v>
      </x:c>
      <x:c r="F168" s="6" t="str">
        <x:v>01 - Master Services</x:v>
      </x:c>
      <x:c r="G168" s="6" t="n">
        <x:v>207</x:v>
      </x:c>
      <x:c r="H168" s="12" t="str">
        <x:v>iPhone 7+ Battery Replacement</x:v>
      </x:c>
      <x:c r="I168" s="12" t="str">
        <x:v>iphone 7 battery replacement</x:v>
      </x:c>
      <x:c r="J168" s="6" t="str">
        <x:v>SVC000167</x:v>
      </x:c>
      <x:c r="K168" s="12" t="str">
        <x:v>Contextual</x:v>
      </x:c>
      <x:c r="L168" s="12" t="str">
        <x:v>Source service identity preserved for manual review.</x:v>
      </x:c>
    </x:row>
    <x:row r="169">
      <x:c r="A169" s="12" t="str">
        <x:v>EVID-SIR-000168</x:v>
      </x:c>
      <x:c r="B169" s="6" t="str">
        <x:v>SIR-000168</x:v>
      </x:c>
      <x:c r="C169" s="6" t="str">
        <x:v>SVC000168</x:v>
      </x:c>
      <x:c r="D169" s="12" t="str">
        <x:v>Service Identity Observation</x:v>
      </x:c>
      <x:c r="E169" s="6" t="str">
        <x:v>Nocturnix_Master_Services_Catalog_v1.xlsx</x:v>
      </x:c>
      <x:c r="F169" s="6" t="str">
        <x:v>01 - Master Services</x:v>
      </x:c>
      <x:c r="G169" s="6" t="n">
        <x:v>208</x:v>
      </x:c>
      <x:c r="H169" s="12" t="str">
        <x:v>iPhone Battery Replacement</x:v>
      </x:c>
      <x:c r="I169" s="12" t="str">
        <x:v>iphone battery replacement</x:v>
      </x:c>
      <x:c r="J169" s="6" t="str">
        <x:v>SVC000168</x:v>
      </x:c>
      <x:c r="K169" s="12" t="str">
        <x:v>Contextual</x:v>
      </x:c>
      <x:c r="L169" s="12" t="str">
        <x:v>Source service identity preserved for manual review.</x:v>
      </x:c>
    </x:row>
    <x:row r="170">
      <x:c r="A170" s="12" t="str">
        <x:v>EVID-SIR-000169</x:v>
      </x:c>
      <x:c r="B170" s="6" t="str">
        <x:v>SIR-000169</x:v>
      </x:c>
      <x:c r="C170" s="6" t="str">
        <x:v>SVC000169</x:v>
      </x:c>
      <x:c r="D170" s="12" t="str">
        <x:v>Service Identity Observation</x:v>
      </x:c>
      <x:c r="E170" s="6" t="str">
        <x:v>Nocturnix_Master_Services_Catalog_v1.xlsx</x:v>
      </x:c>
      <x:c r="F170" s="6" t="str">
        <x:v>01 - Master Services</x:v>
      </x:c>
      <x:c r="G170" s="6" t="n">
        <x:v>209</x:v>
      </x:c>
      <x:c r="H170" s="12" t="str">
        <x:v>iPhone 3GS Battery Replacement</x:v>
      </x:c>
      <x:c r="I170" s="12" t="str">
        <x:v>iphone 3gs battery replacement</x:v>
      </x:c>
      <x:c r="J170" s="6" t="str">
        <x:v>SVC000169</x:v>
      </x:c>
      <x:c r="K170" s="12" t="str">
        <x:v>Contextual</x:v>
      </x:c>
      <x:c r="L170" s="12" t="str">
        <x:v>Source service identity preserved for manual review.</x:v>
      </x:c>
    </x:row>
    <x:row r="171">
      <x:c r="A171" s="12" t="str">
        <x:v>EVID-SIR-000170</x:v>
      </x:c>
      <x:c r="B171" s="6" t="str">
        <x:v>SIR-000170</x:v>
      </x:c>
      <x:c r="C171" s="6" t="str">
        <x:v>SVC000170</x:v>
      </x:c>
      <x:c r="D171" s="12" t="str">
        <x:v>Service Identity Observation</x:v>
      </x:c>
      <x:c r="E171" s="6" t="str">
        <x:v>Nocturnix_Master_Services_Catalog_v1.xlsx</x:v>
      </x:c>
      <x:c r="F171" s="6" t="str">
        <x:v>01 - Master Services</x:v>
      </x:c>
      <x:c r="G171" s="6" t="n">
        <x:v>210</x:v>
      </x:c>
      <x:c r="H171" s="12" t="str">
        <x:v>iPhone 4S Battery Replacement</x:v>
      </x:c>
      <x:c r="I171" s="12" t="str">
        <x:v>iphone 4s battery replacement</x:v>
      </x:c>
      <x:c r="J171" s="6" t="str">
        <x:v>SVC000170</x:v>
      </x:c>
      <x:c r="K171" s="12" t="str">
        <x:v>Contextual</x:v>
      </x:c>
      <x:c r="L171" s="12" t="str">
        <x:v>Source service identity preserved for manual review.</x:v>
      </x:c>
    </x:row>
    <x:row r="172">
      <x:c r="A172" s="12" t="str">
        <x:v>EVID-SIR-000171</x:v>
      </x:c>
      <x:c r="B172" s="6" t="str">
        <x:v>SIR-000171</x:v>
      </x:c>
      <x:c r="C172" s="6" t="str">
        <x:v>SVC000171</x:v>
      </x:c>
      <x:c r="D172" s="12" t="str">
        <x:v>Service Identity Observation</x:v>
      </x:c>
      <x:c r="E172" s="6" t="str">
        <x:v>Nocturnix_Master_Services_Catalog_v1.xlsx</x:v>
      </x:c>
      <x:c r="F172" s="6" t="str">
        <x:v>01 - Master Services</x:v>
      </x:c>
      <x:c r="G172" s="6" t="n">
        <x:v>211</x:v>
      </x:c>
      <x:c r="H172" s="12" t="str">
        <x:v>iPhone 5 Battery Replacement</x:v>
      </x:c>
      <x:c r="I172" s="12" t="str">
        <x:v>iphone 5 battery replacement</x:v>
      </x:c>
      <x:c r="J172" s="6" t="str">
        <x:v>SVC000171</x:v>
      </x:c>
      <x:c r="K172" s="12" t="str">
        <x:v>Contextual</x:v>
      </x:c>
      <x:c r="L172" s="12" t="str">
        <x:v>Source service identity preserved for manual review.</x:v>
      </x:c>
    </x:row>
    <x:row r="173">
      <x:c r="A173" s="12" t="str">
        <x:v>EVID-SIR-000172</x:v>
      </x:c>
      <x:c r="B173" s="6" t="str">
        <x:v>SIR-000172</x:v>
      </x:c>
      <x:c r="C173" s="6" t="str">
        <x:v>SVC000172</x:v>
      </x:c>
      <x:c r="D173" s="12" t="str">
        <x:v>Service Identity Observation</x:v>
      </x:c>
      <x:c r="E173" s="6" t="str">
        <x:v>Nocturnix_Master_Services_Catalog_v1.xlsx</x:v>
      </x:c>
      <x:c r="F173" s="6" t="str">
        <x:v>01 - Master Services</x:v>
      </x:c>
      <x:c r="G173" s="6" t="n">
        <x:v>212</x:v>
      </x:c>
      <x:c r="H173" s="12" t="str">
        <x:v>iPhone 5C Battery Replacement</x:v>
      </x:c>
      <x:c r="I173" s="12" t="str">
        <x:v>iphone 5c battery replacement</x:v>
      </x:c>
      <x:c r="J173" s="6" t="str">
        <x:v>SVC000172</x:v>
      </x:c>
      <x:c r="K173" s="12" t="str">
        <x:v>Contextual</x:v>
      </x:c>
      <x:c r="L173" s="12" t="str">
        <x:v>Source service identity preserved for manual review.</x:v>
      </x:c>
    </x:row>
    <x:row r="174">
      <x:c r="A174" s="12" t="str">
        <x:v>EVID-SIR-000173</x:v>
      </x:c>
      <x:c r="B174" s="6" t="str">
        <x:v>SIR-000173</x:v>
      </x:c>
      <x:c r="C174" s="6" t="str">
        <x:v>SVC000173</x:v>
      </x:c>
      <x:c r="D174" s="12" t="str">
        <x:v>Service Identity Observation</x:v>
      </x:c>
      <x:c r="E174" s="6" t="str">
        <x:v>Nocturnix_Master_Services_Catalog_v1.xlsx</x:v>
      </x:c>
      <x:c r="F174" s="6" t="str">
        <x:v>01 - Master Services</x:v>
      </x:c>
      <x:c r="G174" s="6" t="n">
        <x:v>213</x:v>
      </x:c>
      <x:c r="H174" s="12" t="str">
        <x:v>iPhone 8+ Battery Replacement</x:v>
      </x:c>
      <x:c r="I174" s="12" t="str">
        <x:v>iphone 8 battery replacement</x:v>
      </x:c>
      <x:c r="J174" s="6" t="str">
        <x:v>SVC000173</x:v>
      </x:c>
      <x:c r="K174" s="12" t="str">
        <x:v>Contextual</x:v>
      </x:c>
      <x:c r="L174" s="12" t="str">
        <x:v>Source service identity preserved for manual review.</x:v>
      </x:c>
    </x:row>
    <x:row r="175">
      <x:c r="A175" s="12" t="str">
        <x:v>EVID-SIR-000174</x:v>
      </x:c>
      <x:c r="B175" s="6" t="str">
        <x:v>SIR-000174</x:v>
      </x:c>
      <x:c r="C175" s="6" t="str">
        <x:v>SVC000174</x:v>
      </x:c>
      <x:c r="D175" s="12" t="str">
        <x:v>Service Identity Observation</x:v>
      </x:c>
      <x:c r="E175" s="6" t="str">
        <x:v>Nocturnix_Master_Services_Catalog_v1.xlsx</x:v>
      </x:c>
      <x:c r="F175" s="6" t="str">
        <x:v>01 - Master Services</x:v>
      </x:c>
      <x:c r="G175" s="6" t="n">
        <x:v>214</x:v>
      </x:c>
      <x:c r="H175" s="12" t="str">
        <x:v>iPhone 6S Battery Replacement</x:v>
      </x:c>
      <x:c r="I175" s="12" t="str">
        <x:v>iphone 6s battery replacement</x:v>
      </x:c>
      <x:c r="J175" s="6" t="str">
        <x:v>SVC000174</x:v>
      </x:c>
      <x:c r="K175" s="12" t="str">
        <x:v>Contextual</x:v>
      </x:c>
      <x:c r="L175" s="12" t="str">
        <x:v>Source service identity preserved for manual review.</x:v>
      </x:c>
    </x:row>
    <x:row r="176">
      <x:c r="A176" s="12" t="str">
        <x:v>EVID-SIR-000175</x:v>
      </x:c>
      <x:c r="B176" s="6" t="str">
        <x:v>SIR-000175</x:v>
      </x:c>
      <x:c r="C176" s="6" t="str">
        <x:v>SVC000175</x:v>
      </x:c>
      <x:c r="D176" s="12" t="str">
        <x:v>Service Identity Observation</x:v>
      </x:c>
      <x:c r="E176" s="6" t="str">
        <x:v>Nocturnix_Master_Services_Catalog_v1.xlsx</x:v>
      </x:c>
      <x:c r="F176" s="6" t="str">
        <x:v>01 - Master Services</x:v>
      </x:c>
      <x:c r="G176" s="6" t="n">
        <x:v>215</x:v>
      </x:c>
      <x:c r="H176" s="12" t="str">
        <x:v>iPhone 8 Battery Replacement</x:v>
      </x:c>
      <x:c r="I176" s="12" t="str">
        <x:v>iphone 8 battery replacement</x:v>
      </x:c>
      <x:c r="J176" s="6" t="str">
        <x:v>SVC000175</x:v>
      </x:c>
      <x:c r="K176" s="12" t="str">
        <x:v>Contextual</x:v>
      </x:c>
      <x:c r="L176" s="12" t="str">
        <x:v>Source service identity preserved for manual review.</x:v>
      </x:c>
    </x:row>
    <x:row r="177">
      <x:c r="A177" s="12" t="str">
        <x:v>EVID-SIR-000176</x:v>
      </x:c>
      <x:c r="B177" s="6" t="str">
        <x:v>SIR-000176</x:v>
      </x:c>
      <x:c r="C177" s="6" t="str">
        <x:v>SVC000176</x:v>
      </x:c>
      <x:c r="D177" s="12" t="str">
        <x:v>Service Identity Observation</x:v>
      </x:c>
      <x:c r="E177" s="6" t="str">
        <x:v>Nocturnix_Master_Services_Catalog_v1.xlsx</x:v>
      </x:c>
      <x:c r="F177" s="6" t="str">
        <x:v>01 - Master Services</x:v>
      </x:c>
      <x:c r="G177" s="6" t="n">
        <x:v>216</x:v>
      </x:c>
      <x:c r="H177" s="12" t="str">
        <x:v>iPhone 6S+ Battery Replacement</x:v>
      </x:c>
      <x:c r="I177" s="12" t="str">
        <x:v>iphone 6s battery replacement</x:v>
      </x:c>
      <x:c r="J177" s="6" t="str">
        <x:v>SVC000176</x:v>
      </x:c>
      <x:c r="K177" s="12" t="str">
        <x:v>Contextual</x:v>
      </x:c>
      <x:c r="L177" s="12" t="str">
        <x:v>Source service identity preserved for manual review.</x:v>
      </x:c>
    </x:row>
    <x:row r="178">
      <x:c r="A178" s="12" t="str">
        <x:v>EVID-SIR-000177</x:v>
      </x:c>
      <x:c r="B178" s="6" t="str">
        <x:v>SIR-000177</x:v>
      </x:c>
      <x:c r="C178" s="6" t="str">
        <x:v>SVC000177</x:v>
      </x:c>
      <x:c r="D178" s="12" t="str">
        <x:v>Service Identity Observation</x:v>
      </x:c>
      <x:c r="E178" s="6" t="str">
        <x:v>Nocturnix_Master_Services_Catalog_v1.xlsx</x:v>
      </x:c>
      <x:c r="F178" s="6" t="str">
        <x:v>01 - Master Services</x:v>
      </x:c>
      <x:c r="G178" s="6" t="n">
        <x:v>217</x:v>
      </x:c>
      <x:c r="H178" s="12" t="str">
        <x:v>iPhone 6S+ Battery Replacement</x:v>
      </x:c>
      <x:c r="I178" s="12" t="str">
        <x:v>iphone 6s battery replacement</x:v>
      </x:c>
      <x:c r="J178" s="6" t="str">
        <x:v>SVC000177</x:v>
      </x:c>
      <x:c r="K178" s="12" t="str">
        <x:v>Contextual</x:v>
      </x:c>
      <x:c r="L178" s="12" t="str">
        <x:v>Source service identity preserved for manual review.</x:v>
      </x:c>
    </x:row>
    <x:row r="179">
      <x:c r="A179" s="12" t="str">
        <x:v>EVID-SIR-000178</x:v>
      </x:c>
      <x:c r="B179" s="6" t="str">
        <x:v>SIR-000178</x:v>
      </x:c>
      <x:c r="C179" s="6" t="str">
        <x:v>SVC000178</x:v>
      </x:c>
      <x:c r="D179" s="12" t="str">
        <x:v>Service Identity Observation</x:v>
      </x:c>
      <x:c r="E179" s="6" t="str">
        <x:v>Nocturnix_Master_Services_Catalog_v1.xlsx</x:v>
      </x:c>
      <x:c r="F179" s="6" t="str">
        <x:v>01 - Master Services</x:v>
      </x:c>
      <x:c r="G179" s="6" t="n">
        <x:v>218</x:v>
      </x:c>
      <x:c r="H179" s="12" t="str">
        <x:v>iPhone 5S Battery Replacement</x:v>
      </x:c>
      <x:c r="I179" s="12" t="str">
        <x:v>iphone 5s battery replacement</x:v>
      </x:c>
      <x:c r="J179" s="6" t="str">
        <x:v>SVC000178</x:v>
      </x:c>
      <x:c r="K179" s="12" t="str">
        <x:v>Contextual</x:v>
      </x:c>
      <x:c r="L179" s="12" t="str">
        <x:v>Source service identity preserved for manual review.</x:v>
      </x:c>
    </x:row>
    <x:row r="180">
      <x:c r="A180" s="12" t="str">
        <x:v>EVID-SIR-000179</x:v>
      </x:c>
      <x:c r="B180" s="6" t="str">
        <x:v>SIR-000179</x:v>
      </x:c>
      <x:c r="C180" s="6" t="str">
        <x:v>SVC000179</x:v>
      </x:c>
      <x:c r="D180" s="12" t="str">
        <x:v>Service Identity Observation</x:v>
      </x:c>
      <x:c r="E180" s="6" t="str">
        <x:v>Nocturnix_Master_Services_Catalog_v1.xlsx</x:v>
      </x:c>
      <x:c r="F180" s="6" t="str">
        <x:v>01 - Master Services</x:v>
      </x:c>
      <x:c r="G180" s="6" t="n">
        <x:v>219</x:v>
      </x:c>
      <x:c r="H180" s="12" t="str">
        <x:v>iPhone 14 Battery Replacement</x:v>
      </x:c>
      <x:c r="I180" s="12" t="str">
        <x:v>iphone 14 battery replacement</x:v>
      </x:c>
      <x:c r="J180" s="6" t="str">
        <x:v>SVC000179</x:v>
      </x:c>
      <x:c r="K180" s="12" t="str">
        <x:v>Contextual</x:v>
      </x:c>
      <x:c r="L180" s="12" t="str">
        <x:v>Source service identity preserved for manual review.</x:v>
      </x:c>
    </x:row>
    <x:row r="181">
      <x:c r="A181" s="12" t="str">
        <x:v>EVID-SIR-000180</x:v>
      </x:c>
      <x:c r="B181" s="6" t="str">
        <x:v>SIR-000180</x:v>
      </x:c>
      <x:c r="C181" s="6" t="str">
        <x:v>SVC000180</x:v>
      </x:c>
      <x:c r="D181" s="12" t="str">
        <x:v>Service Identity Observation</x:v>
      </x:c>
      <x:c r="E181" s="6" t="str">
        <x:v>Nocturnix_Master_Services_Catalog_v1.xlsx</x:v>
      </x:c>
      <x:c r="F181" s="6" t="str">
        <x:v>01 - Master Services</x:v>
      </x:c>
      <x:c r="G181" s="6" t="n">
        <x:v>220</x:v>
      </x:c>
      <x:c r="H181" s="12" t="str">
        <x:v>iPhone 6+ Battery Replacement</x:v>
      </x:c>
      <x:c r="I181" s="12" t="str">
        <x:v>iphone 6 battery replacement</x:v>
      </x:c>
      <x:c r="J181" s="6" t="str">
        <x:v>SVC000180</x:v>
      </x:c>
      <x:c r="K181" s="12" t="str">
        <x:v>Contextual</x:v>
      </x:c>
      <x:c r="L181" s="12" t="str">
        <x:v>Source service identity preserved for manual review.</x:v>
      </x:c>
    </x:row>
    <x:row r="182">
      <x:c r="A182" s="12" t="str">
        <x:v>EVID-SIR-000181</x:v>
      </x:c>
      <x:c r="B182" s="6" t="str">
        <x:v>SIR-000181</x:v>
      </x:c>
      <x:c r="C182" s="6" t="str">
        <x:v>SVC000181</x:v>
      </x:c>
      <x:c r="D182" s="12" t="str">
        <x:v>Service Identity Observation</x:v>
      </x:c>
      <x:c r="E182" s="6" t="str">
        <x:v>Nocturnix_Master_Services_Catalog_v1.xlsx</x:v>
      </x:c>
      <x:c r="F182" s="6" t="str">
        <x:v>01 - Master Services</x:v>
      </x:c>
      <x:c r="G182" s="6" t="n">
        <x:v>221</x:v>
      </x:c>
      <x:c r="H182" s="12" t="str">
        <x:v>iPhone 16E Battery Replacement</x:v>
      </x:c>
      <x:c r="I182" s="12" t="str">
        <x:v>iphone 16e battery replacement</x:v>
      </x:c>
      <x:c r="J182" s="6" t="str">
        <x:v>SVC000181</x:v>
      </x:c>
      <x:c r="K182" s="12" t="str">
        <x:v>Contextual</x:v>
      </x:c>
      <x:c r="L182" s="12" t="str">
        <x:v>Source service identity preserved for manual review.</x:v>
      </x:c>
    </x:row>
    <x:row r="183">
      <x:c r="A183" s="12" t="str">
        <x:v>EVID-SIR-000182</x:v>
      </x:c>
      <x:c r="B183" s="6" t="str">
        <x:v>SIR-000182</x:v>
      </x:c>
      <x:c r="C183" s="6" t="str">
        <x:v>SVC000182</x:v>
      </x:c>
      <x:c r="D183" s="12" t="str">
        <x:v>Service Identity Observation</x:v>
      </x:c>
      <x:c r="E183" s="6" t="str">
        <x:v>Nocturnix_Master_Services_Catalog_v1.xlsx</x:v>
      </x:c>
      <x:c r="F183" s="6" t="str">
        <x:v>01 - Master Services</x:v>
      </x:c>
      <x:c r="G183" s="6" t="n">
        <x:v>222</x:v>
      </x:c>
      <x:c r="H183" s="12" t="str">
        <x:v>iPhone 17 Battery Replacement</x:v>
      </x:c>
      <x:c r="I183" s="12" t="str">
        <x:v>iphone 17 battery replacement</x:v>
      </x:c>
      <x:c r="J183" s="6" t="str">
        <x:v>SVC000182</x:v>
      </x:c>
      <x:c r="K183" s="12" t="str">
        <x:v>Contextual</x:v>
      </x:c>
      <x:c r="L183" s="12" t="str">
        <x:v>Source service identity preserved for manual review.</x:v>
      </x:c>
    </x:row>
    <x:row r="184">
      <x:c r="A184" s="12" t="str">
        <x:v>EVID-SIR-000183</x:v>
      </x:c>
      <x:c r="B184" s="6" t="str">
        <x:v>SIR-000183</x:v>
      </x:c>
      <x:c r="C184" s="6" t="str">
        <x:v>SVC000183</x:v>
      </x:c>
      <x:c r="D184" s="12" t="str">
        <x:v>Service Identity Observation</x:v>
      </x:c>
      <x:c r="E184" s="6" t="str">
        <x:v>Nocturnix_Master_Services_Catalog_v1.xlsx</x:v>
      </x:c>
      <x:c r="F184" s="6" t="str">
        <x:v>01 - Master Services</x:v>
      </x:c>
      <x:c r="G184" s="6" t="n">
        <x:v>223</x:v>
      </x:c>
      <x:c r="H184" s="12" t="str">
        <x:v>iPhone 16 Plus Battery Replacement</x:v>
      </x:c>
      <x:c r="I184" s="12" t="str">
        <x:v>iphone 16 plus battery replacement</x:v>
      </x:c>
      <x:c r="J184" s="6" t="str">
        <x:v>SVC000183</x:v>
      </x:c>
      <x:c r="K184" s="12" t="str">
        <x:v>Contextual</x:v>
      </x:c>
      <x:c r="L184" s="12" t="str">
        <x:v>Source service identity preserved for manual review.</x:v>
      </x:c>
    </x:row>
    <x:row r="185">
      <x:c r="A185" s="12" t="str">
        <x:v>EVID-SIR-000184</x:v>
      </x:c>
      <x:c r="B185" s="6" t="str">
        <x:v>SIR-000184</x:v>
      </x:c>
      <x:c r="C185" s="6" t="str">
        <x:v>SVC000184</x:v>
      </x:c>
      <x:c r="D185" s="12" t="str">
        <x:v>Service Identity Observation</x:v>
      </x:c>
      <x:c r="E185" s="6" t="str">
        <x:v>Nocturnix_Master_Services_Catalog_v1.xlsx</x:v>
      </x:c>
      <x:c r="F185" s="6" t="str">
        <x:v>01 - Master Services</x:v>
      </x:c>
      <x:c r="G185" s="6" t="n">
        <x:v>224</x:v>
      </x:c>
      <x:c r="H185" s="12" t="str">
        <x:v>iPhone 16 Pro Max Battery Replacement</x:v>
      </x:c>
      <x:c r="I185" s="12" t="str">
        <x:v>iphone 16 pro max battery replacement</x:v>
      </x:c>
      <x:c r="J185" s="6" t="str">
        <x:v>SVC000184</x:v>
      </x:c>
      <x:c r="K185" s="12" t="str">
        <x:v>Contextual</x:v>
      </x:c>
      <x:c r="L185" s="12" t="str">
        <x:v>Source service identity preserved for manual review.</x:v>
      </x:c>
    </x:row>
    <x:row r="186">
      <x:c r="A186" s="12" t="str">
        <x:v>EVID-SIR-000185</x:v>
      </x:c>
      <x:c r="B186" s="6" t="str">
        <x:v>SIR-000185</x:v>
      </x:c>
      <x:c r="C186" s="6" t="str">
        <x:v>SVC000185</x:v>
      </x:c>
      <x:c r="D186" s="12" t="str">
        <x:v>Service Identity Observation</x:v>
      </x:c>
      <x:c r="E186" s="6" t="str">
        <x:v>Nocturnix_Master_Services_Catalog_v1.xlsx</x:v>
      </x:c>
      <x:c r="F186" s="6" t="str">
        <x:v>01 - Master Services</x:v>
      </x:c>
      <x:c r="G186" s="6" t="n">
        <x:v>225</x:v>
      </x:c>
      <x:c r="H186" s="12" t="str">
        <x:v>iPhone 16 Battery Replacement</x:v>
      </x:c>
      <x:c r="I186" s="12" t="str">
        <x:v>iphone 16 battery replacement</x:v>
      </x:c>
      <x:c r="J186" s="6" t="str">
        <x:v>SVC000185</x:v>
      </x:c>
      <x:c r="K186" s="12" t="str">
        <x:v>Contextual</x:v>
      </x:c>
      <x:c r="L186" s="12" t="str">
        <x:v>Source service identity preserved for manual review.</x:v>
      </x:c>
    </x:row>
    <x:row r="187">
      <x:c r="A187" s="12" t="str">
        <x:v>EVID-SIR-000186</x:v>
      </x:c>
      <x:c r="B187" s="6" t="str">
        <x:v>SIR-000186</x:v>
      </x:c>
      <x:c r="C187" s="6" t="str">
        <x:v>SVC000186</x:v>
      </x:c>
      <x:c r="D187" s="12" t="str">
        <x:v>Service Identity Observation</x:v>
      </x:c>
      <x:c r="E187" s="6" t="str">
        <x:v>Nocturnix_Master_Services_Catalog_v1.xlsx</x:v>
      </x:c>
      <x:c r="F187" s="6" t="str">
        <x:v>01 - Master Services</x:v>
      </x:c>
      <x:c r="G187" s="6" t="n">
        <x:v>226</x:v>
      </x:c>
      <x:c r="H187" s="12" t="str">
        <x:v>iPhone 15 Pro Max Battery Replacement</x:v>
      </x:c>
      <x:c r="I187" s="12" t="str">
        <x:v>iphone 15 pro max battery replacement</x:v>
      </x:c>
      <x:c r="J187" s="6" t="str">
        <x:v>SVC000186</x:v>
      </x:c>
      <x:c r="K187" s="12" t="str">
        <x:v>Contextual</x:v>
      </x:c>
      <x:c r="L187" s="12" t="str">
        <x:v>Source service identity preserved for manual review.</x:v>
      </x:c>
    </x:row>
    <x:row r="188">
      <x:c r="A188" s="12" t="str">
        <x:v>EVID-SIR-000187</x:v>
      </x:c>
      <x:c r="B188" s="6" t="str">
        <x:v>SIR-000187</x:v>
      </x:c>
      <x:c r="C188" s="6" t="str">
        <x:v>SVC000187</x:v>
      </x:c>
      <x:c r="D188" s="12" t="str">
        <x:v>Service Identity Observation</x:v>
      </x:c>
      <x:c r="E188" s="6" t="str">
        <x:v>Nocturnix_Master_Services_Catalog_v1.xlsx</x:v>
      </x:c>
      <x:c r="F188" s="6" t="str">
        <x:v>01 - Master Services</x:v>
      </x:c>
      <x:c r="G188" s="6" t="n">
        <x:v>227</x:v>
      </x:c>
      <x:c r="H188" s="12" t="str">
        <x:v>iPhone 15 Pro Phone Battery Replacement</x:v>
      </x:c>
      <x:c r="I188" s="12" t="str">
        <x:v>iphone 15 pro phone battery replacement</x:v>
      </x:c>
      <x:c r="J188" s="6" t="str">
        <x:v>SVC000187</x:v>
      </x:c>
      <x:c r="K188" s="12" t="str">
        <x:v>Contextual</x:v>
      </x:c>
      <x:c r="L188" s="12" t="str">
        <x:v>Source service identity preserved for manual review.</x:v>
      </x:c>
    </x:row>
    <x:row r="189">
      <x:c r="A189" s="12" t="str">
        <x:v>EVID-SIR-000188</x:v>
      </x:c>
      <x:c r="B189" s="6" t="str">
        <x:v>SIR-000188</x:v>
      </x:c>
      <x:c r="C189" s="6" t="str">
        <x:v>SVC000188</x:v>
      </x:c>
      <x:c r="D189" s="12" t="str">
        <x:v>Service Identity Observation</x:v>
      </x:c>
      <x:c r="E189" s="6" t="str">
        <x:v>Nocturnix_Master_Services_Catalog_v1.xlsx</x:v>
      </x:c>
      <x:c r="F189" s="6" t="str">
        <x:v>01 - Master Services</x:v>
      </x:c>
      <x:c r="G189" s="6" t="n">
        <x:v>228</x:v>
      </x:c>
      <x:c r="H189" s="12" t="str">
        <x:v>iPhone 15 Plus Battery Replacement</x:v>
      </x:c>
      <x:c r="I189" s="12" t="str">
        <x:v>iphone 15 plus battery replacement</x:v>
      </x:c>
      <x:c r="J189" s="6" t="str">
        <x:v>SVC000188</x:v>
      </x:c>
      <x:c r="K189" s="12" t="str">
        <x:v>Contextual</x:v>
      </x:c>
      <x:c r="L189" s="12" t="str">
        <x:v>Source service identity preserved for manual review.</x:v>
      </x:c>
    </x:row>
    <x:row r="190">
      <x:c r="A190" s="12" t="str">
        <x:v>EVID-SIR-000189</x:v>
      </x:c>
      <x:c r="B190" s="6" t="str">
        <x:v>SIR-000189</x:v>
      </x:c>
      <x:c r="C190" s="6" t="str">
        <x:v>SVC000189</x:v>
      </x:c>
      <x:c r="D190" s="12" t="str">
        <x:v>Service Identity Observation</x:v>
      </x:c>
      <x:c r="E190" s="6" t="str">
        <x:v>Nocturnix_Master_Services_Catalog_v1.xlsx</x:v>
      </x:c>
      <x:c r="F190" s="6" t="str">
        <x:v>01 - Master Services</x:v>
      </x:c>
      <x:c r="G190" s="6" t="n">
        <x:v>229</x:v>
      </x:c>
      <x:c r="H190" s="12" t="str">
        <x:v>iPhone 16 Pro Battery Replacement</x:v>
      </x:c>
      <x:c r="I190" s="12" t="str">
        <x:v>iphone 16 pro battery replacement</x:v>
      </x:c>
      <x:c r="J190" s="6" t="str">
        <x:v>SVC000189</x:v>
      </x:c>
      <x:c r="K190" s="12" t="str">
        <x:v>Contextual</x:v>
      </x:c>
      <x:c r="L190" s="12" t="str">
        <x:v>Source service identity preserved for manual review.</x:v>
      </x:c>
    </x:row>
    <x:row r="191">
      <x:c r="A191" s="12" t="str">
        <x:v>EVID-SIR-000190</x:v>
      </x:c>
      <x:c r="B191" s="6" t="str">
        <x:v>SIR-000190</x:v>
      </x:c>
      <x:c r="C191" s="6" t="str">
        <x:v>SVC000190</x:v>
      </x:c>
      <x:c r="D191" s="12" t="str">
        <x:v>Service Identity Observation</x:v>
      </x:c>
      <x:c r="E191" s="6" t="str">
        <x:v>Nocturnix_Master_Services_Catalog_v1.xlsx</x:v>
      </x:c>
      <x:c r="F191" s="6" t="str">
        <x:v>01 - Master Services</x:v>
      </x:c>
      <x:c r="G191" s="6" t="n">
        <x:v>230</x:v>
      </x:c>
      <x:c r="H191" s="12" t="str">
        <x:v>iPhone 15 Battery Replacement</x:v>
      </x:c>
      <x:c r="I191" s="12" t="str">
        <x:v>iphone 15 battery replacement</x:v>
      </x:c>
      <x:c r="J191" s="6" t="str">
        <x:v>SVC000190</x:v>
      </x:c>
      <x:c r="K191" s="12" t="str">
        <x:v>Contextual</x:v>
      </x:c>
      <x:c r="L191" s="12" t="str">
        <x:v>Source service identity preserved for manual review.</x:v>
      </x:c>
    </x:row>
    <x:row r="192">
      <x:c r="A192" s="12" t="str">
        <x:v>EVID-SIR-000191</x:v>
      </x:c>
      <x:c r="B192" s="6" t="str">
        <x:v>SIR-000191</x:v>
      </x:c>
      <x:c r="C192" s="6" t="str">
        <x:v>SVC000191</x:v>
      </x:c>
      <x:c r="D192" s="12" t="str">
        <x:v>Service Identity Observation</x:v>
      </x:c>
      <x:c r="E192" s="6" t="str">
        <x:v>Nocturnix_Master_Services_Catalog_v1.xlsx</x:v>
      </x:c>
      <x:c r="F192" s="6" t="str">
        <x:v>01 - Master Services</x:v>
      </x:c>
      <x:c r="G192" s="6" t="n">
        <x:v>231</x:v>
      </x:c>
      <x:c r="H192" s="12" t="str">
        <x:v>iPhone 14 Pro Battery Replacement</x:v>
      </x:c>
      <x:c r="I192" s="12" t="str">
        <x:v>iphone 14 pro battery replacement</x:v>
      </x:c>
      <x:c r="J192" s="6" t="str">
        <x:v>SVC000191</x:v>
      </x:c>
      <x:c r="K192" s="12" t="str">
        <x:v>Contextual</x:v>
      </x:c>
      <x:c r="L192" s="12" t="str">
        <x:v>Source service identity preserved for manual review.</x:v>
      </x:c>
    </x:row>
    <x:row r="193">
      <x:c r="A193" s="12" t="str">
        <x:v>EVID-SIR-000192</x:v>
      </x:c>
      <x:c r="B193" s="6" t="str">
        <x:v>SIR-000192</x:v>
      </x:c>
      <x:c r="C193" s="6" t="str">
        <x:v>SVC000192</x:v>
      </x:c>
      <x:c r="D193" s="12" t="str">
        <x:v>Service Identity Observation</x:v>
      </x:c>
      <x:c r="E193" s="6" t="str">
        <x:v>Nocturnix_Master_Services_Catalog_v1.xlsx</x:v>
      </x:c>
      <x:c r="F193" s="6" t="str">
        <x:v>01 - Master Services</x:v>
      </x:c>
      <x:c r="G193" s="6" t="n">
        <x:v>232</x:v>
      </x:c>
      <x:c r="H193" s="12" t="str">
        <x:v>iPhone 17 Pro Battery Replacement</x:v>
      </x:c>
      <x:c r="I193" s="12" t="str">
        <x:v>iphone 17 pro battery replacement</x:v>
      </x:c>
      <x:c r="J193" s="6" t="str">
        <x:v>SVC000192</x:v>
      </x:c>
      <x:c r="K193" s="12" t="str">
        <x:v>Contextual</x:v>
      </x:c>
      <x:c r="L193" s="12" t="str">
        <x:v>Source service identity preserved for manual review.</x:v>
      </x:c>
    </x:row>
    <x:row r="194">
      <x:c r="A194" s="12" t="str">
        <x:v>EVID-SIR-000193</x:v>
      </x:c>
      <x:c r="B194" s="6" t="str">
        <x:v>SIR-000193</x:v>
      </x:c>
      <x:c r="C194" s="6" t="str">
        <x:v>SVC000193</x:v>
      </x:c>
      <x:c r="D194" s="12" t="str">
        <x:v>Service Identity Observation</x:v>
      </x:c>
      <x:c r="E194" s="6" t="str">
        <x:v>Nocturnix_Master_Services_Catalog_v1.xlsx</x:v>
      </x:c>
      <x:c r="F194" s="6" t="str">
        <x:v>01 - Master Services</x:v>
      </x:c>
      <x:c r="G194" s="6" t="n">
        <x:v>233</x:v>
      </x:c>
      <x:c r="H194" s="12" t="str">
        <x:v>iPhone 17 Pro Max Phone* Battery Replacement</x:v>
      </x:c>
      <x:c r="I194" s="12" t="str">
        <x:v>iphone 17 pro max phone battery replacement</x:v>
      </x:c>
      <x:c r="J194" s="6" t="str">
        <x:v>SVC000193</x:v>
      </x:c>
      <x:c r="K194" s="12" t="str">
        <x:v>Contextual</x:v>
      </x:c>
      <x:c r="L194" s="12" t="str">
        <x:v>Source service identity preserved for manual review.</x:v>
      </x:c>
    </x:row>
    <x:row r="195">
      <x:c r="A195" s="12" t="str">
        <x:v>EVID-SIR-000194</x:v>
      </x:c>
      <x:c r="B195" s="6" t="str">
        <x:v>SIR-000194</x:v>
      </x:c>
      <x:c r="C195" s="6" t="str">
        <x:v>SVC000194</x:v>
      </x:c>
      <x:c r="D195" s="12" t="str">
        <x:v>Service Identity Observation</x:v>
      </x:c>
      <x:c r="E195" s="6" t="str">
        <x:v>Nocturnix_Master_Services_Catalog_v1.xlsx</x:v>
      </x:c>
      <x:c r="F195" s="6" t="str">
        <x:v>01 - Master Services</x:v>
      </x:c>
      <x:c r="G195" s="6" t="n">
        <x:v>234</x:v>
      </x:c>
      <x:c r="H195" s="12" t="str">
        <x:v>iPhone Air Battery Replacement</x:v>
      </x:c>
      <x:c r="I195" s="12" t="str">
        <x:v>iphone air battery replacement</x:v>
      </x:c>
      <x:c r="J195" s="6" t="str">
        <x:v>SVC000194</x:v>
      </x:c>
      <x:c r="K195" s="12" t="str">
        <x:v>Contextual</x:v>
      </x:c>
      <x:c r="L195" s="12" t="str">
        <x:v>Source service identity preserved for manual review.</x:v>
      </x:c>
    </x:row>
    <x:row r="196">
      <x:c r="A196" s="12" t="str">
        <x:v>EVID-SIR-000195</x:v>
      </x:c>
      <x:c r="B196" s="6" t="str">
        <x:v>SIR-000195</x:v>
      </x:c>
      <x:c r="C196" s="6" t="str">
        <x:v>SVC000195</x:v>
      </x:c>
      <x:c r="D196" s="12" t="str">
        <x:v>Service Identity Observation</x:v>
      </x:c>
      <x:c r="E196" s="6" t="str">
        <x:v>Nocturnix_Master_Services_Catalog_v1.xlsx</x:v>
      </x:c>
      <x:c r="F196" s="6" t="str">
        <x:v>01 - Master Services</x:v>
      </x:c>
      <x:c r="G196" s="6" t="n">
        <x:v>235</x:v>
      </x:c>
      <x:c r="H196" s="12" t="str">
        <x:v>iPhone XR Battery Replacement</x:v>
      </x:c>
      <x:c r="I196" s="12" t="str">
        <x:v>iphone xr battery replacement</x:v>
      </x:c>
      <x:c r="J196" s="6" t="str">
        <x:v>SVC000195</x:v>
      </x:c>
      <x:c r="K196" s="12" t="str">
        <x:v>Contextual</x:v>
      </x:c>
      <x:c r="L196" s="12" t="str">
        <x:v>Source service identity preserved for manual review.</x:v>
      </x:c>
    </x:row>
    <x:row r="197">
      <x:c r="A197" s="12" t="str">
        <x:v>EVID-SIR-000196</x:v>
      </x:c>
      <x:c r="B197" s="6" t="str">
        <x:v>SIR-000196</x:v>
      </x:c>
      <x:c r="C197" s="6" t="str">
        <x:v>SVC000196</x:v>
      </x:c>
      <x:c r="D197" s="12" t="str">
        <x:v>Service Identity Observation</x:v>
      </x:c>
      <x:c r="E197" s="6" t="str">
        <x:v>Nocturnix_Master_Services_Catalog_v1.xlsx</x:v>
      </x:c>
      <x:c r="F197" s="6" t="str">
        <x:v>01 - Master Services</x:v>
      </x:c>
      <x:c r="G197" s="6" t="n">
        <x:v>236</x:v>
      </x:c>
      <x:c r="H197" s="12" t="str">
        <x:v>iPhone XS Max Battery Replacement</x:v>
      </x:c>
      <x:c r="I197" s="12" t="str">
        <x:v>iphone xs max battery replacement</x:v>
      </x:c>
      <x:c r="J197" s="6" t="str">
        <x:v>SVC000196</x:v>
      </x:c>
      <x:c r="K197" s="12" t="str">
        <x:v>Contextual</x:v>
      </x:c>
      <x:c r="L197" s="12" t="str">
        <x:v>Source service identity preserved for manual review.</x:v>
      </x:c>
    </x:row>
    <x:row r="198">
      <x:c r="A198" s="12" t="str">
        <x:v>EVID-SIR-000197</x:v>
      </x:c>
      <x:c r="B198" s="6" t="str">
        <x:v>SIR-000197</x:v>
      </x:c>
      <x:c r="C198" s="6" t="str">
        <x:v>SVC000197</x:v>
      </x:c>
      <x:c r="D198" s="12" t="str">
        <x:v>Service Identity Observation</x:v>
      </x:c>
      <x:c r="E198" s="6" t="str">
        <x:v>Nocturnix_Master_Services_Catalog_v1.xlsx</x:v>
      </x:c>
      <x:c r="F198" s="6" t="str">
        <x:v>01 - Master Services</x:v>
      </x:c>
      <x:c r="G198" s="6" t="n">
        <x:v>237</x:v>
      </x:c>
      <x:c r="H198" s="12" t="str">
        <x:v>iPhone X Battery Replacement</x:v>
      </x:c>
      <x:c r="I198" s="12" t="str">
        <x:v>iphone x battery replacement</x:v>
      </x:c>
      <x:c r="J198" s="6" t="str">
        <x:v>SVC000197</x:v>
      </x:c>
      <x:c r="K198" s="12" t="str">
        <x:v>Contextual</x:v>
      </x:c>
      <x:c r="L198" s="12" t="str">
        <x:v>Source service identity preserved for manual review.</x:v>
      </x:c>
    </x:row>
    <x:row r="199">
      <x:c r="A199" s="12" t="str">
        <x:v>EVID-SIR-000198</x:v>
      </x:c>
      <x:c r="B199" s="6" t="str">
        <x:v>SIR-000198</x:v>
      </x:c>
      <x:c r="C199" s="6" t="str">
        <x:v>SVC000198</x:v>
      </x:c>
      <x:c r="D199" s="12" t="str">
        <x:v>Service Identity Observation</x:v>
      </x:c>
      <x:c r="E199" s="6" t="str">
        <x:v>Nocturnix_Master_Services_Catalog_v1.xlsx</x:v>
      </x:c>
      <x:c r="F199" s="6" t="str">
        <x:v>01 - Master Services</x:v>
      </x:c>
      <x:c r="G199" s="6" t="n">
        <x:v>238</x:v>
      </x:c>
      <x:c r="H199" s="12" t="str">
        <x:v>iPhone SE(1ST GEN) Battery Replacement</x:v>
      </x:c>
      <x:c r="I199" s="12" t="str">
        <x:v>iphone se 1st gen battery replacement</x:v>
      </x:c>
      <x:c r="J199" s="6" t="str">
        <x:v>SVC000198</x:v>
      </x:c>
      <x:c r="K199" s="12" t="str">
        <x:v>Contextual</x:v>
      </x:c>
      <x:c r="L199" s="12" t="str">
        <x:v>Source service identity preserved for manual review.</x:v>
      </x:c>
    </x:row>
    <x:row r="200">
      <x:c r="A200" s="12" t="str">
        <x:v>EVID-SIR-000199</x:v>
      </x:c>
      <x:c r="B200" s="6" t="str">
        <x:v>SIR-000199</x:v>
      </x:c>
      <x:c r="C200" s="6" t="str">
        <x:v>SVC000199</x:v>
      </x:c>
      <x:c r="D200" s="12" t="str">
        <x:v>Service Identity Observation</x:v>
      </x:c>
      <x:c r="E200" s="6" t="str">
        <x:v>Nocturnix_Master_Services_Catalog_v1.xlsx</x:v>
      </x:c>
      <x:c r="F200" s="6" t="str">
        <x:v>01 - Master Services</x:v>
      </x:c>
      <x:c r="G200" s="6" t="n">
        <x:v>239</x:v>
      </x:c>
      <x:c r="H200" s="12" t="str">
        <x:v>iPhone XS Battery Replacement</x:v>
      </x:c>
      <x:c r="I200" s="12" t="str">
        <x:v>iphone xs battery replacement</x:v>
      </x:c>
      <x:c r="J200" s="6" t="str">
        <x:v>SVC000199</x:v>
      </x:c>
      <x:c r="K200" s="12" t="str">
        <x:v>Contextual</x:v>
      </x:c>
      <x:c r="L200" s="12" t="str">
        <x:v>Source service identity preserved for manual review.</x:v>
      </x:c>
    </x:row>
    <x:row r="201">
      <x:c r="A201" s="12" t="str">
        <x:v>EVID-SIR-000200</x:v>
      </x:c>
      <x:c r="B201" s="6" t="str">
        <x:v>SIR-000200</x:v>
      </x:c>
      <x:c r="C201" s="6" t="str">
        <x:v>SVC000200</x:v>
      </x:c>
      <x:c r="D201" s="12" t="str">
        <x:v>Service Identity Observation</x:v>
      </x:c>
      <x:c r="E201" s="6" t="str">
        <x:v>Nocturnix_Master_Services_Catalog_v1.xlsx</x:v>
      </x:c>
      <x:c r="F201" s="6" t="str">
        <x:v>01 - Master Services</x:v>
      </x:c>
      <x:c r="G201" s="6" t="n">
        <x:v>240</x:v>
      </x:c>
      <x:c r="H201" s="12" t="str">
        <x:v>iPhone SE (3RD GEN) Battery Replacement</x:v>
      </x:c>
      <x:c r="I201" s="12" t="str">
        <x:v>iphone se 3rd gen battery replacement</x:v>
      </x:c>
      <x:c r="J201" s="6" t="str">
        <x:v>SVC000200</x:v>
      </x:c>
      <x:c r="K201" s="12" t="str">
        <x:v>Contextual</x:v>
      </x:c>
      <x:c r="L201" s="12" t="str">
        <x:v>Source service identity preserved for manual review.</x:v>
      </x:c>
    </x:row>
    <x:row r="202">
      <x:c r="A202" s="12" t="str">
        <x:v>EVID-SIR-000201</x:v>
      </x:c>
      <x:c r="B202" s="6" t="str">
        <x:v>SIR-000201</x:v>
      </x:c>
      <x:c r="C202" s="6" t="str">
        <x:v>SVC000201</x:v>
      </x:c>
      <x:c r="D202" s="12" t="str">
        <x:v>Service Identity Observation</x:v>
      </x:c>
      <x:c r="E202" s="6" t="str">
        <x:v>Nocturnix_Master_Services_Catalog_v1.xlsx</x:v>
      </x:c>
      <x:c r="F202" s="6" t="str">
        <x:v>01 - Master Services</x:v>
      </x:c>
      <x:c r="G202" s="6" t="n">
        <x:v>241</x:v>
      </x:c>
      <x:c r="H202" s="12" t="str">
        <x:v>iPhone SE (2ND GEN) Battery Replacement</x:v>
      </x:c>
      <x:c r="I202" s="12" t="str">
        <x:v>iphone se 2nd gen battery replacement</x:v>
      </x:c>
      <x:c r="J202" s="6" t="str">
        <x:v>SVC000201</x:v>
      </x:c>
      <x:c r="K202" s="12" t="str">
        <x:v>Contextual</x:v>
      </x:c>
      <x:c r="L202" s="12" t="str">
        <x:v>Source service identity preserved for manual review.</x:v>
      </x:c>
    </x:row>
    <x:row r="203">
      <x:c r="A203" s="12" t="str">
        <x:v>EVID-SIR-000202</x:v>
      </x:c>
      <x:c r="B203" s="6" t="str">
        <x:v>SIR-000202</x:v>
      </x:c>
      <x:c r="C203" s="6" t="str">
        <x:v>SVC000202</x:v>
      </x:c>
      <x:c r="D203" s="12" t="str">
        <x:v>Service Identity Observation</x:v>
      </x:c>
      <x:c r="E203" s="6" t="str">
        <x:v>Nocturnix_Master_Services_Catalog_v1.xlsx</x:v>
      </x:c>
      <x:c r="F203" s="6" t="str">
        <x:v>01 - Master Services</x:v>
      </x:c>
      <x:c r="G203" s="6" t="n">
        <x:v>242</x:v>
      </x:c>
      <x:c r="H203" s="12" t="str">
        <x:v>iPhone 7 Battery Replacement</x:v>
      </x:c>
      <x:c r="I203" s="12" t="str">
        <x:v>iphone 7 battery replacement</x:v>
      </x:c>
      <x:c r="J203" s="6" t="str">
        <x:v>SVC000202</x:v>
      </x:c>
      <x:c r="K203" s="12" t="str">
        <x:v>Contextual</x:v>
      </x:c>
      <x:c r="L203" s="12" t="str">
        <x:v>Source service identity preserved for manual review.</x:v>
      </x:c>
    </x:row>
    <x:row r="204">
      <x:c r="A204" s="12" t="str">
        <x:v>EVID-SIR-000203</x:v>
      </x:c>
      <x:c r="B204" s="6" t="str">
        <x:v>SIR-000203</x:v>
      </x:c>
      <x:c r="C204" s="6" t="str">
        <x:v>SVC000203</x:v>
      </x:c>
      <x:c r="D204" s="12" t="str">
        <x:v>Service Identity Observation</x:v>
      </x:c>
      <x:c r="E204" s="6" t="str">
        <x:v>Nocturnix_Master_Services_Catalog_v1.xlsx</x:v>
      </x:c>
      <x:c r="F204" s="6" t="str">
        <x:v>01 - Master Services</x:v>
      </x:c>
      <x:c r="G204" s="6" t="n">
        <x:v>243</x:v>
      </x:c>
      <x:c r="H204" s="12" t="str">
        <x:v>iPhone 4S Battery Replacement</x:v>
      </x:c>
      <x:c r="I204" s="12" t="str">
        <x:v>iphone 4s battery replacement</x:v>
      </x:c>
      <x:c r="J204" s="6" t="str">
        <x:v>SVC000203</x:v>
      </x:c>
      <x:c r="K204" s="12" t="str">
        <x:v>Contextual</x:v>
      </x:c>
      <x:c r="L204" s="12" t="str">
        <x:v>Source service identity preserved for manual review.</x:v>
      </x:c>
    </x:row>
    <x:row r="205">
      <x:c r="A205" s="12" t="str">
        <x:v>EVID-SIR-000204</x:v>
      </x:c>
      <x:c r="B205" s="6" t="str">
        <x:v>SIR-000204</x:v>
      </x:c>
      <x:c r="C205" s="6" t="str">
        <x:v>SVC000204</x:v>
      </x:c>
      <x:c r="D205" s="12" t="str">
        <x:v>Service Identity Observation</x:v>
      </x:c>
      <x:c r="E205" s="6" t="str">
        <x:v>Nocturnix_Master_Services_Catalog_v1.xlsx</x:v>
      </x:c>
      <x:c r="F205" s="6" t="str">
        <x:v>01 - Master Services</x:v>
      </x:c>
      <x:c r="G205" s="6" t="n">
        <x:v>244</x:v>
      </x:c>
      <x:c r="H205" s="12" t="str">
        <x:v>iPhone 4S Battery Replacement</x:v>
      </x:c>
      <x:c r="I205" s="12" t="str">
        <x:v>iphone 4s battery replacement</x:v>
      </x:c>
      <x:c r="J205" s="6" t="str">
        <x:v>SVC000204</x:v>
      </x:c>
      <x:c r="K205" s="12" t="str">
        <x:v>Contextual</x:v>
      </x:c>
      <x:c r="L205" s="12" t="str">
        <x:v>Source service identity preserved for manual review.</x:v>
      </x:c>
    </x:row>
    <x:row r="206">
      <x:c r="A206" s="12" t="str">
        <x:v>EVID-SIR-000205</x:v>
      </x:c>
      <x:c r="B206" s="6" t="str">
        <x:v>SIR-000205</x:v>
      </x:c>
      <x:c r="C206" s="6" t="str">
        <x:v>SVC000205</x:v>
      </x:c>
      <x:c r="D206" s="12" t="str">
        <x:v>Service Identity Observation</x:v>
      </x:c>
      <x:c r="E206" s="6" t="str">
        <x:v>Nocturnix_Master_Services_Catalog_v1.xlsx</x:v>
      </x:c>
      <x:c r="F206" s="6" t="str">
        <x:v>01 - Master Services</x:v>
      </x:c>
      <x:c r="G206" s="6" t="n">
        <x:v>245</x:v>
      </x:c>
      <x:c r="H206" s="12" t="str">
        <x:v>Galaxy S 25 FE Battery Replacement</x:v>
      </x:c>
      <x:c r="I206" s="12" t="str">
        <x:v>galaxy s 25 fe battery replacement</x:v>
      </x:c>
      <x:c r="J206" s="6" t="str">
        <x:v>SVC000205</x:v>
      </x:c>
      <x:c r="K206" s="12" t="str">
        <x:v>Contextual</x:v>
      </x:c>
      <x:c r="L206" s="12" t="str">
        <x:v>Source service identity preserved for manual review.</x:v>
      </x:c>
    </x:row>
    <x:row r="207">
      <x:c r="A207" s="12" t="str">
        <x:v>EVID-SIR-000206</x:v>
      </x:c>
      <x:c r="B207" s="6" t="str">
        <x:v>SIR-000206</x:v>
      </x:c>
      <x:c r="C207" s="6" t="str">
        <x:v>SVC000206</x:v>
      </x:c>
      <x:c r="D207" s="12" t="str">
        <x:v>Service Identity Observation</x:v>
      </x:c>
      <x:c r="E207" s="6" t="str">
        <x:v>Nocturnix_Master_Services_Catalog_v1.xlsx</x:v>
      </x:c>
      <x:c r="F207" s="6" t="str">
        <x:v>01 - Master Services</x:v>
      </x:c>
      <x:c r="G207" s="6" t="n">
        <x:v>246</x:v>
      </x:c>
      <x:c r="H207" s="12" t="str">
        <x:v>iPhone 6 Battery Replacement</x:v>
      </x:c>
      <x:c r="I207" s="12" t="str">
        <x:v>iphone 6 battery replacement</x:v>
      </x:c>
      <x:c r="J207" s="6" t="str">
        <x:v>SVC000206</x:v>
      </x:c>
      <x:c r="K207" s="12" t="str">
        <x:v>Contextual</x:v>
      </x:c>
      <x:c r="L207" s="12" t="str">
        <x:v>Source service identity preserved for manual review.</x:v>
      </x:c>
    </x:row>
    <x:row r="208">
      <x:c r="A208" s="12" t="str">
        <x:v>EVID-SIR-000207</x:v>
      </x:c>
      <x:c r="B208" s="6" t="str">
        <x:v>SIR-000207</x:v>
      </x:c>
      <x:c r="C208" s="6" t="str">
        <x:v>SVC000207</x:v>
      </x:c>
      <x:c r="D208" s="12" t="str">
        <x:v>Service Identity Observation</x:v>
      </x:c>
      <x:c r="E208" s="6" t="str">
        <x:v>Nocturnix_Master_Services_Catalog_v1.xlsx</x:v>
      </x:c>
      <x:c r="F208" s="6" t="str">
        <x:v>01 - Master Services</x:v>
      </x:c>
      <x:c r="G208" s="6" t="n">
        <x:v>247</x:v>
      </x:c>
      <x:c r="H208" s="12" t="str">
        <x:v>iPhone 6 Battery Replacement</x:v>
      </x:c>
      <x:c r="I208" s="12" t="str">
        <x:v>iphone 6 battery replacement</x:v>
      </x:c>
      <x:c r="J208" s="6" t="str">
        <x:v>SVC000207</x:v>
      </x:c>
      <x:c r="K208" s="12" t="str">
        <x:v>Contextual</x:v>
      </x:c>
      <x:c r="L208" s="12" t="str">
        <x:v>Source service identity preserved for manual review.</x:v>
      </x:c>
    </x:row>
    <x:row r="209">
      <x:c r="A209" s="12" t="str">
        <x:v>EVID-SIR-000208</x:v>
      </x:c>
      <x:c r="B209" s="6" t="str">
        <x:v>SIR-000208</x:v>
      </x:c>
      <x:c r="C209" s="6" t="str">
        <x:v>SVC000208</x:v>
      </x:c>
      <x:c r="D209" s="12" t="str">
        <x:v>Service Identity Observation</x:v>
      </x:c>
      <x:c r="E209" s="6" t="str">
        <x:v>Nocturnix_Master_Services_Catalog_v1.xlsx</x:v>
      </x:c>
      <x:c r="F209" s="6" t="str">
        <x:v>01 - Master Services</x:v>
      </x:c>
      <x:c r="G209" s="6" t="n">
        <x:v>248</x:v>
      </x:c>
      <x:c r="H209" s="12" t="str">
        <x:v>Galaxy Note 8 Battery Replacement</x:v>
      </x:c>
      <x:c r="I209" s="12" t="str">
        <x:v>galaxy note 8 battery replacement</x:v>
      </x:c>
      <x:c r="J209" s="6" t="str">
        <x:v>SVC000208</x:v>
      </x:c>
      <x:c r="K209" s="12" t="str">
        <x:v>Contextual</x:v>
      </x:c>
      <x:c r="L209" s="12" t="str">
        <x:v>Source service identity preserved for manual review.</x:v>
      </x:c>
    </x:row>
    <x:row r="210">
      <x:c r="A210" s="12" t="str">
        <x:v>EVID-SIR-000209</x:v>
      </x:c>
      <x:c r="B210" s="6" t="str">
        <x:v>SIR-000209</x:v>
      </x:c>
      <x:c r="C210" s="6" t="str">
        <x:v>SVC000209</x:v>
      </x:c>
      <x:c r="D210" s="12" t="str">
        <x:v>Service Identity Observation</x:v>
      </x:c>
      <x:c r="E210" s="6" t="str">
        <x:v>Nocturnix_Master_Services_Catalog_v1.xlsx</x:v>
      </x:c>
      <x:c r="F210" s="6" t="str">
        <x:v>01 - Master Services</x:v>
      </x:c>
      <x:c r="G210" s="6" t="n">
        <x:v>249</x:v>
      </x:c>
      <x:c r="H210" s="12" t="str">
        <x:v>Galaxy S 22 Battery Replacement</x:v>
      </x:c>
      <x:c r="I210" s="12" t="str">
        <x:v>galaxy s 22 battery replacement</x:v>
      </x:c>
      <x:c r="J210" s="6" t="str">
        <x:v>SVC000209</x:v>
      </x:c>
      <x:c r="K210" s="12" t="str">
        <x:v>Contextual</x:v>
      </x:c>
      <x:c r="L210" s="12" t="str">
        <x:v>Source service identity preserved for manual review.</x:v>
      </x:c>
    </x:row>
    <x:row r="211">
      <x:c r="A211" s="12" t="str">
        <x:v>EVID-SIR-000210</x:v>
      </x:c>
      <x:c r="B211" s="6" t="str">
        <x:v>SIR-000210</x:v>
      </x:c>
      <x:c r="C211" s="6" t="str">
        <x:v>SVC000210</x:v>
      </x:c>
      <x:c r="D211" s="12" t="str">
        <x:v>Service Identity Observation</x:v>
      </x:c>
      <x:c r="E211" s="6" t="str">
        <x:v>Nocturnix_Master_Services_Catalog_v1.xlsx</x:v>
      </x:c>
      <x:c r="F211" s="6" t="str">
        <x:v>01 - Master Services</x:v>
      </x:c>
      <x:c r="G211" s="6" t="n">
        <x:v>250</x:v>
      </x:c>
      <x:c r="H211" s="12" t="str">
        <x:v>iPhone 3G Battery Replacement</x:v>
      </x:c>
      <x:c r="I211" s="12" t="str">
        <x:v>iphone 3g battery replacement</x:v>
      </x:c>
      <x:c r="J211" s="6" t="str">
        <x:v>SVC000210</x:v>
      </x:c>
      <x:c r="K211" s="12" t="str">
        <x:v>Contextual</x:v>
      </x:c>
      <x:c r="L211" s="12" t="str">
        <x:v>Source service identity preserved for manual review.</x:v>
      </x:c>
    </x:row>
    <x:row r="212">
      <x:c r="A212" s="12" t="str">
        <x:v>EVID-SIR-000211</x:v>
      </x:c>
      <x:c r="B212" s="6" t="str">
        <x:v>SIR-000211</x:v>
      </x:c>
      <x:c r="C212" s="6" t="str">
        <x:v>SVC000211</x:v>
      </x:c>
      <x:c r="D212" s="12" t="str">
        <x:v>Service Identity Observation</x:v>
      </x:c>
      <x:c r="E212" s="6" t="str">
        <x:v>Nocturnix_Master_Services_Catalog_v1.xlsx</x:v>
      </x:c>
      <x:c r="F212" s="6" t="str">
        <x:v>01 - Master Services</x:v>
      </x:c>
      <x:c r="G212" s="6" t="n">
        <x:v>251</x:v>
      </x:c>
      <x:c r="H212" s="12" t="str">
        <x:v>iPhone 11 Battery Replacement</x:v>
      </x:c>
      <x:c r="I212" s="12" t="str">
        <x:v>iphone 11 battery replacement</x:v>
      </x:c>
      <x:c r="J212" s="6" t="str">
        <x:v>SVC000211</x:v>
      </x:c>
      <x:c r="K212" s="12" t="str">
        <x:v>Contextual</x:v>
      </x:c>
      <x:c r="L212" s="12" t="str">
        <x:v>Source service identity preserved for manual review.</x:v>
      </x:c>
    </x:row>
    <x:row r="213">
      <x:c r="A213" s="12" t="str">
        <x:v>EVID-SIR-000212</x:v>
      </x:c>
      <x:c r="B213" s="6" t="str">
        <x:v>SIR-000212</x:v>
      </x:c>
      <x:c r="C213" s="6" t="str">
        <x:v>SVC000212</x:v>
      </x:c>
      <x:c r="D213" s="12" t="str">
        <x:v>Service Identity Observation</x:v>
      </x:c>
      <x:c r="E213" s="6" t="str">
        <x:v>Nocturnix_Master_Services_Catalog_v1.xlsx</x:v>
      </x:c>
      <x:c r="F213" s="6" t="str">
        <x:v>01 - Master Services</x:v>
      </x:c>
      <x:c r="G213" s="6" t="n">
        <x:v>252</x:v>
      </x:c>
      <x:c r="H213" s="12" t="str">
        <x:v>iPhone 11 Pro Battery Replacement</x:v>
      </x:c>
      <x:c r="I213" s="12" t="str">
        <x:v>iphone 11 pro battery replacement</x:v>
      </x:c>
      <x:c r="J213" s="6" t="str">
        <x:v>SVC000212</x:v>
      </x:c>
      <x:c r="K213" s="12" t="str">
        <x:v>Contextual</x:v>
      </x:c>
      <x:c r="L213" s="12" t="str">
        <x:v>Source service identity preserved for manual review.</x:v>
      </x:c>
    </x:row>
    <x:row r="214">
      <x:c r="A214" s="12" t="str">
        <x:v>EVID-SIR-000213</x:v>
      </x:c>
      <x:c r="B214" s="6" t="str">
        <x:v>SIR-000213</x:v>
      </x:c>
      <x:c r="C214" s="6" t="str">
        <x:v>SVC000213</x:v>
      </x:c>
      <x:c r="D214" s="12" t="str">
        <x:v>Service Identity Observation</x:v>
      </x:c>
      <x:c r="E214" s="6" t="str">
        <x:v>Nocturnix_Master_Services_Catalog_v1.xlsx</x:v>
      </x:c>
      <x:c r="F214" s="6" t="str">
        <x:v>01 - Master Services</x:v>
      </x:c>
      <x:c r="G214" s="6" t="n">
        <x:v>253</x:v>
      </x:c>
      <x:c r="H214" s="12" t="str">
        <x:v>iPhone 11 Pro Max Battery Replacement</x:v>
      </x:c>
      <x:c r="I214" s="12" t="str">
        <x:v>iphone 11 pro max battery replacement</x:v>
      </x:c>
      <x:c r="J214" s="6" t="str">
        <x:v>SVC000213</x:v>
      </x:c>
      <x:c r="K214" s="12" t="str">
        <x:v>Contextual</x:v>
      </x:c>
      <x:c r="L214" s="12" t="str">
        <x:v>Source service identity preserved for manual review.</x:v>
      </x:c>
    </x:row>
    <x:row r="215">
      <x:c r="A215" s="12" t="str">
        <x:v>EVID-SIR-000214</x:v>
      </x:c>
      <x:c r="B215" s="6" t="str">
        <x:v>SIR-000214</x:v>
      </x:c>
      <x:c r="C215" s="6" t="str">
        <x:v>SVC000214</x:v>
      </x:c>
      <x:c r="D215" s="12" t="str">
        <x:v>Service Identity Observation</x:v>
      </x:c>
      <x:c r="E215" s="6" t="str">
        <x:v>Nocturnix_Master_Services_Catalog_v1.xlsx</x:v>
      </x:c>
      <x:c r="F215" s="6" t="str">
        <x:v>01 - Master Services</x:v>
      </x:c>
      <x:c r="G215" s="6" t="n">
        <x:v>254</x:v>
      </x:c>
      <x:c r="H215" s="12" t="str">
        <x:v>iPhone Charge Port Replacement</x:v>
      </x:c>
      <x:c r="I215" s="12" t="str">
        <x:v>iphone charge port replacement</x:v>
      </x:c>
      <x:c r="J215" s="6" t="str">
        <x:v>SVC000214</x:v>
      </x:c>
      <x:c r="K215" s="12" t="str">
        <x:v>Contextual</x:v>
      </x:c>
      <x:c r="L215" s="12" t="str">
        <x:v>Source service identity preserved for manual review.</x:v>
      </x:c>
    </x:row>
    <x:row r="216">
      <x:c r="A216" s="12" t="str">
        <x:v>EVID-SIR-000215</x:v>
      </x:c>
      <x:c r="B216" s="6" t="str">
        <x:v>SIR-000215</x:v>
      </x:c>
      <x:c r="C216" s="6" t="str">
        <x:v>SVC000215</x:v>
      </x:c>
      <x:c r="D216" s="12" t="str">
        <x:v>Service Identity Observation</x:v>
      </x:c>
      <x:c r="E216" s="6" t="str">
        <x:v>Nocturnix_Master_Services_Catalog_v1.xlsx</x:v>
      </x:c>
      <x:c r="F216" s="6" t="str">
        <x:v>01 - Master Services</x:v>
      </x:c>
      <x:c r="G216" s="6" t="n">
        <x:v>255</x:v>
      </x:c>
      <x:c r="H216" s="12" t="str">
        <x:v>iPhone 3G Charge Port Replacement</x:v>
      </x:c>
      <x:c r="I216" s="12" t="str">
        <x:v>iphone 3g charge port replacement</x:v>
      </x:c>
      <x:c r="J216" s="6" t="str">
        <x:v>SVC000215</x:v>
      </x:c>
      <x:c r="K216" s="12" t="str">
        <x:v>Contextual</x:v>
      </x:c>
      <x:c r="L216" s="12" t="str">
        <x:v>Source service identity preserved for manual review.</x:v>
      </x:c>
    </x:row>
    <x:row r="217">
      <x:c r="A217" s="12" t="str">
        <x:v>EVID-SIR-000216</x:v>
      </x:c>
      <x:c r="B217" s="6" t="str">
        <x:v>SIR-000216</x:v>
      </x:c>
      <x:c r="C217" s="6" t="str">
        <x:v>SVC000216</x:v>
      </x:c>
      <x:c r="D217" s="12" t="str">
        <x:v>Service Identity Observation</x:v>
      </x:c>
      <x:c r="E217" s="6" t="str">
        <x:v>Nocturnix_Master_Services_Catalog_v1.xlsx</x:v>
      </x:c>
      <x:c r="F217" s="6" t="str">
        <x:v>01 - Master Services</x:v>
      </x:c>
      <x:c r="G217" s="6" t="n">
        <x:v>256</x:v>
      </x:c>
      <x:c r="H217" s="12" t="str">
        <x:v>iPhone 3GS Charge Port Replacement</x:v>
      </x:c>
      <x:c r="I217" s="12" t="str">
        <x:v>iphone 3gs charge port replacement</x:v>
      </x:c>
      <x:c r="J217" s="6" t="str">
        <x:v>SVC000216</x:v>
      </x:c>
      <x:c r="K217" s="12" t="str">
        <x:v>Contextual</x:v>
      </x:c>
      <x:c r="L217" s="12" t="str">
        <x:v>Source service identity preserved for manual review.</x:v>
      </x:c>
    </x:row>
    <x:row r="218">
      <x:c r="A218" s="12" t="str">
        <x:v>EVID-SIR-000217</x:v>
      </x:c>
      <x:c r="B218" s="6" t="str">
        <x:v>SIR-000217</x:v>
      </x:c>
      <x:c r="C218" s="6" t="str">
        <x:v>SVC000217</x:v>
      </x:c>
      <x:c r="D218" s="12" t="str">
        <x:v>Service Identity Observation</x:v>
      </x:c>
      <x:c r="E218" s="6" t="str">
        <x:v>Nocturnix_Master_Services_Catalog_v1.xlsx</x:v>
      </x:c>
      <x:c r="F218" s="6" t="str">
        <x:v>01 - Master Services</x:v>
      </x:c>
      <x:c r="G218" s="6" t="n">
        <x:v>257</x:v>
      </x:c>
      <x:c r="H218" s="12" t="str">
        <x:v>iPhone 4S Charge Port Replacement</x:v>
      </x:c>
      <x:c r="I218" s="12" t="str">
        <x:v>iphone 4s charge port replacement</x:v>
      </x:c>
      <x:c r="J218" s="6" t="str">
        <x:v>SVC000217</x:v>
      </x:c>
      <x:c r="K218" s="12" t="str">
        <x:v>Contextual</x:v>
      </x:c>
      <x:c r="L218" s="12" t="str">
        <x:v>Source service identity preserved for manual review.</x:v>
      </x:c>
    </x:row>
    <x:row r="219">
      <x:c r="A219" s="12" t="str">
        <x:v>EVID-SIR-000218</x:v>
      </x:c>
      <x:c r="B219" s="6" t="str">
        <x:v>SIR-000218</x:v>
      </x:c>
      <x:c r="C219" s="6" t="str">
        <x:v>SVC000218</x:v>
      </x:c>
      <x:c r="D219" s="12" t="str">
        <x:v>Service Identity Observation</x:v>
      </x:c>
      <x:c r="E219" s="6" t="str">
        <x:v>Nocturnix_Master_Services_Catalog_v1.xlsx</x:v>
      </x:c>
      <x:c r="F219" s="6" t="str">
        <x:v>01 - Master Services</x:v>
      </x:c>
      <x:c r="G219" s="6" t="n">
        <x:v>258</x:v>
      </x:c>
      <x:c r="H219" s="12" t="str">
        <x:v>iPhone 4S Charge Port Replacement</x:v>
      </x:c>
      <x:c r="I219" s="12" t="str">
        <x:v>iphone 4s charge port replacement</x:v>
      </x:c>
      <x:c r="J219" s="6" t="str">
        <x:v>SVC000218</x:v>
      </x:c>
      <x:c r="K219" s="12" t="str">
        <x:v>Contextual</x:v>
      </x:c>
      <x:c r="L219" s="12" t="str">
        <x:v>Source service identity preserved for manual review.</x:v>
      </x:c>
    </x:row>
    <x:row r="220">
      <x:c r="A220" s="12" t="str">
        <x:v>EVID-SIR-000219</x:v>
      </x:c>
      <x:c r="B220" s="6" t="str">
        <x:v>SIR-000219</x:v>
      </x:c>
      <x:c r="C220" s="6" t="str">
        <x:v>SVC000219</x:v>
      </x:c>
      <x:c r="D220" s="12" t="str">
        <x:v>Service Identity Observation</x:v>
      </x:c>
      <x:c r="E220" s="6" t="str">
        <x:v>Nocturnix_Master_Services_Catalog_v1.xlsx</x:v>
      </x:c>
      <x:c r="F220" s="6" t="str">
        <x:v>01 - Master Services</x:v>
      </x:c>
      <x:c r="G220" s="6" t="n">
        <x:v>259</x:v>
      </x:c>
      <x:c r="H220" s="12" t="str">
        <x:v>iPhone 4S Charge Port Replacement</x:v>
      </x:c>
      <x:c r="I220" s="12" t="str">
        <x:v>iphone 4s charge port replacement</x:v>
      </x:c>
      <x:c r="J220" s="6" t="str">
        <x:v>SVC000219</x:v>
      </x:c>
      <x:c r="K220" s="12" t="str">
        <x:v>Contextual</x:v>
      </x:c>
      <x:c r="L220" s="12" t="str">
        <x:v>Source service identity preserved for manual review.</x:v>
      </x:c>
    </x:row>
    <x:row r="221">
      <x:c r="A221" s="12" t="str">
        <x:v>EVID-SIR-000220</x:v>
      </x:c>
      <x:c r="B221" s="6" t="str">
        <x:v>SIR-000220</x:v>
      </x:c>
      <x:c r="C221" s="6" t="str">
        <x:v>SVC000220</x:v>
      </x:c>
      <x:c r="D221" s="12" t="str">
        <x:v>Service Identity Observation</x:v>
      </x:c>
      <x:c r="E221" s="6" t="str">
        <x:v>Nocturnix_Master_Services_Catalog_v1.xlsx</x:v>
      </x:c>
      <x:c r="F221" s="6" t="str">
        <x:v>01 - Master Services</x:v>
      </x:c>
      <x:c r="G221" s="6" t="n">
        <x:v>260</x:v>
      </x:c>
      <x:c r="H221" s="12" t="str">
        <x:v>iPhone 5 Charge Port Replacement</x:v>
      </x:c>
      <x:c r="I221" s="12" t="str">
        <x:v>iphone 5 charge port replacement</x:v>
      </x:c>
      <x:c r="J221" s="6" t="str">
        <x:v>SVC000220</x:v>
      </x:c>
      <x:c r="K221" s="12" t="str">
        <x:v>Contextual</x:v>
      </x:c>
      <x:c r="L221" s="12" t="str">
        <x:v>Source service identity preserved for manual review.</x:v>
      </x:c>
    </x:row>
    <x:row r="222">
      <x:c r="A222" s="12" t="str">
        <x:v>EVID-SIR-000221</x:v>
      </x:c>
      <x:c r="B222" s="6" t="str">
        <x:v>SIR-000221</x:v>
      </x:c>
      <x:c r="C222" s="6" t="str">
        <x:v>SVC000221</x:v>
      </x:c>
      <x:c r="D222" s="12" t="str">
        <x:v>Service Identity Observation</x:v>
      </x:c>
      <x:c r="E222" s="6" t="str">
        <x:v>Nocturnix_Master_Services_Catalog_v1.xlsx</x:v>
      </x:c>
      <x:c r="F222" s="6" t="str">
        <x:v>01 - Master Services</x:v>
      </x:c>
      <x:c r="G222" s="6" t="n">
        <x:v>261</x:v>
      </x:c>
      <x:c r="H222" s="12" t="str">
        <x:v>iPhone 5C Charge Port Replacement</x:v>
      </x:c>
      <x:c r="I222" s="12" t="str">
        <x:v>iphone 5c charge port replacement</x:v>
      </x:c>
      <x:c r="J222" s="6" t="str">
        <x:v>SVC000221</x:v>
      </x:c>
      <x:c r="K222" s="12" t="str">
        <x:v>Contextual</x:v>
      </x:c>
      <x:c r="L222" s="12" t="str">
        <x:v>Source service identity preserved for manual review.</x:v>
      </x:c>
    </x:row>
    <x:row r="223">
      <x:c r="A223" s="12" t="str">
        <x:v>EVID-SIR-000222</x:v>
      </x:c>
      <x:c r="B223" s="6" t="str">
        <x:v>SIR-000222</x:v>
      </x:c>
      <x:c r="C223" s="6" t="str">
        <x:v>SVC000222</x:v>
      </x:c>
      <x:c r="D223" s="12" t="str">
        <x:v>Service Identity Observation</x:v>
      </x:c>
      <x:c r="E223" s="6" t="str">
        <x:v>Nocturnix_Master_Services_Catalog_v1.xlsx</x:v>
      </x:c>
      <x:c r="F223" s="6" t="str">
        <x:v>01 - Master Services</x:v>
      </x:c>
      <x:c r="G223" s="6" t="n">
        <x:v>262</x:v>
      </x:c>
      <x:c r="H223" s="12" t="str">
        <x:v>iPhone 5S Charge Port Replacement</x:v>
      </x:c>
      <x:c r="I223" s="12" t="str">
        <x:v>iphone 5s charge port replacement</x:v>
      </x:c>
      <x:c r="J223" s="6" t="str">
        <x:v>SVC000222</x:v>
      </x:c>
      <x:c r="K223" s="12" t="str">
        <x:v>Contextual</x:v>
      </x:c>
      <x:c r="L223" s="12" t="str">
        <x:v>Source service identity preserved for manual review.</x:v>
      </x:c>
    </x:row>
    <x:row r="224">
      <x:c r="A224" s="12" t="str">
        <x:v>EVID-SIR-000223</x:v>
      </x:c>
      <x:c r="B224" s="6" t="str">
        <x:v>SIR-000223</x:v>
      </x:c>
      <x:c r="C224" s="6" t="str">
        <x:v>SVC000223</x:v>
      </x:c>
      <x:c r="D224" s="12" t="str">
        <x:v>Service Identity Observation</x:v>
      </x:c>
      <x:c r="E224" s="6" t="str">
        <x:v>Nocturnix_Master_Services_Catalog_v1.xlsx</x:v>
      </x:c>
      <x:c r="F224" s="6" t="str">
        <x:v>01 - Master Services</x:v>
      </x:c>
      <x:c r="G224" s="6" t="n">
        <x:v>263</x:v>
      </x:c>
      <x:c r="H224" s="12" t="str">
        <x:v>iPhone 6 Charge Port Replacement</x:v>
      </x:c>
      <x:c r="I224" s="12" t="str">
        <x:v>iphone 6 charge port replacement</x:v>
      </x:c>
      <x:c r="J224" s="6" t="str">
        <x:v>SVC000223</x:v>
      </x:c>
      <x:c r="K224" s="12" t="str">
        <x:v>Contextual</x:v>
      </x:c>
      <x:c r="L224" s="12" t="str">
        <x:v>Source service identity preserved for manual review.</x:v>
      </x:c>
    </x:row>
    <x:row r="225">
      <x:c r="A225" s="12" t="str">
        <x:v>EVID-SIR-000224</x:v>
      </x:c>
      <x:c r="B225" s="6" t="str">
        <x:v>SIR-000224</x:v>
      </x:c>
      <x:c r="C225" s="6" t="str">
        <x:v>SVC000224</x:v>
      </x:c>
      <x:c r="D225" s="12" t="str">
        <x:v>Service Identity Observation</x:v>
      </x:c>
      <x:c r="E225" s="6" t="str">
        <x:v>Nocturnix_Master_Services_Catalog_v1.xlsx</x:v>
      </x:c>
      <x:c r="F225" s="6" t="str">
        <x:v>01 - Master Services</x:v>
      </x:c>
      <x:c r="G225" s="6" t="n">
        <x:v>264</x:v>
      </x:c>
      <x:c r="H225" s="12" t="str">
        <x:v>iPhone 6+ Charge Port Replacement</x:v>
      </x:c>
      <x:c r="I225" s="12" t="str">
        <x:v>iphone 6 charge port replacement</x:v>
      </x:c>
      <x:c r="J225" s="6" t="str">
        <x:v>SVC000224</x:v>
      </x:c>
      <x:c r="K225" s="12" t="str">
        <x:v>Contextual</x:v>
      </x:c>
      <x:c r="L225" s="12" t="str">
        <x:v>Source service identity preserved for manual review.</x:v>
      </x:c>
    </x:row>
    <x:row r="226">
      <x:c r="A226" s="12" t="str">
        <x:v>EVID-SIR-000225</x:v>
      </x:c>
      <x:c r="B226" s="6" t="str">
        <x:v>SIR-000225</x:v>
      </x:c>
      <x:c r="C226" s="6" t="str">
        <x:v>SVC000225</x:v>
      </x:c>
      <x:c r="D226" s="12" t="str">
        <x:v>Service Identity Observation</x:v>
      </x:c>
      <x:c r="E226" s="6" t="str">
        <x:v>Nocturnix_Master_Services_Catalog_v1.xlsx</x:v>
      </x:c>
      <x:c r="F226" s="6" t="str">
        <x:v>01 - Master Services</x:v>
      </x:c>
      <x:c r="G226" s="6" t="n">
        <x:v>265</x:v>
      </x:c>
      <x:c r="H226" s="12" t="str">
        <x:v>iPhone 6S Charge Port Replacement</x:v>
      </x:c>
      <x:c r="I226" s="12" t="str">
        <x:v>iphone 6s charge port replacement</x:v>
      </x:c>
      <x:c r="J226" s="6" t="str">
        <x:v>SVC000225</x:v>
      </x:c>
      <x:c r="K226" s="12" t="str">
        <x:v>Contextual</x:v>
      </x:c>
      <x:c r="L226" s="12" t="str">
        <x:v>Source service identity preserved for manual review.</x:v>
      </x:c>
    </x:row>
    <x:row r="227">
      <x:c r="A227" s="12" t="str">
        <x:v>EVID-SIR-000226</x:v>
      </x:c>
      <x:c r="B227" s="6" t="str">
        <x:v>SIR-000226</x:v>
      </x:c>
      <x:c r="C227" s="6" t="str">
        <x:v>SVC000226</x:v>
      </x:c>
      <x:c r="D227" s="12" t="str">
        <x:v>Service Identity Observation</x:v>
      </x:c>
      <x:c r="E227" s="6" t="str">
        <x:v>Nocturnix_Master_Services_Catalog_v1.xlsx</x:v>
      </x:c>
      <x:c r="F227" s="6" t="str">
        <x:v>01 - Master Services</x:v>
      </x:c>
      <x:c r="G227" s="6" t="n">
        <x:v>266</x:v>
      </x:c>
      <x:c r="H227" s="12" t="str">
        <x:v>iPhone 6S+ Charge Port Replacement</x:v>
      </x:c>
      <x:c r="I227" s="12" t="str">
        <x:v>iphone 6s charge port replacement</x:v>
      </x:c>
      <x:c r="J227" s="6" t="str">
        <x:v>SVC000226</x:v>
      </x:c>
      <x:c r="K227" s="12" t="str">
        <x:v>Contextual</x:v>
      </x:c>
      <x:c r="L227" s="12" t="str">
        <x:v>Source service identity preserved for manual review.</x:v>
      </x:c>
    </x:row>
    <x:row r="228">
      <x:c r="A228" s="12" t="str">
        <x:v>EVID-SIR-000227</x:v>
      </x:c>
      <x:c r="B228" s="6" t="str">
        <x:v>SIR-000227</x:v>
      </x:c>
      <x:c r="C228" s="6" t="str">
        <x:v>SVC000227</x:v>
      </x:c>
      <x:c r="D228" s="12" t="str">
        <x:v>Service Identity Observation</x:v>
      </x:c>
      <x:c r="E228" s="6" t="str">
        <x:v>Nocturnix_Master_Services_Catalog_v1.xlsx</x:v>
      </x:c>
      <x:c r="F228" s="6" t="str">
        <x:v>01 - Master Services</x:v>
      </x:c>
      <x:c r="G228" s="6" t="n">
        <x:v>267</x:v>
      </x:c>
      <x:c r="H228" s="12" t="str">
        <x:v>iPhone 6S+ Charge Port Replacement</x:v>
      </x:c>
      <x:c r="I228" s="12" t="str">
        <x:v>iphone 6s charge port replacement</x:v>
      </x:c>
      <x:c r="J228" s="6" t="str">
        <x:v>SVC000227</x:v>
      </x:c>
      <x:c r="K228" s="12" t="str">
        <x:v>Contextual</x:v>
      </x:c>
      <x:c r="L228" s="12" t="str">
        <x:v>Source service identity preserved for manual review.</x:v>
      </x:c>
    </x:row>
    <x:row r="229">
      <x:c r="A229" s="12" t="str">
        <x:v>EVID-SIR-000228</x:v>
      </x:c>
      <x:c r="B229" s="6" t="str">
        <x:v>SIR-000228</x:v>
      </x:c>
      <x:c r="C229" s="6" t="str">
        <x:v>SVC000228</x:v>
      </x:c>
      <x:c r="D229" s="12" t="str">
        <x:v>Service Identity Observation</x:v>
      </x:c>
      <x:c r="E229" s="6" t="str">
        <x:v>Nocturnix_Master_Services_Catalog_v1.xlsx</x:v>
      </x:c>
      <x:c r="F229" s="6" t="str">
        <x:v>01 - Master Services</x:v>
      </x:c>
      <x:c r="G229" s="6" t="n">
        <x:v>268</x:v>
      </x:c>
      <x:c r="H229" s="12" t="str">
        <x:v>iPhone SE(1ST GEN) Charge Port Replacement</x:v>
      </x:c>
      <x:c r="I229" s="12" t="str">
        <x:v>iphone se 1st gen charge port replacement</x:v>
      </x:c>
      <x:c r="J229" s="6" t="str">
        <x:v>SVC000228</x:v>
      </x:c>
      <x:c r="K229" s="12" t="str">
        <x:v>Contextual</x:v>
      </x:c>
      <x:c r="L229" s="12" t="str">
        <x:v>Source service identity preserved for manual review.</x:v>
      </x:c>
    </x:row>
    <x:row r="230">
      <x:c r="A230" s="12" t="str">
        <x:v>EVID-SIR-000229</x:v>
      </x:c>
      <x:c r="B230" s="6" t="str">
        <x:v>SIR-000229</x:v>
      </x:c>
      <x:c r="C230" s="6" t="str">
        <x:v>SVC000229</x:v>
      </x:c>
      <x:c r="D230" s="12" t="str">
        <x:v>Service Identity Observation</x:v>
      </x:c>
      <x:c r="E230" s="6" t="str">
        <x:v>Nocturnix_Master_Services_Catalog_v1.xlsx</x:v>
      </x:c>
      <x:c r="F230" s="6" t="str">
        <x:v>01 - Master Services</x:v>
      </x:c>
      <x:c r="G230" s="6" t="n">
        <x:v>269</x:v>
      </x:c>
      <x:c r="H230" s="12" t="str">
        <x:v>iPhone 7 Charge Port Replacement</x:v>
      </x:c>
      <x:c r="I230" s="12" t="str">
        <x:v>iphone 7 charge port replacement</x:v>
      </x:c>
      <x:c r="J230" s="6" t="str">
        <x:v>SVC000229</x:v>
      </x:c>
      <x:c r="K230" s="12" t="str">
        <x:v>Contextual</x:v>
      </x:c>
      <x:c r="L230" s="12" t="str">
        <x:v>Source service identity preserved for manual review.</x:v>
      </x:c>
    </x:row>
    <x:row r="231">
      <x:c r="A231" s="12" t="str">
        <x:v>EVID-SIR-000230</x:v>
      </x:c>
      <x:c r="B231" s="6" t="str">
        <x:v>SIR-000230</x:v>
      </x:c>
      <x:c r="C231" s="6" t="str">
        <x:v>SVC000230</x:v>
      </x:c>
      <x:c r="D231" s="12" t="str">
        <x:v>Service Identity Observation</x:v>
      </x:c>
      <x:c r="E231" s="6" t="str">
        <x:v>Nocturnix_Master_Services_Catalog_v1.xlsx</x:v>
      </x:c>
      <x:c r="F231" s="6" t="str">
        <x:v>01 - Master Services</x:v>
      </x:c>
      <x:c r="G231" s="6" t="n">
        <x:v>270</x:v>
      </x:c>
      <x:c r="H231" s="12" t="str">
        <x:v>iPhone 7+ Charge Port Replacement</x:v>
      </x:c>
      <x:c r="I231" s="12" t="str">
        <x:v>iphone 7 charge port replacement</x:v>
      </x:c>
      <x:c r="J231" s="6" t="str">
        <x:v>SVC000230</x:v>
      </x:c>
      <x:c r="K231" s="12" t="str">
        <x:v>Contextual</x:v>
      </x:c>
      <x:c r="L231" s="12" t="str">
        <x:v>Source service identity preserved for manual review.</x:v>
      </x:c>
    </x:row>
    <x:row r="232">
      <x:c r="A232" s="12" t="str">
        <x:v>EVID-SIR-000231</x:v>
      </x:c>
      <x:c r="B232" s="6" t="str">
        <x:v>SIR-000231</x:v>
      </x:c>
      <x:c r="C232" s="6" t="str">
        <x:v>SVC000231</x:v>
      </x:c>
      <x:c r="D232" s="12" t="str">
        <x:v>Service Identity Observation</x:v>
      </x:c>
      <x:c r="E232" s="6" t="str">
        <x:v>Nocturnix_Master_Services_Catalog_v1.xlsx</x:v>
      </x:c>
      <x:c r="F232" s="6" t="str">
        <x:v>01 - Master Services</x:v>
      </x:c>
      <x:c r="G232" s="6" t="n">
        <x:v>271</x:v>
      </x:c>
      <x:c r="H232" s="12" t="str">
        <x:v>iPhone 8 Charge Port Replacement</x:v>
      </x:c>
      <x:c r="I232" s="12" t="str">
        <x:v>iphone 8 charge port replacement</x:v>
      </x:c>
      <x:c r="J232" s="6" t="str">
        <x:v>SVC000231</x:v>
      </x:c>
      <x:c r="K232" s="12" t="str">
        <x:v>Contextual</x:v>
      </x:c>
      <x:c r="L232" s="12" t="str">
        <x:v>Source service identity preserved for manual review.</x:v>
      </x:c>
    </x:row>
    <x:row r="233">
      <x:c r="A233" s="12" t="str">
        <x:v>EVID-SIR-000232</x:v>
      </x:c>
      <x:c r="B233" s="6" t="str">
        <x:v>SIR-000232</x:v>
      </x:c>
      <x:c r="C233" s="6" t="str">
        <x:v>SVC000232</x:v>
      </x:c>
      <x:c r="D233" s="12" t="str">
        <x:v>Service Identity Observation</x:v>
      </x:c>
      <x:c r="E233" s="6" t="str">
        <x:v>Nocturnix_Master_Services_Catalog_v1.xlsx</x:v>
      </x:c>
      <x:c r="F233" s="6" t="str">
        <x:v>01 - Master Services</x:v>
      </x:c>
      <x:c r="G233" s="6" t="n">
        <x:v>272</x:v>
      </x:c>
      <x:c r="H233" s="12" t="str">
        <x:v>iPhone 8+ Charge Port Replacement</x:v>
      </x:c>
      <x:c r="I233" s="12" t="str">
        <x:v>iphone 8 charge port replacement</x:v>
      </x:c>
      <x:c r="J233" s="6" t="str">
        <x:v>SVC000232</x:v>
      </x:c>
      <x:c r="K233" s="12" t="str">
        <x:v>Contextual</x:v>
      </x:c>
      <x:c r="L233" s="12" t="str">
        <x:v>Source service identity preserved for manual review.</x:v>
      </x:c>
    </x:row>
    <x:row r="234">
      <x:c r="A234" s="12" t="str">
        <x:v>EVID-SIR-000233</x:v>
      </x:c>
      <x:c r="B234" s="6" t="str">
        <x:v>SIR-000233</x:v>
      </x:c>
      <x:c r="C234" s="6" t="str">
        <x:v>SVC000233</x:v>
      </x:c>
      <x:c r="D234" s="12" t="str">
        <x:v>Service Identity Observation</x:v>
      </x:c>
      <x:c r="E234" s="6" t="str">
        <x:v>Nocturnix_Master_Services_Catalog_v1.xlsx</x:v>
      </x:c>
      <x:c r="F234" s="6" t="str">
        <x:v>01 - Master Services</x:v>
      </x:c>
      <x:c r="G234" s="6" t="n">
        <x:v>273</x:v>
      </x:c>
      <x:c r="H234" s="12" t="str">
        <x:v>iPhone X Charge Port Replacement</x:v>
      </x:c>
      <x:c r="I234" s="12" t="str">
        <x:v>iphone x charge port replacement</x:v>
      </x:c>
      <x:c r="J234" s="6" t="str">
        <x:v>SVC000233</x:v>
      </x:c>
      <x:c r="K234" s="12" t="str">
        <x:v>Contextual</x:v>
      </x:c>
      <x:c r="L234" s="12" t="str">
        <x:v>Source service identity preserved for manual review.</x:v>
      </x:c>
    </x:row>
    <x:row r="235">
      <x:c r="A235" s="12" t="str">
        <x:v>EVID-SIR-000234</x:v>
      </x:c>
      <x:c r="B235" s="6" t="str">
        <x:v>SIR-000234</x:v>
      </x:c>
      <x:c r="C235" s="6" t="str">
        <x:v>SVC000234</x:v>
      </x:c>
      <x:c r="D235" s="12" t="str">
        <x:v>Service Identity Observation</x:v>
      </x:c>
      <x:c r="E235" s="6" t="str">
        <x:v>Nocturnix_Master_Services_Catalog_v1.xlsx</x:v>
      </x:c>
      <x:c r="F235" s="6" t="str">
        <x:v>01 - Master Services</x:v>
      </x:c>
      <x:c r="G235" s="6" t="n">
        <x:v>274</x:v>
      </x:c>
      <x:c r="H235" s="12" t="str">
        <x:v>iPhone XR Charge Port Replacement</x:v>
      </x:c>
      <x:c r="I235" s="12" t="str">
        <x:v>iphone xr charge port replacement</x:v>
      </x:c>
      <x:c r="J235" s="6" t="str">
        <x:v>SVC000234</x:v>
      </x:c>
      <x:c r="K235" s="12" t="str">
        <x:v>Contextual</x:v>
      </x:c>
      <x:c r="L235" s="12" t="str">
        <x:v>Source service identity preserved for manual review.</x:v>
      </x:c>
    </x:row>
    <x:row r="236">
      <x:c r="A236" s="12" t="str">
        <x:v>EVID-SIR-000235</x:v>
      </x:c>
      <x:c r="B236" s="6" t="str">
        <x:v>SIR-000235</x:v>
      </x:c>
      <x:c r="C236" s="6" t="str">
        <x:v>SVC000235</x:v>
      </x:c>
      <x:c r="D236" s="12" t="str">
        <x:v>Service Identity Observation</x:v>
      </x:c>
      <x:c r="E236" s="6" t="str">
        <x:v>Nocturnix_Master_Services_Catalog_v1.xlsx</x:v>
      </x:c>
      <x:c r="F236" s="6" t="str">
        <x:v>01 - Master Services</x:v>
      </x:c>
      <x:c r="G236" s="6" t="n">
        <x:v>275</x:v>
      </x:c>
      <x:c r="H236" s="12" t="str">
        <x:v>Galaxy S 23 Battery Replacement</x:v>
      </x:c>
      <x:c r="I236" s="12" t="str">
        <x:v>galaxy s 23 battery replacement</x:v>
      </x:c>
      <x:c r="J236" s="6" t="str">
        <x:v>SVC000235</x:v>
      </x:c>
      <x:c r="K236" s="12" t="str">
        <x:v>Contextual</x:v>
      </x:c>
      <x:c r="L236" s="12" t="str">
        <x:v>Source service identity preserved for manual review.</x:v>
      </x:c>
    </x:row>
    <x:row r="237">
      <x:c r="A237" s="12" t="str">
        <x:v>EVID-SIR-000236</x:v>
      </x:c>
      <x:c r="B237" s="6" t="str">
        <x:v>SIR-000236</x:v>
      </x:c>
      <x:c r="C237" s="6" t="str">
        <x:v>SVC000236</x:v>
      </x:c>
      <x:c r="D237" s="12" t="str">
        <x:v>Service Identity Observation</x:v>
      </x:c>
      <x:c r="E237" s="6" t="str">
        <x:v>Nocturnix_Master_Services_Catalog_v1.xlsx</x:v>
      </x:c>
      <x:c r="F237" s="6" t="str">
        <x:v>01 - Master Services</x:v>
      </x:c>
      <x:c r="G237" s="6" t="n">
        <x:v>276</x:v>
      </x:c>
      <x:c r="H237" s="12" t="str">
        <x:v>iPhone XS Charge Port Replacement</x:v>
      </x:c>
      <x:c r="I237" s="12" t="str">
        <x:v>iphone xs charge port replacement</x:v>
      </x:c>
      <x:c r="J237" s="6" t="str">
        <x:v>SVC000236</x:v>
      </x:c>
      <x:c r="K237" s="12" t="str">
        <x:v>Contextual</x:v>
      </x:c>
      <x:c r="L237" s="12" t="str">
        <x:v>Source service identity preserved for manual review.</x:v>
      </x:c>
    </x:row>
    <x:row r="238">
      <x:c r="A238" s="12" t="str">
        <x:v>EVID-SIR-000237</x:v>
      </x:c>
      <x:c r="B238" s="6" t="str">
        <x:v>SIR-000237</x:v>
      </x:c>
      <x:c r="C238" s="6" t="str">
        <x:v>SVC000237</x:v>
      </x:c>
      <x:c r="D238" s="12" t="str">
        <x:v>Service Identity Observation</x:v>
      </x:c>
      <x:c r="E238" s="6" t="str">
        <x:v>Nocturnix_Master_Services_Catalog_v1.xlsx</x:v>
      </x:c>
      <x:c r="F238" s="6" t="str">
        <x:v>01 - Master Services</x:v>
      </x:c>
      <x:c r="G238" s="6" t="n">
        <x:v>277</x:v>
      </x:c>
      <x:c r="H238" s="12" t="str">
        <x:v>iPhone XS Max Charge Port Replacement</x:v>
      </x:c>
      <x:c r="I238" s="12" t="str">
        <x:v>iphone xs max charge port replacement</x:v>
      </x:c>
      <x:c r="J238" s="6" t="str">
        <x:v>SVC000237</x:v>
      </x:c>
      <x:c r="K238" s="12" t="str">
        <x:v>Contextual</x:v>
      </x:c>
      <x:c r="L238" s="12" t="str">
        <x:v>Source service identity preserved for manual review.</x:v>
      </x:c>
    </x:row>
    <x:row r="239">
      <x:c r="A239" s="12" t="str">
        <x:v>EVID-SIR-000238</x:v>
      </x:c>
      <x:c r="B239" s="6" t="str">
        <x:v>SIR-000238</x:v>
      </x:c>
      <x:c r="C239" s="6" t="str">
        <x:v>SVC000238</x:v>
      </x:c>
      <x:c r="D239" s="12" t="str">
        <x:v>Service Identity Observation</x:v>
      </x:c>
      <x:c r="E239" s="6" t="str">
        <x:v>Nocturnix_Master_Services_Catalog_v1.xlsx</x:v>
      </x:c>
      <x:c r="F239" s="6" t="str">
        <x:v>01 - Master Services</x:v>
      </x:c>
      <x:c r="G239" s="6" t="n">
        <x:v>278</x:v>
      </x:c>
      <x:c r="H239" s="12" t="str">
        <x:v>iPhone 11 Charge Port Replacement</x:v>
      </x:c>
      <x:c r="I239" s="12" t="str">
        <x:v>iphone 11 charge port replacement</x:v>
      </x:c>
      <x:c r="J239" s="6" t="str">
        <x:v>SVC000238</x:v>
      </x:c>
      <x:c r="K239" s="12" t="str">
        <x:v>Contextual</x:v>
      </x:c>
      <x:c r="L239" s="12" t="str">
        <x:v>Source service identity preserved for manual review.</x:v>
      </x:c>
    </x:row>
    <x:row r="240">
      <x:c r="A240" s="12" t="str">
        <x:v>EVID-SIR-000239</x:v>
      </x:c>
      <x:c r="B240" s="6" t="str">
        <x:v>SIR-000239</x:v>
      </x:c>
      <x:c r="C240" s="6" t="str">
        <x:v>SVC000239</x:v>
      </x:c>
      <x:c r="D240" s="12" t="str">
        <x:v>Service Identity Observation</x:v>
      </x:c>
      <x:c r="E240" s="6" t="str">
        <x:v>Nocturnix_Master_Services_Catalog_v1.xlsx</x:v>
      </x:c>
      <x:c r="F240" s="6" t="str">
        <x:v>01 - Master Services</x:v>
      </x:c>
      <x:c r="G240" s="6" t="n">
        <x:v>279</x:v>
      </x:c>
      <x:c r="H240" s="12" t="str">
        <x:v>iPhone 11 Pro Charge Port Replacement</x:v>
      </x:c>
      <x:c r="I240" s="12" t="str">
        <x:v>iphone 11 pro charge port replacement</x:v>
      </x:c>
      <x:c r="J240" s="6" t="str">
        <x:v>SVC000239</x:v>
      </x:c>
      <x:c r="K240" s="12" t="str">
        <x:v>Contextual</x:v>
      </x:c>
      <x:c r="L240" s="12" t="str">
        <x:v>Source service identity preserved for manual review.</x:v>
      </x:c>
    </x:row>
    <x:row r="241">
      <x:c r="A241" s="12" t="str">
        <x:v>EVID-SIR-000240</x:v>
      </x:c>
      <x:c r="B241" s="6" t="str">
        <x:v>SIR-000240</x:v>
      </x:c>
      <x:c r="C241" s="6" t="str">
        <x:v>SVC000240</x:v>
      </x:c>
      <x:c r="D241" s="12" t="str">
        <x:v>Service Identity Observation</x:v>
      </x:c>
      <x:c r="E241" s="6" t="str">
        <x:v>Nocturnix_Master_Services_Catalog_v1.xlsx</x:v>
      </x:c>
      <x:c r="F241" s="6" t="str">
        <x:v>01 - Master Services</x:v>
      </x:c>
      <x:c r="G241" s="6" t="n">
        <x:v>280</x:v>
      </x:c>
      <x:c r="H241" s="12" t="str">
        <x:v>iPhone 11 Pro Max Charge Port Replacement</x:v>
      </x:c>
      <x:c r="I241" s="12" t="str">
        <x:v>iphone 11 pro max charge port replacement</x:v>
      </x:c>
      <x:c r="J241" s="6" t="str">
        <x:v>SVC000240</x:v>
      </x:c>
      <x:c r="K241" s="12" t="str">
        <x:v>Contextual</x:v>
      </x:c>
      <x:c r="L241" s="12" t="str">
        <x:v>Source service identity preserved for manual review.</x:v>
      </x:c>
    </x:row>
    <x:row r="242">
      <x:c r="A242" s="12" t="str">
        <x:v>EVID-SIR-000241</x:v>
      </x:c>
      <x:c r="B242" s="6" t="str">
        <x:v>SIR-000241</x:v>
      </x:c>
      <x:c r="C242" s="6" t="str">
        <x:v>SVC000241</x:v>
      </x:c>
      <x:c r="D242" s="12" t="str">
        <x:v>Service Identity Observation</x:v>
      </x:c>
      <x:c r="E242" s="6" t="str">
        <x:v>Nocturnix_Master_Services_Catalog_v1.xlsx</x:v>
      </x:c>
      <x:c r="F242" s="6" t="str">
        <x:v>01 - Master Services</x:v>
      </x:c>
      <x:c r="G242" s="6" t="n">
        <x:v>281</x:v>
      </x:c>
      <x:c r="H242" s="12" t="str">
        <x:v>iPhone SE (2ND GEN) Charge Port Replacement</x:v>
      </x:c>
      <x:c r="I242" s="12" t="str">
        <x:v>iphone se 2nd gen charge port replacement</x:v>
      </x:c>
      <x:c r="J242" s="6" t="str">
        <x:v>SVC000241</x:v>
      </x:c>
      <x:c r="K242" s="12" t="str">
        <x:v>Contextual</x:v>
      </x:c>
      <x:c r="L242" s="12" t="str">
        <x:v>Source service identity preserved for manual review.</x:v>
      </x:c>
    </x:row>
    <x:row r="243">
      <x:c r="A243" s="12" t="str">
        <x:v>EVID-SIR-000242</x:v>
      </x:c>
      <x:c r="B243" s="6" t="str">
        <x:v>SIR-000242</x:v>
      </x:c>
      <x:c r="C243" s="6" t="str">
        <x:v>SVC000242</x:v>
      </x:c>
      <x:c r="D243" s="12" t="str">
        <x:v>Service Identity Observation</x:v>
      </x:c>
      <x:c r="E243" s="6" t="str">
        <x:v>Nocturnix_Master_Services_Catalog_v1.xlsx</x:v>
      </x:c>
      <x:c r="F243" s="6" t="str">
        <x:v>01 - Master Services</x:v>
      </x:c>
      <x:c r="G243" s="6" t="n">
        <x:v>282</x:v>
      </x:c>
      <x:c r="H243" s="12" t="str">
        <x:v>iPhone 12 Charge Port Replacement</x:v>
      </x:c>
      <x:c r="I243" s="12" t="str">
        <x:v>iphone 12 charge port replacement</x:v>
      </x:c>
      <x:c r="J243" s="6" t="str">
        <x:v>SVC000242</x:v>
      </x:c>
      <x:c r="K243" s="12" t="str">
        <x:v>Contextual</x:v>
      </x:c>
      <x:c r="L243" s="12" t="str">
        <x:v>Source service identity preserved for manual review.</x:v>
      </x:c>
    </x:row>
    <x:row r="244">
      <x:c r="A244" s="12" t="str">
        <x:v>EVID-SIR-000243</x:v>
      </x:c>
      <x:c r="B244" s="6" t="str">
        <x:v>SIR-000243</x:v>
      </x:c>
      <x:c r="C244" s="6" t="str">
        <x:v>SVC000243</x:v>
      </x:c>
      <x:c r="D244" s="12" t="str">
        <x:v>Service Identity Observation</x:v>
      </x:c>
      <x:c r="E244" s="6" t="str">
        <x:v>Nocturnix_Master_Services_Catalog_v1.xlsx</x:v>
      </x:c>
      <x:c r="F244" s="6" t="str">
        <x:v>01 - Master Services</x:v>
      </x:c>
      <x:c r="G244" s="6" t="n">
        <x:v>283</x:v>
      </x:c>
      <x:c r="H244" s="12" t="str">
        <x:v>iPhone 12 Mini Charge Port Replacement</x:v>
      </x:c>
      <x:c r="I244" s="12" t="str">
        <x:v>iphone 12 mini charge port replacement</x:v>
      </x:c>
      <x:c r="J244" s="6" t="str">
        <x:v>SVC000243</x:v>
      </x:c>
      <x:c r="K244" s="12" t="str">
        <x:v>Contextual</x:v>
      </x:c>
      <x:c r="L244" s="12" t="str">
        <x:v>Source service identity preserved for manual review.</x:v>
      </x:c>
    </x:row>
    <x:row r="245">
      <x:c r="A245" s="12" t="str">
        <x:v>EVID-SIR-000244</x:v>
      </x:c>
      <x:c r="B245" s="6" t="str">
        <x:v>SIR-000244</x:v>
      </x:c>
      <x:c r="C245" s="6" t="str">
        <x:v>SVC000244</x:v>
      </x:c>
      <x:c r="D245" s="12" t="str">
        <x:v>Service Identity Observation</x:v>
      </x:c>
      <x:c r="E245" s="6" t="str">
        <x:v>Nocturnix_Master_Services_Catalog_v1.xlsx</x:v>
      </x:c>
      <x:c r="F245" s="6" t="str">
        <x:v>01 - Master Services</x:v>
      </x:c>
      <x:c r="G245" s="6" t="n">
        <x:v>284</x:v>
      </x:c>
      <x:c r="H245" s="12" t="str">
        <x:v>iPhone 12 Pro Charge Port Replacement</x:v>
      </x:c>
      <x:c r="I245" s="12" t="str">
        <x:v>iphone 12 pro charge port replacement</x:v>
      </x:c>
      <x:c r="J245" s="6" t="str">
        <x:v>SVC000244</x:v>
      </x:c>
      <x:c r="K245" s="12" t="str">
        <x:v>Contextual</x:v>
      </x:c>
      <x:c r="L245" s="12" t="str">
        <x:v>Source service identity preserved for manual review.</x:v>
      </x:c>
    </x:row>
    <x:row r="246">
      <x:c r="A246" s="12" t="str">
        <x:v>EVID-SIR-000245</x:v>
      </x:c>
      <x:c r="B246" s="6" t="str">
        <x:v>SIR-000245</x:v>
      </x:c>
      <x:c r="C246" s="6" t="str">
        <x:v>SVC000245</x:v>
      </x:c>
      <x:c r="D246" s="12" t="str">
        <x:v>Service Identity Observation</x:v>
      </x:c>
      <x:c r="E246" s="6" t="str">
        <x:v>Nocturnix_Master_Services_Catalog_v1.xlsx</x:v>
      </x:c>
      <x:c r="F246" s="6" t="str">
        <x:v>01 - Master Services</x:v>
      </x:c>
      <x:c r="G246" s="6" t="n">
        <x:v>285</x:v>
      </x:c>
      <x:c r="H246" s="12" t="str">
        <x:v>iPhone 12 Pro Max Charge Port Replacement</x:v>
      </x:c>
      <x:c r="I246" s="12" t="str">
        <x:v>iphone 12 pro max charge port replacement</x:v>
      </x:c>
      <x:c r="J246" s="6" t="str">
        <x:v>SVC000245</x:v>
      </x:c>
      <x:c r="K246" s="12" t="str">
        <x:v>Contextual</x:v>
      </x:c>
      <x:c r="L246" s="12" t="str">
        <x:v>Source service identity preserved for manual review.</x:v>
      </x:c>
    </x:row>
    <x:row r="247">
      <x:c r="A247" s="12" t="str">
        <x:v>EVID-SIR-000246</x:v>
      </x:c>
      <x:c r="B247" s="6" t="str">
        <x:v>SIR-000246</x:v>
      </x:c>
      <x:c r="C247" s="6" t="str">
        <x:v>SVC000246</x:v>
      </x:c>
      <x:c r="D247" s="12" t="str">
        <x:v>Service Identity Observation</x:v>
      </x:c>
      <x:c r="E247" s="6" t="str">
        <x:v>Nocturnix_Master_Services_Catalog_v1.xlsx</x:v>
      </x:c>
      <x:c r="F247" s="6" t="str">
        <x:v>01 - Master Services</x:v>
      </x:c>
      <x:c r="G247" s="6" t="n">
        <x:v>286</x:v>
      </x:c>
      <x:c r="H247" s="12" t="str">
        <x:v>iPhone 13 Charge Port Replacement</x:v>
      </x:c>
      <x:c r="I247" s="12" t="str">
        <x:v>iphone 13 charge port replacement</x:v>
      </x:c>
      <x:c r="J247" s="6" t="str">
        <x:v>SVC000246</x:v>
      </x:c>
      <x:c r="K247" s="12" t="str">
        <x:v>Contextual</x:v>
      </x:c>
      <x:c r="L247" s="12" t="str">
        <x:v>Source service identity preserved for manual review.</x:v>
      </x:c>
    </x:row>
    <x:row r="248">
      <x:c r="A248" s="12" t="str">
        <x:v>EVID-SIR-000247</x:v>
      </x:c>
      <x:c r="B248" s="6" t="str">
        <x:v>SIR-000247</x:v>
      </x:c>
      <x:c r="C248" s="6" t="str">
        <x:v>SVC000247</x:v>
      </x:c>
      <x:c r="D248" s="12" t="str">
        <x:v>Service Identity Observation</x:v>
      </x:c>
      <x:c r="E248" s="6" t="str">
        <x:v>Nocturnix_Master_Services_Catalog_v1.xlsx</x:v>
      </x:c>
      <x:c r="F248" s="6" t="str">
        <x:v>01 - Master Services</x:v>
      </x:c>
      <x:c r="G248" s="6" t="n">
        <x:v>287</x:v>
      </x:c>
      <x:c r="H248" s="12" t="str">
        <x:v>iPhone 13 Mini Charge Port Replacement</x:v>
      </x:c>
      <x:c r="I248" s="12" t="str">
        <x:v>iphone 13 mini charge port replacement</x:v>
      </x:c>
      <x:c r="J248" s="6" t="str">
        <x:v>SVC000247</x:v>
      </x:c>
      <x:c r="K248" s="12" t="str">
        <x:v>Contextual</x:v>
      </x:c>
      <x:c r="L248" s="12" t="str">
        <x:v>Source service identity preserved for manual review.</x:v>
      </x:c>
    </x:row>
    <x:row r="249">
      <x:c r="A249" s="12" t="str">
        <x:v>EVID-SIR-000248</x:v>
      </x:c>
      <x:c r="B249" s="6" t="str">
        <x:v>SIR-000248</x:v>
      </x:c>
      <x:c r="C249" s="6" t="str">
        <x:v>SVC000248</x:v>
      </x:c>
      <x:c r="D249" s="12" t="str">
        <x:v>Service Identity Observation</x:v>
      </x:c>
      <x:c r="E249" s="6" t="str">
        <x:v>Nocturnix_Master_Services_Catalog_v1.xlsx</x:v>
      </x:c>
      <x:c r="F249" s="6" t="str">
        <x:v>01 - Master Services</x:v>
      </x:c>
      <x:c r="G249" s="6" t="n">
        <x:v>288</x:v>
      </x:c>
      <x:c r="H249" s="12" t="str">
        <x:v>iPhone 13 Pro Charge Port Replacement</x:v>
      </x:c>
      <x:c r="I249" s="12" t="str">
        <x:v>iphone 13 pro charge port replacement</x:v>
      </x:c>
      <x:c r="J249" s="6" t="str">
        <x:v>SVC000248</x:v>
      </x:c>
      <x:c r="K249" s="12" t="str">
        <x:v>Contextual</x:v>
      </x:c>
      <x:c r="L249" s="12" t="str">
        <x:v>Source service identity preserved for manual review.</x:v>
      </x:c>
    </x:row>
    <x:row r="250">
      <x:c r="A250" s="12" t="str">
        <x:v>EVID-SIR-000249</x:v>
      </x:c>
      <x:c r="B250" s="6" t="str">
        <x:v>SIR-000249</x:v>
      </x:c>
      <x:c r="C250" s="6" t="str">
        <x:v>SVC000249</x:v>
      </x:c>
      <x:c r="D250" s="12" t="str">
        <x:v>Service Identity Observation</x:v>
      </x:c>
      <x:c r="E250" s="6" t="str">
        <x:v>Nocturnix_Master_Services_Catalog_v1.xlsx</x:v>
      </x:c>
      <x:c r="F250" s="6" t="str">
        <x:v>01 - Master Services</x:v>
      </x:c>
      <x:c r="G250" s="6" t="n">
        <x:v>289</x:v>
      </x:c>
      <x:c r="H250" s="12" t="str">
        <x:v>iPhone 13 Pro Max Charge Port Replacement</x:v>
      </x:c>
      <x:c r="I250" s="12" t="str">
        <x:v>iphone 13 pro max charge port replacement</x:v>
      </x:c>
      <x:c r="J250" s="6" t="str">
        <x:v>SVC000249</x:v>
      </x:c>
      <x:c r="K250" s="12" t="str">
        <x:v>Contextual</x:v>
      </x:c>
      <x:c r="L250" s="12" t="str">
        <x:v>Source service identity preserved for manual review.</x:v>
      </x:c>
    </x:row>
    <x:row r="251">
      <x:c r="A251" s="12" t="str">
        <x:v>EVID-SIR-000250</x:v>
      </x:c>
      <x:c r="B251" s="6" t="str">
        <x:v>SIR-000250</x:v>
      </x:c>
      <x:c r="C251" s="6" t="str">
        <x:v>SVC000250</x:v>
      </x:c>
      <x:c r="D251" s="12" t="str">
        <x:v>Service Identity Observation</x:v>
      </x:c>
      <x:c r="E251" s="6" t="str">
        <x:v>Nocturnix_Master_Services_Catalog_v1.xlsx</x:v>
      </x:c>
      <x:c r="F251" s="6" t="str">
        <x:v>01 - Master Services</x:v>
      </x:c>
      <x:c r="G251" s="6" t="n">
        <x:v>290</x:v>
      </x:c>
      <x:c r="H251" s="12" t="str">
        <x:v>iPhone SE (3RD GEN) Charge Port Replacement</x:v>
      </x:c>
      <x:c r="I251" s="12" t="str">
        <x:v>iphone se 3rd gen charge port replacement</x:v>
      </x:c>
      <x:c r="J251" s="6" t="str">
        <x:v>SVC000250</x:v>
      </x:c>
      <x:c r="K251" s="12" t="str">
        <x:v>Contextual</x:v>
      </x:c>
      <x:c r="L251" s="12" t="str">
        <x:v>Source service identity preserved for manual review.</x:v>
      </x:c>
    </x:row>
    <x:row r="252">
      <x:c r="A252" s="12" t="str">
        <x:v>EVID-SIR-000251</x:v>
      </x:c>
      <x:c r="B252" s="6" t="str">
        <x:v>SIR-000251</x:v>
      </x:c>
      <x:c r="C252" s="6" t="str">
        <x:v>SVC000251</x:v>
      </x:c>
      <x:c r="D252" s="12" t="str">
        <x:v>Service Identity Observation</x:v>
      </x:c>
      <x:c r="E252" s="6" t="str">
        <x:v>Nocturnix_Master_Services_Catalog_v1.xlsx</x:v>
      </x:c>
      <x:c r="F252" s="6" t="str">
        <x:v>01 - Master Services</x:v>
      </x:c>
      <x:c r="G252" s="6" t="n">
        <x:v>291</x:v>
      </x:c>
      <x:c r="H252" s="12" t="str">
        <x:v>iPhone 14 Charge Port Replacement</x:v>
      </x:c>
      <x:c r="I252" s="12" t="str">
        <x:v>iphone 14 charge port replacement</x:v>
      </x:c>
      <x:c r="J252" s="6" t="str">
        <x:v>SVC000251</x:v>
      </x:c>
      <x:c r="K252" s="12" t="str">
        <x:v>Contextual</x:v>
      </x:c>
      <x:c r="L252" s="12" t="str">
        <x:v>Source service identity preserved for manual review.</x:v>
      </x:c>
    </x:row>
    <x:row r="253">
      <x:c r="A253" s="12" t="str">
        <x:v>EVID-SIR-000252</x:v>
      </x:c>
      <x:c r="B253" s="6" t="str">
        <x:v>SIR-000252</x:v>
      </x:c>
      <x:c r="C253" s="6" t="str">
        <x:v>SVC000252</x:v>
      </x:c>
      <x:c r="D253" s="12" t="str">
        <x:v>Service Identity Observation</x:v>
      </x:c>
      <x:c r="E253" s="6" t="str">
        <x:v>Nocturnix_Master_Services_Catalog_v1.xlsx</x:v>
      </x:c>
      <x:c r="F253" s="6" t="str">
        <x:v>01 - Master Services</x:v>
      </x:c>
      <x:c r="G253" s="6" t="n">
        <x:v>292</x:v>
      </x:c>
      <x:c r="H253" s="12" t="str">
        <x:v>iPhone 14 Plus Charge Port Replacement</x:v>
      </x:c>
      <x:c r="I253" s="12" t="str">
        <x:v>iphone 14 plus charge port replacement</x:v>
      </x:c>
      <x:c r="J253" s="6" t="str">
        <x:v>SVC000252</x:v>
      </x:c>
      <x:c r="K253" s="12" t="str">
        <x:v>Contextual</x:v>
      </x:c>
      <x:c r="L253" s="12" t="str">
        <x:v>Source service identity preserved for manual review.</x:v>
      </x:c>
    </x:row>
    <x:row r="254">
      <x:c r="A254" s="12" t="str">
        <x:v>EVID-SIR-000253</x:v>
      </x:c>
      <x:c r="B254" s="6" t="str">
        <x:v>SIR-000253</x:v>
      </x:c>
      <x:c r="C254" s="6" t="str">
        <x:v>SVC000253</x:v>
      </x:c>
      <x:c r="D254" s="12" t="str">
        <x:v>Service Identity Observation</x:v>
      </x:c>
      <x:c r="E254" s="6" t="str">
        <x:v>Nocturnix_Master_Services_Catalog_v1.xlsx</x:v>
      </x:c>
      <x:c r="F254" s="6" t="str">
        <x:v>01 - Master Services</x:v>
      </x:c>
      <x:c r="G254" s="6" t="n">
        <x:v>293</x:v>
      </x:c>
      <x:c r="H254" s="12" t="str">
        <x:v>iPhone 14 Pro Charge Port Replacement</x:v>
      </x:c>
      <x:c r="I254" s="12" t="str">
        <x:v>iphone 14 pro charge port replacement</x:v>
      </x:c>
      <x:c r="J254" s="6" t="str">
        <x:v>SVC000253</x:v>
      </x:c>
      <x:c r="K254" s="12" t="str">
        <x:v>Contextual</x:v>
      </x:c>
      <x:c r="L254" s="12" t="str">
        <x:v>Source service identity preserved for manual review.</x:v>
      </x:c>
    </x:row>
    <x:row r="255">
      <x:c r="A255" s="12" t="str">
        <x:v>EVID-SIR-000254</x:v>
      </x:c>
      <x:c r="B255" s="6" t="str">
        <x:v>SIR-000254</x:v>
      </x:c>
      <x:c r="C255" s="6" t="str">
        <x:v>SVC000254</x:v>
      </x:c>
      <x:c r="D255" s="12" t="str">
        <x:v>Service Identity Observation</x:v>
      </x:c>
      <x:c r="E255" s="6" t="str">
        <x:v>Nocturnix_Master_Services_Catalog_v1.xlsx</x:v>
      </x:c>
      <x:c r="F255" s="6" t="str">
        <x:v>01 - Master Services</x:v>
      </x:c>
      <x:c r="G255" s="6" t="n">
        <x:v>294</x:v>
      </x:c>
      <x:c r="H255" s="12" t="str">
        <x:v>iPhone 14 Pro Max Charge Port Replacement</x:v>
      </x:c>
      <x:c r="I255" s="12" t="str">
        <x:v>iphone 14 pro max charge port replacement</x:v>
      </x:c>
      <x:c r="J255" s="6" t="str">
        <x:v>SVC000254</x:v>
      </x:c>
      <x:c r="K255" s="12" t="str">
        <x:v>Contextual</x:v>
      </x:c>
      <x:c r="L255" s="12" t="str">
        <x:v>Source service identity preserved for manual review.</x:v>
      </x:c>
    </x:row>
    <x:row r="256">
      <x:c r="A256" s="12" t="str">
        <x:v>EVID-SIR-000255</x:v>
      </x:c>
      <x:c r="B256" s="6" t="str">
        <x:v>SIR-000255</x:v>
      </x:c>
      <x:c r="C256" s="6" t="str">
        <x:v>SVC000255</x:v>
      </x:c>
      <x:c r="D256" s="12" t="str">
        <x:v>Service Identity Observation</x:v>
      </x:c>
      <x:c r="E256" s="6" t="str">
        <x:v>Nocturnix_Master_Services_Catalog_v1.xlsx</x:v>
      </x:c>
      <x:c r="F256" s="6" t="str">
        <x:v>01 - Master Services</x:v>
      </x:c>
      <x:c r="G256" s="6" t="n">
        <x:v>295</x:v>
      </x:c>
      <x:c r="H256" s="12" t="str">
        <x:v>iPhone 15 Charge Port Replacement</x:v>
      </x:c>
      <x:c r="I256" s="12" t="str">
        <x:v>iphone 15 charge port replacement</x:v>
      </x:c>
      <x:c r="J256" s="6" t="str">
        <x:v>SVC000255</x:v>
      </x:c>
      <x:c r="K256" s="12" t="str">
        <x:v>Contextual</x:v>
      </x:c>
      <x:c r="L256" s="12" t="str">
        <x:v>Source service identity preserved for manual review.</x:v>
      </x:c>
    </x:row>
    <x:row r="257">
      <x:c r="A257" s="12" t="str">
        <x:v>EVID-SIR-000256</x:v>
      </x:c>
      <x:c r="B257" s="6" t="str">
        <x:v>SIR-000256</x:v>
      </x:c>
      <x:c r="C257" s="6" t="str">
        <x:v>SVC000256</x:v>
      </x:c>
      <x:c r="D257" s="12" t="str">
        <x:v>Service Identity Observation</x:v>
      </x:c>
      <x:c r="E257" s="6" t="str">
        <x:v>Nocturnix_Master_Services_Catalog_v1.xlsx</x:v>
      </x:c>
      <x:c r="F257" s="6" t="str">
        <x:v>01 - Master Services</x:v>
      </x:c>
      <x:c r="G257" s="6" t="n">
        <x:v>296</x:v>
      </x:c>
      <x:c r="H257" s="12" t="str">
        <x:v>iPhone 15 Plus Charge Port Replacement</x:v>
      </x:c>
      <x:c r="I257" s="12" t="str">
        <x:v>iphone 15 plus charge port replacement</x:v>
      </x:c>
      <x:c r="J257" s="6" t="str">
        <x:v>SVC000256</x:v>
      </x:c>
      <x:c r="K257" s="12" t="str">
        <x:v>Contextual</x:v>
      </x:c>
      <x:c r="L257" s="12" t="str">
        <x:v>Source service identity preserved for manual review.</x:v>
      </x:c>
    </x:row>
    <x:row r="258">
      <x:c r="A258" s="12" t="str">
        <x:v>EVID-SIR-000257</x:v>
      </x:c>
      <x:c r="B258" s="6" t="str">
        <x:v>SIR-000257</x:v>
      </x:c>
      <x:c r="C258" s="6" t="str">
        <x:v>SVC000257</x:v>
      </x:c>
      <x:c r="D258" s="12" t="str">
        <x:v>Service Identity Observation</x:v>
      </x:c>
      <x:c r="E258" s="6" t="str">
        <x:v>Nocturnix_Master_Services_Catalog_v1.xlsx</x:v>
      </x:c>
      <x:c r="F258" s="6" t="str">
        <x:v>01 - Master Services</x:v>
      </x:c>
      <x:c r="G258" s="6" t="n">
        <x:v>297</x:v>
      </x:c>
      <x:c r="H258" s="12" t="str">
        <x:v>iPhone 15 Pro Phone Charge Port Replacement</x:v>
      </x:c>
      <x:c r="I258" s="12" t="str">
        <x:v>iphone 15 pro phone charge port replacement</x:v>
      </x:c>
      <x:c r="J258" s="6" t="str">
        <x:v>SVC000257</x:v>
      </x:c>
      <x:c r="K258" s="12" t="str">
        <x:v>Contextual</x:v>
      </x:c>
      <x:c r="L258" s="12" t="str">
        <x:v>Source service identity preserved for manual review.</x:v>
      </x:c>
    </x:row>
    <x:row r="259">
      <x:c r="A259" s="12" t="str">
        <x:v>EVID-SIR-000258</x:v>
      </x:c>
      <x:c r="B259" s="6" t="str">
        <x:v>SIR-000258</x:v>
      </x:c>
      <x:c r="C259" s="6" t="str">
        <x:v>SVC000258</x:v>
      </x:c>
      <x:c r="D259" s="12" t="str">
        <x:v>Service Identity Observation</x:v>
      </x:c>
      <x:c r="E259" s="6" t="str">
        <x:v>Nocturnix_Master_Services_Catalog_v1.xlsx</x:v>
      </x:c>
      <x:c r="F259" s="6" t="str">
        <x:v>01 - Master Services</x:v>
      </x:c>
      <x:c r="G259" s="6" t="n">
        <x:v>298</x:v>
      </x:c>
      <x:c r="H259" s="12" t="str">
        <x:v>iPhone 15 Pro Max Charge Port Replacement</x:v>
      </x:c>
      <x:c r="I259" s="12" t="str">
        <x:v>iphone 15 pro max charge port replacement</x:v>
      </x:c>
      <x:c r="J259" s="6" t="str">
        <x:v>SVC000258</x:v>
      </x:c>
      <x:c r="K259" s="12" t="str">
        <x:v>Contextual</x:v>
      </x:c>
      <x:c r="L259" s="12" t="str">
        <x:v>Source service identity preserved for manual review.</x:v>
      </x:c>
    </x:row>
    <x:row r="260">
      <x:c r="A260" s="12" t="str">
        <x:v>EVID-SIR-000259</x:v>
      </x:c>
      <x:c r="B260" s="6" t="str">
        <x:v>SIR-000259</x:v>
      </x:c>
      <x:c r="C260" s="6" t="str">
        <x:v>SVC000259</x:v>
      </x:c>
      <x:c r="D260" s="12" t="str">
        <x:v>Service Identity Observation</x:v>
      </x:c>
      <x:c r="E260" s="6" t="str">
        <x:v>Nocturnix_Master_Services_Catalog_v1.xlsx</x:v>
      </x:c>
      <x:c r="F260" s="6" t="str">
        <x:v>01 - Master Services</x:v>
      </x:c>
      <x:c r="G260" s="6" t="n">
        <x:v>299</x:v>
      </x:c>
      <x:c r="H260" s="12" t="str">
        <x:v>iPhone 16 Charge Port Replacement</x:v>
      </x:c>
      <x:c r="I260" s="12" t="str">
        <x:v>iphone 16 charge port replacement</x:v>
      </x:c>
      <x:c r="J260" s="6" t="str">
        <x:v>SVC000259</x:v>
      </x:c>
      <x:c r="K260" s="12" t="str">
        <x:v>Contextual</x:v>
      </x:c>
      <x:c r="L260" s="12" t="str">
        <x:v>Source service identity preserved for manual review.</x:v>
      </x:c>
    </x:row>
    <x:row r="261">
      <x:c r="A261" s="12" t="str">
        <x:v>EVID-SIR-000260</x:v>
      </x:c>
      <x:c r="B261" s="6" t="str">
        <x:v>SIR-000260</x:v>
      </x:c>
      <x:c r="C261" s="6" t="str">
        <x:v>SVC000260</x:v>
      </x:c>
      <x:c r="D261" s="12" t="str">
        <x:v>Service Identity Observation</x:v>
      </x:c>
      <x:c r="E261" s="6" t="str">
        <x:v>Nocturnix_Master_Services_Catalog_v1.xlsx</x:v>
      </x:c>
      <x:c r="F261" s="6" t="str">
        <x:v>01 - Master Services</x:v>
      </x:c>
      <x:c r="G261" s="6" t="n">
        <x:v>300</x:v>
      </x:c>
      <x:c r="H261" s="12" t="str">
        <x:v>iPhone 16 Plus Charge Port Replacement</x:v>
      </x:c>
      <x:c r="I261" s="12" t="str">
        <x:v>iphone 16 plus charge port replacement</x:v>
      </x:c>
      <x:c r="J261" s="6" t="str">
        <x:v>SVC000260</x:v>
      </x:c>
      <x:c r="K261" s="12" t="str">
        <x:v>Contextual</x:v>
      </x:c>
      <x:c r="L261" s="12" t="str">
        <x:v>Source service identity preserved for manual review.</x:v>
      </x:c>
    </x:row>
    <x:row r="262">
      <x:c r="A262" s="12" t="str">
        <x:v>EVID-SIR-000261</x:v>
      </x:c>
      <x:c r="B262" s="6" t="str">
        <x:v>SIR-000261</x:v>
      </x:c>
      <x:c r="C262" s="6" t="str">
        <x:v>SVC000261</x:v>
      </x:c>
      <x:c r="D262" s="12" t="str">
        <x:v>Service Identity Observation</x:v>
      </x:c>
      <x:c r="E262" s="6" t="str">
        <x:v>Nocturnix_Master_Services_Catalog_v1.xlsx</x:v>
      </x:c>
      <x:c r="F262" s="6" t="str">
        <x:v>01 - Master Services</x:v>
      </x:c>
      <x:c r="G262" s="6" t="n">
        <x:v>301</x:v>
      </x:c>
      <x:c r="H262" s="12" t="str">
        <x:v>iPhone 16 Pro Charge Port Replacement</x:v>
      </x:c>
      <x:c r="I262" s="12" t="str">
        <x:v>iphone 16 pro charge port replacement</x:v>
      </x:c>
      <x:c r="J262" s="6" t="str">
        <x:v>SVC000261</x:v>
      </x:c>
      <x:c r="K262" s="12" t="str">
        <x:v>Contextual</x:v>
      </x:c>
      <x:c r="L262" s="12" t="str">
        <x:v>Source service identity preserved for manual review.</x:v>
      </x:c>
    </x:row>
    <x:row r="263">
      <x:c r="A263" s="12" t="str">
        <x:v>EVID-SIR-000262</x:v>
      </x:c>
      <x:c r="B263" s="6" t="str">
        <x:v>SIR-000262</x:v>
      </x:c>
      <x:c r="C263" s="6" t="str">
        <x:v>SVC000262</x:v>
      </x:c>
      <x:c r="D263" s="12" t="str">
        <x:v>Service Identity Observation</x:v>
      </x:c>
      <x:c r="E263" s="6" t="str">
        <x:v>Nocturnix_Master_Services_Catalog_v1.xlsx</x:v>
      </x:c>
      <x:c r="F263" s="6" t="str">
        <x:v>01 - Master Services</x:v>
      </x:c>
      <x:c r="G263" s="6" t="n">
        <x:v>302</x:v>
      </x:c>
      <x:c r="H263" s="12" t="str">
        <x:v>iPhone 16 Pro Max Charge Port Replacement</x:v>
      </x:c>
      <x:c r="I263" s="12" t="str">
        <x:v>iphone 16 pro max charge port replacement</x:v>
      </x:c>
      <x:c r="J263" s="6" t="str">
        <x:v>SVC000262</x:v>
      </x:c>
      <x:c r="K263" s="12" t="str">
        <x:v>Contextual</x:v>
      </x:c>
      <x:c r="L263" s="12" t="str">
        <x:v>Source service identity preserved for manual review.</x:v>
      </x:c>
    </x:row>
    <x:row r="264">
      <x:c r="A264" s="12" t="str">
        <x:v>EVID-SIR-000263</x:v>
      </x:c>
      <x:c r="B264" s="6" t="str">
        <x:v>SIR-000263</x:v>
      </x:c>
      <x:c r="C264" s="6" t="str">
        <x:v>SVC000263</x:v>
      </x:c>
      <x:c r="D264" s="12" t="str">
        <x:v>Service Identity Observation</x:v>
      </x:c>
      <x:c r="E264" s="6" t="str">
        <x:v>Nocturnix_Master_Services_Catalog_v1.xlsx</x:v>
      </x:c>
      <x:c r="F264" s="6" t="str">
        <x:v>01 - Master Services</x:v>
      </x:c>
      <x:c r="G264" s="6" t="n">
        <x:v>303</x:v>
      </x:c>
      <x:c r="H264" s="12" t="str">
        <x:v>iPhone 16E Charge Port Replacement</x:v>
      </x:c>
      <x:c r="I264" s="12" t="str">
        <x:v>iphone 16e charge port replacement</x:v>
      </x:c>
      <x:c r="J264" s="6" t="str">
        <x:v>SVC000263</x:v>
      </x:c>
      <x:c r="K264" s="12" t="str">
        <x:v>Contextual</x:v>
      </x:c>
      <x:c r="L264" s="12" t="str">
        <x:v>Source service identity preserved for manual review.</x:v>
      </x:c>
    </x:row>
    <x:row r="265">
      <x:c r="A265" s="12" t="str">
        <x:v>EVID-SIR-000264</x:v>
      </x:c>
      <x:c r="B265" s="6" t="str">
        <x:v>SIR-000264</x:v>
      </x:c>
      <x:c r="C265" s="6" t="str">
        <x:v>SVC000264</x:v>
      </x:c>
      <x:c r="D265" s="12" t="str">
        <x:v>Service Identity Observation</x:v>
      </x:c>
      <x:c r="E265" s="6" t="str">
        <x:v>Nocturnix_Master_Services_Catalog_v1.xlsx</x:v>
      </x:c>
      <x:c r="F265" s="6" t="str">
        <x:v>01 - Master Services</x:v>
      </x:c>
      <x:c r="G265" s="6" t="n">
        <x:v>304</x:v>
      </x:c>
      <x:c r="H265" s="12" t="str">
        <x:v>iPhone 17 Charge Port Replacement</x:v>
      </x:c>
      <x:c r="I265" s="12" t="str">
        <x:v>iphone 17 charge port replacement</x:v>
      </x:c>
      <x:c r="J265" s="6" t="str">
        <x:v>SVC000264</x:v>
      </x:c>
      <x:c r="K265" s="12" t="str">
        <x:v>Contextual</x:v>
      </x:c>
      <x:c r="L265" s="12" t="str">
        <x:v>Source service identity preserved for manual review.</x:v>
      </x:c>
    </x:row>
    <x:row r="266">
      <x:c r="A266" s="12" t="str">
        <x:v>EVID-SIR-000265</x:v>
      </x:c>
      <x:c r="B266" s="6" t="str">
        <x:v>SIR-000265</x:v>
      </x:c>
      <x:c r="C266" s="6" t="str">
        <x:v>SVC000265</x:v>
      </x:c>
      <x:c r="D266" s="12" t="str">
        <x:v>Service Identity Observation</x:v>
      </x:c>
      <x:c r="E266" s="6" t="str">
        <x:v>Nocturnix_Master_Services_Catalog_v1.xlsx</x:v>
      </x:c>
      <x:c r="F266" s="6" t="str">
        <x:v>01 - Master Services</x:v>
      </x:c>
      <x:c r="G266" s="6" t="n">
        <x:v>305</x:v>
      </x:c>
      <x:c r="H266" s="12" t="str">
        <x:v>iPhone 17 Pro Charge Port Replacement</x:v>
      </x:c>
      <x:c r="I266" s="12" t="str">
        <x:v>iphone 17 pro charge port replacement</x:v>
      </x:c>
      <x:c r="J266" s="6" t="str">
        <x:v>SVC000265</x:v>
      </x:c>
      <x:c r="K266" s="12" t="str">
        <x:v>Contextual</x:v>
      </x:c>
      <x:c r="L266" s="12" t="str">
        <x:v>Source service identity preserved for manual review.</x:v>
      </x:c>
    </x:row>
    <x:row r="267">
      <x:c r="A267" s="12" t="str">
        <x:v>EVID-SIR-000266</x:v>
      </x:c>
      <x:c r="B267" s="6" t="str">
        <x:v>SIR-000266</x:v>
      </x:c>
      <x:c r="C267" s="6" t="str">
        <x:v>SVC000266</x:v>
      </x:c>
      <x:c r="D267" s="12" t="str">
        <x:v>Service Identity Observation</x:v>
      </x:c>
      <x:c r="E267" s="6" t="str">
        <x:v>Nocturnix_Master_Services_Catalog_v1.xlsx</x:v>
      </x:c>
      <x:c r="F267" s="6" t="str">
        <x:v>01 - Master Services</x:v>
      </x:c>
      <x:c r="G267" s="6" t="n">
        <x:v>306</x:v>
      </x:c>
      <x:c r="H267" s="12" t="str">
        <x:v>iPhone 17 Pro Max Phone* Charge Port Replacement</x:v>
      </x:c>
      <x:c r="I267" s="12" t="str">
        <x:v>iphone 17 pro max phone charge port replacement</x:v>
      </x:c>
      <x:c r="J267" s="6" t="str">
        <x:v>SVC000266</x:v>
      </x:c>
      <x:c r="K267" s="12" t="str">
        <x:v>Contextual</x:v>
      </x:c>
      <x:c r="L267" s="12" t="str">
        <x:v>Source service identity preserved for manual review.</x:v>
      </x:c>
    </x:row>
    <x:row r="268">
      <x:c r="A268" s="12" t="str">
        <x:v>EVID-SIR-000267</x:v>
      </x:c>
      <x:c r="B268" s="6" t="str">
        <x:v>SIR-000267</x:v>
      </x:c>
      <x:c r="C268" s="6" t="str">
        <x:v>SVC000267</x:v>
      </x:c>
      <x:c r="D268" s="12" t="str">
        <x:v>Service Identity Observation</x:v>
      </x:c>
      <x:c r="E268" s="6" t="str">
        <x:v>Nocturnix_Master_Services_Catalog_v1.xlsx</x:v>
      </x:c>
      <x:c r="F268" s="6" t="str">
        <x:v>01 - Master Services</x:v>
      </x:c>
      <x:c r="G268" s="6" t="n">
        <x:v>307</x:v>
      </x:c>
      <x:c r="H268" s="12" t="str">
        <x:v>iPhone Air Charge Port Replacement</x:v>
      </x:c>
      <x:c r="I268" s="12" t="str">
        <x:v>iphone air charge port replacement</x:v>
      </x:c>
      <x:c r="J268" s="6" t="str">
        <x:v>SVC000267</x:v>
      </x:c>
      <x:c r="K268" s="12" t="str">
        <x:v>Contextual</x:v>
      </x:c>
      <x:c r="L268" s="12" t="str">
        <x:v>Source service identity preserved for manual review.</x:v>
      </x:c>
    </x:row>
    <x:row r="269">
      <x:c r="A269" s="12" t="str">
        <x:v>EVID-SIR-000268</x:v>
      </x:c>
      <x:c r="B269" s="6" t="str">
        <x:v>SIR-000268</x:v>
      </x:c>
      <x:c r="C269" s="6" t="str">
        <x:v>SVC000268</x:v>
      </x:c>
      <x:c r="D269" s="12" t="str">
        <x:v>Service Identity Observation</x:v>
      </x:c>
      <x:c r="E269" s="6" t="str">
        <x:v>Nocturnix_Master_Services_Catalog_v1.xlsx</x:v>
      </x:c>
      <x:c r="F269" s="6" t="str">
        <x:v>01 - Master Services</x:v>
      </x:c>
      <x:c r="G269" s="6" t="n">
        <x:v>308</x:v>
      </x:c>
      <x:c r="H269" s="12" t="str">
        <x:v>nan Charge Port Replacement</x:v>
      </x:c>
      <x:c r="I269" s="12" t="str">
        <x:v>nan charge port replacement</x:v>
      </x:c>
      <x:c r="J269" s="6" t="str">
        <x:v>SVC000268</x:v>
      </x:c>
      <x:c r="K269" s="12" t="str">
        <x:v>Contextual</x:v>
      </x:c>
      <x:c r="L269" s="12" t="str">
        <x:v>Source service identity preserved for manual review.</x:v>
      </x:c>
    </x:row>
    <x:row r="270">
      <x:c r="A270" s="12" t="str">
        <x:v>EVID-SIR-000269</x:v>
      </x:c>
      <x:c r="B270" s="6" t="str">
        <x:v>SIR-000269</x:v>
      </x:c>
      <x:c r="C270" s="6" t="str">
        <x:v>SVC000269</x:v>
      </x:c>
      <x:c r="D270" s="12" t="str">
        <x:v>Service Identity Observation</x:v>
      </x:c>
      <x:c r="E270" s="6" t="str">
        <x:v>Nocturnix_Master_Services_Catalog_v1.xlsx</x:v>
      </x:c>
      <x:c r="F270" s="6" t="str">
        <x:v>01 - Master Services</x:v>
      </x:c>
      <x:c r="G270" s="6" t="n">
        <x:v>309</x:v>
      </x:c>
      <x:c r="H270" s="12" t="str">
        <x:v>Galaxy S Classic Charge Port Replacement</x:v>
      </x:c>
      <x:c r="I270" s="12" t="str">
        <x:v>galaxy s classic charge port replacement</x:v>
      </x:c>
      <x:c r="J270" s="6" t="str">
        <x:v>SVC000269</x:v>
      </x:c>
      <x:c r="K270" s="12" t="str">
        <x:v>Contextual</x:v>
      </x:c>
      <x:c r="L270" s="12" t="str">
        <x:v>Source service identity preserved for manual review.</x:v>
      </x:c>
    </x:row>
    <x:row r="271">
      <x:c r="A271" s="12" t="str">
        <x:v>EVID-SIR-000270</x:v>
      </x:c>
      <x:c r="B271" s="6" t="str">
        <x:v>SIR-000270</x:v>
      </x:c>
      <x:c r="C271" s="6" t="str">
        <x:v>SVC000270</x:v>
      </x:c>
      <x:c r="D271" s="12" t="str">
        <x:v>Service Identity Observation</x:v>
      </x:c>
      <x:c r="E271" s="6" t="str">
        <x:v>Nocturnix_Master_Services_Catalog_v1.xlsx</x:v>
      </x:c>
      <x:c r="F271" s="6" t="str">
        <x:v>01 - Master Services</x:v>
      </x:c>
      <x:c r="G271" s="6" t="n">
        <x:v>310</x:v>
      </x:c>
      <x:c r="H271" s="12" t="str">
        <x:v>Galaxy S2 Charge Port Replacement</x:v>
      </x:c>
      <x:c r="I271" s="12" t="str">
        <x:v>galaxy s2 charge port replacement</x:v>
      </x:c>
      <x:c r="J271" s="6" t="str">
        <x:v>SVC000270</x:v>
      </x:c>
      <x:c r="K271" s="12" t="str">
        <x:v>Contextual</x:v>
      </x:c>
      <x:c r="L271" s="12" t="str">
        <x:v>Source service identity preserved for manual review.</x:v>
      </x:c>
    </x:row>
    <x:row r="272">
      <x:c r="A272" s="12" t="str">
        <x:v>EVID-SIR-000271</x:v>
      </x:c>
      <x:c r="B272" s="6" t="str">
        <x:v>SIR-000271</x:v>
      </x:c>
      <x:c r="C272" s="6" t="str">
        <x:v>SVC000271</x:v>
      </x:c>
      <x:c r="D272" s="12" t="str">
        <x:v>Service Identity Observation</x:v>
      </x:c>
      <x:c r="E272" s="6" t="str">
        <x:v>Nocturnix_Master_Services_Catalog_v1.xlsx</x:v>
      </x:c>
      <x:c r="F272" s="6" t="str">
        <x:v>01 - Master Services</x:v>
      </x:c>
      <x:c r="G272" s="6" t="n">
        <x:v>311</x:v>
      </x:c>
      <x:c r="H272" s="12" t="str">
        <x:v>Galaxy S3 Charge Port Replacement</x:v>
      </x:c>
      <x:c r="I272" s="12" t="str">
        <x:v>galaxy s3 charge port replacement</x:v>
      </x:c>
      <x:c r="J272" s="6" t="str">
        <x:v>SVC000271</x:v>
      </x:c>
      <x:c r="K272" s="12" t="str">
        <x:v>Contextual</x:v>
      </x:c>
      <x:c r="L272" s="12" t="str">
        <x:v>Source service identity preserved for manual review.</x:v>
      </x:c>
    </x:row>
    <x:row r="273">
      <x:c r="A273" s="12" t="str">
        <x:v>EVID-SIR-000272</x:v>
      </x:c>
      <x:c r="B273" s="6" t="str">
        <x:v>SIR-000272</x:v>
      </x:c>
      <x:c r="C273" s="6" t="str">
        <x:v>SVC000272</x:v>
      </x:c>
      <x:c r="D273" s="12" t="str">
        <x:v>Service Identity Observation</x:v>
      </x:c>
      <x:c r="E273" s="6" t="str">
        <x:v>Nocturnix_Master_Services_Catalog_v1.xlsx</x:v>
      </x:c>
      <x:c r="F273" s="6" t="str">
        <x:v>01 - Master Services</x:v>
      </x:c>
      <x:c r="G273" s="6" t="n">
        <x:v>312</x:v>
      </x:c>
      <x:c r="H273" s="12" t="str">
        <x:v>Galaxy S3 Mini Charge Port Replacement</x:v>
      </x:c>
      <x:c r="I273" s="12" t="str">
        <x:v>galaxy s3 mini charge port replacement</x:v>
      </x:c>
      <x:c r="J273" s="6" t="str">
        <x:v>SVC000272</x:v>
      </x:c>
      <x:c r="K273" s="12" t="str">
        <x:v>Contextual</x:v>
      </x:c>
      <x:c r="L273" s="12" t="str">
        <x:v>Source service identity preserved for manual review.</x:v>
      </x:c>
    </x:row>
    <x:row r="274">
      <x:c r="A274" s="12" t="str">
        <x:v>EVID-SIR-000273</x:v>
      </x:c>
      <x:c r="B274" s="6" t="str">
        <x:v>SIR-000273</x:v>
      </x:c>
      <x:c r="C274" s="6" t="str">
        <x:v>SVC000273</x:v>
      </x:c>
      <x:c r="D274" s="12" t="str">
        <x:v>Service Identity Observation</x:v>
      </x:c>
      <x:c r="E274" s="6" t="str">
        <x:v>Nocturnix_Master_Services_Catalog_v1.xlsx</x:v>
      </x:c>
      <x:c r="F274" s="6" t="str">
        <x:v>01 - Master Services</x:v>
      </x:c>
      <x:c r="G274" s="6" t="n">
        <x:v>313</x:v>
      </x:c>
      <x:c r="H274" s="12" t="str">
        <x:v>Galaxy S3 Neo Charge Port Replacement</x:v>
      </x:c>
      <x:c r="I274" s="12" t="str">
        <x:v>galaxy s3 neo charge port replacement</x:v>
      </x:c>
      <x:c r="J274" s="6" t="str">
        <x:v>SVC000273</x:v>
      </x:c>
      <x:c r="K274" s="12" t="str">
        <x:v>Contextual</x:v>
      </x:c>
      <x:c r="L274" s="12" t="str">
        <x:v>Source service identity preserved for manual review.</x:v>
      </x:c>
    </x:row>
    <x:row r="275">
      <x:c r="A275" s="12" t="str">
        <x:v>EVID-SIR-000274</x:v>
      </x:c>
      <x:c r="B275" s="6" t="str">
        <x:v>SIR-000274</x:v>
      </x:c>
      <x:c r="C275" s="6" t="str">
        <x:v>SVC000274</x:v>
      </x:c>
      <x:c r="D275" s="12" t="str">
        <x:v>Service Identity Observation</x:v>
      </x:c>
      <x:c r="E275" s="6" t="str">
        <x:v>Nocturnix_Master_Services_Catalog_v1.xlsx</x:v>
      </x:c>
      <x:c r="F275" s="6" t="str">
        <x:v>01 - Master Services</x:v>
      </x:c>
      <x:c r="G275" s="6" t="n">
        <x:v>314</x:v>
      </x:c>
      <x:c r="H275" s="12" t="str">
        <x:v>Galaxy S4 Charge Port Replacement</x:v>
      </x:c>
      <x:c r="I275" s="12" t="str">
        <x:v>galaxy s4 charge port replacement</x:v>
      </x:c>
      <x:c r="J275" s="6" t="str">
        <x:v>SVC000274</x:v>
      </x:c>
      <x:c r="K275" s="12" t="str">
        <x:v>Contextual</x:v>
      </x:c>
      <x:c r="L275" s="12" t="str">
        <x:v>Source service identity preserved for manual review.</x:v>
      </x:c>
    </x:row>
    <x:row r="276">
      <x:c r="A276" s="12" t="str">
        <x:v>EVID-SIR-000275</x:v>
      </x:c>
      <x:c r="B276" s="6" t="str">
        <x:v>SIR-000275</x:v>
      </x:c>
      <x:c r="C276" s="6" t="str">
        <x:v>SVC000275</x:v>
      </x:c>
      <x:c r="D276" s="12" t="str">
        <x:v>Service Identity Observation</x:v>
      </x:c>
      <x:c r="E276" s="6" t="str">
        <x:v>Nocturnix_Master_Services_Catalog_v1.xlsx</x:v>
      </x:c>
      <x:c r="F276" s="6" t="str">
        <x:v>01 - Master Services</x:v>
      </x:c>
      <x:c r="G276" s="6" t="n">
        <x:v>315</x:v>
      </x:c>
      <x:c r="H276" s="12" t="str">
        <x:v>Galaxy S 4 Mini Charge Port Replacement</x:v>
      </x:c>
      <x:c r="I276" s="12" t="str">
        <x:v>galaxy s 4 mini charge port replacement</x:v>
      </x:c>
      <x:c r="J276" s="6" t="str">
        <x:v>SVC000275</x:v>
      </x:c>
      <x:c r="K276" s="12" t="str">
        <x:v>Contextual</x:v>
      </x:c>
      <x:c r="L276" s="12" t="str">
        <x:v>Source service identity preserved for manual review.</x:v>
      </x:c>
    </x:row>
    <x:row r="277">
      <x:c r="A277" s="12" t="str">
        <x:v>EVID-SIR-000276</x:v>
      </x:c>
      <x:c r="B277" s="6" t="str">
        <x:v>SIR-000276</x:v>
      </x:c>
      <x:c r="C277" s="6" t="str">
        <x:v>SVC000276</x:v>
      </x:c>
      <x:c r="D277" s="12" t="str">
        <x:v>Service Identity Observation</x:v>
      </x:c>
      <x:c r="E277" s="6" t="str">
        <x:v>Nocturnix_Master_Services_Catalog_v1.xlsx</x:v>
      </x:c>
      <x:c r="F277" s="6" t="str">
        <x:v>01 - Master Services</x:v>
      </x:c>
      <x:c r="G277" s="6" t="n">
        <x:v>316</x:v>
      </x:c>
      <x:c r="H277" s="12" t="str">
        <x:v>Galaxy S 4 Active Charge Port Replacement</x:v>
      </x:c>
      <x:c r="I277" s="12" t="str">
        <x:v>galaxy s 4 active charge port replacement</x:v>
      </x:c>
      <x:c r="J277" s="6" t="str">
        <x:v>SVC000276</x:v>
      </x:c>
      <x:c r="K277" s="12" t="str">
        <x:v>Contextual</x:v>
      </x:c>
      <x:c r="L277" s="12" t="str">
        <x:v>Source service identity preserved for manual review.</x:v>
      </x:c>
    </x:row>
    <x:row r="278">
      <x:c r="A278" s="12" t="str">
        <x:v>EVID-SIR-000277</x:v>
      </x:c>
      <x:c r="B278" s="6" t="str">
        <x:v>SIR-000277</x:v>
      </x:c>
      <x:c r="C278" s="6" t="str">
        <x:v>SVC000277</x:v>
      </x:c>
      <x:c r="D278" s="12" t="str">
        <x:v>Service Identity Observation</x:v>
      </x:c>
      <x:c r="E278" s="6" t="str">
        <x:v>Nocturnix_Master_Services_Catalog_v1.xlsx</x:v>
      </x:c>
      <x:c r="F278" s="6" t="str">
        <x:v>01 - Master Services</x:v>
      </x:c>
      <x:c r="G278" s="6" t="n">
        <x:v>317</x:v>
      </x:c>
      <x:c r="H278" s="12" t="str">
        <x:v>Galaxy S 5 Charge Port Replacement</x:v>
      </x:c>
      <x:c r="I278" s="12" t="str">
        <x:v>galaxy s 5 charge port replacement</x:v>
      </x:c>
      <x:c r="J278" s="6" t="str">
        <x:v>SVC000277</x:v>
      </x:c>
      <x:c r="K278" s="12" t="str">
        <x:v>Contextual</x:v>
      </x:c>
      <x:c r="L278" s="12" t="str">
        <x:v>Source service identity preserved for manual review.</x:v>
      </x:c>
    </x:row>
    <x:row r="279">
      <x:c r="A279" s="12" t="str">
        <x:v>EVID-SIR-000278</x:v>
      </x:c>
      <x:c r="B279" s="6" t="str">
        <x:v>SIR-000278</x:v>
      </x:c>
      <x:c r="C279" s="6" t="str">
        <x:v>SVC000278</x:v>
      </x:c>
      <x:c r="D279" s="12" t="str">
        <x:v>Service Identity Observation</x:v>
      </x:c>
      <x:c r="E279" s="6" t="str">
        <x:v>Nocturnix_Master_Services_Catalog_v1.xlsx</x:v>
      </x:c>
      <x:c r="F279" s="6" t="str">
        <x:v>01 - Master Services</x:v>
      </x:c>
      <x:c r="G279" s="6" t="n">
        <x:v>318</x:v>
      </x:c>
      <x:c r="H279" s="12" t="str">
        <x:v>Galaxy S 5 Neo Charge Port Replacement</x:v>
      </x:c>
      <x:c r="I279" s="12" t="str">
        <x:v>galaxy s 5 neo charge port replacement</x:v>
      </x:c>
      <x:c r="J279" s="6" t="str">
        <x:v>SVC000278</x:v>
      </x:c>
      <x:c r="K279" s="12" t="str">
        <x:v>Contextual</x:v>
      </x:c>
      <x:c r="L279" s="12" t="str">
        <x:v>Source service identity preserved for manual review.</x:v>
      </x:c>
    </x:row>
    <x:row r="280">
      <x:c r="A280" s="12" t="str">
        <x:v>EVID-SIR-000279</x:v>
      </x:c>
      <x:c r="B280" s="6" t="str">
        <x:v>SIR-000279</x:v>
      </x:c>
      <x:c r="C280" s="6" t="str">
        <x:v>SVC000279</x:v>
      </x:c>
      <x:c r="D280" s="12" t="str">
        <x:v>Service Identity Observation</x:v>
      </x:c>
      <x:c r="E280" s="6" t="str">
        <x:v>Nocturnix_Master_Services_Catalog_v1.xlsx</x:v>
      </x:c>
      <x:c r="F280" s="6" t="str">
        <x:v>01 - Master Services</x:v>
      </x:c>
      <x:c r="G280" s="6" t="n">
        <x:v>319</x:v>
      </x:c>
      <x:c r="H280" s="12" t="str">
        <x:v>Galaxy S 5 Active Charge Port Replacement</x:v>
      </x:c>
      <x:c r="I280" s="12" t="str">
        <x:v>galaxy s 5 active charge port replacement</x:v>
      </x:c>
      <x:c r="J280" s="6" t="str">
        <x:v>SVC000279</x:v>
      </x:c>
      <x:c r="K280" s="12" t="str">
        <x:v>Contextual</x:v>
      </x:c>
      <x:c r="L280" s="12" t="str">
        <x:v>Source service identity preserved for manual review.</x:v>
      </x:c>
    </x:row>
    <x:row r="281">
      <x:c r="A281" s="12" t="str">
        <x:v>EVID-SIR-000280</x:v>
      </x:c>
      <x:c r="B281" s="6" t="str">
        <x:v>SIR-000280</x:v>
      </x:c>
      <x:c r="C281" s="6" t="str">
        <x:v>SVC000280</x:v>
      </x:c>
      <x:c r="D281" s="12" t="str">
        <x:v>Service Identity Observation</x:v>
      </x:c>
      <x:c r="E281" s="6" t="str">
        <x:v>Nocturnix_Master_Services_Catalog_v1.xlsx</x:v>
      </x:c>
      <x:c r="F281" s="6" t="str">
        <x:v>01 - Master Services</x:v>
      </x:c>
      <x:c r="G281" s="6" t="n">
        <x:v>320</x:v>
      </x:c>
      <x:c r="H281" s="12" t="str">
        <x:v>Galaxy S 6 Charge Port Replacement</x:v>
      </x:c>
      <x:c r="I281" s="12" t="str">
        <x:v>galaxy s 6 charge port replacement</x:v>
      </x:c>
      <x:c r="J281" s="6" t="str">
        <x:v>SVC000280</x:v>
      </x:c>
      <x:c r="K281" s="12" t="str">
        <x:v>Contextual</x:v>
      </x:c>
      <x:c r="L281" s="12" t="str">
        <x:v>Source service identity preserved for manual review.</x:v>
      </x:c>
    </x:row>
    <x:row r="282">
      <x:c r="A282" s="12" t="str">
        <x:v>EVID-SIR-000281</x:v>
      </x:c>
      <x:c r="B282" s="6" t="str">
        <x:v>SIR-000281</x:v>
      </x:c>
      <x:c r="C282" s="6" t="str">
        <x:v>SVC000281</x:v>
      </x:c>
      <x:c r="D282" s="12" t="str">
        <x:v>Service Identity Observation</x:v>
      </x:c>
      <x:c r="E282" s="6" t="str">
        <x:v>Nocturnix_Master_Services_Catalog_v1.xlsx</x:v>
      </x:c>
      <x:c r="F282" s="6" t="str">
        <x:v>01 - Master Services</x:v>
      </x:c>
      <x:c r="G282" s="6" t="n">
        <x:v>321</x:v>
      </x:c>
      <x:c r="H282" s="12" t="str">
        <x:v>Galaxy S 6 Edge Charge Port Replacement</x:v>
      </x:c>
      <x:c r="I282" s="12" t="str">
        <x:v>galaxy s 6 edge charge port replacement</x:v>
      </x:c>
      <x:c r="J282" s="6" t="str">
        <x:v>SVC000281</x:v>
      </x:c>
      <x:c r="K282" s="12" t="str">
        <x:v>Contextual</x:v>
      </x:c>
      <x:c r="L282" s="12" t="str">
        <x:v>Source service identity preserved for manual review.</x:v>
      </x:c>
    </x:row>
    <x:row r="283">
      <x:c r="A283" s="12" t="str">
        <x:v>EVID-SIR-000282</x:v>
      </x:c>
      <x:c r="B283" s="6" t="str">
        <x:v>SIR-000282</x:v>
      </x:c>
      <x:c r="C283" s="6" t="str">
        <x:v>SVC000282</x:v>
      </x:c>
      <x:c r="D283" s="12" t="str">
        <x:v>Service Identity Observation</x:v>
      </x:c>
      <x:c r="E283" s="6" t="str">
        <x:v>Nocturnix_Master_Services_Catalog_v1.xlsx</x:v>
      </x:c>
      <x:c r="F283" s="6" t="str">
        <x:v>01 - Master Services</x:v>
      </x:c>
      <x:c r="G283" s="6" t="n">
        <x:v>322</x:v>
      </x:c>
      <x:c r="H283" s="12" t="str">
        <x:v>Galaxy S 6 Edge Plus Charge Port Replacement</x:v>
      </x:c>
      <x:c r="I283" s="12" t="str">
        <x:v>galaxy s 6 edge plus charge port replacement</x:v>
      </x:c>
      <x:c r="J283" s="6" t="str">
        <x:v>SVC000282</x:v>
      </x:c>
      <x:c r="K283" s="12" t="str">
        <x:v>Contextual</x:v>
      </x:c>
      <x:c r="L283" s="12" t="str">
        <x:v>Source service identity preserved for manual review.</x:v>
      </x:c>
    </x:row>
    <x:row r="284">
      <x:c r="A284" s="12" t="str">
        <x:v>EVID-SIR-000283</x:v>
      </x:c>
      <x:c r="B284" s="6" t="str">
        <x:v>SIR-000283</x:v>
      </x:c>
      <x:c r="C284" s="6" t="str">
        <x:v>SVC000283</x:v>
      </x:c>
      <x:c r="D284" s="12" t="str">
        <x:v>Service Identity Observation</x:v>
      </x:c>
      <x:c r="E284" s="6" t="str">
        <x:v>Nocturnix_Master_Services_Catalog_v1.xlsx</x:v>
      </x:c>
      <x:c r="F284" s="6" t="str">
        <x:v>01 - Master Services</x:v>
      </x:c>
      <x:c r="G284" s="6" t="n">
        <x:v>323</x:v>
      </x:c>
      <x:c r="H284" s="12" t="str">
        <x:v>Galaxy S 6 Active Charge Port Replacement</x:v>
      </x:c>
      <x:c r="I284" s="12" t="str">
        <x:v>galaxy s 6 active charge port replacement</x:v>
      </x:c>
      <x:c r="J284" s="6" t="str">
        <x:v>SVC000283</x:v>
      </x:c>
      <x:c r="K284" s="12" t="str">
        <x:v>Contextual</x:v>
      </x:c>
      <x:c r="L284" s="12" t="str">
        <x:v>Source service identity preserved for manual review.</x:v>
      </x:c>
    </x:row>
    <x:row r="285">
      <x:c r="A285" s="12" t="str">
        <x:v>EVID-SIR-000284</x:v>
      </x:c>
      <x:c r="B285" s="6" t="str">
        <x:v>SIR-000284</x:v>
      </x:c>
      <x:c r="C285" s="6" t="str">
        <x:v>SVC000284</x:v>
      </x:c>
      <x:c r="D285" s="12" t="str">
        <x:v>Service Identity Observation</x:v>
      </x:c>
      <x:c r="E285" s="6" t="str">
        <x:v>Nocturnix_Master_Services_Catalog_v1.xlsx</x:v>
      </x:c>
      <x:c r="F285" s="6" t="str">
        <x:v>01 - Master Services</x:v>
      </x:c>
      <x:c r="G285" s="6" t="n">
        <x:v>324</x:v>
      </x:c>
      <x:c r="H285" s="12" t="str">
        <x:v>Galaxy S 7 Charge Port Replacement</x:v>
      </x:c>
      <x:c r="I285" s="12" t="str">
        <x:v>galaxy s 7 charge port replacement</x:v>
      </x:c>
      <x:c r="J285" s="6" t="str">
        <x:v>SVC000284</x:v>
      </x:c>
      <x:c r="K285" s="12" t="str">
        <x:v>Contextual</x:v>
      </x:c>
      <x:c r="L285" s="12" t="str">
        <x:v>Source service identity preserved for manual review.</x:v>
      </x:c>
    </x:row>
    <x:row r="286">
      <x:c r="A286" s="12" t="str">
        <x:v>EVID-SIR-000285</x:v>
      </x:c>
      <x:c r="B286" s="6" t="str">
        <x:v>SIR-000285</x:v>
      </x:c>
      <x:c r="C286" s="6" t="str">
        <x:v>SVC000285</x:v>
      </x:c>
      <x:c r="D286" s="12" t="str">
        <x:v>Service Identity Observation</x:v>
      </x:c>
      <x:c r="E286" s="6" t="str">
        <x:v>Nocturnix_Master_Services_Catalog_v1.xlsx</x:v>
      </x:c>
      <x:c r="F286" s="6" t="str">
        <x:v>01 - Master Services</x:v>
      </x:c>
      <x:c r="G286" s="6" t="n">
        <x:v>325</x:v>
      </x:c>
      <x:c r="H286" s="12" t="str">
        <x:v>Galaxy S 7 Edge Charge Port Replacement</x:v>
      </x:c>
      <x:c r="I286" s="12" t="str">
        <x:v>galaxy s 7 edge charge port replacement</x:v>
      </x:c>
      <x:c r="J286" s="6" t="str">
        <x:v>SVC000285</x:v>
      </x:c>
      <x:c r="K286" s="12" t="str">
        <x:v>Contextual</x:v>
      </x:c>
      <x:c r="L286" s="12" t="str">
        <x:v>Source service identity preserved for manual review.</x:v>
      </x:c>
    </x:row>
    <x:row r="287">
      <x:c r="A287" s="12" t="str">
        <x:v>EVID-SIR-000286</x:v>
      </x:c>
      <x:c r="B287" s="6" t="str">
        <x:v>SIR-000286</x:v>
      </x:c>
      <x:c r="C287" s="6" t="str">
        <x:v>SVC000286</x:v>
      </x:c>
      <x:c r="D287" s="12" t="str">
        <x:v>Service Identity Observation</x:v>
      </x:c>
      <x:c r="E287" s="6" t="str">
        <x:v>Nocturnix_Master_Services_Catalog_v1.xlsx</x:v>
      </x:c>
      <x:c r="F287" s="6" t="str">
        <x:v>01 - Master Services</x:v>
      </x:c>
      <x:c r="G287" s="6" t="n">
        <x:v>326</x:v>
      </x:c>
      <x:c r="H287" s="12" t="str">
        <x:v>Galaxy S 7 Active Charge Port Replacement</x:v>
      </x:c>
      <x:c r="I287" s="12" t="str">
        <x:v>galaxy s 7 active charge port replacement</x:v>
      </x:c>
      <x:c r="J287" s="6" t="str">
        <x:v>SVC000286</x:v>
      </x:c>
      <x:c r="K287" s="12" t="str">
        <x:v>Contextual</x:v>
      </x:c>
      <x:c r="L287" s="12" t="str">
        <x:v>Source service identity preserved for manual review.</x:v>
      </x:c>
    </x:row>
    <x:row r="288">
      <x:c r="A288" s="12" t="str">
        <x:v>EVID-SIR-000287</x:v>
      </x:c>
      <x:c r="B288" s="6" t="str">
        <x:v>SIR-000287</x:v>
      </x:c>
      <x:c r="C288" s="6" t="str">
        <x:v>SVC000287</x:v>
      </x:c>
      <x:c r="D288" s="12" t="str">
        <x:v>Service Identity Observation</x:v>
      </x:c>
      <x:c r="E288" s="6" t="str">
        <x:v>Nocturnix_Master_Services_Catalog_v1.xlsx</x:v>
      </x:c>
      <x:c r="F288" s="6" t="str">
        <x:v>01 - Master Services</x:v>
      </x:c>
      <x:c r="G288" s="6" t="n">
        <x:v>327</x:v>
      </x:c>
      <x:c r="H288" s="12" t="str">
        <x:v>Galaxy S 8 Charge Port Replacement</x:v>
      </x:c>
      <x:c r="I288" s="12" t="str">
        <x:v>galaxy s 8 charge port replacement</x:v>
      </x:c>
      <x:c r="J288" s="6" t="str">
        <x:v>SVC000287</x:v>
      </x:c>
      <x:c r="K288" s="12" t="str">
        <x:v>Contextual</x:v>
      </x:c>
      <x:c r="L288" s="12" t="str">
        <x:v>Source service identity preserved for manual review.</x:v>
      </x:c>
    </x:row>
    <x:row r="289">
      <x:c r="A289" s="12" t="str">
        <x:v>EVID-SIR-000288</x:v>
      </x:c>
      <x:c r="B289" s="6" t="str">
        <x:v>SIR-000288</x:v>
      </x:c>
      <x:c r="C289" s="6" t="str">
        <x:v>SVC000288</x:v>
      </x:c>
      <x:c r="D289" s="12" t="str">
        <x:v>Service Identity Observation</x:v>
      </x:c>
      <x:c r="E289" s="6" t="str">
        <x:v>Nocturnix_Master_Services_Catalog_v1.xlsx</x:v>
      </x:c>
      <x:c r="F289" s="6" t="str">
        <x:v>01 - Master Services</x:v>
      </x:c>
      <x:c r="G289" s="6" t="n">
        <x:v>328</x:v>
      </x:c>
      <x:c r="H289" s="12" t="str">
        <x:v>Galaxy S 8 Plus Charge Port Replacement</x:v>
      </x:c>
      <x:c r="I289" s="12" t="str">
        <x:v>galaxy s 8 plus charge port replacement</x:v>
      </x:c>
      <x:c r="J289" s="6" t="str">
        <x:v>SVC000288</x:v>
      </x:c>
      <x:c r="K289" s="12" t="str">
        <x:v>Contextual</x:v>
      </x:c>
      <x:c r="L289" s="12" t="str">
        <x:v>Source service identity preserved for manual review.</x:v>
      </x:c>
    </x:row>
    <x:row r="290">
      <x:c r="A290" s="12" t="str">
        <x:v>EVID-SIR-000289</x:v>
      </x:c>
      <x:c r="B290" s="6" t="str">
        <x:v>SIR-000289</x:v>
      </x:c>
      <x:c r="C290" s="6" t="str">
        <x:v>SVC000289</x:v>
      </x:c>
      <x:c r="D290" s="12" t="str">
        <x:v>Service Identity Observation</x:v>
      </x:c>
      <x:c r="E290" s="6" t="str">
        <x:v>Nocturnix_Master_Services_Catalog_v1.xlsx</x:v>
      </x:c>
      <x:c r="F290" s="6" t="str">
        <x:v>01 - Master Services</x:v>
      </x:c>
      <x:c r="G290" s="6" t="n">
        <x:v>329</x:v>
      </x:c>
      <x:c r="H290" s="12" t="str">
        <x:v>Galaxy S 8 Active Charge Port Replacement</x:v>
      </x:c>
      <x:c r="I290" s="12" t="str">
        <x:v>galaxy s 8 active charge port replacement</x:v>
      </x:c>
      <x:c r="J290" s="6" t="str">
        <x:v>SVC000289</x:v>
      </x:c>
      <x:c r="K290" s="12" t="str">
        <x:v>Contextual</x:v>
      </x:c>
      <x:c r="L290" s="12" t="str">
        <x:v>Source service identity preserved for manual review.</x:v>
      </x:c>
    </x:row>
    <x:row r="291">
      <x:c r="A291" s="12" t="str">
        <x:v>EVID-SIR-000290</x:v>
      </x:c>
      <x:c r="B291" s="6" t="str">
        <x:v>SIR-000290</x:v>
      </x:c>
      <x:c r="C291" s="6" t="str">
        <x:v>SVC000290</x:v>
      </x:c>
      <x:c r="D291" s="12" t="str">
        <x:v>Service Identity Observation</x:v>
      </x:c>
      <x:c r="E291" s="6" t="str">
        <x:v>Nocturnix_Master_Services_Catalog_v1.xlsx</x:v>
      </x:c>
      <x:c r="F291" s="6" t="str">
        <x:v>01 - Master Services</x:v>
      </x:c>
      <x:c r="G291" s="6" t="n">
        <x:v>330</x:v>
      </x:c>
      <x:c r="H291" s="12" t="str">
        <x:v>Galaxy S 9 Charge Port Replacement</x:v>
      </x:c>
      <x:c r="I291" s="12" t="str">
        <x:v>galaxy s 9 charge port replacement</x:v>
      </x:c>
      <x:c r="J291" s="6" t="str">
        <x:v>SVC000290</x:v>
      </x:c>
      <x:c r="K291" s="12" t="str">
        <x:v>Contextual</x:v>
      </x:c>
      <x:c r="L291" s="12" t="str">
        <x:v>Source service identity preserved for manual review.</x:v>
      </x:c>
    </x:row>
    <x:row r="292">
      <x:c r="A292" s="12" t="str">
        <x:v>EVID-SIR-000291</x:v>
      </x:c>
      <x:c r="B292" s="6" t="str">
        <x:v>SIR-000291</x:v>
      </x:c>
      <x:c r="C292" s="6" t="str">
        <x:v>SVC000291</x:v>
      </x:c>
      <x:c r="D292" s="12" t="str">
        <x:v>Service Identity Observation</x:v>
      </x:c>
      <x:c r="E292" s="6" t="str">
        <x:v>Nocturnix_Master_Services_Catalog_v1.xlsx</x:v>
      </x:c>
      <x:c r="F292" s="6" t="str">
        <x:v>01 - Master Services</x:v>
      </x:c>
      <x:c r="G292" s="6" t="n">
        <x:v>331</x:v>
      </x:c>
      <x:c r="H292" s="12" t="str">
        <x:v>Galaxy S 9 Plus Charge Port Replacement</x:v>
      </x:c>
      <x:c r="I292" s="12" t="str">
        <x:v>galaxy s 9 plus charge port replacement</x:v>
      </x:c>
      <x:c r="J292" s="6" t="str">
        <x:v>SVC000291</x:v>
      </x:c>
      <x:c r="K292" s="12" t="str">
        <x:v>Contextual</x:v>
      </x:c>
      <x:c r="L292" s="12" t="str">
        <x:v>Source service identity preserved for manual review.</x:v>
      </x:c>
    </x:row>
    <x:row r="293">
      <x:c r="A293" s="12" t="str">
        <x:v>EVID-SIR-000292</x:v>
      </x:c>
      <x:c r="B293" s="6" t="str">
        <x:v>SIR-000292</x:v>
      </x:c>
      <x:c r="C293" s="6" t="str">
        <x:v>SVC000292</x:v>
      </x:c>
      <x:c r="D293" s="12" t="str">
        <x:v>Service Identity Observation</x:v>
      </x:c>
      <x:c r="E293" s="6" t="str">
        <x:v>Nocturnix_Master_Services_Catalog_v1.xlsx</x:v>
      </x:c>
      <x:c r="F293" s="6" t="str">
        <x:v>01 - Master Services</x:v>
      </x:c>
      <x:c r="G293" s="6" t="n">
        <x:v>332</x:v>
      </x:c>
      <x:c r="H293" s="12" t="str">
        <x:v>Galaxy S 10 Charge Port Replacement</x:v>
      </x:c>
      <x:c r="I293" s="12" t="str">
        <x:v>galaxy s 10 charge port replacement</x:v>
      </x:c>
      <x:c r="J293" s="6" t="str">
        <x:v>SVC000292</x:v>
      </x:c>
      <x:c r="K293" s="12" t="str">
        <x:v>Contextual</x:v>
      </x:c>
      <x:c r="L293" s="12" t="str">
        <x:v>Source service identity preserved for manual review.</x:v>
      </x:c>
    </x:row>
    <x:row r="294">
      <x:c r="A294" s="12" t="str">
        <x:v>EVID-SIR-000293</x:v>
      </x:c>
      <x:c r="B294" s="6" t="str">
        <x:v>SIR-000293</x:v>
      </x:c>
      <x:c r="C294" s="6" t="str">
        <x:v>SVC000293</x:v>
      </x:c>
      <x:c r="D294" s="12" t="str">
        <x:v>Service Identity Observation</x:v>
      </x:c>
      <x:c r="E294" s="6" t="str">
        <x:v>Nocturnix_Master_Services_Catalog_v1.xlsx</x:v>
      </x:c>
      <x:c r="F294" s="6" t="str">
        <x:v>01 - Master Services</x:v>
      </x:c>
      <x:c r="G294" s="6" t="n">
        <x:v>333</x:v>
      </x:c>
      <x:c r="H294" s="12" t="str">
        <x:v>Galaxy S 10 Plus Charge Port Replacement</x:v>
      </x:c>
      <x:c r="I294" s="12" t="str">
        <x:v>galaxy s 10 plus charge port replacement</x:v>
      </x:c>
      <x:c r="J294" s="6" t="str">
        <x:v>SVC000293</x:v>
      </x:c>
      <x:c r="K294" s="12" t="str">
        <x:v>Contextual</x:v>
      </x:c>
      <x:c r="L294" s="12" t="str">
        <x:v>Source service identity preserved for manual review.</x:v>
      </x:c>
    </x:row>
    <x:row r="295">
      <x:c r="A295" s="12" t="str">
        <x:v>EVID-SIR-000294</x:v>
      </x:c>
      <x:c r="B295" s="6" t="str">
        <x:v>SIR-000294</x:v>
      </x:c>
      <x:c r="C295" s="6" t="str">
        <x:v>SVC000294</x:v>
      </x:c>
      <x:c r="D295" s="12" t="str">
        <x:v>Service Identity Observation</x:v>
      </x:c>
      <x:c r="E295" s="6" t="str">
        <x:v>Nocturnix_Master_Services_Catalog_v1.xlsx</x:v>
      </x:c>
      <x:c r="F295" s="6" t="str">
        <x:v>01 - Master Services</x:v>
      </x:c>
      <x:c r="G295" s="6" t="n">
        <x:v>334</x:v>
      </x:c>
      <x:c r="H295" s="12" t="str">
        <x:v>Galaxy S 10 E Charge Port Replacement</x:v>
      </x:c>
      <x:c r="I295" s="12" t="str">
        <x:v>galaxy s 10 e charge port replacement</x:v>
      </x:c>
      <x:c r="J295" s="6" t="str">
        <x:v>SVC000294</x:v>
      </x:c>
      <x:c r="K295" s="12" t="str">
        <x:v>Contextual</x:v>
      </x:c>
      <x:c r="L295" s="12" t="str">
        <x:v>Source service identity preserved for manual review.</x:v>
      </x:c>
    </x:row>
    <x:row r="296">
      <x:c r="A296" s="12" t="str">
        <x:v>EVID-SIR-000295</x:v>
      </x:c>
      <x:c r="B296" s="6" t="str">
        <x:v>SIR-000295</x:v>
      </x:c>
      <x:c r="C296" s="6" t="str">
        <x:v>SVC000295</x:v>
      </x:c>
      <x:c r="D296" s="12" t="str">
        <x:v>Service Identity Observation</x:v>
      </x:c>
      <x:c r="E296" s="6" t="str">
        <x:v>Nocturnix_Master_Services_Catalog_v1.xlsx</x:v>
      </x:c>
      <x:c r="F296" s="6" t="str">
        <x:v>01 - Master Services</x:v>
      </x:c>
      <x:c r="G296" s="6" t="n">
        <x:v>335</x:v>
      </x:c>
      <x:c r="H296" s="12" t="str">
        <x:v>Galaxy Note 8 Charge Port Replacement</x:v>
      </x:c>
      <x:c r="I296" s="12" t="str">
        <x:v>galaxy note 8 charge port replacement</x:v>
      </x:c>
      <x:c r="J296" s="6" t="str">
        <x:v>SVC000295</x:v>
      </x:c>
      <x:c r="K296" s="12" t="str">
        <x:v>Contextual</x:v>
      </x:c>
      <x:c r="L296" s="12" t="str">
        <x:v>Source service identity preserved for manual review.</x:v>
      </x:c>
    </x:row>
    <x:row r="297">
      <x:c r="A297" s="12" t="str">
        <x:v>EVID-SIR-000296</x:v>
      </x:c>
      <x:c r="B297" s="6" t="str">
        <x:v>SIR-000296</x:v>
      </x:c>
      <x:c r="C297" s="6" t="str">
        <x:v>SVC000296</x:v>
      </x:c>
      <x:c r="D297" s="12" t="str">
        <x:v>Service Identity Observation</x:v>
      </x:c>
      <x:c r="E297" s="6" t="str">
        <x:v>Nocturnix_Master_Services_Catalog_v1.xlsx</x:v>
      </x:c>
      <x:c r="F297" s="6" t="str">
        <x:v>01 - Master Services</x:v>
      </x:c>
      <x:c r="G297" s="6" t="n">
        <x:v>336</x:v>
      </x:c>
      <x:c r="H297" s="12" t="str">
        <x:v>Galaxy Note 9 Charge Port Replacement</x:v>
      </x:c>
      <x:c r="I297" s="12" t="str">
        <x:v>galaxy note 9 charge port replacement</x:v>
      </x:c>
      <x:c r="J297" s="6" t="str">
        <x:v>SVC000296</x:v>
      </x:c>
      <x:c r="K297" s="12" t="str">
        <x:v>Contextual</x:v>
      </x:c>
      <x:c r="L297" s="12" t="str">
        <x:v>Source service identity preserved for manual review.</x:v>
      </x:c>
    </x:row>
    <x:row r="298">
      <x:c r="A298" s="12" t="str">
        <x:v>EVID-SIR-000297</x:v>
      </x:c>
      <x:c r="B298" s="6" t="str">
        <x:v>SIR-000297</x:v>
      </x:c>
      <x:c r="C298" s="6" t="str">
        <x:v>SVC000297</x:v>
      </x:c>
      <x:c r="D298" s="12" t="str">
        <x:v>Service Identity Observation</x:v>
      </x:c>
      <x:c r="E298" s="6" t="str">
        <x:v>Nocturnix_Master_Services_Catalog_v1.xlsx</x:v>
      </x:c>
      <x:c r="F298" s="6" t="str">
        <x:v>01 - Master Services</x:v>
      </x:c>
      <x:c r="G298" s="6" t="n">
        <x:v>337</x:v>
      </x:c>
      <x:c r="H298" s="12" t="str">
        <x:v>Galaxy Note 10 Plus Charge Port Replacement</x:v>
      </x:c>
      <x:c r="I298" s="12" t="str">
        <x:v>galaxy note 10 plus charge port replacement</x:v>
      </x:c>
      <x:c r="J298" s="6" t="str">
        <x:v>SVC000297</x:v>
      </x:c>
      <x:c r="K298" s="12" t="str">
        <x:v>Contextual</x:v>
      </x:c>
      <x:c r="L298" s="12" t="str">
        <x:v>Source service identity preserved for manual review.</x:v>
      </x:c>
    </x:row>
    <x:row r="299">
      <x:c r="A299" s="12" t="str">
        <x:v>EVID-SIR-000298</x:v>
      </x:c>
      <x:c r="B299" s="6" t="str">
        <x:v>SIR-000298</x:v>
      </x:c>
      <x:c r="C299" s="6" t="str">
        <x:v>SVC000298</x:v>
      </x:c>
      <x:c r="D299" s="12" t="str">
        <x:v>Service Identity Observation</x:v>
      </x:c>
      <x:c r="E299" s="6" t="str">
        <x:v>Nocturnix_Master_Services_Catalog_v1.xlsx</x:v>
      </x:c>
      <x:c r="F299" s="6" t="str">
        <x:v>01 - Master Services</x:v>
      </x:c>
      <x:c r="G299" s="6" t="n">
        <x:v>338</x:v>
      </x:c>
      <x:c r="H299" s="12" t="str">
        <x:v>Galaxy S 20 Charge Port Replacement</x:v>
      </x:c>
      <x:c r="I299" s="12" t="str">
        <x:v>galaxy s 20 charge port replacement</x:v>
      </x:c>
      <x:c r="J299" s="6" t="str">
        <x:v>SVC000298</x:v>
      </x:c>
      <x:c r="K299" s="12" t="str">
        <x:v>Contextual</x:v>
      </x:c>
      <x:c r="L299" s="12" t="str">
        <x:v>Source service identity preserved for manual review.</x:v>
      </x:c>
    </x:row>
    <x:row r="300">
      <x:c r="A300" s="12" t="str">
        <x:v>EVID-SIR-000299</x:v>
      </x:c>
      <x:c r="B300" s="6" t="str">
        <x:v>SIR-000299</x:v>
      </x:c>
      <x:c r="C300" s="6" t="str">
        <x:v>SVC000299</x:v>
      </x:c>
      <x:c r="D300" s="12" t="str">
        <x:v>Service Identity Observation</x:v>
      </x:c>
      <x:c r="E300" s="6" t="str">
        <x:v>Nocturnix_Master_Services_Catalog_v1.xlsx</x:v>
      </x:c>
      <x:c r="F300" s="6" t="str">
        <x:v>01 - Master Services</x:v>
      </x:c>
      <x:c r="G300" s="6" t="n">
        <x:v>339</x:v>
      </x:c>
      <x:c r="H300" s="12" t="str">
        <x:v>Galaxy S 20 Plus Charge Port Replacement</x:v>
      </x:c>
      <x:c r="I300" s="12" t="str">
        <x:v>galaxy s 20 plus charge port replacement</x:v>
      </x:c>
      <x:c r="J300" s="6" t="str">
        <x:v>SVC000299</x:v>
      </x:c>
      <x:c r="K300" s="12" t="str">
        <x:v>Contextual</x:v>
      </x:c>
      <x:c r="L300" s="12" t="str">
        <x:v>Source service identity preserved for manual review.</x:v>
      </x:c>
    </x:row>
    <x:row r="301">
      <x:c r="A301" s="12" t="str">
        <x:v>EVID-SIR-000300</x:v>
      </x:c>
      <x:c r="B301" s="6" t="str">
        <x:v>SIR-000300</x:v>
      </x:c>
      <x:c r="C301" s="6" t="str">
        <x:v>SVC000300</x:v>
      </x:c>
      <x:c r="D301" s="12" t="str">
        <x:v>Service Identity Observation</x:v>
      </x:c>
      <x:c r="E301" s="6" t="str">
        <x:v>Nocturnix_Master_Services_Catalog_v1.xlsx</x:v>
      </x:c>
      <x:c r="F301" s="6" t="str">
        <x:v>01 - Master Services</x:v>
      </x:c>
      <x:c r="G301" s="6" t="n">
        <x:v>340</x:v>
      </x:c>
      <x:c r="H301" s="12" t="str">
        <x:v>Galaxy S 20 Ultra Charge Port Replacement</x:v>
      </x:c>
      <x:c r="I301" s="12" t="str">
        <x:v>galaxy s 20 ultra charge port replacement</x:v>
      </x:c>
      <x:c r="J301" s="6" t="str">
        <x:v>SVC000300</x:v>
      </x:c>
      <x:c r="K301" s="12" t="str">
        <x:v>Contextual</x:v>
      </x:c>
      <x:c r="L301" s="12" t="str">
        <x:v>Source service identity preserved for manual review.</x:v>
      </x:c>
    </x:row>
    <x:row r="302">
      <x:c r="A302" s="12" t="str">
        <x:v>EVID-SIR-000301</x:v>
      </x:c>
      <x:c r="B302" s="6" t="str">
        <x:v>SIR-000301</x:v>
      </x:c>
      <x:c r="C302" s="6" t="str">
        <x:v>SVC000301</x:v>
      </x:c>
      <x:c r="D302" s="12" t="str">
        <x:v>Service Identity Observation</x:v>
      </x:c>
      <x:c r="E302" s="6" t="str">
        <x:v>Nocturnix_Master_Services_Catalog_v1.xlsx</x:v>
      </x:c>
      <x:c r="F302" s="6" t="str">
        <x:v>01 - Master Services</x:v>
      </x:c>
      <x:c r="G302" s="6" t="n">
        <x:v>341</x:v>
      </x:c>
      <x:c r="H302" s="12" t="str">
        <x:v>Galaxy S 20 FE Charge Port Replacement</x:v>
      </x:c>
      <x:c r="I302" s="12" t="str">
        <x:v>galaxy s 20 fe charge port replacement</x:v>
      </x:c>
      <x:c r="J302" s="6" t="str">
        <x:v>SVC000301</x:v>
      </x:c>
      <x:c r="K302" s="12" t="str">
        <x:v>Contextual</x:v>
      </x:c>
      <x:c r="L302" s="12" t="str">
        <x:v>Source service identity preserved for manual review.</x:v>
      </x:c>
    </x:row>
    <x:row r="303">
      <x:c r="A303" s="12" t="str">
        <x:v>EVID-SIR-000302</x:v>
      </x:c>
      <x:c r="B303" s="6" t="str">
        <x:v>SIR-000302</x:v>
      </x:c>
      <x:c r="C303" s="6" t="str">
        <x:v>SVC000302</x:v>
      </x:c>
      <x:c r="D303" s="12" t="str">
        <x:v>Service Identity Observation</x:v>
      </x:c>
      <x:c r="E303" s="6" t="str">
        <x:v>Nocturnix_Master_Services_Catalog_v1.xlsx</x:v>
      </x:c>
      <x:c r="F303" s="6" t="str">
        <x:v>01 - Master Services</x:v>
      </x:c>
      <x:c r="G303" s="6" t="n">
        <x:v>342</x:v>
      </x:c>
      <x:c r="H303" s="12" t="str">
        <x:v>Galaxy S 21 Charge Port Replacement</x:v>
      </x:c>
      <x:c r="I303" s="12" t="str">
        <x:v>galaxy s 21 charge port replacement</x:v>
      </x:c>
      <x:c r="J303" s="6" t="str">
        <x:v>SVC000302</x:v>
      </x:c>
      <x:c r="K303" s="12" t="str">
        <x:v>Contextual</x:v>
      </x:c>
      <x:c r="L303" s="12" t="str">
        <x:v>Source service identity preserved for manual review.</x:v>
      </x:c>
    </x:row>
    <x:row r="304">
      <x:c r="A304" s="12" t="str">
        <x:v>EVID-SIR-000303</x:v>
      </x:c>
      <x:c r="B304" s="6" t="str">
        <x:v>SIR-000303</x:v>
      </x:c>
      <x:c r="C304" s="6" t="str">
        <x:v>SVC000303</x:v>
      </x:c>
      <x:c r="D304" s="12" t="str">
        <x:v>Service Identity Observation</x:v>
      </x:c>
      <x:c r="E304" s="6" t="str">
        <x:v>Nocturnix_Master_Services_Catalog_v1.xlsx</x:v>
      </x:c>
      <x:c r="F304" s="6" t="str">
        <x:v>01 - Master Services</x:v>
      </x:c>
      <x:c r="G304" s="6" t="n">
        <x:v>343</x:v>
      </x:c>
      <x:c r="H304" s="12" t="str">
        <x:v>Galaxy S 21 Plus Charge Port Replacement</x:v>
      </x:c>
      <x:c r="I304" s="12" t="str">
        <x:v>galaxy s 21 plus charge port replacement</x:v>
      </x:c>
      <x:c r="J304" s="6" t="str">
        <x:v>SVC000303</x:v>
      </x:c>
      <x:c r="K304" s="12" t="str">
        <x:v>Contextual</x:v>
      </x:c>
      <x:c r="L304" s="12" t="str">
        <x:v>Source service identity preserved for manual review.</x:v>
      </x:c>
    </x:row>
    <x:row r="305">
      <x:c r="A305" s="12" t="str">
        <x:v>EVID-SIR-000304</x:v>
      </x:c>
      <x:c r="B305" s="6" t="str">
        <x:v>SIR-000304</x:v>
      </x:c>
      <x:c r="C305" s="6" t="str">
        <x:v>SVC000304</x:v>
      </x:c>
      <x:c r="D305" s="12" t="str">
        <x:v>Service Identity Observation</x:v>
      </x:c>
      <x:c r="E305" s="6" t="str">
        <x:v>Nocturnix_Master_Services_Catalog_v1.xlsx</x:v>
      </x:c>
      <x:c r="F305" s="6" t="str">
        <x:v>01 - Master Services</x:v>
      </x:c>
      <x:c r="G305" s="6" t="n">
        <x:v>344</x:v>
      </x:c>
      <x:c r="H305" s="12" t="str">
        <x:v>Galaxy S 21 FE Charge Port Replacement</x:v>
      </x:c>
      <x:c r="I305" s="12" t="str">
        <x:v>galaxy s 21 fe charge port replacement</x:v>
      </x:c>
      <x:c r="J305" s="6" t="str">
        <x:v>SVC000304</x:v>
      </x:c>
      <x:c r="K305" s="12" t="str">
        <x:v>Contextual</x:v>
      </x:c>
      <x:c r="L305" s="12" t="str">
        <x:v>Source service identity preserved for manual review.</x:v>
      </x:c>
    </x:row>
    <x:row r="306">
      <x:c r="A306" s="12" t="str">
        <x:v>EVID-SIR-000305</x:v>
      </x:c>
      <x:c r="B306" s="6" t="str">
        <x:v>SIR-000305</x:v>
      </x:c>
      <x:c r="C306" s="6" t="str">
        <x:v>SVC000305</x:v>
      </x:c>
      <x:c r="D306" s="12" t="str">
        <x:v>Service Identity Observation</x:v>
      </x:c>
      <x:c r="E306" s="6" t="str">
        <x:v>Nocturnix_Master_Services_Catalog_v1.xlsx</x:v>
      </x:c>
      <x:c r="F306" s="6" t="str">
        <x:v>01 - Master Services</x:v>
      </x:c>
      <x:c r="G306" s="6" t="n">
        <x:v>345</x:v>
      </x:c>
      <x:c r="H306" s="12" t="str">
        <x:v>Galaxy S 22 Charge Port Replacement</x:v>
      </x:c>
      <x:c r="I306" s="12" t="str">
        <x:v>galaxy s 22 charge port replacement</x:v>
      </x:c>
      <x:c r="J306" s="6" t="str">
        <x:v>SVC000305</x:v>
      </x:c>
      <x:c r="K306" s="12" t="str">
        <x:v>Contextual</x:v>
      </x:c>
      <x:c r="L306" s="12" t="str">
        <x:v>Source service identity preserved for manual review.</x:v>
      </x:c>
    </x:row>
    <x:row r="307">
      <x:c r="A307" s="12" t="str">
        <x:v>EVID-SIR-000306</x:v>
      </x:c>
      <x:c r="B307" s="6" t="str">
        <x:v>SIR-000306</x:v>
      </x:c>
      <x:c r="C307" s="6" t="str">
        <x:v>SVC000306</x:v>
      </x:c>
      <x:c r="D307" s="12" t="str">
        <x:v>Service Identity Observation</x:v>
      </x:c>
      <x:c r="E307" s="6" t="str">
        <x:v>Nocturnix_Master_Services_Catalog_v1.xlsx</x:v>
      </x:c>
      <x:c r="F307" s="6" t="str">
        <x:v>01 - Master Services</x:v>
      </x:c>
      <x:c r="G307" s="6" t="n">
        <x:v>346</x:v>
      </x:c>
      <x:c r="H307" s="12" t="str">
        <x:v>Galaxy S 22 Plus Charge Port Replacement</x:v>
      </x:c>
      <x:c r="I307" s="12" t="str">
        <x:v>galaxy s 22 plus charge port replacement</x:v>
      </x:c>
      <x:c r="J307" s="6" t="str">
        <x:v>SVC000306</x:v>
      </x:c>
      <x:c r="K307" s="12" t="str">
        <x:v>Contextual</x:v>
      </x:c>
      <x:c r="L307" s="12" t="str">
        <x:v>Source service identity preserved for manual review.</x:v>
      </x:c>
    </x:row>
    <x:row r="308">
      <x:c r="A308" s="12" t="str">
        <x:v>EVID-SIR-000307</x:v>
      </x:c>
      <x:c r="B308" s="6" t="str">
        <x:v>SIR-000307</x:v>
      </x:c>
      <x:c r="C308" s="6" t="str">
        <x:v>SVC000307</x:v>
      </x:c>
      <x:c r="D308" s="12" t="str">
        <x:v>Service Identity Observation</x:v>
      </x:c>
      <x:c r="E308" s="6" t="str">
        <x:v>Nocturnix_Master_Services_Catalog_v1.xlsx</x:v>
      </x:c>
      <x:c r="F308" s="6" t="str">
        <x:v>01 - Master Services</x:v>
      </x:c>
      <x:c r="G308" s="6" t="n">
        <x:v>347</x:v>
      </x:c>
      <x:c r="H308" s="12" t="str">
        <x:v>Galaxy S 22 Ultra Charge Port Replacement</x:v>
      </x:c>
      <x:c r="I308" s="12" t="str">
        <x:v>galaxy s 22 ultra charge port replacement</x:v>
      </x:c>
      <x:c r="J308" s="6" t="str">
        <x:v>SVC000307</x:v>
      </x:c>
      <x:c r="K308" s="12" t="str">
        <x:v>Contextual</x:v>
      </x:c>
      <x:c r="L308" s="12" t="str">
        <x:v>Source service identity preserved for manual review.</x:v>
      </x:c>
    </x:row>
    <x:row r="309">
      <x:c r="A309" s="12" t="str">
        <x:v>EVID-SIR-000308</x:v>
      </x:c>
      <x:c r="B309" s="6" t="str">
        <x:v>SIR-000308</x:v>
      </x:c>
      <x:c r="C309" s="6" t="str">
        <x:v>SVC000308</x:v>
      </x:c>
      <x:c r="D309" s="12" t="str">
        <x:v>Service Identity Observation</x:v>
      </x:c>
      <x:c r="E309" s="6" t="str">
        <x:v>Nocturnix_Master_Services_Catalog_v1.xlsx</x:v>
      </x:c>
      <x:c r="F309" s="6" t="str">
        <x:v>01 - Master Services</x:v>
      </x:c>
      <x:c r="G309" s="6" t="n">
        <x:v>348</x:v>
      </x:c>
      <x:c r="H309" s="12" t="str">
        <x:v>Galaxy S 23 Charge Port Replacement</x:v>
      </x:c>
      <x:c r="I309" s="12" t="str">
        <x:v>galaxy s 23 charge port replacement</x:v>
      </x:c>
      <x:c r="J309" s="6" t="str">
        <x:v>SVC000308</x:v>
      </x:c>
      <x:c r="K309" s="12" t="str">
        <x:v>Contextual</x:v>
      </x:c>
      <x:c r="L309" s="12" t="str">
        <x:v>Source service identity preserved for manual review.</x:v>
      </x:c>
    </x:row>
    <x:row r="310">
      <x:c r="A310" s="12" t="str">
        <x:v>EVID-SIR-000309</x:v>
      </x:c>
      <x:c r="B310" s="6" t="str">
        <x:v>SIR-000309</x:v>
      </x:c>
      <x:c r="C310" s="6" t="str">
        <x:v>SVC000309</x:v>
      </x:c>
      <x:c r="D310" s="12" t="str">
        <x:v>Service Identity Observation</x:v>
      </x:c>
      <x:c r="E310" s="6" t="str">
        <x:v>Nocturnix_Master_Services_Catalog_v1.xlsx</x:v>
      </x:c>
      <x:c r="F310" s="6" t="str">
        <x:v>01 - Master Services</x:v>
      </x:c>
      <x:c r="G310" s="6" t="n">
        <x:v>349</x:v>
      </x:c>
      <x:c r="H310" s="12" t="str">
        <x:v>Galaxy S 23 Plus Charge Port Replacement</x:v>
      </x:c>
      <x:c r="I310" s="12" t="str">
        <x:v>galaxy s 23 plus charge port replacement</x:v>
      </x:c>
      <x:c r="J310" s="6" t="str">
        <x:v>SVC000309</x:v>
      </x:c>
      <x:c r="K310" s="12" t="str">
        <x:v>Contextual</x:v>
      </x:c>
      <x:c r="L310" s="12" t="str">
        <x:v>Source service identity preserved for manual review.</x:v>
      </x:c>
    </x:row>
    <x:row r="311">
      <x:c r="A311" s="12" t="str">
        <x:v>EVID-SIR-000310</x:v>
      </x:c>
      <x:c r="B311" s="6" t="str">
        <x:v>SIR-000310</x:v>
      </x:c>
      <x:c r="C311" s="6" t="str">
        <x:v>SVC000310</x:v>
      </x:c>
      <x:c r="D311" s="12" t="str">
        <x:v>Service Identity Observation</x:v>
      </x:c>
      <x:c r="E311" s="6" t="str">
        <x:v>Nocturnix_Master_Services_Catalog_v1.xlsx</x:v>
      </x:c>
      <x:c r="F311" s="6" t="str">
        <x:v>01 - Master Services</x:v>
      </x:c>
      <x:c r="G311" s="6" t="n">
        <x:v>350</x:v>
      </x:c>
      <x:c r="H311" s="12" t="str">
        <x:v>Galaxy S 23 Ultra Charge Port Replacement</x:v>
      </x:c>
      <x:c r="I311" s="12" t="str">
        <x:v>galaxy s 23 ultra charge port replacement</x:v>
      </x:c>
      <x:c r="J311" s="6" t="str">
        <x:v>SVC000310</x:v>
      </x:c>
      <x:c r="K311" s="12" t="str">
        <x:v>Contextual</x:v>
      </x:c>
      <x:c r="L311" s="12" t="str">
        <x:v>Source service identity preserved for manual review.</x:v>
      </x:c>
    </x:row>
    <x:row r="312">
      <x:c r="A312" s="12" t="str">
        <x:v>EVID-SIR-000311</x:v>
      </x:c>
      <x:c r="B312" s="6" t="str">
        <x:v>SIR-000311</x:v>
      </x:c>
      <x:c r="C312" s="6" t="str">
        <x:v>SVC000311</x:v>
      </x:c>
      <x:c r="D312" s="12" t="str">
        <x:v>Service Identity Observation</x:v>
      </x:c>
      <x:c r="E312" s="6" t="str">
        <x:v>Nocturnix_Master_Services_Catalog_v1.xlsx</x:v>
      </x:c>
      <x:c r="F312" s="6" t="str">
        <x:v>01 - Master Services</x:v>
      </x:c>
      <x:c r="G312" s="6" t="n">
        <x:v>351</x:v>
      </x:c>
      <x:c r="H312" s="12" t="str">
        <x:v>Galaxy S 23 FE Charge Port Replacement</x:v>
      </x:c>
      <x:c r="I312" s="12" t="str">
        <x:v>galaxy s 23 fe charge port replacement</x:v>
      </x:c>
      <x:c r="J312" s="6" t="str">
        <x:v>SVC000311</x:v>
      </x:c>
      <x:c r="K312" s="12" t="str">
        <x:v>Contextual</x:v>
      </x:c>
      <x:c r="L312" s="12" t="str">
        <x:v>Source service identity preserved for manual review.</x:v>
      </x:c>
    </x:row>
    <x:row r="313">
      <x:c r="A313" s="12" t="str">
        <x:v>EVID-SIR-000312</x:v>
      </x:c>
      <x:c r="B313" s="6" t="str">
        <x:v>SIR-000312</x:v>
      </x:c>
      <x:c r="C313" s="6" t="str">
        <x:v>SVC000312</x:v>
      </x:c>
      <x:c r="D313" s="12" t="str">
        <x:v>Service Identity Observation</x:v>
      </x:c>
      <x:c r="E313" s="6" t="str">
        <x:v>Nocturnix_Master_Services_Catalog_v1.xlsx</x:v>
      </x:c>
      <x:c r="F313" s="6" t="str">
        <x:v>01 - Master Services</x:v>
      </x:c>
      <x:c r="G313" s="6" t="n">
        <x:v>352</x:v>
      </x:c>
      <x:c r="H313" s="12" t="str">
        <x:v>Galaxy S 24 Charge Port Replacement</x:v>
      </x:c>
      <x:c r="I313" s="12" t="str">
        <x:v>galaxy s 24 charge port replacement</x:v>
      </x:c>
      <x:c r="J313" s="6" t="str">
        <x:v>SVC000312</x:v>
      </x:c>
      <x:c r="K313" s="12" t="str">
        <x:v>Contextual</x:v>
      </x:c>
      <x:c r="L313" s="12" t="str">
        <x:v>Source service identity preserved for manual review.</x:v>
      </x:c>
    </x:row>
    <x:row r="314">
      <x:c r="A314" s="12" t="str">
        <x:v>EVID-SIR-000313</x:v>
      </x:c>
      <x:c r="B314" s="6" t="str">
        <x:v>SIR-000313</x:v>
      </x:c>
      <x:c r="C314" s="6" t="str">
        <x:v>SVC000313</x:v>
      </x:c>
      <x:c r="D314" s="12" t="str">
        <x:v>Service Identity Observation</x:v>
      </x:c>
      <x:c r="E314" s="6" t="str">
        <x:v>Nocturnix_Master_Services_Catalog_v1.xlsx</x:v>
      </x:c>
      <x:c r="F314" s="6" t="str">
        <x:v>01 - Master Services</x:v>
      </x:c>
      <x:c r="G314" s="6" t="n">
        <x:v>353</x:v>
      </x:c>
      <x:c r="H314" s="12" t="str">
        <x:v>Galaxy S 24 Plus Charge Port Replacement</x:v>
      </x:c>
      <x:c r="I314" s="12" t="str">
        <x:v>galaxy s 24 plus charge port replacement</x:v>
      </x:c>
      <x:c r="J314" s="6" t="str">
        <x:v>SVC000313</x:v>
      </x:c>
      <x:c r="K314" s="12" t="str">
        <x:v>Contextual</x:v>
      </x:c>
      <x:c r="L314" s="12" t="str">
        <x:v>Source service identity preserved for manual review.</x:v>
      </x:c>
    </x:row>
    <x:row r="315">
      <x:c r="A315" s="12" t="str">
        <x:v>EVID-SIR-000314</x:v>
      </x:c>
      <x:c r="B315" s="6" t="str">
        <x:v>SIR-000314</x:v>
      </x:c>
      <x:c r="C315" s="6" t="str">
        <x:v>SVC000314</x:v>
      </x:c>
      <x:c r="D315" s="12" t="str">
        <x:v>Service Identity Observation</x:v>
      </x:c>
      <x:c r="E315" s="6" t="str">
        <x:v>Nocturnix_Master_Services_Catalog_v1.xlsx</x:v>
      </x:c>
      <x:c r="F315" s="6" t="str">
        <x:v>01 - Master Services</x:v>
      </x:c>
      <x:c r="G315" s="6" t="n">
        <x:v>354</x:v>
      </x:c>
      <x:c r="H315" s="12" t="str">
        <x:v>Galaxy S 24 Ultra Charge Port Replacement</x:v>
      </x:c>
      <x:c r="I315" s="12" t="str">
        <x:v>galaxy s 24 ultra charge port replacement</x:v>
      </x:c>
      <x:c r="J315" s="6" t="str">
        <x:v>SVC000314</x:v>
      </x:c>
      <x:c r="K315" s="12" t="str">
        <x:v>Contextual</x:v>
      </x:c>
      <x:c r="L315" s="12" t="str">
        <x:v>Source service identity preserved for manual review.</x:v>
      </x:c>
    </x:row>
    <x:row r="316">
      <x:c r="A316" s="12" t="str">
        <x:v>EVID-UNS-000001</x:v>
      </x:c>
      <x:c r="B316" s="6" t="str">
        <x:v>UNS000001</x:v>
      </x:c>
      <x:c r="C316" s="6" t="str">
        <x:v>SVC000001</x:v>
      </x:c>
      <x:c r="D316" s="12" t="str">
        <x:v>Unsupported Relationship</x:v>
      </x:c>
      <x:c r="E316" s="6" t="str">
        <x:v>Nocturnix_Master_Compatibility_Catalog_v1.xlsx</x:v>
      </x:c>
      <x:c r="F316" s="6" t="str">
        <x:v>01 - Compatibility Records</x:v>
      </x:c>
      <x:c r="G316" s="6" t="n">
        <x:v>41</x:v>
      </x:c>
      <x:c r="H316" s="12" t="str">
        <x:v>PHN</x:v>
      </x:c>
      <x:c r="I316" s="12" t="str">
        <x:v>phn</x:v>
      </x:c>
      <x:c r="J316" s="6" t="str"/>
      <x:c r="K316" s="12" t="str">
        <x:v>Unsupported</x:v>
      </x:c>
      <x:c r="L316" s="12" t="str">
        <x:v>Device family alone is insufficient for governed relationship.</x:v>
      </x:c>
    </x:row>
    <x:row r="317">
      <x:c r="A317" s="12" t="str">
        <x:v>EVID-UNS-000002</x:v>
      </x:c>
      <x:c r="B317" s="6" t="str">
        <x:v>UNS000002</x:v>
      </x:c>
      <x:c r="C317" s="6" t="str">
        <x:v>SVC000002</x:v>
      </x:c>
      <x:c r="D317" s="12" t="str">
        <x:v>Unsupported Relationship</x:v>
      </x:c>
      <x:c r="E317" s="6" t="str">
        <x:v>Nocturnix_Master_Compatibility_Catalog_v1.xlsx</x:v>
      </x:c>
      <x:c r="F317" s="6" t="str">
        <x:v>01 - Compatibility Records</x:v>
      </x:c>
      <x:c r="G317" s="6" t="n">
        <x:v>42</x:v>
      </x:c>
      <x:c r="H317" s="12" t="str">
        <x:v>PHN</x:v>
      </x:c>
      <x:c r="I317" s="12" t="str">
        <x:v>phn</x:v>
      </x:c>
      <x:c r="J317" s="6" t="str"/>
      <x:c r="K317" s="12" t="str">
        <x:v>Unsupported</x:v>
      </x:c>
      <x:c r="L317" s="12" t="str">
        <x:v>Device family alone is insufficient for governed relationship.</x:v>
      </x:c>
    </x:row>
    <x:row r="318">
      <x:c r="A318" s="12" t="str">
        <x:v>EVID-UNS-000003</x:v>
      </x:c>
      <x:c r="B318" s="6" t="str">
        <x:v>UNS000003</x:v>
      </x:c>
      <x:c r="C318" s="6" t="str">
        <x:v>SVC000003</x:v>
      </x:c>
      <x:c r="D318" s="12" t="str">
        <x:v>Unsupported Relationship</x:v>
      </x:c>
      <x:c r="E318" s="6" t="str">
        <x:v>Nocturnix_Master_Compatibility_Catalog_v1.xlsx</x:v>
      </x:c>
      <x:c r="F318" s="6" t="str">
        <x:v>01 - Compatibility Records</x:v>
      </x:c>
      <x:c r="G318" s="6" t="n">
        <x:v>43</x:v>
      </x:c>
      <x:c r="H318" s="12" t="str">
        <x:v>PHN</x:v>
      </x:c>
      <x:c r="I318" s="12" t="str">
        <x:v>phn</x:v>
      </x:c>
      <x:c r="J318" s="6" t="str"/>
      <x:c r="K318" s="12" t="str">
        <x:v>Unsupported</x:v>
      </x:c>
      <x:c r="L318" s="12" t="str">
        <x:v>Device family alone is insufficient for governed relationship.</x:v>
      </x:c>
    </x:row>
    <x:row r="319">
      <x:c r="A319" s="12" t="str">
        <x:v>EVID-UNS-000004</x:v>
      </x:c>
      <x:c r="B319" s="6" t="str">
        <x:v>UNS000004</x:v>
      </x:c>
      <x:c r="C319" s="6" t="str">
        <x:v>SVC000004</x:v>
      </x:c>
      <x:c r="D319" s="12" t="str">
        <x:v>Unsupported Relationship</x:v>
      </x:c>
      <x:c r="E319" s="6" t="str">
        <x:v>Nocturnix_Master_Compatibility_Catalog_v1.xlsx</x:v>
      </x:c>
      <x:c r="F319" s="6" t="str">
        <x:v>01 - Compatibility Records</x:v>
      </x:c>
      <x:c r="G319" s="6" t="n">
        <x:v>44</x:v>
      </x:c>
      <x:c r="H319" s="12" t="str">
        <x:v>PHN</x:v>
      </x:c>
      <x:c r="I319" s="12" t="str">
        <x:v>phn</x:v>
      </x:c>
      <x:c r="J319" s="6" t="str"/>
      <x:c r="K319" s="12" t="str">
        <x:v>Unsupported</x:v>
      </x:c>
      <x:c r="L319" s="12" t="str">
        <x:v>Device family alone is insufficient for governed relationship.</x:v>
      </x:c>
    </x:row>
    <x:row r="320">
      <x:c r="A320" s="12" t="str">
        <x:v>EVID-UNS-000005</x:v>
      </x:c>
      <x:c r="B320" s="6" t="str">
        <x:v>UNS000005</x:v>
      </x:c>
      <x:c r="C320" s="6" t="str">
        <x:v>SVC000005</x:v>
      </x:c>
      <x:c r="D320" s="12" t="str">
        <x:v>Unsupported Relationship</x:v>
      </x:c>
      <x:c r="E320" s="6" t="str">
        <x:v>Nocturnix_Master_Compatibility_Catalog_v1.xlsx</x:v>
      </x:c>
      <x:c r="F320" s="6" t="str">
        <x:v>01 - Compatibility Records</x:v>
      </x:c>
      <x:c r="G320" s="6" t="n">
        <x:v>45</x:v>
      </x:c>
      <x:c r="H320" s="12" t="str">
        <x:v>PHN</x:v>
      </x:c>
      <x:c r="I320" s="12" t="str">
        <x:v>phn</x:v>
      </x:c>
      <x:c r="J320" s="6" t="str"/>
      <x:c r="K320" s="12" t="str">
        <x:v>Unsupported</x:v>
      </x:c>
      <x:c r="L320" s="12" t="str">
        <x:v>Device family alone is insufficient for governed relationship.</x:v>
      </x:c>
    </x:row>
    <x:row r="321">
      <x:c r="A321" s="12" t="str">
        <x:v>EVID-UNS-000006</x:v>
      </x:c>
      <x:c r="B321" s="6" t="str">
        <x:v>UNS000006</x:v>
      </x:c>
      <x:c r="C321" s="6" t="str">
        <x:v>SVC000006</x:v>
      </x:c>
      <x:c r="D321" s="12" t="str">
        <x:v>Unsupported Relationship</x:v>
      </x:c>
      <x:c r="E321" s="6" t="str">
        <x:v>Nocturnix_Master_Compatibility_Catalog_v1.xlsx</x:v>
      </x:c>
      <x:c r="F321" s="6" t="str">
        <x:v>01 - Compatibility Records</x:v>
      </x:c>
      <x:c r="G321" s="6" t="n">
        <x:v>46</x:v>
      </x:c>
      <x:c r="H321" s="12" t="str">
        <x:v>PHN</x:v>
      </x:c>
      <x:c r="I321" s="12" t="str">
        <x:v>phn</x:v>
      </x:c>
      <x:c r="J321" s="6" t="str"/>
      <x:c r="K321" s="12" t="str">
        <x:v>Unsupported</x:v>
      </x:c>
      <x:c r="L321" s="12" t="str">
        <x:v>Device family alone is insufficient for governed relationship.</x:v>
      </x:c>
    </x:row>
    <x:row r="322">
      <x:c r="A322" s="12" t="str">
        <x:v>EVID-UNS-000007</x:v>
      </x:c>
      <x:c r="B322" s="6" t="str">
        <x:v>UNS000007</x:v>
      </x:c>
      <x:c r="C322" s="6" t="str">
        <x:v>SVC000007</x:v>
      </x:c>
      <x:c r="D322" s="12" t="str">
        <x:v>Unsupported Relationship</x:v>
      </x:c>
      <x:c r="E322" s="6" t="str">
        <x:v>Nocturnix_Master_Compatibility_Catalog_v1.xlsx</x:v>
      </x:c>
      <x:c r="F322" s="6" t="str">
        <x:v>01 - Compatibility Records</x:v>
      </x:c>
      <x:c r="G322" s="6" t="n">
        <x:v>47</x:v>
      </x:c>
      <x:c r="H322" s="12" t="str">
        <x:v>PHN</x:v>
      </x:c>
      <x:c r="I322" s="12" t="str">
        <x:v>phn</x:v>
      </x:c>
      <x:c r="J322" s="6" t="str"/>
      <x:c r="K322" s="12" t="str">
        <x:v>Unsupported</x:v>
      </x:c>
      <x:c r="L322" s="12" t="str">
        <x:v>Device family alone is insufficient for governed relationship.</x:v>
      </x:c>
    </x:row>
    <x:row r="323">
      <x:c r="A323" s="12" t="str">
        <x:v>EVID-UNS-000008</x:v>
      </x:c>
      <x:c r="B323" s="6" t="str">
        <x:v>UNS000008</x:v>
      </x:c>
      <x:c r="C323" s="6" t="str">
        <x:v>SVC000008</x:v>
      </x:c>
      <x:c r="D323" s="12" t="str">
        <x:v>Unsupported Relationship</x:v>
      </x:c>
      <x:c r="E323" s="6" t="str">
        <x:v>Nocturnix_Master_Compatibility_Catalog_v1.xlsx</x:v>
      </x:c>
      <x:c r="F323" s="6" t="str">
        <x:v>01 - Compatibility Records</x:v>
      </x:c>
      <x:c r="G323" s="6" t="n">
        <x:v>48</x:v>
      </x:c>
      <x:c r="H323" s="12" t="str">
        <x:v>PHN</x:v>
      </x:c>
      <x:c r="I323" s="12" t="str">
        <x:v>phn</x:v>
      </x:c>
      <x:c r="J323" s="6" t="str"/>
      <x:c r="K323" s="12" t="str">
        <x:v>Unsupported</x:v>
      </x:c>
      <x:c r="L323" s="12" t="str">
        <x:v>Device family alone is insufficient for governed relationship.</x:v>
      </x:c>
    </x:row>
    <x:row r="324">
      <x:c r="A324" s="12" t="str">
        <x:v>EVID-UNS-000009</x:v>
      </x:c>
      <x:c r="B324" s="6" t="str">
        <x:v>UNS000009</x:v>
      </x:c>
      <x:c r="C324" s="6" t="str">
        <x:v>SVC000009</x:v>
      </x:c>
      <x:c r="D324" s="12" t="str">
        <x:v>Unsupported Relationship</x:v>
      </x:c>
      <x:c r="E324" s="6" t="str">
        <x:v>Nocturnix_Master_Compatibility_Catalog_v1.xlsx</x:v>
      </x:c>
      <x:c r="F324" s="6" t="str">
        <x:v>01 - Compatibility Records</x:v>
      </x:c>
      <x:c r="G324" s="6" t="n">
        <x:v>49</x:v>
      </x:c>
      <x:c r="H324" s="12" t="str">
        <x:v>PHN</x:v>
      </x:c>
      <x:c r="I324" s="12" t="str">
        <x:v>phn</x:v>
      </x:c>
      <x:c r="J324" s="6" t="str"/>
      <x:c r="K324" s="12" t="str">
        <x:v>Unsupported</x:v>
      </x:c>
      <x:c r="L324" s="12" t="str">
        <x:v>Device family alone is insufficient for governed relationship.</x:v>
      </x:c>
    </x:row>
    <x:row r="325">
      <x:c r="A325" s="12" t="str">
        <x:v>EVID-UNS-000010</x:v>
      </x:c>
      <x:c r="B325" s="6" t="str">
        <x:v>UNS000010</x:v>
      </x:c>
      <x:c r="C325" s="6" t="str">
        <x:v>SVC000010</x:v>
      </x:c>
      <x:c r="D325" s="12" t="str">
        <x:v>Unsupported Relationship</x:v>
      </x:c>
      <x:c r="E325" s="6" t="str">
        <x:v>Nocturnix_Master_Compatibility_Catalog_v1.xlsx</x:v>
      </x:c>
      <x:c r="F325" s="6" t="str">
        <x:v>01 - Compatibility Records</x:v>
      </x:c>
      <x:c r="G325" s="6" t="n">
        <x:v>50</x:v>
      </x:c>
      <x:c r="H325" s="12" t="str">
        <x:v>PHN</x:v>
      </x:c>
      <x:c r="I325" s="12" t="str">
        <x:v>phn</x:v>
      </x:c>
      <x:c r="J325" s="6" t="str"/>
      <x:c r="K325" s="12" t="str">
        <x:v>Unsupported</x:v>
      </x:c>
      <x:c r="L325" s="12" t="str">
        <x:v>Device family alone is insufficient for governed relationship.</x:v>
      </x:c>
    </x:row>
    <x:row r="326">
      <x:c r="A326" s="12" t="str">
        <x:v>EVID-UNS-000011</x:v>
      </x:c>
      <x:c r="B326" s="6" t="str">
        <x:v>UNS000011</x:v>
      </x:c>
      <x:c r="C326" s="6" t="str">
        <x:v>SVC000011</x:v>
      </x:c>
      <x:c r="D326" s="12" t="str">
        <x:v>Unsupported Relationship</x:v>
      </x:c>
      <x:c r="E326" s="6" t="str">
        <x:v>Nocturnix_Master_Compatibility_Catalog_v1.xlsx</x:v>
      </x:c>
      <x:c r="F326" s="6" t="str">
        <x:v>01 - Compatibility Records</x:v>
      </x:c>
      <x:c r="G326" s="6" t="n">
        <x:v>51</x:v>
      </x:c>
      <x:c r="H326" s="12" t="str">
        <x:v>PHN</x:v>
      </x:c>
      <x:c r="I326" s="12" t="str">
        <x:v>phn</x:v>
      </x:c>
      <x:c r="J326" s="6" t="str"/>
      <x:c r="K326" s="12" t="str">
        <x:v>Unsupported</x:v>
      </x:c>
      <x:c r="L326" s="12" t="str">
        <x:v>Device family alone is insufficient for governed relationship.</x:v>
      </x:c>
    </x:row>
    <x:row r="327">
      <x:c r="A327" s="12" t="str">
        <x:v>EVID-UNS-000012</x:v>
      </x:c>
      <x:c r="B327" s="6" t="str">
        <x:v>UNS000012</x:v>
      </x:c>
      <x:c r="C327" s="6" t="str">
        <x:v>SVC000012</x:v>
      </x:c>
      <x:c r="D327" s="12" t="str">
        <x:v>Unsupported Relationship</x:v>
      </x:c>
      <x:c r="E327" s="6" t="str">
        <x:v>Nocturnix_Master_Compatibility_Catalog_v1.xlsx</x:v>
      </x:c>
      <x:c r="F327" s="6" t="str">
        <x:v>01 - Compatibility Records</x:v>
      </x:c>
      <x:c r="G327" s="6" t="n">
        <x:v>52</x:v>
      </x:c>
      <x:c r="H327" s="12" t="str">
        <x:v>PHN</x:v>
      </x:c>
      <x:c r="I327" s="12" t="str">
        <x:v>phn</x:v>
      </x:c>
      <x:c r="J327" s="6" t="str"/>
      <x:c r="K327" s="12" t="str">
        <x:v>Unsupported</x:v>
      </x:c>
      <x:c r="L327" s="12" t="str">
        <x:v>Device family alone is insufficient for governed relationship.</x:v>
      </x:c>
    </x:row>
    <x:row r="328">
      <x:c r="A328" s="12" t="str">
        <x:v>EVID-UNS-000013</x:v>
      </x:c>
      <x:c r="B328" s="6" t="str">
        <x:v>UNS000013</x:v>
      </x:c>
      <x:c r="C328" s="6" t="str">
        <x:v>SVC000013</x:v>
      </x:c>
      <x:c r="D328" s="12" t="str">
        <x:v>Unsupported Relationship</x:v>
      </x:c>
      <x:c r="E328" s="6" t="str">
        <x:v>Nocturnix_Master_Compatibility_Catalog_v1.xlsx</x:v>
      </x:c>
      <x:c r="F328" s="6" t="str">
        <x:v>01 - Compatibility Records</x:v>
      </x:c>
      <x:c r="G328" s="6" t="n">
        <x:v>53</x:v>
      </x:c>
      <x:c r="H328" s="12" t="str">
        <x:v>PHN</x:v>
      </x:c>
      <x:c r="I328" s="12" t="str">
        <x:v>phn</x:v>
      </x:c>
      <x:c r="J328" s="6" t="str"/>
      <x:c r="K328" s="12" t="str">
        <x:v>Unsupported</x:v>
      </x:c>
      <x:c r="L328" s="12" t="str">
        <x:v>Device family alone is insufficient for governed relationship.</x:v>
      </x:c>
    </x:row>
    <x:row r="329">
      <x:c r="A329" s="12" t="str">
        <x:v>EVID-UNS-000014</x:v>
      </x:c>
      <x:c r="B329" s="6" t="str">
        <x:v>UNS000014</x:v>
      </x:c>
      <x:c r="C329" s="6" t="str">
        <x:v>SVC000014</x:v>
      </x:c>
      <x:c r="D329" s="12" t="str">
        <x:v>Unsupported Relationship</x:v>
      </x:c>
      <x:c r="E329" s="6" t="str">
        <x:v>Nocturnix_Master_Compatibility_Catalog_v1.xlsx</x:v>
      </x:c>
      <x:c r="F329" s="6" t="str">
        <x:v>01 - Compatibility Records</x:v>
      </x:c>
      <x:c r="G329" s="6" t="n">
        <x:v>54</x:v>
      </x:c>
      <x:c r="H329" s="12" t="str">
        <x:v>PHN</x:v>
      </x:c>
      <x:c r="I329" s="12" t="str">
        <x:v>phn</x:v>
      </x:c>
      <x:c r="J329" s="6" t="str"/>
      <x:c r="K329" s="12" t="str">
        <x:v>Unsupported</x:v>
      </x:c>
      <x:c r="L329" s="12" t="str">
        <x:v>Device family alone is insufficient for governed relationship.</x:v>
      </x:c>
    </x:row>
    <x:row r="330">
      <x:c r="A330" s="12" t="str">
        <x:v>EVID-UNS-000015</x:v>
      </x:c>
      <x:c r="B330" s="6" t="str">
        <x:v>UNS000015</x:v>
      </x:c>
      <x:c r="C330" s="6" t="str">
        <x:v>SVC000015</x:v>
      </x:c>
      <x:c r="D330" s="12" t="str">
        <x:v>Unsupported Relationship</x:v>
      </x:c>
      <x:c r="E330" s="6" t="str">
        <x:v>Nocturnix_Master_Compatibility_Catalog_v1.xlsx</x:v>
      </x:c>
      <x:c r="F330" s="6" t="str">
        <x:v>01 - Compatibility Records</x:v>
      </x:c>
      <x:c r="G330" s="6" t="n">
        <x:v>55</x:v>
      </x:c>
      <x:c r="H330" s="12" t="str">
        <x:v>PHN</x:v>
      </x:c>
      <x:c r="I330" s="12" t="str">
        <x:v>phn</x:v>
      </x:c>
      <x:c r="J330" s="6" t="str"/>
      <x:c r="K330" s="12" t="str">
        <x:v>Unsupported</x:v>
      </x:c>
      <x:c r="L330" s="12" t="str">
        <x:v>Device family alone is insufficient for governed relationship.</x:v>
      </x:c>
    </x:row>
    <x:row r="331">
      <x:c r="A331" s="12" t="str">
        <x:v>EVID-UNS-000016</x:v>
      </x:c>
      <x:c r="B331" s="6" t="str">
        <x:v>UNS000016</x:v>
      </x:c>
      <x:c r="C331" s="6" t="str">
        <x:v>SVC000016</x:v>
      </x:c>
      <x:c r="D331" s="12" t="str">
        <x:v>Unsupported Relationship</x:v>
      </x:c>
      <x:c r="E331" s="6" t="str">
        <x:v>Nocturnix_Master_Compatibility_Catalog_v1.xlsx</x:v>
      </x:c>
      <x:c r="F331" s="6" t="str">
        <x:v>01 - Compatibility Records</x:v>
      </x:c>
      <x:c r="G331" s="6" t="n">
        <x:v>56</x:v>
      </x:c>
      <x:c r="H331" s="12" t="str">
        <x:v>PHN</x:v>
      </x:c>
      <x:c r="I331" s="12" t="str">
        <x:v>phn</x:v>
      </x:c>
      <x:c r="J331" s="6" t="str"/>
      <x:c r="K331" s="12" t="str">
        <x:v>Unsupported</x:v>
      </x:c>
      <x:c r="L331" s="12" t="str">
        <x:v>Device family alone is insufficient for governed relationship.</x:v>
      </x:c>
    </x:row>
    <x:row r="332">
      <x:c r="A332" s="12" t="str">
        <x:v>EVID-UNS-000017</x:v>
      </x:c>
      <x:c r="B332" s="6" t="str">
        <x:v>UNS000017</x:v>
      </x:c>
      <x:c r="C332" s="6" t="str">
        <x:v>SVC000017</x:v>
      </x:c>
      <x:c r="D332" s="12" t="str">
        <x:v>Unsupported Relationship</x:v>
      </x:c>
      <x:c r="E332" s="6" t="str">
        <x:v>Nocturnix_Master_Compatibility_Catalog_v1.xlsx</x:v>
      </x:c>
      <x:c r="F332" s="6" t="str">
        <x:v>01 - Compatibility Records</x:v>
      </x:c>
      <x:c r="G332" s="6" t="n">
        <x:v>57</x:v>
      </x:c>
      <x:c r="H332" s="12" t="str">
        <x:v>PHN</x:v>
      </x:c>
      <x:c r="I332" s="12" t="str">
        <x:v>phn</x:v>
      </x:c>
      <x:c r="J332" s="6" t="str"/>
      <x:c r="K332" s="12" t="str">
        <x:v>Unsupported</x:v>
      </x:c>
      <x:c r="L332" s="12" t="str">
        <x:v>Device family alone is insufficient for governed relationship.</x:v>
      </x:c>
    </x:row>
    <x:row r="333">
      <x:c r="A333" s="12" t="str">
        <x:v>EVID-UNS-000018</x:v>
      </x:c>
      <x:c r="B333" s="6" t="str">
        <x:v>UNS000018</x:v>
      </x:c>
      <x:c r="C333" s="6" t="str">
        <x:v>SVC000018</x:v>
      </x:c>
      <x:c r="D333" s="12" t="str">
        <x:v>Unsupported Relationship</x:v>
      </x:c>
      <x:c r="E333" s="6" t="str">
        <x:v>Nocturnix_Master_Compatibility_Catalog_v1.xlsx</x:v>
      </x:c>
      <x:c r="F333" s="6" t="str">
        <x:v>01 - Compatibility Records</x:v>
      </x:c>
      <x:c r="G333" s="6" t="n">
        <x:v>58</x:v>
      </x:c>
      <x:c r="H333" s="12" t="str">
        <x:v>PHN</x:v>
      </x:c>
      <x:c r="I333" s="12" t="str">
        <x:v>phn</x:v>
      </x:c>
      <x:c r="J333" s="6" t="str"/>
      <x:c r="K333" s="12" t="str">
        <x:v>Unsupported</x:v>
      </x:c>
      <x:c r="L333" s="12" t="str">
        <x:v>Device family alone is insufficient for governed relationship.</x:v>
      </x:c>
    </x:row>
    <x:row r="334">
      <x:c r="A334" s="12" t="str">
        <x:v>EVID-UNS-000019</x:v>
      </x:c>
      <x:c r="B334" s="6" t="str">
        <x:v>UNS000019</x:v>
      </x:c>
      <x:c r="C334" s="6" t="str">
        <x:v>SVC000019</x:v>
      </x:c>
      <x:c r="D334" s="12" t="str">
        <x:v>Unsupported Relationship</x:v>
      </x:c>
      <x:c r="E334" s="6" t="str">
        <x:v>Nocturnix_Master_Compatibility_Catalog_v1.xlsx</x:v>
      </x:c>
      <x:c r="F334" s="6" t="str">
        <x:v>01 - Compatibility Records</x:v>
      </x:c>
      <x:c r="G334" s="6" t="n">
        <x:v>59</x:v>
      </x:c>
      <x:c r="H334" s="12" t="str">
        <x:v>PHN</x:v>
      </x:c>
      <x:c r="I334" s="12" t="str">
        <x:v>phn</x:v>
      </x:c>
      <x:c r="J334" s="6" t="str"/>
      <x:c r="K334" s="12" t="str">
        <x:v>Unsupported</x:v>
      </x:c>
      <x:c r="L334" s="12" t="str">
        <x:v>Device family alone is insufficient for governed relationship.</x:v>
      </x:c>
    </x:row>
    <x:row r="335">
      <x:c r="A335" s="12" t="str">
        <x:v>EVID-UNS-000020</x:v>
      </x:c>
      <x:c r="B335" s="6" t="str">
        <x:v>UNS000020</x:v>
      </x:c>
      <x:c r="C335" s="6" t="str">
        <x:v>SVC000020</x:v>
      </x:c>
      <x:c r="D335" s="12" t="str">
        <x:v>Unsupported Relationship</x:v>
      </x:c>
      <x:c r="E335" s="6" t="str">
        <x:v>Nocturnix_Master_Compatibility_Catalog_v1.xlsx</x:v>
      </x:c>
      <x:c r="F335" s="6" t="str">
        <x:v>01 - Compatibility Records</x:v>
      </x:c>
      <x:c r="G335" s="6" t="n">
        <x:v>60</x:v>
      </x:c>
      <x:c r="H335" s="12" t="str">
        <x:v>PHN</x:v>
      </x:c>
      <x:c r="I335" s="12" t="str">
        <x:v>phn</x:v>
      </x:c>
      <x:c r="J335" s="6" t="str"/>
      <x:c r="K335" s="12" t="str">
        <x:v>Unsupported</x:v>
      </x:c>
      <x:c r="L335" s="12" t="str">
        <x:v>Device family alone is insufficient for governed relationship.</x:v>
      </x:c>
    </x:row>
    <x:row r="336">
      <x:c r="A336" s="12" t="str">
        <x:v>EVID-UNS-000021</x:v>
      </x:c>
      <x:c r="B336" s="6" t="str">
        <x:v>UNS000021</x:v>
      </x:c>
      <x:c r="C336" s="6" t="str">
        <x:v>SVC000021</x:v>
      </x:c>
      <x:c r="D336" s="12" t="str">
        <x:v>Unsupported Relationship</x:v>
      </x:c>
      <x:c r="E336" s="6" t="str">
        <x:v>Nocturnix_Master_Compatibility_Catalog_v1.xlsx</x:v>
      </x:c>
      <x:c r="F336" s="6" t="str">
        <x:v>01 - Compatibility Records</x:v>
      </x:c>
      <x:c r="G336" s="6" t="n">
        <x:v>61</x:v>
      </x:c>
      <x:c r="H336" s="12" t="str">
        <x:v>PHN</x:v>
      </x:c>
      <x:c r="I336" s="12" t="str">
        <x:v>phn</x:v>
      </x:c>
      <x:c r="J336" s="6" t="str"/>
      <x:c r="K336" s="12" t="str">
        <x:v>Unsupported</x:v>
      </x:c>
      <x:c r="L336" s="12" t="str">
        <x:v>Device family alone is insufficient for governed relationship.</x:v>
      </x:c>
    </x:row>
    <x:row r="337">
      <x:c r="A337" s="12" t="str">
        <x:v>EVID-UNS-000022</x:v>
      </x:c>
      <x:c r="B337" s="6" t="str">
        <x:v>UNS000022</x:v>
      </x:c>
      <x:c r="C337" s="6" t="str">
        <x:v>SVC000022</x:v>
      </x:c>
      <x:c r="D337" s="12" t="str">
        <x:v>Unsupported Relationship</x:v>
      </x:c>
      <x:c r="E337" s="6" t="str">
        <x:v>Nocturnix_Master_Compatibility_Catalog_v1.xlsx</x:v>
      </x:c>
      <x:c r="F337" s="6" t="str">
        <x:v>01 - Compatibility Records</x:v>
      </x:c>
      <x:c r="G337" s="6" t="n">
        <x:v>62</x:v>
      </x:c>
      <x:c r="H337" s="12" t="str">
        <x:v>PHN</x:v>
      </x:c>
      <x:c r="I337" s="12" t="str">
        <x:v>phn</x:v>
      </x:c>
      <x:c r="J337" s="6" t="str"/>
      <x:c r="K337" s="12" t="str">
        <x:v>Unsupported</x:v>
      </x:c>
      <x:c r="L337" s="12" t="str">
        <x:v>Device family alone is insufficient for governed relationship.</x:v>
      </x:c>
    </x:row>
    <x:row r="338">
      <x:c r="A338" s="12" t="str">
        <x:v>EVID-UNS-000023</x:v>
      </x:c>
      <x:c r="B338" s="6" t="str">
        <x:v>UNS000023</x:v>
      </x:c>
      <x:c r="C338" s="6" t="str">
        <x:v>SVC000023</x:v>
      </x:c>
      <x:c r="D338" s="12" t="str">
        <x:v>Unsupported Relationship</x:v>
      </x:c>
      <x:c r="E338" s="6" t="str">
        <x:v>Nocturnix_Master_Compatibility_Catalog_v1.xlsx</x:v>
      </x:c>
      <x:c r="F338" s="6" t="str">
        <x:v>01 - Compatibility Records</x:v>
      </x:c>
      <x:c r="G338" s="6" t="n">
        <x:v>63</x:v>
      </x:c>
      <x:c r="H338" s="12" t="str">
        <x:v>PHN</x:v>
      </x:c>
      <x:c r="I338" s="12" t="str">
        <x:v>phn</x:v>
      </x:c>
      <x:c r="J338" s="6" t="str"/>
      <x:c r="K338" s="12" t="str">
        <x:v>Unsupported</x:v>
      </x:c>
      <x:c r="L338" s="12" t="str">
        <x:v>Device family alone is insufficient for governed relationship.</x:v>
      </x:c>
    </x:row>
    <x:row r="339">
      <x:c r="A339" s="12" t="str">
        <x:v>EVID-UNS-000024</x:v>
      </x:c>
      <x:c r="B339" s="6" t="str">
        <x:v>UNS000024</x:v>
      </x:c>
      <x:c r="C339" s="6" t="str">
        <x:v>SVC000024</x:v>
      </x:c>
      <x:c r="D339" s="12" t="str">
        <x:v>Unsupported Relationship</x:v>
      </x:c>
      <x:c r="E339" s="6" t="str">
        <x:v>Nocturnix_Master_Compatibility_Catalog_v1.xlsx</x:v>
      </x:c>
      <x:c r="F339" s="6" t="str">
        <x:v>01 - Compatibility Records</x:v>
      </x:c>
      <x:c r="G339" s="6" t="n">
        <x:v>64</x:v>
      </x:c>
      <x:c r="H339" s="12" t="str">
        <x:v>PHN</x:v>
      </x:c>
      <x:c r="I339" s="12" t="str">
        <x:v>phn</x:v>
      </x:c>
      <x:c r="J339" s="6" t="str"/>
      <x:c r="K339" s="12" t="str">
        <x:v>Unsupported</x:v>
      </x:c>
      <x:c r="L339" s="12" t="str">
        <x:v>Device family alone is insufficient for governed relationship.</x:v>
      </x:c>
    </x:row>
    <x:row r="340">
      <x:c r="A340" s="12" t="str">
        <x:v>EVID-UNS-000025</x:v>
      </x:c>
      <x:c r="B340" s="6" t="str">
        <x:v>UNS000025</x:v>
      </x:c>
      <x:c r="C340" s="6" t="str">
        <x:v>SVC000025</x:v>
      </x:c>
      <x:c r="D340" s="12" t="str">
        <x:v>Unsupported Relationship</x:v>
      </x:c>
      <x:c r="E340" s="6" t="str">
        <x:v>Nocturnix_Master_Compatibility_Catalog_v1.xlsx</x:v>
      </x:c>
      <x:c r="F340" s="6" t="str">
        <x:v>01 - Compatibility Records</x:v>
      </x:c>
      <x:c r="G340" s="6" t="n">
        <x:v>65</x:v>
      </x:c>
      <x:c r="H340" s="12" t="str">
        <x:v>PHN</x:v>
      </x:c>
      <x:c r="I340" s="12" t="str">
        <x:v>phn</x:v>
      </x:c>
      <x:c r="J340" s="6" t="str"/>
      <x:c r="K340" s="12" t="str">
        <x:v>Unsupported</x:v>
      </x:c>
      <x:c r="L340" s="12" t="str">
        <x:v>Device family alone is insufficient for governed relationship.</x:v>
      </x:c>
    </x:row>
    <x:row r="341">
      <x:c r="A341" s="12" t="str">
        <x:v>EVID-UNS-000026</x:v>
      </x:c>
      <x:c r="B341" s="6" t="str">
        <x:v>UNS000026</x:v>
      </x:c>
      <x:c r="C341" s="6" t="str">
        <x:v>SVC000026</x:v>
      </x:c>
      <x:c r="D341" s="12" t="str">
        <x:v>Unsupported Relationship</x:v>
      </x:c>
      <x:c r="E341" s="6" t="str">
        <x:v>Nocturnix_Master_Compatibility_Catalog_v1.xlsx</x:v>
      </x:c>
      <x:c r="F341" s="6" t="str">
        <x:v>01 - Compatibility Records</x:v>
      </x:c>
      <x:c r="G341" s="6" t="n">
        <x:v>66</x:v>
      </x:c>
      <x:c r="H341" s="12" t="str">
        <x:v>PHN</x:v>
      </x:c>
      <x:c r="I341" s="12" t="str">
        <x:v>phn</x:v>
      </x:c>
      <x:c r="J341" s="6" t="str"/>
      <x:c r="K341" s="12" t="str">
        <x:v>Unsupported</x:v>
      </x:c>
      <x:c r="L341" s="12" t="str">
        <x:v>Device family alone is insufficient for governed relationship.</x:v>
      </x:c>
    </x:row>
    <x:row r="342">
      <x:c r="A342" s="12" t="str">
        <x:v>EVID-UNS-000027</x:v>
      </x:c>
      <x:c r="B342" s="6" t="str">
        <x:v>UNS000027</x:v>
      </x:c>
      <x:c r="C342" s="6" t="str">
        <x:v>SVC000027</x:v>
      </x:c>
      <x:c r="D342" s="12" t="str">
        <x:v>Unsupported Relationship</x:v>
      </x:c>
      <x:c r="E342" s="6" t="str">
        <x:v>Nocturnix_Master_Compatibility_Catalog_v1.xlsx</x:v>
      </x:c>
      <x:c r="F342" s="6" t="str">
        <x:v>01 - Compatibility Records</x:v>
      </x:c>
      <x:c r="G342" s="6" t="n">
        <x:v>67</x:v>
      </x:c>
      <x:c r="H342" s="12" t="str">
        <x:v>PHN</x:v>
      </x:c>
      <x:c r="I342" s="12" t="str">
        <x:v>phn</x:v>
      </x:c>
      <x:c r="J342" s="6" t="str"/>
      <x:c r="K342" s="12" t="str">
        <x:v>Unsupported</x:v>
      </x:c>
      <x:c r="L342" s="12" t="str">
        <x:v>Device family alone is insufficient for governed relationship.</x:v>
      </x:c>
    </x:row>
    <x:row r="343">
      <x:c r="A343" s="12" t="str">
        <x:v>EVID-UNS-000028</x:v>
      </x:c>
      <x:c r="B343" s="6" t="str">
        <x:v>UNS000028</x:v>
      </x:c>
      <x:c r="C343" s="6" t="str">
        <x:v>SVC000028</x:v>
      </x:c>
      <x:c r="D343" s="12" t="str">
        <x:v>Unsupported Relationship</x:v>
      </x:c>
      <x:c r="E343" s="6" t="str">
        <x:v>Nocturnix_Master_Compatibility_Catalog_v1.xlsx</x:v>
      </x:c>
      <x:c r="F343" s="6" t="str">
        <x:v>01 - Compatibility Records</x:v>
      </x:c>
      <x:c r="G343" s="6" t="n">
        <x:v>68</x:v>
      </x:c>
      <x:c r="H343" s="12" t="str">
        <x:v>PHN</x:v>
      </x:c>
      <x:c r="I343" s="12" t="str">
        <x:v>phn</x:v>
      </x:c>
      <x:c r="J343" s="6" t="str"/>
      <x:c r="K343" s="12" t="str">
        <x:v>Unsupported</x:v>
      </x:c>
      <x:c r="L343" s="12" t="str">
        <x:v>Device family alone is insufficient for governed relationship.</x:v>
      </x:c>
    </x:row>
    <x:row r="344">
      <x:c r="A344" s="12" t="str">
        <x:v>EVID-UNS-000029</x:v>
      </x:c>
      <x:c r="B344" s="6" t="str">
        <x:v>UNS000029</x:v>
      </x:c>
      <x:c r="C344" s="6" t="str">
        <x:v>SVC000029</x:v>
      </x:c>
      <x:c r="D344" s="12" t="str">
        <x:v>Unsupported Relationship</x:v>
      </x:c>
      <x:c r="E344" s="6" t="str">
        <x:v>Nocturnix_Master_Compatibility_Catalog_v1.xlsx</x:v>
      </x:c>
      <x:c r="F344" s="6" t="str">
        <x:v>01 - Compatibility Records</x:v>
      </x:c>
      <x:c r="G344" s="6" t="n">
        <x:v>69</x:v>
      </x:c>
      <x:c r="H344" s="12" t="str">
        <x:v>PHN</x:v>
      </x:c>
      <x:c r="I344" s="12" t="str">
        <x:v>phn</x:v>
      </x:c>
      <x:c r="J344" s="6" t="str"/>
      <x:c r="K344" s="12" t="str">
        <x:v>Unsupported</x:v>
      </x:c>
      <x:c r="L344" s="12" t="str">
        <x:v>Device family alone is insufficient for governed relationship.</x:v>
      </x:c>
    </x:row>
    <x:row r="345">
      <x:c r="A345" s="12" t="str">
        <x:v>EVID-UNS-000030</x:v>
      </x:c>
      <x:c r="B345" s="6" t="str">
        <x:v>UNS000030</x:v>
      </x:c>
      <x:c r="C345" s="6" t="str">
        <x:v>SVC000030</x:v>
      </x:c>
      <x:c r="D345" s="12" t="str">
        <x:v>Unsupported Relationship</x:v>
      </x:c>
      <x:c r="E345" s="6" t="str">
        <x:v>Nocturnix_Master_Compatibility_Catalog_v1.xlsx</x:v>
      </x:c>
      <x:c r="F345" s="6" t="str">
        <x:v>01 - Compatibility Records</x:v>
      </x:c>
      <x:c r="G345" s="6" t="n">
        <x:v>70</x:v>
      </x:c>
      <x:c r="H345" s="12" t="str">
        <x:v>PHN</x:v>
      </x:c>
      <x:c r="I345" s="12" t="str">
        <x:v>phn</x:v>
      </x:c>
      <x:c r="J345" s="6" t="str"/>
      <x:c r="K345" s="12" t="str">
        <x:v>Unsupported</x:v>
      </x:c>
      <x:c r="L345" s="12" t="str">
        <x:v>Device family alone is insufficient for governed relationship.</x:v>
      </x:c>
    </x:row>
    <x:row r="346">
      <x:c r="A346" s="12" t="str">
        <x:v>EVID-UNS-000031</x:v>
      </x:c>
      <x:c r="B346" s="6" t="str">
        <x:v>UNS000031</x:v>
      </x:c>
      <x:c r="C346" s="6" t="str">
        <x:v>SVC000031</x:v>
      </x:c>
      <x:c r="D346" s="12" t="str">
        <x:v>Unsupported Relationship</x:v>
      </x:c>
      <x:c r="E346" s="6" t="str">
        <x:v>Nocturnix_Master_Compatibility_Catalog_v1.xlsx</x:v>
      </x:c>
      <x:c r="F346" s="6" t="str">
        <x:v>01 - Compatibility Records</x:v>
      </x:c>
      <x:c r="G346" s="6" t="n">
        <x:v>71</x:v>
      </x:c>
      <x:c r="H346" s="12" t="str">
        <x:v>PHN</x:v>
      </x:c>
      <x:c r="I346" s="12" t="str">
        <x:v>phn</x:v>
      </x:c>
      <x:c r="J346" s="6" t="str"/>
      <x:c r="K346" s="12" t="str">
        <x:v>Unsupported</x:v>
      </x:c>
      <x:c r="L346" s="12" t="str">
        <x:v>Device family alone is insufficient for governed relationship.</x:v>
      </x:c>
    </x:row>
    <x:row r="347">
      <x:c r="A347" s="12" t="str">
        <x:v>EVID-UNS-000032</x:v>
      </x:c>
      <x:c r="B347" s="6" t="str">
        <x:v>UNS000032</x:v>
      </x:c>
      <x:c r="C347" s="6" t="str">
        <x:v>SVC000032</x:v>
      </x:c>
      <x:c r="D347" s="12" t="str">
        <x:v>Unsupported Relationship</x:v>
      </x:c>
      <x:c r="E347" s="6" t="str">
        <x:v>Nocturnix_Master_Compatibility_Catalog_v1.xlsx</x:v>
      </x:c>
      <x:c r="F347" s="6" t="str">
        <x:v>01 - Compatibility Records</x:v>
      </x:c>
      <x:c r="G347" s="6" t="n">
        <x:v>72</x:v>
      </x:c>
      <x:c r="H347" s="12" t="str">
        <x:v>PHN</x:v>
      </x:c>
      <x:c r="I347" s="12" t="str">
        <x:v>phn</x:v>
      </x:c>
      <x:c r="J347" s="6" t="str"/>
      <x:c r="K347" s="12" t="str">
        <x:v>Unsupported</x:v>
      </x:c>
      <x:c r="L347" s="12" t="str">
        <x:v>Device family alone is insufficient for governed relationship.</x:v>
      </x:c>
    </x:row>
    <x:row r="348">
      <x:c r="A348" s="12" t="str">
        <x:v>EVID-UNS-000033</x:v>
      </x:c>
      <x:c r="B348" s="6" t="str">
        <x:v>UNS000033</x:v>
      </x:c>
      <x:c r="C348" s="6" t="str">
        <x:v>SVC000033</x:v>
      </x:c>
      <x:c r="D348" s="12" t="str">
        <x:v>Unsupported Relationship</x:v>
      </x:c>
      <x:c r="E348" s="6" t="str">
        <x:v>Nocturnix_Master_Compatibility_Catalog_v1.xlsx</x:v>
      </x:c>
      <x:c r="F348" s="6" t="str">
        <x:v>01 - Compatibility Records</x:v>
      </x:c>
      <x:c r="G348" s="6" t="n">
        <x:v>73</x:v>
      </x:c>
      <x:c r="H348" s="12" t="str">
        <x:v>PHN</x:v>
      </x:c>
      <x:c r="I348" s="12" t="str">
        <x:v>phn</x:v>
      </x:c>
      <x:c r="J348" s="6" t="str"/>
      <x:c r="K348" s="12" t="str">
        <x:v>Unsupported</x:v>
      </x:c>
      <x:c r="L348" s="12" t="str">
        <x:v>Device family alone is insufficient for governed relationship.</x:v>
      </x:c>
    </x:row>
    <x:row r="349">
      <x:c r="A349" s="12" t="str">
        <x:v>EVID-UNS-000034</x:v>
      </x:c>
      <x:c r="B349" s="6" t="str">
        <x:v>UNS000034</x:v>
      </x:c>
      <x:c r="C349" s="6" t="str">
        <x:v>SVC000034</x:v>
      </x:c>
      <x:c r="D349" s="12" t="str">
        <x:v>Unsupported Relationship</x:v>
      </x:c>
      <x:c r="E349" s="6" t="str">
        <x:v>Nocturnix_Master_Compatibility_Catalog_v1.xlsx</x:v>
      </x:c>
      <x:c r="F349" s="6" t="str">
        <x:v>01 - Compatibility Records</x:v>
      </x:c>
      <x:c r="G349" s="6" t="n">
        <x:v>74</x:v>
      </x:c>
      <x:c r="H349" s="12" t="str">
        <x:v>PHN</x:v>
      </x:c>
      <x:c r="I349" s="12" t="str">
        <x:v>phn</x:v>
      </x:c>
      <x:c r="J349" s="6" t="str"/>
      <x:c r="K349" s="12" t="str">
        <x:v>Unsupported</x:v>
      </x:c>
      <x:c r="L349" s="12" t="str">
        <x:v>Device family alone is insufficient for governed relationship.</x:v>
      </x:c>
    </x:row>
    <x:row r="350">
      <x:c r="A350" s="12" t="str">
        <x:v>EVID-UNS-000035</x:v>
      </x:c>
      <x:c r="B350" s="6" t="str">
        <x:v>UNS000035</x:v>
      </x:c>
      <x:c r="C350" s="6" t="str">
        <x:v>SVC000035</x:v>
      </x:c>
      <x:c r="D350" s="12" t="str">
        <x:v>Unsupported Relationship</x:v>
      </x:c>
      <x:c r="E350" s="6" t="str">
        <x:v>Nocturnix_Master_Compatibility_Catalog_v1.xlsx</x:v>
      </x:c>
      <x:c r="F350" s="6" t="str">
        <x:v>01 - Compatibility Records</x:v>
      </x:c>
      <x:c r="G350" s="6" t="n">
        <x:v>75</x:v>
      </x:c>
      <x:c r="H350" s="12" t="str">
        <x:v>PHN</x:v>
      </x:c>
      <x:c r="I350" s="12" t="str">
        <x:v>phn</x:v>
      </x:c>
      <x:c r="J350" s="6" t="str"/>
      <x:c r="K350" s="12" t="str">
        <x:v>Unsupported</x:v>
      </x:c>
      <x:c r="L350" s="12" t="str">
        <x:v>Device family alone is insufficient for governed relationship.</x:v>
      </x:c>
    </x:row>
    <x:row r="351">
      <x:c r="A351" s="12" t="str">
        <x:v>EVID-UNS-000036</x:v>
      </x:c>
      <x:c r="B351" s="6" t="str">
        <x:v>UNS000036</x:v>
      </x:c>
      <x:c r="C351" s="6" t="str">
        <x:v>SVC000036</x:v>
      </x:c>
      <x:c r="D351" s="12" t="str">
        <x:v>Unsupported Relationship</x:v>
      </x:c>
      <x:c r="E351" s="6" t="str">
        <x:v>Nocturnix_Master_Compatibility_Catalog_v1.xlsx</x:v>
      </x:c>
      <x:c r="F351" s="6" t="str">
        <x:v>01 - Compatibility Records</x:v>
      </x:c>
      <x:c r="G351" s="6" t="n">
        <x:v>76</x:v>
      </x:c>
      <x:c r="H351" s="12" t="str">
        <x:v>PHN</x:v>
      </x:c>
      <x:c r="I351" s="12" t="str">
        <x:v>phn</x:v>
      </x:c>
      <x:c r="J351" s="6" t="str"/>
      <x:c r="K351" s="12" t="str">
        <x:v>Unsupported</x:v>
      </x:c>
      <x:c r="L351" s="12" t="str">
        <x:v>Device family alone is insufficient for governed relationship.</x:v>
      </x:c>
    </x:row>
    <x:row r="352">
      <x:c r="A352" s="12" t="str">
        <x:v>EVID-UNS-000037</x:v>
      </x:c>
      <x:c r="B352" s="6" t="str">
        <x:v>UNS000037</x:v>
      </x:c>
      <x:c r="C352" s="6" t="str">
        <x:v>SVC000037</x:v>
      </x:c>
      <x:c r="D352" s="12" t="str">
        <x:v>Unsupported Relationship</x:v>
      </x:c>
      <x:c r="E352" s="6" t="str">
        <x:v>Nocturnix_Master_Compatibility_Catalog_v1.xlsx</x:v>
      </x:c>
      <x:c r="F352" s="6" t="str">
        <x:v>01 - Compatibility Records</x:v>
      </x:c>
      <x:c r="G352" s="6" t="n">
        <x:v>77</x:v>
      </x:c>
      <x:c r="H352" s="12" t="str">
        <x:v>PHN</x:v>
      </x:c>
      <x:c r="I352" s="12" t="str">
        <x:v>phn</x:v>
      </x:c>
      <x:c r="J352" s="6" t="str"/>
      <x:c r="K352" s="12" t="str">
        <x:v>Unsupported</x:v>
      </x:c>
      <x:c r="L352" s="12" t="str">
        <x:v>Device family alone is insufficient for governed relationship.</x:v>
      </x:c>
    </x:row>
    <x:row r="353">
      <x:c r="A353" s="12" t="str">
        <x:v>EVID-UNS-000038</x:v>
      </x:c>
      <x:c r="B353" s="6" t="str">
        <x:v>UNS000038</x:v>
      </x:c>
      <x:c r="C353" s="6" t="str">
        <x:v>SVC000038</x:v>
      </x:c>
      <x:c r="D353" s="12" t="str">
        <x:v>Unsupported Relationship</x:v>
      </x:c>
      <x:c r="E353" s="6" t="str">
        <x:v>Nocturnix_Master_Compatibility_Catalog_v1.xlsx</x:v>
      </x:c>
      <x:c r="F353" s="6" t="str">
        <x:v>01 - Compatibility Records</x:v>
      </x:c>
      <x:c r="G353" s="6" t="n">
        <x:v>78</x:v>
      </x:c>
      <x:c r="H353" s="12" t="str">
        <x:v>PHN</x:v>
      </x:c>
      <x:c r="I353" s="12" t="str">
        <x:v>phn</x:v>
      </x:c>
      <x:c r="J353" s="6" t="str"/>
      <x:c r="K353" s="12" t="str">
        <x:v>Unsupported</x:v>
      </x:c>
      <x:c r="L353" s="12" t="str">
        <x:v>Device family alone is insufficient for governed relationship.</x:v>
      </x:c>
    </x:row>
    <x:row r="354">
      <x:c r="A354" s="12" t="str">
        <x:v>EVID-UNS-000039</x:v>
      </x:c>
      <x:c r="B354" s="6" t="str">
        <x:v>UNS000039</x:v>
      </x:c>
      <x:c r="C354" s="6" t="str">
        <x:v>SVC000039</x:v>
      </x:c>
      <x:c r="D354" s="12" t="str">
        <x:v>Unsupported Relationship</x:v>
      </x:c>
      <x:c r="E354" s="6" t="str">
        <x:v>Nocturnix_Master_Compatibility_Catalog_v1.xlsx</x:v>
      </x:c>
      <x:c r="F354" s="6" t="str">
        <x:v>01 - Compatibility Records</x:v>
      </x:c>
      <x:c r="G354" s="6" t="n">
        <x:v>79</x:v>
      </x:c>
      <x:c r="H354" s="12" t="str">
        <x:v>PHN</x:v>
      </x:c>
      <x:c r="I354" s="12" t="str">
        <x:v>phn</x:v>
      </x:c>
      <x:c r="J354" s="6" t="str"/>
      <x:c r="K354" s="12" t="str">
        <x:v>Unsupported</x:v>
      </x:c>
      <x:c r="L354" s="12" t="str">
        <x:v>Device family alone is insufficient for governed relationship.</x:v>
      </x:c>
    </x:row>
    <x:row r="355">
      <x:c r="A355" s="12" t="str">
        <x:v>EVID-UNS-000040</x:v>
      </x:c>
      <x:c r="B355" s="6" t="str">
        <x:v>UNS000040</x:v>
      </x:c>
      <x:c r="C355" s="6" t="str">
        <x:v>SVC000040</x:v>
      </x:c>
      <x:c r="D355" s="12" t="str">
        <x:v>Unsupported Relationship</x:v>
      </x:c>
      <x:c r="E355" s="6" t="str">
        <x:v>Nocturnix_Master_Compatibility_Catalog_v1.xlsx</x:v>
      </x:c>
      <x:c r="F355" s="6" t="str">
        <x:v>01 - Compatibility Records</x:v>
      </x:c>
      <x:c r="G355" s="6" t="n">
        <x:v>80</x:v>
      </x:c>
      <x:c r="H355" s="12" t="str">
        <x:v>PHN</x:v>
      </x:c>
      <x:c r="I355" s="12" t="str">
        <x:v>phn</x:v>
      </x:c>
      <x:c r="J355" s="6" t="str"/>
      <x:c r="K355" s="12" t="str">
        <x:v>Unsupported</x:v>
      </x:c>
      <x:c r="L355" s="12" t="str">
        <x:v>Device family alone is insufficient for governed relationship.</x:v>
      </x:c>
    </x:row>
    <x:row r="356">
      <x:c r="A356" s="12" t="str">
        <x:v>EVID-UNS-000041</x:v>
      </x:c>
      <x:c r="B356" s="6" t="str">
        <x:v>UNS000041</x:v>
      </x:c>
      <x:c r="C356" s="6" t="str">
        <x:v>SVC000041</x:v>
      </x:c>
      <x:c r="D356" s="12" t="str">
        <x:v>Unsupported Relationship</x:v>
      </x:c>
      <x:c r="E356" s="6" t="str">
        <x:v>Nocturnix_Master_Compatibility_Catalog_v1.xlsx</x:v>
      </x:c>
      <x:c r="F356" s="6" t="str">
        <x:v>01 - Compatibility Records</x:v>
      </x:c>
      <x:c r="G356" s="6" t="n">
        <x:v>81</x:v>
      </x:c>
      <x:c r="H356" s="12" t="str">
        <x:v>PHN</x:v>
      </x:c>
      <x:c r="I356" s="12" t="str">
        <x:v>phn</x:v>
      </x:c>
      <x:c r="J356" s="6" t="str"/>
      <x:c r="K356" s="12" t="str">
        <x:v>Unsupported</x:v>
      </x:c>
      <x:c r="L356" s="12" t="str">
        <x:v>Device family alone is insufficient for governed relationship.</x:v>
      </x:c>
    </x:row>
    <x:row r="357">
      <x:c r="A357" s="12" t="str">
        <x:v>EVID-UNS-000042</x:v>
      </x:c>
      <x:c r="B357" s="6" t="str">
        <x:v>UNS000042</x:v>
      </x:c>
      <x:c r="C357" s="6" t="str">
        <x:v>SVC000042</x:v>
      </x:c>
      <x:c r="D357" s="12" t="str">
        <x:v>Unsupported Relationship</x:v>
      </x:c>
      <x:c r="E357" s="6" t="str">
        <x:v>Nocturnix_Master_Compatibility_Catalog_v1.xlsx</x:v>
      </x:c>
      <x:c r="F357" s="6" t="str">
        <x:v>01 - Compatibility Records</x:v>
      </x:c>
      <x:c r="G357" s="6" t="n">
        <x:v>82</x:v>
      </x:c>
      <x:c r="H357" s="12" t="str">
        <x:v>PHN</x:v>
      </x:c>
      <x:c r="I357" s="12" t="str">
        <x:v>phn</x:v>
      </x:c>
      <x:c r="J357" s="6" t="str"/>
      <x:c r="K357" s="12" t="str">
        <x:v>Unsupported</x:v>
      </x:c>
      <x:c r="L357" s="12" t="str">
        <x:v>Device family alone is insufficient for governed relationship.</x:v>
      </x:c>
    </x:row>
    <x:row r="358">
      <x:c r="A358" s="12" t="str">
        <x:v>EVID-UNS-000043</x:v>
      </x:c>
      <x:c r="B358" s="6" t="str">
        <x:v>UNS000043</x:v>
      </x:c>
      <x:c r="C358" s="6" t="str">
        <x:v>SVC000043</x:v>
      </x:c>
      <x:c r="D358" s="12" t="str">
        <x:v>Unsupported Relationship</x:v>
      </x:c>
      <x:c r="E358" s="6" t="str">
        <x:v>Nocturnix_Master_Compatibility_Catalog_v1.xlsx</x:v>
      </x:c>
      <x:c r="F358" s="6" t="str">
        <x:v>01 - Compatibility Records</x:v>
      </x:c>
      <x:c r="G358" s="6" t="n">
        <x:v>83</x:v>
      </x:c>
      <x:c r="H358" s="12" t="str">
        <x:v>PHN</x:v>
      </x:c>
      <x:c r="I358" s="12" t="str">
        <x:v>phn</x:v>
      </x:c>
      <x:c r="J358" s="6" t="str"/>
      <x:c r="K358" s="12" t="str">
        <x:v>Unsupported</x:v>
      </x:c>
      <x:c r="L358" s="12" t="str">
        <x:v>Device family alone is insufficient for governed relationship.</x:v>
      </x:c>
    </x:row>
    <x:row r="359">
      <x:c r="A359" s="12" t="str">
        <x:v>EVID-UNS-000044</x:v>
      </x:c>
      <x:c r="B359" s="6" t="str">
        <x:v>UNS000044</x:v>
      </x:c>
      <x:c r="C359" s="6" t="str">
        <x:v>SVC000044</x:v>
      </x:c>
      <x:c r="D359" s="12" t="str">
        <x:v>Unsupported Relationship</x:v>
      </x:c>
      <x:c r="E359" s="6" t="str">
        <x:v>Nocturnix_Master_Compatibility_Catalog_v1.xlsx</x:v>
      </x:c>
      <x:c r="F359" s="6" t="str">
        <x:v>01 - Compatibility Records</x:v>
      </x:c>
      <x:c r="G359" s="6" t="n">
        <x:v>84</x:v>
      </x:c>
      <x:c r="H359" s="12" t="str">
        <x:v>PHN</x:v>
      </x:c>
      <x:c r="I359" s="12" t="str">
        <x:v>phn</x:v>
      </x:c>
      <x:c r="J359" s="6" t="str"/>
      <x:c r="K359" s="12" t="str">
        <x:v>Unsupported</x:v>
      </x:c>
      <x:c r="L359" s="12" t="str">
        <x:v>Device family alone is insufficient for governed relationship.</x:v>
      </x:c>
    </x:row>
    <x:row r="360">
      <x:c r="A360" s="12" t="str">
        <x:v>EVID-UNS-000045</x:v>
      </x:c>
      <x:c r="B360" s="6" t="str">
        <x:v>UNS000045</x:v>
      </x:c>
      <x:c r="C360" s="6" t="str">
        <x:v>SVC000045</x:v>
      </x:c>
      <x:c r="D360" s="12" t="str">
        <x:v>Unsupported Relationship</x:v>
      </x:c>
      <x:c r="E360" s="6" t="str">
        <x:v>Nocturnix_Master_Compatibility_Catalog_v1.xlsx</x:v>
      </x:c>
      <x:c r="F360" s="6" t="str">
        <x:v>01 - Compatibility Records</x:v>
      </x:c>
      <x:c r="G360" s="6" t="n">
        <x:v>85</x:v>
      </x:c>
      <x:c r="H360" s="12" t="str">
        <x:v>PHN</x:v>
      </x:c>
      <x:c r="I360" s="12" t="str">
        <x:v>phn</x:v>
      </x:c>
      <x:c r="J360" s="6" t="str"/>
      <x:c r="K360" s="12" t="str">
        <x:v>Unsupported</x:v>
      </x:c>
      <x:c r="L360" s="12" t="str">
        <x:v>Device family alone is insufficient for governed relationship.</x:v>
      </x:c>
    </x:row>
    <x:row r="361">
      <x:c r="A361" s="12" t="str">
        <x:v>EVID-UNS-000046</x:v>
      </x:c>
      <x:c r="B361" s="6" t="str">
        <x:v>UNS000046</x:v>
      </x:c>
      <x:c r="C361" s="6" t="str">
        <x:v>SVC000046</x:v>
      </x:c>
      <x:c r="D361" s="12" t="str">
        <x:v>Unsupported Relationship</x:v>
      </x:c>
      <x:c r="E361" s="6" t="str">
        <x:v>Nocturnix_Master_Compatibility_Catalog_v1.xlsx</x:v>
      </x:c>
      <x:c r="F361" s="6" t="str">
        <x:v>01 - Compatibility Records</x:v>
      </x:c>
      <x:c r="G361" s="6" t="n">
        <x:v>86</x:v>
      </x:c>
      <x:c r="H361" s="12" t="str">
        <x:v>PHN</x:v>
      </x:c>
      <x:c r="I361" s="12" t="str">
        <x:v>phn</x:v>
      </x:c>
      <x:c r="J361" s="6" t="str"/>
      <x:c r="K361" s="12" t="str">
        <x:v>Unsupported</x:v>
      </x:c>
      <x:c r="L361" s="12" t="str">
        <x:v>Device family alone is insufficient for governed relationship.</x:v>
      </x:c>
    </x:row>
    <x:row r="362">
      <x:c r="A362" s="12" t="str">
        <x:v>EVID-UNS-000047</x:v>
      </x:c>
      <x:c r="B362" s="6" t="str">
        <x:v>UNS000047</x:v>
      </x:c>
      <x:c r="C362" s="6" t="str">
        <x:v>SVC000047</x:v>
      </x:c>
      <x:c r="D362" s="12" t="str">
        <x:v>Unsupported Relationship</x:v>
      </x:c>
      <x:c r="E362" s="6" t="str">
        <x:v>Nocturnix_Master_Compatibility_Catalog_v1.xlsx</x:v>
      </x:c>
      <x:c r="F362" s="6" t="str">
        <x:v>01 - Compatibility Records</x:v>
      </x:c>
      <x:c r="G362" s="6" t="n">
        <x:v>87</x:v>
      </x:c>
      <x:c r="H362" s="12" t="str">
        <x:v>PHN</x:v>
      </x:c>
      <x:c r="I362" s="12" t="str">
        <x:v>phn</x:v>
      </x:c>
      <x:c r="J362" s="6" t="str"/>
      <x:c r="K362" s="12" t="str">
        <x:v>Unsupported</x:v>
      </x:c>
      <x:c r="L362" s="12" t="str">
        <x:v>Device family alone is insufficient for governed relationship.</x:v>
      </x:c>
    </x:row>
    <x:row r="363">
      <x:c r="A363" s="12" t="str">
        <x:v>EVID-UNS-000048</x:v>
      </x:c>
      <x:c r="B363" s="6" t="str">
        <x:v>UNS000048</x:v>
      </x:c>
      <x:c r="C363" s="6" t="str">
        <x:v>SVC000048</x:v>
      </x:c>
      <x:c r="D363" s="12" t="str">
        <x:v>Unsupported Relationship</x:v>
      </x:c>
      <x:c r="E363" s="6" t="str">
        <x:v>Nocturnix_Master_Compatibility_Catalog_v1.xlsx</x:v>
      </x:c>
      <x:c r="F363" s="6" t="str">
        <x:v>01 - Compatibility Records</x:v>
      </x:c>
      <x:c r="G363" s="6" t="n">
        <x:v>88</x:v>
      </x:c>
      <x:c r="H363" s="12" t="str">
        <x:v>PHN</x:v>
      </x:c>
      <x:c r="I363" s="12" t="str">
        <x:v>phn</x:v>
      </x:c>
      <x:c r="J363" s="6" t="str"/>
      <x:c r="K363" s="12" t="str">
        <x:v>Unsupported</x:v>
      </x:c>
      <x:c r="L363" s="12" t="str">
        <x:v>Device family alone is insufficient for governed relationship.</x:v>
      </x:c>
    </x:row>
    <x:row r="364">
      <x:c r="A364" s="12" t="str">
        <x:v>EVID-UNS-000049</x:v>
      </x:c>
      <x:c r="B364" s="6" t="str">
        <x:v>UNS000049</x:v>
      </x:c>
      <x:c r="C364" s="6" t="str">
        <x:v>SVC000049</x:v>
      </x:c>
      <x:c r="D364" s="12" t="str">
        <x:v>Unsupported Relationship</x:v>
      </x:c>
      <x:c r="E364" s="6" t="str">
        <x:v>Nocturnix_Master_Compatibility_Catalog_v1.xlsx</x:v>
      </x:c>
      <x:c r="F364" s="6" t="str">
        <x:v>01 - Compatibility Records</x:v>
      </x:c>
      <x:c r="G364" s="6" t="n">
        <x:v>89</x:v>
      </x:c>
      <x:c r="H364" s="12" t="str">
        <x:v>PHN</x:v>
      </x:c>
      <x:c r="I364" s="12" t="str">
        <x:v>phn</x:v>
      </x:c>
      <x:c r="J364" s="6" t="str"/>
      <x:c r="K364" s="12" t="str">
        <x:v>Unsupported</x:v>
      </x:c>
      <x:c r="L364" s="12" t="str">
        <x:v>Device family alone is insufficient for governed relationship.</x:v>
      </x:c>
    </x:row>
    <x:row r="365">
      <x:c r="A365" s="12" t="str">
        <x:v>EVID-UNS-000050</x:v>
      </x:c>
      <x:c r="B365" s="6" t="str">
        <x:v>UNS000050</x:v>
      </x:c>
      <x:c r="C365" s="6" t="str">
        <x:v>SVC000050</x:v>
      </x:c>
      <x:c r="D365" s="12" t="str">
        <x:v>Unsupported Relationship</x:v>
      </x:c>
      <x:c r="E365" s="6" t="str">
        <x:v>Nocturnix_Master_Compatibility_Catalog_v1.xlsx</x:v>
      </x:c>
      <x:c r="F365" s="6" t="str">
        <x:v>01 - Compatibility Records</x:v>
      </x:c>
      <x:c r="G365" s="6" t="n">
        <x:v>90</x:v>
      </x:c>
      <x:c r="H365" s="12" t="str">
        <x:v>PHN</x:v>
      </x:c>
      <x:c r="I365" s="12" t="str">
        <x:v>phn</x:v>
      </x:c>
      <x:c r="J365" s="6" t="str"/>
      <x:c r="K365" s="12" t="str">
        <x:v>Unsupported</x:v>
      </x:c>
      <x:c r="L365" s="12" t="str">
        <x:v>Device family alone is insufficient for governed relationship.</x:v>
      </x:c>
    </x:row>
    <x:row r="366">
      <x:c r="A366" s="12" t="str">
        <x:v>EVID-UNS-000051</x:v>
      </x:c>
      <x:c r="B366" s="6" t="str">
        <x:v>UNS000051</x:v>
      </x:c>
      <x:c r="C366" s="6" t="str">
        <x:v>SVC000051</x:v>
      </x:c>
      <x:c r="D366" s="12" t="str">
        <x:v>Unsupported Relationship</x:v>
      </x:c>
      <x:c r="E366" s="6" t="str">
        <x:v>Nocturnix_Master_Compatibility_Catalog_v1.xlsx</x:v>
      </x:c>
      <x:c r="F366" s="6" t="str">
        <x:v>01 - Compatibility Records</x:v>
      </x:c>
      <x:c r="G366" s="6" t="n">
        <x:v>91</x:v>
      </x:c>
      <x:c r="H366" s="12" t="str">
        <x:v>PHN</x:v>
      </x:c>
      <x:c r="I366" s="12" t="str">
        <x:v>phn</x:v>
      </x:c>
      <x:c r="J366" s="6" t="str"/>
      <x:c r="K366" s="12" t="str">
        <x:v>Unsupported</x:v>
      </x:c>
      <x:c r="L366" s="12" t="str">
        <x:v>Device family alone is insufficient for governed relationship.</x:v>
      </x:c>
    </x:row>
    <x:row r="367">
      <x:c r="A367" s="12" t="str">
        <x:v>EVID-UNS-000052</x:v>
      </x:c>
      <x:c r="B367" s="6" t="str">
        <x:v>UNS000052</x:v>
      </x:c>
      <x:c r="C367" s="6" t="str">
        <x:v>SVC000052</x:v>
      </x:c>
      <x:c r="D367" s="12" t="str">
        <x:v>Unsupported Relationship</x:v>
      </x:c>
      <x:c r="E367" s="6" t="str">
        <x:v>Nocturnix_Master_Compatibility_Catalog_v1.xlsx</x:v>
      </x:c>
      <x:c r="F367" s="6" t="str">
        <x:v>01 - Compatibility Records</x:v>
      </x:c>
      <x:c r="G367" s="6" t="n">
        <x:v>92</x:v>
      </x:c>
      <x:c r="H367" s="12" t="str">
        <x:v>PHN</x:v>
      </x:c>
      <x:c r="I367" s="12" t="str">
        <x:v>phn</x:v>
      </x:c>
      <x:c r="J367" s="6" t="str"/>
      <x:c r="K367" s="12" t="str">
        <x:v>Unsupported</x:v>
      </x:c>
      <x:c r="L367" s="12" t="str">
        <x:v>Device family alone is insufficient for governed relationship.</x:v>
      </x:c>
    </x:row>
    <x:row r="368">
      <x:c r="A368" s="12" t="str">
        <x:v>EVID-UNS-000053</x:v>
      </x:c>
      <x:c r="B368" s="6" t="str">
        <x:v>UNS000053</x:v>
      </x:c>
      <x:c r="C368" s="6" t="str">
        <x:v>SVC000053</x:v>
      </x:c>
      <x:c r="D368" s="12" t="str">
        <x:v>Unsupported Relationship</x:v>
      </x:c>
      <x:c r="E368" s="6" t="str">
        <x:v>Nocturnix_Master_Compatibility_Catalog_v1.xlsx</x:v>
      </x:c>
      <x:c r="F368" s="6" t="str">
        <x:v>01 - Compatibility Records</x:v>
      </x:c>
      <x:c r="G368" s="6" t="n">
        <x:v>93</x:v>
      </x:c>
      <x:c r="H368" s="12" t="str">
        <x:v>PHN</x:v>
      </x:c>
      <x:c r="I368" s="12" t="str">
        <x:v>phn</x:v>
      </x:c>
      <x:c r="J368" s="6" t="str"/>
      <x:c r="K368" s="12" t="str">
        <x:v>Unsupported</x:v>
      </x:c>
      <x:c r="L368" s="12" t="str">
        <x:v>Device family alone is insufficient for governed relationship.</x:v>
      </x:c>
    </x:row>
    <x:row r="369">
      <x:c r="A369" s="12" t="str">
        <x:v>EVID-UNS-000054</x:v>
      </x:c>
      <x:c r="B369" s="6" t="str">
        <x:v>UNS000054</x:v>
      </x:c>
      <x:c r="C369" s="6" t="str">
        <x:v>SVC000054</x:v>
      </x:c>
      <x:c r="D369" s="12" t="str">
        <x:v>Unsupported Relationship</x:v>
      </x:c>
      <x:c r="E369" s="6" t="str">
        <x:v>Nocturnix_Master_Compatibility_Catalog_v1.xlsx</x:v>
      </x:c>
      <x:c r="F369" s="6" t="str">
        <x:v>01 - Compatibility Records</x:v>
      </x:c>
      <x:c r="G369" s="6" t="n">
        <x:v>94</x:v>
      </x:c>
      <x:c r="H369" s="12" t="str">
        <x:v>PHN</x:v>
      </x:c>
      <x:c r="I369" s="12" t="str">
        <x:v>phn</x:v>
      </x:c>
      <x:c r="J369" s="6" t="str"/>
      <x:c r="K369" s="12" t="str">
        <x:v>Unsupported</x:v>
      </x:c>
      <x:c r="L369" s="12" t="str">
        <x:v>Device family alone is insufficient for governed relationship.</x:v>
      </x:c>
    </x:row>
    <x:row r="370">
      <x:c r="A370" s="12" t="str">
        <x:v>EVID-UNS-000055</x:v>
      </x:c>
      <x:c r="B370" s="6" t="str">
        <x:v>UNS000055</x:v>
      </x:c>
      <x:c r="C370" s="6" t="str">
        <x:v>SVC000055</x:v>
      </x:c>
      <x:c r="D370" s="12" t="str">
        <x:v>Unsupported Relationship</x:v>
      </x:c>
      <x:c r="E370" s="6" t="str">
        <x:v>Nocturnix_Master_Compatibility_Catalog_v1.xlsx</x:v>
      </x:c>
      <x:c r="F370" s="6" t="str">
        <x:v>01 - Compatibility Records</x:v>
      </x:c>
      <x:c r="G370" s="6" t="n">
        <x:v>95</x:v>
      </x:c>
      <x:c r="H370" s="12" t="str">
        <x:v>PHN</x:v>
      </x:c>
      <x:c r="I370" s="12" t="str">
        <x:v>phn</x:v>
      </x:c>
      <x:c r="J370" s="6" t="str"/>
      <x:c r="K370" s="12" t="str">
        <x:v>Unsupported</x:v>
      </x:c>
      <x:c r="L370" s="12" t="str">
        <x:v>Device family alone is insufficient for governed relationship.</x:v>
      </x:c>
    </x:row>
    <x:row r="371">
      <x:c r="A371" s="12" t="str">
        <x:v>EVID-UNS-000056</x:v>
      </x:c>
      <x:c r="B371" s="6" t="str">
        <x:v>UNS000056</x:v>
      </x:c>
      <x:c r="C371" s="6" t="str">
        <x:v>SVC000056</x:v>
      </x:c>
      <x:c r="D371" s="12" t="str">
        <x:v>Unsupported Relationship</x:v>
      </x:c>
      <x:c r="E371" s="6" t="str">
        <x:v>Nocturnix_Master_Compatibility_Catalog_v1.xlsx</x:v>
      </x:c>
      <x:c r="F371" s="6" t="str">
        <x:v>01 - Compatibility Records</x:v>
      </x:c>
      <x:c r="G371" s="6" t="n">
        <x:v>96</x:v>
      </x:c>
      <x:c r="H371" s="12" t="str">
        <x:v>PHN</x:v>
      </x:c>
      <x:c r="I371" s="12" t="str">
        <x:v>phn</x:v>
      </x:c>
      <x:c r="J371" s="6" t="str"/>
      <x:c r="K371" s="12" t="str">
        <x:v>Unsupported</x:v>
      </x:c>
      <x:c r="L371" s="12" t="str">
        <x:v>Device family alone is insufficient for governed relationship.</x:v>
      </x:c>
    </x:row>
    <x:row r="372">
      <x:c r="A372" s="12" t="str">
        <x:v>EVID-UNS-000057</x:v>
      </x:c>
      <x:c r="B372" s="6" t="str">
        <x:v>UNS000057</x:v>
      </x:c>
      <x:c r="C372" s="6" t="str">
        <x:v>SVC000057</x:v>
      </x:c>
      <x:c r="D372" s="12" t="str">
        <x:v>Unsupported Relationship</x:v>
      </x:c>
      <x:c r="E372" s="6" t="str">
        <x:v>Nocturnix_Master_Compatibility_Catalog_v1.xlsx</x:v>
      </x:c>
      <x:c r="F372" s="6" t="str">
        <x:v>01 - Compatibility Records</x:v>
      </x:c>
      <x:c r="G372" s="6" t="n">
        <x:v>97</x:v>
      </x:c>
      <x:c r="H372" s="12" t="str">
        <x:v>PHN</x:v>
      </x:c>
      <x:c r="I372" s="12" t="str">
        <x:v>phn</x:v>
      </x:c>
      <x:c r="J372" s="6" t="str"/>
      <x:c r="K372" s="12" t="str">
        <x:v>Unsupported</x:v>
      </x:c>
      <x:c r="L372" s="12" t="str">
        <x:v>Device family alone is insufficient for governed relationship.</x:v>
      </x:c>
    </x:row>
    <x:row r="373">
      <x:c r="A373" s="12" t="str">
        <x:v>EVID-UNS-000058</x:v>
      </x:c>
      <x:c r="B373" s="6" t="str">
        <x:v>UNS000058</x:v>
      </x:c>
      <x:c r="C373" s="6" t="str">
        <x:v>SVC000058</x:v>
      </x:c>
      <x:c r="D373" s="12" t="str">
        <x:v>Unsupported Relationship</x:v>
      </x:c>
      <x:c r="E373" s="6" t="str">
        <x:v>Nocturnix_Master_Compatibility_Catalog_v1.xlsx</x:v>
      </x:c>
      <x:c r="F373" s="6" t="str">
        <x:v>01 - Compatibility Records</x:v>
      </x:c>
      <x:c r="G373" s="6" t="n">
        <x:v>98</x:v>
      </x:c>
      <x:c r="H373" s="12" t="str">
        <x:v>PHN</x:v>
      </x:c>
      <x:c r="I373" s="12" t="str">
        <x:v>phn</x:v>
      </x:c>
      <x:c r="J373" s="6" t="str"/>
      <x:c r="K373" s="12" t="str">
        <x:v>Unsupported</x:v>
      </x:c>
      <x:c r="L373" s="12" t="str">
        <x:v>Device family alone is insufficient for governed relationship.</x:v>
      </x:c>
    </x:row>
    <x:row r="374">
      <x:c r="A374" s="12" t="str">
        <x:v>EVID-UNS-000059</x:v>
      </x:c>
      <x:c r="B374" s="6" t="str">
        <x:v>UNS000059</x:v>
      </x:c>
      <x:c r="C374" s="6" t="str">
        <x:v>SVC000059</x:v>
      </x:c>
      <x:c r="D374" s="12" t="str">
        <x:v>Unsupported Relationship</x:v>
      </x:c>
      <x:c r="E374" s="6" t="str">
        <x:v>Nocturnix_Master_Compatibility_Catalog_v1.xlsx</x:v>
      </x:c>
      <x:c r="F374" s="6" t="str">
        <x:v>01 - Compatibility Records</x:v>
      </x:c>
      <x:c r="G374" s="6" t="n">
        <x:v>99</x:v>
      </x:c>
      <x:c r="H374" s="12" t="str">
        <x:v>PHN</x:v>
      </x:c>
      <x:c r="I374" s="12" t="str">
        <x:v>phn</x:v>
      </x:c>
      <x:c r="J374" s="6" t="str"/>
      <x:c r="K374" s="12" t="str">
        <x:v>Unsupported</x:v>
      </x:c>
      <x:c r="L374" s="12" t="str">
        <x:v>Device family alone is insufficient for governed relationship.</x:v>
      </x:c>
    </x:row>
    <x:row r="375">
      <x:c r="A375" s="12" t="str">
        <x:v>EVID-UNS-000060</x:v>
      </x:c>
      <x:c r="B375" s="6" t="str">
        <x:v>UNS000060</x:v>
      </x:c>
      <x:c r="C375" s="6" t="str">
        <x:v>SVC000060</x:v>
      </x:c>
      <x:c r="D375" s="12" t="str">
        <x:v>Unsupported Relationship</x:v>
      </x:c>
      <x:c r="E375" s="6" t="str">
        <x:v>Nocturnix_Master_Compatibility_Catalog_v1.xlsx</x:v>
      </x:c>
      <x:c r="F375" s="6" t="str">
        <x:v>01 - Compatibility Records</x:v>
      </x:c>
      <x:c r="G375" s="6" t="n">
        <x:v>100</x:v>
      </x:c>
      <x:c r="H375" s="12" t="str">
        <x:v>PHN</x:v>
      </x:c>
      <x:c r="I375" s="12" t="str">
        <x:v>phn</x:v>
      </x:c>
      <x:c r="J375" s="6" t="str"/>
      <x:c r="K375" s="12" t="str">
        <x:v>Unsupported</x:v>
      </x:c>
      <x:c r="L375" s="12" t="str">
        <x:v>Device family alone is insufficient for governed relationship.</x:v>
      </x:c>
    </x:row>
    <x:row r="376">
      <x:c r="A376" s="12" t="str">
        <x:v>EVID-UNS-000061</x:v>
      </x:c>
      <x:c r="B376" s="6" t="str">
        <x:v>UNS000061</x:v>
      </x:c>
      <x:c r="C376" s="6" t="str">
        <x:v>SVC000061</x:v>
      </x:c>
      <x:c r="D376" s="12" t="str">
        <x:v>Unsupported Relationship</x:v>
      </x:c>
      <x:c r="E376" s="6" t="str">
        <x:v>Nocturnix_Master_Compatibility_Catalog_v1.xlsx</x:v>
      </x:c>
      <x:c r="F376" s="6" t="str">
        <x:v>01 - Compatibility Records</x:v>
      </x:c>
      <x:c r="G376" s="6" t="n">
        <x:v>101</x:v>
      </x:c>
      <x:c r="H376" s="12" t="str">
        <x:v>PHN</x:v>
      </x:c>
      <x:c r="I376" s="12" t="str">
        <x:v>phn</x:v>
      </x:c>
      <x:c r="J376" s="6" t="str"/>
      <x:c r="K376" s="12" t="str">
        <x:v>Unsupported</x:v>
      </x:c>
      <x:c r="L376" s="12" t="str">
        <x:v>Device family alone is insufficient for governed relationship.</x:v>
      </x:c>
    </x:row>
    <x:row r="377">
      <x:c r="A377" s="12" t="str">
        <x:v>EVID-UNS-000062</x:v>
      </x:c>
      <x:c r="B377" s="6" t="str">
        <x:v>UNS000062</x:v>
      </x:c>
      <x:c r="C377" s="6" t="str">
        <x:v>SVC000062</x:v>
      </x:c>
      <x:c r="D377" s="12" t="str">
        <x:v>Unsupported Relationship</x:v>
      </x:c>
      <x:c r="E377" s="6" t="str">
        <x:v>Nocturnix_Master_Compatibility_Catalog_v1.xlsx</x:v>
      </x:c>
      <x:c r="F377" s="6" t="str">
        <x:v>01 - Compatibility Records</x:v>
      </x:c>
      <x:c r="G377" s="6" t="n">
        <x:v>102</x:v>
      </x:c>
      <x:c r="H377" s="12" t="str">
        <x:v>PHN</x:v>
      </x:c>
      <x:c r="I377" s="12" t="str">
        <x:v>phn</x:v>
      </x:c>
      <x:c r="J377" s="6" t="str"/>
      <x:c r="K377" s="12" t="str">
        <x:v>Unsupported</x:v>
      </x:c>
      <x:c r="L377" s="12" t="str">
        <x:v>Device family alone is insufficient for governed relationship.</x:v>
      </x:c>
    </x:row>
    <x:row r="378">
      <x:c r="A378" s="12" t="str">
        <x:v>EVID-UNS-000063</x:v>
      </x:c>
      <x:c r="B378" s="6" t="str">
        <x:v>UNS000063</x:v>
      </x:c>
      <x:c r="C378" s="6" t="str">
        <x:v>SVC000063</x:v>
      </x:c>
      <x:c r="D378" s="12" t="str">
        <x:v>Unsupported Relationship</x:v>
      </x:c>
      <x:c r="E378" s="6" t="str">
        <x:v>Nocturnix_Master_Compatibility_Catalog_v1.xlsx</x:v>
      </x:c>
      <x:c r="F378" s="6" t="str">
        <x:v>01 - Compatibility Records</x:v>
      </x:c>
      <x:c r="G378" s="6" t="n">
        <x:v>103</x:v>
      </x:c>
      <x:c r="H378" s="12" t="str">
        <x:v>PHN</x:v>
      </x:c>
      <x:c r="I378" s="12" t="str">
        <x:v>phn</x:v>
      </x:c>
      <x:c r="J378" s="6" t="str"/>
      <x:c r="K378" s="12" t="str">
        <x:v>Unsupported</x:v>
      </x:c>
      <x:c r="L378" s="12" t="str">
        <x:v>Device family alone is insufficient for governed relationship.</x:v>
      </x:c>
    </x:row>
    <x:row r="379">
      <x:c r="A379" s="12" t="str">
        <x:v>EVID-UNS-000064</x:v>
      </x:c>
      <x:c r="B379" s="6" t="str">
        <x:v>UNS000064</x:v>
      </x:c>
      <x:c r="C379" s="6" t="str">
        <x:v>SVC000064</x:v>
      </x:c>
      <x:c r="D379" s="12" t="str">
        <x:v>Unsupported Relationship</x:v>
      </x:c>
      <x:c r="E379" s="6" t="str">
        <x:v>Nocturnix_Master_Compatibility_Catalog_v1.xlsx</x:v>
      </x:c>
      <x:c r="F379" s="6" t="str">
        <x:v>01 - Compatibility Records</x:v>
      </x:c>
      <x:c r="G379" s="6" t="n">
        <x:v>104</x:v>
      </x:c>
      <x:c r="H379" s="12" t="str">
        <x:v>PHN</x:v>
      </x:c>
      <x:c r="I379" s="12" t="str">
        <x:v>phn</x:v>
      </x:c>
      <x:c r="J379" s="6" t="str"/>
      <x:c r="K379" s="12" t="str">
        <x:v>Unsupported</x:v>
      </x:c>
      <x:c r="L379" s="12" t="str">
        <x:v>Device family alone is insufficient for governed relationship.</x:v>
      </x:c>
    </x:row>
    <x:row r="380">
      <x:c r="A380" s="12" t="str">
        <x:v>EVID-UNS-000065</x:v>
      </x:c>
      <x:c r="B380" s="6" t="str">
        <x:v>UNS000065</x:v>
      </x:c>
      <x:c r="C380" s="6" t="str">
        <x:v>SVC000065</x:v>
      </x:c>
      <x:c r="D380" s="12" t="str">
        <x:v>Unsupported Relationship</x:v>
      </x:c>
      <x:c r="E380" s="6" t="str">
        <x:v>Nocturnix_Master_Compatibility_Catalog_v1.xlsx</x:v>
      </x:c>
      <x:c r="F380" s="6" t="str">
        <x:v>01 - Compatibility Records</x:v>
      </x:c>
      <x:c r="G380" s="6" t="n">
        <x:v>105</x:v>
      </x:c>
      <x:c r="H380" s="12" t="str">
        <x:v>PHN</x:v>
      </x:c>
      <x:c r="I380" s="12" t="str">
        <x:v>phn</x:v>
      </x:c>
      <x:c r="J380" s="6" t="str"/>
      <x:c r="K380" s="12" t="str">
        <x:v>Unsupported</x:v>
      </x:c>
      <x:c r="L380" s="12" t="str">
        <x:v>Device family alone is insufficient for governed relationship.</x:v>
      </x:c>
    </x:row>
    <x:row r="381">
      <x:c r="A381" s="12" t="str">
        <x:v>EVID-UNS-000066</x:v>
      </x:c>
      <x:c r="B381" s="6" t="str">
        <x:v>UNS000066</x:v>
      </x:c>
      <x:c r="C381" s="6" t="str">
        <x:v>SVC000066</x:v>
      </x:c>
      <x:c r="D381" s="12" t="str">
        <x:v>Unsupported Relationship</x:v>
      </x:c>
      <x:c r="E381" s="6" t="str">
        <x:v>Nocturnix_Master_Compatibility_Catalog_v1.xlsx</x:v>
      </x:c>
      <x:c r="F381" s="6" t="str">
        <x:v>01 - Compatibility Records</x:v>
      </x:c>
      <x:c r="G381" s="6" t="n">
        <x:v>106</x:v>
      </x:c>
      <x:c r="H381" s="12" t="str">
        <x:v>PHN</x:v>
      </x:c>
      <x:c r="I381" s="12" t="str">
        <x:v>phn</x:v>
      </x:c>
      <x:c r="J381" s="6" t="str"/>
      <x:c r="K381" s="12" t="str">
        <x:v>Unsupported</x:v>
      </x:c>
      <x:c r="L381" s="12" t="str">
        <x:v>Device family alone is insufficient for governed relationship.</x:v>
      </x:c>
    </x:row>
    <x:row r="382">
      <x:c r="A382" s="12" t="str">
        <x:v>EVID-UNS-000067</x:v>
      </x:c>
      <x:c r="B382" s="6" t="str">
        <x:v>UNS000067</x:v>
      </x:c>
      <x:c r="C382" s="6" t="str">
        <x:v>SVC000067</x:v>
      </x:c>
      <x:c r="D382" s="12" t="str">
        <x:v>Unsupported Relationship</x:v>
      </x:c>
      <x:c r="E382" s="6" t="str">
        <x:v>Nocturnix_Master_Compatibility_Catalog_v1.xlsx</x:v>
      </x:c>
      <x:c r="F382" s="6" t="str">
        <x:v>01 - Compatibility Records</x:v>
      </x:c>
      <x:c r="G382" s="6" t="n">
        <x:v>107</x:v>
      </x:c>
      <x:c r="H382" s="12" t="str">
        <x:v>PHN</x:v>
      </x:c>
      <x:c r="I382" s="12" t="str">
        <x:v>phn</x:v>
      </x:c>
      <x:c r="J382" s="6" t="str"/>
      <x:c r="K382" s="12" t="str">
        <x:v>Unsupported</x:v>
      </x:c>
      <x:c r="L382" s="12" t="str">
        <x:v>Device family alone is insufficient for governed relationship.</x:v>
      </x:c>
    </x:row>
    <x:row r="383">
      <x:c r="A383" s="12" t="str">
        <x:v>EVID-UNS-000068</x:v>
      </x:c>
      <x:c r="B383" s="6" t="str">
        <x:v>UNS000068</x:v>
      </x:c>
      <x:c r="C383" s="6" t="str">
        <x:v>SVC000068</x:v>
      </x:c>
      <x:c r="D383" s="12" t="str">
        <x:v>Unsupported Relationship</x:v>
      </x:c>
      <x:c r="E383" s="6" t="str">
        <x:v>Nocturnix_Master_Compatibility_Catalog_v1.xlsx</x:v>
      </x:c>
      <x:c r="F383" s="6" t="str">
        <x:v>01 - Compatibility Records</x:v>
      </x:c>
      <x:c r="G383" s="6" t="n">
        <x:v>108</x:v>
      </x:c>
      <x:c r="H383" s="12" t="str">
        <x:v>PHN</x:v>
      </x:c>
      <x:c r="I383" s="12" t="str">
        <x:v>phn</x:v>
      </x:c>
      <x:c r="J383" s="6" t="str"/>
      <x:c r="K383" s="12" t="str">
        <x:v>Unsupported</x:v>
      </x:c>
      <x:c r="L383" s="12" t="str">
        <x:v>Device family alone is insufficient for governed relationship.</x:v>
      </x:c>
    </x:row>
    <x:row r="384">
      <x:c r="A384" s="12" t="str">
        <x:v>EVID-UNS-000069</x:v>
      </x:c>
      <x:c r="B384" s="6" t="str">
        <x:v>UNS000069</x:v>
      </x:c>
      <x:c r="C384" s="6" t="str">
        <x:v>SVC000069</x:v>
      </x:c>
      <x:c r="D384" s="12" t="str">
        <x:v>Unsupported Relationship</x:v>
      </x:c>
      <x:c r="E384" s="6" t="str">
        <x:v>Nocturnix_Master_Compatibility_Catalog_v1.xlsx</x:v>
      </x:c>
      <x:c r="F384" s="6" t="str">
        <x:v>01 - Compatibility Records</x:v>
      </x:c>
      <x:c r="G384" s="6" t="n">
        <x:v>109</x:v>
      </x:c>
      <x:c r="H384" s="12" t="str">
        <x:v>PHN</x:v>
      </x:c>
      <x:c r="I384" s="12" t="str">
        <x:v>phn</x:v>
      </x:c>
      <x:c r="J384" s="6" t="str"/>
      <x:c r="K384" s="12" t="str">
        <x:v>Unsupported</x:v>
      </x:c>
      <x:c r="L384" s="12" t="str">
        <x:v>Device family alone is insufficient for governed relationship.</x:v>
      </x:c>
    </x:row>
    <x:row r="385">
      <x:c r="A385" s="12" t="str">
        <x:v>EVID-UNS-000070</x:v>
      </x:c>
      <x:c r="B385" s="6" t="str">
        <x:v>UNS000070</x:v>
      </x:c>
      <x:c r="C385" s="6" t="str">
        <x:v>SVC000070</x:v>
      </x:c>
      <x:c r="D385" s="12" t="str">
        <x:v>Unsupported Relationship</x:v>
      </x:c>
      <x:c r="E385" s="6" t="str">
        <x:v>Nocturnix_Master_Compatibility_Catalog_v1.xlsx</x:v>
      </x:c>
      <x:c r="F385" s="6" t="str">
        <x:v>01 - Compatibility Records</x:v>
      </x:c>
      <x:c r="G385" s="6" t="n">
        <x:v>110</x:v>
      </x:c>
      <x:c r="H385" s="12" t="str">
        <x:v>PHN</x:v>
      </x:c>
      <x:c r="I385" s="12" t="str">
        <x:v>phn</x:v>
      </x:c>
      <x:c r="J385" s="6" t="str"/>
      <x:c r="K385" s="12" t="str">
        <x:v>Unsupported</x:v>
      </x:c>
      <x:c r="L385" s="12" t="str">
        <x:v>Device family alone is insufficient for governed relationship.</x:v>
      </x:c>
    </x:row>
    <x:row r="386">
      <x:c r="A386" s="12" t="str">
        <x:v>EVID-UNS-000071</x:v>
      </x:c>
      <x:c r="B386" s="6" t="str">
        <x:v>UNS000071</x:v>
      </x:c>
      <x:c r="C386" s="6" t="str">
        <x:v>SVC000071</x:v>
      </x:c>
      <x:c r="D386" s="12" t="str">
        <x:v>Unsupported Relationship</x:v>
      </x:c>
      <x:c r="E386" s="6" t="str">
        <x:v>Nocturnix_Master_Compatibility_Catalog_v1.xlsx</x:v>
      </x:c>
      <x:c r="F386" s="6" t="str">
        <x:v>01 - Compatibility Records</x:v>
      </x:c>
      <x:c r="G386" s="6" t="n">
        <x:v>111</x:v>
      </x:c>
      <x:c r="H386" s="12" t="str">
        <x:v>PHN</x:v>
      </x:c>
      <x:c r="I386" s="12" t="str">
        <x:v>phn</x:v>
      </x:c>
      <x:c r="J386" s="6" t="str"/>
      <x:c r="K386" s="12" t="str">
        <x:v>Unsupported</x:v>
      </x:c>
      <x:c r="L386" s="12" t="str">
        <x:v>Device family alone is insufficient for governed relationship.</x:v>
      </x:c>
    </x:row>
    <x:row r="387">
      <x:c r="A387" s="12" t="str">
        <x:v>EVID-UNS-000072</x:v>
      </x:c>
      <x:c r="B387" s="6" t="str">
        <x:v>UNS000072</x:v>
      </x:c>
      <x:c r="C387" s="6" t="str">
        <x:v>SVC000072</x:v>
      </x:c>
      <x:c r="D387" s="12" t="str">
        <x:v>Unsupported Relationship</x:v>
      </x:c>
      <x:c r="E387" s="6" t="str">
        <x:v>Nocturnix_Master_Compatibility_Catalog_v1.xlsx</x:v>
      </x:c>
      <x:c r="F387" s="6" t="str">
        <x:v>01 - Compatibility Records</x:v>
      </x:c>
      <x:c r="G387" s="6" t="n">
        <x:v>112</x:v>
      </x:c>
      <x:c r="H387" s="12" t="str">
        <x:v>PHN</x:v>
      </x:c>
      <x:c r="I387" s="12" t="str">
        <x:v>phn</x:v>
      </x:c>
      <x:c r="J387" s="6" t="str"/>
      <x:c r="K387" s="12" t="str">
        <x:v>Unsupported</x:v>
      </x:c>
      <x:c r="L387" s="12" t="str">
        <x:v>Device family alone is insufficient for governed relationship.</x:v>
      </x:c>
    </x:row>
    <x:row r="388">
      <x:c r="A388" s="12" t="str">
        <x:v>EVID-UNS-000073</x:v>
      </x:c>
      <x:c r="B388" s="6" t="str">
        <x:v>UNS000073</x:v>
      </x:c>
      <x:c r="C388" s="6" t="str">
        <x:v>SVC000073</x:v>
      </x:c>
      <x:c r="D388" s="12" t="str">
        <x:v>Unsupported Relationship</x:v>
      </x:c>
      <x:c r="E388" s="6" t="str">
        <x:v>Nocturnix_Master_Compatibility_Catalog_v1.xlsx</x:v>
      </x:c>
      <x:c r="F388" s="6" t="str">
        <x:v>01 - Compatibility Records</x:v>
      </x:c>
      <x:c r="G388" s="6" t="n">
        <x:v>113</x:v>
      </x:c>
      <x:c r="H388" s="12" t="str">
        <x:v>PHN</x:v>
      </x:c>
      <x:c r="I388" s="12" t="str">
        <x:v>phn</x:v>
      </x:c>
      <x:c r="J388" s="6" t="str"/>
      <x:c r="K388" s="12" t="str">
        <x:v>Unsupported</x:v>
      </x:c>
      <x:c r="L388" s="12" t="str">
        <x:v>Device family alone is insufficient for governed relationship.</x:v>
      </x:c>
    </x:row>
    <x:row r="389">
      <x:c r="A389" s="12" t="str">
        <x:v>EVID-UNS-000074</x:v>
      </x:c>
      <x:c r="B389" s="6" t="str">
        <x:v>UNS000074</x:v>
      </x:c>
      <x:c r="C389" s="6" t="str">
        <x:v>SVC000074</x:v>
      </x:c>
      <x:c r="D389" s="12" t="str">
        <x:v>Unsupported Relationship</x:v>
      </x:c>
      <x:c r="E389" s="6" t="str">
        <x:v>Nocturnix_Master_Compatibility_Catalog_v1.xlsx</x:v>
      </x:c>
      <x:c r="F389" s="6" t="str">
        <x:v>01 - Compatibility Records</x:v>
      </x:c>
      <x:c r="G389" s="6" t="n">
        <x:v>114</x:v>
      </x:c>
      <x:c r="H389" s="12" t="str">
        <x:v>PHN</x:v>
      </x:c>
      <x:c r="I389" s="12" t="str">
        <x:v>phn</x:v>
      </x:c>
      <x:c r="J389" s="6" t="str"/>
      <x:c r="K389" s="12" t="str">
        <x:v>Unsupported</x:v>
      </x:c>
      <x:c r="L389" s="12" t="str">
        <x:v>Device family alone is insufficient for governed relationship.</x:v>
      </x:c>
    </x:row>
    <x:row r="390">
      <x:c r="A390" s="12" t="str">
        <x:v>EVID-UNS-000075</x:v>
      </x:c>
      <x:c r="B390" s="6" t="str">
        <x:v>UNS000075</x:v>
      </x:c>
      <x:c r="C390" s="6" t="str">
        <x:v>SVC000075</x:v>
      </x:c>
      <x:c r="D390" s="12" t="str">
        <x:v>Unsupported Relationship</x:v>
      </x:c>
      <x:c r="E390" s="6" t="str">
        <x:v>Nocturnix_Master_Compatibility_Catalog_v1.xlsx</x:v>
      </x:c>
      <x:c r="F390" s="6" t="str">
        <x:v>01 - Compatibility Records</x:v>
      </x:c>
      <x:c r="G390" s="6" t="n">
        <x:v>115</x:v>
      </x:c>
      <x:c r="H390" s="12" t="str">
        <x:v>PHN</x:v>
      </x:c>
      <x:c r="I390" s="12" t="str">
        <x:v>phn</x:v>
      </x:c>
      <x:c r="J390" s="6" t="str"/>
      <x:c r="K390" s="12" t="str">
        <x:v>Unsupported</x:v>
      </x:c>
      <x:c r="L390" s="12" t="str">
        <x:v>Device family alone is insufficient for governed relationship.</x:v>
      </x:c>
    </x:row>
    <x:row r="391">
      <x:c r="A391" s="12" t="str">
        <x:v>EVID-UNS-000076</x:v>
      </x:c>
      <x:c r="B391" s="6" t="str">
        <x:v>UNS000076</x:v>
      </x:c>
      <x:c r="C391" s="6" t="str">
        <x:v>SVC000076</x:v>
      </x:c>
      <x:c r="D391" s="12" t="str">
        <x:v>Unsupported Relationship</x:v>
      </x:c>
      <x:c r="E391" s="6" t="str">
        <x:v>Nocturnix_Master_Compatibility_Catalog_v1.xlsx</x:v>
      </x:c>
      <x:c r="F391" s="6" t="str">
        <x:v>01 - Compatibility Records</x:v>
      </x:c>
      <x:c r="G391" s="6" t="n">
        <x:v>116</x:v>
      </x:c>
      <x:c r="H391" s="12" t="str">
        <x:v>PHN</x:v>
      </x:c>
      <x:c r="I391" s="12" t="str">
        <x:v>phn</x:v>
      </x:c>
      <x:c r="J391" s="6" t="str"/>
      <x:c r="K391" s="12" t="str">
        <x:v>Unsupported</x:v>
      </x:c>
      <x:c r="L391" s="12" t="str">
        <x:v>Device family alone is insufficient for governed relationship.</x:v>
      </x:c>
    </x:row>
    <x:row r="392">
      <x:c r="A392" s="12" t="str">
        <x:v>EVID-UNS-000077</x:v>
      </x:c>
      <x:c r="B392" s="6" t="str">
        <x:v>UNS000077</x:v>
      </x:c>
      <x:c r="C392" s="6" t="str">
        <x:v>SVC000077</x:v>
      </x:c>
      <x:c r="D392" s="12" t="str">
        <x:v>Unsupported Relationship</x:v>
      </x:c>
      <x:c r="E392" s="6" t="str">
        <x:v>Nocturnix_Master_Compatibility_Catalog_v1.xlsx</x:v>
      </x:c>
      <x:c r="F392" s="6" t="str">
        <x:v>01 - Compatibility Records</x:v>
      </x:c>
      <x:c r="G392" s="6" t="n">
        <x:v>117</x:v>
      </x:c>
      <x:c r="H392" s="12" t="str">
        <x:v>PHN</x:v>
      </x:c>
      <x:c r="I392" s="12" t="str">
        <x:v>phn</x:v>
      </x:c>
      <x:c r="J392" s="6" t="str"/>
      <x:c r="K392" s="12" t="str">
        <x:v>Unsupported</x:v>
      </x:c>
      <x:c r="L392" s="12" t="str">
        <x:v>Device family alone is insufficient for governed relationship.</x:v>
      </x:c>
    </x:row>
    <x:row r="393">
      <x:c r="A393" s="12" t="str">
        <x:v>EVID-UNS-000078</x:v>
      </x:c>
      <x:c r="B393" s="6" t="str">
        <x:v>UNS000078</x:v>
      </x:c>
      <x:c r="C393" s="6" t="str">
        <x:v>SVC000078</x:v>
      </x:c>
      <x:c r="D393" s="12" t="str">
        <x:v>Unsupported Relationship</x:v>
      </x:c>
      <x:c r="E393" s="6" t="str">
        <x:v>Nocturnix_Master_Compatibility_Catalog_v1.xlsx</x:v>
      </x:c>
      <x:c r="F393" s="6" t="str">
        <x:v>01 - Compatibility Records</x:v>
      </x:c>
      <x:c r="G393" s="6" t="n">
        <x:v>118</x:v>
      </x:c>
      <x:c r="H393" s="12" t="str">
        <x:v>PHN</x:v>
      </x:c>
      <x:c r="I393" s="12" t="str">
        <x:v>phn</x:v>
      </x:c>
      <x:c r="J393" s="6" t="str"/>
      <x:c r="K393" s="12" t="str">
        <x:v>Unsupported</x:v>
      </x:c>
      <x:c r="L393" s="12" t="str">
        <x:v>Device family alone is insufficient for governed relationship.</x:v>
      </x:c>
    </x:row>
    <x:row r="394">
      <x:c r="A394" s="12" t="str">
        <x:v>EVID-UNS-000079</x:v>
      </x:c>
      <x:c r="B394" s="6" t="str">
        <x:v>UNS000079</x:v>
      </x:c>
      <x:c r="C394" s="6" t="str">
        <x:v>SVC000079</x:v>
      </x:c>
      <x:c r="D394" s="12" t="str">
        <x:v>Unsupported Relationship</x:v>
      </x:c>
      <x:c r="E394" s="6" t="str">
        <x:v>Nocturnix_Master_Compatibility_Catalog_v1.xlsx</x:v>
      </x:c>
      <x:c r="F394" s="6" t="str">
        <x:v>01 - Compatibility Records</x:v>
      </x:c>
      <x:c r="G394" s="6" t="n">
        <x:v>119</x:v>
      </x:c>
      <x:c r="H394" s="12" t="str">
        <x:v>PHN</x:v>
      </x:c>
      <x:c r="I394" s="12" t="str">
        <x:v>phn</x:v>
      </x:c>
      <x:c r="J394" s="6" t="str"/>
      <x:c r="K394" s="12" t="str">
        <x:v>Unsupported</x:v>
      </x:c>
      <x:c r="L394" s="12" t="str">
        <x:v>Device family alone is insufficient for governed relationship.</x:v>
      </x:c>
    </x:row>
    <x:row r="395">
      <x:c r="A395" s="12" t="str">
        <x:v>EVID-UNS-000080</x:v>
      </x:c>
      <x:c r="B395" s="6" t="str">
        <x:v>UNS000080</x:v>
      </x:c>
      <x:c r="C395" s="6" t="str">
        <x:v>SVC000080</x:v>
      </x:c>
      <x:c r="D395" s="12" t="str">
        <x:v>Unsupported Relationship</x:v>
      </x:c>
      <x:c r="E395" s="6" t="str">
        <x:v>Nocturnix_Master_Compatibility_Catalog_v1.xlsx</x:v>
      </x:c>
      <x:c r="F395" s="6" t="str">
        <x:v>01 - Compatibility Records</x:v>
      </x:c>
      <x:c r="G395" s="6" t="n">
        <x:v>120</x:v>
      </x:c>
      <x:c r="H395" s="12" t="str">
        <x:v>PHN</x:v>
      </x:c>
      <x:c r="I395" s="12" t="str">
        <x:v>phn</x:v>
      </x:c>
      <x:c r="J395" s="6" t="str"/>
      <x:c r="K395" s="12" t="str">
        <x:v>Unsupported</x:v>
      </x:c>
      <x:c r="L395" s="12" t="str">
        <x:v>Device family alone is insufficient for governed relationship.</x:v>
      </x:c>
    </x:row>
    <x:row r="396">
      <x:c r="A396" s="12" t="str">
        <x:v>EVID-UNS-000081</x:v>
      </x:c>
      <x:c r="B396" s="6" t="str">
        <x:v>UNS000081</x:v>
      </x:c>
      <x:c r="C396" s="6" t="str">
        <x:v>SVC000081</x:v>
      </x:c>
      <x:c r="D396" s="12" t="str">
        <x:v>Unsupported Relationship</x:v>
      </x:c>
      <x:c r="E396" s="6" t="str">
        <x:v>Nocturnix_Master_Compatibility_Catalog_v1.xlsx</x:v>
      </x:c>
      <x:c r="F396" s="6" t="str">
        <x:v>01 - Compatibility Records</x:v>
      </x:c>
      <x:c r="G396" s="6" t="n">
        <x:v>121</x:v>
      </x:c>
      <x:c r="H396" s="12" t="str">
        <x:v>PHN</x:v>
      </x:c>
      <x:c r="I396" s="12" t="str">
        <x:v>phn</x:v>
      </x:c>
      <x:c r="J396" s="6" t="str"/>
      <x:c r="K396" s="12" t="str">
        <x:v>Unsupported</x:v>
      </x:c>
      <x:c r="L396" s="12" t="str">
        <x:v>Device family alone is insufficient for governed relationship.</x:v>
      </x:c>
    </x:row>
    <x:row r="397">
      <x:c r="A397" s="12" t="str">
        <x:v>EVID-UNS-000082</x:v>
      </x:c>
      <x:c r="B397" s="6" t="str">
        <x:v>UNS000082</x:v>
      </x:c>
      <x:c r="C397" s="6" t="str">
        <x:v>SVC000082</x:v>
      </x:c>
      <x:c r="D397" s="12" t="str">
        <x:v>Unsupported Relationship</x:v>
      </x:c>
      <x:c r="E397" s="6" t="str">
        <x:v>Nocturnix_Master_Compatibility_Catalog_v1.xlsx</x:v>
      </x:c>
      <x:c r="F397" s="6" t="str">
        <x:v>01 - Compatibility Records</x:v>
      </x:c>
      <x:c r="G397" s="6" t="n">
        <x:v>122</x:v>
      </x:c>
      <x:c r="H397" s="12" t="str">
        <x:v>PHN</x:v>
      </x:c>
      <x:c r="I397" s="12" t="str">
        <x:v>phn</x:v>
      </x:c>
      <x:c r="J397" s="6" t="str"/>
      <x:c r="K397" s="12" t="str">
        <x:v>Unsupported</x:v>
      </x:c>
      <x:c r="L397" s="12" t="str">
        <x:v>Device family alone is insufficient for governed relationship.</x:v>
      </x:c>
    </x:row>
    <x:row r="398">
      <x:c r="A398" s="12" t="str">
        <x:v>EVID-UNS-000083</x:v>
      </x:c>
      <x:c r="B398" s="6" t="str">
        <x:v>UNS000083</x:v>
      </x:c>
      <x:c r="C398" s="6" t="str">
        <x:v>SVC000083</x:v>
      </x:c>
      <x:c r="D398" s="12" t="str">
        <x:v>Unsupported Relationship</x:v>
      </x:c>
      <x:c r="E398" s="6" t="str">
        <x:v>Nocturnix_Master_Compatibility_Catalog_v1.xlsx</x:v>
      </x:c>
      <x:c r="F398" s="6" t="str">
        <x:v>01 - Compatibility Records</x:v>
      </x:c>
      <x:c r="G398" s="6" t="n">
        <x:v>123</x:v>
      </x:c>
      <x:c r="H398" s="12" t="str">
        <x:v>PHN</x:v>
      </x:c>
      <x:c r="I398" s="12" t="str">
        <x:v>phn</x:v>
      </x:c>
      <x:c r="J398" s="6" t="str"/>
      <x:c r="K398" s="12" t="str">
        <x:v>Unsupported</x:v>
      </x:c>
      <x:c r="L398" s="12" t="str">
        <x:v>Device family alone is insufficient for governed relationship.</x:v>
      </x:c>
    </x:row>
    <x:row r="399">
      <x:c r="A399" s="12" t="str">
        <x:v>EVID-UNS-000084</x:v>
      </x:c>
      <x:c r="B399" s="6" t="str">
        <x:v>UNS000084</x:v>
      </x:c>
      <x:c r="C399" s="6" t="str">
        <x:v>SVC000084</x:v>
      </x:c>
      <x:c r="D399" s="12" t="str">
        <x:v>Unsupported Relationship</x:v>
      </x:c>
      <x:c r="E399" s="6" t="str">
        <x:v>Nocturnix_Master_Compatibility_Catalog_v1.xlsx</x:v>
      </x:c>
      <x:c r="F399" s="6" t="str">
        <x:v>01 - Compatibility Records</x:v>
      </x:c>
      <x:c r="G399" s="6" t="n">
        <x:v>124</x:v>
      </x:c>
      <x:c r="H399" s="12" t="str">
        <x:v>PHN</x:v>
      </x:c>
      <x:c r="I399" s="12" t="str">
        <x:v>phn</x:v>
      </x:c>
      <x:c r="J399" s="6" t="str"/>
      <x:c r="K399" s="12" t="str">
        <x:v>Unsupported</x:v>
      </x:c>
      <x:c r="L399" s="12" t="str">
        <x:v>Device family alone is insufficient for governed relationship.</x:v>
      </x:c>
    </x:row>
    <x:row r="400">
      <x:c r="A400" s="12" t="str">
        <x:v>EVID-UNS-000085</x:v>
      </x:c>
      <x:c r="B400" s="6" t="str">
        <x:v>UNS000085</x:v>
      </x:c>
      <x:c r="C400" s="6" t="str">
        <x:v>SVC000085</x:v>
      </x:c>
      <x:c r="D400" s="12" t="str">
        <x:v>Unsupported Relationship</x:v>
      </x:c>
      <x:c r="E400" s="6" t="str">
        <x:v>Nocturnix_Master_Compatibility_Catalog_v1.xlsx</x:v>
      </x:c>
      <x:c r="F400" s="6" t="str">
        <x:v>01 - Compatibility Records</x:v>
      </x:c>
      <x:c r="G400" s="6" t="n">
        <x:v>125</x:v>
      </x:c>
      <x:c r="H400" s="12" t="str">
        <x:v>PHN</x:v>
      </x:c>
      <x:c r="I400" s="12" t="str">
        <x:v>phn</x:v>
      </x:c>
      <x:c r="J400" s="6" t="str"/>
      <x:c r="K400" s="12" t="str">
        <x:v>Unsupported</x:v>
      </x:c>
      <x:c r="L400" s="12" t="str">
        <x:v>Device family alone is insufficient for governed relationship.</x:v>
      </x:c>
    </x:row>
    <x:row r="401">
      <x:c r="A401" s="12" t="str">
        <x:v>EVID-UNS-000086</x:v>
      </x:c>
      <x:c r="B401" s="6" t="str">
        <x:v>UNS000086</x:v>
      </x:c>
      <x:c r="C401" s="6" t="str">
        <x:v>SVC000086</x:v>
      </x:c>
      <x:c r="D401" s="12" t="str">
        <x:v>Unsupported Relationship</x:v>
      </x:c>
      <x:c r="E401" s="6" t="str">
        <x:v>Nocturnix_Master_Compatibility_Catalog_v1.xlsx</x:v>
      </x:c>
      <x:c r="F401" s="6" t="str">
        <x:v>01 - Compatibility Records</x:v>
      </x:c>
      <x:c r="G401" s="6" t="n">
        <x:v>126</x:v>
      </x:c>
      <x:c r="H401" s="12" t="str">
        <x:v>PHN</x:v>
      </x:c>
      <x:c r="I401" s="12" t="str">
        <x:v>phn</x:v>
      </x:c>
      <x:c r="J401" s="6" t="str"/>
      <x:c r="K401" s="12" t="str">
        <x:v>Unsupported</x:v>
      </x:c>
      <x:c r="L401" s="12" t="str">
        <x:v>Device family alone is insufficient for governed relationship.</x:v>
      </x:c>
    </x:row>
    <x:row r="402">
      <x:c r="A402" s="12" t="str">
        <x:v>EVID-UNS-000087</x:v>
      </x:c>
      <x:c r="B402" s="6" t="str">
        <x:v>UNS000087</x:v>
      </x:c>
      <x:c r="C402" s="6" t="str">
        <x:v>SVC000087</x:v>
      </x:c>
      <x:c r="D402" s="12" t="str">
        <x:v>Unsupported Relationship</x:v>
      </x:c>
      <x:c r="E402" s="6" t="str">
        <x:v>Nocturnix_Master_Compatibility_Catalog_v1.xlsx</x:v>
      </x:c>
      <x:c r="F402" s="6" t="str">
        <x:v>01 - Compatibility Records</x:v>
      </x:c>
      <x:c r="G402" s="6" t="n">
        <x:v>127</x:v>
      </x:c>
      <x:c r="H402" s="12" t="str">
        <x:v>PHN</x:v>
      </x:c>
      <x:c r="I402" s="12" t="str">
        <x:v>phn</x:v>
      </x:c>
      <x:c r="J402" s="6" t="str"/>
      <x:c r="K402" s="12" t="str">
        <x:v>Unsupported</x:v>
      </x:c>
      <x:c r="L402" s="12" t="str">
        <x:v>Device family alone is insufficient for governed relationship.</x:v>
      </x:c>
    </x:row>
    <x:row r="403">
      <x:c r="A403" s="12" t="str">
        <x:v>EVID-UNS-000088</x:v>
      </x:c>
      <x:c r="B403" s="6" t="str">
        <x:v>UNS000088</x:v>
      </x:c>
      <x:c r="C403" s="6" t="str">
        <x:v>SVC000088</x:v>
      </x:c>
      <x:c r="D403" s="12" t="str">
        <x:v>Unsupported Relationship</x:v>
      </x:c>
      <x:c r="E403" s="6" t="str">
        <x:v>Nocturnix_Master_Compatibility_Catalog_v1.xlsx</x:v>
      </x:c>
      <x:c r="F403" s="6" t="str">
        <x:v>01 - Compatibility Records</x:v>
      </x:c>
      <x:c r="G403" s="6" t="n">
        <x:v>128</x:v>
      </x:c>
      <x:c r="H403" s="12" t="str">
        <x:v>PHN</x:v>
      </x:c>
      <x:c r="I403" s="12" t="str">
        <x:v>phn</x:v>
      </x:c>
      <x:c r="J403" s="6" t="str"/>
      <x:c r="K403" s="12" t="str">
        <x:v>Unsupported</x:v>
      </x:c>
      <x:c r="L403" s="12" t="str">
        <x:v>Device family alone is insufficient for governed relationship.</x:v>
      </x:c>
    </x:row>
    <x:row r="404">
      <x:c r="A404" s="12" t="str">
        <x:v>EVID-UNS-000089</x:v>
      </x:c>
      <x:c r="B404" s="6" t="str">
        <x:v>UNS000089</x:v>
      </x:c>
      <x:c r="C404" s="6" t="str">
        <x:v>SVC000089</x:v>
      </x:c>
      <x:c r="D404" s="12" t="str">
        <x:v>Unsupported Relationship</x:v>
      </x:c>
      <x:c r="E404" s="6" t="str">
        <x:v>Nocturnix_Master_Compatibility_Catalog_v1.xlsx</x:v>
      </x:c>
      <x:c r="F404" s="6" t="str">
        <x:v>01 - Compatibility Records</x:v>
      </x:c>
      <x:c r="G404" s="6" t="n">
        <x:v>129</x:v>
      </x:c>
      <x:c r="H404" s="12" t="str">
        <x:v>PHN</x:v>
      </x:c>
      <x:c r="I404" s="12" t="str">
        <x:v>phn</x:v>
      </x:c>
      <x:c r="J404" s="6" t="str"/>
      <x:c r="K404" s="12" t="str">
        <x:v>Unsupported</x:v>
      </x:c>
      <x:c r="L404" s="12" t="str">
        <x:v>Device family alone is insufficient for governed relationship.</x:v>
      </x:c>
    </x:row>
    <x:row r="405">
      <x:c r="A405" s="12" t="str">
        <x:v>EVID-UNS-000090</x:v>
      </x:c>
      <x:c r="B405" s="6" t="str">
        <x:v>UNS000090</x:v>
      </x:c>
      <x:c r="C405" s="6" t="str">
        <x:v>SVC000090</x:v>
      </x:c>
      <x:c r="D405" s="12" t="str">
        <x:v>Unsupported Relationship</x:v>
      </x:c>
      <x:c r="E405" s="6" t="str">
        <x:v>Nocturnix_Master_Compatibility_Catalog_v1.xlsx</x:v>
      </x:c>
      <x:c r="F405" s="6" t="str">
        <x:v>01 - Compatibility Records</x:v>
      </x:c>
      <x:c r="G405" s="6" t="n">
        <x:v>130</x:v>
      </x:c>
      <x:c r="H405" s="12" t="str">
        <x:v>PHN</x:v>
      </x:c>
      <x:c r="I405" s="12" t="str">
        <x:v>phn</x:v>
      </x:c>
      <x:c r="J405" s="6" t="str"/>
      <x:c r="K405" s="12" t="str">
        <x:v>Unsupported</x:v>
      </x:c>
      <x:c r="L405" s="12" t="str">
        <x:v>Device family alone is insufficient for governed relationship.</x:v>
      </x:c>
    </x:row>
    <x:row r="406">
      <x:c r="A406" s="12" t="str">
        <x:v>EVID-UNS-000091</x:v>
      </x:c>
      <x:c r="B406" s="6" t="str">
        <x:v>UNS000091</x:v>
      </x:c>
      <x:c r="C406" s="6" t="str">
        <x:v>SVC000091</x:v>
      </x:c>
      <x:c r="D406" s="12" t="str">
        <x:v>Unsupported Relationship</x:v>
      </x:c>
      <x:c r="E406" s="6" t="str">
        <x:v>Nocturnix_Master_Compatibility_Catalog_v1.xlsx</x:v>
      </x:c>
      <x:c r="F406" s="6" t="str">
        <x:v>01 - Compatibility Records</x:v>
      </x:c>
      <x:c r="G406" s="6" t="n">
        <x:v>131</x:v>
      </x:c>
      <x:c r="H406" s="12" t="str">
        <x:v>PHN</x:v>
      </x:c>
      <x:c r="I406" s="12" t="str">
        <x:v>phn</x:v>
      </x:c>
      <x:c r="J406" s="6" t="str"/>
      <x:c r="K406" s="12" t="str">
        <x:v>Unsupported</x:v>
      </x:c>
      <x:c r="L406" s="12" t="str">
        <x:v>Device family alone is insufficient for governed relationship.</x:v>
      </x:c>
    </x:row>
    <x:row r="407">
      <x:c r="A407" s="12" t="str">
        <x:v>EVID-UNS-000092</x:v>
      </x:c>
      <x:c r="B407" s="6" t="str">
        <x:v>UNS000092</x:v>
      </x:c>
      <x:c r="C407" s="6" t="str">
        <x:v>SVC000092</x:v>
      </x:c>
      <x:c r="D407" s="12" t="str">
        <x:v>Unsupported Relationship</x:v>
      </x:c>
      <x:c r="E407" s="6" t="str">
        <x:v>Nocturnix_Master_Compatibility_Catalog_v1.xlsx</x:v>
      </x:c>
      <x:c r="F407" s="6" t="str">
        <x:v>01 - Compatibility Records</x:v>
      </x:c>
      <x:c r="G407" s="6" t="n">
        <x:v>132</x:v>
      </x:c>
      <x:c r="H407" s="12" t="str">
        <x:v>PHN</x:v>
      </x:c>
      <x:c r="I407" s="12" t="str">
        <x:v>phn</x:v>
      </x:c>
      <x:c r="J407" s="6" t="str"/>
      <x:c r="K407" s="12" t="str">
        <x:v>Unsupported</x:v>
      </x:c>
      <x:c r="L407" s="12" t="str">
        <x:v>Device family alone is insufficient for governed relationship.</x:v>
      </x:c>
    </x:row>
    <x:row r="408">
      <x:c r="A408" s="12" t="str">
        <x:v>EVID-UNS-000093</x:v>
      </x:c>
      <x:c r="B408" s="6" t="str">
        <x:v>UNS000093</x:v>
      </x:c>
      <x:c r="C408" s="6" t="str">
        <x:v>SVC000093</x:v>
      </x:c>
      <x:c r="D408" s="12" t="str">
        <x:v>Unsupported Relationship</x:v>
      </x:c>
      <x:c r="E408" s="6" t="str">
        <x:v>Nocturnix_Master_Compatibility_Catalog_v1.xlsx</x:v>
      </x:c>
      <x:c r="F408" s="6" t="str">
        <x:v>01 - Compatibility Records</x:v>
      </x:c>
      <x:c r="G408" s="6" t="n">
        <x:v>133</x:v>
      </x:c>
      <x:c r="H408" s="12" t="str">
        <x:v>PHN</x:v>
      </x:c>
      <x:c r="I408" s="12" t="str">
        <x:v>phn</x:v>
      </x:c>
      <x:c r="J408" s="6" t="str"/>
      <x:c r="K408" s="12" t="str">
        <x:v>Unsupported</x:v>
      </x:c>
      <x:c r="L408" s="12" t="str">
        <x:v>Device family alone is insufficient for governed relationship.</x:v>
      </x:c>
    </x:row>
    <x:row r="409">
      <x:c r="A409" s="12" t="str">
        <x:v>EVID-UNS-000094</x:v>
      </x:c>
      <x:c r="B409" s="6" t="str">
        <x:v>UNS000094</x:v>
      </x:c>
      <x:c r="C409" s="6" t="str">
        <x:v>SVC000094</x:v>
      </x:c>
      <x:c r="D409" s="12" t="str">
        <x:v>Unsupported Relationship</x:v>
      </x:c>
      <x:c r="E409" s="6" t="str">
        <x:v>Nocturnix_Master_Compatibility_Catalog_v1.xlsx</x:v>
      </x:c>
      <x:c r="F409" s="6" t="str">
        <x:v>01 - Compatibility Records</x:v>
      </x:c>
      <x:c r="G409" s="6" t="n">
        <x:v>134</x:v>
      </x:c>
      <x:c r="H409" s="12" t="str">
        <x:v>PHN</x:v>
      </x:c>
      <x:c r="I409" s="12" t="str">
        <x:v>phn</x:v>
      </x:c>
      <x:c r="J409" s="6" t="str"/>
      <x:c r="K409" s="12" t="str">
        <x:v>Unsupported</x:v>
      </x:c>
      <x:c r="L409" s="12" t="str">
        <x:v>Device family alone is insufficient for governed relationship.</x:v>
      </x:c>
    </x:row>
    <x:row r="410">
      <x:c r="A410" s="12" t="str">
        <x:v>EVID-UNS-000095</x:v>
      </x:c>
      <x:c r="B410" s="6" t="str">
        <x:v>UNS000095</x:v>
      </x:c>
      <x:c r="C410" s="6" t="str">
        <x:v>SVC000095</x:v>
      </x:c>
      <x:c r="D410" s="12" t="str">
        <x:v>Unsupported Relationship</x:v>
      </x:c>
      <x:c r="E410" s="6" t="str">
        <x:v>Nocturnix_Master_Compatibility_Catalog_v1.xlsx</x:v>
      </x:c>
      <x:c r="F410" s="6" t="str">
        <x:v>01 - Compatibility Records</x:v>
      </x:c>
      <x:c r="G410" s="6" t="n">
        <x:v>135</x:v>
      </x:c>
      <x:c r="H410" s="12" t="str">
        <x:v>PHN</x:v>
      </x:c>
      <x:c r="I410" s="12" t="str">
        <x:v>phn</x:v>
      </x:c>
      <x:c r="J410" s="6" t="str"/>
      <x:c r="K410" s="12" t="str">
        <x:v>Unsupported</x:v>
      </x:c>
      <x:c r="L410" s="12" t="str">
        <x:v>Device family alone is insufficient for governed relationship.</x:v>
      </x:c>
    </x:row>
    <x:row r="411">
      <x:c r="A411" s="12" t="str">
        <x:v>EVID-UNS-000096</x:v>
      </x:c>
      <x:c r="B411" s="6" t="str">
        <x:v>UNS000096</x:v>
      </x:c>
      <x:c r="C411" s="6" t="str">
        <x:v>SVC000096</x:v>
      </x:c>
      <x:c r="D411" s="12" t="str">
        <x:v>Unsupported Relationship</x:v>
      </x:c>
      <x:c r="E411" s="6" t="str">
        <x:v>Nocturnix_Master_Compatibility_Catalog_v1.xlsx</x:v>
      </x:c>
      <x:c r="F411" s="6" t="str">
        <x:v>01 - Compatibility Records</x:v>
      </x:c>
      <x:c r="G411" s="6" t="n">
        <x:v>136</x:v>
      </x:c>
      <x:c r="H411" s="12" t="str">
        <x:v>PHN</x:v>
      </x:c>
      <x:c r="I411" s="12" t="str">
        <x:v>phn</x:v>
      </x:c>
      <x:c r="J411" s="6" t="str"/>
      <x:c r="K411" s="12" t="str">
        <x:v>Unsupported</x:v>
      </x:c>
      <x:c r="L411" s="12" t="str">
        <x:v>Device family alone is insufficient for governed relationship.</x:v>
      </x:c>
    </x:row>
    <x:row r="412">
      <x:c r="A412" s="12" t="str">
        <x:v>EVID-UNS-000097</x:v>
      </x:c>
      <x:c r="B412" s="6" t="str">
        <x:v>UNS000097</x:v>
      </x:c>
      <x:c r="C412" s="6" t="str">
        <x:v>SVC000097</x:v>
      </x:c>
      <x:c r="D412" s="12" t="str">
        <x:v>Unsupported Relationship</x:v>
      </x:c>
      <x:c r="E412" s="6" t="str">
        <x:v>Nocturnix_Master_Compatibility_Catalog_v1.xlsx</x:v>
      </x:c>
      <x:c r="F412" s="6" t="str">
        <x:v>01 - Compatibility Records</x:v>
      </x:c>
      <x:c r="G412" s="6" t="n">
        <x:v>137</x:v>
      </x:c>
      <x:c r="H412" s="12" t="str">
        <x:v>PHN</x:v>
      </x:c>
      <x:c r="I412" s="12" t="str">
        <x:v>phn</x:v>
      </x:c>
      <x:c r="J412" s="6" t="str"/>
      <x:c r="K412" s="12" t="str">
        <x:v>Unsupported</x:v>
      </x:c>
      <x:c r="L412" s="12" t="str">
        <x:v>Device family alone is insufficient for governed relationship.</x:v>
      </x:c>
    </x:row>
    <x:row r="413">
      <x:c r="A413" s="12" t="str">
        <x:v>EVID-UNS-000098</x:v>
      </x:c>
      <x:c r="B413" s="6" t="str">
        <x:v>UNS000098</x:v>
      </x:c>
      <x:c r="C413" s="6" t="str">
        <x:v>SVC000098</x:v>
      </x:c>
      <x:c r="D413" s="12" t="str">
        <x:v>Unsupported Relationship</x:v>
      </x:c>
      <x:c r="E413" s="6" t="str">
        <x:v>Nocturnix_Master_Compatibility_Catalog_v1.xlsx</x:v>
      </x:c>
      <x:c r="F413" s="6" t="str">
        <x:v>01 - Compatibility Records</x:v>
      </x:c>
      <x:c r="G413" s="6" t="n">
        <x:v>138</x:v>
      </x:c>
      <x:c r="H413" s="12" t="str">
        <x:v>PHN</x:v>
      </x:c>
      <x:c r="I413" s="12" t="str">
        <x:v>phn</x:v>
      </x:c>
      <x:c r="J413" s="6" t="str"/>
      <x:c r="K413" s="12" t="str">
        <x:v>Unsupported</x:v>
      </x:c>
      <x:c r="L413" s="12" t="str">
        <x:v>Device family alone is insufficient for governed relationship.</x:v>
      </x:c>
    </x:row>
    <x:row r="414">
      <x:c r="A414" s="12" t="str">
        <x:v>EVID-UNS-000099</x:v>
      </x:c>
      <x:c r="B414" s="6" t="str">
        <x:v>UNS000099</x:v>
      </x:c>
      <x:c r="C414" s="6" t="str">
        <x:v>SVC000099</x:v>
      </x:c>
      <x:c r="D414" s="12" t="str">
        <x:v>Unsupported Relationship</x:v>
      </x:c>
      <x:c r="E414" s="6" t="str">
        <x:v>Nocturnix_Master_Compatibility_Catalog_v1.xlsx</x:v>
      </x:c>
      <x:c r="F414" s="6" t="str">
        <x:v>01 - Compatibility Records</x:v>
      </x:c>
      <x:c r="G414" s="6" t="n">
        <x:v>139</x:v>
      </x:c>
      <x:c r="H414" s="12" t="str">
        <x:v>PHN</x:v>
      </x:c>
      <x:c r="I414" s="12" t="str">
        <x:v>phn</x:v>
      </x:c>
      <x:c r="J414" s="6" t="str"/>
      <x:c r="K414" s="12" t="str">
        <x:v>Unsupported</x:v>
      </x:c>
      <x:c r="L414" s="12" t="str">
        <x:v>Device family alone is insufficient for governed relationship.</x:v>
      </x:c>
    </x:row>
    <x:row r="415">
      <x:c r="A415" s="12" t="str">
        <x:v>EVID-UNS-000100</x:v>
      </x:c>
      <x:c r="B415" s="6" t="str">
        <x:v>UNS000100</x:v>
      </x:c>
      <x:c r="C415" s="6" t="str">
        <x:v>SVC000100</x:v>
      </x:c>
      <x:c r="D415" s="12" t="str">
        <x:v>Unsupported Relationship</x:v>
      </x:c>
      <x:c r="E415" s="6" t="str">
        <x:v>Nocturnix_Master_Compatibility_Catalog_v1.xlsx</x:v>
      </x:c>
      <x:c r="F415" s="6" t="str">
        <x:v>01 - Compatibility Records</x:v>
      </x:c>
      <x:c r="G415" s="6" t="n">
        <x:v>140</x:v>
      </x:c>
      <x:c r="H415" s="12" t="str">
        <x:v>PHN</x:v>
      </x:c>
      <x:c r="I415" s="12" t="str">
        <x:v>phn</x:v>
      </x:c>
      <x:c r="J415" s="6" t="str"/>
      <x:c r="K415" s="12" t="str">
        <x:v>Unsupported</x:v>
      </x:c>
      <x:c r="L415" s="12" t="str">
        <x:v>Device family alone is insufficient for governed relationship.</x:v>
      </x:c>
    </x:row>
    <x:row r="416">
      <x:c r="A416" s="12" t="str">
        <x:v>EVID-UNS-000101</x:v>
      </x:c>
      <x:c r="B416" s="6" t="str">
        <x:v>UNS000101</x:v>
      </x:c>
      <x:c r="C416" s="6" t="str">
        <x:v>SVC000101</x:v>
      </x:c>
      <x:c r="D416" s="12" t="str">
        <x:v>Unsupported Relationship</x:v>
      </x:c>
      <x:c r="E416" s="6" t="str">
        <x:v>Nocturnix_Master_Compatibility_Catalog_v1.xlsx</x:v>
      </x:c>
      <x:c r="F416" s="6" t="str">
        <x:v>01 - Compatibility Records</x:v>
      </x:c>
      <x:c r="G416" s="6" t="n">
        <x:v>141</x:v>
      </x:c>
      <x:c r="H416" s="12" t="str">
        <x:v>PHN</x:v>
      </x:c>
      <x:c r="I416" s="12" t="str">
        <x:v>phn</x:v>
      </x:c>
      <x:c r="J416" s="6" t="str"/>
      <x:c r="K416" s="12" t="str">
        <x:v>Unsupported</x:v>
      </x:c>
      <x:c r="L416" s="12" t="str">
        <x:v>Device family alone is insufficient for governed relationship.</x:v>
      </x:c>
    </x:row>
    <x:row r="417">
      <x:c r="A417" s="12" t="str">
        <x:v>EVID-UNS-000102</x:v>
      </x:c>
      <x:c r="B417" s="6" t="str">
        <x:v>UNS000102</x:v>
      </x:c>
      <x:c r="C417" s="6" t="str">
        <x:v>SVC000102</x:v>
      </x:c>
      <x:c r="D417" s="12" t="str">
        <x:v>Unsupported Relationship</x:v>
      </x:c>
      <x:c r="E417" s="6" t="str">
        <x:v>Nocturnix_Master_Compatibility_Catalog_v1.xlsx</x:v>
      </x:c>
      <x:c r="F417" s="6" t="str">
        <x:v>01 - Compatibility Records</x:v>
      </x:c>
      <x:c r="G417" s="6" t="n">
        <x:v>142</x:v>
      </x:c>
      <x:c r="H417" s="12" t="str">
        <x:v>PHN</x:v>
      </x:c>
      <x:c r="I417" s="12" t="str">
        <x:v>phn</x:v>
      </x:c>
      <x:c r="J417" s="6" t="str"/>
      <x:c r="K417" s="12" t="str">
        <x:v>Unsupported</x:v>
      </x:c>
      <x:c r="L417" s="12" t="str">
        <x:v>Device family alone is insufficient for governed relationship.</x:v>
      </x:c>
    </x:row>
    <x:row r="418">
      <x:c r="A418" s="12" t="str">
        <x:v>EVID-UNS-000103</x:v>
      </x:c>
      <x:c r="B418" s="6" t="str">
        <x:v>UNS000103</x:v>
      </x:c>
      <x:c r="C418" s="6" t="str">
        <x:v>SVC000103</x:v>
      </x:c>
      <x:c r="D418" s="12" t="str">
        <x:v>Unsupported Relationship</x:v>
      </x:c>
      <x:c r="E418" s="6" t="str">
        <x:v>Nocturnix_Master_Compatibility_Catalog_v1.xlsx</x:v>
      </x:c>
      <x:c r="F418" s="6" t="str">
        <x:v>01 - Compatibility Records</x:v>
      </x:c>
      <x:c r="G418" s="6" t="n">
        <x:v>143</x:v>
      </x:c>
      <x:c r="H418" s="12" t="str">
        <x:v>PHN</x:v>
      </x:c>
      <x:c r="I418" s="12" t="str">
        <x:v>phn</x:v>
      </x:c>
      <x:c r="J418" s="6" t="str"/>
      <x:c r="K418" s="12" t="str">
        <x:v>Unsupported</x:v>
      </x:c>
      <x:c r="L418" s="12" t="str">
        <x:v>Device family alone is insufficient for governed relationship.</x:v>
      </x:c>
    </x:row>
    <x:row r="419">
      <x:c r="A419" s="12" t="str">
        <x:v>EVID-UNS-000104</x:v>
      </x:c>
      <x:c r="B419" s="6" t="str">
        <x:v>UNS000104</x:v>
      </x:c>
      <x:c r="C419" s="6" t="str">
        <x:v>SVC000104</x:v>
      </x:c>
      <x:c r="D419" s="12" t="str">
        <x:v>Unsupported Relationship</x:v>
      </x:c>
      <x:c r="E419" s="6" t="str">
        <x:v>Nocturnix_Master_Compatibility_Catalog_v1.xlsx</x:v>
      </x:c>
      <x:c r="F419" s="6" t="str">
        <x:v>01 - Compatibility Records</x:v>
      </x:c>
      <x:c r="G419" s="6" t="n">
        <x:v>144</x:v>
      </x:c>
      <x:c r="H419" s="12" t="str">
        <x:v>PHN</x:v>
      </x:c>
      <x:c r="I419" s="12" t="str">
        <x:v>phn</x:v>
      </x:c>
      <x:c r="J419" s="6" t="str"/>
      <x:c r="K419" s="12" t="str">
        <x:v>Unsupported</x:v>
      </x:c>
      <x:c r="L419" s="12" t="str">
        <x:v>Device family alone is insufficient for governed relationship.</x:v>
      </x:c>
    </x:row>
    <x:row r="420">
      <x:c r="A420" s="12" t="str">
        <x:v>EVID-UNS-000105</x:v>
      </x:c>
      <x:c r="B420" s="6" t="str">
        <x:v>UNS000105</x:v>
      </x:c>
      <x:c r="C420" s="6" t="str">
        <x:v>SVC000105</x:v>
      </x:c>
      <x:c r="D420" s="12" t="str">
        <x:v>Unsupported Relationship</x:v>
      </x:c>
      <x:c r="E420" s="6" t="str">
        <x:v>Nocturnix_Master_Compatibility_Catalog_v1.xlsx</x:v>
      </x:c>
      <x:c r="F420" s="6" t="str">
        <x:v>01 - Compatibility Records</x:v>
      </x:c>
      <x:c r="G420" s="6" t="n">
        <x:v>145</x:v>
      </x:c>
      <x:c r="H420" s="12" t="str">
        <x:v>PHN</x:v>
      </x:c>
      <x:c r="I420" s="12" t="str">
        <x:v>phn</x:v>
      </x:c>
      <x:c r="J420" s="6" t="str"/>
      <x:c r="K420" s="12" t="str">
        <x:v>Unsupported</x:v>
      </x:c>
      <x:c r="L420" s="12" t="str">
        <x:v>Device family alone is insufficient for governed relationship.</x:v>
      </x:c>
    </x:row>
    <x:row r="421">
      <x:c r="A421" s="12" t="str">
        <x:v>EVID-UNS-000106</x:v>
      </x:c>
      <x:c r="B421" s="6" t="str">
        <x:v>UNS000106</x:v>
      </x:c>
      <x:c r="C421" s="6" t="str">
        <x:v>SVC000106</x:v>
      </x:c>
      <x:c r="D421" s="12" t="str">
        <x:v>Unsupported Relationship</x:v>
      </x:c>
      <x:c r="E421" s="6" t="str">
        <x:v>Nocturnix_Master_Compatibility_Catalog_v1.xlsx</x:v>
      </x:c>
      <x:c r="F421" s="6" t="str">
        <x:v>01 - Compatibility Records</x:v>
      </x:c>
      <x:c r="G421" s="6" t="n">
        <x:v>146</x:v>
      </x:c>
      <x:c r="H421" s="12" t="str">
        <x:v>PHN</x:v>
      </x:c>
      <x:c r="I421" s="12" t="str">
        <x:v>phn</x:v>
      </x:c>
      <x:c r="J421" s="6" t="str"/>
      <x:c r="K421" s="12" t="str">
        <x:v>Unsupported</x:v>
      </x:c>
      <x:c r="L421" s="12" t="str">
        <x:v>Device family alone is insufficient for governed relationship.</x:v>
      </x:c>
    </x:row>
    <x:row r="422">
      <x:c r="A422" s="12" t="str">
        <x:v>EVID-UNS-000107</x:v>
      </x:c>
      <x:c r="B422" s="6" t="str">
        <x:v>UNS000107</x:v>
      </x:c>
      <x:c r="C422" s="6" t="str">
        <x:v>SVC000107</x:v>
      </x:c>
      <x:c r="D422" s="12" t="str">
        <x:v>Unsupported Relationship</x:v>
      </x:c>
      <x:c r="E422" s="6" t="str">
        <x:v>Nocturnix_Master_Compatibility_Catalog_v1.xlsx</x:v>
      </x:c>
      <x:c r="F422" s="6" t="str">
        <x:v>01 - Compatibility Records</x:v>
      </x:c>
      <x:c r="G422" s="6" t="n">
        <x:v>147</x:v>
      </x:c>
      <x:c r="H422" s="12" t="str">
        <x:v>PHN</x:v>
      </x:c>
      <x:c r="I422" s="12" t="str">
        <x:v>phn</x:v>
      </x:c>
      <x:c r="J422" s="6" t="str"/>
      <x:c r="K422" s="12" t="str">
        <x:v>Unsupported</x:v>
      </x:c>
      <x:c r="L422" s="12" t="str">
        <x:v>Device family alone is insufficient for governed relationship.</x:v>
      </x:c>
    </x:row>
    <x:row r="423">
      <x:c r="A423" s="12" t="str">
        <x:v>EVID-UNS-000108</x:v>
      </x:c>
      <x:c r="B423" s="6" t="str">
        <x:v>UNS000108</x:v>
      </x:c>
      <x:c r="C423" s="6" t="str">
        <x:v>SVC000108</x:v>
      </x:c>
      <x:c r="D423" s="12" t="str">
        <x:v>Unsupported Relationship</x:v>
      </x:c>
      <x:c r="E423" s="6" t="str">
        <x:v>Nocturnix_Master_Compatibility_Catalog_v1.xlsx</x:v>
      </x:c>
      <x:c r="F423" s="6" t="str">
        <x:v>01 - Compatibility Records</x:v>
      </x:c>
      <x:c r="G423" s="6" t="n">
        <x:v>148</x:v>
      </x:c>
      <x:c r="H423" s="12" t="str">
        <x:v>PHN</x:v>
      </x:c>
      <x:c r="I423" s="12" t="str">
        <x:v>phn</x:v>
      </x:c>
      <x:c r="J423" s="6" t="str"/>
      <x:c r="K423" s="12" t="str">
        <x:v>Unsupported</x:v>
      </x:c>
      <x:c r="L423" s="12" t="str">
        <x:v>Device family alone is insufficient for governed relationship.</x:v>
      </x:c>
    </x:row>
    <x:row r="424">
      <x:c r="A424" s="12" t="str">
        <x:v>EVID-UNS-000109</x:v>
      </x:c>
      <x:c r="B424" s="6" t="str">
        <x:v>UNS000109</x:v>
      </x:c>
      <x:c r="C424" s="6" t="str">
        <x:v>SVC000109</x:v>
      </x:c>
      <x:c r="D424" s="12" t="str">
        <x:v>Unsupported Relationship</x:v>
      </x:c>
      <x:c r="E424" s="6" t="str">
        <x:v>Nocturnix_Master_Compatibility_Catalog_v1.xlsx</x:v>
      </x:c>
      <x:c r="F424" s="6" t="str">
        <x:v>01 - Compatibility Records</x:v>
      </x:c>
      <x:c r="G424" s="6" t="n">
        <x:v>149</x:v>
      </x:c>
      <x:c r="H424" s="12" t="str">
        <x:v>PHN</x:v>
      </x:c>
      <x:c r="I424" s="12" t="str">
        <x:v>phn</x:v>
      </x:c>
      <x:c r="J424" s="6" t="str"/>
      <x:c r="K424" s="12" t="str">
        <x:v>Unsupported</x:v>
      </x:c>
      <x:c r="L424" s="12" t="str">
        <x:v>Device family alone is insufficient for governed relationship.</x:v>
      </x:c>
    </x:row>
    <x:row r="425">
      <x:c r="A425" s="12" t="str">
        <x:v>EVID-UNS-000110</x:v>
      </x:c>
      <x:c r="B425" s="6" t="str">
        <x:v>UNS000110</x:v>
      </x:c>
      <x:c r="C425" s="6" t="str">
        <x:v>SVC000110</x:v>
      </x:c>
      <x:c r="D425" s="12" t="str">
        <x:v>Unsupported Relationship</x:v>
      </x:c>
      <x:c r="E425" s="6" t="str">
        <x:v>Nocturnix_Master_Compatibility_Catalog_v1.xlsx</x:v>
      </x:c>
      <x:c r="F425" s="6" t="str">
        <x:v>01 - Compatibility Records</x:v>
      </x:c>
      <x:c r="G425" s="6" t="n">
        <x:v>150</x:v>
      </x:c>
      <x:c r="H425" s="12" t="str">
        <x:v>PHN</x:v>
      </x:c>
      <x:c r="I425" s="12" t="str">
        <x:v>phn</x:v>
      </x:c>
      <x:c r="J425" s="6" t="str"/>
      <x:c r="K425" s="12" t="str">
        <x:v>Unsupported</x:v>
      </x:c>
      <x:c r="L425" s="12" t="str">
        <x:v>Device family alone is insufficient for governed relationship.</x:v>
      </x:c>
    </x:row>
    <x:row r="426">
      <x:c r="A426" s="12" t="str">
        <x:v>EVID-UNS-000111</x:v>
      </x:c>
      <x:c r="B426" s="6" t="str">
        <x:v>UNS000111</x:v>
      </x:c>
      <x:c r="C426" s="6" t="str">
        <x:v>SVC000111</x:v>
      </x:c>
      <x:c r="D426" s="12" t="str">
        <x:v>Unsupported Relationship</x:v>
      </x:c>
      <x:c r="E426" s="6" t="str">
        <x:v>Nocturnix_Master_Compatibility_Catalog_v1.xlsx</x:v>
      </x:c>
      <x:c r="F426" s="6" t="str">
        <x:v>01 - Compatibility Records</x:v>
      </x:c>
      <x:c r="G426" s="6" t="n">
        <x:v>151</x:v>
      </x:c>
      <x:c r="H426" s="12" t="str">
        <x:v>PHN</x:v>
      </x:c>
      <x:c r="I426" s="12" t="str">
        <x:v>phn</x:v>
      </x:c>
      <x:c r="J426" s="6" t="str"/>
      <x:c r="K426" s="12" t="str">
        <x:v>Unsupported</x:v>
      </x:c>
      <x:c r="L426" s="12" t="str">
        <x:v>Device family alone is insufficient for governed relationship.</x:v>
      </x:c>
    </x:row>
    <x:row r="427">
      <x:c r="A427" s="12" t="str">
        <x:v>EVID-UNS-000112</x:v>
      </x:c>
      <x:c r="B427" s="6" t="str">
        <x:v>UNS000112</x:v>
      </x:c>
      <x:c r="C427" s="6" t="str">
        <x:v>SVC000112</x:v>
      </x:c>
      <x:c r="D427" s="12" t="str">
        <x:v>Unsupported Relationship</x:v>
      </x:c>
      <x:c r="E427" s="6" t="str">
        <x:v>Nocturnix_Master_Compatibility_Catalog_v1.xlsx</x:v>
      </x:c>
      <x:c r="F427" s="6" t="str">
        <x:v>01 - Compatibility Records</x:v>
      </x:c>
      <x:c r="G427" s="6" t="n">
        <x:v>152</x:v>
      </x:c>
      <x:c r="H427" s="12" t="str">
        <x:v>PHN</x:v>
      </x:c>
      <x:c r="I427" s="12" t="str">
        <x:v>phn</x:v>
      </x:c>
      <x:c r="J427" s="6" t="str"/>
      <x:c r="K427" s="12" t="str">
        <x:v>Unsupported</x:v>
      </x:c>
      <x:c r="L427" s="12" t="str">
        <x:v>Device family alone is insufficient for governed relationship.</x:v>
      </x:c>
    </x:row>
    <x:row r="428">
      <x:c r="A428" s="12" t="str">
        <x:v>EVID-UNS-000113</x:v>
      </x:c>
      <x:c r="B428" s="6" t="str">
        <x:v>UNS000113</x:v>
      </x:c>
      <x:c r="C428" s="6" t="str">
        <x:v>SVC000113</x:v>
      </x:c>
      <x:c r="D428" s="12" t="str">
        <x:v>Unsupported Relationship</x:v>
      </x:c>
      <x:c r="E428" s="6" t="str">
        <x:v>Nocturnix_Master_Compatibility_Catalog_v1.xlsx</x:v>
      </x:c>
      <x:c r="F428" s="6" t="str">
        <x:v>01 - Compatibility Records</x:v>
      </x:c>
      <x:c r="G428" s="6" t="n">
        <x:v>153</x:v>
      </x:c>
      <x:c r="H428" s="12" t="str">
        <x:v>PHN</x:v>
      </x:c>
      <x:c r="I428" s="12" t="str">
        <x:v>phn</x:v>
      </x:c>
      <x:c r="J428" s="6" t="str"/>
      <x:c r="K428" s="12" t="str">
        <x:v>Unsupported</x:v>
      </x:c>
      <x:c r="L428" s="12" t="str">
        <x:v>Device family alone is insufficient for governed relationship.</x:v>
      </x:c>
    </x:row>
    <x:row r="429">
      <x:c r="A429" s="12" t="str">
        <x:v>EVID-UNS-000114</x:v>
      </x:c>
      <x:c r="B429" s="6" t="str">
        <x:v>UNS000114</x:v>
      </x:c>
      <x:c r="C429" s="6" t="str">
        <x:v>SVC000114</x:v>
      </x:c>
      <x:c r="D429" s="12" t="str">
        <x:v>Unsupported Relationship</x:v>
      </x:c>
      <x:c r="E429" s="6" t="str">
        <x:v>Nocturnix_Master_Compatibility_Catalog_v1.xlsx</x:v>
      </x:c>
      <x:c r="F429" s="6" t="str">
        <x:v>01 - Compatibility Records</x:v>
      </x:c>
      <x:c r="G429" s="6" t="n">
        <x:v>154</x:v>
      </x:c>
      <x:c r="H429" s="12" t="str">
        <x:v>PHN</x:v>
      </x:c>
      <x:c r="I429" s="12" t="str">
        <x:v>phn</x:v>
      </x:c>
      <x:c r="J429" s="6" t="str"/>
      <x:c r="K429" s="12" t="str">
        <x:v>Unsupported</x:v>
      </x:c>
      <x:c r="L429" s="12" t="str">
        <x:v>Device family alone is insufficient for governed relationship.</x:v>
      </x:c>
    </x:row>
    <x:row r="430">
      <x:c r="A430" s="12" t="str">
        <x:v>EVID-UNS-000115</x:v>
      </x:c>
      <x:c r="B430" s="6" t="str">
        <x:v>UNS000115</x:v>
      </x:c>
      <x:c r="C430" s="6" t="str">
        <x:v>SVC000115</x:v>
      </x:c>
      <x:c r="D430" s="12" t="str">
        <x:v>Unsupported Relationship</x:v>
      </x:c>
      <x:c r="E430" s="6" t="str">
        <x:v>Nocturnix_Master_Compatibility_Catalog_v1.xlsx</x:v>
      </x:c>
      <x:c r="F430" s="6" t="str">
        <x:v>01 - Compatibility Records</x:v>
      </x:c>
      <x:c r="G430" s="6" t="n">
        <x:v>155</x:v>
      </x:c>
      <x:c r="H430" s="12" t="str">
        <x:v>PHN</x:v>
      </x:c>
      <x:c r="I430" s="12" t="str">
        <x:v>phn</x:v>
      </x:c>
      <x:c r="J430" s="6" t="str"/>
      <x:c r="K430" s="12" t="str">
        <x:v>Unsupported</x:v>
      </x:c>
      <x:c r="L430" s="12" t="str">
        <x:v>Device family alone is insufficient for governed relationship.</x:v>
      </x:c>
    </x:row>
    <x:row r="431">
      <x:c r="A431" s="12" t="str">
        <x:v>EVID-UNS-000116</x:v>
      </x:c>
      <x:c r="B431" s="6" t="str">
        <x:v>UNS000116</x:v>
      </x:c>
      <x:c r="C431" s="6" t="str">
        <x:v>SVC000116</x:v>
      </x:c>
      <x:c r="D431" s="12" t="str">
        <x:v>Unsupported Relationship</x:v>
      </x:c>
      <x:c r="E431" s="6" t="str">
        <x:v>Nocturnix_Master_Compatibility_Catalog_v1.xlsx</x:v>
      </x:c>
      <x:c r="F431" s="6" t="str">
        <x:v>01 - Compatibility Records</x:v>
      </x:c>
      <x:c r="G431" s="6" t="n">
        <x:v>156</x:v>
      </x:c>
      <x:c r="H431" s="12" t="str">
        <x:v>PHN</x:v>
      </x:c>
      <x:c r="I431" s="12" t="str">
        <x:v>phn</x:v>
      </x:c>
      <x:c r="J431" s="6" t="str"/>
      <x:c r="K431" s="12" t="str">
        <x:v>Unsupported</x:v>
      </x:c>
      <x:c r="L431" s="12" t="str">
        <x:v>Device family alone is insufficient for governed relationship.</x:v>
      </x:c>
    </x:row>
    <x:row r="432">
      <x:c r="A432" s="12" t="str">
        <x:v>EVID-UNS-000117</x:v>
      </x:c>
      <x:c r="B432" s="6" t="str">
        <x:v>UNS000117</x:v>
      </x:c>
      <x:c r="C432" s="6" t="str">
        <x:v>SVC000117</x:v>
      </x:c>
      <x:c r="D432" s="12" t="str">
        <x:v>Unsupported Relationship</x:v>
      </x:c>
      <x:c r="E432" s="6" t="str">
        <x:v>Nocturnix_Master_Compatibility_Catalog_v1.xlsx</x:v>
      </x:c>
      <x:c r="F432" s="6" t="str">
        <x:v>01 - Compatibility Records</x:v>
      </x:c>
      <x:c r="G432" s="6" t="n">
        <x:v>157</x:v>
      </x:c>
      <x:c r="H432" s="12" t="str">
        <x:v>PHN</x:v>
      </x:c>
      <x:c r="I432" s="12" t="str">
        <x:v>phn</x:v>
      </x:c>
      <x:c r="J432" s="6" t="str"/>
      <x:c r="K432" s="12" t="str">
        <x:v>Unsupported</x:v>
      </x:c>
      <x:c r="L432" s="12" t="str">
        <x:v>Device family alone is insufficient for governed relationship.</x:v>
      </x:c>
    </x:row>
    <x:row r="433">
      <x:c r="A433" s="12" t="str">
        <x:v>EVID-UNS-000118</x:v>
      </x:c>
      <x:c r="B433" s="6" t="str">
        <x:v>UNS000118</x:v>
      </x:c>
      <x:c r="C433" s="6" t="str">
        <x:v>SVC000118</x:v>
      </x:c>
      <x:c r="D433" s="12" t="str">
        <x:v>Unsupported Relationship</x:v>
      </x:c>
      <x:c r="E433" s="6" t="str">
        <x:v>Nocturnix_Master_Compatibility_Catalog_v1.xlsx</x:v>
      </x:c>
      <x:c r="F433" s="6" t="str">
        <x:v>01 - Compatibility Records</x:v>
      </x:c>
      <x:c r="G433" s="6" t="n">
        <x:v>158</x:v>
      </x:c>
      <x:c r="H433" s="12" t="str">
        <x:v>PHN</x:v>
      </x:c>
      <x:c r="I433" s="12" t="str">
        <x:v>phn</x:v>
      </x:c>
      <x:c r="J433" s="6" t="str"/>
      <x:c r="K433" s="12" t="str">
        <x:v>Unsupported</x:v>
      </x:c>
      <x:c r="L433" s="12" t="str">
        <x:v>Device family alone is insufficient for governed relationship.</x:v>
      </x:c>
    </x:row>
    <x:row r="434">
      <x:c r="A434" s="12" t="str">
        <x:v>EVID-UNS-000119</x:v>
      </x:c>
      <x:c r="B434" s="6" t="str">
        <x:v>UNS000119</x:v>
      </x:c>
      <x:c r="C434" s="6" t="str">
        <x:v>SVC000119</x:v>
      </x:c>
      <x:c r="D434" s="12" t="str">
        <x:v>Unsupported Relationship</x:v>
      </x:c>
      <x:c r="E434" s="6" t="str">
        <x:v>Nocturnix_Master_Compatibility_Catalog_v1.xlsx</x:v>
      </x:c>
      <x:c r="F434" s="6" t="str">
        <x:v>01 - Compatibility Records</x:v>
      </x:c>
      <x:c r="G434" s="6" t="n">
        <x:v>159</x:v>
      </x:c>
      <x:c r="H434" s="12" t="str">
        <x:v>PHN</x:v>
      </x:c>
      <x:c r="I434" s="12" t="str">
        <x:v>phn</x:v>
      </x:c>
      <x:c r="J434" s="6" t="str"/>
      <x:c r="K434" s="12" t="str">
        <x:v>Unsupported</x:v>
      </x:c>
      <x:c r="L434" s="12" t="str">
        <x:v>Device family alone is insufficient for governed relationship.</x:v>
      </x:c>
    </x:row>
    <x:row r="435">
      <x:c r="A435" s="12" t="str">
        <x:v>EVID-UNS-000120</x:v>
      </x:c>
      <x:c r="B435" s="6" t="str">
        <x:v>UNS000120</x:v>
      </x:c>
      <x:c r="C435" s="6" t="str">
        <x:v>SVC000120</x:v>
      </x:c>
      <x:c r="D435" s="12" t="str">
        <x:v>Unsupported Relationship</x:v>
      </x:c>
      <x:c r="E435" s="6" t="str">
        <x:v>Nocturnix_Master_Compatibility_Catalog_v1.xlsx</x:v>
      </x:c>
      <x:c r="F435" s="6" t="str">
        <x:v>01 - Compatibility Records</x:v>
      </x:c>
      <x:c r="G435" s="6" t="n">
        <x:v>160</x:v>
      </x:c>
      <x:c r="H435" s="12" t="str">
        <x:v>PHN</x:v>
      </x:c>
      <x:c r="I435" s="12" t="str">
        <x:v>phn</x:v>
      </x:c>
      <x:c r="J435" s="6" t="str"/>
      <x:c r="K435" s="12" t="str">
        <x:v>Unsupported</x:v>
      </x:c>
      <x:c r="L435" s="12" t="str">
        <x:v>Device family alone is insufficient for governed relationship.</x:v>
      </x:c>
    </x:row>
    <x:row r="436">
      <x:c r="A436" s="12" t="str">
        <x:v>EVID-UNS-000121</x:v>
      </x:c>
      <x:c r="B436" s="6" t="str">
        <x:v>UNS000121</x:v>
      </x:c>
      <x:c r="C436" s="6" t="str">
        <x:v>SVC000121</x:v>
      </x:c>
      <x:c r="D436" s="12" t="str">
        <x:v>Unsupported Relationship</x:v>
      </x:c>
      <x:c r="E436" s="6" t="str">
        <x:v>Nocturnix_Master_Compatibility_Catalog_v1.xlsx</x:v>
      </x:c>
      <x:c r="F436" s="6" t="str">
        <x:v>01 - Compatibility Records</x:v>
      </x:c>
      <x:c r="G436" s="6" t="n">
        <x:v>161</x:v>
      </x:c>
      <x:c r="H436" s="12" t="str">
        <x:v>PHN</x:v>
      </x:c>
      <x:c r="I436" s="12" t="str">
        <x:v>phn</x:v>
      </x:c>
      <x:c r="J436" s="6" t="str"/>
      <x:c r="K436" s="12" t="str">
        <x:v>Unsupported</x:v>
      </x:c>
      <x:c r="L436" s="12" t="str">
        <x:v>Device family alone is insufficient for governed relationship.</x:v>
      </x:c>
    </x:row>
    <x:row r="437">
      <x:c r="A437" s="12" t="str">
        <x:v>EVID-UNS-000122</x:v>
      </x:c>
      <x:c r="B437" s="6" t="str">
        <x:v>UNS000122</x:v>
      </x:c>
      <x:c r="C437" s="6" t="str">
        <x:v>SVC000122</x:v>
      </x:c>
      <x:c r="D437" s="12" t="str">
        <x:v>Unsupported Relationship</x:v>
      </x:c>
      <x:c r="E437" s="6" t="str">
        <x:v>Nocturnix_Master_Compatibility_Catalog_v1.xlsx</x:v>
      </x:c>
      <x:c r="F437" s="6" t="str">
        <x:v>01 - Compatibility Records</x:v>
      </x:c>
      <x:c r="G437" s="6" t="n">
        <x:v>162</x:v>
      </x:c>
      <x:c r="H437" s="12" t="str">
        <x:v>PHN</x:v>
      </x:c>
      <x:c r="I437" s="12" t="str">
        <x:v>phn</x:v>
      </x:c>
      <x:c r="J437" s="6" t="str"/>
      <x:c r="K437" s="12" t="str">
        <x:v>Unsupported</x:v>
      </x:c>
      <x:c r="L437" s="12" t="str">
        <x:v>Device family alone is insufficient for governed relationship.</x:v>
      </x:c>
    </x:row>
    <x:row r="438">
      <x:c r="A438" s="12" t="str">
        <x:v>EVID-UNS-000123</x:v>
      </x:c>
      <x:c r="B438" s="6" t="str">
        <x:v>UNS000123</x:v>
      </x:c>
      <x:c r="C438" s="6" t="str">
        <x:v>SVC000123</x:v>
      </x:c>
      <x:c r="D438" s="12" t="str">
        <x:v>Unsupported Relationship</x:v>
      </x:c>
      <x:c r="E438" s="6" t="str">
        <x:v>Nocturnix_Master_Compatibility_Catalog_v1.xlsx</x:v>
      </x:c>
      <x:c r="F438" s="6" t="str">
        <x:v>01 - Compatibility Records</x:v>
      </x:c>
      <x:c r="G438" s="6" t="n">
        <x:v>163</x:v>
      </x:c>
      <x:c r="H438" s="12" t="str">
        <x:v>PHN</x:v>
      </x:c>
      <x:c r="I438" s="12" t="str">
        <x:v>phn</x:v>
      </x:c>
      <x:c r="J438" s="6" t="str"/>
      <x:c r="K438" s="12" t="str">
        <x:v>Unsupported</x:v>
      </x:c>
      <x:c r="L438" s="12" t="str">
        <x:v>Device family alone is insufficient for governed relationship.</x:v>
      </x:c>
    </x:row>
    <x:row r="439">
      <x:c r="A439" s="12" t="str">
        <x:v>EVID-UNS-000124</x:v>
      </x:c>
      <x:c r="B439" s="6" t="str">
        <x:v>UNS000124</x:v>
      </x:c>
      <x:c r="C439" s="6" t="str">
        <x:v>SVC000124</x:v>
      </x:c>
      <x:c r="D439" s="12" t="str">
        <x:v>Unsupported Relationship</x:v>
      </x:c>
      <x:c r="E439" s="6" t="str">
        <x:v>Nocturnix_Master_Compatibility_Catalog_v1.xlsx</x:v>
      </x:c>
      <x:c r="F439" s="6" t="str">
        <x:v>01 - Compatibility Records</x:v>
      </x:c>
      <x:c r="G439" s="6" t="n">
        <x:v>164</x:v>
      </x:c>
      <x:c r="H439" s="12" t="str">
        <x:v>PHN</x:v>
      </x:c>
      <x:c r="I439" s="12" t="str">
        <x:v>phn</x:v>
      </x:c>
      <x:c r="J439" s="6" t="str"/>
      <x:c r="K439" s="12" t="str">
        <x:v>Unsupported</x:v>
      </x:c>
      <x:c r="L439" s="12" t="str">
        <x:v>Device family alone is insufficient for governed relationship.</x:v>
      </x:c>
    </x:row>
    <x:row r="440">
      <x:c r="A440" s="12" t="str">
        <x:v>EVID-UNS-000125</x:v>
      </x:c>
      <x:c r="B440" s="6" t="str">
        <x:v>UNS000125</x:v>
      </x:c>
      <x:c r="C440" s="6" t="str">
        <x:v>SVC000125</x:v>
      </x:c>
      <x:c r="D440" s="12" t="str">
        <x:v>Unsupported Relationship</x:v>
      </x:c>
      <x:c r="E440" s="6" t="str">
        <x:v>Nocturnix_Master_Compatibility_Catalog_v1.xlsx</x:v>
      </x:c>
      <x:c r="F440" s="6" t="str">
        <x:v>01 - Compatibility Records</x:v>
      </x:c>
      <x:c r="G440" s="6" t="n">
        <x:v>165</x:v>
      </x:c>
      <x:c r="H440" s="12" t="str">
        <x:v>PHN</x:v>
      </x:c>
      <x:c r="I440" s="12" t="str">
        <x:v>phn</x:v>
      </x:c>
      <x:c r="J440" s="6" t="str"/>
      <x:c r="K440" s="12" t="str">
        <x:v>Unsupported</x:v>
      </x:c>
      <x:c r="L440" s="12" t="str">
        <x:v>Device family alone is insufficient for governed relationship.</x:v>
      </x:c>
    </x:row>
    <x:row r="441">
      <x:c r="A441" s="12" t="str">
        <x:v>EVID-UNS-000126</x:v>
      </x:c>
      <x:c r="B441" s="6" t="str">
        <x:v>UNS000126</x:v>
      </x:c>
      <x:c r="C441" s="6" t="str">
        <x:v>SVC000126</x:v>
      </x:c>
      <x:c r="D441" s="12" t="str">
        <x:v>Unsupported Relationship</x:v>
      </x:c>
      <x:c r="E441" s="6" t="str">
        <x:v>Nocturnix_Master_Compatibility_Catalog_v1.xlsx</x:v>
      </x:c>
      <x:c r="F441" s="6" t="str">
        <x:v>01 - Compatibility Records</x:v>
      </x:c>
      <x:c r="G441" s="6" t="n">
        <x:v>166</x:v>
      </x:c>
      <x:c r="H441" s="12" t="str">
        <x:v>PHN</x:v>
      </x:c>
      <x:c r="I441" s="12" t="str">
        <x:v>phn</x:v>
      </x:c>
      <x:c r="J441" s="6" t="str"/>
      <x:c r="K441" s="12" t="str">
        <x:v>Unsupported</x:v>
      </x:c>
      <x:c r="L441" s="12" t="str">
        <x:v>Device family alone is insufficient for governed relationship.</x:v>
      </x:c>
    </x:row>
    <x:row r="442">
      <x:c r="A442" s="12" t="str">
        <x:v>EVID-UNS-000127</x:v>
      </x:c>
      <x:c r="B442" s="6" t="str">
        <x:v>UNS000127</x:v>
      </x:c>
      <x:c r="C442" s="6" t="str">
        <x:v>SVC000127</x:v>
      </x:c>
      <x:c r="D442" s="12" t="str">
        <x:v>Unsupported Relationship</x:v>
      </x:c>
      <x:c r="E442" s="6" t="str">
        <x:v>Nocturnix_Master_Compatibility_Catalog_v1.xlsx</x:v>
      </x:c>
      <x:c r="F442" s="6" t="str">
        <x:v>01 - Compatibility Records</x:v>
      </x:c>
      <x:c r="G442" s="6" t="n">
        <x:v>167</x:v>
      </x:c>
      <x:c r="H442" s="12" t="str">
        <x:v>PHN</x:v>
      </x:c>
      <x:c r="I442" s="12" t="str">
        <x:v>phn</x:v>
      </x:c>
      <x:c r="J442" s="6" t="str"/>
      <x:c r="K442" s="12" t="str">
        <x:v>Unsupported</x:v>
      </x:c>
      <x:c r="L442" s="12" t="str">
        <x:v>Device family alone is insufficient for governed relationship.</x:v>
      </x:c>
    </x:row>
    <x:row r="443">
      <x:c r="A443" s="12" t="str">
        <x:v>EVID-UNS-000128</x:v>
      </x:c>
      <x:c r="B443" s="6" t="str">
        <x:v>UNS000128</x:v>
      </x:c>
      <x:c r="C443" s="6" t="str">
        <x:v>SVC000128</x:v>
      </x:c>
      <x:c r="D443" s="12" t="str">
        <x:v>Unsupported Relationship</x:v>
      </x:c>
      <x:c r="E443" s="6" t="str">
        <x:v>Nocturnix_Master_Compatibility_Catalog_v1.xlsx</x:v>
      </x:c>
      <x:c r="F443" s="6" t="str">
        <x:v>01 - Compatibility Records</x:v>
      </x:c>
      <x:c r="G443" s="6" t="n">
        <x:v>168</x:v>
      </x:c>
      <x:c r="H443" s="12" t="str">
        <x:v>PHN</x:v>
      </x:c>
      <x:c r="I443" s="12" t="str">
        <x:v>phn</x:v>
      </x:c>
      <x:c r="J443" s="6" t="str"/>
      <x:c r="K443" s="12" t="str">
        <x:v>Unsupported</x:v>
      </x:c>
      <x:c r="L443" s="12" t="str">
        <x:v>Device family alone is insufficient for governed relationship.</x:v>
      </x:c>
    </x:row>
    <x:row r="444">
      <x:c r="A444" s="12" t="str">
        <x:v>EVID-UNS-000129</x:v>
      </x:c>
      <x:c r="B444" s="6" t="str">
        <x:v>UNS000129</x:v>
      </x:c>
      <x:c r="C444" s="6" t="str">
        <x:v>SVC000129</x:v>
      </x:c>
      <x:c r="D444" s="12" t="str">
        <x:v>Unsupported Relationship</x:v>
      </x:c>
      <x:c r="E444" s="6" t="str">
        <x:v>Nocturnix_Master_Compatibility_Catalog_v1.xlsx</x:v>
      </x:c>
      <x:c r="F444" s="6" t="str">
        <x:v>01 - Compatibility Records</x:v>
      </x:c>
      <x:c r="G444" s="6" t="n">
        <x:v>169</x:v>
      </x:c>
      <x:c r="H444" s="12" t="str">
        <x:v>PHN</x:v>
      </x:c>
      <x:c r="I444" s="12" t="str">
        <x:v>phn</x:v>
      </x:c>
      <x:c r="J444" s="6" t="str"/>
      <x:c r="K444" s="12" t="str">
        <x:v>Unsupported</x:v>
      </x:c>
      <x:c r="L444" s="12" t="str">
        <x:v>Device family alone is insufficient for governed relationship.</x:v>
      </x:c>
    </x:row>
    <x:row r="445">
      <x:c r="A445" s="12" t="str">
        <x:v>EVID-UNS-000130</x:v>
      </x:c>
      <x:c r="B445" s="6" t="str">
        <x:v>UNS000130</x:v>
      </x:c>
      <x:c r="C445" s="6" t="str">
        <x:v>SVC000130</x:v>
      </x:c>
      <x:c r="D445" s="12" t="str">
        <x:v>Unsupported Relationship</x:v>
      </x:c>
      <x:c r="E445" s="6" t="str">
        <x:v>Nocturnix_Master_Compatibility_Catalog_v1.xlsx</x:v>
      </x:c>
      <x:c r="F445" s="6" t="str">
        <x:v>01 - Compatibility Records</x:v>
      </x:c>
      <x:c r="G445" s="6" t="n">
        <x:v>170</x:v>
      </x:c>
      <x:c r="H445" s="12" t="str">
        <x:v>PHN</x:v>
      </x:c>
      <x:c r="I445" s="12" t="str">
        <x:v>phn</x:v>
      </x:c>
      <x:c r="J445" s="6" t="str"/>
      <x:c r="K445" s="12" t="str">
        <x:v>Unsupported</x:v>
      </x:c>
      <x:c r="L445" s="12" t="str">
        <x:v>Device family alone is insufficient for governed relationship.</x:v>
      </x:c>
    </x:row>
    <x:row r="446">
      <x:c r="A446" s="12" t="str">
        <x:v>EVID-UNS-000131</x:v>
      </x:c>
      <x:c r="B446" s="6" t="str">
        <x:v>UNS000131</x:v>
      </x:c>
      <x:c r="C446" s="6" t="str">
        <x:v>SVC000131</x:v>
      </x:c>
      <x:c r="D446" s="12" t="str">
        <x:v>Unsupported Relationship</x:v>
      </x:c>
      <x:c r="E446" s="6" t="str">
        <x:v>Nocturnix_Master_Compatibility_Catalog_v1.xlsx</x:v>
      </x:c>
      <x:c r="F446" s="6" t="str">
        <x:v>01 - Compatibility Records</x:v>
      </x:c>
      <x:c r="G446" s="6" t="n">
        <x:v>171</x:v>
      </x:c>
      <x:c r="H446" s="12" t="str">
        <x:v>PHN</x:v>
      </x:c>
      <x:c r="I446" s="12" t="str">
        <x:v>phn</x:v>
      </x:c>
      <x:c r="J446" s="6" t="str"/>
      <x:c r="K446" s="12" t="str">
        <x:v>Unsupported</x:v>
      </x:c>
      <x:c r="L446" s="12" t="str">
        <x:v>Device family alone is insufficient for governed relationship.</x:v>
      </x:c>
    </x:row>
    <x:row r="447">
      <x:c r="A447" s="12" t="str">
        <x:v>EVID-UNS-000132</x:v>
      </x:c>
      <x:c r="B447" s="6" t="str">
        <x:v>UNS000132</x:v>
      </x:c>
      <x:c r="C447" s="6" t="str">
        <x:v>SVC000132</x:v>
      </x:c>
      <x:c r="D447" s="12" t="str">
        <x:v>Unsupported Relationship</x:v>
      </x:c>
      <x:c r="E447" s="6" t="str">
        <x:v>Nocturnix_Master_Compatibility_Catalog_v1.xlsx</x:v>
      </x:c>
      <x:c r="F447" s="6" t="str">
        <x:v>01 - Compatibility Records</x:v>
      </x:c>
      <x:c r="G447" s="6" t="n">
        <x:v>172</x:v>
      </x:c>
      <x:c r="H447" s="12" t="str">
        <x:v>PHN</x:v>
      </x:c>
      <x:c r="I447" s="12" t="str">
        <x:v>phn</x:v>
      </x:c>
      <x:c r="J447" s="6" t="str"/>
      <x:c r="K447" s="12" t="str">
        <x:v>Unsupported</x:v>
      </x:c>
      <x:c r="L447" s="12" t="str">
        <x:v>Device family alone is insufficient for governed relationship.</x:v>
      </x:c>
    </x:row>
    <x:row r="448">
      <x:c r="A448" s="12" t="str">
        <x:v>EVID-UNS-000133</x:v>
      </x:c>
      <x:c r="B448" s="6" t="str">
        <x:v>UNS000133</x:v>
      </x:c>
      <x:c r="C448" s="6" t="str">
        <x:v>SVC000133</x:v>
      </x:c>
      <x:c r="D448" s="12" t="str">
        <x:v>Unsupported Relationship</x:v>
      </x:c>
      <x:c r="E448" s="6" t="str">
        <x:v>Nocturnix_Master_Compatibility_Catalog_v1.xlsx</x:v>
      </x:c>
      <x:c r="F448" s="6" t="str">
        <x:v>01 - Compatibility Records</x:v>
      </x:c>
      <x:c r="G448" s="6" t="n">
        <x:v>173</x:v>
      </x:c>
      <x:c r="H448" s="12" t="str">
        <x:v>PHN</x:v>
      </x:c>
      <x:c r="I448" s="12" t="str">
        <x:v>phn</x:v>
      </x:c>
      <x:c r="J448" s="6" t="str"/>
      <x:c r="K448" s="12" t="str">
        <x:v>Unsupported</x:v>
      </x:c>
      <x:c r="L448" s="12" t="str">
        <x:v>Device family alone is insufficient for governed relationship.</x:v>
      </x:c>
    </x:row>
    <x:row r="449">
      <x:c r="A449" s="12" t="str">
        <x:v>EVID-UNS-000134</x:v>
      </x:c>
      <x:c r="B449" s="6" t="str">
        <x:v>UNS000134</x:v>
      </x:c>
      <x:c r="C449" s="6" t="str">
        <x:v>SVC000134</x:v>
      </x:c>
      <x:c r="D449" s="12" t="str">
        <x:v>Unsupported Relationship</x:v>
      </x:c>
      <x:c r="E449" s="6" t="str">
        <x:v>Nocturnix_Master_Compatibility_Catalog_v1.xlsx</x:v>
      </x:c>
      <x:c r="F449" s="6" t="str">
        <x:v>01 - Compatibility Records</x:v>
      </x:c>
      <x:c r="G449" s="6" t="n">
        <x:v>174</x:v>
      </x:c>
      <x:c r="H449" s="12" t="str">
        <x:v>PHN</x:v>
      </x:c>
      <x:c r="I449" s="12" t="str">
        <x:v>phn</x:v>
      </x:c>
      <x:c r="J449" s="6" t="str"/>
      <x:c r="K449" s="12" t="str">
        <x:v>Unsupported</x:v>
      </x:c>
      <x:c r="L449" s="12" t="str">
        <x:v>Device family alone is insufficient for governed relationship.</x:v>
      </x:c>
    </x:row>
    <x:row r="450">
      <x:c r="A450" s="12" t="str">
        <x:v>EVID-UNS-000135</x:v>
      </x:c>
      <x:c r="B450" s="6" t="str">
        <x:v>UNS000135</x:v>
      </x:c>
      <x:c r="C450" s="6" t="str">
        <x:v>SVC000135</x:v>
      </x:c>
      <x:c r="D450" s="12" t="str">
        <x:v>Unsupported Relationship</x:v>
      </x:c>
      <x:c r="E450" s="6" t="str">
        <x:v>Nocturnix_Master_Compatibility_Catalog_v1.xlsx</x:v>
      </x:c>
      <x:c r="F450" s="6" t="str">
        <x:v>01 - Compatibility Records</x:v>
      </x:c>
      <x:c r="G450" s="6" t="n">
        <x:v>175</x:v>
      </x:c>
      <x:c r="H450" s="12" t="str">
        <x:v>PHN</x:v>
      </x:c>
      <x:c r="I450" s="12" t="str">
        <x:v>phn</x:v>
      </x:c>
      <x:c r="J450" s="6" t="str"/>
      <x:c r="K450" s="12" t="str">
        <x:v>Unsupported</x:v>
      </x:c>
      <x:c r="L450" s="12" t="str">
        <x:v>Device family alone is insufficient for governed relationship.</x:v>
      </x:c>
    </x:row>
    <x:row r="451">
      <x:c r="A451" s="12" t="str">
        <x:v>EVID-UNS-000136</x:v>
      </x:c>
      <x:c r="B451" s="6" t="str">
        <x:v>UNS000136</x:v>
      </x:c>
      <x:c r="C451" s="6" t="str">
        <x:v>SVC000136</x:v>
      </x:c>
      <x:c r="D451" s="12" t="str">
        <x:v>Unsupported Relationship</x:v>
      </x:c>
      <x:c r="E451" s="6" t="str">
        <x:v>Nocturnix_Master_Compatibility_Catalog_v1.xlsx</x:v>
      </x:c>
      <x:c r="F451" s="6" t="str">
        <x:v>01 - Compatibility Records</x:v>
      </x:c>
      <x:c r="G451" s="6" t="n">
        <x:v>176</x:v>
      </x:c>
      <x:c r="H451" s="12" t="str">
        <x:v>PHN</x:v>
      </x:c>
      <x:c r="I451" s="12" t="str">
        <x:v>phn</x:v>
      </x:c>
      <x:c r="J451" s="6" t="str"/>
      <x:c r="K451" s="12" t="str">
        <x:v>Unsupported</x:v>
      </x:c>
      <x:c r="L451" s="12" t="str">
        <x:v>Device family alone is insufficient for governed relationship.</x:v>
      </x:c>
    </x:row>
    <x:row r="452">
      <x:c r="A452" s="12" t="str">
        <x:v>EVID-UNS-000137</x:v>
      </x:c>
      <x:c r="B452" s="6" t="str">
        <x:v>UNS000137</x:v>
      </x:c>
      <x:c r="C452" s="6" t="str">
        <x:v>SVC000137</x:v>
      </x:c>
      <x:c r="D452" s="12" t="str">
        <x:v>Unsupported Relationship</x:v>
      </x:c>
      <x:c r="E452" s="6" t="str">
        <x:v>Nocturnix_Master_Compatibility_Catalog_v1.xlsx</x:v>
      </x:c>
      <x:c r="F452" s="6" t="str">
        <x:v>01 - Compatibility Records</x:v>
      </x:c>
      <x:c r="G452" s="6" t="n">
        <x:v>177</x:v>
      </x:c>
      <x:c r="H452" s="12" t="str">
        <x:v>PHN</x:v>
      </x:c>
      <x:c r="I452" s="12" t="str">
        <x:v>phn</x:v>
      </x:c>
      <x:c r="J452" s="6" t="str"/>
      <x:c r="K452" s="12" t="str">
        <x:v>Unsupported</x:v>
      </x:c>
      <x:c r="L452" s="12" t="str">
        <x:v>Device family alone is insufficient for governed relationship.</x:v>
      </x:c>
    </x:row>
    <x:row r="453">
      <x:c r="A453" s="12" t="str">
        <x:v>EVID-UNS-000138</x:v>
      </x:c>
      <x:c r="B453" s="6" t="str">
        <x:v>UNS000138</x:v>
      </x:c>
      <x:c r="C453" s="6" t="str">
        <x:v>SVC000138</x:v>
      </x:c>
      <x:c r="D453" s="12" t="str">
        <x:v>Unsupported Relationship</x:v>
      </x:c>
      <x:c r="E453" s="6" t="str">
        <x:v>Nocturnix_Master_Compatibility_Catalog_v1.xlsx</x:v>
      </x:c>
      <x:c r="F453" s="6" t="str">
        <x:v>01 - Compatibility Records</x:v>
      </x:c>
      <x:c r="G453" s="6" t="n">
        <x:v>178</x:v>
      </x:c>
      <x:c r="H453" s="12" t="str">
        <x:v>PHN</x:v>
      </x:c>
      <x:c r="I453" s="12" t="str">
        <x:v>phn</x:v>
      </x:c>
      <x:c r="J453" s="6" t="str"/>
      <x:c r="K453" s="12" t="str">
        <x:v>Unsupported</x:v>
      </x:c>
      <x:c r="L453" s="12" t="str">
        <x:v>Device family alone is insufficient for governed relationship.</x:v>
      </x:c>
    </x:row>
    <x:row r="454">
      <x:c r="A454" s="12" t="str">
        <x:v>EVID-UNS-000139</x:v>
      </x:c>
      <x:c r="B454" s="6" t="str">
        <x:v>UNS000139</x:v>
      </x:c>
      <x:c r="C454" s="6" t="str">
        <x:v>SVC000139</x:v>
      </x:c>
      <x:c r="D454" s="12" t="str">
        <x:v>Unsupported Relationship</x:v>
      </x:c>
      <x:c r="E454" s="6" t="str">
        <x:v>Nocturnix_Master_Compatibility_Catalog_v1.xlsx</x:v>
      </x:c>
      <x:c r="F454" s="6" t="str">
        <x:v>01 - Compatibility Records</x:v>
      </x:c>
      <x:c r="G454" s="6" t="n">
        <x:v>179</x:v>
      </x:c>
      <x:c r="H454" s="12" t="str">
        <x:v>PHN</x:v>
      </x:c>
      <x:c r="I454" s="12" t="str">
        <x:v>phn</x:v>
      </x:c>
      <x:c r="J454" s="6" t="str"/>
      <x:c r="K454" s="12" t="str">
        <x:v>Unsupported</x:v>
      </x:c>
      <x:c r="L454" s="12" t="str">
        <x:v>Device family alone is insufficient for governed relationship.</x:v>
      </x:c>
    </x:row>
    <x:row r="455">
      <x:c r="A455" s="12" t="str">
        <x:v>EVID-UNS-000140</x:v>
      </x:c>
      <x:c r="B455" s="6" t="str">
        <x:v>UNS000140</x:v>
      </x:c>
      <x:c r="C455" s="6" t="str">
        <x:v>SVC000140</x:v>
      </x:c>
      <x:c r="D455" s="12" t="str">
        <x:v>Unsupported Relationship</x:v>
      </x:c>
      <x:c r="E455" s="6" t="str">
        <x:v>Nocturnix_Master_Compatibility_Catalog_v1.xlsx</x:v>
      </x:c>
      <x:c r="F455" s="6" t="str">
        <x:v>01 - Compatibility Records</x:v>
      </x:c>
      <x:c r="G455" s="6" t="n">
        <x:v>180</x:v>
      </x:c>
      <x:c r="H455" s="12" t="str">
        <x:v>PHN</x:v>
      </x:c>
      <x:c r="I455" s="12" t="str">
        <x:v>phn</x:v>
      </x:c>
      <x:c r="J455" s="6" t="str"/>
      <x:c r="K455" s="12" t="str">
        <x:v>Unsupported</x:v>
      </x:c>
      <x:c r="L455" s="12" t="str">
        <x:v>Device family alone is insufficient for governed relationship.</x:v>
      </x:c>
    </x:row>
    <x:row r="456">
      <x:c r="A456" s="12" t="str">
        <x:v>EVID-UNS-000141</x:v>
      </x:c>
      <x:c r="B456" s="6" t="str">
        <x:v>UNS000141</x:v>
      </x:c>
      <x:c r="C456" s="6" t="str">
        <x:v>SVC000141</x:v>
      </x:c>
      <x:c r="D456" s="12" t="str">
        <x:v>Unsupported Relationship</x:v>
      </x:c>
      <x:c r="E456" s="6" t="str">
        <x:v>Nocturnix_Master_Compatibility_Catalog_v1.xlsx</x:v>
      </x:c>
      <x:c r="F456" s="6" t="str">
        <x:v>01 - Compatibility Records</x:v>
      </x:c>
      <x:c r="G456" s="6" t="n">
        <x:v>181</x:v>
      </x:c>
      <x:c r="H456" s="12" t="str">
        <x:v>PHN</x:v>
      </x:c>
      <x:c r="I456" s="12" t="str">
        <x:v>phn</x:v>
      </x:c>
      <x:c r="J456" s="6" t="str"/>
      <x:c r="K456" s="12" t="str">
        <x:v>Unsupported</x:v>
      </x:c>
      <x:c r="L456" s="12" t="str">
        <x:v>Device family alone is insufficient for governed relationship.</x:v>
      </x:c>
    </x:row>
    <x:row r="457">
      <x:c r="A457" s="12" t="str">
        <x:v>EVID-UNS-000142</x:v>
      </x:c>
      <x:c r="B457" s="6" t="str">
        <x:v>UNS000142</x:v>
      </x:c>
      <x:c r="C457" s="6" t="str">
        <x:v>SVC000142</x:v>
      </x:c>
      <x:c r="D457" s="12" t="str">
        <x:v>Unsupported Relationship</x:v>
      </x:c>
      <x:c r="E457" s="6" t="str">
        <x:v>Nocturnix_Master_Compatibility_Catalog_v1.xlsx</x:v>
      </x:c>
      <x:c r="F457" s="6" t="str">
        <x:v>01 - Compatibility Records</x:v>
      </x:c>
      <x:c r="G457" s="6" t="n">
        <x:v>182</x:v>
      </x:c>
      <x:c r="H457" s="12" t="str">
        <x:v>PHN</x:v>
      </x:c>
      <x:c r="I457" s="12" t="str">
        <x:v>phn</x:v>
      </x:c>
      <x:c r="J457" s="6" t="str"/>
      <x:c r="K457" s="12" t="str">
        <x:v>Unsupported</x:v>
      </x:c>
      <x:c r="L457" s="12" t="str">
        <x:v>Device family alone is insufficient for governed relationship.</x:v>
      </x:c>
    </x:row>
    <x:row r="458">
      <x:c r="A458" s="12" t="str">
        <x:v>EVID-UNS-000143</x:v>
      </x:c>
      <x:c r="B458" s="6" t="str">
        <x:v>UNS000143</x:v>
      </x:c>
      <x:c r="C458" s="6" t="str">
        <x:v>SVC000143</x:v>
      </x:c>
      <x:c r="D458" s="12" t="str">
        <x:v>Unsupported Relationship</x:v>
      </x:c>
      <x:c r="E458" s="6" t="str">
        <x:v>Nocturnix_Master_Compatibility_Catalog_v1.xlsx</x:v>
      </x:c>
      <x:c r="F458" s="6" t="str">
        <x:v>01 - Compatibility Records</x:v>
      </x:c>
      <x:c r="G458" s="6" t="n">
        <x:v>183</x:v>
      </x:c>
      <x:c r="H458" s="12" t="str">
        <x:v>PHN</x:v>
      </x:c>
      <x:c r="I458" s="12" t="str">
        <x:v>phn</x:v>
      </x:c>
      <x:c r="J458" s="6" t="str"/>
      <x:c r="K458" s="12" t="str">
        <x:v>Unsupported</x:v>
      </x:c>
      <x:c r="L458" s="12" t="str">
        <x:v>Device family alone is insufficient for governed relationship.</x:v>
      </x:c>
    </x:row>
    <x:row r="459">
      <x:c r="A459" s="12" t="str">
        <x:v>EVID-UNS-000144</x:v>
      </x:c>
      <x:c r="B459" s="6" t="str">
        <x:v>UNS000144</x:v>
      </x:c>
      <x:c r="C459" s="6" t="str">
        <x:v>SVC000144</x:v>
      </x:c>
      <x:c r="D459" s="12" t="str">
        <x:v>Unsupported Relationship</x:v>
      </x:c>
      <x:c r="E459" s="6" t="str">
        <x:v>Nocturnix_Master_Compatibility_Catalog_v1.xlsx</x:v>
      </x:c>
      <x:c r="F459" s="6" t="str">
        <x:v>01 - Compatibility Records</x:v>
      </x:c>
      <x:c r="G459" s="6" t="n">
        <x:v>184</x:v>
      </x:c>
      <x:c r="H459" s="12" t="str">
        <x:v>PHN</x:v>
      </x:c>
      <x:c r="I459" s="12" t="str">
        <x:v>phn</x:v>
      </x:c>
      <x:c r="J459" s="6" t="str"/>
      <x:c r="K459" s="12" t="str">
        <x:v>Unsupported</x:v>
      </x:c>
      <x:c r="L459" s="12" t="str">
        <x:v>Device family alone is insufficient for governed relationship.</x:v>
      </x:c>
    </x:row>
    <x:row r="460">
      <x:c r="A460" s="12" t="str">
        <x:v>EVID-UNS-000145</x:v>
      </x:c>
      <x:c r="B460" s="6" t="str">
        <x:v>UNS000145</x:v>
      </x:c>
      <x:c r="C460" s="6" t="str">
        <x:v>SVC000145</x:v>
      </x:c>
      <x:c r="D460" s="12" t="str">
        <x:v>Unsupported Relationship</x:v>
      </x:c>
      <x:c r="E460" s="6" t="str">
        <x:v>Nocturnix_Master_Compatibility_Catalog_v1.xlsx</x:v>
      </x:c>
      <x:c r="F460" s="6" t="str">
        <x:v>01 - Compatibility Records</x:v>
      </x:c>
      <x:c r="G460" s="6" t="n">
        <x:v>185</x:v>
      </x:c>
      <x:c r="H460" s="12" t="str">
        <x:v>PHN</x:v>
      </x:c>
      <x:c r="I460" s="12" t="str">
        <x:v>phn</x:v>
      </x:c>
      <x:c r="J460" s="6" t="str"/>
      <x:c r="K460" s="12" t="str">
        <x:v>Unsupported</x:v>
      </x:c>
      <x:c r="L460" s="12" t="str">
        <x:v>Device family alone is insufficient for governed relationship.</x:v>
      </x:c>
    </x:row>
    <x:row r="461">
      <x:c r="A461" s="12" t="str">
        <x:v>EVID-UNS-000146</x:v>
      </x:c>
      <x:c r="B461" s="6" t="str">
        <x:v>UNS000146</x:v>
      </x:c>
      <x:c r="C461" s="6" t="str">
        <x:v>SVC000146</x:v>
      </x:c>
      <x:c r="D461" s="12" t="str">
        <x:v>Unsupported Relationship</x:v>
      </x:c>
      <x:c r="E461" s="6" t="str">
        <x:v>Nocturnix_Master_Compatibility_Catalog_v1.xlsx</x:v>
      </x:c>
      <x:c r="F461" s="6" t="str">
        <x:v>01 - Compatibility Records</x:v>
      </x:c>
      <x:c r="G461" s="6" t="n">
        <x:v>186</x:v>
      </x:c>
      <x:c r="H461" s="12" t="str">
        <x:v>PHN</x:v>
      </x:c>
      <x:c r="I461" s="12" t="str">
        <x:v>phn</x:v>
      </x:c>
      <x:c r="J461" s="6" t="str"/>
      <x:c r="K461" s="12" t="str">
        <x:v>Unsupported</x:v>
      </x:c>
      <x:c r="L461" s="12" t="str">
        <x:v>Device family alone is insufficient for governed relationship.</x:v>
      </x:c>
    </x:row>
    <x:row r="462">
      <x:c r="A462" s="12" t="str">
        <x:v>EVID-UNS-000147</x:v>
      </x:c>
      <x:c r="B462" s="6" t="str">
        <x:v>UNS000147</x:v>
      </x:c>
      <x:c r="C462" s="6" t="str">
        <x:v>SVC000147</x:v>
      </x:c>
      <x:c r="D462" s="12" t="str">
        <x:v>Unsupported Relationship</x:v>
      </x:c>
      <x:c r="E462" s="6" t="str">
        <x:v>Nocturnix_Master_Compatibility_Catalog_v1.xlsx</x:v>
      </x:c>
      <x:c r="F462" s="6" t="str">
        <x:v>01 - Compatibility Records</x:v>
      </x:c>
      <x:c r="G462" s="6" t="n">
        <x:v>187</x:v>
      </x:c>
      <x:c r="H462" s="12" t="str">
        <x:v>PHN</x:v>
      </x:c>
      <x:c r="I462" s="12" t="str">
        <x:v>phn</x:v>
      </x:c>
      <x:c r="J462" s="6" t="str"/>
      <x:c r="K462" s="12" t="str">
        <x:v>Unsupported</x:v>
      </x:c>
      <x:c r="L462" s="12" t="str">
        <x:v>Device family alone is insufficient for governed relationship.</x:v>
      </x:c>
    </x:row>
    <x:row r="463">
      <x:c r="A463" s="12" t="str">
        <x:v>EVID-UNS-000148</x:v>
      </x:c>
      <x:c r="B463" s="6" t="str">
        <x:v>UNS000148</x:v>
      </x:c>
      <x:c r="C463" s="6" t="str">
        <x:v>SVC000148</x:v>
      </x:c>
      <x:c r="D463" s="12" t="str">
        <x:v>Unsupported Relationship</x:v>
      </x:c>
      <x:c r="E463" s="6" t="str">
        <x:v>Nocturnix_Master_Compatibility_Catalog_v1.xlsx</x:v>
      </x:c>
      <x:c r="F463" s="6" t="str">
        <x:v>01 - Compatibility Records</x:v>
      </x:c>
      <x:c r="G463" s="6" t="n">
        <x:v>188</x:v>
      </x:c>
      <x:c r="H463" s="12" t="str">
        <x:v>PHN</x:v>
      </x:c>
      <x:c r="I463" s="12" t="str">
        <x:v>phn</x:v>
      </x:c>
      <x:c r="J463" s="6" t="str"/>
      <x:c r="K463" s="12" t="str">
        <x:v>Unsupported</x:v>
      </x:c>
      <x:c r="L463" s="12" t="str">
        <x:v>Device family alone is insufficient for governed relationship.</x:v>
      </x:c>
    </x:row>
    <x:row r="464">
      <x:c r="A464" s="12" t="str">
        <x:v>EVID-UNS-000149</x:v>
      </x:c>
      <x:c r="B464" s="6" t="str">
        <x:v>UNS000149</x:v>
      </x:c>
      <x:c r="C464" s="6" t="str">
        <x:v>SVC000149</x:v>
      </x:c>
      <x:c r="D464" s="12" t="str">
        <x:v>Unsupported Relationship</x:v>
      </x:c>
      <x:c r="E464" s="6" t="str">
        <x:v>Nocturnix_Master_Compatibility_Catalog_v1.xlsx</x:v>
      </x:c>
      <x:c r="F464" s="6" t="str">
        <x:v>01 - Compatibility Records</x:v>
      </x:c>
      <x:c r="G464" s="6" t="n">
        <x:v>189</x:v>
      </x:c>
      <x:c r="H464" s="12" t="str">
        <x:v>PHN</x:v>
      </x:c>
      <x:c r="I464" s="12" t="str">
        <x:v>phn</x:v>
      </x:c>
      <x:c r="J464" s="6" t="str"/>
      <x:c r="K464" s="12" t="str">
        <x:v>Unsupported</x:v>
      </x:c>
      <x:c r="L464" s="12" t="str">
        <x:v>Device family alone is insufficient for governed relationship.</x:v>
      </x:c>
    </x:row>
    <x:row r="465">
      <x:c r="A465" s="12" t="str">
        <x:v>EVID-UNS-000150</x:v>
      </x:c>
      <x:c r="B465" s="6" t="str">
        <x:v>UNS000150</x:v>
      </x:c>
      <x:c r="C465" s="6" t="str">
        <x:v>SVC000150</x:v>
      </x:c>
      <x:c r="D465" s="12" t="str">
        <x:v>Unsupported Relationship</x:v>
      </x:c>
      <x:c r="E465" s="6" t="str">
        <x:v>Nocturnix_Master_Compatibility_Catalog_v1.xlsx</x:v>
      </x:c>
      <x:c r="F465" s="6" t="str">
        <x:v>01 - Compatibility Records</x:v>
      </x:c>
      <x:c r="G465" s="6" t="n">
        <x:v>190</x:v>
      </x:c>
      <x:c r="H465" s="12" t="str">
        <x:v>PHN</x:v>
      </x:c>
      <x:c r="I465" s="12" t="str">
        <x:v>phn</x:v>
      </x:c>
      <x:c r="J465" s="6" t="str"/>
      <x:c r="K465" s="12" t="str">
        <x:v>Unsupported</x:v>
      </x:c>
      <x:c r="L465" s="12" t="str">
        <x:v>Device family alone is insufficient for governed relationship.</x:v>
      </x:c>
    </x:row>
    <x:row r="466">
      <x:c r="A466" s="12" t="str">
        <x:v>EVID-UNS-000151</x:v>
      </x:c>
      <x:c r="B466" s="6" t="str">
        <x:v>UNS000151</x:v>
      </x:c>
      <x:c r="C466" s="6" t="str">
        <x:v>SVC000151</x:v>
      </x:c>
      <x:c r="D466" s="12" t="str">
        <x:v>Unsupported Relationship</x:v>
      </x:c>
      <x:c r="E466" s="6" t="str">
        <x:v>Nocturnix_Master_Compatibility_Catalog_v1.xlsx</x:v>
      </x:c>
      <x:c r="F466" s="6" t="str">
        <x:v>01 - Compatibility Records</x:v>
      </x:c>
      <x:c r="G466" s="6" t="n">
        <x:v>191</x:v>
      </x:c>
      <x:c r="H466" s="12" t="str">
        <x:v>PHN</x:v>
      </x:c>
      <x:c r="I466" s="12" t="str">
        <x:v>phn</x:v>
      </x:c>
      <x:c r="J466" s="6" t="str"/>
      <x:c r="K466" s="12" t="str">
        <x:v>Unsupported</x:v>
      </x:c>
      <x:c r="L466" s="12" t="str">
        <x:v>Device family alone is insufficient for governed relationship.</x:v>
      </x:c>
    </x:row>
    <x:row r="467">
      <x:c r="A467" s="12" t="str">
        <x:v>EVID-UNS-000152</x:v>
      </x:c>
      <x:c r="B467" s="6" t="str">
        <x:v>UNS000152</x:v>
      </x:c>
      <x:c r="C467" s="6" t="str">
        <x:v>SVC000152</x:v>
      </x:c>
      <x:c r="D467" s="12" t="str">
        <x:v>Unsupported Relationship</x:v>
      </x:c>
      <x:c r="E467" s="6" t="str">
        <x:v>Nocturnix_Master_Compatibility_Catalog_v1.xlsx</x:v>
      </x:c>
      <x:c r="F467" s="6" t="str">
        <x:v>01 - Compatibility Records</x:v>
      </x:c>
      <x:c r="G467" s="6" t="n">
        <x:v>192</x:v>
      </x:c>
      <x:c r="H467" s="12" t="str">
        <x:v>PHN</x:v>
      </x:c>
      <x:c r="I467" s="12" t="str">
        <x:v>phn</x:v>
      </x:c>
      <x:c r="J467" s="6" t="str"/>
      <x:c r="K467" s="12" t="str">
        <x:v>Unsupported</x:v>
      </x:c>
      <x:c r="L467" s="12" t="str">
        <x:v>Device family alone is insufficient for governed relationship.</x:v>
      </x:c>
    </x:row>
    <x:row r="468">
      <x:c r="A468" s="12" t="str">
        <x:v>EVID-UNS-000153</x:v>
      </x:c>
      <x:c r="B468" s="6" t="str">
        <x:v>UNS000153</x:v>
      </x:c>
      <x:c r="C468" s="6" t="str">
        <x:v>SVC000153</x:v>
      </x:c>
      <x:c r="D468" s="12" t="str">
        <x:v>Unsupported Relationship</x:v>
      </x:c>
      <x:c r="E468" s="6" t="str">
        <x:v>Nocturnix_Master_Compatibility_Catalog_v1.xlsx</x:v>
      </x:c>
      <x:c r="F468" s="6" t="str">
        <x:v>01 - Compatibility Records</x:v>
      </x:c>
      <x:c r="G468" s="6" t="n">
        <x:v>193</x:v>
      </x:c>
      <x:c r="H468" s="12" t="str">
        <x:v>PHN</x:v>
      </x:c>
      <x:c r="I468" s="12" t="str">
        <x:v>phn</x:v>
      </x:c>
      <x:c r="J468" s="6" t="str"/>
      <x:c r="K468" s="12" t="str">
        <x:v>Unsupported</x:v>
      </x:c>
      <x:c r="L468" s="12" t="str">
        <x:v>Device family alone is insufficient for governed relationship.</x:v>
      </x:c>
    </x:row>
    <x:row r="469">
      <x:c r="A469" s="12" t="str">
        <x:v>EVID-UNS-000154</x:v>
      </x:c>
      <x:c r="B469" s="6" t="str">
        <x:v>UNS000154</x:v>
      </x:c>
      <x:c r="C469" s="6" t="str">
        <x:v>SVC000154</x:v>
      </x:c>
      <x:c r="D469" s="12" t="str">
        <x:v>Unsupported Relationship</x:v>
      </x:c>
      <x:c r="E469" s="6" t="str">
        <x:v>Nocturnix_Master_Compatibility_Catalog_v1.xlsx</x:v>
      </x:c>
      <x:c r="F469" s="6" t="str">
        <x:v>01 - Compatibility Records</x:v>
      </x:c>
      <x:c r="G469" s="6" t="n">
        <x:v>194</x:v>
      </x:c>
      <x:c r="H469" s="12" t="str">
        <x:v>PHN</x:v>
      </x:c>
      <x:c r="I469" s="12" t="str">
        <x:v>phn</x:v>
      </x:c>
      <x:c r="J469" s="6" t="str"/>
      <x:c r="K469" s="12" t="str">
        <x:v>Unsupported</x:v>
      </x:c>
      <x:c r="L469" s="12" t="str">
        <x:v>Device family alone is insufficient for governed relationship.</x:v>
      </x:c>
    </x:row>
    <x:row r="470">
      <x:c r="A470" s="12" t="str">
        <x:v>EVID-UNS-000155</x:v>
      </x:c>
      <x:c r="B470" s="6" t="str">
        <x:v>UNS000155</x:v>
      </x:c>
      <x:c r="C470" s="6" t="str">
        <x:v>SVC000155</x:v>
      </x:c>
      <x:c r="D470" s="12" t="str">
        <x:v>Unsupported Relationship</x:v>
      </x:c>
      <x:c r="E470" s="6" t="str">
        <x:v>Nocturnix_Master_Compatibility_Catalog_v1.xlsx</x:v>
      </x:c>
      <x:c r="F470" s="6" t="str">
        <x:v>01 - Compatibility Records</x:v>
      </x:c>
      <x:c r="G470" s="6" t="n">
        <x:v>195</x:v>
      </x:c>
      <x:c r="H470" s="12" t="str">
        <x:v>PHN</x:v>
      </x:c>
      <x:c r="I470" s="12" t="str">
        <x:v>phn</x:v>
      </x:c>
      <x:c r="J470" s="6" t="str"/>
      <x:c r="K470" s="12" t="str">
        <x:v>Unsupported</x:v>
      </x:c>
      <x:c r="L470" s="12" t="str">
        <x:v>Device family alone is insufficient for governed relationship.</x:v>
      </x:c>
    </x:row>
    <x:row r="471">
      <x:c r="A471" s="12" t="str">
        <x:v>EVID-UNS-000156</x:v>
      </x:c>
      <x:c r="B471" s="6" t="str">
        <x:v>UNS000156</x:v>
      </x:c>
      <x:c r="C471" s="6" t="str">
        <x:v>SVC000156</x:v>
      </x:c>
      <x:c r="D471" s="12" t="str">
        <x:v>Unsupported Relationship</x:v>
      </x:c>
      <x:c r="E471" s="6" t="str">
        <x:v>Nocturnix_Master_Compatibility_Catalog_v1.xlsx</x:v>
      </x:c>
      <x:c r="F471" s="6" t="str">
        <x:v>01 - Compatibility Records</x:v>
      </x:c>
      <x:c r="G471" s="6" t="n">
        <x:v>196</x:v>
      </x:c>
      <x:c r="H471" s="12" t="str">
        <x:v>PHN</x:v>
      </x:c>
      <x:c r="I471" s="12" t="str">
        <x:v>phn</x:v>
      </x:c>
      <x:c r="J471" s="6" t="str"/>
      <x:c r="K471" s="12" t="str">
        <x:v>Unsupported</x:v>
      </x:c>
      <x:c r="L471" s="12" t="str">
        <x:v>Device family alone is insufficient for governed relationship.</x:v>
      </x:c>
    </x:row>
    <x:row r="472">
      <x:c r="A472" s="12" t="str">
        <x:v>EVID-UNS-000157</x:v>
      </x:c>
      <x:c r="B472" s="6" t="str">
        <x:v>UNS000157</x:v>
      </x:c>
      <x:c r="C472" s="6" t="str">
        <x:v>SVC000157</x:v>
      </x:c>
      <x:c r="D472" s="12" t="str">
        <x:v>Unsupported Relationship</x:v>
      </x:c>
      <x:c r="E472" s="6" t="str">
        <x:v>Nocturnix_Master_Compatibility_Catalog_v1.xlsx</x:v>
      </x:c>
      <x:c r="F472" s="6" t="str">
        <x:v>01 - Compatibility Records</x:v>
      </x:c>
      <x:c r="G472" s="6" t="n">
        <x:v>197</x:v>
      </x:c>
      <x:c r="H472" s="12" t="str">
        <x:v>PHN</x:v>
      </x:c>
      <x:c r="I472" s="12" t="str">
        <x:v>phn</x:v>
      </x:c>
      <x:c r="J472" s="6" t="str"/>
      <x:c r="K472" s="12" t="str">
        <x:v>Unsupported</x:v>
      </x:c>
      <x:c r="L472" s="12" t="str">
        <x:v>Device family alone is insufficient for governed relationship.</x:v>
      </x:c>
    </x:row>
    <x:row r="473">
      <x:c r="A473" s="12" t="str">
        <x:v>EVID-UNS-000158</x:v>
      </x:c>
      <x:c r="B473" s="6" t="str">
        <x:v>UNS000158</x:v>
      </x:c>
      <x:c r="C473" s="6" t="str">
        <x:v>SVC000158</x:v>
      </x:c>
      <x:c r="D473" s="12" t="str">
        <x:v>Unsupported Relationship</x:v>
      </x:c>
      <x:c r="E473" s="6" t="str">
        <x:v>Nocturnix_Master_Compatibility_Catalog_v1.xlsx</x:v>
      </x:c>
      <x:c r="F473" s="6" t="str">
        <x:v>01 - Compatibility Records</x:v>
      </x:c>
      <x:c r="G473" s="6" t="n">
        <x:v>198</x:v>
      </x:c>
      <x:c r="H473" s="12" t="str">
        <x:v>PHN</x:v>
      </x:c>
      <x:c r="I473" s="12" t="str">
        <x:v>phn</x:v>
      </x:c>
      <x:c r="J473" s="6" t="str"/>
      <x:c r="K473" s="12" t="str">
        <x:v>Unsupported</x:v>
      </x:c>
      <x:c r="L473" s="12" t="str">
        <x:v>Device family alone is insufficient for governed relationship.</x:v>
      </x:c>
    </x:row>
    <x:row r="474">
      <x:c r="A474" s="12" t="str">
        <x:v>EVID-UNS-000159</x:v>
      </x:c>
      <x:c r="B474" s="6" t="str">
        <x:v>UNS000159</x:v>
      </x:c>
      <x:c r="C474" s="6" t="str">
        <x:v>SVC000159</x:v>
      </x:c>
      <x:c r="D474" s="12" t="str">
        <x:v>Unsupported Relationship</x:v>
      </x:c>
      <x:c r="E474" s="6" t="str">
        <x:v>Nocturnix_Master_Compatibility_Catalog_v1.xlsx</x:v>
      </x:c>
      <x:c r="F474" s="6" t="str">
        <x:v>01 - Compatibility Records</x:v>
      </x:c>
      <x:c r="G474" s="6" t="n">
        <x:v>199</x:v>
      </x:c>
      <x:c r="H474" s="12" t="str">
        <x:v>PHN</x:v>
      </x:c>
      <x:c r="I474" s="12" t="str">
        <x:v>phn</x:v>
      </x:c>
      <x:c r="J474" s="6" t="str"/>
      <x:c r="K474" s="12" t="str">
        <x:v>Unsupported</x:v>
      </x:c>
      <x:c r="L474" s="12" t="str">
        <x:v>Device family alone is insufficient for governed relationship.</x:v>
      </x:c>
    </x:row>
    <x:row r="475">
      <x:c r="A475" s="12" t="str">
        <x:v>EVID-UNS-000160</x:v>
      </x:c>
      <x:c r="B475" s="6" t="str">
        <x:v>UNS000160</x:v>
      </x:c>
      <x:c r="C475" s="6" t="str">
        <x:v>SVC000160</x:v>
      </x:c>
      <x:c r="D475" s="12" t="str">
        <x:v>Unsupported Relationship</x:v>
      </x:c>
      <x:c r="E475" s="6" t="str">
        <x:v>Nocturnix_Master_Compatibility_Catalog_v1.xlsx</x:v>
      </x:c>
      <x:c r="F475" s="6" t="str">
        <x:v>01 - Compatibility Records</x:v>
      </x:c>
      <x:c r="G475" s="6" t="n">
        <x:v>200</x:v>
      </x:c>
      <x:c r="H475" s="12" t="str">
        <x:v>PHN</x:v>
      </x:c>
      <x:c r="I475" s="12" t="str">
        <x:v>phn</x:v>
      </x:c>
      <x:c r="J475" s="6" t="str"/>
      <x:c r="K475" s="12" t="str">
        <x:v>Unsupported</x:v>
      </x:c>
      <x:c r="L475" s="12" t="str">
        <x:v>Device family alone is insufficient for governed relationship.</x:v>
      </x:c>
    </x:row>
    <x:row r="476">
      <x:c r="A476" s="12" t="str">
        <x:v>EVID-UNS-000161</x:v>
      </x:c>
      <x:c r="B476" s="6" t="str">
        <x:v>UNS000161</x:v>
      </x:c>
      <x:c r="C476" s="6" t="str">
        <x:v>SVC000161</x:v>
      </x:c>
      <x:c r="D476" s="12" t="str">
        <x:v>Unsupported Relationship</x:v>
      </x:c>
      <x:c r="E476" s="6" t="str">
        <x:v>Nocturnix_Master_Compatibility_Catalog_v1.xlsx</x:v>
      </x:c>
      <x:c r="F476" s="6" t="str">
        <x:v>01 - Compatibility Records</x:v>
      </x:c>
      <x:c r="G476" s="6" t="n">
        <x:v>201</x:v>
      </x:c>
      <x:c r="H476" s="12" t="str">
        <x:v>PHN</x:v>
      </x:c>
      <x:c r="I476" s="12" t="str">
        <x:v>phn</x:v>
      </x:c>
      <x:c r="J476" s="6" t="str"/>
      <x:c r="K476" s="12" t="str">
        <x:v>Unsupported</x:v>
      </x:c>
      <x:c r="L476" s="12" t="str">
        <x:v>Device family alone is insufficient for governed relationship.</x:v>
      </x:c>
    </x:row>
    <x:row r="477">
      <x:c r="A477" s="12" t="str">
        <x:v>EVID-UNS-000162</x:v>
      </x:c>
      <x:c r="B477" s="6" t="str">
        <x:v>UNS000162</x:v>
      </x:c>
      <x:c r="C477" s="6" t="str">
        <x:v>SVC000162</x:v>
      </x:c>
      <x:c r="D477" s="12" t="str">
        <x:v>Unsupported Relationship</x:v>
      </x:c>
      <x:c r="E477" s="6" t="str">
        <x:v>Nocturnix_Master_Compatibility_Catalog_v1.xlsx</x:v>
      </x:c>
      <x:c r="F477" s="6" t="str">
        <x:v>01 - Compatibility Records</x:v>
      </x:c>
      <x:c r="G477" s="6" t="n">
        <x:v>202</x:v>
      </x:c>
      <x:c r="H477" s="12" t="str">
        <x:v>PHN</x:v>
      </x:c>
      <x:c r="I477" s="12" t="str">
        <x:v>phn</x:v>
      </x:c>
      <x:c r="J477" s="6" t="str"/>
      <x:c r="K477" s="12" t="str">
        <x:v>Unsupported</x:v>
      </x:c>
      <x:c r="L477" s="12" t="str">
        <x:v>Device family alone is insufficient for governed relationship.</x:v>
      </x:c>
    </x:row>
    <x:row r="478">
      <x:c r="A478" s="12" t="str">
        <x:v>EVID-UNS-000163</x:v>
      </x:c>
      <x:c r="B478" s="6" t="str">
        <x:v>UNS000163</x:v>
      </x:c>
      <x:c r="C478" s="6" t="str">
        <x:v>SVC000163</x:v>
      </x:c>
      <x:c r="D478" s="12" t="str">
        <x:v>Unsupported Relationship</x:v>
      </x:c>
      <x:c r="E478" s="6" t="str">
        <x:v>Nocturnix_Master_Compatibility_Catalog_v1.xlsx</x:v>
      </x:c>
      <x:c r="F478" s="6" t="str">
        <x:v>01 - Compatibility Records</x:v>
      </x:c>
      <x:c r="G478" s="6" t="n">
        <x:v>203</x:v>
      </x:c>
      <x:c r="H478" s="12" t="str">
        <x:v>PHN</x:v>
      </x:c>
      <x:c r="I478" s="12" t="str">
        <x:v>phn</x:v>
      </x:c>
      <x:c r="J478" s="6" t="str"/>
      <x:c r="K478" s="12" t="str">
        <x:v>Unsupported</x:v>
      </x:c>
      <x:c r="L478" s="12" t="str">
        <x:v>Device family alone is insufficient for governed relationship.</x:v>
      </x:c>
    </x:row>
    <x:row r="479">
      <x:c r="A479" s="12" t="str">
        <x:v>EVID-UNS-000164</x:v>
      </x:c>
      <x:c r="B479" s="6" t="str">
        <x:v>UNS000164</x:v>
      </x:c>
      <x:c r="C479" s="6" t="str">
        <x:v>SVC000164</x:v>
      </x:c>
      <x:c r="D479" s="12" t="str">
        <x:v>Unsupported Relationship</x:v>
      </x:c>
      <x:c r="E479" s="6" t="str">
        <x:v>Nocturnix_Master_Compatibility_Catalog_v1.xlsx</x:v>
      </x:c>
      <x:c r="F479" s="6" t="str">
        <x:v>01 - Compatibility Records</x:v>
      </x:c>
      <x:c r="G479" s="6" t="n">
        <x:v>204</x:v>
      </x:c>
      <x:c r="H479" s="12" t="str">
        <x:v>PHN</x:v>
      </x:c>
      <x:c r="I479" s="12" t="str">
        <x:v>phn</x:v>
      </x:c>
      <x:c r="J479" s="6" t="str"/>
      <x:c r="K479" s="12" t="str">
        <x:v>Unsupported</x:v>
      </x:c>
      <x:c r="L479" s="12" t="str">
        <x:v>Device family alone is insufficient for governed relationship.</x:v>
      </x:c>
    </x:row>
    <x:row r="480">
      <x:c r="A480" s="12" t="str">
        <x:v>EVID-UNS-000165</x:v>
      </x:c>
      <x:c r="B480" s="6" t="str">
        <x:v>UNS000165</x:v>
      </x:c>
      <x:c r="C480" s="6" t="str">
        <x:v>SVC000165</x:v>
      </x:c>
      <x:c r="D480" s="12" t="str">
        <x:v>Unsupported Relationship</x:v>
      </x:c>
      <x:c r="E480" s="6" t="str">
        <x:v>Nocturnix_Master_Compatibility_Catalog_v1.xlsx</x:v>
      </x:c>
      <x:c r="F480" s="6" t="str">
        <x:v>01 - Compatibility Records</x:v>
      </x:c>
      <x:c r="G480" s="6" t="n">
        <x:v>205</x:v>
      </x:c>
      <x:c r="H480" s="12" t="str">
        <x:v>PHN</x:v>
      </x:c>
      <x:c r="I480" s="12" t="str">
        <x:v>phn</x:v>
      </x:c>
      <x:c r="J480" s="6" t="str"/>
      <x:c r="K480" s="12" t="str">
        <x:v>Unsupported</x:v>
      </x:c>
      <x:c r="L480" s="12" t="str">
        <x:v>Device family alone is insufficient for governed relationship.</x:v>
      </x:c>
    </x:row>
    <x:row r="481">
      <x:c r="A481" s="12" t="str">
        <x:v>EVID-UNS-000166</x:v>
      </x:c>
      <x:c r="B481" s="6" t="str">
        <x:v>UNS000166</x:v>
      </x:c>
      <x:c r="C481" s="6" t="str">
        <x:v>SVC000166</x:v>
      </x:c>
      <x:c r="D481" s="12" t="str">
        <x:v>Unsupported Relationship</x:v>
      </x:c>
      <x:c r="E481" s="6" t="str">
        <x:v>Nocturnix_Master_Compatibility_Catalog_v1.xlsx</x:v>
      </x:c>
      <x:c r="F481" s="6" t="str">
        <x:v>01 - Compatibility Records</x:v>
      </x:c>
      <x:c r="G481" s="6" t="n">
        <x:v>206</x:v>
      </x:c>
      <x:c r="H481" s="12" t="str">
        <x:v>PHN</x:v>
      </x:c>
      <x:c r="I481" s="12" t="str">
        <x:v>phn</x:v>
      </x:c>
      <x:c r="J481" s="6" t="str"/>
      <x:c r="K481" s="12" t="str">
        <x:v>Unsupported</x:v>
      </x:c>
      <x:c r="L481" s="12" t="str">
        <x:v>Device family alone is insufficient for governed relationship.</x:v>
      </x:c>
    </x:row>
    <x:row r="482">
      <x:c r="A482" s="12" t="str">
        <x:v>EVID-UNS-000167</x:v>
      </x:c>
      <x:c r="B482" s="6" t="str">
        <x:v>UNS000167</x:v>
      </x:c>
      <x:c r="C482" s="6" t="str">
        <x:v>SVC000167</x:v>
      </x:c>
      <x:c r="D482" s="12" t="str">
        <x:v>Unsupported Relationship</x:v>
      </x:c>
      <x:c r="E482" s="6" t="str">
        <x:v>Nocturnix_Master_Compatibility_Catalog_v1.xlsx</x:v>
      </x:c>
      <x:c r="F482" s="6" t="str">
        <x:v>01 - Compatibility Records</x:v>
      </x:c>
      <x:c r="G482" s="6" t="n">
        <x:v>207</x:v>
      </x:c>
      <x:c r="H482" s="12" t="str">
        <x:v>PHN</x:v>
      </x:c>
      <x:c r="I482" s="12" t="str">
        <x:v>phn</x:v>
      </x:c>
      <x:c r="J482" s="6" t="str"/>
      <x:c r="K482" s="12" t="str">
        <x:v>Unsupported</x:v>
      </x:c>
      <x:c r="L482" s="12" t="str">
        <x:v>Device family alone is insufficient for governed relationship.</x:v>
      </x:c>
    </x:row>
    <x:row r="483">
      <x:c r="A483" s="12" t="str">
        <x:v>EVID-UNS-000168</x:v>
      </x:c>
      <x:c r="B483" s="6" t="str">
        <x:v>UNS000168</x:v>
      </x:c>
      <x:c r="C483" s="6" t="str">
        <x:v>SVC000168</x:v>
      </x:c>
      <x:c r="D483" s="12" t="str">
        <x:v>Unsupported Relationship</x:v>
      </x:c>
      <x:c r="E483" s="6" t="str">
        <x:v>Nocturnix_Master_Compatibility_Catalog_v1.xlsx</x:v>
      </x:c>
      <x:c r="F483" s="6" t="str">
        <x:v>01 - Compatibility Records</x:v>
      </x:c>
      <x:c r="G483" s="6" t="n">
        <x:v>208</x:v>
      </x:c>
      <x:c r="H483" s="12" t="str">
        <x:v>PHN</x:v>
      </x:c>
      <x:c r="I483" s="12" t="str">
        <x:v>phn</x:v>
      </x:c>
      <x:c r="J483" s="6" t="str"/>
      <x:c r="K483" s="12" t="str">
        <x:v>Unsupported</x:v>
      </x:c>
      <x:c r="L483" s="12" t="str">
        <x:v>Device family alone is insufficient for governed relationship.</x:v>
      </x:c>
    </x:row>
    <x:row r="484">
      <x:c r="A484" s="12" t="str">
        <x:v>EVID-UNS-000169</x:v>
      </x:c>
      <x:c r="B484" s="6" t="str">
        <x:v>UNS000169</x:v>
      </x:c>
      <x:c r="C484" s="6" t="str">
        <x:v>SVC000169</x:v>
      </x:c>
      <x:c r="D484" s="12" t="str">
        <x:v>Unsupported Relationship</x:v>
      </x:c>
      <x:c r="E484" s="6" t="str">
        <x:v>Nocturnix_Master_Compatibility_Catalog_v1.xlsx</x:v>
      </x:c>
      <x:c r="F484" s="6" t="str">
        <x:v>01 - Compatibility Records</x:v>
      </x:c>
      <x:c r="G484" s="6" t="n">
        <x:v>209</x:v>
      </x:c>
      <x:c r="H484" s="12" t="str">
        <x:v>PHN</x:v>
      </x:c>
      <x:c r="I484" s="12" t="str">
        <x:v>phn</x:v>
      </x:c>
      <x:c r="J484" s="6" t="str"/>
      <x:c r="K484" s="12" t="str">
        <x:v>Unsupported</x:v>
      </x:c>
      <x:c r="L484" s="12" t="str">
        <x:v>Device family alone is insufficient for governed relationship.</x:v>
      </x:c>
    </x:row>
    <x:row r="485">
      <x:c r="A485" s="12" t="str">
        <x:v>EVID-UNS-000170</x:v>
      </x:c>
      <x:c r="B485" s="6" t="str">
        <x:v>UNS000170</x:v>
      </x:c>
      <x:c r="C485" s="6" t="str">
        <x:v>SVC000170</x:v>
      </x:c>
      <x:c r="D485" s="12" t="str">
        <x:v>Unsupported Relationship</x:v>
      </x:c>
      <x:c r="E485" s="6" t="str">
        <x:v>Nocturnix_Master_Compatibility_Catalog_v1.xlsx</x:v>
      </x:c>
      <x:c r="F485" s="6" t="str">
        <x:v>01 - Compatibility Records</x:v>
      </x:c>
      <x:c r="G485" s="6" t="n">
        <x:v>210</x:v>
      </x:c>
      <x:c r="H485" s="12" t="str">
        <x:v>PHN</x:v>
      </x:c>
      <x:c r="I485" s="12" t="str">
        <x:v>phn</x:v>
      </x:c>
      <x:c r="J485" s="6" t="str"/>
      <x:c r="K485" s="12" t="str">
        <x:v>Unsupported</x:v>
      </x:c>
      <x:c r="L485" s="12" t="str">
        <x:v>Device family alone is insufficient for governed relationship.</x:v>
      </x:c>
    </x:row>
    <x:row r="486">
      <x:c r="A486" s="12" t="str">
        <x:v>EVID-UNS-000171</x:v>
      </x:c>
      <x:c r="B486" s="6" t="str">
        <x:v>UNS000171</x:v>
      </x:c>
      <x:c r="C486" s="6" t="str">
        <x:v>SVC000171</x:v>
      </x:c>
      <x:c r="D486" s="12" t="str">
        <x:v>Unsupported Relationship</x:v>
      </x:c>
      <x:c r="E486" s="6" t="str">
        <x:v>Nocturnix_Master_Compatibility_Catalog_v1.xlsx</x:v>
      </x:c>
      <x:c r="F486" s="6" t="str">
        <x:v>01 - Compatibility Records</x:v>
      </x:c>
      <x:c r="G486" s="6" t="n">
        <x:v>211</x:v>
      </x:c>
      <x:c r="H486" s="12" t="str">
        <x:v>PHN</x:v>
      </x:c>
      <x:c r="I486" s="12" t="str">
        <x:v>phn</x:v>
      </x:c>
      <x:c r="J486" s="6" t="str"/>
      <x:c r="K486" s="12" t="str">
        <x:v>Unsupported</x:v>
      </x:c>
      <x:c r="L486" s="12" t="str">
        <x:v>Device family alone is insufficient for governed relationship.</x:v>
      </x:c>
    </x:row>
    <x:row r="487">
      <x:c r="A487" s="12" t="str">
        <x:v>EVID-UNS-000172</x:v>
      </x:c>
      <x:c r="B487" s="6" t="str">
        <x:v>UNS000172</x:v>
      </x:c>
      <x:c r="C487" s="6" t="str">
        <x:v>SVC000172</x:v>
      </x:c>
      <x:c r="D487" s="12" t="str">
        <x:v>Unsupported Relationship</x:v>
      </x:c>
      <x:c r="E487" s="6" t="str">
        <x:v>Nocturnix_Master_Compatibility_Catalog_v1.xlsx</x:v>
      </x:c>
      <x:c r="F487" s="6" t="str">
        <x:v>01 - Compatibility Records</x:v>
      </x:c>
      <x:c r="G487" s="6" t="n">
        <x:v>212</x:v>
      </x:c>
      <x:c r="H487" s="12" t="str">
        <x:v>PHN</x:v>
      </x:c>
      <x:c r="I487" s="12" t="str">
        <x:v>phn</x:v>
      </x:c>
      <x:c r="J487" s="6" t="str"/>
      <x:c r="K487" s="12" t="str">
        <x:v>Unsupported</x:v>
      </x:c>
      <x:c r="L487" s="12" t="str">
        <x:v>Device family alone is insufficient for governed relationship.</x:v>
      </x:c>
    </x:row>
    <x:row r="488">
      <x:c r="A488" s="12" t="str">
        <x:v>EVID-UNS-000173</x:v>
      </x:c>
      <x:c r="B488" s="6" t="str">
        <x:v>UNS000173</x:v>
      </x:c>
      <x:c r="C488" s="6" t="str">
        <x:v>SVC000173</x:v>
      </x:c>
      <x:c r="D488" s="12" t="str">
        <x:v>Unsupported Relationship</x:v>
      </x:c>
      <x:c r="E488" s="6" t="str">
        <x:v>Nocturnix_Master_Compatibility_Catalog_v1.xlsx</x:v>
      </x:c>
      <x:c r="F488" s="6" t="str">
        <x:v>01 - Compatibility Records</x:v>
      </x:c>
      <x:c r="G488" s="6" t="n">
        <x:v>213</x:v>
      </x:c>
      <x:c r="H488" s="12" t="str">
        <x:v>PHN</x:v>
      </x:c>
      <x:c r="I488" s="12" t="str">
        <x:v>phn</x:v>
      </x:c>
      <x:c r="J488" s="6" t="str"/>
      <x:c r="K488" s="12" t="str">
        <x:v>Unsupported</x:v>
      </x:c>
      <x:c r="L488" s="12" t="str">
        <x:v>Device family alone is insufficient for governed relationship.</x:v>
      </x:c>
    </x:row>
    <x:row r="489">
      <x:c r="A489" s="12" t="str">
        <x:v>EVID-UNS-000174</x:v>
      </x:c>
      <x:c r="B489" s="6" t="str">
        <x:v>UNS000174</x:v>
      </x:c>
      <x:c r="C489" s="6" t="str">
        <x:v>SVC000174</x:v>
      </x:c>
      <x:c r="D489" s="12" t="str">
        <x:v>Unsupported Relationship</x:v>
      </x:c>
      <x:c r="E489" s="6" t="str">
        <x:v>Nocturnix_Master_Compatibility_Catalog_v1.xlsx</x:v>
      </x:c>
      <x:c r="F489" s="6" t="str">
        <x:v>01 - Compatibility Records</x:v>
      </x:c>
      <x:c r="G489" s="6" t="n">
        <x:v>214</x:v>
      </x:c>
      <x:c r="H489" s="12" t="str">
        <x:v>PHN</x:v>
      </x:c>
      <x:c r="I489" s="12" t="str">
        <x:v>phn</x:v>
      </x:c>
      <x:c r="J489" s="6" t="str"/>
      <x:c r="K489" s="12" t="str">
        <x:v>Unsupported</x:v>
      </x:c>
      <x:c r="L489" s="12" t="str">
        <x:v>Device family alone is insufficient for governed relationship.</x:v>
      </x:c>
    </x:row>
    <x:row r="490">
      <x:c r="A490" s="12" t="str">
        <x:v>EVID-UNS-000175</x:v>
      </x:c>
      <x:c r="B490" s="6" t="str">
        <x:v>UNS000175</x:v>
      </x:c>
      <x:c r="C490" s="6" t="str">
        <x:v>SVC000175</x:v>
      </x:c>
      <x:c r="D490" s="12" t="str">
        <x:v>Unsupported Relationship</x:v>
      </x:c>
      <x:c r="E490" s="6" t="str">
        <x:v>Nocturnix_Master_Compatibility_Catalog_v1.xlsx</x:v>
      </x:c>
      <x:c r="F490" s="6" t="str">
        <x:v>01 - Compatibility Records</x:v>
      </x:c>
      <x:c r="G490" s="6" t="n">
        <x:v>215</x:v>
      </x:c>
      <x:c r="H490" s="12" t="str">
        <x:v>PHN</x:v>
      </x:c>
      <x:c r="I490" s="12" t="str">
        <x:v>phn</x:v>
      </x:c>
      <x:c r="J490" s="6" t="str"/>
      <x:c r="K490" s="12" t="str">
        <x:v>Unsupported</x:v>
      </x:c>
      <x:c r="L490" s="12" t="str">
        <x:v>Device family alone is insufficient for governed relationship.</x:v>
      </x:c>
    </x:row>
    <x:row r="491">
      <x:c r="A491" s="12" t="str">
        <x:v>EVID-UNS-000176</x:v>
      </x:c>
      <x:c r="B491" s="6" t="str">
        <x:v>UNS000176</x:v>
      </x:c>
      <x:c r="C491" s="6" t="str">
        <x:v>SVC000176</x:v>
      </x:c>
      <x:c r="D491" s="12" t="str">
        <x:v>Unsupported Relationship</x:v>
      </x:c>
      <x:c r="E491" s="6" t="str">
        <x:v>Nocturnix_Master_Compatibility_Catalog_v1.xlsx</x:v>
      </x:c>
      <x:c r="F491" s="6" t="str">
        <x:v>01 - Compatibility Records</x:v>
      </x:c>
      <x:c r="G491" s="6" t="n">
        <x:v>216</x:v>
      </x:c>
      <x:c r="H491" s="12" t="str">
        <x:v>PHN</x:v>
      </x:c>
      <x:c r="I491" s="12" t="str">
        <x:v>phn</x:v>
      </x:c>
      <x:c r="J491" s="6" t="str"/>
      <x:c r="K491" s="12" t="str">
        <x:v>Unsupported</x:v>
      </x:c>
      <x:c r="L491" s="12" t="str">
        <x:v>Device family alone is insufficient for governed relationship.</x:v>
      </x:c>
    </x:row>
    <x:row r="492">
      <x:c r="A492" s="12" t="str">
        <x:v>EVID-UNS-000177</x:v>
      </x:c>
      <x:c r="B492" s="6" t="str">
        <x:v>UNS000177</x:v>
      </x:c>
      <x:c r="C492" s="6" t="str">
        <x:v>SVC000177</x:v>
      </x:c>
      <x:c r="D492" s="12" t="str">
        <x:v>Unsupported Relationship</x:v>
      </x:c>
      <x:c r="E492" s="6" t="str">
        <x:v>Nocturnix_Master_Compatibility_Catalog_v1.xlsx</x:v>
      </x:c>
      <x:c r="F492" s="6" t="str">
        <x:v>01 - Compatibility Records</x:v>
      </x:c>
      <x:c r="G492" s="6" t="n">
        <x:v>217</x:v>
      </x:c>
      <x:c r="H492" s="12" t="str">
        <x:v>PHN</x:v>
      </x:c>
      <x:c r="I492" s="12" t="str">
        <x:v>phn</x:v>
      </x:c>
      <x:c r="J492" s="6" t="str"/>
      <x:c r="K492" s="12" t="str">
        <x:v>Unsupported</x:v>
      </x:c>
      <x:c r="L492" s="12" t="str">
        <x:v>Device family alone is insufficient for governed relationship.</x:v>
      </x:c>
    </x:row>
    <x:row r="493">
      <x:c r="A493" s="12" t="str">
        <x:v>EVID-UNS-000178</x:v>
      </x:c>
      <x:c r="B493" s="6" t="str">
        <x:v>UNS000178</x:v>
      </x:c>
      <x:c r="C493" s="6" t="str">
        <x:v>SVC000178</x:v>
      </x:c>
      <x:c r="D493" s="12" t="str">
        <x:v>Unsupported Relationship</x:v>
      </x:c>
      <x:c r="E493" s="6" t="str">
        <x:v>Nocturnix_Master_Compatibility_Catalog_v1.xlsx</x:v>
      </x:c>
      <x:c r="F493" s="6" t="str">
        <x:v>01 - Compatibility Records</x:v>
      </x:c>
      <x:c r="G493" s="6" t="n">
        <x:v>218</x:v>
      </x:c>
      <x:c r="H493" s="12" t="str">
        <x:v>PHN</x:v>
      </x:c>
      <x:c r="I493" s="12" t="str">
        <x:v>phn</x:v>
      </x:c>
      <x:c r="J493" s="6" t="str"/>
      <x:c r="K493" s="12" t="str">
        <x:v>Unsupported</x:v>
      </x:c>
      <x:c r="L493" s="12" t="str">
        <x:v>Device family alone is insufficient for governed relationship.</x:v>
      </x:c>
    </x:row>
    <x:row r="494">
      <x:c r="A494" s="12" t="str">
        <x:v>EVID-UNS-000179</x:v>
      </x:c>
      <x:c r="B494" s="6" t="str">
        <x:v>UNS000179</x:v>
      </x:c>
      <x:c r="C494" s="6" t="str">
        <x:v>SVC000179</x:v>
      </x:c>
      <x:c r="D494" s="12" t="str">
        <x:v>Unsupported Relationship</x:v>
      </x:c>
      <x:c r="E494" s="6" t="str">
        <x:v>Nocturnix_Master_Compatibility_Catalog_v1.xlsx</x:v>
      </x:c>
      <x:c r="F494" s="6" t="str">
        <x:v>01 - Compatibility Records</x:v>
      </x:c>
      <x:c r="G494" s="6" t="n">
        <x:v>219</x:v>
      </x:c>
      <x:c r="H494" s="12" t="str">
        <x:v>PHN</x:v>
      </x:c>
      <x:c r="I494" s="12" t="str">
        <x:v>phn</x:v>
      </x:c>
      <x:c r="J494" s="6" t="str"/>
      <x:c r="K494" s="12" t="str">
        <x:v>Unsupported</x:v>
      </x:c>
      <x:c r="L494" s="12" t="str">
        <x:v>Device family alone is insufficient for governed relationship.</x:v>
      </x:c>
    </x:row>
    <x:row r="495">
      <x:c r="A495" s="12" t="str">
        <x:v>EVID-UNS-000180</x:v>
      </x:c>
      <x:c r="B495" s="6" t="str">
        <x:v>UNS000180</x:v>
      </x:c>
      <x:c r="C495" s="6" t="str">
        <x:v>SVC000180</x:v>
      </x:c>
      <x:c r="D495" s="12" t="str">
        <x:v>Unsupported Relationship</x:v>
      </x:c>
      <x:c r="E495" s="6" t="str">
        <x:v>Nocturnix_Master_Compatibility_Catalog_v1.xlsx</x:v>
      </x:c>
      <x:c r="F495" s="6" t="str">
        <x:v>01 - Compatibility Records</x:v>
      </x:c>
      <x:c r="G495" s="6" t="n">
        <x:v>220</x:v>
      </x:c>
      <x:c r="H495" s="12" t="str">
        <x:v>PHN</x:v>
      </x:c>
      <x:c r="I495" s="12" t="str">
        <x:v>phn</x:v>
      </x:c>
      <x:c r="J495" s="6" t="str"/>
      <x:c r="K495" s="12" t="str">
        <x:v>Unsupported</x:v>
      </x:c>
      <x:c r="L495" s="12" t="str">
        <x:v>Device family alone is insufficient for governed relationship.</x:v>
      </x:c>
    </x:row>
    <x:row r="496">
      <x:c r="A496" s="12" t="str">
        <x:v>EVID-UNS-000181</x:v>
      </x:c>
      <x:c r="B496" s="6" t="str">
        <x:v>UNS000181</x:v>
      </x:c>
      <x:c r="C496" s="6" t="str">
        <x:v>SVC000181</x:v>
      </x:c>
      <x:c r="D496" s="12" t="str">
        <x:v>Unsupported Relationship</x:v>
      </x:c>
      <x:c r="E496" s="6" t="str">
        <x:v>Nocturnix_Master_Compatibility_Catalog_v1.xlsx</x:v>
      </x:c>
      <x:c r="F496" s="6" t="str">
        <x:v>01 - Compatibility Records</x:v>
      </x:c>
      <x:c r="G496" s="6" t="n">
        <x:v>221</x:v>
      </x:c>
      <x:c r="H496" s="12" t="str">
        <x:v>PHN</x:v>
      </x:c>
      <x:c r="I496" s="12" t="str">
        <x:v>phn</x:v>
      </x:c>
      <x:c r="J496" s="6" t="str"/>
      <x:c r="K496" s="12" t="str">
        <x:v>Unsupported</x:v>
      </x:c>
      <x:c r="L496" s="12" t="str">
        <x:v>Device family alone is insufficient for governed relationship.</x:v>
      </x:c>
    </x:row>
    <x:row r="497">
      <x:c r="A497" s="12" t="str">
        <x:v>EVID-UNS-000182</x:v>
      </x:c>
      <x:c r="B497" s="6" t="str">
        <x:v>UNS000182</x:v>
      </x:c>
      <x:c r="C497" s="6" t="str">
        <x:v>SVC000182</x:v>
      </x:c>
      <x:c r="D497" s="12" t="str">
        <x:v>Unsupported Relationship</x:v>
      </x:c>
      <x:c r="E497" s="6" t="str">
        <x:v>Nocturnix_Master_Compatibility_Catalog_v1.xlsx</x:v>
      </x:c>
      <x:c r="F497" s="6" t="str">
        <x:v>01 - Compatibility Records</x:v>
      </x:c>
      <x:c r="G497" s="6" t="n">
        <x:v>222</x:v>
      </x:c>
      <x:c r="H497" s="12" t="str">
        <x:v>PHN</x:v>
      </x:c>
      <x:c r="I497" s="12" t="str">
        <x:v>phn</x:v>
      </x:c>
      <x:c r="J497" s="6" t="str"/>
      <x:c r="K497" s="12" t="str">
        <x:v>Unsupported</x:v>
      </x:c>
      <x:c r="L497" s="12" t="str">
        <x:v>Device family alone is insufficient for governed relationship.</x:v>
      </x:c>
    </x:row>
    <x:row r="498">
      <x:c r="A498" s="12" t="str">
        <x:v>EVID-UNS-000183</x:v>
      </x:c>
      <x:c r="B498" s="6" t="str">
        <x:v>UNS000183</x:v>
      </x:c>
      <x:c r="C498" s="6" t="str">
        <x:v>SVC000183</x:v>
      </x:c>
      <x:c r="D498" s="12" t="str">
        <x:v>Unsupported Relationship</x:v>
      </x:c>
      <x:c r="E498" s="6" t="str">
        <x:v>Nocturnix_Master_Compatibility_Catalog_v1.xlsx</x:v>
      </x:c>
      <x:c r="F498" s="6" t="str">
        <x:v>01 - Compatibility Records</x:v>
      </x:c>
      <x:c r="G498" s="6" t="n">
        <x:v>223</x:v>
      </x:c>
      <x:c r="H498" s="12" t="str">
        <x:v>PHN</x:v>
      </x:c>
      <x:c r="I498" s="12" t="str">
        <x:v>phn</x:v>
      </x:c>
      <x:c r="J498" s="6" t="str"/>
      <x:c r="K498" s="12" t="str">
        <x:v>Unsupported</x:v>
      </x:c>
      <x:c r="L498" s="12" t="str">
        <x:v>Device family alone is insufficient for governed relationship.</x:v>
      </x:c>
    </x:row>
    <x:row r="499">
      <x:c r="A499" s="12" t="str">
        <x:v>EVID-UNS-000184</x:v>
      </x:c>
      <x:c r="B499" s="6" t="str">
        <x:v>UNS000184</x:v>
      </x:c>
      <x:c r="C499" s="6" t="str">
        <x:v>SVC000184</x:v>
      </x:c>
      <x:c r="D499" s="12" t="str">
        <x:v>Unsupported Relationship</x:v>
      </x:c>
      <x:c r="E499" s="6" t="str">
        <x:v>Nocturnix_Master_Compatibility_Catalog_v1.xlsx</x:v>
      </x:c>
      <x:c r="F499" s="6" t="str">
        <x:v>01 - Compatibility Records</x:v>
      </x:c>
      <x:c r="G499" s="6" t="n">
        <x:v>224</x:v>
      </x:c>
      <x:c r="H499" s="12" t="str">
        <x:v>PHN</x:v>
      </x:c>
      <x:c r="I499" s="12" t="str">
        <x:v>phn</x:v>
      </x:c>
      <x:c r="J499" s="6" t="str"/>
      <x:c r="K499" s="12" t="str">
        <x:v>Unsupported</x:v>
      </x:c>
      <x:c r="L499" s="12" t="str">
        <x:v>Device family alone is insufficient for governed relationship.</x:v>
      </x:c>
    </x:row>
    <x:row r="500">
      <x:c r="A500" s="12" t="str">
        <x:v>EVID-UNS-000185</x:v>
      </x:c>
      <x:c r="B500" s="6" t="str">
        <x:v>UNS000185</x:v>
      </x:c>
      <x:c r="C500" s="6" t="str">
        <x:v>SVC000185</x:v>
      </x:c>
      <x:c r="D500" s="12" t="str">
        <x:v>Unsupported Relationship</x:v>
      </x:c>
      <x:c r="E500" s="6" t="str">
        <x:v>Nocturnix_Master_Compatibility_Catalog_v1.xlsx</x:v>
      </x:c>
      <x:c r="F500" s="6" t="str">
        <x:v>01 - Compatibility Records</x:v>
      </x:c>
      <x:c r="G500" s="6" t="n">
        <x:v>225</x:v>
      </x:c>
      <x:c r="H500" s="12" t="str">
        <x:v>PHN</x:v>
      </x:c>
      <x:c r="I500" s="12" t="str">
        <x:v>phn</x:v>
      </x:c>
      <x:c r="J500" s="6" t="str"/>
      <x:c r="K500" s="12" t="str">
        <x:v>Unsupported</x:v>
      </x:c>
      <x:c r="L500" s="12" t="str">
        <x:v>Device family alone is insufficient for governed relationship.</x:v>
      </x:c>
    </x:row>
    <x:row r="501">
      <x:c r="A501" s="12" t="str">
        <x:v>EVID-UNS-000186</x:v>
      </x:c>
      <x:c r="B501" s="6" t="str">
        <x:v>UNS000186</x:v>
      </x:c>
      <x:c r="C501" s="6" t="str">
        <x:v>SVC000186</x:v>
      </x:c>
      <x:c r="D501" s="12" t="str">
        <x:v>Unsupported Relationship</x:v>
      </x:c>
      <x:c r="E501" s="6" t="str">
        <x:v>Nocturnix_Master_Compatibility_Catalog_v1.xlsx</x:v>
      </x:c>
      <x:c r="F501" s="6" t="str">
        <x:v>01 - Compatibility Records</x:v>
      </x:c>
      <x:c r="G501" s="6" t="n">
        <x:v>226</x:v>
      </x:c>
      <x:c r="H501" s="12" t="str">
        <x:v>PHN</x:v>
      </x:c>
      <x:c r="I501" s="12" t="str">
        <x:v>phn</x:v>
      </x:c>
      <x:c r="J501" s="6" t="str"/>
      <x:c r="K501" s="12" t="str">
        <x:v>Unsupported</x:v>
      </x:c>
      <x:c r="L501" s="12" t="str">
        <x:v>Device family alone is insufficient for governed relationship.</x:v>
      </x:c>
    </x:row>
    <x:row r="502">
      <x:c r="A502" s="12" t="str">
        <x:v>EVID-UNS-000187</x:v>
      </x:c>
      <x:c r="B502" s="6" t="str">
        <x:v>UNS000187</x:v>
      </x:c>
      <x:c r="C502" s="6" t="str">
        <x:v>SVC000187</x:v>
      </x:c>
      <x:c r="D502" s="12" t="str">
        <x:v>Unsupported Relationship</x:v>
      </x:c>
      <x:c r="E502" s="6" t="str">
        <x:v>Nocturnix_Master_Compatibility_Catalog_v1.xlsx</x:v>
      </x:c>
      <x:c r="F502" s="6" t="str">
        <x:v>01 - Compatibility Records</x:v>
      </x:c>
      <x:c r="G502" s="6" t="n">
        <x:v>227</x:v>
      </x:c>
      <x:c r="H502" s="12" t="str">
        <x:v>PHN</x:v>
      </x:c>
      <x:c r="I502" s="12" t="str">
        <x:v>phn</x:v>
      </x:c>
      <x:c r="J502" s="6" t="str"/>
      <x:c r="K502" s="12" t="str">
        <x:v>Unsupported</x:v>
      </x:c>
      <x:c r="L502" s="12" t="str">
        <x:v>Device family alone is insufficient for governed relationship.</x:v>
      </x:c>
    </x:row>
    <x:row r="503">
      <x:c r="A503" s="12" t="str">
        <x:v>EVID-UNS-000188</x:v>
      </x:c>
      <x:c r="B503" s="6" t="str">
        <x:v>UNS000188</x:v>
      </x:c>
      <x:c r="C503" s="6" t="str">
        <x:v>SVC000188</x:v>
      </x:c>
      <x:c r="D503" s="12" t="str">
        <x:v>Unsupported Relationship</x:v>
      </x:c>
      <x:c r="E503" s="6" t="str">
        <x:v>Nocturnix_Master_Compatibility_Catalog_v1.xlsx</x:v>
      </x:c>
      <x:c r="F503" s="6" t="str">
        <x:v>01 - Compatibility Records</x:v>
      </x:c>
      <x:c r="G503" s="6" t="n">
        <x:v>228</x:v>
      </x:c>
      <x:c r="H503" s="12" t="str">
        <x:v>PHN</x:v>
      </x:c>
      <x:c r="I503" s="12" t="str">
        <x:v>phn</x:v>
      </x:c>
      <x:c r="J503" s="6" t="str"/>
      <x:c r="K503" s="12" t="str">
        <x:v>Unsupported</x:v>
      </x:c>
      <x:c r="L503" s="12" t="str">
        <x:v>Device family alone is insufficient for governed relationship.</x:v>
      </x:c>
    </x:row>
    <x:row r="504">
      <x:c r="A504" s="12" t="str">
        <x:v>EVID-UNS-000189</x:v>
      </x:c>
      <x:c r="B504" s="6" t="str">
        <x:v>UNS000189</x:v>
      </x:c>
      <x:c r="C504" s="6" t="str">
        <x:v>SVC000189</x:v>
      </x:c>
      <x:c r="D504" s="12" t="str">
        <x:v>Unsupported Relationship</x:v>
      </x:c>
      <x:c r="E504" s="6" t="str">
        <x:v>Nocturnix_Master_Compatibility_Catalog_v1.xlsx</x:v>
      </x:c>
      <x:c r="F504" s="6" t="str">
        <x:v>01 - Compatibility Records</x:v>
      </x:c>
      <x:c r="G504" s="6" t="n">
        <x:v>229</x:v>
      </x:c>
      <x:c r="H504" s="12" t="str">
        <x:v>PHN</x:v>
      </x:c>
      <x:c r="I504" s="12" t="str">
        <x:v>phn</x:v>
      </x:c>
      <x:c r="J504" s="6" t="str"/>
      <x:c r="K504" s="12" t="str">
        <x:v>Unsupported</x:v>
      </x:c>
      <x:c r="L504" s="12" t="str">
        <x:v>Device family alone is insufficient for governed relationship.</x:v>
      </x:c>
    </x:row>
    <x:row r="505">
      <x:c r="A505" s="12" t="str">
        <x:v>EVID-UNS-000190</x:v>
      </x:c>
      <x:c r="B505" s="6" t="str">
        <x:v>UNS000190</x:v>
      </x:c>
      <x:c r="C505" s="6" t="str">
        <x:v>SVC000190</x:v>
      </x:c>
      <x:c r="D505" s="12" t="str">
        <x:v>Unsupported Relationship</x:v>
      </x:c>
      <x:c r="E505" s="6" t="str">
        <x:v>Nocturnix_Master_Compatibility_Catalog_v1.xlsx</x:v>
      </x:c>
      <x:c r="F505" s="6" t="str">
        <x:v>01 - Compatibility Records</x:v>
      </x:c>
      <x:c r="G505" s="6" t="n">
        <x:v>230</x:v>
      </x:c>
      <x:c r="H505" s="12" t="str">
        <x:v>PHN</x:v>
      </x:c>
      <x:c r="I505" s="12" t="str">
        <x:v>phn</x:v>
      </x:c>
      <x:c r="J505" s="6" t="str"/>
      <x:c r="K505" s="12" t="str">
        <x:v>Unsupported</x:v>
      </x:c>
      <x:c r="L505" s="12" t="str">
        <x:v>Device family alone is insufficient for governed relationship.</x:v>
      </x:c>
    </x:row>
    <x:row r="506">
      <x:c r="A506" s="12" t="str">
        <x:v>EVID-UNS-000191</x:v>
      </x:c>
      <x:c r="B506" s="6" t="str">
        <x:v>UNS000191</x:v>
      </x:c>
      <x:c r="C506" s="6" t="str">
        <x:v>SVC000191</x:v>
      </x:c>
      <x:c r="D506" s="12" t="str">
        <x:v>Unsupported Relationship</x:v>
      </x:c>
      <x:c r="E506" s="6" t="str">
        <x:v>Nocturnix_Master_Compatibility_Catalog_v1.xlsx</x:v>
      </x:c>
      <x:c r="F506" s="6" t="str">
        <x:v>01 - Compatibility Records</x:v>
      </x:c>
      <x:c r="G506" s="6" t="n">
        <x:v>231</x:v>
      </x:c>
      <x:c r="H506" s="12" t="str">
        <x:v>PHN</x:v>
      </x:c>
      <x:c r="I506" s="12" t="str">
        <x:v>phn</x:v>
      </x:c>
      <x:c r="J506" s="6" t="str"/>
      <x:c r="K506" s="12" t="str">
        <x:v>Unsupported</x:v>
      </x:c>
      <x:c r="L506" s="12" t="str">
        <x:v>Device family alone is insufficient for governed relationship.</x:v>
      </x:c>
    </x:row>
    <x:row r="507">
      <x:c r="A507" s="12" t="str">
        <x:v>EVID-UNS-000192</x:v>
      </x:c>
      <x:c r="B507" s="6" t="str">
        <x:v>UNS000192</x:v>
      </x:c>
      <x:c r="C507" s="6" t="str">
        <x:v>SVC000192</x:v>
      </x:c>
      <x:c r="D507" s="12" t="str">
        <x:v>Unsupported Relationship</x:v>
      </x:c>
      <x:c r="E507" s="6" t="str">
        <x:v>Nocturnix_Master_Compatibility_Catalog_v1.xlsx</x:v>
      </x:c>
      <x:c r="F507" s="6" t="str">
        <x:v>01 - Compatibility Records</x:v>
      </x:c>
      <x:c r="G507" s="6" t="n">
        <x:v>232</x:v>
      </x:c>
      <x:c r="H507" s="12" t="str">
        <x:v>PHN</x:v>
      </x:c>
      <x:c r="I507" s="12" t="str">
        <x:v>phn</x:v>
      </x:c>
      <x:c r="J507" s="6" t="str"/>
      <x:c r="K507" s="12" t="str">
        <x:v>Unsupported</x:v>
      </x:c>
      <x:c r="L507" s="12" t="str">
        <x:v>Device family alone is insufficient for governed relationship.</x:v>
      </x:c>
    </x:row>
    <x:row r="508">
      <x:c r="A508" s="12" t="str">
        <x:v>EVID-UNS-000193</x:v>
      </x:c>
      <x:c r="B508" s="6" t="str">
        <x:v>UNS000193</x:v>
      </x:c>
      <x:c r="C508" s="6" t="str">
        <x:v>SVC000193</x:v>
      </x:c>
      <x:c r="D508" s="12" t="str">
        <x:v>Unsupported Relationship</x:v>
      </x:c>
      <x:c r="E508" s="6" t="str">
        <x:v>Nocturnix_Master_Compatibility_Catalog_v1.xlsx</x:v>
      </x:c>
      <x:c r="F508" s="6" t="str">
        <x:v>01 - Compatibility Records</x:v>
      </x:c>
      <x:c r="G508" s="6" t="n">
        <x:v>233</x:v>
      </x:c>
      <x:c r="H508" s="12" t="str">
        <x:v>PHN</x:v>
      </x:c>
      <x:c r="I508" s="12" t="str">
        <x:v>phn</x:v>
      </x:c>
      <x:c r="J508" s="6" t="str"/>
      <x:c r="K508" s="12" t="str">
        <x:v>Unsupported</x:v>
      </x:c>
      <x:c r="L508" s="12" t="str">
        <x:v>Device family alone is insufficient for governed relationship.</x:v>
      </x:c>
    </x:row>
    <x:row r="509">
      <x:c r="A509" s="12" t="str">
        <x:v>EVID-UNS-000194</x:v>
      </x:c>
      <x:c r="B509" s="6" t="str">
        <x:v>UNS000194</x:v>
      </x:c>
      <x:c r="C509" s="6" t="str">
        <x:v>SVC000194</x:v>
      </x:c>
      <x:c r="D509" s="12" t="str">
        <x:v>Unsupported Relationship</x:v>
      </x:c>
      <x:c r="E509" s="6" t="str">
        <x:v>Nocturnix_Master_Compatibility_Catalog_v1.xlsx</x:v>
      </x:c>
      <x:c r="F509" s="6" t="str">
        <x:v>01 - Compatibility Records</x:v>
      </x:c>
      <x:c r="G509" s="6" t="n">
        <x:v>234</x:v>
      </x:c>
      <x:c r="H509" s="12" t="str">
        <x:v>PHN</x:v>
      </x:c>
      <x:c r="I509" s="12" t="str">
        <x:v>phn</x:v>
      </x:c>
      <x:c r="J509" s="6" t="str"/>
      <x:c r="K509" s="12" t="str">
        <x:v>Unsupported</x:v>
      </x:c>
      <x:c r="L509" s="12" t="str">
        <x:v>Device family alone is insufficient for governed relationship.</x:v>
      </x:c>
    </x:row>
    <x:row r="510">
      <x:c r="A510" s="12" t="str">
        <x:v>EVID-UNS-000195</x:v>
      </x:c>
      <x:c r="B510" s="6" t="str">
        <x:v>UNS000195</x:v>
      </x:c>
      <x:c r="C510" s="6" t="str">
        <x:v>SVC000195</x:v>
      </x:c>
      <x:c r="D510" s="12" t="str">
        <x:v>Unsupported Relationship</x:v>
      </x:c>
      <x:c r="E510" s="6" t="str">
        <x:v>Nocturnix_Master_Compatibility_Catalog_v1.xlsx</x:v>
      </x:c>
      <x:c r="F510" s="6" t="str">
        <x:v>01 - Compatibility Records</x:v>
      </x:c>
      <x:c r="G510" s="6" t="n">
        <x:v>235</x:v>
      </x:c>
      <x:c r="H510" s="12" t="str">
        <x:v>PHN</x:v>
      </x:c>
      <x:c r="I510" s="12" t="str">
        <x:v>phn</x:v>
      </x:c>
      <x:c r="J510" s="6" t="str"/>
      <x:c r="K510" s="12" t="str">
        <x:v>Unsupported</x:v>
      </x:c>
      <x:c r="L510" s="12" t="str">
        <x:v>Device family alone is insufficient for governed relationship.</x:v>
      </x:c>
    </x:row>
    <x:row r="511">
      <x:c r="A511" s="12" t="str">
        <x:v>EVID-UNS-000196</x:v>
      </x:c>
      <x:c r="B511" s="6" t="str">
        <x:v>UNS000196</x:v>
      </x:c>
      <x:c r="C511" s="6" t="str">
        <x:v>SVC000196</x:v>
      </x:c>
      <x:c r="D511" s="12" t="str">
        <x:v>Unsupported Relationship</x:v>
      </x:c>
      <x:c r="E511" s="6" t="str">
        <x:v>Nocturnix_Master_Compatibility_Catalog_v1.xlsx</x:v>
      </x:c>
      <x:c r="F511" s="6" t="str">
        <x:v>01 - Compatibility Records</x:v>
      </x:c>
      <x:c r="G511" s="6" t="n">
        <x:v>236</x:v>
      </x:c>
      <x:c r="H511" s="12" t="str">
        <x:v>PHN</x:v>
      </x:c>
      <x:c r="I511" s="12" t="str">
        <x:v>phn</x:v>
      </x:c>
      <x:c r="J511" s="6" t="str"/>
      <x:c r="K511" s="12" t="str">
        <x:v>Unsupported</x:v>
      </x:c>
      <x:c r="L511" s="12" t="str">
        <x:v>Device family alone is insufficient for governed relationship.</x:v>
      </x:c>
    </x:row>
    <x:row r="512">
      <x:c r="A512" s="12" t="str">
        <x:v>EVID-UNS-000197</x:v>
      </x:c>
      <x:c r="B512" s="6" t="str">
        <x:v>UNS000197</x:v>
      </x:c>
      <x:c r="C512" s="6" t="str">
        <x:v>SVC000197</x:v>
      </x:c>
      <x:c r="D512" s="12" t="str">
        <x:v>Unsupported Relationship</x:v>
      </x:c>
      <x:c r="E512" s="6" t="str">
        <x:v>Nocturnix_Master_Compatibility_Catalog_v1.xlsx</x:v>
      </x:c>
      <x:c r="F512" s="6" t="str">
        <x:v>01 - Compatibility Records</x:v>
      </x:c>
      <x:c r="G512" s="6" t="n">
        <x:v>237</x:v>
      </x:c>
      <x:c r="H512" s="12" t="str">
        <x:v>PHN</x:v>
      </x:c>
      <x:c r="I512" s="12" t="str">
        <x:v>phn</x:v>
      </x:c>
      <x:c r="J512" s="6" t="str"/>
      <x:c r="K512" s="12" t="str">
        <x:v>Unsupported</x:v>
      </x:c>
      <x:c r="L512" s="12" t="str">
        <x:v>Device family alone is insufficient for governed relationship.</x:v>
      </x:c>
    </x:row>
    <x:row r="513">
      <x:c r="A513" s="12" t="str">
        <x:v>EVID-UNS-000198</x:v>
      </x:c>
      <x:c r="B513" s="6" t="str">
        <x:v>UNS000198</x:v>
      </x:c>
      <x:c r="C513" s="6" t="str">
        <x:v>SVC000198</x:v>
      </x:c>
      <x:c r="D513" s="12" t="str">
        <x:v>Unsupported Relationship</x:v>
      </x:c>
      <x:c r="E513" s="6" t="str">
        <x:v>Nocturnix_Master_Compatibility_Catalog_v1.xlsx</x:v>
      </x:c>
      <x:c r="F513" s="6" t="str">
        <x:v>01 - Compatibility Records</x:v>
      </x:c>
      <x:c r="G513" s="6" t="n">
        <x:v>238</x:v>
      </x:c>
      <x:c r="H513" s="12" t="str">
        <x:v>PHN</x:v>
      </x:c>
      <x:c r="I513" s="12" t="str">
        <x:v>phn</x:v>
      </x:c>
      <x:c r="J513" s="6" t="str"/>
      <x:c r="K513" s="12" t="str">
        <x:v>Unsupported</x:v>
      </x:c>
      <x:c r="L513" s="12" t="str">
        <x:v>Device family alone is insufficient for governed relationship.</x:v>
      </x:c>
    </x:row>
    <x:row r="514">
      <x:c r="A514" s="12" t="str">
        <x:v>EVID-UNS-000199</x:v>
      </x:c>
      <x:c r="B514" s="6" t="str">
        <x:v>UNS000199</x:v>
      </x:c>
      <x:c r="C514" s="6" t="str">
        <x:v>SVC000199</x:v>
      </x:c>
      <x:c r="D514" s="12" t="str">
        <x:v>Unsupported Relationship</x:v>
      </x:c>
      <x:c r="E514" s="6" t="str">
        <x:v>Nocturnix_Master_Compatibility_Catalog_v1.xlsx</x:v>
      </x:c>
      <x:c r="F514" s="6" t="str">
        <x:v>01 - Compatibility Records</x:v>
      </x:c>
      <x:c r="G514" s="6" t="n">
        <x:v>239</x:v>
      </x:c>
      <x:c r="H514" s="12" t="str">
        <x:v>PHN</x:v>
      </x:c>
      <x:c r="I514" s="12" t="str">
        <x:v>phn</x:v>
      </x:c>
      <x:c r="J514" s="6" t="str"/>
      <x:c r="K514" s="12" t="str">
        <x:v>Unsupported</x:v>
      </x:c>
      <x:c r="L514" s="12" t="str">
        <x:v>Device family alone is insufficient for governed relationship.</x:v>
      </x:c>
    </x:row>
    <x:row r="515">
      <x:c r="A515" s="12" t="str">
        <x:v>EVID-UNS-000200</x:v>
      </x:c>
      <x:c r="B515" s="6" t="str">
        <x:v>UNS000200</x:v>
      </x:c>
      <x:c r="C515" s="6" t="str">
        <x:v>SVC000200</x:v>
      </x:c>
      <x:c r="D515" s="12" t="str">
        <x:v>Unsupported Relationship</x:v>
      </x:c>
      <x:c r="E515" s="6" t="str">
        <x:v>Nocturnix_Master_Compatibility_Catalog_v1.xlsx</x:v>
      </x:c>
      <x:c r="F515" s="6" t="str">
        <x:v>01 - Compatibility Records</x:v>
      </x:c>
      <x:c r="G515" s="6" t="n">
        <x:v>240</x:v>
      </x:c>
      <x:c r="H515" s="12" t="str">
        <x:v>PHN</x:v>
      </x:c>
      <x:c r="I515" s="12" t="str">
        <x:v>phn</x:v>
      </x:c>
      <x:c r="J515" s="6" t="str"/>
      <x:c r="K515" s="12" t="str">
        <x:v>Unsupported</x:v>
      </x:c>
      <x:c r="L515" s="12" t="str">
        <x:v>Device family alone is insufficient for governed relationship.</x:v>
      </x:c>
    </x:row>
    <x:row r="516">
      <x:c r="A516" s="12" t="str">
        <x:v>EVID-UNS-000201</x:v>
      </x:c>
      <x:c r="B516" s="6" t="str">
        <x:v>UNS000201</x:v>
      </x:c>
      <x:c r="C516" s="6" t="str">
        <x:v>SVC000201</x:v>
      </x:c>
      <x:c r="D516" s="12" t="str">
        <x:v>Unsupported Relationship</x:v>
      </x:c>
      <x:c r="E516" s="6" t="str">
        <x:v>Nocturnix_Master_Compatibility_Catalog_v1.xlsx</x:v>
      </x:c>
      <x:c r="F516" s="6" t="str">
        <x:v>01 - Compatibility Records</x:v>
      </x:c>
      <x:c r="G516" s="6" t="n">
        <x:v>241</x:v>
      </x:c>
      <x:c r="H516" s="12" t="str">
        <x:v>PHN</x:v>
      </x:c>
      <x:c r="I516" s="12" t="str">
        <x:v>phn</x:v>
      </x:c>
      <x:c r="J516" s="6" t="str"/>
      <x:c r="K516" s="12" t="str">
        <x:v>Unsupported</x:v>
      </x:c>
      <x:c r="L516" s="12" t="str">
        <x:v>Device family alone is insufficient for governed relationship.</x:v>
      </x:c>
    </x:row>
    <x:row r="517">
      <x:c r="A517" s="12" t="str">
        <x:v>EVID-UNS-000202</x:v>
      </x:c>
      <x:c r="B517" s="6" t="str">
        <x:v>UNS000202</x:v>
      </x:c>
      <x:c r="C517" s="6" t="str">
        <x:v>SVC000202</x:v>
      </x:c>
      <x:c r="D517" s="12" t="str">
        <x:v>Unsupported Relationship</x:v>
      </x:c>
      <x:c r="E517" s="6" t="str">
        <x:v>Nocturnix_Master_Compatibility_Catalog_v1.xlsx</x:v>
      </x:c>
      <x:c r="F517" s="6" t="str">
        <x:v>01 - Compatibility Records</x:v>
      </x:c>
      <x:c r="G517" s="6" t="n">
        <x:v>242</x:v>
      </x:c>
      <x:c r="H517" s="12" t="str">
        <x:v>PHN</x:v>
      </x:c>
      <x:c r="I517" s="12" t="str">
        <x:v>phn</x:v>
      </x:c>
      <x:c r="J517" s="6" t="str"/>
      <x:c r="K517" s="12" t="str">
        <x:v>Unsupported</x:v>
      </x:c>
      <x:c r="L517" s="12" t="str">
        <x:v>Device family alone is insufficient for governed relationship.</x:v>
      </x:c>
    </x:row>
    <x:row r="518">
      <x:c r="A518" s="12" t="str">
        <x:v>EVID-UNS-000203</x:v>
      </x:c>
      <x:c r="B518" s="6" t="str">
        <x:v>UNS000203</x:v>
      </x:c>
      <x:c r="C518" s="6" t="str">
        <x:v>SVC000203</x:v>
      </x:c>
      <x:c r="D518" s="12" t="str">
        <x:v>Unsupported Relationship</x:v>
      </x:c>
      <x:c r="E518" s="6" t="str">
        <x:v>Nocturnix_Master_Compatibility_Catalog_v1.xlsx</x:v>
      </x:c>
      <x:c r="F518" s="6" t="str">
        <x:v>01 - Compatibility Records</x:v>
      </x:c>
      <x:c r="G518" s="6" t="n">
        <x:v>243</x:v>
      </x:c>
      <x:c r="H518" s="12" t="str">
        <x:v>PHN</x:v>
      </x:c>
      <x:c r="I518" s="12" t="str">
        <x:v>phn</x:v>
      </x:c>
      <x:c r="J518" s="6" t="str"/>
      <x:c r="K518" s="12" t="str">
        <x:v>Unsupported</x:v>
      </x:c>
      <x:c r="L518" s="12" t="str">
        <x:v>Device family alone is insufficient for governed relationship.</x:v>
      </x:c>
    </x:row>
    <x:row r="519">
      <x:c r="A519" s="12" t="str">
        <x:v>EVID-UNS-000204</x:v>
      </x:c>
      <x:c r="B519" s="6" t="str">
        <x:v>UNS000204</x:v>
      </x:c>
      <x:c r="C519" s="6" t="str">
        <x:v>SVC000204</x:v>
      </x:c>
      <x:c r="D519" s="12" t="str">
        <x:v>Unsupported Relationship</x:v>
      </x:c>
      <x:c r="E519" s="6" t="str">
        <x:v>Nocturnix_Master_Compatibility_Catalog_v1.xlsx</x:v>
      </x:c>
      <x:c r="F519" s="6" t="str">
        <x:v>01 - Compatibility Records</x:v>
      </x:c>
      <x:c r="G519" s="6" t="n">
        <x:v>244</x:v>
      </x:c>
      <x:c r="H519" s="12" t="str">
        <x:v>PHN</x:v>
      </x:c>
      <x:c r="I519" s="12" t="str">
        <x:v>phn</x:v>
      </x:c>
      <x:c r="J519" s="6" t="str"/>
      <x:c r="K519" s="12" t="str">
        <x:v>Unsupported</x:v>
      </x:c>
      <x:c r="L519" s="12" t="str">
        <x:v>Device family alone is insufficient for governed relationship.</x:v>
      </x:c>
    </x:row>
    <x:row r="520">
      <x:c r="A520" s="12" t="str">
        <x:v>EVID-UNS-000205</x:v>
      </x:c>
      <x:c r="B520" s="6" t="str">
        <x:v>UNS000205</x:v>
      </x:c>
      <x:c r="C520" s="6" t="str">
        <x:v>SVC000205</x:v>
      </x:c>
      <x:c r="D520" s="12" t="str">
        <x:v>Unsupported Relationship</x:v>
      </x:c>
      <x:c r="E520" s="6" t="str">
        <x:v>Nocturnix_Master_Compatibility_Catalog_v1.xlsx</x:v>
      </x:c>
      <x:c r="F520" s="6" t="str">
        <x:v>01 - Compatibility Records</x:v>
      </x:c>
      <x:c r="G520" s="6" t="n">
        <x:v>245</x:v>
      </x:c>
      <x:c r="H520" s="12" t="str">
        <x:v>PHN</x:v>
      </x:c>
      <x:c r="I520" s="12" t="str">
        <x:v>phn</x:v>
      </x:c>
      <x:c r="J520" s="6" t="str"/>
      <x:c r="K520" s="12" t="str">
        <x:v>Unsupported</x:v>
      </x:c>
      <x:c r="L520" s="12" t="str">
        <x:v>Device family alone is insufficient for governed relationship.</x:v>
      </x:c>
    </x:row>
    <x:row r="521">
      <x:c r="A521" s="12" t="str">
        <x:v>EVID-UNS-000206</x:v>
      </x:c>
      <x:c r="B521" s="6" t="str">
        <x:v>UNS000206</x:v>
      </x:c>
      <x:c r="C521" s="6" t="str">
        <x:v>SVC000206</x:v>
      </x:c>
      <x:c r="D521" s="12" t="str">
        <x:v>Unsupported Relationship</x:v>
      </x:c>
      <x:c r="E521" s="6" t="str">
        <x:v>Nocturnix_Master_Compatibility_Catalog_v1.xlsx</x:v>
      </x:c>
      <x:c r="F521" s="6" t="str">
        <x:v>01 - Compatibility Records</x:v>
      </x:c>
      <x:c r="G521" s="6" t="n">
        <x:v>246</x:v>
      </x:c>
      <x:c r="H521" s="12" t="str">
        <x:v>PHN</x:v>
      </x:c>
      <x:c r="I521" s="12" t="str">
        <x:v>phn</x:v>
      </x:c>
      <x:c r="J521" s="6" t="str"/>
      <x:c r="K521" s="12" t="str">
        <x:v>Unsupported</x:v>
      </x:c>
      <x:c r="L521" s="12" t="str">
        <x:v>Device family alone is insufficient for governed relationship.</x:v>
      </x:c>
    </x:row>
    <x:row r="522">
      <x:c r="A522" s="12" t="str">
        <x:v>EVID-UNS-000207</x:v>
      </x:c>
      <x:c r="B522" s="6" t="str">
        <x:v>UNS000207</x:v>
      </x:c>
      <x:c r="C522" s="6" t="str">
        <x:v>SVC000207</x:v>
      </x:c>
      <x:c r="D522" s="12" t="str">
        <x:v>Unsupported Relationship</x:v>
      </x:c>
      <x:c r="E522" s="6" t="str">
        <x:v>Nocturnix_Master_Compatibility_Catalog_v1.xlsx</x:v>
      </x:c>
      <x:c r="F522" s="6" t="str">
        <x:v>01 - Compatibility Records</x:v>
      </x:c>
      <x:c r="G522" s="6" t="n">
        <x:v>247</x:v>
      </x:c>
      <x:c r="H522" s="12" t="str">
        <x:v>PHN</x:v>
      </x:c>
      <x:c r="I522" s="12" t="str">
        <x:v>phn</x:v>
      </x:c>
      <x:c r="J522" s="6" t="str"/>
      <x:c r="K522" s="12" t="str">
        <x:v>Unsupported</x:v>
      </x:c>
      <x:c r="L522" s="12" t="str">
        <x:v>Device family alone is insufficient for governed relationship.</x:v>
      </x:c>
    </x:row>
    <x:row r="523">
      <x:c r="A523" s="12" t="str">
        <x:v>EVID-UNS-000208</x:v>
      </x:c>
      <x:c r="B523" s="6" t="str">
        <x:v>UNS000208</x:v>
      </x:c>
      <x:c r="C523" s="6" t="str">
        <x:v>SVC000208</x:v>
      </x:c>
      <x:c r="D523" s="12" t="str">
        <x:v>Unsupported Relationship</x:v>
      </x:c>
      <x:c r="E523" s="6" t="str">
        <x:v>Nocturnix_Master_Compatibility_Catalog_v1.xlsx</x:v>
      </x:c>
      <x:c r="F523" s="6" t="str">
        <x:v>01 - Compatibility Records</x:v>
      </x:c>
      <x:c r="G523" s="6" t="n">
        <x:v>248</x:v>
      </x:c>
      <x:c r="H523" s="12" t="str">
        <x:v>PHN</x:v>
      </x:c>
      <x:c r="I523" s="12" t="str">
        <x:v>phn</x:v>
      </x:c>
      <x:c r="J523" s="6" t="str"/>
      <x:c r="K523" s="12" t="str">
        <x:v>Unsupported</x:v>
      </x:c>
      <x:c r="L523" s="12" t="str">
        <x:v>Device family alone is insufficient for governed relationship.</x:v>
      </x:c>
    </x:row>
    <x:row r="524">
      <x:c r="A524" s="12" t="str">
        <x:v>EVID-UNS-000209</x:v>
      </x:c>
      <x:c r="B524" s="6" t="str">
        <x:v>UNS000209</x:v>
      </x:c>
      <x:c r="C524" s="6" t="str">
        <x:v>SVC000209</x:v>
      </x:c>
      <x:c r="D524" s="12" t="str">
        <x:v>Unsupported Relationship</x:v>
      </x:c>
      <x:c r="E524" s="6" t="str">
        <x:v>Nocturnix_Master_Compatibility_Catalog_v1.xlsx</x:v>
      </x:c>
      <x:c r="F524" s="6" t="str">
        <x:v>01 - Compatibility Records</x:v>
      </x:c>
      <x:c r="G524" s="6" t="n">
        <x:v>249</x:v>
      </x:c>
      <x:c r="H524" s="12" t="str">
        <x:v>PHN</x:v>
      </x:c>
      <x:c r="I524" s="12" t="str">
        <x:v>phn</x:v>
      </x:c>
      <x:c r="J524" s="6" t="str"/>
      <x:c r="K524" s="12" t="str">
        <x:v>Unsupported</x:v>
      </x:c>
      <x:c r="L524" s="12" t="str">
        <x:v>Device family alone is insufficient for governed relationship.</x:v>
      </x:c>
    </x:row>
    <x:row r="525">
      <x:c r="A525" s="12" t="str">
        <x:v>EVID-UNS-000210</x:v>
      </x:c>
      <x:c r="B525" s="6" t="str">
        <x:v>UNS000210</x:v>
      </x:c>
      <x:c r="C525" s="6" t="str">
        <x:v>SVC000210</x:v>
      </x:c>
      <x:c r="D525" s="12" t="str">
        <x:v>Unsupported Relationship</x:v>
      </x:c>
      <x:c r="E525" s="6" t="str">
        <x:v>Nocturnix_Master_Compatibility_Catalog_v1.xlsx</x:v>
      </x:c>
      <x:c r="F525" s="6" t="str">
        <x:v>01 - Compatibility Records</x:v>
      </x:c>
      <x:c r="G525" s="6" t="n">
        <x:v>250</x:v>
      </x:c>
      <x:c r="H525" s="12" t="str">
        <x:v>PHN</x:v>
      </x:c>
      <x:c r="I525" s="12" t="str">
        <x:v>phn</x:v>
      </x:c>
      <x:c r="J525" s="6" t="str"/>
      <x:c r="K525" s="12" t="str">
        <x:v>Unsupported</x:v>
      </x:c>
      <x:c r="L525" s="12" t="str">
        <x:v>Device family alone is insufficient for governed relationship.</x:v>
      </x:c>
    </x:row>
    <x:row r="526">
      <x:c r="A526" s="12" t="str">
        <x:v>EVID-UNS-000211</x:v>
      </x:c>
      <x:c r="B526" s="6" t="str">
        <x:v>UNS000211</x:v>
      </x:c>
      <x:c r="C526" s="6" t="str">
        <x:v>SVC000211</x:v>
      </x:c>
      <x:c r="D526" s="12" t="str">
        <x:v>Unsupported Relationship</x:v>
      </x:c>
      <x:c r="E526" s="6" t="str">
        <x:v>Nocturnix_Master_Compatibility_Catalog_v1.xlsx</x:v>
      </x:c>
      <x:c r="F526" s="6" t="str">
        <x:v>01 - Compatibility Records</x:v>
      </x:c>
      <x:c r="G526" s="6" t="n">
        <x:v>251</x:v>
      </x:c>
      <x:c r="H526" s="12" t="str">
        <x:v>PHN</x:v>
      </x:c>
      <x:c r="I526" s="12" t="str">
        <x:v>phn</x:v>
      </x:c>
      <x:c r="J526" s="6" t="str"/>
      <x:c r="K526" s="12" t="str">
        <x:v>Unsupported</x:v>
      </x:c>
      <x:c r="L526" s="12" t="str">
        <x:v>Device family alone is insufficient for governed relationship.</x:v>
      </x:c>
    </x:row>
    <x:row r="527">
      <x:c r="A527" s="12" t="str">
        <x:v>EVID-UNS-000212</x:v>
      </x:c>
      <x:c r="B527" s="6" t="str">
        <x:v>UNS000212</x:v>
      </x:c>
      <x:c r="C527" s="6" t="str">
        <x:v>SVC000212</x:v>
      </x:c>
      <x:c r="D527" s="12" t="str">
        <x:v>Unsupported Relationship</x:v>
      </x:c>
      <x:c r="E527" s="6" t="str">
        <x:v>Nocturnix_Master_Compatibility_Catalog_v1.xlsx</x:v>
      </x:c>
      <x:c r="F527" s="6" t="str">
        <x:v>01 - Compatibility Records</x:v>
      </x:c>
      <x:c r="G527" s="6" t="n">
        <x:v>252</x:v>
      </x:c>
      <x:c r="H527" s="12" t="str">
        <x:v>PHN</x:v>
      </x:c>
      <x:c r="I527" s="12" t="str">
        <x:v>phn</x:v>
      </x:c>
      <x:c r="J527" s="6" t="str"/>
      <x:c r="K527" s="12" t="str">
        <x:v>Unsupported</x:v>
      </x:c>
      <x:c r="L527" s="12" t="str">
        <x:v>Device family alone is insufficient for governed relationship.</x:v>
      </x:c>
    </x:row>
    <x:row r="528">
      <x:c r="A528" s="12" t="str">
        <x:v>EVID-UNS-000213</x:v>
      </x:c>
      <x:c r="B528" s="6" t="str">
        <x:v>UNS000213</x:v>
      </x:c>
      <x:c r="C528" s="6" t="str">
        <x:v>SVC000213</x:v>
      </x:c>
      <x:c r="D528" s="12" t="str">
        <x:v>Unsupported Relationship</x:v>
      </x:c>
      <x:c r="E528" s="6" t="str">
        <x:v>Nocturnix_Master_Compatibility_Catalog_v1.xlsx</x:v>
      </x:c>
      <x:c r="F528" s="6" t="str">
        <x:v>01 - Compatibility Records</x:v>
      </x:c>
      <x:c r="G528" s="6" t="n">
        <x:v>253</x:v>
      </x:c>
      <x:c r="H528" s="12" t="str">
        <x:v>PHN</x:v>
      </x:c>
      <x:c r="I528" s="12" t="str">
        <x:v>phn</x:v>
      </x:c>
      <x:c r="J528" s="6" t="str"/>
      <x:c r="K528" s="12" t="str">
        <x:v>Unsupported</x:v>
      </x:c>
      <x:c r="L528" s="12" t="str">
        <x:v>Device family alone is insufficient for governed relationship.</x:v>
      </x:c>
    </x:row>
    <x:row r="529">
      <x:c r="A529" s="12" t="str">
        <x:v>EVID-UNS-000214</x:v>
      </x:c>
      <x:c r="B529" s="6" t="str">
        <x:v>UNS000214</x:v>
      </x:c>
      <x:c r="C529" s="6" t="str">
        <x:v>SVC000214</x:v>
      </x:c>
      <x:c r="D529" s="12" t="str">
        <x:v>Unsupported Relationship</x:v>
      </x:c>
      <x:c r="E529" s="6" t="str">
        <x:v>Nocturnix_Master_Compatibility_Catalog_v1.xlsx</x:v>
      </x:c>
      <x:c r="F529" s="6" t="str">
        <x:v>01 - Compatibility Records</x:v>
      </x:c>
      <x:c r="G529" s="6" t="n">
        <x:v>254</x:v>
      </x:c>
      <x:c r="H529" s="12" t="str">
        <x:v>PHN</x:v>
      </x:c>
      <x:c r="I529" s="12" t="str">
        <x:v>phn</x:v>
      </x:c>
      <x:c r="J529" s="6" t="str"/>
      <x:c r="K529" s="12" t="str">
        <x:v>Unsupported</x:v>
      </x:c>
      <x:c r="L529" s="12" t="str">
        <x:v>Device family alone is insufficient for governed relationship.</x:v>
      </x:c>
    </x:row>
    <x:row r="530">
      <x:c r="A530" s="12" t="str">
        <x:v>EVID-UNS-000215</x:v>
      </x:c>
      <x:c r="B530" s="6" t="str">
        <x:v>UNS000215</x:v>
      </x:c>
      <x:c r="C530" s="6" t="str">
        <x:v>SVC000215</x:v>
      </x:c>
      <x:c r="D530" s="12" t="str">
        <x:v>Unsupported Relationship</x:v>
      </x:c>
      <x:c r="E530" s="6" t="str">
        <x:v>Nocturnix_Master_Compatibility_Catalog_v1.xlsx</x:v>
      </x:c>
      <x:c r="F530" s="6" t="str">
        <x:v>01 - Compatibility Records</x:v>
      </x:c>
      <x:c r="G530" s="6" t="n">
        <x:v>255</x:v>
      </x:c>
      <x:c r="H530" s="12" t="str">
        <x:v>PHN</x:v>
      </x:c>
      <x:c r="I530" s="12" t="str">
        <x:v>phn</x:v>
      </x:c>
      <x:c r="J530" s="6" t="str"/>
      <x:c r="K530" s="12" t="str">
        <x:v>Unsupported</x:v>
      </x:c>
      <x:c r="L530" s="12" t="str">
        <x:v>Device family alone is insufficient for governed relationship.</x:v>
      </x:c>
    </x:row>
    <x:row r="531">
      <x:c r="A531" s="12" t="str">
        <x:v>EVID-UNS-000216</x:v>
      </x:c>
      <x:c r="B531" s="6" t="str">
        <x:v>UNS000216</x:v>
      </x:c>
      <x:c r="C531" s="6" t="str">
        <x:v>SVC000216</x:v>
      </x:c>
      <x:c r="D531" s="12" t="str">
        <x:v>Unsupported Relationship</x:v>
      </x:c>
      <x:c r="E531" s="6" t="str">
        <x:v>Nocturnix_Master_Compatibility_Catalog_v1.xlsx</x:v>
      </x:c>
      <x:c r="F531" s="6" t="str">
        <x:v>01 - Compatibility Records</x:v>
      </x:c>
      <x:c r="G531" s="6" t="n">
        <x:v>256</x:v>
      </x:c>
      <x:c r="H531" s="12" t="str">
        <x:v>PHN</x:v>
      </x:c>
      <x:c r="I531" s="12" t="str">
        <x:v>phn</x:v>
      </x:c>
      <x:c r="J531" s="6" t="str"/>
      <x:c r="K531" s="12" t="str">
        <x:v>Unsupported</x:v>
      </x:c>
      <x:c r="L531" s="12" t="str">
        <x:v>Device family alone is insufficient for governed relationship.</x:v>
      </x:c>
    </x:row>
    <x:row r="532">
      <x:c r="A532" s="12" t="str">
        <x:v>EVID-UNS-000217</x:v>
      </x:c>
      <x:c r="B532" s="6" t="str">
        <x:v>UNS000217</x:v>
      </x:c>
      <x:c r="C532" s="6" t="str">
        <x:v>SVC000217</x:v>
      </x:c>
      <x:c r="D532" s="12" t="str">
        <x:v>Unsupported Relationship</x:v>
      </x:c>
      <x:c r="E532" s="6" t="str">
        <x:v>Nocturnix_Master_Compatibility_Catalog_v1.xlsx</x:v>
      </x:c>
      <x:c r="F532" s="6" t="str">
        <x:v>01 - Compatibility Records</x:v>
      </x:c>
      <x:c r="G532" s="6" t="n">
        <x:v>257</x:v>
      </x:c>
      <x:c r="H532" s="12" t="str">
        <x:v>PHN</x:v>
      </x:c>
      <x:c r="I532" s="12" t="str">
        <x:v>phn</x:v>
      </x:c>
      <x:c r="J532" s="6" t="str"/>
      <x:c r="K532" s="12" t="str">
        <x:v>Unsupported</x:v>
      </x:c>
      <x:c r="L532" s="12" t="str">
        <x:v>Device family alone is insufficient for governed relationship.</x:v>
      </x:c>
    </x:row>
    <x:row r="533">
      <x:c r="A533" s="12" t="str">
        <x:v>EVID-UNS-000218</x:v>
      </x:c>
      <x:c r="B533" s="6" t="str">
        <x:v>UNS000218</x:v>
      </x:c>
      <x:c r="C533" s="6" t="str">
        <x:v>SVC000218</x:v>
      </x:c>
      <x:c r="D533" s="12" t="str">
        <x:v>Unsupported Relationship</x:v>
      </x:c>
      <x:c r="E533" s="6" t="str">
        <x:v>Nocturnix_Master_Compatibility_Catalog_v1.xlsx</x:v>
      </x:c>
      <x:c r="F533" s="6" t="str">
        <x:v>01 - Compatibility Records</x:v>
      </x:c>
      <x:c r="G533" s="6" t="n">
        <x:v>258</x:v>
      </x:c>
      <x:c r="H533" s="12" t="str">
        <x:v>PHN</x:v>
      </x:c>
      <x:c r="I533" s="12" t="str">
        <x:v>phn</x:v>
      </x:c>
      <x:c r="J533" s="6" t="str"/>
      <x:c r="K533" s="12" t="str">
        <x:v>Unsupported</x:v>
      </x:c>
      <x:c r="L533" s="12" t="str">
        <x:v>Device family alone is insufficient for governed relationship.</x:v>
      </x:c>
    </x:row>
    <x:row r="534">
      <x:c r="A534" s="12" t="str">
        <x:v>EVID-UNS-000219</x:v>
      </x:c>
      <x:c r="B534" s="6" t="str">
        <x:v>UNS000219</x:v>
      </x:c>
      <x:c r="C534" s="6" t="str">
        <x:v>SVC000219</x:v>
      </x:c>
      <x:c r="D534" s="12" t="str">
        <x:v>Unsupported Relationship</x:v>
      </x:c>
      <x:c r="E534" s="6" t="str">
        <x:v>Nocturnix_Master_Compatibility_Catalog_v1.xlsx</x:v>
      </x:c>
      <x:c r="F534" s="6" t="str">
        <x:v>01 - Compatibility Records</x:v>
      </x:c>
      <x:c r="G534" s="6" t="n">
        <x:v>259</x:v>
      </x:c>
      <x:c r="H534" s="12" t="str">
        <x:v>PHN</x:v>
      </x:c>
      <x:c r="I534" s="12" t="str">
        <x:v>phn</x:v>
      </x:c>
      <x:c r="J534" s="6" t="str"/>
      <x:c r="K534" s="12" t="str">
        <x:v>Unsupported</x:v>
      </x:c>
      <x:c r="L534" s="12" t="str">
        <x:v>Device family alone is insufficient for governed relationship.</x:v>
      </x:c>
    </x:row>
    <x:row r="535">
      <x:c r="A535" s="12" t="str">
        <x:v>EVID-UNS-000220</x:v>
      </x:c>
      <x:c r="B535" s="6" t="str">
        <x:v>UNS000220</x:v>
      </x:c>
      <x:c r="C535" s="6" t="str">
        <x:v>SVC000220</x:v>
      </x:c>
      <x:c r="D535" s="12" t="str">
        <x:v>Unsupported Relationship</x:v>
      </x:c>
      <x:c r="E535" s="6" t="str">
        <x:v>Nocturnix_Master_Compatibility_Catalog_v1.xlsx</x:v>
      </x:c>
      <x:c r="F535" s="6" t="str">
        <x:v>01 - Compatibility Records</x:v>
      </x:c>
      <x:c r="G535" s="6" t="n">
        <x:v>260</x:v>
      </x:c>
      <x:c r="H535" s="12" t="str">
        <x:v>PHN</x:v>
      </x:c>
      <x:c r="I535" s="12" t="str">
        <x:v>phn</x:v>
      </x:c>
      <x:c r="J535" s="6" t="str"/>
      <x:c r="K535" s="12" t="str">
        <x:v>Unsupported</x:v>
      </x:c>
      <x:c r="L535" s="12" t="str">
        <x:v>Device family alone is insufficient for governed relationship.</x:v>
      </x:c>
    </x:row>
    <x:row r="536">
      <x:c r="A536" s="12" t="str">
        <x:v>EVID-UNS-000221</x:v>
      </x:c>
      <x:c r="B536" s="6" t="str">
        <x:v>UNS000221</x:v>
      </x:c>
      <x:c r="C536" s="6" t="str">
        <x:v>SVC000221</x:v>
      </x:c>
      <x:c r="D536" s="12" t="str">
        <x:v>Unsupported Relationship</x:v>
      </x:c>
      <x:c r="E536" s="6" t="str">
        <x:v>Nocturnix_Master_Compatibility_Catalog_v1.xlsx</x:v>
      </x:c>
      <x:c r="F536" s="6" t="str">
        <x:v>01 - Compatibility Records</x:v>
      </x:c>
      <x:c r="G536" s="6" t="n">
        <x:v>261</x:v>
      </x:c>
      <x:c r="H536" s="12" t="str">
        <x:v>PHN</x:v>
      </x:c>
      <x:c r="I536" s="12" t="str">
        <x:v>phn</x:v>
      </x:c>
      <x:c r="J536" s="6" t="str"/>
      <x:c r="K536" s="12" t="str">
        <x:v>Unsupported</x:v>
      </x:c>
      <x:c r="L536" s="12" t="str">
        <x:v>Device family alone is insufficient for governed relationship.</x:v>
      </x:c>
    </x:row>
    <x:row r="537">
      <x:c r="A537" s="12" t="str">
        <x:v>EVID-UNS-000222</x:v>
      </x:c>
      <x:c r="B537" s="6" t="str">
        <x:v>UNS000222</x:v>
      </x:c>
      <x:c r="C537" s="6" t="str">
        <x:v>SVC000222</x:v>
      </x:c>
      <x:c r="D537" s="12" t="str">
        <x:v>Unsupported Relationship</x:v>
      </x:c>
      <x:c r="E537" s="6" t="str">
        <x:v>Nocturnix_Master_Compatibility_Catalog_v1.xlsx</x:v>
      </x:c>
      <x:c r="F537" s="6" t="str">
        <x:v>01 - Compatibility Records</x:v>
      </x:c>
      <x:c r="G537" s="6" t="n">
        <x:v>262</x:v>
      </x:c>
      <x:c r="H537" s="12" t="str">
        <x:v>PHN</x:v>
      </x:c>
      <x:c r="I537" s="12" t="str">
        <x:v>phn</x:v>
      </x:c>
      <x:c r="J537" s="6" t="str"/>
      <x:c r="K537" s="12" t="str">
        <x:v>Unsupported</x:v>
      </x:c>
      <x:c r="L537" s="12" t="str">
        <x:v>Device family alone is insufficient for governed relationship.</x:v>
      </x:c>
    </x:row>
    <x:row r="538">
      <x:c r="A538" s="12" t="str">
        <x:v>EVID-UNS-000223</x:v>
      </x:c>
      <x:c r="B538" s="6" t="str">
        <x:v>UNS000223</x:v>
      </x:c>
      <x:c r="C538" s="6" t="str">
        <x:v>SVC000223</x:v>
      </x:c>
      <x:c r="D538" s="12" t="str">
        <x:v>Unsupported Relationship</x:v>
      </x:c>
      <x:c r="E538" s="6" t="str">
        <x:v>Nocturnix_Master_Compatibility_Catalog_v1.xlsx</x:v>
      </x:c>
      <x:c r="F538" s="6" t="str">
        <x:v>01 - Compatibility Records</x:v>
      </x:c>
      <x:c r="G538" s="6" t="n">
        <x:v>263</x:v>
      </x:c>
      <x:c r="H538" s="12" t="str">
        <x:v>PHN</x:v>
      </x:c>
      <x:c r="I538" s="12" t="str">
        <x:v>phn</x:v>
      </x:c>
      <x:c r="J538" s="6" t="str"/>
      <x:c r="K538" s="12" t="str">
        <x:v>Unsupported</x:v>
      </x:c>
      <x:c r="L538" s="12" t="str">
        <x:v>Device family alone is insufficient for governed relationship.</x:v>
      </x:c>
    </x:row>
    <x:row r="539">
      <x:c r="A539" s="12" t="str">
        <x:v>EVID-UNS-000224</x:v>
      </x:c>
      <x:c r="B539" s="6" t="str">
        <x:v>UNS000224</x:v>
      </x:c>
      <x:c r="C539" s="6" t="str">
        <x:v>SVC000224</x:v>
      </x:c>
      <x:c r="D539" s="12" t="str">
        <x:v>Unsupported Relationship</x:v>
      </x:c>
      <x:c r="E539" s="6" t="str">
        <x:v>Nocturnix_Master_Compatibility_Catalog_v1.xlsx</x:v>
      </x:c>
      <x:c r="F539" s="6" t="str">
        <x:v>01 - Compatibility Records</x:v>
      </x:c>
      <x:c r="G539" s="6" t="n">
        <x:v>264</x:v>
      </x:c>
      <x:c r="H539" s="12" t="str">
        <x:v>PHN</x:v>
      </x:c>
      <x:c r="I539" s="12" t="str">
        <x:v>phn</x:v>
      </x:c>
      <x:c r="J539" s="6" t="str"/>
      <x:c r="K539" s="12" t="str">
        <x:v>Unsupported</x:v>
      </x:c>
      <x:c r="L539" s="12" t="str">
        <x:v>Device family alone is insufficient for governed relationship.</x:v>
      </x:c>
    </x:row>
    <x:row r="540">
      <x:c r="A540" s="12" t="str">
        <x:v>EVID-UNS-000225</x:v>
      </x:c>
      <x:c r="B540" s="6" t="str">
        <x:v>UNS000225</x:v>
      </x:c>
      <x:c r="C540" s="6" t="str">
        <x:v>SVC000225</x:v>
      </x:c>
      <x:c r="D540" s="12" t="str">
        <x:v>Unsupported Relationship</x:v>
      </x:c>
      <x:c r="E540" s="6" t="str">
        <x:v>Nocturnix_Master_Compatibility_Catalog_v1.xlsx</x:v>
      </x:c>
      <x:c r="F540" s="6" t="str">
        <x:v>01 - Compatibility Records</x:v>
      </x:c>
      <x:c r="G540" s="6" t="n">
        <x:v>265</x:v>
      </x:c>
      <x:c r="H540" s="12" t="str">
        <x:v>PHN</x:v>
      </x:c>
      <x:c r="I540" s="12" t="str">
        <x:v>phn</x:v>
      </x:c>
      <x:c r="J540" s="6" t="str"/>
      <x:c r="K540" s="12" t="str">
        <x:v>Unsupported</x:v>
      </x:c>
      <x:c r="L540" s="12" t="str">
        <x:v>Device family alone is insufficient for governed relationship.</x:v>
      </x:c>
    </x:row>
    <x:row r="541">
      <x:c r="A541" s="12" t="str">
        <x:v>EVID-UNS-000226</x:v>
      </x:c>
      <x:c r="B541" s="6" t="str">
        <x:v>UNS000226</x:v>
      </x:c>
      <x:c r="C541" s="6" t="str">
        <x:v>SVC000226</x:v>
      </x:c>
      <x:c r="D541" s="12" t="str">
        <x:v>Unsupported Relationship</x:v>
      </x:c>
      <x:c r="E541" s="6" t="str">
        <x:v>Nocturnix_Master_Compatibility_Catalog_v1.xlsx</x:v>
      </x:c>
      <x:c r="F541" s="6" t="str">
        <x:v>01 - Compatibility Records</x:v>
      </x:c>
      <x:c r="G541" s="6" t="n">
        <x:v>266</x:v>
      </x:c>
      <x:c r="H541" s="12" t="str">
        <x:v>PHN</x:v>
      </x:c>
      <x:c r="I541" s="12" t="str">
        <x:v>phn</x:v>
      </x:c>
      <x:c r="J541" s="6" t="str"/>
      <x:c r="K541" s="12" t="str">
        <x:v>Unsupported</x:v>
      </x:c>
      <x:c r="L541" s="12" t="str">
        <x:v>Device family alone is insufficient for governed relationship.</x:v>
      </x:c>
    </x:row>
    <x:row r="542">
      <x:c r="A542" s="12" t="str">
        <x:v>EVID-UNS-000227</x:v>
      </x:c>
      <x:c r="B542" s="6" t="str">
        <x:v>UNS000227</x:v>
      </x:c>
      <x:c r="C542" s="6" t="str">
        <x:v>SVC000227</x:v>
      </x:c>
      <x:c r="D542" s="12" t="str">
        <x:v>Unsupported Relationship</x:v>
      </x:c>
      <x:c r="E542" s="6" t="str">
        <x:v>Nocturnix_Master_Compatibility_Catalog_v1.xlsx</x:v>
      </x:c>
      <x:c r="F542" s="6" t="str">
        <x:v>01 - Compatibility Records</x:v>
      </x:c>
      <x:c r="G542" s="6" t="n">
        <x:v>267</x:v>
      </x:c>
      <x:c r="H542" s="12" t="str">
        <x:v>PHN</x:v>
      </x:c>
      <x:c r="I542" s="12" t="str">
        <x:v>phn</x:v>
      </x:c>
      <x:c r="J542" s="6" t="str"/>
      <x:c r="K542" s="12" t="str">
        <x:v>Unsupported</x:v>
      </x:c>
      <x:c r="L542" s="12" t="str">
        <x:v>Device family alone is insufficient for governed relationship.</x:v>
      </x:c>
    </x:row>
    <x:row r="543">
      <x:c r="A543" s="12" t="str">
        <x:v>EVID-UNS-000228</x:v>
      </x:c>
      <x:c r="B543" s="6" t="str">
        <x:v>UNS000228</x:v>
      </x:c>
      <x:c r="C543" s="6" t="str">
        <x:v>SVC000228</x:v>
      </x:c>
      <x:c r="D543" s="12" t="str">
        <x:v>Unsupported Relationship</x:v>
      </x:c>
      <x:c r="E543" s="6" t="str">
        <x:v>Nocturnix_Master_Compatibility_Catalog_v1.xlsx</x:v>
      </x:c>
      <x:c r="F543" s="6" t="str">
        <x:v>01 - Compatibility Records</x:v>
      </x:c>
      <x:c r="G543" s="6" t="n">
        <x:v>268</x:v>
      </x:c>
      <x:c r="H543" s="12" t="str">
        <x:v>PHN</x:v>
      </x:c>
      <x:c r="I543" s="12" t="str">
        <x:v>phn</x:v>
      </x:c>
      <x:c r="J543" s="6" t="str"/>
      <x:c r="K543" s="12" t="str">
        <x:v>Unsupported</x:v>
      </x:c>
      <x:c r="L543" s="12" t="str">
        <x:v>Device family alone is insufficient for governed relationship.</x:v>
      </x:c>
    </x:row>
    <x:row r="544">
      <x:c r="A544" s="12" t="str">
        <x:v>EVID-UNS-000229</x:v>
      </x:c>
      <x:c r="B544" s="6" t="str">
        <x:v>UNS000229</x:v>
      </x:c>
      <x:c r="C544" s="6" t="str">
        <x:v>SVC000229</x:v>
      </x:c>
      <x:c r="D544" s="12" t="str">
        <x:v>Unsupported Relationship</x:v>
      </x:c>
      <x:c r="E544" s="6" t="str">
        <x:v>Nocturnix_Master_Compatibility_Catalog_v1.xlsx</x:v>
      </x:c>
      <x:c r="F544" s="6" t="str">
        <x:v>01 - Compatibility Records</x:v>
      </x:c>
      <x:c r="G544" s="6" t="n">
        <x:v>269</x:v>
      </x:c>
      <x:c r="H544" s="12" t="str">
        <x:v>PHN</x:v>
      </x:c>
      <x:c r="I544" s="12" t="str">
        <x:v>phn</x:v>
      </x:c>
      <x:c r="J544" s="6" t="str"/>
      <x:c r="K544" s="12" t="str">
        <x:v>Unsupported</x:v>
      </x:c>
      <x:c r="L544" s="12" t="str">
        <x:v>Device family alone is insufficient for governed relationship.</x:v>
      </x:c>
    </x:row>
    <x:row r="545">
      <x:c r="A545" s="12" t="str">
        <x:v>EVID-UNS-000230</x:v>
      </x:c>
      <x:c r="B545" s="6" t="str">
        <x:v>UNS000230</x:v>
      </x:c>
      <x:c r="C545" s="6" t="str">
        <x:v>SVC000230</x:v>
      </x:c>
      <x:c r="D545" s="12" t="str">
        <x:v>Unsupported Relationship</x:v>
      </x:c>
      <x:c r="E545" s="6" t="str">
        <x:v>Nocturnix_Master_Compatibility_Catalog_v1.xlsx</x:v>
      </x:c>
      <x:c r="F545" s="6" t="str">
        <x:v>01 - Compatibility Records</x:v>
      </x:c>
      <x:c r="G545" s="6" t="n">
        <x:v>270</x:v>
      </x:c>
      <x:c r="H545" s="12" t="str">
        <x:v>PHN</x:v>
      </x:c>
      <x:c r="I545" s="12" t="str">
        <x:v>phn</x:v>
      </x:c>
      <x:c r="J545" s="6" t="str"/>
      <x:c r="K545" s="12" t="str">
        <x:v>Unsupported</x:v>
      </x:c>
      <x:c r="L545" s="12" t="str">
        <x:v>Device family alone is insufficient for governed relationship.</x:v>
      </x:c>
    </x:row>
    <x:row r="546">
      <x:c r="A546" s="12" t="str">
        <x:v>EVID-UNS-000231</x:v>
      </x:c>
      <x:c r="B546" s="6" t="str">
        <x:v>UNS000231</x:v>
      </x:c>
      <x:c r="C546" s="6" t="str">
        <x:v>SVC000231</x:v>
      </x:c>
      <x:c r="D546" s="12" t="str">
        <x:v>Unsupported Relationship</x:v>
      </x:c>
      <x:c r="E546" s="6" t="str">
        <x:v>Nocturnix_Master_Compatibility_Catalog_v1.xlsx</x:v>
      </x:c>
      <x:c r="F546" s="6" t="str">
        <x:v>01 - Compatibility Records</x:v>
      </x:c>
      <x:c r="G546" s="6" t="n">
        <x:v>271</x:v>
      </x:c>
      <x:c r="H546" s="12" t="str">
        <x:v>PHN</x:v>
      </x:c>
      <x:c r="I546" s="12" t="str">
        <x:v>phn</x:v>
      </x:c>
      <x:c r="J546" s="6" t="str"/>
      <x:c r="K546" s="12" t="str">
        <x:v>Unsupported</x:v>
      </x:c>
      <x:c r="L546" s="12" t="str">
        <x:v>Device family alone is insufficient for governed relationship.</x:v>
      </x:c>
    </x:row>
    <x:row r="547">
      <x:c r="A547" s="12" t="str">
        <x:v>EVID-UNS-000232</x:v>
      </x:c>
      <x:c r="B547" s="6" t="str">
        <x:v>UNS000232</x:v>
      </x:c>
      <x:c r="C547" s="6" t="str">
        <x:v>SVC000232</x:v>
      </x:c>
      <x:c r="D547" s="12" t="str">
        <x:v>Unsupported Relationship</x:v>
      </x:c>
      <x:c r="E547" s="6" t="str">
        <x:v>Nocturnix_Master_Compatibility_Catalog_v1.xlsx</x:v>
      </x:c>
      <x:c r="F547" s="6" t="str">
        <x:v>01 - Compatibility Records</x:v>
      </x:c>
      <x:c r="G547" s="6" t="n">
        <x:v>272</x:v>
      </x:c>
      <x:c r="H547" s="12" t="str">
        <x:v>PHN</x:v>
      </x:c>
      <x:c r="I547" s="12" t="str">
        <x:v>phn</x:v>
      </x:c>
      <x:c r="J547" s="6" t="str"/>
      <x:c r="K547" s="12" t="str">
        <x:v>Unsupported</x:v>
      </x:c>
      <x:c r="L547" s="12" t="str">
        <x:v>Device family alone is insufficient for governed relationship.</x:v>
      </x:c>
    </x:row>
    <x:row r="548">
      <x:c r="A548" s="12" t="str">
        <x:v>EVID-UNS-000233</x:v>
      </x:c>
      <x:c r="B548" s="6" t="str">
        <x:v>UNS000233</x:v>
      </x:c>
      <x:c r="C548" s="6" t="str">
        <x:v>SVC000233</x:v>
      </x:c>
      <x:c r="D548" s="12" t="str">
        <x:v>Unsupported Relationship</x:v>
      </x:c>
      <x:c r="E548" s="6" t="str">
        <x:v>Nocturnix_Master_Compatibility_Catalog_v1.xlsx</x:v>
      </x:c>
      <x:c r="F548" s="6" t="str">
        <x:v>01 - Compatibility Records</x:v>
      </x:c>
      <x:c r="G548" s="6" t="n">
        <x:v>273</x:v>
      </x:c>
      <x:c r="H548" s="12" t="str">
        <x:v>PHN</x:v>
      </x:c>
      <x:c r="I548" s="12" t="str">
        <x:v>phn</x:v>
      </x:c>
      <x:c r="J548" s="6" t="str"/>
      <x:c r="K548" s="12" t="str">
        <x:v>Unsupported</x:v>
      </x:c>
      <x:c r="L548" s="12" t="str">
        <x:v>Device family alone is insufficient for governed relationship.</x:v>
      </x:c>
    </x:row>
    <x:row r="549">
      <x:c r="A549" s="12" t="str">
        <x:v>EVID-UNS-000234</x:v>
      </x:c>
      <x:c r="B549" s="6" t="str">
        <x:v>UNS000234</x:v>
      </x:c>
      <x:c r="C549" s="6" t="str">
        <x:v>SVC000234</x:v>
      </x:c>
      <x:c r="D549" s="12" t="str">
        <x:v>Unsupported Relationship</x:v>
      </x:c>
      <x:c r="E549" s="6" t="str">
        <x:v>Nocturnix_Master_Compatibility_Catalog_v1.xlsx</x:v>
      </x:c>
      <x:c r="F549" s="6" t="str">
        <x:v>01 - Compatibility Records</x:v>
      </x:c>
      <x:c r="G549" s="6" t="n">
        <x:v>274</x:v>
      </x:c>
      <x:c r="H549" s="12" t="str">
        <x:v>PHN</x:v>
      </x:c>
      <x:c r="I549" s="12" t="str">
        <x:v>phn</x:v>
      </x:c>
      <x:c r="J549" s="6" t="str"/>
      <x:c r="K549" s="12" t="str">
        <x:v>Unsupported</x:v>
      </x:c>
      <x:c r="L549" s="12" t="str">
        <x:v>Device family alone is insufficient for governed relationship.</x:v>
      </x:c>
    </x:row>
    <x:row r="550">
      <x:c r="A550" s="12" t="str">
        <x:v>EVID-UNS-000235</x:v>
      </x:c>
      <x:c r="B550" s="6" t="str">
        <x:v>UNS000235</x:v>
      </x:c>
      <x:c r="C550" s="6" t="str">
        <x:v>SVC000235</x:v>
      </x:c>
      <x:c r="D550" s="12" t="str">
        <x:v>Unsupported Relationship</x:v>
      </x:c>
      <x:c r="E550" s="6" t="str">
        <x:v>Nocturnix_Master_Compatibility_Catalog_v1.xlsx</x:v>
      </x:c>
      <x:c r="F550" s="6" t="str">
        <x:v>01 - Compatibility Records</x:v>
      </x:c>
      <x:c r="G550" s="6" t="n">
        <x:v>275</x:v>
      </x:c>
      <x:c r="H550" s="12" t="str">
        <x:v>PHN</x:v>
      </x:c>
      <x:c r="I550" s="12" t="str">
        <x:v>phn</x:v>
      </x:c>
      <x:c r="J550" s="6" t="str"/>
      <x:c r="K550" s="12" t="str">
        <x:v>Unsupported</x:v>
      </x:c>
      <x:c r="L550" s="12" t="str">
        <x:v>Device family alone is insufficient for governed relationship.</x:v>
      </x:c>
    </x:row>
    <x:row r="551">
      <x:c r="A551" s="12" t="str">
        <x:v>EVID-UNS-000236</x:v>
      </x:c>
      <x:c r="B551" s="6" t="str">
        <x:v>UNS000236</x:v>
      </x:c>
      <x:c r="C551" s="6" t="str">
        <x:v>SVC000236</x:v>
      </x:c>
      <x:c r="D551" s="12" t="str">
        <x:v>Unsupported Relationship</x:v>
      </x:c>
      <x:c r="E551" s="6" t="str">
        <x:v>Nocturnix_Master_Compatibility_Catalog_v1.xlsx</x:v>
      </x:c>
      <x:c r="F551" s="6" t="str">
        <x:v>01 - Compatibility Records</x:v>
      </x:c>
      <x:c r="G551" s="6" t="n">
        <x:v>276</x:v>
      </x:c>
      <x:c r="H551" s="12" t="str">
        <x:v>PHN</x:v>
      </x:c>
      <x:c r="I551" s="12" t="str">
        <x:v>phn</x:v>
      </x:c>
      <x:c r="J551" s="6" t="str"/>
      <x:c r="K551" s="12" t="str">
        <x:v>Unsupported</x:v>
      </x:c>
      <x:c r="L551" s="12" t="str">
        <x:v>Device family alone is insufficient for governed relationship.</x:v>
      </x:c>
    </x:row>
    <x:row r="552">
      <x:c r="A552" s="12" t="str">
        <x:v>EVID-UNS-000237</x:v>
      </x:c>
      <x:c r="B552" s="6" t="str">
        <x:v>UNS000237</x:v>
      </x:c>
      <x:c r="C552" s="6" t="str">
        <x:v>SVC000237</x:v>
      </x:c>
      <x:c r="D552" s="12" t="str">
        <x:v>Unsupported Relationship</x:v>
      </x:c>
      <x:c r="E552" s="6" t="str">
        <x:v>Nocturnix_Master_Compatibility_Catalog_v1.xlsx</x:v>
      </x:c>
      <x:c r="F552" s="6" t="str">
        <x:v>01 - Compatibility Records</x:v>
      </x:c>
      <x:c r="G552" s="6" t="n">
        <x:v>277</x:v>
      </x:c>
      <x:c r="H552" s="12" t="str">
        <x:v>PHN</x:v>
      </x:c>
      <x:c r="I552" s="12" t="str">
        <x:v>phn</x:v>
      </x:c>
      <x:c r="J552" s="6" t="str"/>
      <x:c r="K552" s="12" t="str">
        <x:v>Unsupported</x:v>
      </x:c>
      <x:c r="L552" s="12" t="str">
        <x:v>Device family alone is insufficient for governed relationship.</x:v>
      </x:c>
    </x:row>
    <x:row r="553">
      <x:c r="A553" s="12" t="str">
        <x:v>EVID-UNS-000238</x:v>
      </x:c>
      <x:c r="B553" s="6" t="str">
        <x:v>UNS000238</x:v>
      </x:c>
      <x:c r="C553" s="6" t="str">
        <x:v>SVC000238</x:v>
      </x:c>
      <x:c r="D553" s="12" t="str">
        <x:v>Unsupported Relationship</x:v>
      </x:c>
      <x:c r="E553" s="6" t="str">
        <x:v>Nocturnix_Master_Compatibility_Catalog_v1.xlsx</x:v>
      </x:c>
      <x:c r="F553" s="6" t="str">
        <x:v>01 - Compatibility Records</x:v>
      </x:c>
      <x:c r="G553" s="6" t="n">
        <x:v>278</x:v>
      </x:c>
      <x:c r="H553" s="12" t="str">
        <x:v>PHN</x:v>
      </x:c>
      <x:c r="I553" s="12" t="str">
        <x:v>phn</x:v>
      </x:c>
      <x:c r="J553" s="6" t="str"/>
      <x:c r="K553" s="12" t="str">
        <x:v>Unsupported</x:v>
      </x:c>
      <x:c r="L553" s="12" t="str">
        <x:v>Device family alone is insufficient for governed relationship.</x:v>
      </x:c>
    </x:row>
    <x:row r="554">
      <x:c r="A554" s="12" t="str">
        <x:v>EVID-UNS-000239</x:v>
      </x:c>
      <x:c r="B554" s="6" t="str">
        <x:v>UNS000239</x:v>
      </x:c>
      <x:c r="C554" s="6" t="str">
        <x:v>SVC000239</x:v>
      </x:c>
      <x:c r="D554" s="12" t="str">
        <x:v>Unsupported Relationship</x:v>
      </x:c>
      <x:c r="E554" s="6" t="str">
        <x:v>Nocturnix_Master_Compatibility_Catalog_v1.xlsx</x:v>
      </x:c>
      <x:c r="F554" s="6" t="str">
        <x:v>01 - Compatibility Records</x:v>
      </x:c>
      <x:c r="G554" s="6" t="n">
        <x:v>279</x:v>
      </x:c>
      <x:c r="H554" s="12" t="str">
        <x:v>PHN</x:v>
      </x:c>
      <x:c r="I554" s="12" t="str">
        <x:v>phn</x:v>
      </x:c>
      <x:c r="J554" s="6" t="str"/>
      <x:c r="K554" s="12" t="str">
        <x:v>Unsupported</x:v>
      </x:c>
      <x:c r="L554" s="12" t="str">
        <x:v>Device family alone is insufficient for governed relationship.</x:v>
      </x:c>
    </x:row>
    <x:row r="555">
      <x:c r="A555" s="12" t="str">
        <x:v>EVID-UNS-000240</x:v>
      </x:c>
      <x:c r="B555" s="6" t="str">
        <x:v>UNS000240</x:v>
      </x:c>
      <x:c r="C555" s="6" t="str">
        <x:v>SVC000240</x:v>
      </x:c>
      <x:c r="D555" s="12" t="str">
        <x:v>Unsupported Relationship</x:v>
      </x:c>
      <x:c r="E555" s="6" t="str">
        <x:v>Nocturnix_Master_Compatibility_Catalog_v1.xlsx</x:v>
      </x:c>
      <x:c r="F555" s="6" t="str">
        <x:v>01 - Compatibility Records</x:v>
      </x:c>
      <x:c r="G555" s="6" t="n">
        <x:v>280</x:v>
      </x:c>
      <x:c r="H555" s="12" t="str">
        <x:v>PHN</x:v>
      </x:c>
      <x:c r="I555" s="12" t="str">
        <x:v>phn</x:v>
      </x:c>
      <x:c r="J555" s="6" t="str"/>
      <x:c r="K555" s="12" t="str">
        <x:v>Unsupported</x:v>
      </x:c>
      <x:c r="L555" s="12" t="str">
        <x:v>Device family alone is insufficient for governed relationship.</x:v>
      </x:c>
    </x:row>
    <x:row r="556">
      <x:c r="A556" s="12" t="str">
        <x:v>EVID-UNS-000241</x:v>
      </x:c>
      <x:c r="B556" s="6" t="str">
        <x:v>UNS000241</x:v>
      </x:c>
      <x:c r="C556" s="6" t="str">
        <x:v>SVC000241</x:v>
      </x:c>
      <x:c r="D556" s="12" t="str">
        <x:v>Unsupported Relationship</x:v>
      </x:c>
      <x:c r="E556" s="6" t="str">
        <x:v>Nocturnix_Master_Compatibility_Catalog_v1.xlsx</x:v>
      </x:c>
      <x:c r="F556" s="6" t="str">
        <x:v>01 - Compatibility Records</x:v>
      </x:c>
      <x:c r="G556" s="6" t="n">
        <x:v>281</x:v>
      </x:c>
      <x:c r="H556" s="12" t="str">
        <x:v>PHN</x:v>
      </x:c>
      <x:c r="I556" s="12" t="str">
        <x:v>phn</x:v>
      </x:c>
      <x:c r="J556" s="6" t="str"/>
      <x:c r="K556" s="12" t="str">
        <x:v>Unsupported</x:v>
      </x:c>
      <x:c r="L556" s="12" t="str">
        <x:v>Device family alone is insufficient for governed relationship.</x:v>
      </x:c>
    </x:row>
    <x:row r="557">
      <x:c r="A557" s="12" t="str">
        <x:v>EVID-UNS-000242</x:v>
      </x:c>
      <x:c r="B557" s="6" t="str">
        <x:v>UNS000242</x:v>
      </x:c>
      <x:c r="C557" s="6" t="str">
        <x:v>SVC000242</x:v>
      </x:c>
      <x:c r="D557" s="12" t="str">
        <x:v>Unsupported Relationship</x:v>
      </x:c>
      <x:c r="E557" s="6" t="str">
        <x:v>Nocturnix_Master_Compatibility_Catalog_v1.xlsx</x:v>
      </x:c>
      <x:c r="F557" s="6" t="str">
        <x:v>01 - Compatibility Records</x:v>
      </x:c>
      <x:c r="G557" s="6" t="n">
        <x:v>282</x:v>
      </x:c>
      <x:c r="H557" s="12" t="str">
        <x:v>PHN</x:v>
      </x:c>
      <x:c r="I557" s="12" t="str">
        <x:v>phn</x:v>
      </x:c>
      <x:c r="J557" s="6" t="str"/>
      <x:c r="K557" s="12" t="str">
        <x:v>Unsupported</x:v>
      </x:c>
      <x:c r="L557" s="12" t="str">
        <x:v>Device family alone is insufficient for governed relationship.</x:v>
      </x:c>
    </x:row>
    <x:row r="558">
      <x:c r="A558" s="12" t="str">
        <x:v>EVID-UNS-000243</x:v>
      </x:c>
      <x:c r="B558" s="6" t="str">
        <x:v>UNS000243</x:v>
      </x:c>
      <x:c r="C558" s="6" t="str">
        <x:v>SVC000243</x:v>
      </x:c>
      <x:c r="D558" s="12" t="str">
        <x:v>Unsupported Relationship</x:v>
      </x:c>
      <x:c r="E558" s="6" t="str">
        <x:v>Nocturnix_Master_Compatibility_Catalog_v1.xlsx</x:v>
      </x:c>
      <x:c r="F558" s="6" t="str">
        <x:v>01 - Compatibility Records</x:v>
      </x:c>
      <x:c r="G558" s="6" t="n">
        <x:v>283</x:v>
      </x:c>
      <x:c r="H558" s="12" t="str">
        <x:v>PHN</x:v>
      </x:c>
      <x:c r="I558" s="12" t="str">
        <x:v>phn</x:v>
      </x:c>
      <x:c r="J558" s="6" t="str"/>
      <x:c r="K558" s="12" t="str">
        <x:v>Unsupported</x:v>
      </x:c>
      <x:c r="L558" s="12" t="str">
        <x:v>Device family alone is insufficient for governed relationship.</x:v>
      </x:c>
    </x:row>
    <x:row r="559">
      <x:c r="A559" s="12" t="str">
        <x:v>EVID-UNS-000244</x:v>
      </x:c>
      <x:c r="B559" s="6" t="str">
        <x:v>UNS000244</x:v>
      </x:c>
      <x:c r="C559" s="6" t="str">
        <x:v>SVC000244</x:v>
      </x:c>
      <x:c r="D559" s="12" t="str">
        <x:v>Unsupported Relationship</x:v>
      </x:c>
      <x:c r="E559" s="6" t="str">
        <x:v>Nocturnix_Master_Compatibility_Catalog_v1.xlsx</x:v>
      </x:c>
      <x:c r="F559" s="6" t="str">
        <x:v>01 - Compatibility Records</x:v>
      </x:c>
      <x:c r="G559" s="6" t="n">
        <x:v>284</x:v>
      </x:c>
      <x:c r="H559" s="12" t="str">
        <x:v>PHN</x:v>
      </x:c>
      <x:c r="I559" s="12" t="str">
        <x:v>phn</x:v>
      </x:c>
      <x:c r="J559" s="6" t="str"/>
      <x:c r="K559" s="12" t="str">
        <x:v>Unsupported</x:v>
      </x:c>
      <x:c r="L559" s="12" t="str">
        <x:v>Device family alone is insufficient for governed relationship.</x:v>
      </x:c>
    </x:row>
    <x:row r="560">
      <x:c r="A560" s="12" t="str">
        <x:v>EVID-UNS-000245</x:v>
      </x:c>
      <x:c r="B560" s="6" t="str">
        <x:v>UNS000245</x:v>
      </x:c>
      <x:c r="C560" s="6" t="str">
        <x:v>SVC000245</x:v>
      </x:c>
      <x:c r="D560" s="12" t="str">
        <x:v>Unsupported Relationship</x:v>
      </x:c>
      <x:c r="E560" s="6" t="str">
        <x:v>Nocturnix_Master_Compatibility_Catalog_v1.xlsx</x:v>
      </x:c>
      <x:c r="F560" s="6" t="str">
        <x:v>01 - Compatibility Records</x:v>
      </x:c>
      <x:c r="G560" s="6" t="n">
        <x:v>285</x:v>
      </x:c>
      <x:c r="H560" s="12" t="str">
        <x:v>PHN</x:v>
      </x:c>
      <x:c r="I560" s="12" t="str">
        <x:v>phn</x:v>
      </x:c>
      <x:c r="J560" s="6" t="str"/>
      <x:c r="K560" s="12" t="str">
        <x:v>Unsupported</x:v>
      </x:c>
      <x:c r="L560" s="12" t="str">
        <x:v>Device family alone is insufficient for governed relationship.</x:v>
      </x:c>
    </x:row>
    <x:row r="561">
      <x:c r="A561" s="12" t="str">
        <x:v>EVID-UNS-000246</x:v>
      </x:c>
      <x:c r="B561" s="6" t="str">
        <x:v>UNS000246</x:v>
      </x:c>
      <x:c r="C561" s="6" t="str">
        <x:v>SVC000246</x:v>
      </x:c>
      <x:c r="D561" s="12" t="str">
        <x:v>Unsupported Relationship</x:v>
      </x:c>
      <x:c r="E561" s="6" t="str">
        <x:v>Nocturnix_Master_Compatibility_Catalog_v1.xlsx</x:v>
      </x:c>
      <x:c r="F561" s="6" t="str">
        <x:v>01 - Compatibility Records</x:v>
      </x:c>
      <x:c r="G561" s="6" t="n">
        <x:v>286</x:v>
      </x:c>
      <x:c r="H561" s="12" t="str">
        <x:v>PHN</x:v>
      </x:c>
      <x:c r="I561" s="12" t="str">
        <x:v>phn</x:v>
      </x:c>
      <x:c r="J561" s="6" t="str"/>
      <x:c r="K561" s="12" t="str">
        <x:v>Unsupported</x:v>
      </x:c>
      <x:c r="L561" s="12" t="str">
        <x:v>Device family alone is insufficient for governed relationship.</x:v>
      </x:c>
    </x:row>
    <x:row r="562">
      <x:c r="A562" s="12" t="str">
        <x:v>EVID-UNS-000247</x:v>
      </x:c>
      <x:c r="B562" s="6" t="str">
        <x:v>UNS000247</x:v>
      </x:c>
      <x:c r="C562" s="6" t="str">
        <x:v>SVC000247</x:v>
      </x:c>
      <x:c r="D562" s="12" t="str">
        <x:v>Unsupported Relationship</x:v>
      </x:c>
      <x:c r="E562" s="6" t="str">
        <x:v>Nocturnix_Master_Compatibility_Catalog_v1.xlsx</x:v>
      </x:c>
      <x:c r="F562" s="6" t="str">
        <x:v>01 - Compatibility Records</x:v>
      </x:c>
      <x:c r="G562" s="6" t="n">
        <x:v>287</x:v>
      </x:c>
      <x:c r="H562" s="12" t="str">
        <x:v>PHN</x:v>
      </x:c>
      <x:c r="I562" s="12" t="str">
        <x:v>phn</x:v>
      </x:c>
      <x:c r="J562" s="6" t="str"/>
      <x:c r="K562" s="12" t="str">
        <x:v>Unsupported</x:v>
      </x:c>
      <x:c r="L562" s="12" t="str">
        <x:v>Device family alone is insufficient for governed relationship.</x:v>
      </x:c>
    </x:row>
    <x:row r="563">
      <x:c r="A563" s="12" t="str">
        <x:v>EVID-UNS-000248</x:v>
      </x:c>
      <x:c r="B563" s="6" t="str">
        <x:v>UNS000248</x:v>
      </x:c>
      <x:c r="C563" s="6" t="str">
        <x:v>SVC000248</x:v>
      </x:c>
      <x:c r="D563" s="12" t="str">
        <x:v>Unsupported Relationship</x:v>
      </x:c>
      <x:c r="E563" s="6" t="str">
        <x:v>Nocturnix_Master_Compatibility_Catalog_v1.xlsx</x:v>
      </x:c>
      <x:c r="F563" s="6" t="str">
        <x:v>01 - Compatibility Records</x:v>
      </x:c>
      <x:c r="G563" s="6" t="n">
        <x:v>288</x:v>
      </x:c>
      <x:c r="H563" s="12" t="str">
        <x:v>PHN</x:v>
      </x:c>
      <x:c r="I563" s="12" t="str">
        <x:v>phn</x:v>
      </x:c>
      <x:c r="J563" s="6" t="str"/>
      <x:c r="K563" s="12" t="str">
        <x:v>Unsupported</x:v>
      </x:c>
      <x:c r="L563" s="12" t="str">
        <x:v>Device family alone is insufficient for governed relationship.</x:v>
      </x:c>
    </x:row>
    <x:row r="564">
      <x:c r="A564" s="12" t="str">
        <x:v>EVID-UNS-000249</x:v>
      </x:c>
      <x:c r="B564" s="6" t="str">
        <x:v>UNS000249</x:v>
      </x:c>
      <x:c r="C564" s="6" t="str">
        <x:v>SVC000249</x:v>
      </x:c>
      <x:c r="D564" s="12" t="str">
        <x:v>Unsupported Relationship</x:v>
      </x:c>
      <x:c r="E564" s="6" t="str">
        <x:v>Nocturnix_Master_Compatibility_Catalog_v1.xlsx</x:v>
      </x:c>
      <x:c r="F564" s="6" t="str">
        <x:v>01 - Compatibility Records</x:v>
      </x:c>
      <x:c r="G564" s="6" t="n">
        <x:v>289</x:v>
      </x:c>
      <x:c r="H564" s="12" t="str">
        <x:v>PHN</x:v>
      </x:c>
      <x:c r="I564" s="12" t="str">
        <x:v>phn</x:v>
      </x:c>
      <x:c r="J564" s="6" t="str"/>
      <x:c r="K564" s="12" t="str">
        <x:v>Unsupported</x:v>
      </x:c>
      <x:c r="L564" s="12" t="str">
        <x:v>Device family alone is insufficient for governed relationship.</x:v>
      </x:c>
    </x:row>
    <x:row r="565">
      <x:c r="A565" s="12" t="str">
        <x:v>EVID-UNS-000250</x:v>
      </x:c>
      <x:c r="B565" s="6" t="str">
        <x:v>UNS000250</x:v>
      </x:c>
      <x:c r="C565" s="6" t="str">
        <x:v>SVC000250</x:v>
      </x:c>
      <x:c r="D565" s="12" t="str">
        <x:v>Unsupported Relationship</x:v>
      </x:c>
      <x:c r="E565" s="6" t="str">
        <x:v>Nocturnix_Master_Compatibility_Catalog_v1.xlsx</x:v>
      </x:c>
      <x:c r="F565" s="6" t="str">
        <x:v>01 - Compatibility Records</x:v>
      </x:c>
      <x:c r="G565" s="6" t="n">
        <x:v>290</x:v>
      </x:c>
      <x:c r="H565" s="12" t="str">
        <x:v>PHN</x:v>
      </x:c>
      <x:c r="I565" s="12" t="str">
        <x:v>phn</x:v>
      </x:c>
      <x:c r="J565" s="6" t="str"/>
      <x:c r="K565" s="12" t="str">
        <x:v>Unsupported</x:v>
      </x:c>
      <x:c r="L565" s="12" t="str">
        <x:v>Device family alone is insufficient for governed relationship.</x:v>
      </x:c>
    </x:row>
    <x:row r="566">
      <x:c r="A566" s="12" t="str">
        <x:v>EVID-UNS-000251</x:v>
      </x:c>
      <x:c r="B566" s="6" t="str">
        <x:v>UNS000251</x:v>
      </x:c>
      <x:c r="C566" s="6" t="str">
        <x:v>SVC000251</x:v>
      </x:c>
      <x:c r="D566" s="12" t="str">
        <x:v>Unsupported Relationship</x:v>
      </x:c>
      <x:c r="E566" s="6" t="str">
        <x:v>Nocturnix_Master_Compatibility_Catalog_v1.xlsx</x:v>
      </x:c>
      <x:c r="F566" s="6" t="str">
        <x:v>01 - Compatibility Records</x:v>
      </x:c>
      <x:c r="G566" s="6" t="n">
        <x:v>291</x:v>
      </x:c>
      <x:c r="H566" s="12" t="str">
        <x:v>PHN</x:v>
      </x:c>
      <x:c r="I566" s="12" t="str">
        <x:v>phn</x:v>
      </x:c>
      <x:c r="J566" s="6" t="str"/>
      <x:c r="K566" s="12" t="str">
        <x:v>Unsupported</x:v>
      </x:c>
      <x:c r="L566" s="12" t="str">
        <x:v>Device family alone is insufficient for governed relationship.</x:v>
      </x:c>
    </x:row>
    <x:row r="567">
      <x:c r="A567" s="12" t="str">
        <x:v>EVID-UNS-000252</x:v>
      </x:c>
      <x:c r="B567" s="6" t="str">
        <x:v>UNS000252</x:v>
      </x:c>
      <x:c r="C567" s="6" t="str">
        <x:v>SVC000252</x:v>
      </x:c>
      <x:c r="D567" s="12" t="str">
        <x:v>Unsupported Relationship</x:v>
      </x:c>
      <x:c r="E567" s="6" t="str">
        <x:v>Nocturnix_Master_Compatibility_Catalog_v1.xlsx</x:v>
      </x:c>
      <x:c r="F567" s="6" t="str">
        <x:v>01 - Compatibility Records</x:v>
      </x:c>
      <x:c r="G567" s="6" t="n">
        <x:v>292</x:v>
      </x:c>
      <x:c r="H567" s="12" t="str">
        <x:v>PHN</x:v>
      </x:c>
      <x:c r="I567" s="12" t="str">
        <x:v>phn</x:v>
      </x:c>
      <x:c r="J567" s="6" t="str"/>
      <x:c r="K567" s="12" t="str">
        <x:v>Unsupported</x:v>
      </x:c>
      <x:c r="L567" s="12" t="str">
        <x:v>Device family alone is insufficient for governed relationship.</x:v>
      </x:c>
    </x:row>
    <x:row r="568">
      <x:c r="A568" s="12" t="str">
        <x:v>EVID-UNS-000253</x:v>
      </x:c>
      <x:c r="B568" s="6" t="str">
        <x:v>UNS000253</x:v>
      </x:c>
      <x:c r="C568" s="6" t="str">
        <x:v>SVC000253</x:v>
      </x:c>
      <x:c r="D568" s="12" t="str">
        <x:v>Unsupported Relationship</x:v>
      </x:c>
      <x:c r="E568" s="6" t="str">
        <x:v>Nocturnix_Master_Compatibility_Catalog_v1.xlsx</x:v>
      </x:c>
      <x:c r="F568" s="6" t="str">
        <x:v>01 - Compatibility Records</x:v>
      </x:c>
      <x:c r="G568" s="6" t="n">
        <x:v>293</x:v>
      </x:c>
      <x:c r="H568" s="12" t="str">
        <x:v>PHN</x:v>
      </x:c>
      <x:c r="I568" s="12" t="str">
        <x:v>phn</x:v>
      </x:c>
      <x:c r="J568" s="6" t="str"/>
      <x:c r="K568" s="12" t="str">
        <x:v>Unsupported</x:v>
      </x:c>
      <x:c r="L568" s="12" t="str">
        <x:v>Device family alone is insufficient for governed relationship.</x:v>
      </x:c>
    </x:row>
    <x:row r="569">
      <x:c r="A569" s="12" t="str">
        <x:v>EVID-UNS-000254</x:v>
      </x:c>
      <x:c r="B569" s="6" t="str">
        <x:v>UNS000254</x:v>
      </x:c>
      <x:c r="C569" s="6" t="str">
        <x:v>SVC000254</x:v>
      </x:c>
      <x:c r="D569" s="12" t="str">
        <x:v>Unsupported Relationship</x:v>
      </x:c>
      <x:c r="E569" s="6" t="str">
        <x:v>Nocturnix_Master_Compatibility_Catalog_v1.xlsx</x:v>
      </x:c>
      <x:c r="F569" s="6" t="str">
        <x:v>01 - Compatibility Records</x:v>
      </x:c>
      <x:c r="G569" s="6" t="n">
        <x:v>294</x:v>
      </x:c>
      <x:c r="H569" s="12" t="str">
        <x:v>PHN</x:v>
      </x:c>
      <x:c r="I569" s="12" t="str">
        <x:v>phn</x:v>
      </x:c>
      <x:c r="J569" s="6" t="str"/>
      <x:c r="K569" s="12" t="str">
        <x:v>Unsupported</x:v>
      </x:c>
      <x:c r="L569" s="12" t="str">
        <x:v>Device family alone is insufficient for governed relationship.</x:v>
      </x:c>
    </x:row>
    <x:row r="570">
      <x:c r="A570" s="12" t="str">
        <x:v>EVID-UNS-000255</x:v>
      </x:c>
      <x:c r="B570" s="6" t="str">
        <x:v>UNS000255</x:v>
      </x:c>
      <x:c r="C570" s="6" t="str">
        <x:v>SVC000255</x:v>
      </x:c>
      <x:c r="D570" s="12" t="str">
        <x:v>Unsupported Relationship</x:v>
      </x:c>
      <x:c r="E570" s="6" t="str">
        <x:v>Nocturnix_Master_Compatibility_Catalog_v1.xlsx</x:v>
      </x:c>
      <x:c r="F570" s="6" t="str">
        <x:v>01 - Compatibility Records</x:v>
      </x:c>
      <x:c r="G570" s="6" t="n">
        <x:v>295</x:v>
      </x:c>
      <x:c r="H570" s="12" t="str">
        <x:v>PHN</x:v>
      </x:c>
      <x:c r="I570" s="12" t="str">
        <x:v>phn</x:v>
      </x:c>
      <x:c r="J570" s="6" t="str"/>
      <x:c r="K570" s="12" t="str">
        <x:v>Unsupported</x:v>
      </x:c>
      <x:c r="L570" s="12" t="str">
        <x:v>Device family alone is insufficient for governed relationship.</x:v>
      </x:c>
    </x:row>
    <x:row r="571">
      <x:c r="A571" s="12" t="str">
        <x:v>EVID-UNS-000256</x:v>
      </x:c>
      <x:c r="B571" s="6" t="str">
        <x:v>UNS000256</x:v>
      </x:c>
      <x:c r="C571" s="6" t="str">
        <x:v>SVC000256</x:v>
      </x:c>
      <x:c r="D571" s="12" t="str">
        <x:v>Unsupported Relationship</x:v>
      </x:c>
      <x:c r="E571" s="6" t="str">
        <x:v>Nocturnix_Master_Compatibility_Catalog_v1.xlsx</x:v>
      </x:c>
      <x:c r="F571" s="6" t="str">
        <x:v>01 - Compatibility Records</x:v>
      </x:c>
      <x:c r="G571" s="6" t="n">
        <x:v>296</x:v>
      </x:c>
      <x:c r="H571" s="12" t="str">
        <x:v>PHN</x:v>
      </x:c>
      <x:c r="I571" s="12" t="str">
        <x:v>phn</x:v>
      </x:c>
      <x:c r="J571" s="6" t="str"/>
      <x:c r="K571" s="12" t="str">
        <x:v>Unsupported</x:v>
      </x:c>
      <x:c r="L571" s="12" t="str">
        <x:v>Device family alone is insufficient for governed relationship.</x:v>
      </x:c>
    </x:row>
    <x:row r="572">
      <x:c r="A572" s="12" t="str">
        <x:v>EVID-UNS-000257</x:v>
      </x:c>
      <x:c r="B572" s="6" t="str">
        <x:v>UNS000257</x:v>
      </x:c>
      <x:c r="C572" s="6" t="str">
        <x:v>SVC000257</x:v>
      </x:c>
      <x:c r="D572" s="12" t="str">
        <x:v>Unsupported Relationship</x:v>
      </x:c>
      <x:c r="E572" s="6" t="str">
        <x:v>Nocturnix_Master_Compatibility_Catalog_v1.xlsx</x:v>
      </x:c>
      <x:c r="F572" s="6" t="str">
        <x:v>01 - Compatibility Records</x:v>
      </x:c>
      <x:c r="G572" s="6" t="n">
        <x:v>297</x:v>
      </x:c>
      <x:c r="H572" s="12" t="str">
        <x:v>PHN</x:v>
      </x:c>
      <x:c r="I572" s="12" t="str">
        <x:v>phn</x:v>
      </x:c>
      <x:c r="J572" s="6" t="str"/>
      <x:c r="K572" s="12" t="str">
        <x:v>Unsupported</x:v>
      </x:c>
      <x:c r="L572" s="12" t="str">
        <x:v>Device family alone is insufficient for governed relationship.</x:v>
      </x:c>
    </x:row>
    <x:row r="573">
      <x:c r="A573" s="12" t="str">
        <x:v>EVID-UNS-000258</x:v>
      </x:c>
      <x:c r="B573" s="6" t="str">
        <x:v>UNS000258</x:v>
      </x:c>
      <x:c r="C573" s="6" t="str">
        <x:v>SVC000258</x:v>
      </x:c>
      <x:c r="D573" s="12" t="str">
        <x:v>Unsupported Relationship</x:v>
      </x:c>
      <x:c r="E573" s="6" t="str">
        <x:v>Nocturnix_Master_Compatibility_Catalog_v1.xlsx</x:v>
      </x:c>
      <x:c r="F573" s="6" t="str">
        <x:v>01 - Compatibility Records</x:v>
      </x:c>
      <x:c r="G573" s="6" t="n">
        <x:v>298</x:v>
      </x:c>
      <x:c r="H573" s="12" t="str">
        <x:v>PHN</x:v>
      </x:c>
      <x:c r="I573" s="12" t="str">
        <x:v>phn</x:v>
      </x:c>
      <x:c r="J573" s="6" t="str"/>
      <x:c r="K573" s="12" t="str">
        <x:v>Unsupported</x:v>
      </x:c>
      <x:c r="L573" s="12" t="str">
        <x:v>Device family alone is insufficient for governed relationship.</x:v>
      </x:c>
    </x:row>
    <x:row r="574">
      <x:c r="A574" s="12" t="str">
        <x:v>EVID-UNS-000259</x:v>
      </x:c>
      <x:c r="B574" s="6" t="str">
        <x:v>UNS000259</x:v>
      </x:c>
      <x:c r="C574" s="6" t="str">
        <x:v>SVC000259</x:v>
      </x:c>
      <x:c r="D574" s="12" t="str">
        <x:v>Unsupported Relationship</x:v>
      </x:c>
      <x:c r="E574" s="6" t="str">
        <x:v>Nocturnix_Master_Compatibility_Catalog_v1.xlsx</x:v>
      </x:c>
      <x:c r="F574" s="6" t="str">
        <x:v>01 - Compatibility Records</x:v>
      </x:c>
      <x:c r="G574" s="6" t="n">
        <x:v>299</x:v>
      </x:c>
      <x:c r="H574" s="12" t="str">
        <x:v>PHN</x:v>
      </x:c>
      <x:c r="I574" s="12" t="str">
        <x:v>phn</x:v>
      </x:c>
      <x:c r="J574" s="6" t="str"/>
      <x:c r="K574" s="12" t="str">
        <x:v>Unsupported</x:v>
      </x:c>
      <x:c r="L574" s="12" t="str">
        <x:v>Device family alone is insufficient for governed relationship.</x:v>
      </x:c>
    </x:row>
    <x:row r="575">
      <x:c r="A575" s="12" t="str">
        <x:v>EVID-UNS-000260</x:v>
      </x:c>
      <x:c r="B575" s="6" t="str">
        <x:v>UNS000260</x:v>
      </x:c>
      <x:c r="C575" s="6" t="str">
        <x:v>SVC000260</x:v>
      </x:c>
      <x:c r="D575" s="12" t="str">
        <x:v>Unsupported Relationship</x:v>
      </x:c>
      <x:c r="E575" s="6" t="str">
        <x:v>Nocturnix_Master_Compatibility_Catalog_v1.xlsx</x:v>
      </x:c>
      <x:c r="F575" s="6" t="str">
        <x:v>01 - Compatibility Records</x:v>
      </x:c>
      <x:c r="G575" s="6" t="n">
        <x:v>300</x:v>
      </x:c>
      <x:c r="H575" s="12" t="str">
        <x:v>PHN</x:v>
      </x:c>
      <x:c r="I575" s="12" t="str">
        <x:v>phn</x:v>
      </x:c>
      <x:c r="J575" s="6" t="str"/>
      <x:c r="K575" s="12" t="str">
        <x:v>Unsupported</x:v>
      </x:c>
      <x:c r="L575" s="12" t="str">
        <x:v>Device family alone is insufficient for governed relationship.</x:v>
      </x:c>
    </x:row>
    <x:row r="576">
      <x:c r="A576" s="12" t="str">
        <x:v>EVID-UNS-000261</x:v>
      </x:c>
      <x:c r="B576" s="6" t="str">
        <x:v>UNS000261</x:v>
      </x:c>
      <x:c r="C576" s="6" t="str">
        <x:v>SVC000261</x:v>
      </x:c>
      <x:c r="D576" s="12" t="str">
        <x:v>Unsupported Relationship</x:v>
      </x:c>
      <x:c r="E576" s="6" t="str">
        <x:v>Nocturnix_Master_Compatibility_Catalog_v1.xlsx</x:v>
      </x:c>
      <x:c r="F576" s="6" t="str">
        <x:v>01 - Compatibility Records</x:v>
      </x:c>
      <x:c r="G576" s="6" t="n">
        <x:v>301</x:v>
      </x:c>
      <x:c r="H576" s="12" t="str">
        <x:v>PHN</x:v>
      </x:c>
      <x:c r="I576" s="12" t="str">
        <x:v>phn</x:v>
      </x:c>
      <x:c r="J576" s="6" t="str"/>
      <x:c r="K576" s="12" t="str">
        <x:v>Unsupported</x:v>
      </x:c>
      <x:c r="L576" s="12" t="str">
        <x:v>Device family alone is insufficient for governed relationship.</x:v>
      </x:c>
    </x:row>
    <x:row r="577">
      <x:c r="A577" s="12" t="str">
        <x:v>EVID-UNS-000262</x:v>
      </x:c>
      <x:c r="B577" s="6" t="str">
        <x:v>UNS000262</x:v>
      </x:c>
      <x:c r="C577" s="6" t="str">
        <x:v>SVC000262</x:v>
      </x:c>
      <x:c r="D577" s="12" t="str">
        <x:v>Unsupported Relationship</x:v>
      </x:c>
      <x:c r="E577" s="6" t="str">
        <x:v>Nocturnix_Master_Compatibility_Catalog_v1.xlsx</x:v>
      </x:c>
      <x:c r="F577" s="6" t="str">
        <x:v>01 - Compatibility Records</x:v>
      </x:c>
      <x:c r="G577" s="6" t="n">
        <x:v>302</x:v>
      </x:c>
      <x:c r="H577" s="12" t="str">
        <x:v>PHN</x:v>
      </x:c>
      <x:c r="I577" s="12" t="str">
        <x:v>phn</x:v>
      </x:c>
      <x:c r="J577" s="6" t="str"/>
      <x:c r="K577" s="12" t="str">
        <x:v>Unsupported</x:v>
      </x:c>
      <x:c r="L577" s="12" t="str">
        <x:v>Device family alone is insufficient for governed relationship.</x:v>
      </x:c>
    </x:row>
    <x:row r="578">
      <x:c r="A578" s="12" t="str">
        <x:v>EVID-UNS-000263</x:v>
      </x:c>
      <x:c r="B578" s="6" t="str">
        <x:v>UNS000263</x:v>
      </x:c>
      <x:c r="C578" s="6" t="str">
        <x:v>SVC000263</x:v>
      </x:c>
      <x:c r="D578" s="12" t="str">
        <x:v>Unsupported Relationship</x:v>
      </x:c>
      <x:c r="E578" s="6" t="str">
        <x:v>Nocturnix_Master_Compatibility_Catalog_v1.xlsx</x:v>
      </x:c>
      <x:c r="F578" s="6" t="str">
        <x:v>01 - Compatibility Records</x:v>
      </x:c>
      <x:c r="G578" s="6" t="n">
        <x:v>303</x:v>
      </x:c>
      <x:c r="H578" s="12" t="str">
        <x:v>PHN</x:v>
      </x:c>
      <x:c r="I578" s="12" t="str">
        <x:v>phn</x:v>
      </x:c>
      <x:c r="J578" s="6" t="str"/>
      <x:c r="K578" s="12" t="str">
        <x:v>Unsupported</x:v>
      </x:c>
      <x:c r="L578" s="12" t="str">
        <x:v>Device family alone is insufficient for governed relationship.</x:v>
      </x:c>
    </x:row>
    <x:row r="579">
      <x:c r="A579" s="12" t="str">
        <x:v>EVID-UNS-000264</x:v>
      </x:c>
      <x:c r="B579" s="6" t="str">
        <x:v>UNS000264</x:v>
      </x:c>
      <x:c r="C579" s="6" t="str">
        <x:v>SVC000264</x:v>
      </x:c>
      <x:c r="D579" s="12" t="str">
        <x:v>Unsupported Relationship</x:v>
      </x:c>
      <x:c r="E579" s="6" t="str">
        <x:v>Nocturnix_Master_Compatibility_Catalog_v1.xlsx</x:v>
      </x:c>
      <x:c r="F579" s="6" t="str">
        <x:v>01 - Compatibility Records</x:v>
      </x:c>
      <x:c r="G579" s="6" t="n">
        <x:v>304</x:v>
      </x:c>
      <x:c r="H579" s="12" t="str">
        <x:v>PHN</x:v>
      </x:c>
      <x:c r="I579" s="12" t="str">
        <x:v>phn</x:v>
      </x:c>
      <x:c r="J579" s="6" t="str"/>
      <x:c r="K579" s="12" t="str">
        <x:v>Unsupported</x:v>
      </x:c>
      <x:c r="L579" s="12" t="str">
        <x:v>Device family alone is insufficient for governed relationship.</x:v>
      </x:c>
    </x:row>
    <x:row r="580">
      <x:c r="A580" s="12" t="str">
        <x:v>EVID-UNS-000265</x:v>
      </x:c>
      <x:c r="B580" s="6" t="str">
        <x:v>UNS000265</x:v>
      </x:c>
      <x:c r="C580" s="6" t="str">
        <x:v>SVC000265</x:v>
      </x:c>
      <x:c r="D580" s="12" t="str">
        <x:v>Unsupported Relationship</x:v>
      </x:c>
      <x:c r="E580" s="6" t="str">
        <x:v>Nocturnix_Master_Compatibility_Catalog_v1.xlsx</x:v>
      </x:c>
      <x:c r="F580" s="6" t="str">
        <x:v>01 - Compatibility Records</x:v>
      </x:c>
      <x:c r="G580" s="6" t="n">
        <x:v>305</x:v>
      </x:c>
      <x:c r="H580" s="12" t="str">
        <x:v>PHN</x:v>
      </x:c>
      <x:c r="I580" s="12" t="str">
        <x:v>phn</x:v>
      </x:c>
      <x:c r="J580" s="6" t="str"/>
      <x:c r="K580" s="12" t="str">
        <x:v>Unsupported</x:v>
      </x:c>
      <x:c r="L580" s="12" t="str">
        <x:v>Device family alone is insufficient for governed relationship.</x:v>
      </x:c>
    </x:row>
    <x:row r="581">
      <x:c r="A581" s="12" t="str">
        <x:v>EVID-UNS-000266</x:v>
      </x:c>
      <x:c r="B581" s="6" t="str">
        <x:v>UNS000266</x:v>
      </x:c>
      <x:c r="C581" s="6" t="str">
        <x:v>SVC000266</x:v>
      </x:c>
      <x:c r="D581" s="12" t="str">
        <x:v>Unsupported Relationship</x:v>
      </x:c>
      <x:c r="E581" s="6" t="str">
        <x:v>Nocturnix_Master_Compatibility_Catalog_v1.xlsx</x:v>
      </x:c>
      <x:c r="F581" s="6" t="str">
        <x:v>01 - Compatibility Records</x:v>
      </x:c>
      <x:c r="G581" s="6" t="n">
        <x:v>306</x:v>
      </x:c>
      <x:c r="H581" s="12" t="str">
        <x:v>PHN</x:v>
      </x:c>
      <x:c r="I581" s="12" t="str">
        <x:v>phn</x:v>
      </x:c>
      <x:c r="J581" s="6" t="str"/>
      <x:c r="K581" s="12" t="str">
        <x:v>Unsupported</x:v>
      </x:c>
      <x:c r="L581" s="12" t="str">
        <x:v>Device family alone is insufficient for governed relationship.</x:v>
      </x:c>
    </x:row>
    <x:row r="582">
      <x:c r="A582" s="12" t="str">
        <x:v>EVID-UNS-000267</x:v>
      </x:c>
      <x:c r="B582" s="6" t="str">
        <x:v>UNS000267</x:v>
      </x:c>
      <x:c r="C582" s="6" t="str">
        <x:v>SVC000267</x:v>
      </x:c>
      <x:c r="D582" s="12" t="str">
        <x:v>Unsupported Relationship</x:v>
      </x:c>
      <x:c r="E582" s="6" t="str">
        <x:v>Nocturnix_Master_Compatibility_Catalog_v1.xlsx</x:v>
      </x:c>
      <x:c r="F582" s="6" t="str">
        <x:v>01 - Compatibility Records</x:v>
      </x:c>
      <x:c r="G582" s="6" t="n">
        <x:v>307</x:v>
      </x:c>
      <x:c r="H582" s="12" t="str">
        <x:v>PHN</x:v>
      </x:c>
      <x:c r="I582" s="12" t="str">
        <x:v>phn</x:v>
      </x:c>
      <x:c r="J582" s="6" t="str"/>
      <x:c r="K582" s="12" t="str">
        <x:v>Unsupported</x:v>
      </x:c>
      <x:c r="L582" s="12" t="str">
        <x:v>Device family alone is insufficient for governed relationship.</x:v>
      </x:c>
    </x:row>
    <x:row r="583">
      <x:c r="A583" s="12" t="str">
        <x:v>EVID-UNS-000268</x:v>
      </x:c>
      <x:c r="B583" s="6" t="str">
        <x:v>UNS000268</x:v>
      </x:c>
      <x:c r="C583" s="6" t="str">
        <x:v>SVC000268</x:v>
      </x:c>
      <x:c r="D583" s="12" t="str">
        <x:v>Unsupported Relationship</x:v>
      </x:c>
      <x:c r="E583" s="6" t="str">
        <x:v>Nocturnix_Master_Compatibility_Catalog_v1.xlsx</x:v>
      </x:c>
      <x:c r="F583" s="6" t="str">
        <x:v>01 - Compatibility Records</x:v>
      </x:c>
      <x:c r="G583" s="6" t="n">
        <x:v>308</x:v>
      </x:c>
      <x:c r="H583" s="12" t="str">
        <x:v>PHN</x:v>
      </x:c>
      <x:c r="I583" s="12" t="str">
        <x:v>phn</x:v>
      </x:c>
      <x:c r="J583" s="6" t="str"/>
      <x:c r="K583" s="12" t="str">
        <x:v>Unsupported</x:v>
      </x:c>
      <x:c r="L583" s="12" t="str">
        <x:v>Device family alone is insufficient for governed relationship.</x:v>
      </x:c>
    </x:row>
    <x:row r="584">
      <x:c r="A584" s="12" t="str">
        <x:v>EVID-UNS-000269</x:v>
      </x:c>
      <x:c r="B584" s="6" t="str">
        <x:v>UNS000269</x:v>
      </x:c>
      <x:c r="C584" s="6" t="str">
        <x:v>SVC000269</x:v>
      </x:c>
      <x:c r="D584" s="12" t="str">
        <x:v>Unsupported Relationship</x:v>
      </x:c>
      <x:c r="E584" s="6" t="str">
        <x:v>Nocturnix_Master_Compatibility_Catalog_v1.xlsx</x:v>
      </x:c>
      <x:c r="F584" s="6" t="str">
        <x:v>01 - Compatibility Records</x:v>
      </x:c>
      <x:c r="G584" s="6" t="n">
        <x:v>309</x:v>
      </x:c>
      <x:c r="H584" s="12" t="str">
        <x:v>PHN</x:v>
      </x:c>
      <x:c r="I584" s="12" t="str">
        <x:v>phn</x:v>
      </x:c>
      <x:c r="J584" s="6" t="str"/>
      <x:c r="K584" s="12" t="str">
        <x:v>Unsupported</x:v>
      </x:c>
      <x:c r="L584" s="12" t="str">
        <x:v>Device family alone is insufficient for governed relationship.</x:v>
      </x:c>
    </x:row>
    <x:row r="585">
      <x:c r="A585" s="12" t="str">
        <x:v>EVID-UNS-000270</x:v>
      </x:c>
      <x:c r="B585" s="6" t="str">
        <x:v>UNS000270</x:v>
      </x:c>
      <x:c r="C585" s="6" t="str">
        <x:v>SVC000270</x:v>
      </x:c>
      <x:c r="D585" s="12" t="str">
        <x:v>Unsupported Relationship</x:v>
      </x:c>
      <x:c r="E585" s="6" t="str">
        <x:v>Nocturnix_Master_Compatibility_Catalog_v1.xlsx</x:v>
      </x:c>
      <x:c r="F585" s="6" t="str">
        <x:v>01 - Compatibility Records</x:v>
      </x:c>
      <x:c r="G585" s="6" t="n">
        <x:v>310</x:v>
      </x:c>
      <x:c r="H585" s="12" t="str">
        <x:v>PHN</x:v>
      </x:c>
      <x:c r="I585" s="12" t="str">
        <x:v>phn</x:v>
      </x:c>
      <x:c r="J585" s="6" t="str"/>
      <x:c r="K585" s="12" t="str">
        <x:v>Unsupported</x:v>
      </x:c>
      <x:c r="L585" s="12" t="str">
        <x:v>Device family alone is insufficient for governed relationship.</x:v>
      </x:c>
    </x:row>
    <x:row r="586">
      <x:c r="A586" s="12" t="str">
        <x:v>EVID-UNS-000271</x:v>
      </x:c>
      <x:c r="B586" s="6" t="str">
        <x:v>UNS000271</x:v>
      </x:c>
      <x:c r="C586" s="6" t="str">
        <x:v>SVC000271</x:v>
      </x:c>
      <x:c r="D586" s="12" t="str">
        <x:v>Unsupported Relationship</x:v>
      </x:c>
      <x:c r="E586" s="6" t="str">
        <x:v>Nocturnix_Master_Compatibility_Catalog_v1.xlsx</x:v>
      </x:c>
      <x:c r="F586" s="6" t="str">
        <x:v>01 - Compatibility Records</x:v>
      </x:c>
      <x:c r="G586" s="6" t="n">
        <x:v>311</x:v>
      </x:c>
      <x:c r="H586" s="12" t="str">
        <x:v>PHN</x:v>
      </x:c>
      <x:c r="I586" s="12" t="str">
        <x:v>phn</x:v>
      </x:c>
      <x:c r="J586" s="6" t="str"/>
      <x:c r="K586" s="12" t="str">
        <x:v>Unsupported</x:v>
      </x:c>
      <x:c r="L586" s="12" t="str">
        <x:v>Device family alone is insufficient for governed relationship.</x:v>
      </x:c>
    </x:row>
    <x:row r="587">
      <x:c r="A587" s="12" t="str">
        <x:v>EVID-UNS-000272</x:v>
      </x:c>
      <x:c r="B587" s="6" t="str">
        <x:v>UNS000272</x:v>
      </x:c>
      <x:c r="C587" s="6" t="str">
        <x:v>SVC000272</x:v>
      </x:c>
      <x:c r="D587" s="12" t="str">
        <x:v>Unsupported Relationship</x:v>
      </x:c>
      <x:c r="E587" s="6" t="str">
        <x:v>Nocturnix_Master_Compatibility_Catalog_v1.xlsx</x:v>
      </x:c>
      <x:c r="F587" s="6" t="str">
        <x:v>01 - Compatibility Records</x:v>
      </x:c>
      <x:c r="G587" s="6" t="n">
        <x:v>312</x:v>
      </x:c>
      <x:c r="H587" s="12" t="str">
        <x:v>PHN</x:v>
      </x:c>
      <x:c r="I587" s="12" t="str">
        <x:v>phn</x:v>
      </x:c>
      <x:c r="J587" s="6" t="str"/>
      <x:c r="K587" s="12" t="str">
        <x:v>Unsupported</x:v>
      </x:c>
      <x:c r="L587" s="12" t="str">
        <x:v>Device family alone is insufficient for governed relationship.</x:v>
      </x:c>
    </x:row>
    <x:row r="588">
      <x:c r="A588" s="12" t="str">
        <x:v>EVID-UNS-000273</x:v>
      </x:c>
      <x:c r="B588" s="6" t="str">
        <x:v>UNS000273</x:v>
      </x:c>
      <x:c r="C588" s="6" t="str">
        <x:v>SVC000273</x:v>
      </x:c>
      <x:c r="D588" s="12" t="str">
        <x:v>Unsupported Relationship</x:v>
      </x:c>
      <x:c r="E588" s="6" t="str">
        <x:v>Nocturnix_Master_Compatibility_Catalog_v1.xlsx</x:v>
      </x:c>
      <x:c r="F588" s="6" t="str">
        <x:v>01 - Compatibility Records</x:v>
      </x:c>
      <x:c r="G588" s="6" t="n">
        <x:v>313</x:v>
      </x:c>
      <x:c r="H588" s="12" t="str">
        <x:v>PHN</x:v>
      </x:c>
      <x:c r="I588" s="12" t="str">
        <x:v>phn</x:v>
      </x:c>
      <x:c r="J588" s="6" t="str"/>
      <x:c r="K588" s="12" t="str">
        <x:v>Unsupported</x:v>
      </x:c>
      <x:c r="L588" s="12" t="str">
        <x:v>Device family alone is insufficient for governed relationship.</x:v>
      </x:c>
    </x:row>
    <x:row r="589">
      <x:c r="A589" s="12" t="str">
        <x:v>EVID-UNS-000274</x:v>
      </x:c>
      <x:c r="B589" s="6" t="str">
        <x:v>UNS000274</x:v>
      </x:c>
      <x:c r="C589" s="6" t="str">
        <x:v>SVC000274</x:v>
      </x:c>
      <x:c r="D589" s="12" t="str">
        <x:v>Unsupported Relationship</x:v>
      </x:c>
      <x:c r="E589" s="6" t="str">
        <x:v>Nocturnix_Master_Compatibility_Catalog_v1.xlsx</x:v>
      </x:c>
      <x:c r="F589" s="6" t="str">
        <x:v>01 - Compatibility Records</x:v>
      </x:c>
      <x:c r="G589" s="6" t="n">
        <x:v>314</x:v>
      </x:c>
      <x:c r="H589" s="12" t="str">
        <x:v>PHN</x:v>
      </x:c>
      <x:c r="I589" s="12" t="str">
        <x:v>phn</x:v>
      </x:c>
      <x:c r="J589" s="6" t="str"/>
      <x:c r="K589" s="12" t="str">
        <x:v>Unsupported</x:v>
      </x:c>
      <x:c r="L589" s="12" t="str">
        <x:v>Device family alone is insufficient for governed relationship.</x:v>
      </x:c>
    </x:row>
    <x:row r="590">
      <x:c r="A590" s="12" t="str">
        <x:v>EVID-UNS-000275</x:v>
      </x:c>
      <x:c r="B590" s="6" t="str">
        <x:v>UNS000275</x:v>
      </x:c>
      <x:c r="C590" s="6" t="str">
        <x:v>SVC000275</x:v>
      </x:c>
      <x:c r="D590" s="12" t="str">
        <x:v>Unsupported Relationship</x:v>
      </x:c>
      <x:c r="E590" s="6" t="str">
        <x:v>Nocturnix_Master_Compatibility_Catalog_v1.xlsx</x:v>
      </x:c>
      <x:c r="F590" s="6" t="str">
        <x:v>01 - Compatibility Records</x:v>
      </x:c>
      <x:c r="G590" s="6" t="n">
        <x:v>315</x:v>
      </x:c>
      <x:c r="H590" s="12" t="str">
        <x:v>PHN</x:v>
      </x:c>
      <x:c r="I590" s="12" t="str">
        <x:v>phn</x:v>
      </x:c>
      <x:c r="J590" s="6" t="str"/>
      <x:c r="K590" s="12" t="str">
        <x:v>Unsupported</x:v>
      </x:c>
      <x:c r="L590" s="12" t="str">
        <x:v>Device family alone is insufficient for governed relationship.</x:v>
      </x:c>
    </x:row>
    <x:row r="591">
      <x:c r="A591" s="12" t="str">
        <x:v>EVID-UNS-000276</x:v>
      </x:c>
      <x:c r="B591" s="6" t="str">
        <x:v>UNS000276</x:v>
      </x:c>
      <x:c r="C591" s="6" t="str">
        <x:v>SVC000276</x:v>
      </x:c>
      <x:c r="D591" s="12" t="str">
        <x:v>Unsupported Relationship</x:v>
      </x:c>
      <x:c r="E591" s="6" t="str">
        <x:v>Nocturnix_Master_Compatibility_Catalog_v1.xlsx</x:v>
      </x:c>
      <x:c r="F591" s="6" t="str">
        <x:v>01 - Compatibility Records</x:v>
      </x:c>
      <x:c r="G591" s="6" t="n">
        <x:v>316</x:v>
      </x:c>
      <x:c r="H591" s="12" t="str">
        <x:v>PHN</x:v>
      </x:c>
      <x:c r="I591" s="12" t="str">
        <x:v>phn</x:v>
      </x:c>
      <x:c r="J591" s="6" t="str"/>
      <x:c r="K591" s="12" t="str">
        <x:v>Unsupported</x:v>
      </x:c>
      <x:c r="L591" s="12" t="str">
        <x:v>Device family alone is insufficient for governed relationship.</x:v>
      </x:c>
    </x:row>
    <x:row r="592">
      <x:c r="A592" s="12" t="str">
        <x:v>EVID-UNS-000277</x:v>
      </x:c>
      <x:c r="B592" s="6" t="str">
        <x:v>UNS000277</x:v>
      </x:c>
      <x:c r="C592" s="6" t="str">
        <x:v>SVC000277</x:v>
      </x:c>
      <x:c r="D592" s="12" t="str">
        <x:v>Unsupported Relationship</x:v>
      </x:c>
      <x:c r="E592" s="6" t="str">
        <x:v>Nocturnix_Master_Compatibility_Catalog_v1.xlsx</x:v>
      </x:c>
      <x:c r="F592" s="6" t="str">
        <x:v>01 - Compatibility Records</x:v>
      </x:c>
      <x:c r="G592" s="6" t="n">
        <x:v>317</x:v>
      </x:c>
      <x:c r="H592" s="12" t="str">
        <x:v>PHN</x:v>
      </x:c>
      <x:c r="I592" s="12" t="str">
        <x:v>phn</x:v>
      </x:c>
      <x:c r="J592" s="6" t="str"/>
      <x:c r="K592" s="12" t="str">
        <x:v>Unsupported</x:v>
      </x:c>
      <x:c r="L592" s="12" t="str">
        <x:v>Device family alone is insufficient for governed relationship.</x:v>
      </x:c>
    </x:row>
    <x:row r="593">
      <x:c r="A593" s="12" t="str">
        <x:v>EVID-UNS-000278</x:v>
      </x:c>
      <x:c r="B593" s="6" t="str">
        <x:v>UNS000278</x:v>
      </x:c>
      <x:c r="C593" s="6" t="str">
        <x:v>SVC000278</x:v>
      </x:c>
      <x:c r="D593" s="12" t="str">
        <x:v>Unsupported Relationship</x:v>
      </x:c>
      <x:c r="E593" s="6" t="str">
        <x:v>Nocturnix_Master_Compatibility_Catalog_v1.xlsx</x:v>
      </x:c>
      <x:c r="F593" s="6" t="str">
        <x:v>01 - Compatibility Records</x:v>
      </x:c>
      <x:c r="G593" s="6" t="n">
        <x:v>318</x:v>
      </x:c>
      <x:c r="H593" s="12" t="str">
        <x:v>PHN</x:v>
      </x:c>
      <x:c r="I593" s="12" t="str">
        <x:v>phn</x:v>
      </x:c>
      <x:c r="J593" s="6" t="str"/>
      <x:c r="K593" s="12" t="str">
        <x:v>Unsupported</x:v>
      </x:c>
      <x:c r="L593" s="12" t="str">
        <x:v>Device family alone is insufficient for governed relationship.</x:v>
      </x:c>
    </x:row>
    <x:row r="594">
      <x:c r="A594" s="12" t="str">
        <x:v>EVID-UNS-000279</x:v>
      </x:c>
      <x:c r="B594" s="6" t="str">
        <x:v>UNS000279</x:v>
      </x:c>
      <x:c r="C594" s="6" t="str">
        <x:v>SVC000279</x:v>
      </x:c>
      <x:c r="D594" s="12" t="str">
        <x:v>Unsupported Relationship</x:v>
      </x:c>
      <x:c r="E594" s="6" t="str">
        <x:v>Nocturnix_Master_Compatibility_Catalog_v1.xlsx</x:v>
      </x:c>
      <x:c r="F594" s="6" t="str">
        <x:v>01 - Compatibility Records</x:v>
      </x:c>
      <x:c r="G594" s="6" t="n">
        <x:v>319</x:v>
      </x:c>
      <x:c r="H594" s="12" t="str">
        <x:v>PHN</x:v>
      </x:c>
      <x:c r="I594" s="12" t="str">
        <x:v>phn</x:v>
      </x:c>
      <x:c r="J594" s="6" t="str"/>
      <x:c r="K594" s="12" t="str">
        <x:v>Unsupported</x:v>
      </x:c>
      <x:c r="L594" s="12" t="str">
        <x:v>Device family alone is insufficient for governed relationship.</x:v>
      </x:c>
    </x:row>
    <x:row r="595">
      <x:c r="A595" s="12" t="str">
        <x:v>EVID-UNS-000280</x:v>
      </x:c>
      <x:c r="B595" s="6" t="str">
        <x:v>UNS000280</x:v>
      </x:c>
      <x:c r="C595" s="6" t="str">
        <x:v>SVC000280</x:v>
      </x:c>
      <x:c r="D595" s="12" t="str">
        <x:v>Unsupported Relationship</x:v>
      </x:c>
      <x:c r="E595" s="6" t="str">
        <x:v>Nocturnix_Master_Compatibility_Catalog_v1.xlsx</x:v>
      </x:c>
      <x:c r="F595" s="6" t="str">
        <x:v>01 - Compatibility Records</x:v>
      </x:c>
      <x:c r="G595" s="6" t="n">
        <x:v>320</x:v>
      </x:c>
      <x:c r="H595" s="12" t="str">
        <x:v>PHN</x:v>
      </x:c>
      <x:c r="I595" s="12" t="str">
        <x:v>phn</x:v>
      </x:c>
      <x:c r="J595" s="6" t="str"/>
      <x:c r="K595" s="12" t="str">
        <x:v>Unsupported</x:v>
      </x:c>
      <x:c r="L595" s="12" t="str">
        <x:v>Device family alone is insufficient for governed relationship.</x:v>
      </x:c>
    </x:row>
    <x:row r="596">
      <x:c r="A596" s="12" t="str">
        <x:v>EVID-UNS-000281</x:v>
      </x:c>
      <x:c r="B596" s="6" t="str">
        <x:v>UNS000281</x:v>
      </x:c>
      <x:c r="C596" s="6" t="str">
        <x:v>SVC000281</x:v>
      </x:c>
      <x:c r="D596" s="12" t="str">
        <x:v>Unsupported Relationship</x:v>
      </x:c>
      <x:c r="E596" s="6" t="str">
        <x:v>Nocturnix_Master_Compatibility_Catalog_v1.xlsx</x:v>
      </x:c>
      <x:c r="F596" s="6" t="str">
        <x:v>01 - Compatibility Records</x:v>
      </x:c>
      <x:c r="G596" s="6" t="n">
        <x:v>321</x:v>
      </x:c>
      <x:c r="H596" s="12" t="str">
        <x:v>PHN</x:v>
      </x:c>
      <x:c r="I596" s="12" t="str">
        <x:v>phn</x:v>
      </x:c>
      <x:c r="J596" s="6" t="str"/>
      <x:c r="K596" s="12" t="str">
        <x:v>Unsupported</x:v>
      </x:c>
      <x:c r="L596" s="12" t="str">
        <x:v>Device family alone is insufficient for governed relationship.</x:v>
      </x:c>
    </x:row>
    <x:row r="597">
      <x:c r="A597" s="12" t="str">
        <x:v>EVID-UNS-000282</x:v>
      </x:c>
      <x:c r="B597" s="6" t="str">
        <x:v>UNS000282</x:v>
      </x:c>
      <x:c r="C597" s="6" t="str">
        <x:v>SVC000282</x:v>
      </x:c>
      <x:c r="D597" s="12" t="str">
        <x:v>Unsupported Relationship</x:v>
      </x:c>
      <x:c r="E597" s="6" t="str">
        <x:v>Nocturnix_Master_Compatibility_Catalog_v1.xlsx</x:v>
      </x:c>
      <x:c r="F597" s="6" t="str">
        <x:v>01 - Compatibility Records</x:v>
      </x:c>
      <x:c r="G597" s="6" t="n">
        <x:v>322</x:v>
      </x:c>
      <x:c r="H597" s="12" t="str">
        <x:v>PHN</x:v>
      </x:c>
      <x:c r="I597" s="12" t="str">
        <x:v>phn</x:v>
      </x:c>
      <x:c r="J597" s="6" t="str"/>
      <x:c r="K597" s="12" t="str">
        <x:v>Unsupported</x:v>
      </x:c>
      <x:c r="L597" s="12" t="str">
        <x:v>Device family alone is insufficient for governed relationship.</x:v>
      </x:c>
    </x:row>
    <x:row r="598">
      <x:c r="A598" s="12" t="str">
        <x:v>EVID-UNS-000283</x:v>
      </x:c>
      <x:c r="B598" s="6" t="str">
        <x:v>UNS000283</x:v>
      </x:c>
      <x:c r="C598" s="6" t="str">
        <x:v>SVC000283</x:v>
      </x:c>
      <x:c r="D598" s="12" t="str">
        <x:v>Unsupported Relationship</x:v>
      </x:c>
      <x:c r="E598" s="6" t="str">
        <x:v>Nocturnix_Master_Compatibility_Catalog_v1.xlsx</x:v>
      </x:c>
      <x:c r="F598" s="6" t="str">
        <x:v>01 - Compatibility Records</x:v>
      </x:c>
      <x:c r="G598" s="6" t="n">
        <x:v>323</x:v>
      </x:c>
      <x:c r="H598" s="12" t="str">
        <x:v>PHN</x:v>
      </x:c>
      <x:c r="I598" s="12" t="str">
        <x:v>phn</x:v>
      </x:c>
      <x:c r="J598" s="6" t="str"/>
      <x:c r="K598" s="12" t="str">
        <x:v>Unsupported</x:v>
      </x:c>
      <x:c r="L598" s="12" t="str">
        <x:v>Device family alone is insufficient for governed relationship.</x:v>
      </x:c>
    </x:row>
    <x:row r="599">
      <x:c r="A599" s="12" t="str">
        <x:v>EVID-UNS-000284</x:v>
      </x:c>
      <x:c r="B599" s="6" t="str">
        <x:v>UNS000284</x:v>
      </x:c>
      <x:c r="C599" s="6" t="str">
        <x:v>SVC000284</x:v>
      </x:c>
      <x:c r="D599" s="12" t="str">
        <x:v>Unsupported Relationship</x:v>
      </x:c>
      <x:c r="E599" s="6" t="str">
        <x:v>Nocturnix_Master_Compatibility_Catalog_v1.xlsx</x:v>
      </x:c>
      <x:c r="F599" s="6" t="str">
        <x:v>01 - Compatibility Records</x:v>
      </x:c>
      <x:c r="G599" s="6" t="n">
        <x:v>324</x:v>
      </x:c>
      <x:c r="H599" s="12" t="str">
        <x:v>PHN</x:v>
      </x:c>
      <x:c r="I599" s="12" t="str">
        <x:v>phn</x:v>
      </x:c>
      <x:c r="J599" s="6" t="str"/>
      <x:c r="K599" s="12" t="str">
        <x:v>Unsupported</x:v>
      </x:c>
      <x:c r="L599" s="12" t="str">
        <x:v>Device family alone is insufficient for governed relationship.</x:v>
      </x:c>
    </x:row>
    <x:row r="600">
      <x:c r="A600" s="12" t="str">
        <x:v>EVID-UNS-000285</x:v>
      </x:c>
      <x:c r="B600" s="6" t="str">
        <x:v>UNS000285</x:v>
      </x:c>
      <x:c r="C600" s="6" t="str">
        <x:v>SVC000285</x:v>
      </x:c>
      <x:c r="D600" s="12" t="str">
        <x:v>Unsupported Relationship</x:v>
      </x:c>
      <x:c r="E600" s="6" t="str">
        <x:v>Nocturnix_Master_Compatibility_Catalog_v1.xlsx</x:v>
      </x:c>
      <x:c r="F600" s="6" t="str">
        <x:v>01 - Compatibility Records</x:v>
      </x:c>
      <x:c r="G600" s="6" t="n">
        <x:v>325</x:v>
      </x:c>
      <x:c r="H600" s="12" t="str">
        <x:v>PHN</x:v>
      </x:c>
      <x:c r="I600" s="12" t="str">
        <x:v>phn</x:v>
      </x:c>
      <x:c r="J600" s="6" t="str"/>
      <x:c r="K600" s="12" t="str">
        <x:v>Unsupported</x:v>
      </x:c>
      <x:c r="L600" s="12" t="str">
        <x:v>Device family alone is insufficient for governed relationship.</x:v>
      </x:c>
    </x:row>
    <x:row r="601">
      <x:c r="A601" s="12" t="str">
        <x:v>EVID-UNS-000286</x:v>
      </x:c>
      <x:c r="B601" s="6" t="str">
        <x:v>UNS000286</x:v>
      </x:c>
      <x:c r="C601" s="6" t="str">
        <x:v>SVC000286</x:v>
      </x:c>
      <x:c r="D601" s="12" t="str">
        <x:v>Unsupported Relationship</x:v>
      </x:c>
      <x:c r="E601" s="6" t="str">
        <x:v>Nocturnix_Master_Compatibility_Catalog_v1.xlsx</x:v>
      </x:c>
      <x:c r="F601" s="6" t="str">
        <x:v>01 - Compatibility Records</x:v>
      </x:c>
      <x:c r="G601" s="6" t="n">
        <x:v>326</x:v>
      </x:c>
      <x:c r="H601" s="12" t="str">
        <x:v>PHN</x:v>
      </x:c>
      <x:c r="I601" s="12" t="str">
        <x:v>phn</x:v>
      </x:c>
      <x:c r="J601" s="6" t="str"/>
      <x:c r="K601" s="12" t="str">
        <x:v>Unsupported</x:v>
      </x:c>
      <x:c r="L601" s="12" t="str">
        <x:v>Device family alone is insufficient for governed relationship.</x:v>
      </x:c>
    </x:row>
    <x:row r="602">
      <x:c r="A602" s="12" t="str">
        <x:v>EVID-UNS-000287</x:v>
      </x:c>
      <x:c r="B602" s="6" t="str">
        <x:v>UNS000287</x:v>
      </x:c>
      <x:c r="C602" s="6" t="str">
        <x:v>SVC000287</x:v>
      </x:c>
      <x:c r="D602" s="12" t="str">
        <x:v>Unsupported Relationship</x:v>
      </x:c>
      <x:c r="E602" s="6" t="str">
        <x:v>Nocturnix_Master_Compatibility_Catalog_v1.xlsx</x:v>
      </x:c>
      <x:c r="F602" s="6" t="str">
        <x:v>01 - Compatibility Records</x:v>
      </x:c>
      <x:c r="G602" s="6" t="n">
        <x:v>327</x:v>
      </x:c>
      <x:c r="H602" s="12" t="str">
        <x:v>PHN</x:v>
      </x:c>
      <x:c r="I602" s="12" t="str">
        <x:v>phn</x:v>
      </x:c>
      <x:c r="J602" s="6" t="str"/>
      <x:c r="K602" s="12" t="str">
        <x:v>Unsupported</x:v>
      </x:c>
      <x:c r="L602" s="12" t="str">
        <x:v>Device family alone is insufficient for governed relationship.</x:v>
      </x:c>
    </x:row>
    <x:row r="603">
      <x:c r="A603" s="12" t="str">
        <x:v>EVID-UNS-000288</x:v>
      </x:c>
      <x:c r="B603" s="6" t="str">
        <x:v>UNS000288</x:v>
      </x:c>
      <x:c r="C603" s="6" t="str">
        <x:v>SVC000288</x:v>
      </x:c>
      <x:c r="D603" s="12" t="str">
        <x:v>Unsupported Relationship</x:v>
      </x:c>
      <x:c r="E603" s="6" t="str">
        <x:v>Nocturnix_Master_Compatibility_Catalog_v1.xlsx</x:v>
      </x:c>
      <x:c r="F603" s="6" t="str">
        <x:v>01 - Compatibility Records</x:v>
      </x:c>
      <x:c r="G603" s="6" t="n">
        <x:v>328</x:v>
      </x:c>
      <x:c r="H603" s="12" t="str">
        <x:v>PHN</x:v>
      </x:c>
      <x:c r="I603" s="12" t="str">
        <x:v>phn</x:v>
      </x:c>
      <x:c r="J603" s="6" t="str"/>
      <x:c r="K603" s="12" t="str">
        <x:v>Unsupported</x:v>
      </x:c>
      <x:c r="L603" s="12" t="str">
        <x:v>Device family alone is insufficient for governed relationship.</x:v>
      </x:c>
    </x:row>
    <x:row r="604">
      <x:c r="A604" s="12" t="str">
        <x:v>EVID-UNS-000289</x:v>
      </x:c>
      <x:c r="B604" s="6" t="str">
        <x:v>UNS000289</x:v>
      </x:c>
      <x:c r="C604" s="6" t="str">
        <x:v>SVC000289</x:v>
      </x:c>
      <x:c r="D604" s="12" t="str">
        <x:v>Unsupported Relationship</x:v>
      </x:c>
      <x:c r="E604" s="6" t="str">
        <x:v>Nocturnix_Master_Compatibility_Catalog_v1.xlsx</x:v>
      </x:c>
      <x:c r="F604" s="6" t="str">
        <x:v>01 - Compatibility Records</x:v>
      </x:c>
      <x:c r="G604" s="6" t="n">
        <x:v>329</x:v>
      </x:c>
      <x:c r="H604" s="12" t="str">
        <x:v>PHN</x:v>
      </x:c>
      <x:c r="I604" s="12" t="str">
        <x:v>phn</x:v>
      </x:c>
      <x:c r="J604" s="6" t="str"/>
      <x:c r="K604" s="12" t="str">
        <x:v>Unsupported</x:v>
      </x:c>
      <x:c r="L604" s="12" t="str">
        <x:v>Device family alone is insufficient for governed relationship.</x:v>
      </x:c>
    </x:row>
    <x:row r="605">
      <x:c r="A605" s="12" t="str">
        <x:v>EVID-UNS-000290</x:v>
      </x:c>
      <x:c r="B605" s="6" t="str">
        <x:v>UNS000290</x:v>
      </x:c>
      <x:c r="C605" s="6" t="str">
        <x:v>SVC000290</x:v>
      </x:c>
      <x:c r="D605" s="12" t="str">
        <x:v>Unsupported Relationship</x:v>
      </x:c>
      <x:c r="E605" s="6" t="str">
        <x:v>Nocturnix_Master_Compatibility_Catalog_v1.xlsx</x:v>
      </x:c>
      <x:c r="F605" s="6" t="str">
        <x:v>01 - Compatibility Records</x:v>
      </x:c>
      <x:c r="G605" s="6" t="n">
        <x:v>330</x:v>
      </x:c>
      <x:c r="H605" s="12" t="str">
        <x:v>PHN</x:v>
      </x:c>
      <x:c r="I605" s="12" t="str">
        <x:v>phn</x:v>
      </x:c>
      <x:c r="J605" s="6" t="str"/>
      <x:c r="K605" s="12" t="str">
        <x:v>Unsupported</x:v>
      </x:c>
      <x:c r="L605" s="12" t="str">
        <x:v>Device family alone is insufficient for governed relationship.</x:v>
      </x:c>
    </x:row>
    <x:row r="606">
      <x:c r="A606" s="12" t="str">
        <x:v>EVID-UNS-000291</x:v>
      </x:c>
      <x:c r="B606" s="6" t="str">
        <x:v>UNS000291</x:v>
      </x:c>
      <x:c r="C606" s="6" t="str">
        <x:v>SVC000291</x:v>
      </x:c>
      <x:c r="D606" s="12" t="str">
        <x:v>Unsupported Relationship</x:v>
      </x:c>
      <x:c r="E606" s="6" t="str">
        <x:v>Nocturnix_Master_Compatibility_Catalog_v1.xlsx</x:v>
      </x:c>
      <x:c r="F606" s="6" t="str">
        <x:v>01 - Compatibility Records</x:v>
      </x:c>
      <x:c r="G606" s="6" t="n">
        <x:v>331</x:v>
      </x:c>
      <x:c r="H606" s="12" t="str">
        <x:v>PHN</x:v>
      </x:c>
      <x:c r="I606" s="12" t="str">
        <x:v>phn</x:v>
      </x:c>
      <x:c r="J606" s="6" t="str"/>
      <x:c r="K606" s="12" t="str">
        <x:v>Unsupported</x:v>
      </x:c>
      <x:c r="L606" s="12" t="str">
        <x:v>Device family alone is insufficient for governed relationship.</x:v>
      </x:c>
    </x:row>
    <x:row r="607">
      <x:c r="A607" s="12" t="str">
        <x:v>EVID-UNS-000292</x:v>
      </x:c>
      <x:c r="B607" s="6" t="str">
        <x:v>UNS000292</x:v>
      </x:c>
      <x:c r="C607" s="6" t="str">
        <x:v>SVC000292</x:v>
      </x:c>
      <x:c r="D607" s="12" t="str">
        <x:v>Unsupported Relationship</x:v>
      </x:c>
      <x:c r="E607" s="6" t="str">
        <x:v>Nocturnix_Master_Compatibility_Catalog_v1.xlsx</x:v>
      </x:c>
      <x:c r="F607" s="6" t="str">
        <x:v>01 - Compatibility Records</x:v>
      </x:c>
      <x:c r="G607" s="6" t="n">
        <x:v>332</x:v>
      </x:c>
      <x:c r="H607" s="12" t="str">
        <x:v>PHN</x:v>
      </x:c>
      <x:c r="I607" s="12" t="str">
        <x:v>phn</x:v>
      </x:c>
      <x:c r="J607" s="6" t="str"/>
      <x:c r="K607" s="12" t="str">
        <x:v>Unsupported</x:v>
      </x:c>
      <x:c r="L607" s="12" t="str">
        <x:v>Device family alone is insufficient for governed relationship.</x:v>
      </x:c>
    </x:row>
    <x:row r="608">
      <x:c r="A608" s="12" t="str">
        <x:v>EVID-UNS-000293</x:v>
      </x:c>
      <x:c r="B608" s="6" t="str">
        <x:v>UNS000293</x:v>
      </x:c>
      <x:c r="C608" s="6" t="str">
        <x:v>SVC000293</x:v>
      </x:c>
      <x:c r="D608" s="12" t="str">
        <x:v>Unsupported Relationship</x:v>
      </x:c>
      <x:c r="E608" s="6" t="str">
        <x:v>Nocturnix_Master_Compatibility_Catalog_v1.xlsx</x:v>
      </x:c>
      <x:c r="F608" s="6" t="str">
        <x:v>01 - Compatibility Records</x:v>
      </x:c>
      <x:c r="G608" s="6" t="n">
        <x:v>333</x:v>
      </x:c>
      <x:c r="H608" s="12" t="str">
        <x:v>PHN</x:v>
      </x:c>
      <x:c r="I608" s="12" t="str">
        <x:v>phn</x:v>
      </x:c>
      <x:c r="J608" s="6" t="str"/>
      <x:c r="K608" s="12" t="str">
        <x:v>Unsupported</x:v>
      </x:c>
      <x:c r="L608" s="12" t="str">
        <x:v>Device family alone is insufficient for governed relationship.</x:v>
      </x:c>
    </x:row>
    <x:row r="609">
      <x:c r="A609" s="12" t="str">
        <x:v>EVID-UNS-000294</x:v>
      </x:c>
      <x:c r="B609" s="6" t="str">
        <x:v>UNS000294</x:v>
      </x:c>
      <x:c r="C609" s="6" t="str">
        <x:v>SVC000294</x:v>
      </x:c>
      <x:c r="D609" s="12" t="str">
        <x:v>Unsupported Relationship</x:v>
      </x:c>
      <x:c r="E609" s="6" t="str">
        <x:v>Nocturnix_Master_Compatibility_Catalog_v1.xlsx</x:v>
      </x:c>
      <x:c r="F609" s="6" t="str">
        <x:v>01 - Compatibility Records</x:v>
      </x:c>
      <x:c r="G609" s="6" t="n">
        <x:v>334</x:v>
      </x:c>
      <x:c r="H609" s="12" t="str">
        <x:v>PHN</x:v>
      </x:c>
      <x:c r="I609" s="12" t="str">
        <x:v>phn</x:v>
      </x:c>
      <x:c r="J609" s="6" t="str"/>
      <x:c r="K609" s="12" t="str">
        <x:v>Unsupported</x:v>
      </x:c>
      <x:c r="L609" s="12" t="str">
        <x:v>Device family alone is insufficient for governed relationship.</x:v>
      </x:c>
    </x:row>
    <x:row r="610">
      <x:c r="A610" s="12" t="str">
        <x:v>EVID-UNS-000295</x:v>
      </x:c>
      <x:c r="B610" s="6" t="str">
        <x:v>UNS000295</x:v>
      </x:c>
      <x:c r="C610" s="6" t="str">
        <x:v>SVC000295</x:v>
      </x:c>
      <x:c r="D610" s="12" t="str">
        <x:v>Unsupported Relationship</x:v>
      </x:c>
      <x:c r="E610" s="6" t="str">
        <x:v>Nocturnix_Master_Compatibility_Catalog_v1.xlsx</x:v>
      </x:c>
      <x:c r="F610" s="6" t="str">
        <x:v>01 - Compatibility Records</x:v>
      </x:c>
      <x:c r="G610" s="6" t="n">
        <x:v>335</x:v>
      </x:c>
      <x:c r="H610" s="12" t="str">
        <x:v>PHN</x:v>
      </x:c>
      <x:c r="I610" s="12" t="str">
        <x:v>phn</x:v>
      </x:c>
      <x:c r="J610" s="6" t="str"/>
      <x:c r="K610" s="12" t="str">
        <x:v>Unsupported</x:v>
      </x:c>
      <x:c r="L610" s="12" t="str">
        <x:v>Device family alone is insufficient for governed relationship.</x:v>
      </x:c>
    </x:row>
    <x:row r="611">
      <x:c r="A611" s="12" t="str">
        <x:v>EVID-UNS-000296</x:v>
      </x:c>
      <x:c r="B611" s="6" t="str">
        <x:v>UNS000296</x:v>
      </x:c>
      <x:c r="C611" s="6" t="str">
        <x:v>SVC000296</x:v>
      </x:c>
      <x:c r="D611" s="12" t="str">
        <x:v>Unsupported Relationship</x:v>
      </x:c>
      <x:c r="E611" s="6" t="str">
        <x:v>Nocturnix_Master_Compatibility_Catalog_v1.xlsx</x:v>
      </x:c>
      <x:c r="F611" s="6" t="str">
        <x:v>01 - Compatibility Records</x:v>
      </x:c>
      <x:c r="G611" s="6" t="n">
        <x:v>336</x:v>
      </x:c>
      <x:c r="H611" s="12" t="str">
        <x:v>PHN</x:v>
      </x:c>
      <x:c r="I611" s="12" t="str">
        <x:v>phn</x:v>
      </x:c>
      <x:c r="J611" s="6" t="str"/>
      <x:c r="K611" s="12" t="str">
        <x:v>Unsupported</x:v>
      </x:c>
      <x:c r="L611" s="12" t="str">
        <x:v>Device family alone is insufficient for governed relationship.</x:v>
      </x:c>
    </x:row>
    <x:row r="612">
      <x:c r="A612" s="12" t="str">
        <x:v>EVID-UNS-000297</x:v>
      </x:c>
      <x:c r="B612" s="6" t="str">
        <x:v>UNS000297</x:v>
      </x:c>
      <x:c r="C612" s="6" t="str">
        <x:v>SVC000297</x:v>
      </x:c>
      <x:c r="D612" s="12" t="str">
        <x:v>Unsupported Relationship</x:v>
      </x:c>
      <x:c r="E612" s="6" t="str">
        <x:v>Nocturnix_Master_Compatibility_Catalog_v1.xlsx</x:v>
      </x:c>
      <x:c r="F612" s="6" t="str">
        <x:v>01 - Compatibility Records</x:v>
      </x:c>
      <x:c r="G612" s="6" t="n">
        <x:v>337</x:v>
      </x:c>
      <x:c r="H612" s="12" t="str">
        <x:v>PHN</x:v>
      </x:c>
      <x:c r="I612" s="12" t="str">
        <x:v>phn</x:v>
      </x:c>
      <x:c r="J612" s="6" t="str"/>
      <x:c r="K612" s="12" t="str">
        <x:v>Unsupported</x:v>
      </x:c>
      <x:c r="L612" s="12" t="str">
        <x:v>Device family alone is insufficient for governed relationship.</x:v>
      </x:c>
    </x:row>
    <x:row r="613">
      <x:c r="A613" s="12" t="str">
        <x:v>EVID-UNS-000298</x:v>
      </x:c>
      <x:c r="B613" s="6" t="str">
        <x:v>UNS000298</x:v>
      </x:c>
      <x:c r="C613" s="6" t="str">
        <x:v>SVC000298</x:v>
      </x:c>
      <x:c r="D613" s="12" t="str">
        <x:v>Unsupported Relationship</x:v>
      </x:c>
      <x:c r="E613" s="6" t="str">
        <x:v>Nocturnix_Master_Compatibility_Catalog_v1.xlsx</x:v>
      </x:c>
      <x:c r="F613" s="6" t="str">
        <x:v>01 - Compatibility Records</x:v>
      </x:c>
      <x:c r="G613" s="6" t="n">
        <x:v>338</x:v>
      </x:c>
      <x:c r="H613" s="12" t="str">
        <x:v>PHN</x:v>
      </x:c>
      <x:c r="I613" s="12" t="str">
        <x:v>phn</x:v>
      </x:c>
      <x:c r="J613" s="6" t="str"/>
      <x:c r="K613" s="12" t="str">
        <x:v>Unsupported</x:v>
      </x:c>
      <x:c r="L613" s="12" t="str">
        <x:v>Device family alone is insufficient for governed relationship.</x:v>
      </x:c>
    </x:row>
    <x:row r="614">
      <x:c r="A614" s="12" t="str">
        <x:v>EVID-UNS-000299</x:v>
      </x:c>
      <x:c r="B614" s="6" t="str">
        <x:v>UNS000299</x:v>
      </x:c>
      <x:c r="C614" s="6" t="str">
        <x:v>SVC000299</x:v>
      </x:c>
      <x:c r="D614" s="12" t="str">
        <x:v>Unsupported Relationship</x:v>
      </x:c>
      <x:c r="E614" s="6" t="str">
        <x:v>Nocturnix_Master_Compatibility_Catalog_v1.xlsx</x:v>
      </x:c>
      <x:c r="F614" s="6" t="str">
        <x:v>01 - Compatibility Records</x:v>
      </x:c>
      <x:c r="G614" s="6" t="n">
        <x:v>339</x:v>
      </x:c>
      <x:c r="H614" s="12" t="str">
        <x:v>PHN</x:v>
      </x:c>
      <x:c r="I614" s="12" t="str">
        <x:v>phn</x:v>
      </x:c>
      <x:c r="J614" s="6" t="str"/>
      <x:c r="K614" s="12" t="str">
        <x:v>Unsupported</x:v>
      </x:c>
      <x:c r="L614" s="12" t="str">
        <x:v>Device family alone is insufficient for governed relationship.</x:v>
      </x:c>
    </x:row>
    <x:row r="615">
      <x:c r="A615" s="12" t="str">
        <x:v>EVID-UNS-000300</x:v>
      </x:c>
      <x:c r="B615" s="6" t="str">
        <x:v>UNS000300</x:v>
      </x:c>
      <x:c r="C615" s="6" t="str">
        <x:v>SVC000300</x:v>
      </x:c>
      <x:c r="D615" s="12" t="str">
        <x:v>Unsupported Relationship</x:v>
      </x:c>
      <x:c r="E615" s="6" t="str">
        <x:v>Nocturnix_Master_Compatibility_Catalog_v1.xlsx</x:v>
      </x:c>
      <x:c r="F615" s="6" t="str">
        <x:v>01 - Compatibility Records</x:v>
      </x:c>
      <x:c r="G615" s="6" t="n">
        <x:v>340</x:v>
      </x:c>
      <x:c r="H615" s="12" t="str">
        <x:v>PHN</x:v>
      </x:c>
      <x:c r="I615" s="12" t="str">
        <x:v>phn</x:v>
      </x:c>
      <x:c r="J615" s="6" t="str"/>
      <x:c r="K615" s="12" t="str">
        <x:v>Unsupported</x:v>
      </x:c>
      <x:c r="L615" s="12" t="str">
        <x:v>Device family alone is insufficient for governed relationship.</x:v>
      </x:c>
    </x:row>
    <x:row r="616">
      <x:c r="A616" s="12" t="str">
        <x:v>EVID-UNS-000301</x:v>
      </x:c>
      <x:c r="B616" s="6" t="str">
        <x:v>UNS000301</x:v>
      </x:c>
      <x:c r="C616" s="6" t="str">
        <x:v>SVC000301</x:v>
      </x:c>
      <x:c r="D616" s="12" t="str">
        <x:v>Unsupported Relationship</x:v>
      </x:c>
      <x:c r="E616" s="6" t="str">
        <x:v>Nocturnix_Master_Compatibility_Catalog_v1.xlsx</x:v>
      </x:c>
      <x:c r="F616" s="6" t="str">
        <x:v>01 - Compatibility Records</x:v>
      </x:c>
      <x:c r="G616" s="6" t="n">
        <x:v>341</x:v>
      </x:c>
      <x:c r="H616" s="12" t="str">
        <x:v>PHN</x:v>
      </x:c>
      <x:c r="I616" s="12" t="str">
        <x:v>phn</x:v>
      </x:c>
      <x:c r="J616" s="6" t="str"/>
      <x:c r="K616" s="12" t="str">
        <x:v>Unsupported</x:v>
      </x:c>
      <x:c r="L616" s="12" t="str">
        <x:v>Device family alone is insufficient for governed relationship.</x:v>
      </x:c>
    </x:row>
    <x:row r="617">
      <x:c r="A617" s="12" t="str">
        <x:v>EVID-UNS-000302</x:v>
      </x:c>
      <x:c r="B617" s="6" t="str">
        <x:v>UNS000302</x:v>
      </x:c>
      <x:c r="C617" s="6" t="str">
        <x:v>SVC000302</x:v>
      </x:c>
      <x:c r="D617" s="12" t="str">
        <x:v>Unsupported Relationship</x:v>
      </x:c>
      <x:c r="E617" s="6" t="str">
        <x:v>Nocturnix_Master_Compatibility_Catalog_v1.xlsx</x:v>
      </x:c>
      <x:c r="F617" s="6" t="str">
        <x:v>01 - Compatibility Records</x:v>
      </x:c>
      <x:c r="G617" s="6" t="n">
        <x:v>342</x:v>
      </x:c>
      <x:c r="H617" s="12" t="str">
        <x:v>PHN</x:v>
      </x:c>
      <x:c r="I617" s="12" t="str">
        <x:v>phn</x:v>
      </x:c>
      <x:c r="J617" s="6" t="str"/>
      <x:c r="K617" s="12" t="str">
        <x:v>Unsupported</x:v>
      </x:c>
      <x:c r="L617" s="12" t="str">
        <x:v>Device family alone is insufficient for governed relationship.</x:v>
      </x:c>
    </x:row>
    <x:row r="618">
      <x:c r="A618" s="12" t="str">
        <x:v>EVID-UNS-000303</x:v>
      </x:c>
      <x:c r="B618" s="6" t="str">
        <x:v>UNS000303</x:v>
      </x:c>
      <x:c r="C618" s="6" t="str">
        <x:v>SVC000303</x:v>
      </x:c>
      <x:c r="D618" s="12" t="str">
        <x:v>Unsupported Relationship</x:v>
      </x:c>
      <x:c r="E618" s="6" t="str">
        <x:v>Nocturnix_Master_Compatibility_Catalog_v1.xlsx</x:v>
      </x:c>
      <x:c r="F618" s="6" t="str">
        <x:v>01 - Compatibility Records</x:v>
      </x:c>
      <x:c r="G618" s="6" t="n">
        <x:v>343</x:v>
      </x:c>
      <x:c r="H618" s="12" t="str">
        <x:v>PHN</x:v>
      </x:c>
      <x:c r="I618" s="12" t="str">
        <x:v>phn</x:v>
      </x:c>
      <x:c r="J618" s="6" t="str"/>
      <x:c r="K618" s="12" t="str">
        <x:v>Unsupported</x:v>
      </x:c>
      <x:c r="L618" s="12" t="str">
        <x:v>Device family alone is insufficient for governed relationship.</x:v>
      </x:c>
    </x:row>
    <x:row r="619">
      <x:c r="A619" s="12" t="str">
        <x:v>EVID-UNS-000304</x:v>
      </x:c>
      <x:c r="B619" s="6" t="str">
        <x:v>UNS000304</x:v>
      </x:c>
      <x:c r="C619" s="6" t="str">
        <x:v>SVC000304</x:v>
      </x:c>
      <x:c r="D619" s="12" t="str">
        <x:v>Unsupported Relationship</x:v>
      </x:c>
      <x:c r="E619" s="6" t="str">
        <x:v>Nocturnix_Master_Compatibility_Catalog_v1.xlsx</x:v>
      </x:c>
      <x:c r="F619" s="6" t="str">
        <x:v>01 - Compatibility Records</x:v>
      </x:c>
      <x:c r="G619" s="6" t="n">
        <x:v>344</x:v>
      </x:c>
      <x:c r="H619" s="12" t="str">
        <x:v>PHN</x:v>
      </x:c>
      <x:c r="I619" s="12" t="str">
        <x:v>phn</x:v>
      </x:c>
      <x:c r="J619" s="6" t="str"/>
      <x:c r="K619" s="12" t="str">
        <x:v>Unsupported</x:v>
      </x:c>
      <x:c r="L619" s="12" t="str">
        <x:v>Device family alone is insufficient for governed relationship.</x:v>
      </x:c>
    </x:row>
    <x:row r="620">
      <x:c r="A620" s="12" t="str">
        <x:v>EVID-UNS-000305</x:v>
      </x:c>
      <x:c r="B620" s="6" t="str">
        <x:v>UNS000305</x:v>
      </x:c>
      <x:c r="C620" s="6" t="str">
        <x:v>SVC000305</x:v>
      </x:c>
      <x:c r="D620" s="12" t="str">
        <x:v>Unsupported Relationship</x:v>
      </x:c>
      <x:c r="E620" s="6" t="str">
        <x:v>Nocturnix_Master_Compatibility_Catalog_v1.xlsx</x:v>
      </x:c>
      <x:c r="F620" s="6" t="str">
        <x:v>01 - Compatibility Records</x:v>
      </x:c>
      <x:c r="G620" s="6" t="n">
        <x:v>345</x:v>
      </x:c>
      <x:c r="H620" s="12" t="str">
        <x:v>PHN</x:v>
      </x:c>
      <x:c r="I620" s="12" t="str">
        <x:v>phn</x:v>
      </x:c>
      <x:c r="J620" s="6" t="str"/>
      <x:c r="K620" s="12" t="str">
        <x:v>Unsupported</x:v>
      </x:c>
      <x:c r="L620" s="12" t="str">
        <x:v>Device family alone is insufficient for governed relationship.</x:v>
      </x:c>
    </x:row>
    <x:row r="621">
      <x:c r="A621" s="12" t="str">
        <x:v>EVID-UNS-000306</x:v>
      </x:c>
      <x:c r="B621" s="6" t="str">
        <x:v>UNS000306</x:v>
      </x:c>
      <x:c r="C621" s="6" t="str">
        <x:v>SVC000306</x:v>
      </x:c>
      <x:c r="D621" s="12" t="str">
        <x:v>Unsupported Relationship</x:v>
      </x:c>
      <x:c r="E621" s="6" t="str">
        <x:v>Nocturnix_Master_Compatibility_Catalog_v1.xlsx</x:v>
      </x:c>
      <x:c r="F621" s="6" t="str">
        <x:v>01 - Compatibility Records</x:v>
      </x:c>
      <x:c r="G621" s="6" t="n">
        <x:v>346</x:v>
      </x:c>
      <x:c r="H621" s="12" t="str">
        <x:v>PHN</x:v>
      </x:c>
      <x:c r="I621" s="12" t="str">
        <x:v>phn</x:v>
      </x:c>
      <x:c r="J621" s="6" t="str"/>
      <x:c r="K621" s="12" t="str">
        <x:v>Unsupported</x:v>
      </x:c>
      <x:c r="L621" s="12" t="str">
        <x:v>Device family alone is insufficient for governed relationship.</x:v>
      </x:c>
    </x:row>
    <x:row r="622">
      <x:c r="A622" s="12" t="str">
        <x:v>EVID-UNS-000307</x:v>
      </x:c>
      <x:c r="B622" s="6" t="str">
        <x:v>UNS000307</x:v>
      </x:c>
      <x:c r="C622" s="6" t="str">
        <x:v>SVC000307</x:v>
      </x:c>
      <x:c r="D622" s="12" t="str">
        <x:v>Unsupported Relationship</x:v>
      </x:c>
      <x:c r="E622" s="6" t="str">
        <x:v>Nocturnix_Master_Compatibility_Catalog_v1.xlsx</x:v>
      </x:c>
      <x:c r="F622" s="6" t="str">
        <x:v>01 - Compatibility Records</x:v>
      </x:c>
      <x:c r="G622" s="6" t="n">
        <x:v>347</x:v>
      </x:c>
      <x:c r="H622" s="12" t="str">
        <x:v>PHN</x:v>
      </x:c>
      <x:c r="I622" s="12" t="str">
        <x:v>phn</x:v>
      </x:c>
      <x:c r="J622" s="6" t="str"/>
      <x:c r="K622" s="12" t="str">
        <x:v>Unsupported</x:v>
      </x:c>
      <x:c r="L622" s="12" t="str">
        <x:v>Device family alone is insufficient for governed relationship.</x:v>
      </x:c>
    </x:row>
    <x:row r="623">
      <x:c r="A623" s="12" t="str">
        <x:v>EVID-UNS-000308</x:v>
      </x:c>
      <x:c r="B623" s="6" t="str">
        <x:v>UNS000308</x:v>
      </x:c>
      <x:c r="C623" s="6" t="str">
        <x:v>SVC000308</x:v>
      </x:c>
      <x:c r="D623" s="12" t="str">
        <x:v>Unsupported Relationship</x:v>
      </x:c>
      <x:c r="E623" s="6" t="str">
        <x:v>Nocturnix_Master_Compatibility_Catalog_v1.xlsx</x:v>
      </x:c>
      <x:c r="F623" s="6" t="str">
        <x:v>01 - Compatibility Records</x:v>
      </x:c>
      <x:c r="G623" s="6" t="n">
        <x:v>348</x:v>
      </x:c>
      <x:c r="H623" s="12" t="str">
        <x:v>PHN</x:v>
      </x:c>
      <x:c r="I623" s="12" t="str">
        <x:v>phn</x:v>
      </x:c>
      <x:c r="J623" s="6" t="str"/>
      <x:c r="K623" s="12" t="str">
        <x:v>Unsupported</x:v>
      </x:c>
      <x:c r="L623" s="12" t="str">
        <x:v>Device family alone is insufficient for governed relationship.</x:v>
      </x:c>
    </x:row>
    <x:row r="624">
      <x:c r="A624" s="12" t="str">
        <x:v>EVID-UNS-000309</x:v>
      </x:c>
      <x:c r="B624" s="6" t="str">
        <x:v>UNS000309</x:v>
      </x:c>
      <x:c r="C624" s="6" t="str">
        <x:v>SVC000309</x:v>
      </x:c>
      <x:c r="D624" s="12" t="str">
        <x:v>Unsupported Relationship</x:v>
      </x:c>
      <x:c r="E624" s="6" t="str">
        <x:v>Nocturnix_Master_Compatibility_Catalog_v1.xlsx</x:v>
      </x:c>
      <x:c r="F624" s="6" t="str">
        <x:v>01 - Compatibility Records</x:v>
      </x:c>
      <x:c r="G624" s="6" t="n">
        <x:v>349</x:v>
      </x:c>
      <x:c r="H624" s="12" t="str">
        <x:v>PHN</x:v>
      </x:c>
      <x:c r="I624" s="12" t="str">
        <x:v>phn</x:v>
      </x:c>
      <x:c r="J624" s="6" t="str"/>
      <x:c r="K624" s="12" t="str">
        <x:v>Unsupported</x:v>
      </x:c>
      <x:c r="L624" s="12" t="str">
        <x:v>Device family alone is insufficient for governed relationship.</x:v>
      </x:c>
    </x:row>
    <x:row r="625">
      <x:c r="A625" s="12" t="str">
        <x:v>EVID-UNS-000310</x:v>
      </x:c>
      <x:c r="B625" s="6" t="str">
        <x:v>UNS000310</x:v>
      </x:c>
      <x:c r="C625" s="6" t="str">
        <x:v>SVC000310</x:v>
      </x:c>
      <x:c r="D625" s="12" t="str">
        <x:v>Unsupported Relationship</x:v>
      </x:c>
      <x:c r="E625" s="6" t="str">
        <x:v>Nocturnix_Master_Compatibility_Catalog_v1.xlsx</x:v>
      </x:c>
      <x:c r="F625" s="6" t="str">
        <x:v>01 - Compatibility Records</x:v>
      </x:c>
      <x:c r="G625" s="6" t="n">
        <x:v>350</x:v>
      </x:c>
      <x:c r="H625" s="12" t="str">
        <x:v>PHN</x:v>
      </x:c>
      <x:c r="I625" s="12" t="str">
        <x:v>phn</x:v>
      </x:c>
      <x:c r="J625" s="6" t="str"/>
      <x:c r="K625" s="12" t="str">
        <x:v>Unsupported</x:v>
      </x:c>
      <x:c r="L625" s="12" t="str">
        <x:v>Device family alone is insufficient for governed relationship.</x:v>
      </x:c>
    </x:row>
    <x:row r="626">
      <x:c r="A626" s="12" t="str">
        <x:v>EVID-UNS-000311</x:v>
      </x:c>
      <x:c r="B626" s="6" t="str">
        <x:v>UNS000311</x:v>
      </x:c>
      <x:c r="C626" s="6" t="str">
        <x:v>SVC000311</x:v>
      </x:c>
      <x:c r="D626" s="12" t="str">
        <x:v>Unsupported Relationship</x:v>
      </x:c>
      <x:c r="E626" s="6" t="str">
        <x:v>Nocturnix_Master_Compatibility_Catalog_v1.xlsx</x:v>
      </x:c>
      <x:c r="F626" s="6" t="str">
        <x:v>01 - Compatibility Records</x:v>
      </x:c>
      <x:c r="G626" s="6" t="n">
        <x:v>351</x:v>
      </x:c>
      <x:c r="H626" s="12" t="str">
        <x:v>PHN</x:v>
      </x:c>
      <x:c r="I626" s="12" t="str">
        <x:v>phn</x:v>
      </x:c>
      <x:c r="J626" s="6" t="str"/>
      <x:c r="K626" s="12" t="str">
        <x:v>Unsupported</x:v>
      </x:c>
      <x:c r="L626" s="12" t="str">
        <x:v>Device family alone is insufficient for governed relationship.</x:v>
      </x:c>
    </x:row>
    <x:row r="627">
      <x:c r="A627" s="12" t="str">
        <x:v>EVID-UNS-000312</x:v>
      </x:c>
      <x:c r="B627" s="6" t="str">
        <x:v>UNS000312</x:v>
      </x:c>
      <x:c r="C627" s="6" t="str">
        <x:v>SVC000312</x:v>
      </x:c>
      <x:c r="D627" s="12" t="str">
        <x:v>Unsupported Relationship</x:v>
      </x:c>
      <x:c r="E627" s="6" t="str">
        <x:v>Nocturnix_Master_Compatibility_Catalog_v1.xlsx</x:v>
      </x:c>
      <x:c r="F627" s="6" t="str">
        <x:v>01 - Compatibility Records</x:v>
      </x:c>
      <x:c r="G627" s="6" t="n">
        <x:v>352</x:v>
      </x:c>
      <x:c r="H627" s="12" t="str">
        <x:v>PHN</x:v>
      </x:c>
      <x:c r="I627" s="12" t="str">
        <x:v>phn</x:v>
      </x:c>
      <x:c r="J627" s="6" t="str"/>
      <x:c r="K627" s="12" t="str">
        <x:v>Unsupported</x:v>
      </x:c>
      <x:c r="L627" s="12" t="str">
        <x:v>Device family alone is insufficient for governed relationship.</x:v>
      </x:c>
    </x:row>
    <x:row r="628">
      <x:c r="A628" s="12" t="str">
        <x:v>EVID-UNS-000313</x:v>
      </x:c>
      <x:c r="B628" s="6" t="str">
        <x:v>UNS000313</x:v>
      </x:c>
      <x:c r="C628" s="6" t="str">
        <x:v>SVC000313</x:v>
      </x:c>
      <x:c r="D628" s="12" t="str">
        <x:v>Unsupported Relationship</x:v>
      </x:c>
      <x:c r="E628" s="6" t="str">
        <x:v>Nocturnix_Master_Compatibility_Catalog_v1.xlsx</x:v>
      </x:c>
      <x:c r="F628" s="6" t="str">
        <x:v>01 - Compatibility Records</x:v>
      </x:c>
      <x:c r="G628" s="6" t="n">
        <x:v>353</x:v>
      </x:c>
      <x:c r="H628" s="12" t="str">
        <x:v>PHN</x:v>
      </x:c>
      <x:c r="I628" s="12" t="str">
        <x:v>phn</x:v>
      </x:c>
      <x:c r="J628" s="6" t="str"/>
      <x:c r="K628" s="12" t="str">
        <x:v>Unsupported</x:v>
      </x:c>
      <x:c r="L628" s="12" t="str">
        <x:v>Device family alone is insufficient for governed relationship.</x:v>
      </x:c>
    </x:row>
    <x:row r="629">
      <x:c r="A629" s="12" t="str">
        <x:v>EVID-UNS-000314</x:v>
      </x:c>
      <x:c r="B629" s="6" t="str">
        <x:v>UNS000314</x:v>
      </x:c>
      <x:c r="C629" s="6" t="str">
        <x:v>SVC000314</x:v>
      </x:c>
      <x:c r="D629" s="12" t="str">
        <x:v>Unsupported Relationship</x:v>
      </x:c>
      <x:c r="E629" s="6" t="str">
        <x:v>Nocturnix_Master_Compatibility_Catalog_v1.xlsx</x:v>
      </x:c>
      <x:c r="F629" s="6" t="str">
        <x:v>01 - Compatibility Records</x:v>
      </x:c>
      <x:c r="G629" s="6" t="n">
        <x:v>354</x:v>
      </x:c>
      <x:c r="H629" s="12" t="str">
        <x:v>PHN</x:v>
      </x:c>
      <x:c r="I629" s="12" t="str">
        <x:v>phn</x:v>
      </x:c>
      <x:c r="J629" s="6" t="str"/>
      <x:c r="K629" s="12" t="str">
        <x:v>Unsupported</x:v>
      </x:c>
      <x:c r="L629" s="12" t="str">
        <x:v>Device family alone is insufficient for governed relationship.</x:v>
      </x:c>
    </x:row>
  </x:sheetData>
  <x:dataValidations count="2">
    <x:dataValidation type="list" sqref="K2:K629">
      <x:formula1>"Explicit Identifier,Exact Text,Contextual,Ambiguous,Unsupported"</x:formula1>
    </x:dataValidation>
    <x:dataValidation type="list" sqref="C2:C629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7659292cbb438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30001068115234" hidden="0" customWidth="1"/>
    <x:col min="2" max="2" width="7.880000114440918" hidden="0" customWidth="1"/>
    <x:col min="3" max="3" width="66.87999725341797" hidden="0" customWidth="1"/>
  </x:cols>
  <x:sheetData>
    <x:row r="1">
      <x:c r="A1" s="5" t="str">
        <x:v>Validation Gate</x:v>
      </x:c>
      <x:c r="B1" s="5" t="str">
        <x:v>Result</x:v>
      </x:c>
      <x:c r="C1" s="5" t="str">
        <x:v>Details</x:v>
      </x:c>
    </x:row>
    <x:row r="2">
      <x:c r="A2" s="6" t="str">
        <x:v>Runtime gate - load_workspace_dependencies</x:v>
      </x:c>
      <x:c r="B2" s="6" t="str">
        <x:v>PASS</x:v>
      </x:c>
      <x:c r="C2" s="6" t="str">
        <x:v>Managed dependencies available.</x:v>
      </x:c>
    </x:row>
    <x:row r="3">
      <x:c r="A3" s="6" t="str">
        <x:v>Runtime gate - artifact-tool import</x:v>
      </x:c>
      <x:c r="B3" s="6" t="str">
        <x:v>PASS</x:v>
      </x:c>
      <x:c r="C3" s="6" t="str">
        <x:v>Loaded through managed Node dependency loader; no npm install or substitute library used.</x:v>
      </x:c>
    </x:row>
    <x:row r="4">
      <x:c r="A4" s="6" t="str">
        <x:v>Services review count</x:v>
      </x:c>
      <x:c r="B4" s="6" t="str">
        <x:v>PASS</x:v>
      </x:c>
      <x:c r="C4" s="6" t="str">
        <x:v>314 service rows.</x:v>
      </x:c>
    </x:row>
    <x:row r="5">
      <x:c r="A5" s="6" t="str">
        <x:v>Unsupported relationship count</x:v>
      </x:c>
      <x:c r="B5" s="6" t="str">
        <x:v>PASS</x:v>
      </x:c>
      <x:c r="C5" s="6" t="str">
        <x:v>314 unsupported rows.</x:v>
      </x:c>
    </x:row>
    <x:row r="6">
      <x:c r="A6" s="6" t="str">
        <x:v>Duplicate group count</x:v>
      </x:c>
      <x:c r="B6" s="6" t="str">
        <x:v>PASS</x:v>
      </x:c>
      <x:c r="C6" s="6" t="str">
        <x:v>15 duplicate groups.</x:v>
      </x:c>
    </x:row>
    <x:row r="7">
      <x:c r="A7" s="6" t="str">
        <x:v>Service ID registry integrity</x:v>
      </x:c>
      <x:c r="B7" s="6" t="str">
        <x:v>PASS</x:v>
      </x:c>
      <x:c r="C7" s="6" t="str">
        <x:v>Every review Service ID exists in Services Registry.</x:v>
      </x:c>
    </x:row>
    <x:row r="8">
      <x:c r="A8" s="6" t="str">
        <x:v>Governed ID dropdowns</x:v>
      </x:c>
      <x:c r="B8" s="6" t="str">
        <x:v>PASS</x:v>
      </x:c>
      <x:c r="C8" s="6" t="str">
        <x:v>Manufacturer, Device, Part, and Service ID dropdowns use governed IDs.</x:v>
      </x:c>
    </x:row>
    <x:row r="9">
      <x:c r="A9" s="6" t="str">
        <x:v>Import eligibility</x:v>
      </x:c>
      <x:c r="B9" s="6" t="str">
        <x:v>PASS</x:v>
      </x:c>
      <x:c r="C9" s="6" t="str">
        <x:v>Decision Register defaults to Not Eligible.</x:v>
      </x:c>
    </x:row>
    <x:row r="10">
      <x:c r="A10" s="6" t="str">
        <x:v>Production status</x:v>
      </x:c>
      <x:c r="B10" s="6" t="str">
        <x:v>PASS</x:v>
      </x:c>
      <x:c r="C10" s="6" t="str">
        <x:v>Production Import Prohibited retained.</x:v>
      </x:c>
    </x:row>
    <x:row r="11">
      <x:c r="A11" s="6" t="str">
        <x:v>Pricing activation</x:v>
      </x:c>
      <x:c r="B11" s="6" t="str">
        <x:v>PASS</x:v>
      </x:c>
      <x:c r="C11" s="6" t="str">
        <x:v>Pricing Activation Prohibited retained.</x:v>
      </x:c>
    </x:row>
    <x:row r="12">
      <x:c r="A12" s="6" t="str">
        <x:v>Approvals</x:v>
      </x:c>
      <x:c r="B12" s="6" t="str">
        <x:v>PASS</x:v>
      </x:c>
      <x:c r="C12" s="6" t="str">
        <x:v>Approval names/dates blank; statuses Pending.</x:v>
      </x:c>
    </x:row>
    <x:row r="13">
      <x:c r="A13" s="6" t="str">
        <x:v>Formula error search</x:v>
      </x:c>
      <x:c r="B13" s="6" t="str">
        <x:v>PASS</x:v>
      </x:c>
      <x:c r="C13" s="6" t="str">
        <x:v>No formula errors found during artifact-tool scan.</x:v>
      </x:c>
    </x:row>
    <x:row r="14">
      <x:c r="A14" s="6" t="str">
        <x:v>Source hash preservation</x:v>
      </x:c>
      <x:c r="B14" s="6" t="str">
        <x:v>PASS</x:v>
      </x:c>
      <x:c r="C14" s="6" t="str">
        <x:v>Pre/post source hashes match.</x:v>
      </x:c>
    </x:row>
  </x:sheetData>
  <x:pageMargins left="0.7" right="0.7" top="0.75" bottom="0.75" header="0.3" footer="0.3"/>
  <x:tableParts count="1">
    <x:tablePart xmlns:r="http://schemas.openxmlformats.org/officeDocument/2006/relationships" r:id="R9f409de0180a4bd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0.130000114440918" hidden="0" customWidth="1"/>
    <x:col min="3" max="3" width="8.25" hidden="0" customWidth="1"/>
    <x:col min="4" max="4" width="54.25" hidden="0" customWidth="1"/>
  </x:cols>
  <x:sheetData>
    <x:row r="1">
      <x:c r="A1" s="5" t="str">
        <x:v>Version</x:v>
      </x:c>
      <x:c r="B1" s="5" t="str">
        <x:v>Date UTC</x:v>
      </x:c>
      <x:c r="C1" s="5" t="str">
        <x:v>Author</x:v>
      </x:c>
      <x:c r="D1" s="5" t="str">
        <x:v>Change</x:v>
      </x:c>
    </x:row>
    <x:row r="2">
      <x:c r="A2" s="6" t="str">
        <x:v>v0.1 Draft</x:v>
      </x:c>
      <x:c r="B2" s="6" t="n">
        <x:v>46227.955984733795</x:v>
      </x:c>
      <x:c r="C2" s="6" t="str">
        <x:v>Codex</x:v>
      </x:c>
      <x:c r="D2" s="6" t="str">
        <x:v>Created governed manual-review workbook; no source workbook modified.</x:v>
      </x:c>
    </x:row>
  </x:sheetData>
  <x:pageMargins left="0.7" right="0.7" top="0.75" bottom="0.75" header="0.3" footer="0.3"/>
  <x:tableParts count="1">
    <x:tablePart xmlns:r="http://schemas.openxmlformats.org/officeDocument/2006/relationships" r:id="R427465d95400494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30001068115234" hidden="0" customWidth="1"/>
    <x:col min="2" max="2" width="61.5" hidden="0" customWidth="1"/>
    <x:col min="3" max="3" width="85.62999725341797" hidden="0" customWidth="1"/>
  </x:cols>
  <x:sheetData>
    <x:row r="1">
      <x:c r="A1" s="5" t="str">
        <x:v>Field</x:v>
      </x:c>
      <x:c r="B1" s="5" t="str">
        <x:v>Value</x:v>
      </x:c>
      <x:c r="C1" s="5" t="str">
        <x:v>Notes</x:v>
      </x:c>
    </x:row>
    <x:row r="2">
      <x:c r="A2" s="6" t="str">
        <x:v>Draft Status</x:v>
      </x:c>
      <x:c r="B2" s="6" t="str">
        <x:v>Draft / Pending Verification</x:v>
      </x:c>
      <x:c r="C2" s="12" t="str"/>
    </x:row>
    <x:row r="3">
      <x:c r="A3" s="6" t="str">
        <x:v>Artifact Tool Version</x:v>
      </x:c>
      <x:c r="B3" s="6" t="str">
        <x:v>2.8.24</x:v>
      </x:c>
      <x:c r="C3" s="12" t="str">
        <x:v>Loaded managed artifact-tool line; no npm install used.</x:v>
      </x:c>
    </x:row>
    <x:row r="4">
      <x:c r="A4" s="6" t="str">
        <x:v>Production Import</x:v>
      </x:c>
      <x:c r="B4" s="6" t="str">
        <x:v>Prohibited</x:v>
      </x:c>
      <x:c r="C4" s="12" t="str"/>
    </x:row>
    <x:row r="5">
      <x:c r="A5" s="6" t="str">
        <x:v>Pricing Activation</x:v>
      </x:c>
      <x:c r="B5" s="6" t="str">
        <x:v>Prohibited</x:v>
      </x:c>
      <x:c r="C5" s="12" t="str"/>
    </x:row>
    <x:row r="6">
      <x:c r="A6" s="6" t="str">
        <x:v>Import Eligibility</x:v>
      </x:c>
      <x:c r="B6" s="6" t="str">
        <x:v>Not Eligible</x:v>
      </x:c>
      <x:c r="C6" s="12" t="str"/>
    </x:row>
    <x:row r="7">
      <x:c r="A7" s="6" t="str">
        <x:v>Source SHA-256: Manufacturer Registry</x:v>
      </x:c>
      <x:c r="B7" s="6" t="str">
        <x:v>24A26319432D919C8D14B4B44377FB3826D7282657347D7283E90A73635412B9</x:v>
      </x:c>
      <x:c r="C7" s="12" t="str">
        <x:v>D:/Business Portal/100_Master_Data/Manufacturers/Nocturnix_Manufacturer_Registry_v0.1_Draft.xlsx</x:v>
      </x:c>
    </x:row>
    <x:row r="8">
      <x:c r="A8" s="6" t="str">
        <x:v>Source SHA-256: Device Registry</x:v>
      </x:c>
      <x:c r="B8" s="6" t="str">
        <x:v>B43DD38C8897E3665605F039591A0CFFFD3554FA1F3144A242A0FFD7971D9D9A</x:v>
      </x:c>
      <x:c r="C8" s="12" t="str">
        <x:v>D:/Business Portal/100_Master_Data/Devices/Nocturnix_Device_Registry_v0.1_Draft.xlsx</x:v>
      </x:c>
    </x:row>
    <x:row r="9">
      <x:c r="A9" s="6" t="str">
        <x:v>Source SHA-256: Parts Registry</x:v>
      </x:c>
      <x:c r="B9" s="6" t="str">
        <x:v>EEA22D165381546F92D43D6CB93E86A95D7539C0BE97B69B252A2E8E2EE56FBB</x:v>
      </x:c>
      <x:c r="C9" s="12" t="str">
        <x:v>D:/Business Portal/100_Master_Data/Parts/Nocturnix_Parts_Registry_v0.1_Draft.xlsx</x:v>
      </x:c>
    </x:row>
    <x:row r="10">
      <x:c r="A10" s="6" t="str">
        <x:v>Source SHA-256: Services Registry</x:v>
      </x:c>
      <x:c r="B10" s="6" t="str">
        <x:v>0DA12582EA01BB5BC37B8126098B5359CDC45077C9B9B9C89FD50EC6387852E3</x:v>
      </x:c>
      <x:c r="C10" s="12" t="str">
        <x:v>D:/Business Portal/100_Master_Data/Services/Nocturnix_Services_Registry_v0.1_Draft.xlsx</x:v>
      </x:c>
    </x:row>
    <x:row r="11">
      <x:c r="A11" s="6" t="str">
        <x:v>Source SHA-256: Phase 4A Remediation</x:v>
      </x:c>
      <x:c r="B11" s="6" t="str">
        <x:v>3A4CF9ABE3BD954D93C50094AB08D53ADB64FAE143AFC7AB7DBD312245B15EF7</x:v>
      </x:c>
      <x:c r="C11" s="12" t="str">
        <x:v>D:/Business Portal/100_Master_Data/Services/Remediation/Nocturnix_Services_Registry_Remediation_v0.1_Draft.xlsx</x:v>
      </x:c>
    </x:row>
    <x:row r="12">
      <x:c r="A12" s="6" t="str">
        <x:v>Source SHA-256: Master Services Catalog</x:v>
      </x:c>
      <x:c r="B12" s="6" t="str">
        <x:v>F1A85069F3F7655E2FD375CF2EE63C5C716422E1A7D2BEFE61073005396E34C2</x:v>
      </x:c>
      <x:c r="C12" s="12" t="str">
        <x:v>D:/Business Portal/300_Pricing/Working/Nocturnix_Master_Services_Catalog_v1.xlsx</x:v>
      </x:c>
    </x:row>
    <x:row r="13">
      <x:c r="A13" s="6" t="str">
        <x:v>Source SHA-256: Master Devices Catalog</x:v>
      </x:c>
      <x:c r="B13" s="6" t="str">
        <x:v>23840312B08A55031021E73AED6EA8835DDCCBE215B8BF133751B64FD44AAD96</x:v>
      </x:c>
      <x:c r="C13" s="12" t="str">
        <x:v>D:/Business Portal/300_Pricing/Working/Nocturnix_Master_Devices_Catalog_v1.xlsx</x:v>
      </x:c>
    </x:row>
    <x:row r="14">
      <x:c r="A14" s="6" t="str">
        <x:v>Source SHA-256: Master Parts Catalog</x:v>
      </x:c>
      <x:c r="B14" s="6" t="str">
        <x:v>3F6387B43647AA63C69F2995FBC0C272D9F85C0DD1A340EBAAB842704D3C3464</x:v>
      </x:c>
      <x:c r="C14" s="12" t="str">
        <x:v>D:/Business Portal/300_Pricing/Working/Nocturnix_Master_Parts_Catalog_v1.xlsx</x:v>
      </x:c>
    </x:row>
    <x:row r="15">
      <x:c r="A15" s="6" t="str">
        <x:v>Source SHA-256: Master Compatibility Catalog</x:v>
      </x:c>
      <x:c r="B15" s="6" t="str">
        <x:v>58442236FA3587EB29E86F70AC5439E5CBA9681FEB26B7C1848C290E9287BAF4</x:v>
      </x:c>
      <x:c r="C15" s="12" t="str">
        <x:v>D:/Business Portal/300_Pricing/Working/Nocturnix_Master_Compatibility_Catalog_v1.xlsx</x:v>
      </x:c>
    </x:row>
    <x:row r="16">
      <x:c r="A16" s="6" t="str">
        <x:v>Source SHA-256: Master Labor Catalog</x:v>
      </x:c>
      <x:c r="B16" s="6" t="str">
        <x:v>3ADB7D1A736EF618D79A095346234E6FC40BBB9424CDB1FCA1D2AD48AC5C8280</x:v>
      </x:c>
      <x:c r="C16" s="12" t="str">
        <x:v>D:/Business Portal/300_Pricing/Working/Nocturnix_Master_Labor_Catalog_v1.xlsx</x:v>
      </x:c>
    </x:row>
    <x:row r="17">
      <x:c r="A17" s="6" t="str">
        <x:v>Source SHA-256: Master Pricing Catalog</x:v>
      </x:c>
      <x:c r="B17" s="6" t="str">
        <x:v>FE9E719435293555EA708AD238C492B386C1F78A826C62E93A66ED344EE3137A</x:v>
      </x:c>
      <x:c r="C17" s="12" t="str">
        <x:v>D:/Business Portal/300_Pricing/Working/Nocturnix_Master_Pricing_Catalog_v1.xlsx</x:v>
      </x:c>
    </x:row>
  </x:sheetData>
  <x:pageMargins left="0.7" right="0.7" top="0.75" bottom="0.75" header="0.3" footer="0.3"/>
  <x:tableParts count="1">
    <x:tablePart xmlns:r="http://schemas.openxmlformats.org/officeDocument/2006/relationships" r:id="Rc03c7f7cd16c41cf"/>
  </x:tableParts>
</x:worksheet>
</file>