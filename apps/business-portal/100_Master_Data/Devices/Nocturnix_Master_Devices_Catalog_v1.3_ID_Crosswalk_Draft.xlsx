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8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9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20.xml" ContentType="application/vnd.openxmlformats-officedocument.spreadsheetml.worksheet+xml"/>
  <Override PartName="/xl/tables/table38.xml" ContentType="application/vnd.openxmlformats-officedocument.spreadsheetml.table+xml"/>
  <Override PartName="/xl/worksheets/sheet21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22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3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4.xml" ContentType="application/vnd.openxmlformats-officedocument.spreadsheetml.worksheet+xml"/>
  <Override PartName="/xl/tables/table50.xml" ContentType="application/vnd.openxmlformats-officedocument.spreadsheetml.table+xml"/>
  <Override PartName="/xl/worksheets/sheet25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worksheets/sheet26.xml" ContentType="application/vnd.openxmlformats-officedocument.spreadsheetml.worksheet+xml"/>
  <Override PartName="/xl/tables/table54.xml" ContentType="application/vnd.openxmlformats-officedocument.spreadsheetml.table+xml"/>
  <Override PartName="/xl/worksheets/sheet27.xml" ContentType="application/vnd.openxmlformats-officedocument.spreadsheetml.worksheet+xml"/>
  <Override PartName="/xl/tables/table55.xml" ContentType="application/vnd.openxmlformats-officedocument.spreadsheetml.table+xml"/>
  <Override PartName="/xl/worksheets/sheet28.xml" ContentType="application/vnd.openxmlformats-officedocument.spreadsheetml.worksheet+xml"/>
  <Override PartName="/xl/tables/table56.xml" ContentType="application/vnd.openxmlformats-officedocument.spreadsheetml.table+xml"/>
  <Override PartName="/xl/worksheets/sheet29.xml" ContentType="application/vnd.openxmlformats-officedocument.spreadsheetml.worksheet+xml"/>
  <Override PartName="/xl/tables/table57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7" activeTab="22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Master Devices" sheetId="2" state="visible" r:id="rId2"/>
    <sheet xmlns:r="http://schemas.openxmlformats.org/officeDocument/2006/relationships" name="02 - Manufacturers" sheetId="3" state="visible" r:id="rId3"/>
    <sheet xmlns:r="http://schemas.openxmlformats.org/officeDocument/2006/relationships" name="03 - Device Families" sheetId="4" state="visible" r:id="rId4"/>
    <sheet xmlns:r="http://schemas.openxmlformats.org/officeDocument/2006/relationships" name="04 - Product Lines" sheetId="5" state="visible" r:id="rId5"/>
    <sheet xmlns:r="http://schemas.openxmlformats.org/officeDocument/2006/relationships" name="05 - Device Series" sheetId="6" state="visible" r:id="rId6"/>
    <sheet xmlns:r="http://schemas.openxmlformats.org/officeDocument/2006/relationships" name="06 - Form Factors" sheetId="7" state="visible" r:id="rId7"/>
    <sheet xmlns:r="http://schemas.openxmlformats.org/officeDocument/2006/relationships" name="07 - Operating Systems" sheetId="8" state="visible" r:id="rId8"/>
    <sheet xmlns:r="http://schemas.openxmlformats.org/officeDocument/2006/relationships" name="08 - Network Types" sheetId="9" state="visible" r:id="rId9"/>
    <sheet xmlns:r="http://schemas.openxmlformats.org/officeDocument/2006/relationships" name="09 - Device Statuses" sheetId="10" state="visible" r:id="rId10"/>
    <sheet xmlns:r="http://schemas.openxmlformats.org/officeDocument/2006/relationships" name="10 - Identity Review" sheetId="11" state="visible" r:id="rId11"/>
    <sheet xmlns:r="http://schemas.openxmlformats.org/officeDocument/2006/relationships" name="11 - Relationship Review" sheetId="12" state="visible" r:id="rId12"/>
    <sheet xmlns:r="http://schemas.openxmlformats.org/officeDocument/2006/relationships" name="12 - Validation Summary" sheetId="13" state="visible" r:id="rId13"/>
    <sheet xmlns:r="http://schemas.openxmlformats.org/officeDocument/2006/relationships" name="13 - Revision History" sheetId="14" state="visible" r:id="rId14"/>
    <sheet xmlns:r="http://schemas.openxmlformats.org/officeDocument/2006/relationships" name="14 - Import Metadata" sheetId="15" state="visible" r:id="rId15"/>
    <sheet xmlns:r="http://schemas.openxmlformats.org/officeDocument/2006/relationships" name="15 LL_Device" sheetId="16" state="visible" r:id="rId16"/>
    <sheet xmlns:r="http://schemas.openxmlformats.org/officeDocument/2006/relationships" name="15 LL_Repair" sheetId="17" state="visible" r:id="rId17"/>
    <sheet xmlns:r="http://schemas.openxmlformats.org/officeDocument/2006/relationships" name="15 LL_Customers" sheetId="18" state="visible" r:id="rId18"/>
    <sheet xmlns:r="http://schemas.openxmlformats.org/officeDocument/2006/relationships" name="15 LL_Description" sheetId="19" state="visible" r:id="rId19"/>
    <sheet xmlns:r="http://schemas.openxmlformats.org/officeDocument/2006/relationships" name="15 LL_Tools" sheetId="20" state="visible" r:id="rId20"/>
    <sheet xmlns:r="http://schemas.openxmlformats.org/officeDocument/2006/relationships" name="15 LL_Warranty" sheetId="21" state="visible" r:id="rId21"/>
    <sheet xmlns:r="http://schemas.openxmlformats.org/officeDocument/2006/relationships" name="15 LL_Payments" sheetId="22" state="visible" r:id="rId22"/>
    <sheet xmlns:r="http://schemas.openxmlformats.org/officeDocument/2006/relationships" name="15 LL_ Geographic " sheetId="23" state="visible" r:id="rId23"/>
    <sheet xmlns:r="http://schemas.openxmlformats.org/officeDocument/2006/relationships" name="18 - Duplicate Candidates" sheetId="24" state="visible" r:id="rId24"/>
    <sheet xmlns:r="http://schemas.openxmlformats.org/officeDocument/2006/relationships" name="19 - ID Crosswalks" sheetId="25" state="visible" r:id="rId25"/>
    <sheet xmlns:r="http://schemas.openxmlformats.org/officeDocument/2006/relationships" name="20 - Lookup Registry" sheetId="26" state="visible" r:id="rId26"/>
    <sheet xmlns:r="http://schemas.openxmlformats.org/officeDocument/2006/relationships" name="17 - FK Exceptions" sheetId="27" state="visible" r:id="rId27"/>
    <sheet xmlns:r="http://schemas.openxmlformats.org/officeDocument/2006/relationships" name="21 - Model Duplicate Decisions" sheetId="28" state="visible" r:id="rId28"/>
    <sheet xmlns:r="http://schemas.openxmlformats.org/officeDocument/2006/relationships" name="16 - Lookup Audit" sheetId="29" state="visible" r:id="rId29"/>
  </sheets>
  <externalReferences>
    <externalReference xmlns:r="http://schemas.openxmlformats.org/officeDocument/2006/relationships" r:id="rId30"/>
  </externalReferences>
  <definedNames>
    <definedName name="DV_CompatibilityStatuses">'09 - Device Statuses'!$C$2:$C$8</definedName>
    <definedName name="DV_Currencies">'09 - Device Statuses'!$G$2:$G$2</definedName>
    <definedName name="DV_DeviceFamilyCodes">'03 - Device Families'!$A$2:$A$8</definedName>
    <definedName name="DV_DeviceSeries">'05 - Device Series'!$A$2:$A$2</definedName>
    <definedName name="DV_DeviceStatuses">'09 - Device Statuses'!$A$2:$A$8</definedName>
    <definedName name="DV_FormFactors">'06 - Form Factors'!$A$2:$A$2</definedName>
    <definedName name="DV_ManufacturerIDs">'02 - Manufacturers'!$A$2:$A$36</definedName>
    <definedName name="DV_NetworkTypes">'08 - Network Types'!$A$2:$A$2</definedName>
    <definedName name="DV_OperatingSystemFamilies">'07 - Operating Systems'!$A$2:$A$2</definedName>
    <definedName name="DV_PartsMappingStatuses">'09 - Device Statuses'!$E$2:$E$8</definedName>
    <definedName name="DV_ProductLines">'04 - Product Lines'!$A$2:$A$6</definedName>
    <definedName name="DV_ReviewStatuses">'09 - Device Statuses'!$B$2:$B$10</definedName>
    <definedName name="DV_ServiceMappingStatuses">'09 - Device Statuses'!$D$2:$D$8</definedName>
    <definedName name="DV_YesNo">'09 - Device Statuses'!$F$2:$F$3</definedName>
    <definedName name="LookupGroupIDs">[1]!tblLookupCatalogID[LookupGroupID]</definedName>
    <definedName name="_xlnm._FilterDatabase" localSheetId="0" hidden="1">'00 - Instructions'!$A$1:$C$6</definedName>
    <definedName name="_xlnm._FilterDatabase" localSheetId="1" hidden="1">'01 - Master Devices'!$A$1:$AV$47</definedName>
    <definedName name="_xlnm._FilterDatabase" localSheetId="2" hidden="1">'02 - Manufacturers'!$A$1:$E$36</definedName>
    <definedName name="_xlnm._FilterDatabase" localSheetId="3" hidden="1">'03 - Device Families'!$A$1:$D$8</definedName>
    <definedName name="_xlnm._FilterDatabase" localSheetId="4" hidden="1">'04 - Product Lines'!$A$1:$C$6</definedName>
    <definedName name="_xlnm._FilterDatabase" localSheetId="5" hidden="1">'05 - Device Series'!$A$1:$C$2</definedName>
    <definedName name="_xlnm._FilterDatabase" localSheetId="6" hidden="1">'06 - Form Factors'!$A$1:$C$2</definedName>
    <definedName name="_xlnm._FilterDatabase" localSheetId="7" hidden="1">'07 - Operating Systems'!$A$1:$C$2</definedName>
    <definedName name="_xlnm._FilterDatabase" localSheetId="8" hidden="1">'08 - Network Types'!$A$1:$C$2</definedName>
    <definedName name="_xlnm._FilterDatabase" localSheetId="9" hidden="1">'09 - Device Statuses'!$A$1:$G$10</definedName>
    <definedName name="_xlnm._FilterDatabase" localSheetId="10" hidden="1">'10 - Identity Review'!$A$1:$N$47</definedName>
    <definedName name="_xlnm._FilterDatabase" localSheetId="11" hidden="1">'11 - Relationship Review'!$A$1:$K$47</definedName>
    <definedName name="_xlnm._FilterDatabase" localSheetId="12" hidden="1">'12 - Validation Summary'!$A$1:$C$9</definedName>
    <definedName name="_xlnm._FilterDatabase" localSheetId="13" hidden="1">'13 - Revision History'!$A$1:$E$2</definedName>
    <definedName name="_xlnm._FilterDatabase" localSheetId="14" hidden="1">'14 - Import Metadata'!$A$1:$B$17</definedName>
    <definedName name="_xlnm._FilterDatabase" localSheetId="23" hidden="1">'18 - Duplicate Candidates'!$A$4:$I$17</definedName>
    <definedName name="_xlnm._FilterDatabase" localSheetId="24" hidden="1">'19 - ID Crosswalks'!$A$154:$N$166</definedName>
    <definedName name="_xlnm._FilterDatabase" localSheetId="25" hidden="1">'20 - Lookup Registry'!$A$1:$AA$50</definedName>
    <definedName name="_xlnm._FilterDatabase" localSheetId="26" hidden="1">'17 - FK Exceptions'!$A$1:$N$1903</definedName>
    <definedName name="_xlnm._FilterDatabase" localSheetId="27" hidden="1">'21 - Model Duplicate Decisions'!$A$1:$U$14</definedName>
    <definedName name="_xlnm._FilterDatabase" localSheetId="28" hidden="1">'16 - Lookup Audit'!$A$1:$H$23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yyyy\-mm\-dd\ hh:mm:ss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</font>
    <font>
      <name val="Poppins"/>
      <color theme="1"/>
      <sz val="11"/>
    </font>
    <font>
      <name val="Poppins"/>
      <sz val="11"/>
    </font>
    <font>
      <name val="Poppins"/>
      <color rgb="FF000000"/>
      <sz val="11"/>
    </font>
    <font>
      <name val="Poppins"/>
      <b val="1"/>
      <color theme="0"/>
      <sz val="11"/>
    </font>
    <font>
      <name val="Poppins"/>
      <color theme="1"/>
      <sz val="10"/>
    </font>
    <font>
      <name val="Poppins"/>
      <b val="1"/>
      <color theme="1"/>
      <sz val="11"/>
    </font>
    <font>
      <name val="Poppins"/>
      <b val="1"/>
      <sz val="11"/>
    </font>
    <font>
      <name val="Calibri"/>
      <family val="2"/>
      <sz val="8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5"/>
        <bgColor theme="5"/>
      </patternFill>
    </fill>
    <fill>
      <patternFill patternType="solid">
        <fgColor rgb="001F4E78"/>
      </patternFill>
    </fill>
  </fills>
  <borders count="1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5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5" tint="0.3999755851924192"/>
      </right>
      <top style="thin">
        <color theme="4" tint="0.3999755851924192"/>
      </top>
      <bottom/>
      <diagonal/>
    </border>
    <border>
      <left style="thin">
        <color theme="5" tint="0.3999755851924192"/>
      </left>
      <right/>
      <top style="thin">
        <color theme="5" tint="0.3999755851924192"/>
      </top>
      <bottom/>
      <diagonal/>
    </border>
    <border>
      <left/>
      <right/>
      <top style="thin">
        <color theme="5" tint="0.3999755851924192"/>
      </top>
      <bottom/>
      <diagonal/>
    </border>
    <border>
      <left/>
      <right style="thin">
        <color theme="5" tint="0.3999755851924192"/>
      </right>
      <top style="thin">
        <color theme="5" tint="0.3999755851924192"/>
      </top>
      <bottom/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/>
      <right/>
      <top/>
      <bottom style="thin">
        <color theme="5" tint="0.3999755851924192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7" fillId="0" borderId="2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9" fillId="3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11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9" fillId="3" borderId="3" pivotButton="0" quotePrefix="0" xfId="0"/>
    <xf numFmtId="0" fontId="7" fillId="3" borderId="4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0" borderId="6" pivotButton="0" quotePrefix="0" xfId="0"/>
    <xf numFmtId="0" fontId="7" fillId="0" borderId="7" pivotButton="0" quotePrefix="0" xfId="0"/>
    <xf numFmtId="0" fontId="9" fillId="0" borderId="7" pivotButton="0" quotePrefix="0" xfId="0"/>
    <xf numFmtId="0" fontId="9" fillId="0" borderId="8" pivotButton="0" quotePrefix="0" xfId="0"/>
    <xf numFmtId="0" fontId="9" fillId="3" borderId="6" pivotButton="0" quotePrefix="0" xfId="0"/>
    <xf numFmtId="0" fontId="7" fillId="3" borderId="7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12" pivotButton="0" quotePrefix="0" xfId="0"/>
    <xf numFmtId="0" fontId="9" fillId="0" borderId="12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9" fontId="5" fillId="0" borderId="0" pivotButton="0" quotePrefix="0" xfId="0"/>
    <xf numFmtId="0" fontId="11" fillId="2" borderId="9" pivotButton="0" quotePrefix="0" xfId="0"/>
    <xf numFmtId="0" fontId="11" fillId="2" borderId="10" pivotButton="0" quotePrefix="0" xfId="0"/>
    <xf numFmtId="0" fontId="11" fillId="2" borderId="11" pivotButton="0" quotePrefix="0" xfId="0"/>
    <xf numFmtId="0" fontId="11" fillId="4" borderId="13" pivotButton="0" quotePrefix="0" xfId="0"/>
    <xf numFmtId="0" fontId="9" fillId="0" borderId="7" applyAlignment="1" pivotButton="0" quotePrefix="0" xfId="0">
      <alignment horizontal="center"/>
    </xf>
    <xf numFmtId="0" fontId="13" fillId="5" borderId="0" pivotButton="0" quotePrefix="0" xfId="0"/>
    <xf numFmtId="0" fontId="0" fillId="0" borderId="0" applyAlignment="1" pivotButton="0" quotePrefix="0" xfId="0">
      <alignment wrapText="1"/>
    </xf>
    <xf numFmtId="0" fontId="14" fillId="5" borderId="0" applyAlignment="1" pivotButton="0" quotePrefix="0" xfId="0">
      <alignment wrapText="1"/>
    </xf>
    <xf numFmtId="0" fontId="14" fillId="5" borderId="0" pivotButton="0" quotePrefix="0" xfId="0"/>
  </cellXfs>
  <cellStyles count="1">
    <cellStyle name="Normal" xfId="0" builtinId="0"/>
  </cellStyles>
  <dxfs count="367"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5"/>
          <bgColor theme="5"/>
        </patternFill>
      </fill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border outline="0">
        <top style="thin">
          <color theme="5" tint="0.3999755851924192"/>
        </top>
      </border>
    </dxf>
    <dxf>
      <border outline="0">
        <bottom style="thin">
          <color theme="5" tint="0.3999755851924192"/>
        </bottom>
      </border>
    </dxf>
    <dxf>
      <border outline="0">
        <left style="thin">
          <color theme="5" tint="0.3999755851924192"/>
        </left>
        <right style="thin">
          <color theme="5" tint="0.3999755851924192"/>
        </right>
        <top style="thin">
          <color theme="4" tint="0.3999755851924192"/>
        </top>
        <bottom style="thin">
          <color theme="5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numFmt numFmtId="13" formatCode="0%"/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alignment horizontal="general" vertical="center"/>
    </dxf>
    <dxf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 style="thin">
          <color theme="5" tint="0.3999755851924192"/>
        </right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 style="thin">
          <color theme="5" tint="0.3999755851924192"/>
        </left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top style="thin">
          <color theme="4" tint="0.3999755851924192"/>
        </top>
        <bottom style="thin">
          <color theme="5" tint="0.3999755851924192"/>
        </bottom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theme="4"/>
          <bgColor auto="1"/>
        </patternFill>
      </fill>
      <alignment horizontal="center" vertical="center"/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externalLink" Target="/xl/externalLinks/externalLink1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Projects/Nocturnix%20Repair%20Platform/Data/Nocturnix_Master_Database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base Schema"/>
      <sheetName val="Dashboard"/>
      <sheetName val="00 Documentation"/>
      <sheetName val="01 Configuration"/>
      <sheetName val="02 Lookup Lists"/>
      <sheetName val="10 Customer System"/>
      <sheetName val="10 Customers"/>
      <sheetName val="11 Customer Devices"/>
      <sheetName val="12 Addresses"/>
      <sheetName val="13 Communications"/>
      <sheetName val="20 Repair System"/>
      <sheetName val="20 Repair Tickets"/>
      <sheetName val="21 Diagnostics"/>
      <sheetName val="22 Repair Notes"/>
      <sheetName val="23 Parts Used"/>
      <sheetName val="24 Quality Control"/>
      <sheetName val="25 Repair Timeline"/>
      <sheetName val="30 Catalog System"/>
      <sheetName val="30 Manufacturers"/>
      <sheetName val="31 Device Families"/>
      <sheetName val="32 Devices"/>
      <sheetName val="33 Service Types"/>
      <sheetName val="34 Master Services"/>
      <sheetName val="35 Compatibility Matrix"/>
      <sheetName val="36 Technical Knowledge System"/>
      <sheetName val="36 Guide Categories"/>
      <sheetName val="37 Guide Sources"/>
      <sheetName val="38 Repair Guides"/>
      <sheetName val="39 Technical Library"/>
      <sheetName val="39.1 Labor Standards"/>
      <sheetName val="39.2 Tool Library"/>
      <sheetName val="39.3 Repair Tools"/>
      <sheetName val="39.4 Repair Parts"/>
      <sheetName val="39.5 Technical Documents"/>
      <sheetName val="39.6 Common Failures"/>
      <sheetName val="39.7 Quality Checklists"/>
      <sheetName val="39.8 Training Videos"/>
      <sheetName val="39.9 Repair Notes Library"/>
      <sheetName val="40 Inventory"/>
      <sheetName val="41 Parts"/>
      <sheetName val="42 Inventory"/>
      <sheetName val="43 Suppliers"/>
      <sheetName val="44 Purchase Orders"/>
      <sheetName val="50 Financial"/>
      <sheetName val="50 Pricing"/>
      <sheetName val="51 Labor"/>
      <sheetName val="52 Estimates"/>
      <sheetName val="53 Invoices"/>
      <sheetName val="54 Payments"/>
      <sheetName val="60 Reports"/>
      <sheetName val="60.1 Business Analytics"/>
      <sheetName val="60.2 Customer Analytics"/>
      <sheetName val="61.1 Business Reports"/>
      <sheetName val="61.2 Financial Reports"/>
      <sheetName val="62 Repair Statistics"/>
      <sheetName val="70 Website &amp; Square"/>
      <sheetName val="70"/>
      <sheetName val="71 "/>
      <sheetName val="72 "/>
      <sheetName val="73 "/>
      <sheetName val="74 "/>
      <sheetName val="75 "/>
      <sheetName val="76 "/>
      <sheetName val="77"/>
      <sheetName val="78 "/>
      <sheetName val="79 "/>
      <sheetName val="80 Administration"/>
      <sheetName val="90 AI &amp; Automation"/>
      <sheetName val="000 Li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ables/table1.xml><?xml version="1.0" encoding="utf-8"?>
<table xmlns="http://schemas.openxmlformats.org/spreadsheetml/2006/main" id="1" name="tblDeviceTypes" displayName="tblDeviceTypes" ref="A1:E13" headerRowCount="1" totalsRowShown="0" headerRowDxfId="326" dataDxfId="325">
  <autoFilter ref="A1:E13"/>
  <tableColumns count="5">
    <tableColumn id="1" name="DeviceTypeID" dataDxfId="331"/>
    <tableColumn id="2" name="Device Type" dataDxfId="330"/>
    <tableColumn id="3" name="Description" dataDxfId="329"/>
    <tableColumn id="4" name="Sort Order" dataDxfId="328"/>
    <tableColumn id="5" name="IsActive" dataDxfId="3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anufacturers" displayName="tblManufacturers" ref="A15:E35" headerRowCount="1" totalsRowShown="0" headerRowDxfId="319" dataDxfId="318">
  <autoFilter ref="A15:E35"/>
  <tableColumns count="5">
    <tableColumn id="1" name="ManufacturerID" dataDxfId="324"/>
    <tableColumn id="2" name="Manufacturer" dataDxfId="323"/>
    <tableColumn id="3" name="Description" dataDxfId="322"/>
    <tableColumn id="4" name="Sort Order" dataDxfId="321"/>
    <tableColumn id="5" name="IsActive" dataDxfId="3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eviceFamilies" displayName="tblDeviceFamilies" ref="A37:E50" headerRowCount="1" totalsRowShown="0" headerRowDxfId="312" dataDxfId="311">
  <autoFilter ref="A37:E50"/>
  <tableColumns count="5">
    <tableColumn id="1" name="DeviceFamilyID" dataDxfId="317"/>
    <tableColumn id="2" name="Device Family" dataDxfId="316"/>
    <tableColumn id="3" name="Manufacturer" dataDxfId="315"/>
    <tableColumn id="4" name="Sort Order" dataDxfId="314"/>
    <tableColumn id="5" name="IsActive" dataDxfId="3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viceColors" displayName="tblDeviceColors" ref="A52:E68" headerRowCount="1" totalsRowShown="0" headerRowDxfId="305" dataDxfId="304">
  <autoFilter ref="A52:E68"/>
  <tableColumns count="5">
    <tableColumn id="1" name="ID" dataDxfId="310"/>
    <tableColumn id="2" name="Name" dataDxfId="309"/>
    <tableColumn id="3" name="Description" dataDxfId="308"/>
    <tableColumn id="4" name="DisplayOrder" dataDxfId="307"/>
    <tableColumn id="5" name="Active" dataDxfId="3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rriers" displayName="tblCarriers" ref="A70:E80" headerRowCount="1" totalsRowShown="0" headerRowDxfId="298" dataDxfId="297">
  <autoFilter ref="A70:E80"/>
  <tableColumns count="5">
    <tableColumn id="1" name="ID" dataDxfId="303"/>
    <tableColumn id="2" name="Name" dataDxfId="302"/>
    <tableColumn id="3" name="Description" dataDxfId="301"/>
    <tableColumn id="4" name="DisplayOrder" dataDxfId="300"/>
    <tableColumn id="5" name="Active" dataDxfId="2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OperatingSystems" displayName="tblOperatingSystems" ref="A82:B94" headerRowCount="1" totalsRowShown="0" headerRowDxfId="294" dataDxfId="293">
  <autoFilter ref="A82:B94"/>
  <tableColumns count="2">
    <tableColumn id="1" name="OperatingSystemID" dataDxfId="296"/>
    <tableColumn id="2" name="OperatingSystem" dataDxfId="29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blMemoryOptions" displayName="tblMemoryOptions" ref="A96:E103" headerRowCount="1" totalsRowShown="0" headerRowDxfId="287" dataDxfId="286">
  <autoFilter ref="A96:E103"/>
  <tableColumns count="5">
    <tableColumn id="1" name="ID" dataDxfId="292"/>
    <tableColumn id="2" name="Name" dataDxfId="291"/>
    <tableColumn id="3" name="Description" dataDxfId="290"/>
    <tableColumn id="4" name="DisplayOrder" dataDxfId="289"/>
    <tableColumn id="5" name="Active" dataDxfId="2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torageOptions" displayName="tblStorageOptions" ref="A105:E111" headerRowCount="1" totalsRowShown="0" headerRowDxfId="280" dataDxfId="279">
  <autoFilter ref="A105:E111"/>
  <tableColumns count="5">
    <tableColumn id="1" name="ID" dataDxfId="285"/>
    <tableColumn id="2" name="Name" dataDxfId="284"/>
    <tableColumn id="3" name="Description" dataDxfId="283"/>
    <tableColumn id="4" name="DisplayOrder" dataDxfId="282"/>
    <tableColumn id="5" name="Active" dataDxfId="28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eviceModel" displayName="tblDeviceModel" ref="G1:Q635" headerRowCount="1" totalsRowShown="0" headerRowDxfId="269" dataDxfId="268">
  <autoFilter ref="G1:O635"/>
  <tableColumns count="9">
    <tableColumn id="1" name="ModelID" dataDxfId="278"/>
    <tableColumn id="2" name="ManufacturerID" dataDxfId="277"/>
    <tableColumn id="3" name="DeviceFamilyID" dataDxfId="276"/>
    <tableColumn id="4" name="DeviceTypeID" dataDxfId="275"/>
    <tableColumn id="5" name="ModelName" dataDxfId="274"/>
    <tableColumn id="6" name="Manufacturer Model" dataDxfId="273"/>
    <tableColumn id="7" name="ReleaseYear" dataDxfId="272"/>
    <tableColumn id="8" name="SortOrder" dataDxfId="271"/>
    <tableColumn id="9" name="IsActive" dataDxfId="2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pairTypes" displayName="tblRepairTypes" ref="A1:E51" headerRowCount="1" totalsRowShown="0" headerRowDxfId="262" dataDxfId="261">
  <autoFilter ref="A1:E51"/>
  <tableColumns count="5">
    <tableColumn id="1" name="ID" dataDxfId="267"/>
    <tableColumn id="2" name="Name" dataDxfId="266"/>
    <tableColumn id="3" name="Description" dataDxfId="265"/>
    <tableColumn id="4" name="DisplayOrder" dataDxfId="264"/>
    <tableColumn id="5" name="Active" dataDxfId="263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blRepairCategories" displayName="tblRepairCategories" ref="G1:K13" headerRowCount="1" totalsRowShown="0" headerRowDxfId="255" dataDxfId="254" headerRowBorderDxfId="346" tableBorderDxfId="347">
  <autoFilter ref="G1:K13"/>
  <tableColumns count="5">
    <tableColumn id="1" name="ID" dataDxfId="260"/>
    <tableColumn id="2" name="Name" dataDxfId="259"/>
    <tableColumn id="3" name="Description" dataDxfId="258"/>
    <tableColumn id="4" name="DisplayOrder" dataDxfId="257"/>
    <tableColumn id="5" name="Active" dataDxfId="25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12" name="tblRepairPriorities" displayName="tblRepairPriorities" ref="M1:Q6" headerRowCount="1" totalsRowShown="0" headerRowDxfId="248" dataDxfId="247">
  <autoFilter ref="M1:Q6"/>
  <tableColumns count="5">
    <tableColumn id="1" name="ID" dataDxfId="253"/>
    <tableColumn id="2" name="Name" dataDxfId="252"/>
    <tableColumn id="3" name="Description" dataDxfId="251"/>
    <tableColumn id="4" name="DisplayOrder" dataDxfId="250"/>
    <tableColumn id="5" name="Active" dataDxfId="24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id="13" name="tblRepairStatus" displayName="tblRepairStatus" ref="G15:K35" headerRowCount="1" totalsRowShown="0" headerRowDxfId="241" dataDxfId="240" tableBorderDxfId="345">
  <autoFilter ref="G15:K35"/>
  <tableColumns count="5">
    <tableColumn id="1" name="ID" dataDxfId="246"/>
    <tableColumn id="2" name="Name" dataDxfId="245"/>
    <tableColumn id="3" name="Description" dataDxfId="244"/>
    <tableColumn id="4" name="DisplayOrder" dataDxfId="243"/>
    <tableColumn id="5" name="Active" dataDxfId="242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id="14" name="tblRepairOutcomes" displayName="tblRepairOutcomes" ref="M8:Q14" headerRowCount="1" totalsRowShown="0" headerRowDxfId="234" dataDxfId="233">
  <autoFilter ref="M8:Q14"/>
  <tableColumns count="5">
    <tableColumn id="1" name="ID" dataDxfId="239"/>
    <tableColumn id="2" name="Name" dataDxfId="238"/>
    <tableColumn id="3" name="Description" dataDxfId="237"/>
    <tableColumn id="4" name="DisplayOrder" dataDxfId="236"/>
    <tableColumn id="5" name="Active" dataDxfId="235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id="15" name="tblRepairComplexities" displayName="tblRepairComplexities" ref="S1:W6" headerRowCount="1" totalsRowShown="0" headerRowDxfId="227" dataDxfId="226">
  <autoFilter ref="S1:W6"/>
  <tableColumns count="5">
    <tableColumn id="1" name="ID" dataDxfId="232"/>
    <tableColumn id="2" name="Name" dataDxfId="231"/>
    <tableColumn id="3" name="Description" dataDxfId="230"/>
    <tableColumn id="4" name="DisplayOrder" dataDxfId="229"/>
    <tableColumn id="5" name="Active" dataDxfId="228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id="16" name="tblDiagnosticResults" displayName="tblDiagnosticResults" ref="S8:W16" headerRowCount="1" totalsRowShown="0" headerRowDxfId="220" dataDxfId="219">
  <autoFilter ref="S8:W16"/>
  <tableColumns count="5">
    <tableColumn id="1" name="ID" dataDxfId="225"/>
    <tableColumn id="2" name="Name" dataDxfId="224"/>
    <tableColumn id="3" name="Description" dataDxfId="223"/>
    <tableColumn id="4" name="DisplayOrder" dataDxfId="222"/>
    <tableColumn id="5" name="Active" dataDxfId="221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PartCategories" displayName="tblPartCategories" ref="M16:Q26" headerRowCount="1" totalsRowShown="0" headerRowDxfId="213" dataDxfId="212">
  <autoFilter ref="M16:Q26"/>
  <tableColumns count="5">
    <tableColumn id="1" name="ID" dataDxfId="218"/>
    <tableColumn id="2" name="Name" dataDxfId="217"/>
    <tableColumn id="3" name="Description" dataDxfId="216"/>
    <tableColumn id="4" name="DisplayOrder" dataDxfId="215"/>
    <tableColumn id="5" name="Active" dataDxfId="21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artTypes" displayName="tblPartTypes" ref="M28:Q35" headerRowCount="1" totalsRowShown="0" headerRowDxfId="206" dataDxfId="205">
  <autoFilter ref="M28:Q35"/>
  <tableColumns count="5">
    <tableColumn id="1" name="ID" dataDxfId="211"/>
    <tableColumn id="2" name="Name" dataDxfId="210"/>
    <tableColumn id="3" name="Description" dataDxfId="209"/>
    <tableColumn id="4" name="DisplayOrder" dataDxfId="208"/>
    <tableColumn id="5" name="Active" dataDxfId="20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PartConditions" displayName="tblPartConditions" ref="S18:W25" headerRowCount="1" totalsRowShown="0" headerRowDxfId="199" dataDxfId="198">
  <autoFilter ref="S18:W25"/>
  <tableColumns count="5">
    <tableColumn id="1" name="ID" dataDxfId="204"/>
    <tableColumn id="2" name="Name" dataDxfId="203"/>
    <tableColumn id="3" name="Description" dataDxfId="202"/>
    <tableColumn id="4" name="DisplayOrder" dataDxfId="201"/>
    <tableColumn id="5" name="Active" dataDxfId="20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PartStatus" displayName="tblPartStatus" ref="S27:W34" headerRowCount="1" totalsRowShown="0" headerRowDxfId="192" dataDxfId="191">
  <autoFilter ref="S27:W34"/>
  <tableColumns count="5">
    <tableColumn id="1" name="ID" dataDxfId="197"/>
    <tableColumn id="2" name="Name" dataDxfId="196"/>
    <tableColumn id="3" name="Description" dataDxfId="195"/>
    <tableColumn id="4" name="DisplayOrder" dataDxfId="194"/>
    <tableColumn id="5" name="Active" dataDxfId="193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id="21" name="tblPartManufacturers" displayName="tblPartManufacturers" ref="G37:K60" headerRowCount="1" totalsRowShown="0" headerRowDxfId="185" dataDxfId="184" headerRowBorderDxfId="343" tableBorderDxfId="344">
  <autoFilter ref="G37:K60"/>
  <tableColumns count="5">
    <tableColumn id="1" name="ID" dataDxfId="190"/>
    <tableColumn id="2" name="Name" dataDxfId="189"/>
    <tableColumn id="3" name="Description" dataDxfId="188"/>
    <tableColumn id="4" name="DisplayOrder" dataDxfId="187"/>
    <tableColumn id="5" name="Active" dataDxfId="186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id="22" name="tblInventoryStatus" displayName="tblInventoryStatus" ref="S36:W42" headerRowCount="1" totalsRowShown="0" headerRowDxfId="178" dataDxfId="177">
  <autoFilter ref="S36:W42"/>
  <tableColumns count="5">
    <tableColumn id="1" name="ID" dataDxfId="183"/>
    <tableColumn id="2" name="Name" dataDxfId="182"/>
    <tableColumn id="3" name="Description" dataDxfId="181"/>
    <tableColumn id="4" name="DisplayOrder" dataDxfId="180"/>
    <tableColumn id="5" name="Active" dataDxfId="17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RepairabilityRatings" displayName="tblRepairabilityRatings" ref="M45:Q55" headerRowCount="1" totalsRowShown="0" headerRowDxfId="171" dataDxfId="170">
  <autoFilter ref="M45:Q55"/>
  <tableColumns count="5">
    <tableColumn id="1" name="ID" dataDxfId="176"/>
    <tableColumn id="2" name="Name" dataDxfId="175"/>
    <tableColumn id="3" name="Description" dataDxfId="174"/>
    <tableColumn id="4" name="DisplayOrder" dataDxfId="173"/>
    <tableColumn id="5" name="Active" dataDxfId="172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id="24" name="tblPartSuppliers" displayName="tblPartSuppliers" ref="M37:Q43" headerRowCount="1" totalsRowShown="0" headerRowDxfId="0" dataDxfId="1" headerRowBorderDxfId="8" tableBorderDxfId="9" totalsRowBorderDxfId="7">
  <autoFilter ref="M37:Q43"/>
  <tableColumns count="5">
    <tableColumn id="1" name="ID" dataDxfId="6"/>
    <tableColumn id="2" name="Name" dataDxfId="5"/>
    <tableColumn id="3" name="Description" dataDxfId="4"/>
    <tableColumn id="4" name="DisplayOrder" dataDxfId="3"/>
    <tableColumn id="5" name="Active" dataDxfId="2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blLookupCatalogID" displayName="tblLookupCatalogID" ref="A1:M57" headerRowCount="1" totalsRowShown="0" headerRowDxfId="356" dataDxfId="355">
  <autoFilter ref="A1:M57"/>
  <tableColumns count="13">
    <tableColumn id="1" name="LookupCatalogID" dataDxfId="169"/>
    <tableColumn id="2" name="LookupGroupID" dataDxfId="168"/>
    <tableColumn id="11" name="LookupGroupName" dataDxfId="167">
      <calculatedColumnFormula>_xlfn.XLOOKUP(tblLookupCatalogID[[#This Row],[LookupGroupID]],[1]!tblLookupGroups[LookupGroupID],[1]!tblLookupGroups[GroupName],"")</calculatedColumnFormula>
    </tableColumn>
    <tableColumn id="3" name="LookupTableName" dataDxfId="166"/>
    <tableColumn id="4" name="DisplayName" dataDxfId="164"/>
    <tableColumn id="5" name="PrimaryKeyField" dataDxfId="165"/>
    <tableColumn id="6" name="PrimaryKeyPrefix" dataDxfId="363"/>
    <tableColumn id="7" name="Description" dataDxfId="362"/>
    <tableColumn id="8" name="DisplayOrder" dataDxfId="361"/>
    <tableColumn id="9" name="Status" dataDxfId="360"/>
    <tableColumn id="10" name="IsSystemLookup" dataDxfId="359"/>
    <tableColumn id="12" name="TableExists" dataDxfId="358">
      <calculatedColumnFormula array="1">TableExists(tblLookupCatalogID[[#This Row],[LookupTableName]])</calculatedColumnFormula>
    </tableColumn>
    <tableColumn id="13" name="LastReviewed" dataDxfId="35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CustomerTypes" displayName="tblCustomerTypes" ref="A59:E65" headerRowCount="1" totalsRowShown="0" headerRowDxfId="158" dataDxfId="157">
  <autoFilter ref="A59:E65"/>
  <tableColumns count="5">
    <tableColumn id="1" name="CustomerTypeID" dataDxfId="163"/>
    <tableColumn id="2" name="Customer Type" dataDxfId="162"/>
    <tableColumn id="3" name="Description" dataDxfId="161"/>
    <tableColumn id="4" name="Sort Order" dataDxfId="160"/>
    <tableColumn id="5" name="IsActive" dataDxfId="15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PreferredContactMethods" displayName="tblPreferredContactMethods" ref="A67:E72" headerRowCount="1" totalsRowShown="0" headerRowDxfId="151" dataDxfId="150">
  <autoFilter ref="A67:E72"/>
  <tableColumns count="5">
    <tableColumn id="1" name="PreferredContactMethodID" dataDxfId="156"/>
    <tableColumn id="2" name="Contact Method" dataDxfId="155"/>
    <tableColumn id="3" name="Description" dataDxfId="154"/>
    <tableColumn id="4" name="Sort Order" dataDxfId="153"/>
    <tableColumn id="5" name="IsActive" dataDxfId="15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CustomerStatus" displayName="tblCustomerStatus" ref="A74:D80" headerRowCount="1" totalsRowShown="0" headerRowDxfId="145" dataDxfId="144">
  <autoFilter ref="A74:D80"/>
  <tableColumns count="4">
    <tableColumn id="1" name="CustomerStatusID" dataDxfId="149"/>
    <tableColumn id="2" name="Status" dataDxfId="148"/>
    <tableColumn id="3" name="Description" dataDxfId="147"/>
    <tableColumn id="4" name="Sort Order" dataDxfId="14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LookupGroups" displayName="tblLookupGroups" ref="G59:K69" headerRowCount="1" totalsRowShown="0" headerRowDxfId="349" dataDxfId="348" headerRowBorderDxfId="365" tableBorderDxfId="366" totalsRowBorderDxfId="364">
  <autoFilter ref="G59:K69"/>
  <tableColumns count="5">
    <tableColumn id="1" name="LookupGroupID" dataDxfId="354"/>
    <tableColumn id="2" name="GroupName" dataDxfId="353"/>
    <tableColumn id="3" name="Description" dataDxfId="352"/>
    <tableColumn id="4" name="DisplayOrder" dataDxfId="351"/>
    <tableColumn id="5" name="IsActive" dataDxfId="350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blMarketRegions" displayName="tblMarketRegions" ref="A82:E93" headerRowCount="1" totalsRowShown="0" headerRowDxfId="138" dataDxfId="137">
  <autoFilter ref="A82:E93"/>
  <tableColumns count="5">
    <tableColumn id="1" name="ID" dataDxfId="143"/>
    <tableColumn id="2" name="Name" dataDxfId="142"/>
    <tableColumn id="3" name="Description" dataDxfId="141"/>
    <tableColumn id="4" name="DisplayOrder" dataDxfId="140"/>
    <tableColumn id="5" name="Active" dataDxfId="139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id="31" name="tblChargingTypeID" displayName="tblChargingTypeID" ref="A1:B9" headerRowCount="1" totalsRowShown="0" headerRowDxfId="134" dataDxfId="133">
  <autoFilter ref="A1:B9"/>
  <tableColumns count="2">
    <tableColumn id="1" name="ChargingTypeID" dataDxfId="136"/>
    <tableColumn id="2" name="ChargingType" dataDxfId="135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id="32" name="tblSIMType" displayName="tblSIMType" ref="A11:E18" headerRowCount="1" totalsRowShown="0" headerRowDxfId="127" dataDxfId="126">
  <autoFilter ref="A11:E18"/>
  <tableColumns count="5">
    <tableColumn id="1" name="ID" dataDxfId="132"/>
    <tableColumn id="2" name="Name" dataDxfId="131"/>
    <tableColumn id="3" name="Description" dataDxfId="130"/>
    <tableColumn id="4" name="DisplayOrder" dataDxfId="129"/>
    <tableColumn id="5" name="Active" dataDxfId="128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id="33" name="tblNetworkGenerations" displayName="tblNetworkGenerations" ref="A20:E26" headerRowCount="1" totalsRowShown="0" headerRowDxfId="120" dataDxfId="119">
  <autoFilter ref="A20:E26"/>
  <tableColumns count="5">
    <tableColumn id="1" name="ID" dataDxfId="125"/>
    <tableColumn id="2" name="Name" dataDxfId="124"/>
    <tableColumn id="3" name="Description" dataDxfId="123"/>
    <tableColumn id="4" name="DisplayOrder" dataDxfId="122"/>
    <tableColumn id="5" name="Active" dataDxfId="121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id="34" name="tblScreenTechnologies" displayName="tblScreenTechnologies" ref="A28:E38" headerRowCount="1" totalsRowShown="0" headerRowDxfId="113" dataDxfId="112">
  <autoFilter ref="A28:E38"/>
  <tableColumns count="5">
    <tableColumn id="1" name="ID" dataDxfId="118"/>
    <tableColumn id="2" name="Name" dataDxfId="117"/>
    <tableColumn id="3" name="Description" dataDxfId="116"/>
    <tableColumn id="4" name="DisplayOrder" dataDxfId="115"/>
    <tableColumn id="5" name="Active" dataDxfId="114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id="35" name="tblProcessorManufacturers" displayName="tblProcessorManufacturers" ref="A40:E50" headerRowCount="1" totalsRowShown="0" headerRowDxfId="106" dataDxfId="105">
  <autoFilter ref="A40:E50"/>
  <tableColumns count="5">
    <tableColumn id="1" name="ID" dataDxfId="111"/>
    <tableColumn id="2" name="Name" dataDxfId="110"/>
    <tableColumn id="3" name="Description" dataDxfId="109"/>
    <tableColumn id="4" name="DisplayOrder" dataDxfId="108"/>
    <tableColumn id="5" name="Active" dataDxfId="107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id="36" name="tblRefreshRates" displayName="tblRefreshRates" ref="G1:K7" headerRowCount="1" totalsRowShown="0" headerRowDxfId="99" dataDxfId="98">
  <autoFilter ref="G1:K7"/>
  <tableColumns count="5">
    <tableColumn id="1" name="ID" dataDxfId="104"/>
    <tableColumn id="2" name="Name" dataDxfId="103"/>
    <tableColumn id="3" name="Description" dataDxfId="102"/>
    <tableColumn id="4" name="DisplayOrder" dataDxfId="101"/>
    <tableColumn id="5" name="Active" dataDxfId="100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id="37" name="tblDeviceStatus" displayName="tblDeviceStatus" ref="G9:K14" headerRowCount="1" totalsRowShown="0" headerRowDxfId="92" dataDxfId="91">
  <autoFilter ref="G9:K14"/>
  <tableColumns count="5">
    <tableColumn id="1" name="ID" dataDxfId="97"/>
    <tableColumn id="2" name="Name" dataDxfId="96"/>
    <tableColumn id="3" name="Description" dataDxfId="95"/>
    <tableColumn id="4" name="DisplayOrder" dataDxfId="94"/>
    <tableColumn id="5" name="Active" dataDxfId="93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id="38" name="tblToolCategoryID" displayName="tblToolCategoryID" ref="A1:B11" headerRowCount="1" totalsRowShown="0" headerRowDxfId="88" dataDxfId="87">
  <autoFilter ref="A1:B11"/>
  <tableColumns count="2">
    <tableColumn id="1" name="Tool Category ID" dataDxfId="90"/>
    <tableColumn id="2" name="Category" dataDxfId="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WarrantyTypes" displayName="tblWarrantyTypes" ref="A1:E9" headerRowCount="1" totalsRowShown="0" headerRowDxfId="81" dataDxfId="80">
  <autoFilter ref="A1:E9"/>
  <tableColumns count="5">
    <tableColumn id="1" name="ID" dataDxfId="86"/>
    <tableColumn id="2" name="Name" dataDxfId="85"/>
    <tableColumn id="3" name="Description" dataDxfId="84"/>
    <tableColumn id="4" name="DisplayOrder" dataDxfId="83"/>
    <tableColumn id="5" name="Active" dataDxfId="82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id="40" name="tblWarrantyStatus" displayName="tblWarrantyStatus" ref="G1:K5" headerRowCount="1" totalsRowShown="0" headerRowDxfId="74" dataDxfId="73">
  <autoFilter ref="G1:K5"/>
  <tableColumns count="5">
    <tableColumn id="1" name="ID" dataDxfId="79"/>
    <tableColumn id="2" name="Name" dataDxfId="78"/>
    <tableColumn id="3" name="Description" dataDxfId="77"/>
    <tableColumn id="4" name="DisplayOrder" dataDxfId="76"/>
    <tableColumn id="5" name="Active" dataDxfId="7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WarrantyProviders" displayName="tblWarrantyProviders" ref="M1:Q7" headerRowCount="1" totalsRowShown="0" headerRowDxfId="67" dataDxfId="66">
  <autoFilter ref="M1:Q7"/>
  <tableColumns count="5">
    <tableColumn id="1" name="ID" dataDxfId="72"/>
    <tableColumn id="2" name="Name" dataDxfId="71"/>
    <tableColumn id="3" name="Description" dataDxfId="70"/>
    <tableColumn id="4" name="DisplayOrder" dataDxfId="69"/>
    <tableColumn id="5" name="Active" dataDxfId="6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PaymentMethods" displayName="tblPaymentMethods" ref="A1:E9" headerRowCount="1" totalsRowShown="0" headerRowDxfId="60" dataDxfId="59">
  <autoFilter ref="A1:E9"/>
  <tableColumns count="5">
    <tableColumn id="1" name="ID" dataDxfId="65"/>
    <tableColumn id="2" name="Name" dataDxfId="64"/>
    <tableColumn id="3" name="Description" dataDxfId="63"/>
    <tableColumn id="4" name="DisplayOrder" dataDxfId="62"/>
    <tableColumn id="5" name="Active" dataDxfId="6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PaymentStatus" displayName="tblPaymentStatus" ref="A11:E22" headerRowCount="1" totalsRowShown="0" headerRowDxfId="53" dataDxfId="52" headerRowBorderDxfId="341" tableBorderDxfId="342">
  <autoFilter ref="A11:E22"/>
  <tableColumns count="5">
    <tableColumn id="1" name="ID" dataDxfId="58"/>
    <tableColumn id="2" name="Name" dataDxfId="57"/>
    <tableColumn id="3" name="Description" dataDxfId="56"/>
    <tableColumn id="4" name="DisplayOrder" dataDxfId="55"/>
    <tableColumn id="5" name="Active" dataDxfId="5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ShippingMethods" displayName="tblShippingMethods" ref="G1:K7" headerRowCount="1" totalsRowShown="0" headerRowDxfId="46" dataDxfId="45">
  <autoFilter ref="G1:K7"/>
  <tableColumns count="5">
    <tableColumn id="1" name="ID" dataDxfId="51"/>
    <tableColumn id="2" name="Name" dataDxfId="50"/>
    <tableColumn id="3" name="Description" dataDxfId="49"/>
    <tableColumn id="4" name="DisplayOrder" dataDxfId="48"/>
    <tableColumn id="5" name="Active" dataDxfId="4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ShippingStatus" displayName="tblShippingStatus" ref="G9:K20" headerRowCount="1" totalsRowShown="0" headerRowDxfId="39" dataDxfId="38" headerRowBorderDxfId="339" tableBorderDxfId="340">
  <autoFilter ref="G9:K20"/>
  <tableColumns count="5">
    <tableColumn id="1" name="ID" dataDxfId="44"/>
    <tableColumn id="2" name="Name" dataDxfId="43"/>
    <tableColumn id="3" name="Description" dataDxfId="42"/>
    <tableColumn id="4" name="DisplayOrder" dataDxfId="41"/>
    <tableColumn id="5" name="Active" dataDxfId="4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TaxRates" displayName="tblTaxRates" ref="M1:Q12" headerRowCount="1" totalsRowShown="0" headerRowDxfId="32" dataDxfId="31">
  <autoFilter ref="M1:Q12"/>
  <tableColumns count="5">
    <tableColumn id="1" name="ID" dataDxfId="37"/>
    <tableColumn id="2" name="Name" dataDxfId="36"/>
    <tableColumn id="3" name="Description" dataDxfId="35"/>
    <tableColumn id="4" name="DisplayOrder" dataDxfId="34"/>
    <tableColumn id="5" name="Active" dataDxfId="33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Countries" displayName="tblCountries" ref="A1:E21" headerRowCount="1" totalsRowShown="0" headerRowDxfId="25" dataDxfId="24">
  <autoFilter ref="A1:E21"/>
  <tableColumns count="5">
    <tableColumn id="1" name="ID" dataDxfId="30"/>
    <tableColumn id="2" name="Name" dataDxfId="29"/>
    <tableColumn id="3" name="Description" dataDxfId="28"/>
    <tableColumn id="4" name="DisplayOrder" dataDxfId="27"/>
    <tableColumn id="5" name="Active" dataDxfId="26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id="48" name="tblStatesProvinces" displayName="tblStatesProvinces" ref="G1:K61" headerRowCount="1" totalsRowShown="0" headerRowDxfId="18" dataDxfId="17">
  <autoFilter ref="G1:K61"/>
  <tableColumns count="5">
    <tableColumn id="1" name="ID" dataDxfId="23"/>
    <tableColumn id="2" name="Name" dataDxfId="22"/>
    <tableColumn id="3" name="Description" dataDxfId="21"/>
    <tableColumn id="4" name="DisplayOrder" dataDxfId="20"/>
    <tableColumn id="5" name="Active" dataDxfId="19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id="49" name="tblTimeZones" displayName="tblTimeZones" ref="M1:Q7" headerRowCount="1" totalsRowShown="0" headerRowDxfId="11" dataDxfId="10">
  <autoFilter ref="M1:Q7"/>
  <tableColumns count="5">
    <tableColumn id="1" name="ID" dataDxfId="16"/>
    <tableColumn id="2" name="Name" dataDxfId="15"/>
    <tableColumn id="3" name="Description" dataDxfId="14"/>
    <tableColumn id="4" name="DisplayOrder" dataDxfId="13"/>
    <tableColumn id="5" name="Active" dataDxfId="12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id="50" name="tblLookupDuplicateCandidates" displayName="tblLookupDuplicateCandidates" ref="A4:I17" headerRowCount="1">
  <autoFilter ref="A4:I17"/>
  <tableColumns count="9">
    <tableColumn id="1" name="Table"/>
    <tableColumn id="2" name="Record ID"/>
    <tableColumn id="3" name="ManufacturerID"/>
    <tableColumn id="4" name="ModelName"/>
    <tableColumn id="5" name="ManufacturerModel"/>
    <tableColumn id="6" name="Source Row"/>
    <tableColumn id="7" name="Group Size"/>
    <tableColumn id="8" name="Candidate Rule"/>
    <tableColumn id="9" name="Status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ManufacturerIDCrosswalk" displayName="tblManufacturerIDCrosswalk" ref="A1:N21" headerRowCount="1">
  <autoFilter ref="A1:N21"/>
  <tableColumns count="14">
    <tableColumn id="1" name="LegacyManufacturerID"/>
    <tableColumn id="2" name="CanonicalManufacturerID"/>
    <tableColumn id="3" name="Manufacturer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ables/table52.xml><?xml version="1.0" encoding="utf-8"?>
<table xmlns="http://schemas.openxmlformats.org/spreadsheetml/2006/main" id="52" name="tblDeviceFamilyIDCrosswalk" displayName="tblDeviceFamilyIDCrosswalk" ref="A24:O151" headerRowCount="1">
  <autoFilter ref="A24:O151"/>
  <tableColumns count="15">
    <tableColumn id="1" name="LegacyDeviceFamilyID"/>
    <tableColumn id="2" name="CanonicalDeviceFamilyID"/>
    <tableColumn id="3" name="DeviceFamilyName"/>
    <tableColumn id="4" name="ManufacturerID"/>
    <tableColumn id="5" name="LegacySource"/>
    <tableColumn id="6" name="CanonicalSource"/>
    <tableColumn id="7" name="MatchMethod"/>
    <tableColumn id="8" name="Confidence"/>
    <tableColumn id="9" name="MappingStatus"/>
    <tableColumn id="10" name="EvidenceSource"/>
    <tableColumn id="11" name="ReviewedBy"/>
    <tableColumn id="12" name="ReviewedDate"/>
    <tableColumn id="13" name="ApprovedBy"/>
    <tableColumn id="14" name="ApprovedDate"/>
    <tableColumn id="15" name="Notes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DeviceTypeIDCrosswalk" displayName="tblDeviceTypeIDCrosswalk" ref="A154:N166" headerRowCount="1">
  <autoFilter ref="A154:N166"/>
  <tableColumns count="14">
    <tableColumn id="1" name="LegacyDeviceTypeID"/>
    <tableColumn id="2" name="CanonicalDeviceTypeID"/>
    <tableColumn id="3" name="DeviceTypeName"/>
    <tableColumn id="4" name="LegacySource"/>
    <tableColumn id="5" name="CanonicalSource"/>
    <tableColumn id="6" name="MatchMethod"/>
    <tableColumn id="7" name="Confidence"/>
    <tableColumn id="8" name="MappingStatus"/>
    <tableColumn id="9" name="EvidenceSource"/>
    <tableColumn id="10" name="ReviewedBy"/>
    <tableColumn id="11" name="ReviewedDate"/>
    <tableColumn id="12" name="ApprovedBy"/>
    <tableColumn id="13" name="ApprovedDate"/>
    <tableColumn id="14" name="Notes"/>
  </tableColumns>
  <tableStyleInfo name="TableStyleMedium2" showFirstColumn="0" showLastColumn="0" showRowStripes="1"/>
</table>
</file>

<file path=xl/tables/table54.xml><?xml version="1.0" encoding="utf-8"?>
<table xmlns="http://schemas.openxmlformats.org/spreadsheetml/2006/main" id="54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ables/table55.xml><?xml version="1.0" encoding="utf-8"?>
<table xmlns="http://schemas.openxmlformats.org/spreadsheetml/2006/main" id="55" name="tblForeignKeyExceptions" displayName="tblForeignKeyExceptions" ref="A1:N1903" headerRowCount="1">
  <autoFilter ref="A1:N1903"/>
  <tableColumns count="14">
    <tableColumn id="1" name="ExceptionID"/>
    <tableColumn id="2" name="SourceWorksheet"/>
    <tableColumn id="3" name="SourceTable"/>
    <tableColumn id="4" name="SourceRow"/>
    <tableColumn id="5" name="RecordID"/>
    <tableColumn id="6" name="ForeignKeyField"/>
    <tableColumn id="7" name="CurrentForeignKeyValue"/>
    <tableColumn id="8" name="ExpectedParentTable"/>
    <tableColumn id="9" name="ProposedCanonicalID"/>
    <tableColumn id="10" name="MatchMethod"/>
    <tableColumn id="11" name="Confidence"/>
    <tableColumn id="12" name="ExceptionType"/>
    <tableColumn id="13" name="ReviewStatus"/>
    <tableColumn id="14" name="Notes"/>
  </tableColumns>
  <tableStyleInfo name="TableStyleMedium2" showFirstColumn="0" showLastColumn="0" showRowStripes="1"/>
</table>
</file>

<file path=xl/tables/table56.xml><?xml version="1.0" encoding="utf-8"?>
<table xmlns="http://schemas.openxmlformats.org/spreadsheetml/2006/main" id="56" name="tblModelDuplicateDecisions" displayName="tblModelDuplicateDecisions" ref="A1:U14" headerRowCount="1">
  <autoFilter ref="A1:U14"/>
  <tableColumns count="21">
    <tableColumn id="1" name="DuplicateGroupID"/>
    <tableColumn id="2" name="ModelID"/>
    <tableColumn id="3" name="ManufacturerID"/>
    <tableColumn id="4" name="ProposedManufacturerID"/>
    <tableColumn id="5" name="DeviceFamilyID"/>
    <tableColumn id="6" name="ProposedDeviceFamilyID"/>
    <tableColumn id="7" name="DeviceTypeID"/>
    <tableColumn id="8" name="ProposedDeviceTypeID"/>
    <tableColumn id="9" name="ModelName"/>
    <tableColumn id="10" name="ManufacturerModel"/>
    <tableColumn id="11" name="ReleaseYear"/>
    <tableColumn id="12" name="IsActive"/>
    <tableColumn id="13" name="DuplicateRule"/>
    <tableColumn id="14" name="CandidateCount"/>
    <tableColumn id="15" name="ProposedDisposition"/>
    <tableColumn id="16" name="CanonicalModelID"/>
    <tableColumn id="17" name="DecisionBasis"/>
    <tableColumn id="18" name="ReviewedBy"/>
    <tableColumn id="19" name="ReviewedDate"/>
    <tableColumn id="20" name="ApprovalStatus"/>
    <tableColumn id="21" name="Notes"/>
  </tableColumns>
  <tableStyleInfo name="TableStyleMedium2" showFirstColumn="0" showLastColumn="0" showRowStripes="1"/>
</table>
</file>

<file path=xl/tables/table57.xml><?xml version="1.0" encoding="utf-8"?>
<table xmlns="http://schemas.openxmlformats.org/spreadsheetml/2006/main" id="57" name="tblLookupAuditSummary" displayName="tblLookupAuditSummary" ref="A1:H23" headerRowCount="1">
  <autoFilter ref="A1:H23"/>
  <tableColumns count="8">
    <tableColumn id="1" name="CheckID"/>
    <tableColumn id="2" name="CheckCategory"/>
    <tableColumn id="3" name="CheckDescription"/>
    <tableColumn id="4" name="ResultCount"/>
    <tableColumn id="5" name="Status"/>
    <tableColumn id="6" name="Blocking"/>
    <tableColumn id="7" name="EvidenceReference"/>
    <tableColumn id="8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Relationship Type="http://schemas.openxmlformats.org/officeDocument/2006/relationships/table" Target="/xl/tables/table14.xml" Id="rId5"/><Relationship Type="http://schemas.openxmlformats.org/officeDocument/2006/relationships/table" Target="/xl/tables/table15.xml" Id="rId6"/><Relationship Type="http://schemas.openxmlformats.org/officeDocument/2006/relationships/table" Target="/xl/tables/table16.xml" Id="rId7"/><Relationship Type="http://schemas.openxmlformats.org/officeDocument/2006/relationships/table" Target="/xl/tables/table17.xml" Id="rId8"/><Relationship Type="http://schemas.openxmlformats.org/officeDocument/2006/relationships/table" Target="/xl/tables/table18.xml" Id="rId9"/><Relationship Type="http://schemas.openxmlformats.org/officeDocument/2006/relationships/table" Target="/xl/tables/table19.xml" Id="rId10"/><Relationship Type="http://schemas.openxmlformats.org/officeDocument/2006/relationships/table" Target="/xl/tables/table20.xml" Id="rId11"/><Relationship Type="http://schemas.openxmlformats.org/officeDocument/2006/relationships/table" Target="/xl/tables/table21.xml" Id="rId12"/><Relationship Type="http://schemas.openxmlformats.org/officeDocument/2006/relationships/table" Target="/xl/tables/table22.xml" Id="rId13"/><Relationship Type="http://schemas.openxmlformats.org/officeDocument/2006/relationships/table" Target="/xl/tables/table23.xml" Id="rId14"/><Relationship Type="http://schemas.openxmlformats.org/officeDocument/2006/relationships/table" Target="/xl/tables/table24.xml" Id="rId15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Relationship Type="http://schemas.openxmlformats.org/officeDocument/2006/relationships/table" Target="/xl/tables/table27.xml" Id="rId3"/><Relationship Type="http://schemas.openxmlformats.org/officeDocument/2006/relationships/table" Target="/xl/tables/table28.xml" Id="rId4"/><Relationship Type="http://schemas.openxmlformats.org/officeDocument/2006/relationships/table" Target="/xl/tables/table29.xml" Id="rId5"/><Relationship Type="http://schemas.openxmlformats.org/officeDocument/2006/relationships/table" Target="/xl/tables/table30.xml" Id="rId6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Relationship Type="http://schemas.openxmlformats.org/officeDocument/2006/relationships/table" Target="/xl/tables/table35.xml" Id="rId5"/><Relationship Type="http://schemas.openxmlformats.org/officeDocument/2006/relationships/table" Target="/xl/tables/table36.xml" Id="rId6"/><Relationship Type="http://schemas.openxmlformats.org/officeDocument/2006/relationships/table" Target="/xl/tables/table37.xml" Id="rId7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table" Target="/xl/tables/table40.xml" Id="rId2"/><Relationship Type="http://schemas.openxmlformats.org/officeDocument/2006/relationships/table" Target="/xl/tables/table41.xml" Id="rId3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42.xml" Id="rId1"/><Relationship Type="http://schemas.openxmlformats.org/officeDocument/2006/relationships/table" Target="/xl/tables/table43.xml" Id="rId2"/><Relationship Type="http://schemas.openxmlformats.org/officeDocument/2006/relationships/table" Target="/xl/tables/table44.xml" Id="rId3"/><Relationship Type="http://schemas.openxmlformats.org/officeDocument/2006/relationships/table" Target="/xl/tables/table45.xml" Id="rId4"/><Relationship Type="http://schemas.openxmlformats.org/officeDocument/2006/relationships/table" Target="/xl/tables/table46.xml" Id="rId5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Relationship Type="http://schemas.openxmlformats.org/officeDocument/2006/relationships/table" Target="/xl/tables/table49.xml" Id="rId3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51.xml" Id="rId1"/><Relationship Type="http://schemas.openxmlformats.org/officeDocument/2006/relationships/table" Target="/xl/tables/table52.xml" Id="rId2"/><Relationship Type="http://schemas.openxmlformats.org/officeDocument/2006/relationships/table" Target="/xl/tables/table53.xml" Id="rId3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20" customWidth="1" style="42" min="3" max="3"/>
  </cols>
  <sheetData>
    <row r="1">
      <c r="A1" s="1" t="inlineStr">
        <is>
          <t>Step</t>
        </is>
      </c>
      <c r="B1" s="1" t="inlineStr">
        <is>
          <t>Instruction</t>
        </is>
      </c>
      <c r="C1" s="1" t="inlineStr">
        <is>
          <t>Owner</t>
        </is>
      </c>
    </row>
    <row r="2">
      <c r="A2" t="n">
        <v>1</v>
      </c>
      <c r="B2" t="inlineStr">
        <is>
          <t>Review identity rows before relationship rows.</t>
        </is>
      </c>
      <c r="C2" t="inlineStr">
        <is>
          <t>Catalog Governance</t>
        </is>
      </c>
    </row>
    <row r="3">
      <c r="A3" t="n">
        <v>2</v>
      </c>
      <c r="B3" t="inlineStr">
        <is>
          <t>Resolve manufacturer aliases without changing the legacy observation.</t>
        </is>
      </c>
      <c r="C3" t="inlineStr">
        <is>
          <t>Catalog Governance</t>
        </is>
      </c>
    </row>
    <row r="4">
      <c r="A4" t="n">
        <v>3</v>
      </c>
      <c r="B4" t="inlineStr">
        <is>
          <t>Confirm family, product line, model, and variant using reliable evidence.</t>
        </is>
      </c>
      <c r="C4" t="inlineStr">
        <is>
          <t>Product Catalog</t>
        </is>
      </c>
    </row>
    <row r="5">
      <c r="A5" t="n">
        <v>4</v>
      </c>
      <c r="B5" t="inlineStr">
        <is>
          <t>Review compatibility, service mapping, and parts mapping after identity approval.</t>
        </is>
      </c>
      <c r="C5" t="inlineStr">
        <is>
          <t>Repair Engineering</t>
        </is>
      </c>
    </row>
    <row r="6">
      <c r="A6" t="n">
        <v>5</v>
      </c>
      <c r="B6" t="inlineStr">
        <is>
          <t>Do not import this workbook or publish legacy monetary observations.</t>
        </is>
      </c>
      <c r="C6" t="inlineStr">
        <is>
          <t>Data Engineering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topLeftCell="AL1" workbookViewId="0">
      <pane ySplit="1" topLeftCell="A2" activePane="bottomLeft" state="frozen"/>
      <selection pane="bottomLeft" activeCell="AU2" sqref="AU2"/>
    </sheetView>
  </sheetViews>
  <sheetFormatPr baseColWidth="8" defaultRowHeight="14.5"/>
  <cols>
    <col width="12" customWidth="1" style="42" min="1" max="1"/>
    <col width="19" customWidth="1" style="42" min="2" max="2"/>
    <col width="12" customWidth="1" style="42" min="3" max="4"/>
    <col width="17" customWidth="1" style="42" min="5" max="5"/>
    <col width="19" customWidth="1" style="42" min="6" max="6"/>
    <col width="20" customWidth="1" style="42" min="7" max="8"/>
    <col width="22" customWidth="1" style="42" min="9" max="9"/>
    <col width="15" customWidth="1" style="42" min="10" max="10"/>
    <col width="34" customWidth="1" style="42" min="11" max="13"/>
    <col width="14" customWidth="1" style="42" min="14" max="14"/>
    <col width="12" customWidth="1" style="42" min="15" max="16"/>
    <col width="14" customWidth="1" style="42" min="17" max="17"/>
    <col width="13" customWidth="1" style="42" min="18" max="18"/>
    <col width="25" customWidth="1" style="42" min="19" max="19"/>
    <col width="14" customWidth="1" style="42" min="20" max="20"/>
    <col width="18" customWidth="1" style="42" min="21" max="21"/>
    <col width="17" customWidth="1" style="42" min="22" max="22"/>
    <col width="12" customWidth="1" style="42" min="23" max="26"/>
    <col width="18" customWidth="1" style="42" min="27" max="28"/>
    <col width="17" customWidth="1" style="42" min="29" max="29"/>
    <col width="18" customWidth="1" style="42" min="30" max="30"/>
    <col width="25" customWidth="1" style="42" min="31" max="31"/>
    <col width="30" customWidth="1" style="42" min="32" max="32"/>
    <col width="25" customWidth="1" style="42" min="33" max="33"/>
    <col width="23" customWidth="1" style="42" min="34" max="34"/>
    <col width="29" customWidth="1" style="42" min="35" max="35"/>
    <col width="21" customWidth="1" style="42" min="36" max="36"/>
    <col width="13" customWidth="1" style="42" min="37" max="37"/>
    <col width="12" customWidth="1" style="42" min="38" max="38"/>
    <col width="22" customWidth="1" style="42" min="39" max="39"/>
    <col width="34" customWidth="1" style="42" min="40" max="40"/>
    <col width="18" customWidth="1" style="42" min="41" max="41"/>
    <col width="26" customWidth="1" style="42" min="42" max="42"/>
    <col width="12" customWidth="1" style="42" min="43" max="43"/>
    <col width="34" customWidth="1" style="42" min="44" max="44"/>
    <col width="16" customWidth="1" style="42" min="45" max="45"/>
    <col width="15" customWidth="1" style="42" min="46" max="46"/>
    <col width="26" customWidth="1" style="42" min="47" max="48"/>
  </cols>
  <sheetData>
    <row r="1" customFormat="1" s="6">
      <c r="A1" s="5" t="inlineStr">
        <is>
          <t>Device ID</t>
        </is>
      </c>
      <c r="B1" s="5" t="inlineStr">
        <is>
          <t>Legacy Device SKU</t>
        </is>
      </c>
      <c r="C1" s="5" t="inlineStr">
        <is>
          <t>Active</t>
        </is>
      </c>
      <c r="D1" s="5" t="inlineStr">
        <is>
          <t>Status</t>
        </is>
      </c>
      <c r="E1" s="5" t="inlineStr">
        <is>
          <t>Manufacturer ID</t>
        </is>
      </c>
      <c r="F1" s="5" t="inlineStr">
        <is>
          <t>Manufacturer Name</t>
        </is>
      </c>
      <c r="G1" s="5" t="inlineStr">
        <is>
          <t>Device Family Code</t>
        </is>
      </c>
      <c r="H1" s="5" t="inlineStr">
        <is>
          <t>Device Family Name</t>
        </is>
      </c>
      <c r="I1" s="5" t="inlineStr">
        <is>
          <t>Product Line</t>
        </is>
      </c>
      <c r="J1" s="5" t="inlineStr">
        <is>
          <t>Device Series</t>
        </is>
      </c>
      <c r="K1" s="5" t="inlineStr">
        <is>
          <t>Device Name</t>
        </is>
      </c>
      <c r="L1" s="5" t="inlineStr">
        <is>
          <t>Device Display Name</t>
        </is>
      </c>
      <c r="M1" s="5" t="inlineStr">
        <is>
          <t>Device Description</t>
        </is>
      </c>
      <c r="N1" s="5" t="inlineStr">
        <is>
          <t>Model Number</t>
        </is>
      </c>
      <c r="O1" s="5" t="inlineStr">
        <is>
          <t>Variant</t>
        </is>
      </c>
      <c r="P1" s="5" t="inlineStr">
        <is>
          <t>Generation</t>
        </is>
      </c>
      <c r="Q1" s="5" t="inlineStr">
        <is>
          <t>Release Year</t>
        </is>
      </c>
      <c r="R1" s="5" t="inlineStr">
        <is>
          <t>Form Factor</t>
        </is>
      </c>
      <c r="S1" s="5" t="inlineStr">
        <is>
          <t>Operating System Family</t>
        </is>
      </c>
      <c r="T1" s="5" t="inlineStr">
        <is>
          <t>Network Type</t>
        </is>
      </c>
      <c r="U1" s="5" t="inlineStr">
        <is>
          <t>Storage Capacity</t>
        </is>
      </c>
      <c r="V1" s="5" t="inlineStr">
        <is>
          <t>Memory Capacity</t>
        </is>
      </c>
      <c r="W1" s="5" t="inlineStr">
        <is>
          <t>Color</t>
        </is>
      </c>
      <c r="X1" s="5" t="inlineStr">
        <is>
          <t>Region</t>
        </is>
      </c>
      <c r="Y1" s="5" t="inlineStr">
        <is>
          <t>Carrier</t>
        </is>
      </c>
      <c r="Z1" s="5" t="inlineStr">
        <is>
          <t>Wi-Fi Only</t>
        </is>
      </c>
      <c r="AA1" s="5" t="inlineStr">
        <is>
          <t>Cellular Capable</t>
        </is>
      </c>
      <c r="AB1" s="5" t="inlineStr">
        <is>
          <t>Repair Supported</t>
        </is>
      </c>
      <c r="AC1" s="5" t="inlineStr">
        <is>
          <t>Parts Supported</t>
        </is>
      </c>
      <c r="AD1" s="5" t="inlineStr">
        <is>
          <t>Mail-In Eligible</t>
        </is>
      </c>
      <c r="AE1" s="5" t="inlineStr">
        <is>
          <t>Mobile Service Eligible</t>
        </is>
      </c>
      <c r="AF1" s="5" t="inlineStr">
        <is>
          <t>Compatibility Status</t>
        </is>
      </c>
      <c r="AG1" s="5" t="inlineStr">
        <is>
          <t>Service Mapping Status</t>
        </is>
      </c>
      <c r="AH1" s="5" t="inlineStr">
        <is>
          <t>Parts Mapping Status</t>
        </is>
      </c>
      <c r="AI1" s="5" t="inlineStr">
        <is>
          <t>Review Status</t>
        </is>
      </c>
      <c r="AJ1" s="5" t="inlineStr">
        <is>
          <t>Legacy Retail Price</t>
        </is>
      </c>
      <c r="AK1" s="5" t="inlineStr">
        <is>
          <t>Legacy Cost</t>
        </is>
      </c>
      <c r="AL1" s="5" t="inlineStr">
        <is>
          <t>Currency</t>
        </is>
      </c>
      <c r="AM1" s="5" t="inlineStr">
        <is>
          <t>Source Record Number</t>
        </is>
      </c>
      <c r="AN1" s="5" t="inlineStr">
        <is>
          <t>Source Workbook</t>
        </is>
      </c>
      <c r="AO1" s="5" t="inlineStr">
        <is>
          <t>Source Worksheet</t>
        </is>
      </c>
      <c r="AP1" s="5" t="inlineStr">
        <is>
          <t>Import Batch ID</t>
        </is>
      </c>
      <c r="AQ1" s="5" t="inlineStr">
        <is>
          <t>Reviewer</t>
        </is>
      </c>
      <c r="AR1" s="5" t="inlineStr">
        <is>
          <t>Reviewer Notes</t>
        </is>
      </c>
      <c r="AS1" s="5" t="inlineStr">
        <is>
          <t>Effective Date</t>
        </is>
      </c>
      <c r="AT1" s="5" t="inlineStr">
        <is>
          <t>Last Reviewed</t>
        </is>
      </c>
      <c r="AU1" s="5" t="inlineStr">
        <is>
          <t>Created At</t>
        </is>
      </c>
      <c r="AV1" s="5" t="inlineStr">
        <is>
          <t>Updated At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Yes</t>
        </is>
      </c>
      <c r="D2" t="inlineStr">
        <is>
          <t>Draft</t>
        </is>
      </c>
      <c r="F2" t="inlineStr">
        <is>
          <t>iPhone</t>
        </is>
      </c>
      <c r="G2" t="inlineStr">
        <is>
          <t>PHN</t>
        </is>
      </c>
      <c r="H2" t="inlineStr">
        <is>
          <t>Phone</t>
        </is>
      </c>
      <c r="I2" t="inlineStr">
        <is>
          <t>Apple</t>
        </is>
      </c>
      <c r="K2" t="inlineStr">
        <is>
          <t>6 Plus Space Grey - A1522</t>
        </is>
      </c>
      <c r="L2" t="inlineStr">
        <is>
          <t>6 Plus Space Grey - A1522</t>
        </is>
      </c>
      <c r="M2" t="inlineStr">
        <is>
          <t>Bent Back Frame, Need to Test Itunes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Pending Compatibility Review</t>
        </is>
      </c>
      <c r="AG2" t="inlineStr">
        <is>
          <t>Pending Service Mapping</t>
        </is>
      </c>
      <c r="AH2" t="inlineStr">
        <is>
          <t>Pending Parts Mapping</t>
        </is>
      </c>
      <c r="AI2" t="inlineStr">
        <is>
          <t>Pending Manufacturer Review</t>
        </is>
      </c>
      <c r="AJ2" s="2" t="n">
        <v>0</v>
      </c>
      <c r="AK2" s="2" t="n">
        <v>0</v>
      </c>
      <c r="AM2" t="n">
        <v>699</v>
      </c>
      <c r="AN2" t="inlineStr">
        <is>
          <t>D:\Business Portal\300_Pricing\Legacy\Raw Import Data.xlsx</t>
        </is>
      </c>
      <c r="AO2" t="inlineStr">
        <is>
          <t>37. Raw Import</t>
        </is>
      </c>
      <c r="AP2" t="inlineStr">
        <is>
          <t>MASTER-DEVICES-V1-REVIEW</t>
        </is>
      </c>
      <c r="AR2" t="inlineStr">
        <is>
          <t>Bent Back Frame, Need to Test Itunes</t>
        </is>
      </c>
      <c r="AS2" s="3" t="n"/>
      <c r="AT2" s="4" t="n"/>
      <c r="AU2" s="4" t="inlineStr">
        <is>
          <t>2025-10-01T04:19:46.063Z</t>
        </is>
      </c>
      <c r="AV2" s="4" t="inlineStr">
        <is>
          <t>2025-10-02T15:57:22.210Z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Yes</t>
        </is>
      </c>
      <c r="D3" t="inlineStr">
        <is>
          <t>Draft</t>
        </is>
      </c>
      <c r="F3" t="inlineStr">
        <is>
          <t>iPhone</t>
        </is>
      </c>
      <c r="G3" t="inlineStr">
        <is>
          <t>PHN</t>
        </is>
      </c>
      <c r="H3" t="inlineStr">
        <is>
          <t>Phone</t>
        </is>
      </c>
      <c r="I3" t="inlineStr">
        <is>
          <t>Apple</t>
        </is>
      </c>
      <c r="K3" t="inlineStr">
        <is>
          <t>8 White</t>
        </is>
      </c>
      <c r="L3" t="inlineStr">
        <is>
          <t>8 White</t>
        </is>
      </c>
      <c r="M3" t="inlineStr">
        <is>
          <t>Boot Loops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Pending Compatibility Review</t>
        </is>
      </c>
      <c r="AG3" t="inlineStr">
        <is>
          <t>Pending Service Mapping</t>
        </is>
      </c>
      <c r="AH3" t="inlineStr">
        <is>
          <t>Pending Parts Mapping</t>
        </is>
      </c>
      <c r="AI3" t="inlineStr">
        <is>
          <t>Pending Manufacturer Review</t>
        </is>
      </c>
      <c r="AJ3" s="2" t="n">
        <v>0</v>
      </c>
      <c r="AK3" s="2" t="n">
        <v>0</v>
      </c>
      <c r="AM3" t="n">
        <v>700</v>
      </c>
      <c r="AN3" t="inlineStr">
        <is>
          <t>D:\Business Portal\300_Pricing\Legacy\Raw Import Data.xlsx</t>
        </is>
      </c>
      <c r="AO3" t="inlineStr">
        <is>
          <t>37. Raw Import</t>
        </is>
      </c>
      <c r="AP3" t="inlineStr">
        <is>
          <t>MASTER-DEVICES-V1-REVIEW</t>
        </is>
      </c>
      <c r="AR3" t="inlineStr">
        <is>
          <t>Boot Loops</t>
        </is>
      </c>
      <c r="AS3" s="3" t="n"/>
      <c r="AT3" s="4" t="n"/>
      <c r="AU3" s="4" t="inlineStr">
        <is>
          <t>2025-10-01T04:02:30.876Z</t>
        </is>
      </c>
      <c r="AV3" s="4" t="inlineStr">
        <is>
          <t>2025-10-02T15:55:51.198Z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Yes</t>
        </is>
      </c>
      <c r="D4" t="inlineStr">
        <is>
          <t>Draft</t>
        </is>
      </c>
      <c r="F4" t="inlineStr">
        <is>
          <t>iPhone</t>
        </is>
      </c>
      <c r="G4" t="inlineStr">
        <is>
          <t>PHN</t>
        </is>
      </c>
      <c r="H4" t="inlineStr">
        <is>
          <t>Phone</t>
        </is>
      </c>
      <c r="I4" t="inlineStr">
        <is>
          <t>Apple</t>
        </is>
      </c>
      <c r="K4" t="inlineStr">
        <is>
          <t>SE A2275</t>
        </is>
      </c>
      <c r="L4" t="inlineStr">
        <is>
          <t>SE A2275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Pending Compatibility Review</t>
        </is>
      </c>
      <c r="AG4" t="inlineStr">
        <is>
          <t>Pending Service Mapping</t>
        </is>
      </c>
      <c r="AH4" t="inlineStr">
        <is>
          <t>Pending Parts Mapping</t>
        </is>
      </c>
      <c r="AI4" t="inlineStr">
        <is>
          <t>Pending Manufacturer Review</t>
        </is>
      </c>
      <c r="AJ4" s="2" t="n">
        <v>0</v>
      </c>
      <c r="AK4" s="2" t="n">
        <v>0</v>
      </c>
      <c r="AM4" t="n">
        <v>701</v>
      </c>
      <c r="AN4" t="inlineStr">
        <is>
          <t>D:\Business Portal\300_Pricing\Legacy\Raw Import Data.xlsx</t>
        </is>
      </c>
      <c r="AO4" t="inlineStr">
        <is>
          <t>37. Raw Import</t>
        </is>
      </c>
      <c r="AP4" t="inlineStr">
        <is>
          <t>MASTER-DEVICES-V1-REVIEW</t>
        </is>
      </c>
      <c r="AS4" s="3" t="n"/>
      <c r="AT4" s="4" t="n"/>
      <c r="AU4" s="4" t="inlineStr">
        <is>
          <t>2025-10-01T04:31:13.720Z</t>
        </is>
      </c>
      <c r="AV4" s="4" t="inlineStr">
        <is>
          <t>2025-10-01T04:31:13.720Z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Yes</t>
        </is>
      </c>
      <c r="D5" t="inlineStr">
        <is>
          <t>Draft</t>
        </is>
      </c>
      <c r="F5" t="inlineStr">
        <is>
          <t>iPhone</t>
        </is>
      </c>
      <c r="G5" t="inlineStr">
        <is>
          <t>PHN</t>
        </is>
      </c>
      <c r="H5" t="inlineStr">
        <is>
          <t>Phone</t>
        </is>
      </c>
      <c r="I5" t="inlineStr">
        <is>
          <t>Apple</t>
        </is>
      </c>
      <c r="K5" t="inlineStr">
        <is>
          <t>A1688-Silver</t>
        </is>
      </c>
      <c r="L5" t="inlineStr">
        <is>
          <t>A1688-Silver</t>
        </is>
      </c>
      <c r="M5" t="inlineStr">
        <is>
          <t>Boot Loop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Pending Compatibility Review</t>
        </is>
      </c>
      <c r="AG5" t="inlineStr">
        <is>
          <t>Pending Service Mapping</t>
        </is>
      </c>
      <c r="AH5" t="inlineStr">
        <is>
          <t>Pending Parts Mapping</t>
        </is>
      </c>
      <c r="AI5" t="inlineStr">
        <is>
          <t>Pending Manufacturer Review</t>
        </is>
      </c>
      <c r="AJ5" s="2" t="n">
        <v>0</v>
      </c>
      <c r="AK5" s="2" t="n">
        <v>0</v>
      </c>
      <c r="AM5" t="n">
        <v>702</v>
      </c>
      <c r="AN5" t="inlineStr">
        <is>
          <t>D:\Business Portal\300_Pricing\Legacy\Raw Import Data.xlsx</t>
        </is>
      </c>
      <c r="AO5" t="inlineStr">
        <is>
          <t>37. Raw Import</t>
        </is>
      </c>
      <c r="AP5" t="inlineStr">
        <is>
          <t>MASTER-DEVICES-V1-REVIEW</t>
        </is>
      </c>
      <c r="AR5" t="inlineStr">
        <is>
          <t>Boot Loop</t>
        </is>
      </c>
      <c r="AS5" s="3" t="n"/>
      <c r="AT5" s="4" t="n"/>
      <c r="AU5" s="4" t="inlineStr">
        <is>
          <t>2025-10-01T04:26:39.411Z</t>
        </is>
      </c>
      <c r="AV5" s="4" t="inlineStr">
        <is>
          <t>2025-10-01T04:26:59.767Z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Yes</t>
        </is>
      </c>
      <c r="D6" t="inlineStr">
        <is>
          <t>Draft</t>
        </is>
      </c>
      <c r="F6" t="inlineStr">
        <is>
          <t>iPhone</t>
        </is>
      </c>
      <c r="G6" t="inlineStr">
        <is>
          <t>PHN</t>
        </is>
      </c>
      <c r="H6" t="inlineStr">
        <is>
          <t>Phone</t>
        </is>
      </c>
      <c r="I6" t="inlineStr">
        <is>
          <t>Apple</t>
        </is>
      </c>
      <c r="K6" t="inlineStr">
        <is>
          <t>A1784 Black</t>
        </is>
      </c>
      <c r="L6" t="inlineStr">
        <is>
          <t>A1784 Black</t>
        </is>
      </c>
      <c r="M6" t="inlineStr">
        <is>
          <t>No Digitizer, Screen Broke, No Battery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Pending Compatibility Review</t>
        </is>
      </c>
      <c r="AG6" t="inlineStr">
        <is>
          <t>Pending Service Mapping</t>
        </is>
      </c>
      <c r="AH6" t="inlineStr">
        <is>
          <t>Pending Parts Mapping</t>
        </is>
      </c>
      <c r="AI6" t="inlineStr">
        <is>
          <t>Pending Manufacturer Review</t>
        </is>
      </c>
      <c r="AJ6" s="2" t="n">
        <v>0</v>
      </c>
      <c r="AK6" s="2" t="n">
        <v>0</v>
      </c>
      <c r="AM6" t="n">
        <v>703</v>
      </c>
      <c r="AN6" t="inlineStr">
        <is>
          <t>D:\Business Portal\300_Pricing\Legacy\Raw Import Data.xlsx</t>
        </is>
      </c>
      <c r="AO6" t="inlineStr">
        <is>
          <t>37. Raw Import</t>
        </is>
      </c>
      <c r="AP6" t="inlineStr">
        <is>
          <t>MASTER-DEVICES-V1-REVIEW</t>
        </is>
      </c>
      <c r="AR6" t="inlineStr">
        <is>
          <t>No Digitizer, Screen Broke, No Battery</t>
        </is>
      </c>
      <c r="AS6" s="3" t="n"/>
      <c r="AT6" s="4" t="n"/>
      <c r="AU6" s="4" t="inlineStr">
        <is>
          <t>2025-10-01T04:24:48.820Z</t>
        </is>
      </c>
      <c r="AV6" s="4" t="inlineStr">
        <is>
          <t>2025-10-01T04:25:11.224Z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Yes</t>
        </is>
      </c>
      <c r="D7" t="inlineStr">
        <is>
          <t>Draft</t>
        </is>
      </c>
      <c r="F7" t="inlineStr">
        <is>
          <t>iPhone</t>
        </is>
      </c>
      <c r="G7" t="inlineStr">
        <is>
          <t>PHN</t>
        </is>
      </c>
      <c r="H7" t="inlineStr">
        <is>
          <t>Phone</t>
        </is>
      </c>
      <c r="I7" t="inlineStr">
        <is>
          <t>Apple</t>
        </is>
      </c>
      <c r="K7" t="inlineStr">
        <is>
          <t>5C White - A1532</t>
        </is>
      </c>
      <c r="L7" t="inlineStr">
        <is>
          <t>5C White - A1532</t>
        </is>
      </c>
      <c r="M7" t="inlineStr">
        <is>
          <t>Stuck in Restore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Pending Compatibility Review</t>
        </is>
      </c>
      <c r="AG7" t="inlineStr">
        <is>
          <t>Pending Service Mapping</t>
        </is>
      </c>
      <c r="AH7" t="inlineStr">
        <is>
          <t>Pending Parts Mapping</t>
        </is>
      </c>
      <c r="AI7" t="inlineStr">
        <is>
          <t>Pending Manufacturer Review</t>
        </is>
      </c>
      <c r="AJ7" s="2" t="n">
        <v>0</v>
      </c>
      <c r="AK7" s="2" t="n">
        <v>0</v>
      </c>
      <c r="AM7" t="n">
        <v>704</v>
      </c>
      <c r="AN7" t="inlineStr">
        <is>
          <t>D:\Business Portal\300_Pricing\Legacy\Raw Import Data.xlsx</t>
        </is>
      </c>
      <c r="AO7" t="inlineStr">
        <is>
          <t>37. Raw Import</t>
        </is>
      </c>
      <c r="AP7" t="inlineStr">
        <is>
          <t>MASTER-DEVICES-V1-REVIEW</t>
        </is>
      </c>
      <c r="AR7" t="inlineStr">
        <is>
          <t>Stuck in Restore</t>
        </is>
      </c>
      <c r="AS7" s="3" t="n"/>
      <c r="AT7" s="4" t="n"/>
      <c r="AU7" s="4" t="inlineStr">
        <is>
          <t>2025-10-01T04:21:58.679Z</t>
        </is>
      </c>
      <c r="AV7" s="4" t="inlineStr">
        <is>
          <t>2025-10-01T04:22:17.045Z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Yes</t>
        </is>
      </c>
      <c r="D8" t="inlineStr">
        <is>
          <t>Draft</t>
        </is>
      </c>
      <c r="F8" t="inlineStr">
        <is>
          <t>iPhone</t>
        </is>
      </c>
      <c r="G8" t="inlineStr">
        <is>
          <t>PHN</t>
        </is>
      </c>
      <c r="H8" t="inlineStr">
        <is>
          <t>Phone</t>
        </is>
      </c>
      <c r="I8" t="inlineStr">
        <is>
          <t>Apple</t>
        </is>
      </c>
      <c r="K8" t="inlineStr">
        <is>
          <t>7 A1778 Black</t>
        </is>
      </c>
      <c r="L8" t="inlineStr">
        <is>
          <t>7 A1778 Black</t>
        </is>
      </c>
      <c r="M8" t="inlineStr">
        <is>
          <t>Screen Damage, Boot Loops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Pending Compatibility Review</t>
        </is>
      </c>
      <c r="AG8" t="inlineStr">
        <is>
          <t>Pending Service Mapping</t>
        </is>
      </c>
      <c r="AH8" t="inlineStr">
        <is>
          <t>Pending Parts Mapping</t>
        </is>
      </c>
      <c r="AI8" t="inlineStr">
        <is>
          <t>Pending Manufacturer Review</t>
        </is>
      </c>
      <c r="AJ8" s="2" t="n">
        <v>0</v>
      </c>
      <c r="AK8" s="2" t="n">
        <v>0</v>
      </c>
      <c r="AM8" t="n">
        <v>705</v>
      </c>
      <c r="AN8" t="inlineStr">
        <is>
          <t>D:\Business Portal\300_Pricing\Legacy\Raw Import Data.xlsx</t>
        </is>
      </c>
      <c r="AO8" t="inlineStr">
        <is>
          <t>37. Raw Import</t>
        </is>
      </c>
      <c r="AP8" t="inlineStr">
        <is>
          <t>MASTER-DEVICES-V1-REVIEW</t>
        </is>
      </c>
      <c r="AR8" t="inlineStr">
        <is>
          <t>Screen Damage, Boot Loops</t>
        </is>
      </c>
      <c r="AS8" s="3" t="n"/>
      <c r="AT8" s="4" t="n"/>
      <c r="AU8" s="4" t="inlineStr">
        <is>
          <t>2025-10-01T04:12:19.578Z</t>
        </is>
      </c>
      <c r="AV8" s="4" t="inlineStr">
        <is>
          <t>2025-10-01T04:15:52.779Z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Yes</t>
        </is>
      </c>
      <c r="D9" t="inlineStr">
        <is>
          <t>Draft</t>
        </is>
      </c>
      <c r="F9" t="inlineStr">
        <is>
          <t>iPhone</t>
        </is>
      </c>
      <c r="G9" t="inlineStr">
        <is>
          <t>PHN</t>
        </is>
      </c>
      <c r="H9" t="inlineStr">
        <is>
          <t>Phone</t>
        </is>
      </c>
      <c r="I9" t="inlineStr">
        <is>
          <t>Apple</t>
        </is>
      </c>
      <c r="K9" t="inlineStr">
        <is>
          <t>6 A1585 Gold</t>
        </is>
      </c>
      <c r="L9" t="inlineStr">
        <is>
          <t>6 A1585 Gold</t>
        </is>
      </c>
      <c r="M9" t="inlineStr">
        <is>
          <t>Bent Frame,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Pending Compatibility Review</t>
        </is>
      </c>
      <c r="AG9" t="inlineStr">
        <is>
          <t>Pending Service Mapping</t>
        </is>
      </c>
      <c r="AH9" t="inlineStr">
        <is>
          <t>Pending Parts Mapping</t>
        </is>
      </c>
      <c r="AI9" t="inlineStr">
        <is>
          <t>Pending Manufacturer Review</t>
        </is>
      </c>
      <c r="AJ9" s="2" t="n">
        <v>0</v>
      </c>
      <c r="AK9" s="2" t="n">
        <v>0</v>
      </c>
      <c r="AM9" t="n">
        <v>706</v>
      </c>
      <c r="AN9" t="inlineStr">
        <is>
          <t>D:\Business Portal\300_Pricing\Legacy\Raw Import Data.xlsx</t>
        </is>
      </c>
      <c r="AO9" t="inlineStr">
        <is>
          <t>37. Raw Import</t>
        </is>
      </c>
      <c r="AP9" t="inlineStr">
        <is>
          <t>MASTER-DEVICES-V1-REVIEW</t>
        </is>
      </c>
      <c r="AR9" t="inlineStr">
        <is>
          <t>Bent Frame,</t>
        </is>
      </c>
      <c r="AS9" s="3" t="n"/>
      <c r="AT9" s="4" t="n"/>
      <c r="AU9" s="4" t="inlineStr">
        <is>
          <t>2025-10-01T04:08:49.036Z</t>
        </is>
      </c>
      <c r="AV9" s="4" t="inlineStr">
        <is>
          <t>2025-10-01T04:09:52.678Z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Yes</t>
        </is>
      </c>
      <c r="D10" t="inlineStr">
        <is>
          <t>Draft</t>
        </is>
      </c>
      <c r="F10" t="inlineStr">
        <is>
          <t>iPhone</t>
        </is>
      </c>
      <c r="G10" t="inlineStr">
        <is>
          <t>PHN</t>
        </is>
      </c>
      <c r="H10" t="inlineStr">
        <is>
          <t>Phone</t>
        </is>
      </c>
      <c r="I10" t="inlineStr">
        <is>
          <t>Apple</t>
        </is>
      </c>
      <c r="K10" t="inlineStr">
        <is>
          <t>7 Red/White A1660</t>
        </is>
      </c>
      <c r="L10" t="inlineStr">
        <is>
          <t>7 Red/White A1660</t>
        </is>
      </c>
      <c r="M10" t="inlineStr">
        <is>
          <t>Home Button Doesnt work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Pending Compatibility Review</t>
        </is>
      </c>
      <c r="AG10" t="inlineStr">
        <is>
          <t>Pending Service Mapping</t>
        </is>
      </c>
      <c r="AH10" t="inlineStr">
        <is>
          <t>Pending Parts Mapping</t>
        </is>
      </c>
      <c r="AI10" t="inlineStr">
        <is>
          <t>Pending Manufacturer Review</t>
        </is>
      </c>
      <c r="AJ10" s="2" t="n">
        <v>0</v>
      </c>
      <c r="AK10" s="2" t="n">
        <v>0</v>
      </c>
      <c r="AM10" t="n">
        <v>707</v>
      </c>
      <c r="AN10" t="inlineStr">
        <is>
          <t>D:\Business Portal\300_Pricing\Legacy\Raw Import Data.xlsx</t>
        </is>
      </c>
      <c r="AO10" t="inlineStr">
        <is>
          <t>37. Raw Import</t>
        </is>
      </c>
      <c r="AP10" t="inlineStr">
        <is>
          <t>MASTER-DEVICES-V1-REVIEW</t>
        </is>
      </c>
      <c r="AR10" t="inlineStr">
        <is>
          <t>Home Button Doesnt work</t>
        </is>
      </c>
      <c r="AS10" s="3" t="n"/>
      <c r="AT10" s="4" t="n"/>
      <c r="AU10" s="4" t="inlineStr">
        <is>
          <t>2025-10-01T04:07:02.457Z</t>
        </is>
      </c>
      <c r="AV10" s="4" t="inlineStr">
        <is>
          <t>2025-10-01T04:07:22.346Z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Yes</t>
        </is>
      </c>
      <c r="D11" t="inlineStr">
        <is>
          <t>Draft</t>
        </is>
      </c>
      <c r="F11" t="inlineStr">
        <is>
          <t>iPhone</t>
        </is>
      </c>
      <c r="G11" t="inlineStr">
        <is>
          <t>PHN</t>
        </is>
      </c>
      <c r="H11" t="inlineStr">
        <is>
          <t>Phone</t>
        </is>
      </c>
      <c r="I11" t="inlineStr">
        <is>
          <t>Apple</t>
        </is>
      </c>
      <c r="K11" t="inlineStr">
        <is>
          <t>5S - A1533</t>
        </is>
      </c>
      <c r="L11" t="inlineStr">
        <is>
          <t>5S - A1533</t>
        </is>
      </c>
      <c r="M11" t="inlineStr">
        <is>
          <t>No Visible Damage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Pending Compatibility Review</t>
        </is>
      </c>
      <c r="AG11" t="inlineStr">
        <is>
          <t>Pending Service Mapping</t>
        </is>
      </c>
      <c r="AH11" t="inlineStr">
        <is>
          <t>Pending Parts Mapping</t>
        </is>
      </c>
      <c r="AI11" t="inlineStr">
        <is>
          <t>Pending Manufacturer Review</t>
        </is>
      </c>
      <c r="AJ11" s="2" t="n">
        <v>0</v>
      </c>
      <c r="AK11" s="2" t="n">
        <v>0</v>
      </c>
      <c r="AM11" t="n">
        <v>708</v>
      </c>
      <c r="AN11" t="inlineStr">
        <is>
          <t>D:\Business Portal\300_Pricing\Legacy\Raw Import Data.xlsx</t>
        </is>
      </c>
      <c r="AO11" t="inlineStr">
        <is>
          <t>37. Raw Import</t>
        </is>
      </c>
      <c r="AP11" t="inlineStr">
        <is>
          <t>MASTER-DEVICES-V1-REVIEW</t>
        </is>
      </c>
      <c r="AR11" t="inlineStr">
        <is>
          <t>No Visible Damage</t>
        </is>
      </c>
      <c r="AS11" s="3" t="n"/>
      <c r="AT11" s="4" t="n"/>
      <c r="AU11" s="4" t="inlineStr">
        <is>
          <t>2025-10-01T04:00:05.400Z</t>
        </is>
      </c>
      <c r="AV11" s="4" t="inlineStr">
        <is>
          <t>2025-10-01T04:00:37.791Z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Yes</t>
        </is>
      </c>
      <c r="D12" t="inlineStr">
        <is>
          <t>Draft</t>
        </is>
      </c>
      <c r="F12" t="inlineStr">
        <is>
          <t>Galaxy</t>
        </is>
      </c>
      <c r="G12" t="inlineStr">
        <is>
          <t>PHN</t>
        </is>
      </c>
      <c r="H12" t="inlineStr">
        <is>
          <t>Phone</t>
        </is>
      </c>
      <c r="I12" t="inlineStr">
        <is>
          <t>Samsung</t>
        </is>
      </c>
      <c r="K12" t="inlineStr">
        <is>
          <t>S5</t>
        </is>
      </c>
      <c r="L12" t="inlineStr">
        <is>
          <t>S5</t>
        </is>
      </c>
      <c r="M12" t="inlineStr">
        <is>
          <t>Screen Broke, Charge Port Cover, Back Cover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Pending Compatibility Review</t>
        </is>
      </c>
      <c r="AG12" t="inlineStr">
        <is>
          <t>Pending Service Mapping</t>
        </is>
      </c>
      <c r="AH12" t="inlineStr">
        <is>
          <t>Pending Parts Mapping</t>
        </is>
      </c>
      <c r="AI12" t="inlineStr">
        <is>
          <t>Pending Manufacturer Review</t>
        </is>
      </c>
      <c r="AJ12" s="2" t="n">
        <v>0</v>
      </c>
      <c r="AK12" s="2" t="n">
        <v>0</v>
      </c>
      <c r="AM12" t="n">
        <v>709</v>
      </c>
      <c r="AN12" t="inlineStr">
        <is>
          <t>D:\Business Portal\300_Pricing\Legacy\Raw Import Data.xlsx</t>
        </is>
      </c>
      <c r="AO12" t="inlineStr">
        <is>
          <t>37. Raw Import</t>
        </is>
      </c>
      <c r="AP12" t="inlineStr">
        <is>
          <t>MASTER-DEVICES-V1-REVIEW</t>
        </is>
      </c>
      <c r="AR12" t="inlineStr">
        <is>
          <t>Screen Broke, Charge Port Cover, Back Cover</t>
        </is>
      </c>
      <c r="AS12" s="3" t="n"/>
      <c r="AT12" s="4" t="n"/>
      <c r="AU12" s="4" t="inlineStr">
        <is>
          <t>2025-10-01T02:49:17.962Z</t>
        </is>
      </c>
      <c r="AV12" s="4" t="inlineStr">
        <is>
          <t>2025-10-01T04:52:52.516Z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Yes</t>
        </is>
      </c>
      <c r="D13" t="inlineStr">
        <is>
          <t>Draft</t>
        </is>
      </c>
      <c r="F13" t="inlineStr">
        <is>
          <t>Galaxy</t>
        </is>
      </c>
      <c r="G13" t="inlineStr">
        <is>
          <t>PHN</t>
        </is>
      </c>
      <c r="H13" t="inlineStr">
        <is>
          <t>Phone</t>
        </is>
      </c>
      <c r="I13" t="inlineStr">
        <is>
          <t>Samsung</t>
        </is>
      </c>
      <c r="K13" t="inlineStr">
        <is>
          <t>S Original</t>
        </is>
      </c>
      <c r="L13" t="inlineStr">
        <is>
          <t>S Original</t>
        </is>
      </c>
      <c r="M13" t="inlineStr">
        <is>
          <t>None Visible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Pending Compatibility Review</t>
        </is>
      </c>
      <c r="AG13" t="inlineStr">
        <is>
          <t>Pending Service Mapping</t>
        </is>
      </c>
      <c r="AH13" t="inlineStr">
        <is>
          <t>Pending Parts Mapping</t>
        </is>
      </c>
      <c r="AI13" t="inlineStr">
        <is>
          <t>Pending Manufacturer Review</t>
        </is>
      </c>
      <c r="AJ13" s="2" t="n">
        <v>0</v>
      </c>
      <c r="AK13" s="2" t="n">
        <v>0</v>
      </c>
      <c r="AM13" t="n">
        <v>710</v>
      </c>
      <c r="AN13" t="inlineStr">
        <is>
          <t>D:\Business Portal\300_Pricing\Legacy\Raw Import Data.xlsx</t>
        </is>
      </c>
      <c r="AO13" t="inlineStr">
        <is>
          <t>37. Raw Import</t>
        </is>
      </c>
      <c r="AP13" t="inlineStr">
        <is>
          <t>MASTER-DEVICES-V1-REVIEW</t>
        </is>
      </c>
      <c r="AR13" t="inlineStr">
        <is>
          <t>None Visible</t>
        </is>
      </c>
      <c r="AS13" s="3" t="n"/>
      <c r="AT13" s="4" t="n"/>
      <c r="AU13" s="4" t="inlineStr">
        <is>
          <t>2025-10-01T02:58:15.194Z</t>
        </is>
      </c>
      <c r="AV13" s="4" t="inlineStr">
        <is>
          <t>2025-10-01T04:52:33.160Z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Yes</t>
        </is>
      </c>
      <c r="D14" t="inlineStr">
        <is>
          <t>Draft</t>
        </is>
      </c>
      <c r="F14" t="inlineStr">
        <is>
          <t>Galaxy</t>
        </is>
      </c>
      <c r="G14" t="inlineStr">
        <is>
          <t>PHN</t>
        </is>
      </c>
      <c r="H14" t="inlineStr">
        <is>
          <t>Phone</t>
        </is>
      </c>
      <c r="I14" t="inlineStr">
        <is>
          <t>Samsung</t>
        </is>
      </c>
      <c r="K14" t="inlineStr">
        <is>
          <t>ON5  SM-G550T1</t>
        </is>
      </c>
      <c r="L14" t="inlineStr">
        <is>
          <t>ON5  SM-G550T1</t>
        </is>
      </c>
      <c r="M14" t="inlineStr">
        <is>
          <t>Damaged Frame, Heavily Used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Pending Compatibility Review</t>
        </is>
      </c>
      <c r="AG14" t="inlineStr">
        <is>
          <t>Pending Service Mapping</t>
        </is>
      </c>
      <c r="AH14" t="inlineStr">
        <is>
          <t>Pending Parts Mapping</t>
        </is>
      </c>
      <c r="AI14" t="inlineStr">
        <is>
          <t>Pending Manufacturer Review</t>
        </is>
      </c>
      <c r="AJ14" s="2" t="n">
        <v>0</v>
      </c>
      <c r="AK14" s="2" t="n">
        <v>0</v>
      </c>
      <c r="AM14" t="n">
        <v>711</v>
      </c>
      <c r="AN14" t="inlineStr">
        <is>
          <t>D:\Business Portal\300_Pricing\Legacy\Raw Import Data.xlsx</t>
        </is>
      </c>
      <c r="AO14" t="inlineStr">
        <is>
          <t>37. Raw Import</t>
        </is>
      </c>
      <c r="AP14" t="inlineStr">
        <is>
          <t>MASTER-DEVICES-V1-REVIEW</t>
        </is>
      </c>
      <c r="AR14" t="inlineStr">
        <is>
          <t>Damaged Frame, Heavily Used</t>
        </is>
      </c>
      <c r="AS14" s="3" t="n"/>
      <c r="AT14" s="4" t="n"/>
      <c r="AU14" s="4" t="inlineStr">
        <is>
          <t>2025-10-01T03:01:06.692Z</t>
        </is>
      </c>
      <c r="AV14" s="4" t="inlineStr">
        <is>
          <t>2025-10-01T04:52:07.184Z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Yes</t>
        </is>
      </c>
      <c r="D15" t="inlineStr">
        <is>
          <t>Draft</t>
        </is>
      </c>
      <c r="F15" t="inlineStr">
        <is>
          <t>Galaxy</t>
        </is>
      </c>
      <c r="G15" t="inlineStr">
        <is>
          <t>PHN</t>
        </is>
      </c>
      <c r="H15" t="inlineStr">
        <is>
          <t>Phone</t>
        </is>
      </c>
      <c r="I15" t="inlineStr">
        <is>
          <t>Samsung</t>
        </is>
      </c>
      <c r="K15" t="inlineStr">
        <is>
          <t>SM-J737V</t>
        </is>
      </c>
      <c r="L15" t="inlineStr">
        <is>
          <t>SM-J737V</t>
        </is>
      </c>
      <c r="M15" t="inlineStr">
        <is>
          <t>Broken Screen, Unable to Test Further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Pending Compatibility Review</t>
        </is>
      </c>
      <c r="AG15" t="inlineStr">
        <is>
          <t>Pending Service Mapping</t>
        </is>
      </c>
      <c r="AH15" t="inlineStr">
        <is>
          <t>Pending Parts Mapping</t>
        </is>
      </c>
      <c r="AI15" t="inlineStr">
        <is>
          <t>Pending Manufacturer Review</t>
        </is>
      </c>
      <c r="AJ15" s="2" t="n">
        <v>0</v>
      </c>
      <c r="AK15" s="2" t="n">
        <v>0</v>
      </c>
      <c r="AM15" t="n">
        <v>712</v>
      </c>
      <c r="AN15" t="inlineStr">
        <is>
          <t>D:\Business Portal\300_Pricing\Legacy\Raw Import Data.xlsx</t>
        </is>
      </c>
      <c r="AO15" t="inlineStr">
        <is>
          <t>37. Raw Import</t>
        </is>
      </c>
      <c r="AP15" t="inlineStr">
        <is>
          <t>MASTER-DEVICES-V1-REVIEW</t>
        </is>
      </c>
      <c r="AR15" t="inlineStr">
        <is>
          <t>Broken Screen, Unable to Test Further</t>
        </is>
      </c>
      <c r="AS15" s="3" t="n"/>
      <c r="AT15" s="4" t="n"/>
      <c r="AU15" s="4" t="inlineStr">
        <is>
          <t>2025-10-01T03:24:30.244Z</t>
        </is>
      </c>
      <c r="AV15" s="4" t="inlineStr">
        <is>
          <t>2025-10-01T04:51:46.513Z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Yes</t>
        </is>
      </c>
      <c r="D16" t="inlineStr">
        <is>
          <t>Draft</t>
        </is>
      </c>
      <c r="F16" t="inlineStr">
        <is>
          <t>Galaxy</t>
        </is>
      </c>
      <c r="G16" t="inlineStr">
        <is>
          <t>PHN</t>
        </is>
      </c>
      <c r="H16" t="inlineStr">
        <is>
          <t>Phone</t>
        </is>
      </c>
      <c r="I16" t="inlineStr">
        <is>
          <t>Samsung</t>
        </is>
      </c>
      <c r="K16" t="inlineStr">
        <is>
          <t>J7 SM-J700T</t>
        </is>
      </c>
      <c r="L16" t="inlineStr">
        <is>
          <t>J7 SM-J700T</t>
        </is>
      </c>
      <c r="M16" t="inlineStr">
        <is>
          <t>Broken Screen, Mid Frame Faded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Pending Compatibility Review</t>
        </is>
      </c>
      <c r="AG16" t="inlineStr">
        <is>
          <t>Pending Service Mapping</t>
        </is>
      </c>
      <c r="AH16" t="inlineStr">
        <is>
          <t>Pending Parts Mapping</t>
        </is>
      </c>
      <c r="AI16" t="inlineStr">
        <is>
          <t>Pending Manufacturer Review</t>
        </is>
      </c>
      <c r="AJ16" s="2" t="n">
        <v>0</v>
      </c>
      <c r="AK16" s="2" t="n">
        <v>0</v>
      </c>
      <c r="AM16" t="n">
        <v>713</v>
      </c>
      <c r="AN16" t="inlineStr">
        <is>
          <t>D:\Business Portal\300_Pricing\Legacy\Raw Import Data.xlsx</t>
        </is>
      </c>
      <c r="AO16" t="inlineStr">
        <is>
          <t>37. Raw Import</t>
        </is>
      </c>
      <c r="AP16" t="inlineStr">
        <is>
          <t>MASTER-DEVICES-V1-REVIEW</t>
        </is>
      </c>
      <c r="AR16" t="inlineStr">
        <is>
          <t>Broken Screen, Mid Frame Faded</t>
        </is>
      </c>
      <c r="AS16" s="3" t="n"/>
      <c r="AT16" s="4" t="n"/>
      <c r="AU16" s="4" t="inlineStr">
        <is>
          <t>2025-10-01T04:46:38.730Z</t>
        </is>
      </c>
      <c r="AV16" s="4" t="inlineStr">
        <is>
          <t>2025-10-01T04:51:20.382Z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Yes</t>
        </is>
      </c>
      <c r="D17" t="inlineStr">
        <is>
          <t>Draft</t>
        </is>
      </c>
      <c r="F17" t="inlineStr">
        <is>
          <t>Galaxy</t>
        </is>
      </c>
      <c r="G17" t="inlineStr">
        <is>
          <t>PHN</t>
        </is>
      </c>
      <c r="H17" t="inlineStr">
        <is>
          <t>Phone</t>
        </is>
      </c>
      <c r="I17" t="inlineStr">
        <is>
          <t>Samsung</t>
        </is>
      </c>
      <c r="K17" t="inlineStr">
        <is>
          <t>J7V SM-J727T</t>
        </is>
      </c>
      <c r="L17" t="inlineStr">
        <is>
          <t>J7V SM-J727T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Pending Compatibility Review</t>
        </is>
      </c>
      <c r="AG17" t="inlineStr">
        <is>
          <t>Pending Service Mapping</t>
        </is>
      </c>
      <c r="AH17" t="inlineStr">
        <is>
          <t>Pending Parts Mapping</t>
        </is>
      </c>
      <c r="AI17" t="inlineStr">
        <is>
          <t>Pending Manufacturer Review</t>
        </is>
      </c>
      <c r="AJ17" s="2" t="n">
        <v>0</v>
      </c>
      <c r="AK17" s="2" t="n">
        <v>0</v>
      </c>
      <c r="AM17" t="n">
        <v>714</v>
      </c>
      <c r="AN17" t="inlineStr">
        <is>
          <t>D:\Business Portal\300_Pricing\Legacy\Raw Import Data.xlsx</t>
        </is>
      </c>
      <c r="AO17" t="inlineStr">
        <is>
          <t>37. Raw Import</t>
        </is>
      </c>
      <c r="AP17" t="inlineStr">
        <is>
          <t>MASTER-DEVICES-V1-REVIEW</t>
        </is>
      </c>
      <c r="AS17" s="3" t="n"/>
      <c r="AT17" s="4" t="n"/>
      <c r="AU17" s="4" t="inlineStr">
        <is>
          <t>2025-10-01T04:51:01.367Z</t>
        </is>
      </c>
      <c r="AV17" s="4" t="inlineStr">
        <is>
          <t>2025-10-01T04:51:01.367Z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Yes</t>
        </is>
      </c>
      <c r="D18" t="inlineStr">
        <is>
          <t>Draft</t>
        </is>
      </c>
      <c r="F18" t="inlineStr">
        <is>
          <t>Galaxy</t>
        </is>
      </c>
      <c r="G18" t="inlineStr">
        <is>
          <t>PHN</t>
        </is>
      </c>
      <c r="H18" t="inlineStr">
        <is>
          <t>Phone</t>
        </is>
      </c>
      <c r="I18" t="inlineStr">
        <is>
          <t>Samsung</t>
        </is>
      </c>
      <c r="K18" t="inlineStr">
        <is>
          <t>Express 3 SM-J120A</t>
        </is>
      </c>
      <c r="L18" t="inlineStr">
        <is>
          <t>Express 3 SM-J120A</t>
        </is>
      </c>
      <c r="M18" t="inlineStr">
        <is>
          <t>Charge Port, Battery?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Pending Compatibility Review</t>
        </is>
      </c>
      <c r="AG18" t="inlineStr">
        <is>
          <t>Pending Service Mapping</t>
        </is>
      </c>
      <c r="AH18" t="inlineStr">
        <is>
          <t>Pending Parts Mapping</t>
        </is>
      </c>
      <c r="AI18" t="inlineStr">
        <is>
          <t>Pending Manufacturer Review</t>
        </is>
      </c>
      <c r="AJ18" s="2" t="n">
        <v>0</v>
      </c>
      <c r="AK18" s="2" t="n">
        <v>0</v>
      </c>
      <c r="AM18" t="n">
        <v>715</v>
      </c>
      <c r="AN18" t="inlineStr">
        <is>
          <t>D:\Business Portal\300_Pricing\Legacy\Raw Import Data.xlsx</t>
        </is>
      </c>
      <c r="AO18" t="inlineStr">
        <is>
          <t>37. Raw Import</t>
        </is>
      </c>
      <c r="AP18" t="inlineStr">
        <is>
          <t>MASTER-DEVICES-V1-REVIEW</t>
        </is>
      </c>
      <c r="AR18" t="inlineStr">
        <is>
          <t>Charge Port, Battery?</t>
        </is>
      </c>
      <c r="AS18" s="3" t="n"/>
      <c r="AT18" s="4" t="n"/>
      <c r="AU18" s="4" t="inlineStr">
        <is>
          <t>2025-10-01T03:21:58.139Z</t>
        </is>
      </c>
      <c r="AV18" s="4" t="inlineStr">
        <is>
          <t>2025-10-01T03:22:24.001Z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Yes</t>
        </is>
      </c>
      <c r="D19" t="inlineStr">
        <is>
          <t>Draft</t>
        </is>
      </c>
      <c r="F19" t="inlineStr">
        <is>
          <t>Galaxy</t>
        </is>
      </c>
      <c r="G19" t="inlineStr">
        <is>
          <t>PHN</t>
        </is>
      </c>
      <c r="H19" t="inlineStr">
        <is>
          <t>Phone</t>
        </is>
      </c>
      <c r="I19" t="inlineStr">
        <is>
          <t>Samsung</t>
        </is>
      </c>
      <c r="K19" t="inlineStr">
        <is>
          <t>S4 SCH-I545</t>
        </is>
      </c>
      <c r="L19" t="inlineStr">
        <is>
          <t>S4 SCH-I545</t>
        </is>
      </c>
      <c r="M19" t="inlineStr">
        <is>
          <t>Screen Broke, Mid Frame Broke, Needs Charge Port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Pending Compatibility Review</t>
        </is>
      </c>
      <c r="AG19" t="inlineStr">
        <is>
          <t>Pending Service Mapping</t>
        </is>
      </c>
      <c r="AH19" t="inlineStr">
        <is>
          <t>Pending Parts Mapping</t>
        </is>
      </c>
      <c r="AI19" t="inlineStr">
        <is>
          <t>Pending Manufacturer Review</t>
        </is>
      </c>
      <c r="AJ19" s="2" t="n">
        <v>0</v>
      </c>
      <c r="AK19" s="2" t="n">
        <v>0</v>
      </c>
      <c r="AM19" t="n">
        <v>716</v>
      </c>
      <c r="AN19" t="inlineStr">
        <is>
          <t>D:\Business Portal\300_Pricing\Legacy\Raw Import Data.xlsx</t>
        </is>
      </c>
      <c r="AO19" t="inlineStr">
        <is>
          <t>37. Raw Import</t>
        </is>
      </c>
      <c r="AP19" t="inlineStr">
        <is>
          <t>MASTER-DEVICES-V1-REVIEW</t>
        </is>
      </c>
      <c r="AR19" t="inlineStr">
        <is>
          <t>Screen Broke, Mid Frame Broke, Needs Charge Port</t>
        </is>
      </c>
      <c r="AS19" s="3" t="n"/>
      <c r="AT19" s="4" t="n"/>
      <c r="AU19" s="4" t="inlineStr">
        <is>
          <t>2025-10-01T03:14:36.548Z</t>
        </is>
      </c>
      <c r="AV19" s="4" t="inlineStr">
        <is>
          <t>2025-10-01T03:15:22.254Z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Yes</t>
        </is>
      </c>
      <c r="D20" t="inlineStr">
        <is>
          <t>Draft</t>
        </is>
      </c>
      <c r="F20" t="inlineStr">
        <is>
          <t>Galaxy</t>
        </is>
      </c>
      <c r="G20" t="inlineStr">
        <is>
          <t>PHN</t>
        </is>
      </c>
      <c r="H20" t="inlineStr">
        <is>
          <t>Phone</t>
        </is>
      </c>
      <c r="I20" t="inlineStr">
        <is>
          <t>Samsung</t>
        </is>
      </c>
      <c r="K20" t="inlineStr">
        <is>
          <t>Grand GT-I9082L</t>
        </is>
      </c>
      <c r="L20" t="inlineStr">
        <is>
          <t>Grand GT-I9082L</t>
        </is>
      </c>
      <c r="M20" t="inlineStr">
        <is>
          <t>Screen Broken, No Battery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Pending Compatibility Review</t>
        </is>
      </c>
      <c r="AG20" t="inlineStr">
        <is>
          <t>Pending Service Mapping</t>
        </is>
      </c>
      <c r="AH20" t="inlineStr">
        <is>
          <t>Pending Parts Mapping</t>
        </is>
      </c>
      <c r="AI20" t="inlineStr">
        <is>
          <t>Pending Manufacturer Review</t>
        </is>
      </c>
      <c r="AJ20" s="2" t="n">
        <v>0</v>
      </c>
      <c r="AK20" s="2" t="n">
        <v>0</v>
      </c>
      <c r="AM20" t="n">
        <v>717</v>
      </c>
      <c r="AN20" t="inlineStr">
        <is>
          <t>D:\Business Portal\300_Pricing\Legacy\Raw Import Data.xlsx</t>
        </is>
      </c>
      <c r="AO20" t="inlineStr">
        <is>
          <t>37. Raw Import</t>
        </is>
      </c>
      <c r="AP20" t="inlineStr">
        <is>
          <t>MASTER-DEVICES-V1-REVIEW</t>
        </is>
      </c>
      <c r="AR20" t="inlineStr">
        <is>
          <t>Screen Broken, No Battery</t>
        </is>
      </c>
      <c r="AS20" s="3" t="n"/>
      <c r="AT20" s="4" t="n"/>
      <c r="AU20" s="4" t="inlineStr">
        <is>
          <t>2025-10-01T03:12:56.371Z</t>
        </is>
      </c>
      <c r="AV20" s="4" t="inlineStr">
        <is>
          <t>2025-10-01T03:13:28.447Z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Yes</t>
        </is>
      </c>
      <c r="D21" t="inlineStr">
        <is>
          <t>Draft</t>
        </is>
      </c>
      <c r="F21" t="inlineStr">
        <is>
          <t>Galaxy</t>
        </is>
      </c>
      <c r="G21" t="inlineStr">
        <is>
          <t>PHN</t>
        </is>
      </c>
      <c r="H21" t="inlineStr">
        <is>
          <t>Phone</t>
        </is>
      </c>
      <c r="I21" t="inlineStr">
        <is>
          <t>Samsung</t>
        </is>
      </c>
      <c r="K21" t="inlineStr">
        <is>
          <t>Note 9 SM-N960U</t>
        </is>
      </c>
      <c r="L21" t="inlineStr">
        <is>
          <t>Note 9 SM-N960U</t>
        </is>
      </c>
      <c r="M21" t="inlineStr">
        <is>
          <t>No S-Pen, Bad Battery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Pending Compatibility Review</t>
        </is>
      </c>
      <c r="AG21" t="inlineStr">
        <is>
          <t>Pending Service Mapping</t>
        </is>
      </c>
      <c r="AH21" t="inlineStr">
        <is>
          <t>Pending Parts Mapping</t>
        </is>
      </c>
      <c r="AI21" t="inlineStr">
        <is>
          <t>Pending Manufacturer Review</t>
        </is>
      </c>
      <c r="AJ21" s="2" t="n">
        <v>0</v>
      </c>
      <c r="AK21" s="2" t="n">
        <v>0</v>
      </c>
      <c r="AM21" t="n">
        <v>718</v>
      </c>
      <c r="AN21" t="inlineStr">
        <is>
          <t>D:\Business Portal\300_Pricing\Legacy\Raw Import Data.xlsx</t>
        </is>
      </c>
      <c r="AO21" t="inlineStr">
        <is>
          <t>37. Raw Import</t>
        </is>
      </c>
      <c r="AP21" t="inlineStr">
        <is>
          <t>MASTER-DEVICES-V1-REVIEW</t>
        </is>
      </c>
      <c r="AR21" t="inlineStr">
        <is>
          <t>No S-Pen, Bad Battery</t>
        </is>
      </c>
      <c r="AS21" s="3" t="n"/>
      <c r="AT21" s="4" t="n"/>
      <c r="AU21" s="4" t="inlineStr">
        <is>
          <t>2025-10-01T03:09:57.340Z</t>
        </is>
      </c>
      <c r="AV21" s="4" t="inlineStr">
        <is>
          <t>2025-10-01T03:10:34.779Z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Yes</t>
        </is>
      </c>
      <c r="D22" t="inlineStr">
        <is>
          <t>Draft</t>
        </is>
      </c>
      <c r="F22" t="inlineStr">
        <is>
          <t>Galaxy</t>
        </is>
      </c>
      <c r="G22" t="inlineStr">
        <is>
          <t>PHN</t>
        </is>
      </c>
      <c r="H22" t="inlineStr">
        <is>
          <t>Phone</t>
        </is>
      </c>
      <c r="I22" t="inlineStr">
        <is>
          <t>Samsung</t>
        </is>
      </c>
      <c r="K22" t="inlineStr">
        <is>
          <t>Note 9 SM-N960U</t>
        </is>
      </c>
      <c r="L22" t="inlineStr">
        <is>
          <t>Note 9 SM-N960U</t>
        </is>
      </c>
      <c r="M22" t="inlineStr">
        <is>
          <t>No Visible Damage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Pending Compatibility Review</t>
        </is>
      </c>
      <c r="AG22" t="inlineStr">
        <is>
          <t>Pending Service Mapping</t>
        </is>
      </c>
      <c r="AH22" t="inlineStr">
        <is>
          <t>Pending Parts Mapping</t>
        </is>
      </c>
      <c r="AI22" t="inlineStr">
        <is>
          <t>Pending Manufacturer Review</t>
        </is>
      </c>
      <c r="AJ22" s="2" t="n">
        <v>0</v>
      </c>
      <c r="AK22" s="2" t="n">
        <v>0</v>
      </c>
      <c r="AM22" t="n">
        <v>719</v>
      </c>
      <c r="AN22" t="inlineStr">
        <is>
          <t>D:\Business Portal\300_Pricing\Legacy\Raw Import Data.xlsx</t>
        </is>
      </c>
      <c r="AO22" t="inlineStr">
        <is>
          <t>37. Raw Import</t>
        </is>
      </c>
      <c r="AP22" t="inlineStr">
        <is>
          <t>MASTER-DEVICES-V1-REVIEW</t>
        </is>
      </c>
      <c r="AR22" t="inlineStr">
        <is>
          <t>No Visible Damage</t>
        </is>
      </c>
      <c r="AS22" s="3" t="n"/>
      <c r="AT22" s="4" t="n"/>
      <c r="AU22" s="4" t="inlineStr">
        <is>
          <t>2025-10-01T03:07:37.064Z</t>
        </is>
      </c>
      <c r="AV22" s="4" t="inlineStr">
        <is>
          <t>2025-10-01T03:08:10.614Z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Yes</t>
        </is>
      </c>
      <c r="D23" t="inlineStr">
        <is>
          <t>Draft</t>
        </is>
      </c>
      <c r="F23" t="inlineStr">
        <is>
          <t>Galaxy</t>
        </is>
      </c>
      <c r="G23" t="inlineStr">
        <is>
          <t>PHN</t>
        </is>
      </c>
      <c r="H23" t="inlineStr">
        <is>
          <t>Phone</t>
        </is>
      </c>
      <c r="I23" t="inlineStr">
        <is>
          <t>Samsung</t>
        </is>
      </c>
      <c r="K23" t="inlineStr">
        <is>
          <t>S8 SM-G950U</t>
        </is>
      </c>
      <c r="L23" t="inlineStr">
        <is>
          <t>S8 SM-G950U</t>
        </is>
      </c>
      <c r="M23" t="inlineStr">
        <is>
          <t>Screen Burned/Broken, Back Glass Broken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Pending Compatibility Review</t>
        </is>
      </c>
      <c r="AG23" t="inlineStr">
        <is>
          <t>Pending Service Mapping</t>
        </is>
      </c>
      <c r="AH23" t="inlineStr">
        <is>
          <t>Pending Parts Mapping</t>
        </is>
      </c>
      <c r="AI23" t="inlineStr">
        <is>
          <t>Pending Manufacturer Review</t>
        </is>
      </c>
      <c r="AJ23" s="2" t="n">
        <v>0</v>
      </c>
      <c r="AK23" s="2" t="n">
        <v>0</v>
      </c>
      <c r="AM23" t="n">
        <v>720</v>
      </c>
      <c r="AN23" t="inlineStr">
        <is>
          <t>D:\Business Portal\300_Pricing\Legacy\Raw Import Data.xlsx</t>
        </is>
      </c>
      <c r="AO23" t="inlineStr">
        <is>
          <t>37. Raw Import</t>
        </is>
      </c>
      <c r="AP23" t="inlineStr">
        <is>
          <t>MASTER-DEVICES-V1-REVIEW</t>
        </is>
      </c>
      <c r="AR23" t="inlineStr">
        <is>
          <t>Screen Burned/Broken, Back Glass Broken</t>
        </is>
      </c>
      <c r="AS23" s="3" t="n"/>
      <c r="AT23" s="4" t="n"/>
      <c r="AU23" s="4" t="inlineStr">
        <is>
          <t>2025-10-01T03:05:33.338Z</t>
        </is>
      </c>
      <c r="AV23" s="4" t="inlineStr">
        <is>
          <t>2025-10-01T03:06:42.462Z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Yes</t>
        </is>
      </c>
      <c r="D24" t="inlineStr">
        <is>
          <t>Draft</t>
        </is>
      </c>
      <c r="F24" t="inlineStr">
        <is>
          <t>Galaxy</t>
        </is>
      </c>
      <c r="G24" t="inlineStr">
        <is>
          <t>PHN</t>
        </is>
      </c>
      <c r="H24" t="inlineStr">
        <is>
          <t>Phone</t>
        </is>
      </c>
      <c r="I24" t="inlineStr">
        <is>
          <t>Samsung</t>
        </is>
      </c>
      <c r="K24" t="inlineStr">
        <is>
          <t>Galaxy S8 Plus</t>
        </is>
      </c>
      <c r="L24" t="inlineStr">
        <is>
          <t>Galaxy S8 Plus</t>
        </is>
      </c>
      <c r="M24" t="inlineStr">
        <is>
          <t>TMOBILE / NO VISUAL DEF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Pending Compatibility Review</t>
        </is>
      </c>
      <c r="AG24" t="inlineStr">
        <is>
          <t>Pending Service Mapping</t>
        </is>
      </c>
      <c r="AH24" t="inlineStr">
        <is>
          <t>Pending Parts Mapping</t>
        </is>
      </c>
      <c r="AI24" t="inlineStr">
        <is>
          <t>Pending Manufacturer Review</t>
        </is>
      </c>
      <c r="AJ24" s="2" t="n">
        <v>0</v>
      </c>
      <c r="AK24" s="2" t="n">
        <v>0</v>
      </c>
      <c r="AM24" t="n">
        <v>721</v>
      </c>
      <c r="AN24" t="inlineStr">
        <is>
          <t>D:\Business Portal\300_Pricing\Legacy\Raw Import Data.xlsx</t>
        </is>
      </c>
      <c r="AO24" t="inlineStr">
        <is>
          <t>37. Raw Import</t>
        </is>
      </c>
      <c r="AP24" t="inlineStr">
        <is>
          <t>MASTER-DEVICES-V1-REVIEW</t>
        </is>
      </c>
      <c r="AR24" t="inlineStr">
        <is>
          <t>TMOBILE / NO VISUAL DEF</t>
        </is>
      </c>
      <c r="AS24" s="3" t="n"/>
      <c r="AT24" s="4" t="n"/>
      <c r="AU24" s="4" t="inlineStr">
        <is>
          <t>2025-10-01T02:44:20.531Z</t>
        </is>
      </c>
      <c r="AV24" s="4" t="inlineStr">
        <is>
          <t>2025-10-01T02:46:51.950Z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Yes</t>
        </is>
      </c>
      <c r="D25" t="inlineStr">
        <is>
          <t>Draft</t>
        </is>
      </c>
      <c r="E25" t="inlineStr">
        <is>
          <t>SAM</t>
        </is>
      </c>
      <c r="F25" t="inlineStr">
        <is>
          <t>Samsung</t>
        </is>
      </c>
      <c r="G25" t="inlineStr">
        <is>
          <t>PHN</t>
        </is>
      </c>
      <c r="H25" t="inlineStr">
        <is>
          <t>Phone</t>
        </is>
      </c>
      <c r="I25" t="inlineStr">
        <is>
          <t>Samsung</t>
        </is>
      </c>
      <c r="K25" t="inlineStr">
        <is>
          <t>Samsung ?</t>
        </is>
      </c>
      <c r="L25" t="inlineStr">
        <is>
          <t>Samsung ?</t>
        </is>
      </c>
      <c r="M25" t="inlineStr">
        <is>
          <t>SCREEN CRACKED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Pending Compatibility Review</t>
        </is>
      </c>
      <c r="AG25" t="inlineStr">
        <is>
          <t>Pending Service Mapping</t>
        </is>
      </c>
      <c r="AH25" t="inlineStr">
        <is>
          <t>Pending Parts Mapping</t>
        </is>
      </c>
      <c r="AI25" t="inlineStr">
        <is>
          <t>Pending Identity Review</t>
        </is>
      </c>
      <c r="AJ25" s="2" t="n">
        <v>0</v>
      </c>
      <c r="AK25" s="2" t="n">
        <v>0</v>
      </c>
      <c r="AM25" t="n">
        <v>722</v>
      </c>
      <c r="AN25" t="inlineStr">
        <is>
          <t>D:\Business Portal\300_Pricing\Legacy\Raw Import Data.xlsx</t>
        </is>
      </c>
      <c r="AO25" t="inlineStr">
        <is>
          <t>37. Raw Import</t>
        </is>
      </c>
      <c r="AP25" t="inlineStr">
        <is>
          <t>MASTER-DEVICES-V1-REVIEW</t>
        </is>
      </c>
      <c r="AR25" t="inlineStr">
        <is>
          <t>SCREEN CRACKED</t>
        </is>
      </c>
      <c r="AS25" s="3" t="n"/>
      <c r="AT25" s="4" t="n"/>
      <c r="AU25" s="4" t="inlineStr">
        <is>
          <t>2025-10-01T02:45:48.641Z</t>
        </is>
      </c>
      <c r="AV25" s="4" t="inlineStr">
        <is>
          <t>2025-10-01T02:46:22.726Z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Yes</t>
        </is>
      </c>
      <c r="D26" t="inlineStr">
        <is>
          <t>Draft</t>
        </is>
      </c>
      <c r="F26" t="inlineStr">
        <is>
          <t>Galaxy</t>
        </is>
      </c>
      <c r="G26" t="inlineStr">
        <is>
          <t>PHN</t>
        </is>
      </c>
      <c r="H26" t="inlineStr">
        <is>
          <t>Phone</t>
        </is>
      </c>
      <c r="I26" t="inlineStr">
        <is>
          <t>Samsung</t>
        </is>
      </c>
      <c r="K26" t="inlineStr">
        <is>
          <t>Galaxy S9</t>
        </is>
      </c>
      <c r="L26" t="inlineStr">
        <is>
          <t>Galaxy S9</t>
        </is>
      </c>
      <c r="M26" t="inlineStr">
        <is>
          <t>Burned Screen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Pending Compatibility Review</t>
        </is>
      </c>
      <c r="AG26" t="inlineStr">
        <is>
          <t>Pending Service Mapping</t>
        </is>
      </c>
      <c r="AH26" t="inlineStr">
        <is>
          <t>Pending Parts Mapping</t>
        </is>
      </c>
      <c r="AI26" t="inlineStr">
        <is>
          <t>Pending Manufacturer Review</t>
        </is>
      </c>
      <c r="AJ26" s="2" t="n">
        <v>0</v>
      </c>
      <c r="AK26" s="2" t="n">
        <v>0</v>
      </c>
      <c r="AM26" t="n">
        <v>723</v>
      </c>
      <c r="AN26" t="inlineStr">
        <is>
          <t>D:\Business Portal\300_Pricing\Legacy\Raw Import Data.xlsx</t>
        </is>
      </c>
      <c r="AO26" t="inlineStr">
        <is>
          <t>37. Raw Import</t>
        </is>
      </c>
      <c r="AP26" t="inlineStr">
        <is>
          <t>MASTER-DEVICES-V1-REVIEW</t>
        </is>
      </c>
      <c r="AR26" t="inlineStr">
        <is>
          <t>Burned Screen</t>
        </is>
      </c>
      <c r="AS26" s="3" t="n"/>
      <c r="AT26" s="4" t="n"/>
      <c r="AU26" s="4" t="inlineStr">
        <is>
          <t>2025-10-01T02:39:59.296Z</t>
        </is>
      </c>
      <c r="AV26" s="4" t="inlineStr">
        <is>
          <t>2025-10-01T02:42:03.591Z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Yes</t>
        </is>
      </c>
      <c r="D27" t="inlineStr">
        <is>
          <t>Draft</t>
        </is>
      </c>
      <c r="E27" t="inlineStr">
        <is>
          <t>MOT</t>
        </is>
      </c>
      <c r="F27" t="inlineStr">
        <is>
          <t>Motorola</t>
        </is>
      </c>
      <c r="G27" t="inlineStr">
        <is>
          <t>PHN</t>
        </is>
      </c>
      <c r="H27" t="inlineStr">
        <is>
          <t>Phone</t>
        </is>
      </c>
      <c r="I27" t="inlineStr">
        <is>
          <t>Motorola</t>
        </is>
      </c>
      <c r="K27" t="inlineStr">
        <is>
          <t>Moto V91</t>
        </is>
      </c>
      <c r="L27" t="inlineStr">
        <is>
          <t>Moto V91</t>
        </is>
      </c>
      <c r="M27" t="inlineStr">
        <is>
          <t>SCREEN CRACKED, NO TOUCH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Pending Compatibility Review</t>
        </is>
      </c>
      <c r="AG27" t="inlineStr">
        <is>
          <t>Pending Service Mapping</t>
        </is>
      </c>
      <c r="AH27" t="inlineStr">
        <is>
          <t>Pending Parts Mapping</t>
        </is>
      </c>
      <c r="AI27" t="inlineStr">
        <is>
          <t>Pending Identity Review</t>
        </is>
      </c>
      <c r="AJ27" s="2" t="n">
        <v>0</v>
      </c>
      <c r="AK27" s="2" t="n">
        <v>0</v>
      </c>
      <c r="AM27" t="n">
        <v>724</v>
      </c>
      <c r="AN27" t="inlineStr">
        <is>
          <t>D:\Business Portal\300_Pricing\Legacy\Raw Import Data.xlsx</t>
        </is>
      </c>
      <c r="AO27" t="inlineStr">
        <is>
          <t>37. Raw Import</t>
        </is>
      </c>
      <c r="AP27" t="inlineStr">
        <is>
          <t>MASTER-DEVICES-V1-REVIEW</t>
        </is>
      </c>
      <c r="AR27" t="inlineStr">
        <is>
          <t>SCREEN CRACKED, NO TOUCH</t>
        </is>
      </c>
      <c r="AS27" s="3" t="n"/>
      <c r="AT27" s="4" t="n"/>
      <c r="AU27" s="4" t="inlineStr">
        <is>
          <t>2025-10-01T02:52:53.883Z</t>
        </is>
      </c>
      <c r="AV27" s="4" t="inlineStr">
        <is>
          <t>2025-10-01T02:53:16.487Z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Yes</t>
        </is>
      </c>
      <c r="D28" t="inlineStr">
        <is>
          <t>Draft</t>
        </is>
      </c>
      <c r="E28" t="inlineStr">
        <is>
          <t>MOT</t>
        </is>
      </c>
      <c r="F28" t="inlineStr">
        <is>
          <t>Motorola</t>
        </is>
      </c>
      <c r="G28" t="inlineStr">
        <is>
          <t>PHN</t>
        </is>
      </c>
      <c r="H28" t="inlineStr">
        <is>
          <t>Phone</t>
        </is>
      </c>
      <c r="I28" t="inlineStr">
        <is>
          <t>Motorola</t>
        </is>
      </c>
      <c r="K28" t="inlineStr">
        <is>
          <t>Motorola</t>
        </is>
      </c>
      <c r="L28" t="inlineStr">
        <is>
          <t>Motorola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Pending Compatibility Review</t>
        </is>
      </c>
      <c r="AG28" t="inlineStr">
        <is>
          <t>Pending Service Mapping</t>
        </is>
      </c>
      <c r="AH28" t="inlineStr">
        <is>
          <t>Pending Parts Mapping</t>
        </is>
      </c>
      <c r="AI28" t="inlineStr">
        <is>
          <t>Pending Identity Review</t>
        </is>
      </c>
      <c r="AJ28" s="2" t="n">
        <v>0</v>
      </c>
      <c r="AK28" s="2" t="n">
        <v>0</v>
      </c>
      <c r="AM28" t="n">
        <v>725</v>
      </c>
      <c r="AN28" t="inlineStr">
        <is>
          <t>D:\Business Portal\300_Pricing\Legacy\Raw Import Data.xlsx</t>
        </is>
      </c>
      <c r="AO28" t="inlineStr">
        <is>
          <t>37. Raw Import</t>
        </is>
      </c>
      <c r="AP28" t="inlineStr">
        <is>
          <t>MASTER-DEVICES-V1-REVIEW</t>
        </is>
      </c>
      <c r="AS28" s="3" t="n"/>
      <c r="AT28" s="4" t="n"/>
      <c r="AU28" s="4" t="inlineStr">
        <is>
          <t>2025-10-01T02:21:06.739Z</t>
        </is>
      </c>
      <c r="AV28" s="4" t="inlineStr">
        <is>
          <t>2025-10-01T02:21:06.739Z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Yes</t>
        </is>
      </c>
      <c r="D29" t="inlineStr">
        <is>
          <t>Draft</t>
        </is>
      </c>
      <c r="E29" t="inlineStr">
        <is>
          <t>LGE</t>
        </is>
      </c>
      <c r="F29" t="inlineStr">
        <is>
          <t>LG</t>
        </is>
      </c>
      <c r="G29" t="inlineStr">
        <is>
          <t>PHN</t>
        </is>
      </c>
      <c r="H29" t="inlineStr">
        <is>
          <t>Phone</t>
        </is>
      </c>
      <c r="I29" t="inlineStr">
        <is>
          <t>Misc Phones</t>
        </is>
      </c>
      <c r="K29" t="inlineStr">
        <is>
          <t>Tracphone</t>
        </is>
      </c>
      <c r="L29" t="inlineStr">
        <is>
          <t>Tracphone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Pending Compatibility Review</t>
        </is>
      </c>
      <c r="AG29" t="inlineStr">
        <is>
          <t>Pending Service Mapping</t>
        </is>
      </c>
      <c r="AH29" t="inlineStr">
        <is>
          <t>Pending Parts Mapping</t>
        </is>
      </c>
      <c r="AI29" t="inlineStr">
        <is>
          <t>Pending Identity Review</t>
        </is>
      </c>
      <c r="AJ29" s="2" t="n">
        <v>0</v>
      </c>
      <c r="AK29" s="2" t="n">
        <v>0</v>
      </c>
      <c r="AM29" t="n">
        <v>726</v>
      </c>
      <c r="AN29" t="inlineStr">
        <is>
          <t>D:\Business Portal\300_Pricing\Legacy\Raw Import Data.xlsx</t>
        </is>
      </c>
      <c r="AO29" t="inlineStr">
        <is>
          <t>37. Raw Import</t>
        </is>
      </c>
      <c r="AP29" t="inlineStr">
        <is>
          <t>MASTER-DEVICES-V1-REVIEW</t>
        </is>
      </c>
      <c r="AS29" s="3" t="n"/>
      <c r="AT29" s="4" t="n"/>
      <c r="AU29" s="4" t="inlineStr">
        <is>
          <t>2025-10-01T03:26:19.553Z</t>
        </is>
      </c>
      <c r="AV29" s="4" t="inlineStr">
        <is>
          <t>2025-10-01T03:26:19.553Z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Yes</t>
        </is>
      </c>
      <c r="D30" t="inlineStr">
        <is>
          <t>Draft</t>
        </is>
      </c>
      <c r="F30" t="inlineStr">
        <is>
          <t>Maxwest</t>
        </is>
      </c>
      <c r="G30" t="inlineStr">
        <is>
          <t>PHN</t>
        </is>
      </c>
      <c r="H30" t="inlineStr">
        <is>
          <t>Phone</t>
        </is>
      </c>
      <c r="I30" t="inlineStr">
        <is>
          <t>Misc Phones</t>
        </is>
      </c>
      <c r="K30" t="inlineStr">
        <is>
          <t>Nitro 55A</t>
        </is>
      </c>
      <c r="L30" t="inlineStr">
        <is>
          <t>Nitro 55A</t>
        </is>
      </c>
      <c r="M30" t="inlineStr">
        <is>
          <t>Screen Cracked, Doesnt Turn On, Bad Battery?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Pending Compatibility Review</t>
        </is>
      </c>
      <c r="AG30" t="inlineStr">
        <is>
          <t>Pending Service Mapping</t>
        </is>
      </c>
      <c r="AH30" t="inlineStr">
        <is>
          <t>Pending Parts Mapping</t>
        </is>
      </c>
      <c r="AI30" t="inlineStr">
        <is>
          <t>Pending Manufacturer Review</t>
        </is>
      </c>
      <c r="AJ30" s="2" t="n">
        <v>0</v>
      </c>
      <c r="AK30" s="2" t="n">
        <v>0</v>
      </c>
      <c r="AM30" t="n">
        <v>727</v>
      </c>
      <c r="AN30" t="inlineStr">
        <is>
          <t>D:\Business Portal\300_Pricing\Legacy\Raw Import Data.xlsx</t>
        </is>
      </c>
      <c r="AO30" t="inlineStr">
        <is>
          <t>37. Raw Import</t>
        </is>
      </c>
      <c r="AP30" t="inlineStr">
        <is>
          <t>MASTER-DEVICES-V1-REVIEW</t>
        </is>
      </c>
      <c r="AR30" t="inlineStr">
        <is>
          <t>Screen Cracked, Doesnt Turn On, Bad Battery?</t>
        </is>
      </c>
      <c r="AS30" s="3" t="n"/>
      <c r="AT30" s="4" t="n"/>
      <c r="AU30" s="4" t="inlineStr">
        <is>
          <t>2025-10-01T02:36:46.065Z</t>
        </is>
      </c>
      <c r="AV30" s="4" t="inlineStr">
        <is>
          <t>2025-10-01T03:03:17.713Z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Yes</t>
        </is>
      </c>
      <c r="D31" t="inlineStr">
        <is>
          <t>Draft</t>
        </is>
      </c>
      <c r="F31" t="inlineStr">
        <is>
          <t>TCL</t>
        </is>
      </c>
      <c r="G31" t="inlineStr">
        <is>
          <t>PHN</t>
        </is>
      </c>
      <c r="H31" t="inlineStr">
        <is>
          <t>Phone</t>
        </is>
      </c>
      <c r="I31" t="inlineStr">
        <is>
          <t>Misc Phones</t>
        </is>
      </c>
      <c r="K31" t="inlineStr">
        <is>
          <t>TCL Phone</t>
        </is>
      </c>
      <c r="L31" t="inlineStr">
        <is>
          <t>TCL Phone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Pending Compatibility Review</t>
        </is>
      </c>
      <c r="AG31" t="inlineStr">
        <is>
          <t>Pending Service Mapping</t>
        </is>
      </c>
      <c r="AH31" t="inlineStr">
        <is>
          <t>Pending Parts Mapping</t>
        </is>
      </c>
      <c r="AI31" t="inlineStr">
        <is>
          <t>Pending Manufacturer Review</t>
        </is>
      </c>
      <c r="AJ31" s="2" t="n">
        <v>0</v>
      </c>
      <c r="AK31" s="2" t="n">
        <v>0</v>
      </c>
      <c r="AM31" t="n">
        <v>728</v>
      </c>
      <c r="AN31" t="inlineStr">
        <is>
          <t>D:\Business Portal\300_Pricing\Legacy\Raw Import Data.xlsx</t>
        </is>
      </c>
      <c r="AO31" t="inlineStr">
        <is>
          <t>37. Raw Import</t>
        </is>
      </c>
      <c r="AP31" t="inlineStr">
        <is>
          <t>MASTER-DEVICES-V1-REVIEW</t>
        </is>
      </c>
      <c r="AS31" s="3" t="n"/>
      <c r="AT31" s="4" t="n"/>
      <c r="AU31" s="4" t="inlineStr">
        <is>
          <t>2025-10-01T02:22:40.050Z</t>
        </is>
      </c>
      <c r="AV31" s="4" t="inlineStr">
        <is>
          <t>2025-10-01T02:22:40.050Z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Yes</t>
        </is>
      </c>
      <c r="D32" t="inlineStr">
        <is>
          <t>Draft</t>
        </is>
      </c>
      <c r="E32" t="inlineStr">
        <is>
          <t>APL</t>
        </is>
      </c>
      <c r="F32" t="inlineStr">
        <is>
          <t>Apple</t>
        </is>
      </c>
      <c r="G32" t="inlineStr">
        <is>
          <t>TAB</t>
        </is>
      </c>
      <c r="H32" t="inlineStr">
        <is>
          <t>Tablet</t>
        </is>
      </c>
      <c r="I32" t="inlineStr">
        <is>
          <t>Miscellaneous Device</t>
        </is>
      </c>
      <c r="K32" t="inlineStr">
        <is>
          <t>iPad Air 2(Parts Only)</t>
        </is>
      </c>
      <c r="L32" t="inlineStr">
        <is>
          <t>iPad Air 2(Parts Only)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Pending Compatibility Review</t>
        </is>
      </c>
      <c r="AG32" t="inlineStr">
        <is>
          <t>Pending Service Mapping</t>
        </is>
      </c>
      <c r="AH32" t="inlineStr">
        <is>
          <t>Pending Parts Mapping</t>
        </is>
      </c>
      <c r="AI32" t="inlineStr">
        <is>
          <t>Pending Identity Review</t>
        </is>
      </c>
      <c r="AJ32" s="2" t="n">
        <v>8</v>
      </c>
      <c r="AK32" s="2" t="n">
        <v>8</v>
      </c>
      <c r="AM32" t="n">
        <v>729</v>
      </c>
      <c r="AN32" t="inlineStr">
        <is>
          <t>D:\Business Portal\300_Pricing\Legacy\Raw Import Data.xlsx</t>
        </is>
      </c>
      <c r="AO32" t="inlineStr">
        <is>
          <t>37. Raw Import</t>
        </is>
      </c>
      <c r="AP32" t="inlineStr">
        <is>
          <t>MASTER-DEVICES-V1-REVIEW</t>
        </is>
      </c>
      <c r="AS32" s="3" t="n"/>
      <c r="AT32" s="4" t="n"/>
      <c r="AU32" s="4" t="inlineStr">
        <is>
          <t>2025-09-16T00:09:12.480Z</t>
        </is>
      </c>
      <c r="AV32" s="4" t="inlineStr">
        <is>
          <t>2025-09-16T00:10:07.037Z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Yes</t>
        </is>
      </c>
      <c r="D33" t="inlineStr">
        <is>
          <t>Draft</t>
        </is>
      </c>
      <c r="E33" t="inlineStr">
        <is>
          <t>APL</t>
        </is>
      </c>
      <c r="F33" t="inlineStr">
        <is>
          <t>Apple</t>
        </is>
      </c>
      <c r="G33" t="inlineStr">
        <is>
          <t>PHN</t>
        </is>
      </c>
      <c r="H33" t="inlineStr">
        <is>
          <t>Phone</t>
        </is>
      </c>
      <c r="I33" t="inlineStr">
        <is>
          <t>Miscellaneous Device</t>
        </is>
      </c>
      <c r="K33" t="inlineStr">
        <is>
          <t>Pre-Owned iPhone 6S  (Non-Functioning)</t>
        </is>
      </c>
      <c r="L33" t="inlineStr">
        <is>
          <t>Pre-Owned iPhone 6S  (Non-Functioning)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Pending Compatibility Review</t>
        </is>
      </c>
      <c r="AG33" t="inlineStr">
        <is>
          <t>Pending Service Mapping</t>
        </is>
      </c>
      <c r="AH33" t="inlineStr">
        <is>
          <t>Pending Parts Mapping</t>
        </is>
      </c>
      <c r="AI33" t="inlineStr">
        <is>
          <t>Pending Identity Review</t>
        </is>
      </c>
      <c r="AJ33" s="2" t="n">
        <v>5</v>
      </c>
      <c r="AK33" s="2" t="n">
        <v>5</v>
      </c>
      <c r="AM33" t="n">
        <v>730</v>
      </c>
      <c r="AN33" t="inlineStr">
        <is>
          <t>D:\Business Portal\300_Pricing\Legacy\Raw Import Data.xlsx</t>
        </is>
      </c>
      <c r="AO33" t="inlineStr">
        <is>
          <t>37. Raw Import</t>
        </is>
      </c>
      <c r="AP33" t="inlineStr">
        <is>
          <t>MASTER-DEVICES-V1-REVIEW</t>
        </is>
      </c>
      <c r="AS33" s="3" t="n"/>
      <c r="AT33" s="4" t="n"/>
      <c r="AU33" s="4" t="inlineStr">
        <is>
          <t>2025-09-16T00:09:12.480Z</t>
        </is>
      </c>
      <c r="AV33" s="4" t="inlineStr">
        <is>
          <t>2025-09-16T00:10:07.037Z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Yes</t>
        </is>
      </c>
      <c r="D34" t="inlineStr">
        <is>
          <t>Draft</t>
        </is>
      </c>
      <c r="E34" t="inlineStr">
        <is>
          <t>APL</t>
        </is>
      </c>
      <c r="F34" t="inlineStr">
        <is>
          <t>Apple</t>
        </is>
      </c>
      <c r="G34" t="inlineStr">
        <is>
          <t>PHN</t>
        </is>
      </c>
      <c r="H34" t="inlineStr">
        <is>
          <t>Phone</t>
        </is>
      </c>
      <c r="I34" t="inlineStr">
        <is>
          <t>Miscellaneous Device</t>
        </is>
      </c>
      <c r="K34" t="inlineStr">
        <is>
          <t>iPhone 8 Pre-Owned Device (BER ???Non-Functioning Device)</t>
        </is>
      </c>
      <c r="L34" t="inlineStr">
        <is>
          <t>iPhone 8 Pre-Owned Device (BER ???Non-Functioning Device)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Pending Compatibility Review</t>
        </is>
      </c>
      <c r="AG34" t="inlineStr">
        <is>
          <t>Pending Service Mapping</t>
        </is>
      </c>
      <c r="AH34" t="inlineStr">
        <is>
          <t>Pending Parts Mapping</t>
        </is>
      </c>
      <c r="AI34" t="inlineStr">
        <is>
          <t>Pending Identity Review</t>
        </is>
      </c>
      <c r="AJ34" s="2" t="n">
        <v>5.3</v>
      </c>
      <c r="AK34" s="2" t="n">
        <v>5.3</v>
      </c>
      <c r="AM34" t="n">
        <v>731</v>
      </c>
      <c r="AN34" t="inlineStr">
        <is>
          <t>D:\Business Portal\300_Pricing\Legacy\Raw Import Data.xlsx</t>
        </is>
      </c>
      <c r="AO34" t="inlineStr">
        <is>
          <t>37. Raw Import</t>
        </is>
      </c>
      <c r="AP34" t="inlineStr">
        <is>
          <t>MASTER-DEVICES-V1-REVIEW</t>
        </is>
      </c>
      <c r="AS34" s="3" t="n"/>
      <c r="AT34" s="4" t="n"/>
      <c r="AU34" s="4" t="inlineStr">
        <is>
          <t>2025-09-16T00:09:12.480Z</t>
        </is>
      </c>
      <c r="AV34" s="4" t="inlineStr">
        <is>
          <t>2025-09-16T00:10:07.037Z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Yes</t>
        </is>
      </c>
      <c r="D35" t="inlineStr">
        <is>
          <t>Draft</t>
        </is>
      </c>
      <c r="E35" t="inlineStr">
        <is>
          <t>APL</t>
        </is>
      </c>
      <c r="F35" t="inlineStr">
        <is>
          <t>Apple</t>
        </is>
      </c>
      <c r="G35" t="inlineStr">
        <is>
          <t>PHN</t>
        </is>
      </c>
      <c r="H35" t="inlineStr">
        <is>
          <t>Phone</t>
        </is>
      </c>
      <c r="I35" t="inlineStr">
        <is>
          <t>Miscellaneous Device</t>
        </is>
      </c>
      <c r="K35" t="inlineStr">
        <is>
          <t>iPhone 8 Pre-Owned Device (BER ???Non-Functioning Device)</t>
        </is>
      </c>
      <c r="L35" t="inlineStr">
        <is>
          <t>iPhone 8 Pre-Owned Device (BER ???Non-Functioning Device)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Pending Compatibility Review</t>
        </is>
      </c>
      <c r="AG35" t="inlineStr">
        <is>
          <t>Pending Service Mapping</t>
        </is>
      </c>
      <c r="AH35" t="inlineStr">
        <is>
          <t>Pending Parts Mapping</t>
        </is>
      </c>
      <c r="AI35" t="inlineStr">
        <is>
          <t>Pending Identity Review</t>
        </is>
      </c>
      <c r="AJ35" s="2" t="n">
        <v>5.3</v>
      </c>
      <c r="AK35" s="2" t="n">
        <v>5.3</v>
      </c>
      <c r="AM35" t="n">
        <v>732</v>
      </c>
      <c r="AN35" t="inlineStr">
        <is>
          <t>D:\Business Portal\300_Pricing\Legacy\Raw Import Data.xlsx</t>
        </is>
      </c>
      <c r="AO35" t="inlineStr">
        <is>
          <t>37. Raw Import</t>
        </is>
      </c>
      <c r="AP35" t="inlineStr">
        <is>
          <t>MASTER-DEVICES-V1-REVIEW</t>
        </is>
      </c>
      <c r="AS35" s="3" t="n"/>
      <c r="AT35" s="4" t="n"/>
      <c r="AU35" s="4" t="inlineStr">
        <is>
          <t>2025-09-16T00:09:12.480Z</t>
        </is>
      </c>
      <c r="AV35" s="4" t="inlineStr">
        <is>
          <t>2025-09-16T00:10:07.037Z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Yes</t>
        </is>
      </c>
      <c r="D36" t="inlineStr">
        <is>
          <t>Draft</t>
        </is>
      </c>
      <c r="E36" t="inlineStr">
        <is>
          <t>APL</t>
        </is>
      </c>
      <c r="F36" t="inlineStr">
        <is>
          <t>Apple</t>
        </is>
      </c>
      <c r="G36" t="inlineStr">
        <is>
          <t>PHN</t>
        </is>
      </c>
      <c r="H36" t="inlineStr">
        <is>
          <t>Phone</t>
        </is>
      </c>
      <c r="I36" t="inlineStr">
        <is>
          <t>Miscellaneous Device</t>
        </is>
      </c>
      <c r="K36" t="inlineStr">
        <is>
          <t>Pre-Owned iPhone 7 Plus (Non-Functioning)</t>
        </is>
      </c>
      <c r="L36" t="inlineStr">
        <is>
          <t>Pre-Owned iPhone 7 Plus (Non-Functioning)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Pending Compatibility Review</t>
        </is>
      </c>
      <c r="AG36" t="inlineStr">
        <is>
          <t>Pending Service Mapping</t>
        </is>
      </c>
      <c r="AH36" t="inlineStr">
        <is>
          <t>Pending Parts Mapping</t>
        </is>
      </c>
      <c r="AI36" t="inlineStr">
        <is>
          <t>Pending Identity Review</t>
        </is>
      </c>
      <c r="AJ36" s="2" t="n">
        <v>5</v>
      </c>
      <c r="AK36" s="2" t="n">
        <v>5</v>
      </c>
      <c r="AM36" t="n">
        <v>733</v>
      </c>
      <c r="AN36" t="inlineStr">
        <is>
          <t>D:\Business Portal\300_Pricing\Legacy\Raw Import Data.xlsx</t>
        </is>
      </c>
      <c r="AO36" t="inlineStr">
        <is>
          <t>37. Raw Import</t>
        </is>
      </c>
      <c r="AP36" t="inlineStr">
        <is>
          <t>MASTER-DEVICES-V1-REVIEW</t>
        </is>
      </c>
      <c r="AS36" s="3" t="n"/>
      <c r="AT36" s="4" t="n"/>
      <c r="AU36" s="4" t="inlineStr">
        <is>
          <t>2025-09-16T00:09:12.480Z</t>
        </is>
      </c>
      <c r="AV36" s="4" t="inlineStr">
        <is>
          <t>2025-09-16T00:10:07.037Z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Yes</t>
        </is>
      </c>
      <c r="D37" t="inlineStr">
        <is>
          <t>Draft</t>
        </is>
      </c>
      <c r="E37" t="inlineStr">
        <is>
          <t>APL</t>
        </is>
      </c>
      <c r="F37" t="inlineStr">
        <is>
          <t>Apple</t>
        </is>
      </c>
      <c r="G37" t="inlineStr">
        <is>
          <t>PHN</t>
        </is>
      </c>
      <c r="H37" t="inlineStr">
        <is>
          <t>Phone</t>
        </is>
      </c>
      <c r="I37" t="inlineStr">
        <is>
          <t>Miscellaneous Device</t>
        </is>
      </c>
      <c r="K37" t="inlineStr">
        <is>
          <t>Pre-Owned iPhone 7  (Non-Functioning)</t>
        </is>
      </c>
      <c r="L37" t="inlineStr">
        <is>
          <t>Pre-Owned iPhone 7  (Non-Functioning)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Pending Compatibility Review</t>
        </is>
      </c>
      <c r="AG37" t="inlineStr">
        <is>
          <t>Pending Service Mapping</t>
        </is>
      </c>
      <c r="AH37" t="inlineStr">
        <is>
          <t>Pending Parts Mapping</t>
        </is>
      </c>
      <c r="AI37" t="inlineStr">
        <is>
          <t>Pending Identity Review</t>
        </is>
      </c>
      <c r="AJ37" s="2" t="n">
        <v>5</v>
      </c>
      <c r="AK37" s="2" t="n">
        <v>5</v>
      </c>
      <c r="AM37" t="n">
        <v>734</v>
      </c>
      <c r="AN37" t="inlineStr">
        <is>
          <t>D:\Business Portal\300_Pricing\Legacy\Raw Import Data.xlsx</t>
        </is>
      </c>
      <c r="AO37" t="inlineStr">
        <is>
          <t>37. Raw Import</t>
        </is>
      </c>
      <c r="AP37" t="inlineStr">
        <is>
          <t>MASTER-DEVICES-V1-REVIEW</t>
        </is>
      </c>
      <c r="AS37" s="3" t="n"/>
      <c r="AT37" s="4" t="n"/>
      <c r="AU37" s="4" t="inlineStr">
        <is>
          <t>2025-09-16T00:09:12.480Z</t>
        </is>
      </c>
      <c r="AV37" s="4" t="inlineStr">
        <is>
          <t>2025-09-16T00:10:07.037Z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Yes</t>
        </is>
      </c>
      <c r="D38" t="inlineStr">
        <is>
          <t>Draft</t>
        </is>
      </c>
      <c r="E38" t="inlineStr">
        <is>
          <t>APL</t>
        </is>
      </c>
      <c r="F38" t="inlineStr">
        <is>
          <t>Apple</t>
        </is>
      </c>
      <c r="G38" t="inlineStr">
        <is>
          <t>TAB</t>
        </is>
      </c>
      <c r="H38" t="inlineStr">
        <is>
          <t>Tablet</t>
        </is>
      </c>
      <c r="I38" t="inlineStr">
        <is>
          <t>Miscellaneous Device</t>
        </is>
      </c>
      <c r="K38" t="inlineStr">
        <is>
          <t>iPad Wifi 16gb (B Grade)</t>
        </is>
      </c>
      <c r="L38" t="inlineStr">
        <is>
          <t>iPad Wifi 16gb (B Grade)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Pending Compatibility Review</t>
        </is>
      </c>
      <c r="AG38" t="inlineStr">
        <is>
          <t>Pending Service Mapping</t>
        </is>
      </c>
      <c r="AH38" t="inlineStr">
        <is>
          <t>Pending Parts Mapping</t>
        </is>
      </c>
      <c r="AI38" t="inlineStr">
        <is>
          <t>Pending Identity Review</t>
        </is>
      </c>
      <c r="AJ38" s="2" t="n">
        <v>4</v>
      </c>
      <c r="AK38" s="2" t="n">
        <v>4</v>
      </c>
      <c r="AM38" t="n">
        <v>735</v>
      </c>
      <c r="AN38" t="inlineStr">
        <is>
          <t>D:\Business Portal\300_Pricing\Legacy\Raw Import Data.xlsx</t>
        </is>
      </c>
      <c r="AO38" t="inlineStr">
        <is>
          <t>37. Raw Import</t>
        </is>
      </c>
      <c r="AP38" t="inlineStr">
        <is>
          <t>MASTER-DEVICES-V1-REVIEW</t>
        </is>
      </c>
      <c r="AS38" s="3" t="n"/>
      <c r="AT38" s="4" t="n"/>
      <c r="AU38" s="4" t="inlineStr">
        <is>
          <t>2025-09-16T00:09:12.480Z</t>
        </is>
      </c>
      <c r="AV38" s="4" t="inlineStr">
        <is>
          <t>2025-09-16T00:10:07.037Z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Yes</t>
        </is>
      </c>
      <c r="D39" t="inlineStr">
        <is>
          <t>Draft</t>
        </is>
      </c>
      <c r="E39" t="inlineStr">
        <is>
          <t>SAM</t>
        </is>
      </c>
      <c r="F39" t="inlineStr">
        <is>
          <t>Samsung</t>
        </is>
      </c>
      <c r="G39" t="inlineStr">
        <is>
          <t>TAB</t>
        </is>
      </c>
      <c r="H39" t="inlineStr">
        <is>
          <t>Tablet</t>
        </is>
      </c>
      <c r="I39" t="inlineStr">
        <is>
          <t>Miscellaneous Device</t>
        </is>
      </c>
      <c r="K39" t="inlineStr">
        <is>
          <t>Samsung Tab E 9.6" SM-T560NU16gb (B Grade)</t>
        </is>
      </c>
      <c r="L39" t="inlineStr">
        <is>
          <t>Samsung Tab E 9.6" SM-T560NU16gb (B Grade)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Pending Compatibility Review</t>
        </is>
      </c>
      <c r="AG39" t="inlineStr">
        <is>
          <t>Pending Service Mapping</t>
        </is>
      </c>
      <c r="AH39" t="inlineStr">
        <is>
          <t>Pending Parts Mapping</t>
        </is>
      </c>
      <c r="AI39" t="inlineStr">
        <is>
          <t>Pending Identity Review</t>
        </is>
      </c>
      <c r="AJ39" s="2" t="n">
        <v>4</v>
      </c>
      <c r="AK39" s="2" t="n">
        <v>4</v>
      </c>
      <c r="AM39" t="n">
        <v>736</v>
      </c>
      <c r="AN39" t="inlineStr">
        <is>
          <t>D:\Business Portal\300_Pricing\Legacy\Raw Import Data.xlsx</t>
        </is>
      </c>
      <c r="AO39" t="inlineStr">
        <is>
          <t>37. Raw Import</t>
        </is>
      </c>
      <c r="AP39" t="inlineStr">
        <is>
          <t>MASTER-DEVICES-V1-REVIEW</t>
        </is>
      </c>
      <c r="AS39" s="3" t="n"/>
      <c r="AT39" s="4" t="n"/>
      <c r="AU39" s="4" t="inlineStr">
        <is>
          <t>2025-09-16T00:09:12.480Z</t>
        </is>
      </c>
      <c r="AV39" s="4" t="inlineStr">
        <is>
          <t>2025-09-16T00:10:07.037Z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Yes</t>
        </is>
      </c>
      <c r="D40" t="inlineStr">
        <is>
          <t>Draft</t>
        </is>
      </c>
      <c r="F40" t="inlineStr">
        <is>
          <t>N/A</t>
        </is>
      </c>
      <c r="G40" t="inlineStr">
        <is>
          <t>PHN</t>
        </is>
      </c>
      <c r="H40" t="inlineStr">
        <is>
          <t>Phone</t>
        </is>
      </c>
      <c r="I40" t="inlineStr">
        <is>
          <t>Miscellaneous Device</t>
        </is>
      </c>
      <c r="K40" t="inlineStr">
        <is>
          <t>iPhone 8 Pre-Owned Device (BER ???Non-Functioning Device)</t>
        </is>
      </c>
      <c r="L40" t="inlineStr">
        <is>
          <t>iPhone 8 Pre-Owned Device (BER ???Non-Functioning Device)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Pending Compatibility Review</t>
        </is>
      </c>
      <c r="AG40" t="inlineStr">
        <is>
          <t>Pending Service Mapping</t>
        </is>
      </c>
      <c r="AH40" t="inlineStr">
        <is>
          <t>Pending Parts Mapping</t>
        </is>
      </c>
      <c r="AI40" t="inlineStr">
        <is>
          <t>Pending Manufacturer Review</t>
        </is>
      </c>
      <c r="AJ40" s="2" t="n">
        <v>5.3</v>
      </c>
      <c r="AK40" s="2" t="n">
        <v>5.3</v>
      </c>
      <c r="AM40" t="n">
        <v>737</v>
      </c>
      <c r="AN40" t="inlineStr">
        <is>
          <t>D:\Business Portal\300_Pricing\Legacy\Raw Import Data.xlsx</t>
        </is>
      </c>
      <c r="AO40" t="inlineStr">
        <is>
          <t>37. Raw Import</t>
        </is>
      </c>
      <c r="AP40" t="inlineStr">
        <is>
          <t>MASTER-DEVICES-V1-REVIEW</t>
        </is>
      </c>
      <c r="AS40" s="3" t="n"/>
      <c r="AT40" s="4" t="n"/>
      <c r="AU40" s="4" t="inlineStr">
        <is>
          <t>2025-09-15T23:30:00.212Z</t>
        </is>
      </c>
      <c r="AV40" s="4" t="inlineStr">
        <is>
          <t>2025-09-15T23:30:00.212Z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Yes</t>
        </is>
      </c>
      <c r="D41" t="inlineStr">
        <is>
          <t>Draft</t>
        </is>
      </c>
      <c r="F41" t="inlineStr">
        <is>
          <t>N/A</t>
        </is>
      </c>
      <c r="G41" t="inlineStr">
        <is>
          <t>TAB</t>
        </is>
      </c>
      <c r="H41" t="inlineStr">
        <is>
          <t>Tablet</t>
        </is>
      </c>
      <c r="I41" t="inlineStr">
        <is>
          <t>Miscellaneous Device</t>
        </is>
      </c>
      <c r="K41" t="inlineStr">
        <is>
          <t>iPad Air 2(Parts Only)</t>
        </is>
      </c>
      <c r="L41" t="inlineStr">
        <is>
          <t>iPad Air 2(Parts Only)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Pending Compatibility Review</t>
        </is>
      </c>
      <c r="AG41" t="inlineStr">
        <is>
          <t>Pending Service Mapping</t>
        </is>
      </c>
      <c r="AH41" t="inlineStr">
        <is>
          <t>Pending Parts Mapping</t>
        </is>
      </c>
      <c r="AI41" t="inlineStr">
        <is>
          <t>Pending Manufacturer Review</t>
        </is>
      </c>
      <c r="AJ41" s="2" t="n">
        <v>8</v>
      </c>
      <c r="AK41" s="2" t="n">
        <v>8</v>
      </c>
      <c r="AM41" t="n">
        <v>738</v>
      </c>
      <c r="AN41" t="inlineStr">
        <is>
          <t>D:\Business Portal\300_Pricing\Legacy\Raw Import Data.xlsx</t>
        </is>
      </c>
      <c r="AO41" t="inlineStr">
        <is>
          <t>37. Raw Import</t>
        </is>
      </c>
      <c r="AP41" t="inlineStr">
        <is>
          <t>MASTER-DEVICES-V1-REVIEW</t>
        </is>
      </c>
      <c r="AS41" s="3" t="n"/>
      <c r="AT41" s="4" t="n"/>
      <c r="AU41" s="4" t="inlineStr">
        <is>
          <t>2025-09-15T23:30:00.212Z</t>
        </is>
      </c>
      <c r="AV41" s="4" t="inlineStr">
        <is>
          <t>2025-09-15T23:30:00.212Z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Yes</t>
        </is>
      </c>
      <c r="D42" t="inlineStr">
        <is>
          <t>Draft</t>
        </is>
      </c>
      <c r="F42" t="inlineStr">
        <is>
          <t>N/A</t>
        </is>
      </c>
      <c r="G42" t="inlineStr">
        <is>
          <t>TAB</t>
        </is>
      </c>
      <c r="H42" t="inlineStr">
        <is>
          <t>Tablet</t>
        </is>
      </c>
      <c r="I42" t="inlineStr">
        <is>
          <t>Miscellaneous Device</t>
        </is>
      </c>
      <c r="K42" t="inlineStr">
        <is>
          <t>iPad Mini 4(Parts Only)</t>
        </is>
      </c>
      <c r="L42" t="inlineStr">
        <is>
          <t>iPad Mini 4(Parts Only)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Pending Compatibility Review</t>
        </is>
      </c>
      <c r="AG42" t="inlineStr">
        <is>
          <t>Pending Service Mapping</t>
        </is>
      </c>
      <c r="AH42" t="inlineStr">
        <is>
          <t>Pending Parts Mapping</t>
        </is>
      </c>
      <c r="AI42" t="inlineStr">
        <is>
          <t>Pending Manufacturer Review</t>
        </is>
      </c>
      <c r="AJ42" s="2" t="n">
        <v>6</v>
      </c>
      <c r="AK42" s="2" t="n">
        <v>6</v>
      </c>
      <c r="AM42" t="n">
        <v>739</v>
      </c>
      <c r="AN42" t="inlineStr">
        <is>
          <t>D:\Business Portal\300_Pricing\Legacy\Raw Import Data.xlsx</t>
        </is>
      </c>
      <c r="AO42" t="inlineStr">
        <is>
          <t>37. Raw Import</t>
        </is>
      </c>
      <c r="AP42" t="inlineStr">
        <is>
          <t>MASTER-DEVICES-V1-REVIEW</t>
        </is>
      </c>
      <c r="AS42" s="3" t="n"/>
      <c r="AT42" s="4" t="n"/>
      <c r="AU42" s="4" t="inlineStr">
        <is>
          <t>2025-09-15T23:30:00.212Z</t>
        </is>
      </c>
      <c r="AV42" s="4" t="inlineStr">
        <is>
          <t>2025-09-15T23:30:00.212Z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Yes</t>
        </is>
      </c>
      <c r="D43" t="inlineStr">
        <is>
          <t>Draft</t>
        </is>
      </c>
      <c r="F43" t="inlineStr">
        <is>
          <t>N/A</t>
        </is>
      </c>
      <c r="G43" t="inlineStr">
        <is>
          <t>TAB</t>
        </is>
      </c>
      <c r="H43" t="inlineStr">
        <is>
          <t>Tablet</t>
        </is>
      </c>
      <c r="I43" t="inlineStr">
        <is>
          <t>Miscellaneous Device</t>
        </is>
      </c>
      <c r="K43" t="inlineStr">
        <is>
          <t>Samsung Tab E 9.6" SM-T560NU16gb (B Grade)</t>
        </is>
      </c>
      <c r="L43" t="inlineStr">
        <is>
          <t>Samsung Tab E 9.6" SM-T560NU16gb (B Grade)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Pending Compatibility Review</t>
        </is>
      </c>
      <c r="AG43" t="inlineStr">
        <is>
          <t>Pending Service Mapping</t>
        </is>
      </c>
      <c r="AH43" t="inlineStr">
        <is>
          <t>Pending Parts Mapping</t>
        </is>
      </c>
      <c r="AI43" t="inlineStr">
        <is>
          <t>Pending Manufacturer Review</t>
        </is>
      </c>
      <c r="AJ43" s="2" t="n">
        <v>4</v>
      </c>
      <c r="AK43" s="2" t="n">
        <v>4</v>
      </c>
      <c r="AM43" t="n">
        <v>740</v>
      </c>
      <c r="AN43" t="inlineStr">
        <is>
          <t>D:\Business Portal\300_Pricing\Legacy\Raw Import Data.xlsx</t>
        </is>
      </c>
      <c r="AO43" t="inlineStr">
        <is>
          <t>37. Raw Import</t>
        </is>
      </c>
      <c r="AP43" t="inlineStr">
        <is>
          <t>MASTER-DEVICES-V1-REVIEW</t>
        </is>
      </c>
      <c r="AS43" s="3" t="n"/>
      <c r="AT43" s="4" t="n"/>
      <c r="AU43" s="4" t="inlineStr">
        <is>
          <t>2025-09-15T23:30:00.212Z</t>
        </is>
      </c>
      <c r="AV43" s="4" t="inlineStr">
        <is>
          <t>2025-09-15T23:30:00.212Z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Yes</t>
        </is>
      </c>
      <c r="D44" t="inlineStr">
        <is>
          <t>Draft</t>
        </is>
      </c>
      <c r="F44" t="inlineStr">
        <is>
          <t>N/A</t>
        </is>
      </c>
      <c r="G44" t="inlineStr">
        <is>
          <t>TAB</t>
        </is>
      </c>
      <c r="H44" t="inlineStr">
        <is>
          <t>Tablet</t>
        </is>
      </c>
      <c r="I44" t="inlineStr">
        <is>
          <t>Miscellaneous Device</t>
        </is>
      </c>
      <c r="K44" t="inlineStr">
        <is>
          <t>iPad Wifi 16gb (B Grade)</t>
        </is>
      </c>
      <c r="L44" t="inlineStr">
        <is>
          <t>iPad Wifi 16gb (B Grade)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Pending Compatibility Review</t>
        </is>
      </c>
      <c r="AG44" t="inlineStr">
        <is>
          <t>Pending Service Mapping</t>
        </is>
      </c>
      <c r="AH44" t="inlineStr">
        <is>
          <t>Pending Parts Mapping</t>
        </is>
      </c>
      <c r="AI44" t="inlineStr">
        <is>
          <t>Pending Manufacturer Review</t>
        </is>
      </c>
      <c r="AJ44" s="2" t="n">
        <v>4</v>
      </c>
      <c r="AK44" s="2" t="n">
        <v>4</v>
      </c>
      <c r="AM44" t="n">
        <v>741</v>
      </c>
      <c r="AN44" t="inlineStr">
        <is>
          <t>D:\Business Portal\300_Pricing\Legacy\Raw Import Data.xlsx</t>
        </is>
      </c>
      <c r="AO44" t="inlineStr">
        <is>
          <t>37. Raw Import</t>
        </is>
      </c>
      <c r="AP44" t="inlineStr">
        <is>
          <t>MASTER-DEVICES-V1-REVIEW</t>
        </is>
      </c>
      <c r="AS44" s="3" t="n"/>
      <c r="AT44" s="4" t="n"/>
      <c r="AU44" s="4" t="inlineStr">
        <is>
          <t>2025-09-15T23:30:00.212Z</t>
        </is>
      </c>
      <c r="AV44" s="4" t="inlineStr">
        <is>
          <t>2025-09-15T23:30:00.212Z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Yes</t>
        </is>
      </c>
      <c r="D45" t="inlineStr">
        <is>
          <t>Draft</t>
        </is>
      </c>
      <c r="F45" t="inlineStr">
        <is>
          <t>N/A</t>
        </is>
      </c>
      <c r="G45" t="inlineStr">
        <is>
          <t>PHN</t>
        </is>
      </c>
      <c r="H45" t="inlineStr">
        <is>
          <t>Phone</t>
        </is>
      </c>
      <c r="I45" t="inlineStr">
        <is>
          <t>Miscellaneous Device</t>
        </is>
      </c>
      <c r="K45" t="inlineStr">
        <is>
          <t>Pre-Owned iPhone 7 Plus (Non-Functioning)</t>
        </is>
      </c>
      <c r="L45" t="inlineStr">
        <is>
          <t>Pre-Owned iPhone 7 Plus (Non-Functioning)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Pending Compatibility Review</t>
        </is>
      </c>
      <c r="AG45" t="inlineStr">
        <is>
          <t>Pending Service Mapping</t>
        </is>
      </c>
      <c r="AH45" t="inlineStr">
        <is>
          <t>Pending Parts Mapping</t>
        </is>
      </c>
      <c r="AI45" t="inlineStr">
        <is>
          <t>Pending Manufacturer Review</t>
        </is>
      </c>
      <c r="AJ45" s="2" t="n">
        <v>5</v>
      </c>
      <c r="AK45" s="2" t="n">
        <v>5</v>
      </c>
      <c r="AM45" t="n">
        <v>742</v>
      </c>
      <c r="AN45" t="inlineStr">
        <is>
          <t>D:\Business Portal\300_Pricing\Legacy\Raw Import Data.xlsx</t>
        </is>
      </c>
      <c r="AO45" t="inlineStr">
        <is>
          <t>37. Raw Import</t>
        </is>
      </c>
      <c r="AP45" t="inlineStr">
        <is>
          <t>MASTER-DEVICES-V1-REVIEW</t>
        </is>
      </c>
      <c r="AS45" s="3" t="n"/>
      <c r="AT45" s="4" t="n"/>
      <c r="AU45" s="4" t="inlineStr">
        <is>
          <t>2025-09-15T23:30:00.212Z</t>
        </is>
      </c>
      <c r="AV45" s="4" t="inlineStr">
        <is>
          <t>2025-09-15T23:30:00.212Z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Yes</t>
        </is>
      </c>
      <c r="D46" t="inlineStr">
        <is>
          <t>Draft</t>
        </is>
      </c>
      <c r="F46" t="inlineStr">
        <is>
          <t>N/A</t>
        </is>
      </c>
      <c r="G46" t="inlineStr">
        <is>
          <t>PHN</t>
        </is>
      </c>
      <c r="H46" t="inlineStr">
        <is>
          <t>Phone</t>
        </is>
      </c>
      <c r="I46" t="inlineStr">
        <is>
          <t>Miscellaneous Device</t>
        </is>
      </c>
      <c r="K46" t="inlineStr">
        <is>
          <t>Pre-Owned iPhone 7  (Non-Functioning)</t>
        </is>
      </c>
      <c r="L46" t="inlineStr">
        <is>
          <t>Pre-Owned iPhone 7  (Non-Functioning)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Pending Compatibility Review</t>
        </is>
      </c>
      <c r="AG46" t="inlineStr">
        <is>
          <t>Pending Service Mapping</t>
        </is>
      </c>
      <c r="AH46" t="inlineStr">
        <is>
          <t>Pending Parts Mapping</t>
        </is>
      </c>
      <c r="AI46" t="inlineStr">
        <is>
          <t>Pending Manufacturer Review</t>
        </is>
      </c>
      <c r="AJ46" s="2" t="n">
        <v>5</v>
      </c>
      <c r="AK46" s="2" t="n">
        <v>5</v>
      </c>
      <c r="AM46" t="n">
        <v>743</v>
      </c>
      <c r="AN46" t="inlineStr">
        <is>
          <t>D:\Business Portal\300_Pricing\Legacy\Raw Import Data.xlsx</t>
        </is>
      </c>
      <c r="AO46" t="inlineStr">
        <is>
          <t>37. Raw Import</t>
        </is>
      </c>
      <c r="AP46" t="inlineStr">
        <is>
          <t>MASTER-DEVICES-V1-REVIEW</t>
        </is>
      </c>
      <c r="AS46" s="3" t="n"/>
      <c r="AT46" s="4" t="n"/>
      <c r="AU46" s="4" t="inlineStr">
        <is>
          <t>2025-09-15T23:30:00.212Z</t>
        </is>
      </c>
      <c r="AV46" s="4" t="inlineStr">
        <is>
          <t>2025-09-15T23:30:00.212Z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Yes</t>
        </is>
      </c>
      <c r="D47" t="inlineStr">
        <is>
          <t>Draft</t>
        </is>
      </c>
      <c r="F47" t="inlineStr">
        <is>
          <t>N/A</t>
        </is>
      </c>
      <c r="G47" t="inlineStr">
        <is>
          <t>PHN</t>
        </is>
      </c>
      <c r="H47" t="inlineStr">
        <is>
          <t>Phone</t>
        </is>
      </c>
      <c r="I47" t="inlineStr">
        <is>
          <t>Miscellaneous Device</t>
        </is>
      </c>
      <c r="K47" t="inlineStr">
        <is>
          <t>Pre-Owned iPhone 6S  (Non-Functioning)</t>
        </is>
      </c>
      <c r="L47" t="inlineStr">
        <is>
          <t>Pre-Owned iPhone 6S  (Non-Functioning)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Pending Compatibility Review</t>
        </is>
      </c>
      <c r="AG47" t="inlineStr">
        <is>
          <t>Pending Service Mapping</t>
        </is>
      </c>
      <c r="AH47" t="inlineStr">
        <is>
          <t>Pending Parts Mapping</t>
        </is>
      </c>
      <c r="AI47" t="inlineStr">
        <is>
          <t>Pending Manufacturer Review</t>
        </is>
      </c>
      <c r="AJ47" s="2" t="n">
        <v>5</v>
      </c>
      <c r="AK47" s="2" t="n">
        <v>5</v>
      </c>
      <c r="AM47" t="n">
        <v>744</v>
      </c>
      <c r="AN47" t="inlineStr">
        <is>
          <t>D:\Business Portal\300_Pricing\Legacy\Raw Import Data.xlsx</t>
        </is>
      </c>
      <c r="AO47" t="inlineStr">
        <is>
          <t>37. Raw Import</t>
        </is>
      </c>
      <c r="AP47" t="inlineStr">
        <is>
          <t>MASTER-DEVICES-V1-REVIEW</t>
        </is>
      </c>
      <c r="AS47" s="3" t="n"/>
      <c r="AT47" s="4" t="n"/>
      <c r="AU47" s="4" t="inlineStr">
        <is>
          <t>2025-09-15T23:30:00.212Z</t>
        </is>
      </c>
      <c r="AV47" s="4" t="inlineStr">
        <is>
          <t>2025-09-15T23:30:00.212Z</t>
        </is>
      </c>
    </row>
  </sheetData>
  <autoFilter ref="A1:AV47"/>
  <conditionalFormatting sqref="AF2:AI47">
    <cfRule type="expression" priority="1" dxfId="332">
      <formula>ISNUMBER(SEARCH("Pending",AF2))</formula>
    </cfRule>
  </conditionalFormatting>
  <dataValidations count="14">
    <dataValidation sqref="C2:C47 Z2:AE47" showDropDown="0" showInputMessage="0" showErrorMessage="1" allowBlank="1" errorTitle="Invalid controlled value" error="Select a value from DV_YesNo." type="list">
      <formula1>DV_YesNo</formula1>
    </dataValidation>
    <dataValidation sqref="D2:D47" showDropDown="0" showInputMessage="0" showErrorMessage="1" allowBlank="1" errorTitle="Invalid controlled value" error="Select a value from DV_DeviceStatuses." type="list">
      <formula1>DV_DeviceStatuses</formula1>
    </dataValidation>
    <dataValidation sqref="E2:E47" showDropDown="0" showInputMessage="0" showErrorMessage="1" allowBlank="1" errorTitle="Invalid controlled value" error="Select a value from DV_ManufacturerIDs." type="list">
      <formula1>DV_ManufacturerIDs</formula1>
    </dataValidation>
    <dataValidation sqref="G2:G47" showDropDown="0" showInputMessage="0" showErrorMessage="1" allowBlank="1" errorTitle="Invalid controlled value" error="Select a value from DV_DeviceFamilyCodes." type="list">
      <formula1>DV_DeviceFamilyCodes</formula1>
    </dataValidation>
    <dataValidation sqref="I2:I47" showDropDown="0" showInputMessage="0" showErrorMessage="1" allowBlank="1" errorTitle="Invalid controlled value" error="Select a value from DV_ProductLines." type="list">
      <formula1>DV_ProductLines</formula1>
    </dataValidation>
    <dataValidation sqref="J2:J47" showDropDown="0" showInputMessage="0" showErrorMessage="1" allowBlank="1" errorTitle="Invalid controlled value" error="Select a value from DV_DeviceSeries." type="list">
      <formula1>DV_DeviceSeries</formula1>
    </dataValidation>
    <dataValidation sqref="R2:R47" showDropDown="0" showInputMessage="0" showErrorMessage="1" allowBlank="1" errorTitle="Invalid controlled value" error="Select a value from DV_FormFactors." type="list">
      <formula1>DV_FormFactors</formula1>
    </dataValidation>
    <dataValidation sqref="S2:S47" showDropDown="0" showInputMessage="0" showErrorMessage="1" allowBlank="1" errorTitle="Invalid controlled value" error="Select a value from DV_OperatingSystemFamilies." type="list">
      <formula1>DV_OperatingSystemFamilies</formula1>
    </dataValidation>
    <dataValidation sqref="T2:T47" showDropDown="0" showInputMessage="0" showErrorMessage="1" allowBlank="1" errorTitle="Invalid controlled value" error="Select a value from DV_NetworkTypes." type="list">
      <formula1>DV_NetworkTypes</formula1>
    </dataValidation>
    <dataValidation sqref="AF2:AF47" showDropDown="0" showInputMessage="0" showErrorMessage="1" allowBlank="1" errorTitle="Invalid controlled value" error="Select a value from DV_CompatibilityStatuses." type="list">
      <formula1>DV_CompatibilityStatuses</formula1>
    </dataValidation>
    <dataValidation sqref="AG2:AG47" showDropDown="0" showInputMessage="0" showErrorMessage="1" allowBlank="1" errorTitle="Invalid controlled value" error="Select a value from DV_ServiceMappingStatuses." type="list">
      <formula1>DV_ServiceMappingStatuses</formula1>
    </dataValidation>
    <dataValidation sqref="AH2:AH47" showDropDown="0" showInputMessage="0" showErrorMessage="1" allowBlank="1" errorTitle="Invalid controlled value" error="Select a value from DV_PartsMappingStatuses." type="list">
      <formula1>DV_PartsMappingStatuses</formula1>
    </dataValidation>
    <dataValidation sqref="AI2:AI47" showDropDown="0" showInputMessage="0" showErrorMessage="1" allowBlank="1" errorTitle="Invalid controlled value" error="Select a value from DV_ReviewStatuses." type="list">
      <formula1>DV_ReviewStatuses</formula1>
    </dataValidation>
    <dataValidation sqref="AL2:AL47" showDropDown="0" showInputMessage="0" showErrorMessage="1" allowBlank="1" errorTitle="Invalid controlled value" error="Select a value from DV_Currencies." type="list">
      <formula1>DV_Currencies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style="42" min="1" max="1"/>
    <col width="19" customWidth="1" style="42" min="2" max="2"/>
    <col width="31" customWidth="1" style="42" min="3" max="3"/>
    <col width="12" customWidth="1" style="42" min="4" max="5"/>
  </cols>
  <sheetData>
    <row r="1">
      <c r="A1" s="1" t="inlineStr">
        <is>
          <t>Manufacturer ID</t>
        </is>
      </c>
      <c r="B1" s="1" t="inlineStr">
        <is>
          <t>Manufacturer Name</t>
        </is>
      </c>
      <c r="C1" s="1" t="inlineStr">
        <is>
          <t>Website</t>
        </is>
      </c>
      <c r="D1" s="1" t="inlineStr">
        <is>
          <t>Active</t>
        </is>
      </c>
      <c r="E1" s="1" t="inlineStr">
        <is>
          <t>Notes</t>
        </is>
      </c>
    </row>
    <row r="2">
      <c r="A2" t="inlineStr">
        <is>
          <t>ACE</t>
        </is>
      </c>
      <c r="B2" t="inlineStr">
        <is>
          <t>Acer</t>
        </is>
      </c>
      <c r="C2" t="inlineStr">
        <is>
          <t>https://www.acer.com</t>
        </is>
      </c>
      <c r="D2" t="inlineStr">
        <is>
          <t>Yes</t>
        </is>
      </c>
    </row>
    <row r="3">
      <c r="A3" t="inlineStr">
        <is>
          <t>APL</t>
        </is>
      </c>
      <c r="B3" t="inlineStr">
        <is>
          <t>Apple</t>
        </is>
      </c>
      <c r="C3" t="inlineStr">
        <is>
          <t>https://www.apple.com</t>
        </is>
      </c>
      <c r="D3" t="inlineStr">
        <is>
          <t>Yes</t>
        </is>
      </c>
    </row>
    <row r="4">
      <c r="A4" t="inlineStr">
        <is>
          <t>ALW</t>
        </is>
      </c>
      <c r="B4" t="inlineStr">
        <is>
          <t>Alienware</t>
        </is>
      </c>
      <c r="C4" t="inlineStr">
        <is>
          <t>https://www.alienware.com</t>
        </is>
      </c>
      <c r="D4" t="inlineStr">
        <is>
          <t>Yes</t>
        </is>
      </c>
    </row>
    <row r="5">
      <c r="A5" t="inlineStr">
        <is>
          <t>AMZ</t>
        </is>
      </c>
      <c r="B5" t="inlineStr">
        <is>
          <t>Amazon</t>
        </is>
      </c>
      <c r="C5" t="inlineStr">
        <is>
          <t>https://www.amazon.com</t>
        </is>
      </c>
      <c r="D5" t="inlineStr">
        <is>
          <t>Yes</t>
        </is>
      </c>
    </row>
    <row r="6">
      <c r="A6" t="inlineStr">
        <is>
          <t>ASU</t>
        </is>
      </c>
      <c r="B6" t="inlineStr">
        <is>
          <t>Asus</t>
        </is>
      </c>
      <c r="C6" t="inlineStr">
        <is>
          <t>https://www.asus.com</t>
        </is>
      </c>
      <c r="D6" t="inlineStr">
        <is>
          <t>Yes</t>
        </is>
      </c>
    </row>
    <row r="7">
      <c r="A7" t="inlineStr">
        <is>
          <t>DEL</t>
        </is>
      </c>
      <c r="B7" t="inlineStr">
        <is>
          <t>Dell</t>
        </is>
      </c>
      <c r="C7" t="inlineStr">
        <is>
          <t>https://www.dell.com</t>
        </is>
      </c>
      <c r="D7" t="inlineStr">
        <is>
          <t>Yes</t>
        </is>
      </c>
    </row>
    <row r="8">
      <c r="A8" t="inlineStr">
        <is>
          <t>FIT</t>
        </is>
      </c>
      <c r="B8" t="inlineStr">
        <is>
          <t>Fitbit</t>
        </is>
      </c>
      <c r="C8" t="inlineStr">
        <is>
          <t>https://www.fitbit.com</t>
        </is>
      </c>
      <c r="D8" t="inlineStr">
        <is>
          <t>Yes</t>
        </is>
      </c>
    </row>
    <row r="9">
      <c r="A9" t="inlineStr">
        <is>
          <t>FRM</t>
        </is>
      </c>
      <c r="B9" t="inlineStr">
        <is>
          <t>Framework</t>
        </is>
      </c>
      <c r="C9" t="inlineStr">
        <is>
          <t>https://frame.work</t>
        </is>
      </c>
      <c r="D9" t="inlineStr">
        <is>
          <t>Yes</t>
        </is>
      </c>
    </row>
    <row r="10">
      <c r="A10" t="inlineStr">
        <is>
          <t>GAR</t>
        </is>
      </c>
      <c r="B10" t="inlineStr">
        <is>
          <t>Garmin</t>
        </is>
      </c>
      <c r="C10" t="inlineStr">
        <is>
          <t>https://www.garmin.com</t>
        </is>
      </c>
      <c r="D10" t="inlineStr">
        <is>
          <t>Yes</t>
        </is>
      </c>
    </row>
    <row r="11">
      <c r="A11" t="inlineStr">
        <is>
          <t>GOO</t>
        </is>
      </c>
      <c r="B11" t="inlineStr">
        <is>
          <t>Google</t>
        </is>
      </c>
      <c r="C11" t="inlineStr">
        <is>
          <t>https://store.google.com</t>
        </is>
      </c>
      <c r="D11" t="inlineStr">
        <is>
          <t>Yes</t>
        </is>
      </c>
    </row>
    <row r="12">
      <c r="A12" t="inlineStr">
        <is>
          <t>HMD</t>
        </is>
      </c>
      <c r="B12" t="inlineStr">
        <is>
          <t>HMD</t>
        </is>
      </c>
      <c r="C12" t="inlineStr">
        <is>
          <t>https://www.hmd.com</t>
        </is>
      </c>
      <c r="D12" t="inlineStr">
        <is>
          <t>Yes</t>
        </is>
      </c>
    </row>
    <row r="13">
      <c r="A13" t="inlineStr">
        <is>
          <t>HON</t>
        </is>
      </c>
      <c r="B13" t="inlineStr">
        <is>
          <t>Honor</t>
        </is>
      </c>
      <c r="C13" t="inlineStr">
        <is>
          <t>https://www.honor.com</t>
        </is>
      </c>
      <c r="D13" t="inlineStr">
        <is>
          <t>Yes</t>
        </is>
      </c>
    </row>
    <row r="14">
      <c r="A14" t="inlineStr">
        <is>
          <t>HWP</t>
        </is>
      </c>
      <c r="B14" t="inlineStr">
        <is>
          <t>HP</t>
        </is>
      </c>
      <c r="C14" t="inlineStr">
        <is>
          <t>https://www.hp.com</t>
        </is>
      </c>
      <c r="D14" t="inlineStr">
        <is>
          <t>Yes</t>
        </is>
      </c>
    </row>
    <row r="15">
      <c r="A15" t="inlineStr">
        <is>
          <t>HUA</t>
        </is>
      </c>
      <c r="B15" t="inlineStr">
        <is>
          <t>Huawei</t>
        </is>
      </c>
      <c r="C15" t="inlineStr">
        <is>
          <t>https://consumer.huawei.com</t>
        </is>
      </c>
      <c r="D15" t="inlineStr">
        <is>
          <t>Yes</t>
        </is>
      </c>
    </row>
    <row r="16">
      <c r="A16" t="inlineStr">
        <is>
          <t>IQO</t>
        </is>
      </c>
      <c r="B16" t="inlineStr">
        <is>
          <t>iQOO</t>
        </is>
      </c>
      <c r="C16" t="inlineStr">
        <is>
          <t>https://www.iqoo.com</t>
        </is>
      </c>
      <c r="D16" t="inlineStr">
        <is>
          <t>Yes</t>
        </is>
      </c>
    </row>
    <row r="17">
      <c r="A17" t="inlineStr">
        <is>
          <t>LEN</t>
        </is>
      </c>
      <c r="B17" t="inlineStr">
        <is>
          <t>Lenovo</t>
        </is>
      </c>
      <c r="C17" t="inlineStr">
        <is>
          <t>https://www.lenovo.com</t>
        </is>
      </c>
      <c r="D17" t="inlineStr">
        <is>
          <t>Yes</t>
        </is>
      </c>
    </row>
    <row r="18">
      <c r="A18" t="inlineStr">
        <is>
          <t>LGE</t>
        </is>
      </c>
      <c r="B18" t="inlineStr">
        <is>
          <t>LG</t>
        </is>
      </c>
      <c r="C18" t="inlineStr">
        <is>
          <t>https://www.lg.com</t>
        </is>
      </c>
      <c r="D18" t="inlineStr">
        <is>
          <t>Yes</t>
        </is>
      </c>
    </row>
    <row r="19">
      <c r="A19" t="inlineStr">
        <is>
          <t>MSF</t>
        </is>
      </c>
      <c r="B19" t="inlineStr">
        <is>
          <t>Microsoft</t>
        </is>
      </c>
      <c r="C19" t="inlineStr">
        <is>
          <t>https://www.microsoft.com</t>
        </is>
      </c>
      <c r="D19" t="inlineStr">
        <is>
          <t>Yes</t>
        </is>
      </c>
    </row>
    <row r="20">
      <c r="A20" t="inlineStr">
        <is>
          <t>MOT</t>
        </is>
      </c>
      <c r="B20" t="inlineStr">
        <is>
          <t>Motorola</t>
        </is>
      </c>
      <c r="C20" t="inlineStr">
        <is>
          <t>https://www.motorola.com</t>
        </is>
      </c>
      <c r="D20" t="inlineStr">
        <is>
          <t>Yes</t>
        </is>
      </c>
    </row>
    <row r="21">
      <c r="A21" t="inlineStr">
        <is>
          <t>MSI</t>
        </is>
      </c>
      <c r="B21" t="inlineStr">
        <is>
          <t>MSI</t>
        </is>
      </c>
      <c r="C21" t="inlineStr">
        <is>
          <t>https://www.msi.com</t>
        </is>
      </c>
      <c r="D21" t="inlineStr">
        <is>
          <t>Yes</t>
        </is>
      </c>
    </row>
    <row r="22">
      <c r="A22" t="inlineStr">
        <is>
          <t>NTD</t>
        </is>
      </c>
      <c r="B22" t="inlineStr">
        <is>
          <t>Nintendo</t>
        </is>
      </c>
      <c r="C22" t="inlineStr">
        <is>
          <t>https://www.nintendo.com</t>
        </is>
      </c>
      <c r="D22" t="inlineStr">
        <is>
          <t>Yes</t>
        </is>
      </c>
    </row>
    <row r="23">
      <c r="A23" t="inlineStr">
        <is>
          <t>NOK</t>
        </is>
      </c>
      <c r="B23" t="inlineStr">
        <is>
          <t>Nokia</t>
        </is>
      </c>
      <c r="C23" t="inlineStr">
        <is>
          <t>https://www.nokia.com</t>
        </is>
      </c>
      <c r="D23" t="inlineStr">
        <is>
          <t>Yes</t>
        </is>
      </c>
    </row>
    <row r="24">
      <c r="A24" t="inlineStr">
        <is>
          <t>NTH</t>
        </is>
      </c>
      <c r="B24" t="inlineStr">
        <is>
          <t>Nothing</t>
        </is>
      </c>
      <c r="C24" t="inlineStr">
        <is>
          <t>https://nothing.tech</t>
        </is>
      </c>
      <c r="D24" t="inlineStr">
        <is>
          <t>Yes</t>
        </is>
      </c>
    </row>
    <row r="25">
      <c r="A25" t="inlineStr">
        <is>
          <t>NUB</t>
        </is>
      </c>
      <c r="B25" t="inlineStr">
        <is>
          <t>Nubia</t>
        </is>
      </c>
      <c r="C25" t="inlineStr">
        <is>
          <t>https://global.nubia.com</t>
        </is>
      </c>
      <c r="D25" t="inlineStr">
        <is>
          <t>Yes</t>
        </is>
      </c>
    </row>
    <row r="26">
      <c r="A26" t="inlineStr">
        <is>
          <t>ONE</t>
        </is>
      </c>
      <c r="B26" t="inlineStr">
        <is>
          <t>OnePlus</t>
        </is>
      </c>
      <c r="C26" t="inlineStr">
        <is>
          <t>https://www.oneplus.com</t>
        </is>
      </c>
      <c r="D26" t="inlineStr">
        <is>
          <t>Yes</t>
        </is>
      </c>
    </row>
    <row r="27">
      <c r="A27" t="inlineStr">
        <is>
          <t>OPP</t>
        </is>
      </c>
      <c r="B27" t="inlineStr">
        <is>
          <t>OPPO</t>
        </is>
      </c>
      <c r="C27" t="inlineStr">
        <is>
          <t>https://www.oppo.com</t>
        </is>
      </c>
      <c r="D27" t="inlineStr">
        <is>
          <t>Yes</t>
        </is>
      </c>
    </row>
    <row r="28">
      <c r="A28" t="inlineStr">
        <is>
          <t>RAZ</t>
        </is>
      </c>
      <c r="B28" t="inlineStr">
        <is>
          <t>Razer</t>
        </is>
      </c>
      <c r="C28" t="inlineStr">
        <is>
          <t>https://www.razer.com</t>
        </is>
      </c>
      <c r="D28" t="inlineStr">
        <is>
          <t>Yes</t>
        </is>
      </c>
    </row>
    <row r="29">
      <c r="A29" t="inlineStr">
        <is>
          <t>RLM</t>
        </is>
      </c>
      <c r="B29" t="inlineStr">
        <is>
          <t>Realme</t>
        </is>
      </c>
      <c r="C29" t="inlineStr">
        <is>
          <t>https://www.realme.com</t>
        </is>
      </c>
      <c r="D29" t="inlineStr">
        <is>
          <t>Yes</t>
        </is>
      </c>
    </row>
    <row r="30">
      <c r="A30" t="inlineStr">
        <is>
          <t>SAM</t>
        </is>
      </c>
      <c r="B30" t="inlineStr">
        <is>
          <t>Samsung</t>
        </is>
      </c>
      <c r="C30" t="inlineStr">
        <is>
          <t>https://www.samsung.com</t>
        </is>
      </c>
      <c r="D30" t="inlineStr">
        <is>
          <t>Yes</t>
        </is>
      </c>
    </row>
    <row r="31">
      <c r="A31" t="inlineStr">
        <is>
          <t>SNY</t>
        </is>
      </c>
      <c r="B31" t="inlineStr">
        <is>
          <t>Sony</t>
        </is>
      </c>
      <c r="C31" t="inlineStr">
        <is>
          <t>https://www.sony.com</t>
        </is>
      </c>
      <c r="D31" t="inlineStr">
        <is>
          <t>Yes</t>
        </is>
      </c>
    </row>
    <row r="32">
      <c r="A32" t="inlineStr">
        <is>
          <t>STL</t>
        </is>
      </c>
      <c r="B32" t="inlineStr">
        <is>
          <t>Starlink</t>
        </is>
      </c>
      <c r="C32" t="inlineStr">
        <is>
          <t>https://www.starlink.com</t>
        </is>
      </c>
      <c r="D32" t="inlineStr">
        <is>
          <t>Yes</t>
        </is>
      </c>
    </row>
    <row r="33">
      <c r="A33" t="inlineStr">
        <is>
          <t>XIA</t>
        </is>
      </c>
      <c r="B33" t="inlineStr">
        <is>
          <t>Xiaomi</t>
        </is>
      </c>
      <c r="C33" t="inlineStr">
        <is>
          <t>https://www.mi.com</t>
        </is>
      </c>
      <c r="D33" t="inlineStr">
        <is>
          <t>Yes</t>
        </is>
      </c>
    </row>
    <row r="34">
      <c r="A34" t="inlineStr">
        <is>
          <t>VAL</t>
        </is>
      </c>
      <c r="B34" t="inlineStr">
        <is>
          <t>Valve</t>
        </is>
      </c>
      <c r="C34" t="inlineStr">
        <is>
          <t>https://www.valvesoftware.com</t>
        </is>
      </c>
      <c r="D34" t="inlineStr">
        <is>
          <t>Yes</t>
        </is>
      </c>
    </row>
    <row r="35">
      <c r="A35" t="inlineStr">
        <is>
          <t>VIV</t>
        </is>
      </c>
      <c r="B35" t="inlineStr">
        <is>
          <t>Vivo</t>
        </is>
      </c>
      <c r="C35" t="inlineStr">
        <is>
          <t>https://www.vivo.com</t>
        </is>
      </c>
      <c r="D35" t="inlineStr">
        <is>
          <t>Yes</t>
        </is>
      </c>
    </row>
    <row r="36">
      <c r="A36" t="inlineStr">
        <is>
          <t>ZTE</t>
        </is>
      </c>
      <c r="B36" t="inlineStr">
        <is>
          <t>ZTE</t>
        </is>
      </c>
      <c r="C36" t="inlineStr">
        <is>
          <t>https://www.zte.com.cn</t>
        </is>
      </c>
      <c r="D36" t="inlineStr">
        <is>
          <t>Yes</t>
        </is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style="42" min="1" max="2"/>
    <col width="34" customWidth="1" style="42" min="3" max="3"/>
    <col width="12" customWidth="1" style="42" min="4" max="4"/>
  </cols>
  <sheetData>
    <row r="1">
      <c r="A1" s="1" t="inlineStr">
        <is>
          <t>Device Family Code</t>
        </is>
      </c>
      <c r="B1" s="1" t="inlineStr">
        <is>
          <t>Device Family 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PHN</t>
        </is>
      </c>
      <c r="B2" t="inlineStr">
        <is>
          <t>Phone</t>
        </is>
      </c>
      <c r="C2" t="inlineStr">
        <is>
          <t>Smartphones and Mobile Phones</t>
        </is>
      </c>
      <c r="D2" t="inlineStr">
        <is>
          <t>Yes</t>
        </is>
      </c>
    </row>
    <row r="3">
      <c r="A3" t="inlineStr">
        <is>
          <t>TAB</t>
        </is>
      </c>
      <c r="B3" t="inlineStr">
        <is>
          <t>Tablet</t>
        </is>
      </c>
      <c r="C3" t="inlineStr">
        <is>
          <t>Tablets and eReaders</t>
        </is>
      </c>
      <c r="D3" t="inlineStr">
        <is>
          <t>Yes</t>
        </is>
      </c>
    </row>
    <row r="4">
      <c r="A4" t="inlineStr">
        <is>
          <t>CMP</t>
        </is>
      </c>
      <c r="B4" t="inlineStr">
        <is>
          <t>Computer</t>
        </is>
      </c>
      <c r="C4" t="inlineStr">
        <is>
          <t>Laptops, desktops, AIOs</t>
        </is>
      </c>
      <c r="D4" t="inlineStr">
        <is>
          <t>Yes</t>
        </is>
      </c>
    </row>
    <row r="5">
      <c r="A5" t="inlineStr">
        <is>
          <t>WEAR</t>
        </is>
      </c>
      <c r="B5" t="inlineStr">
        <is>
          <t>Wearable</t>
        </is>
      </c>
      <c r="C5" t="inlineStr">
        <is>
          <t>Smartwatches and wearables</t>
        </is>
      </c>
      <c r="D5" t="inlineStr">
        <is>
          <t>Yes</t>
        </is>
      </c>
    </row>
    <row r="6">
      <c r="A6" t="inlineStr">
        <is>
          <t>GAM</t>
        </is>
      </c>
      <c r="B6" t="inlineStr">
        <is>
          <t>Gaming</t>
        </is>
      </c>
      <c r="C6" t="inlineStr">
        <is>
          <t>Consoles, and handheld gaming</t>
        </is>
      </c>
      <c r="D6" t="inlineStr">
        <is>
          <t>Yes</t>
        </is>
      </c>
    </row>
    <row r="7">
      <c r="A7" t="inlineStr">
        <is>
          <t>ACC</t>
        </is>
      </c>
      <c r="B7" t="inlineStr">
        <is>
          <t>Accessory</t>
        </is>
      </c>
      <c r="C7" t="inlineStr">
        <is>
          <t>Chargers, docks, keyboards, etc.</t>
        </is>
      </c>
      <c r="D7" t="inlineStr">
        <is>
          <t>Yes</t>
        </is>
      </c>
    </row>
    <row r="8">
      <c r="A8" t="inlineStr">
        <is>
          <t>OTH</t>
        </is>
      </c>
      <c r="B8" t="inlineStr">
        <is>
          <t>Other</t>
        </is>
      </c>
      <c r="C8" t="inlineStr">
        <is>
          <t>TV Devices, Other hardware devices not listed</t>
        </is>
      </c>
      <c r="D8" t="inlineStr">
        <is>
          <t>Yes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42" min="1" max="1"/>
    <col width="12" customWidth="1" style="42" min="2" max="2"/>
    <col width="26" customWidth="1" style="42" min="3" max="3"/>
  </cols>
  <sheetData>
    <row r="1">
      <c r="A1" s="1" t="inlineStr">
        <is>
          <t>Product Line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Apple</t>
        </is>
      </c>
      <c r="B2" t="inlineStr">
        <is>
          <t>Proposed</t>
        </is>
      </c>
      <c r="C2" t="inlineStr">
        <is>
          <t>Legacy Group observation</t>
        </is>
      </c>
    </row>
    <row r="3">
      <c r="A3" t="inlineStr">
        <is>
          <t>Misc Phones</t>
        </is>
      </c>
      <c r="B3" t="inlineStr">
        <is>
          <t>Proposed</t>
        </is>
      </c>
      <c r="C3" t="inlineStr">
        <is>
          <t>Legacy Group observation</t>
        </is>
      </c>
    </row>
    <row r="4">
      <c r="A4" t="inlineStr">
        <is>
          <t>Miscellaneous Device</t>
        </is>
      </c>
      <c r="B4" t="inlineStr">
        <is>
          <t>Proposed</t>
        </is>
      </c>
      <c r="C4" t="inlineStr">
        <is>
          <t>Legacy Group observation</t>
        </is>
      </c>
    </row>
    <row r="5">
      <c r="A5" t="inlineStr">
        <is>
          <t>Motorola</t>
        </is>
      </c>
      <c r="B5" t="inlineStr">
        <is>
          <t>Proposed</t>
        </is>
      </c>
      <c r="C5" t="inlineStr">
        <is>
          <t>Legacy Group observation</t>
        </is>
      </c>
    </row>
    <row r="6">
      <c r="A6" t="inlineStr">
        <is>
          <t>Samsung</t>
        </is>
      </c>
      <c r="B6" t="inlineStr">
        <is>
          <t>Proposed</t>
        </is>
      </c>
      <c r="C6" t="inlineStr">
        <is>
          <t>Legacy Group observation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Device Series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series is generated automatically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Form Factor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form factor is generated automatically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Operating System Family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OS is generated automatically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Network Type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network type is generated automatically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29" customWidth="1" style="42" min="2" max="2"/>
    <col width="30" customWidth="1" style="42" min="3" max="3"/>
    <col width="27" customWidth="1" style="42" min="4" max="4"/>
    <col width="24" customWidth="1" style="42" min="5" max="5"/>
    <col width="12" customWidth="1" style="42" min="6" max="7"/>
  </cols>
  <sheetData>
    <row r="1">
      <c r="A1" s="1" t="inlineStr">
        <is>
          <t>Device Status</t>
        </is>
      </c>
      <c r="B1" s="1" t="inlineStr">
        <is>
          <t>Review Status</t>
        </is>
      </c>
      <c r="C1" s="1" t="inlineStr">
        <is>
          <t>Compatibility Status</t>
        </is>
      </c>
      <c r="D1" s="1" t="inlineStr">
        <is>
          <t>Service Mapping Status</t>
        </is>
      </c>
      <c r="E1" s="1" t="inlineStr">
        <is>
          <t>Parts Mapping Status</t>
        </is>
      </c>
      <c r="F1" s="1" t="inlineStr">
        <is>
          <t>Yes/No</t>
        </is>
      </c>
      <c r="G1" s="1" t="inlineStr">
        <is>
          <t>Currency</t>
        </is>
      </c>
    </row>
    <row r="2">
      <c r="A2" t="inlineStr">
        <is>
          <t>Draft</t>
        </is>
      </c>
      <c r="B2" t="inlineStr">
        <is>
          <t>Pending Review</t>
        </is>
      </c>
      <c r="C2" t="inlineStr">
        <is>
          <t>Pending Compatibility Review</t>
        </is>
      </c>
      <c r="D2" t="inlineStr">
        <is>
          <t>Pending Service Mapping</t>
        </is>
      </c>
      <c r="E2" t="inlineStr">
        <is>
          <t>Pending Parts Mapping</t>
        </is>
      </c>
      <c r="F2" t="inlineStr">
        <is>
          <t>Yes</t>
        </is>
      </c>
      <c r="G2" t="inlineStr">
        <is>
          <t>USD</t>
        </is>
      </c>
    </row>
    <row r="3">
      <c r="A3" t="inlineStr">
        <is>
          <t>Active</t>
        </is>
      </c>
      <c r="B3" t="inlineStr">
        <is>
          <t>Pending Manufacturer Review</t>
        </is>
      </c>
      <c r="C3" t="inlineStr">
        <is>
          <t>Family-Level Only</t>
        </is>
      </c>
      <c r="D3" t="inlineStr">
        <is>
          <t>Family Services Available</t>
        </is>
      </c>
      <c r="E3" t="inlineStr">
        <is>
          <t>Family Parts Available</t>
        </is>
      </c>
      <c r="F3" t="inlineStr">
        <is>
          <t>No</t>
        </is>
      </c>
    </row>
    <row r="4">
      <c r="A4" t="inlineStr">
        <is>
          <t>Planned</t>
        </is>
      </c>
      <c r="B4" t="inlineStr">
        <is>
          <t>Pending Family Review</t>
        </is>
      </c>
      <c r="C4" t="inlineStr">
        <is>
          <t>Model-Level Proposed</t>
        </is>
      </c>
      <c r="D4" t="inlineStr">
        <is>
          <t>Model Services Proposed</t>
        </is>
      </c>
      <c r="E4" t="inlineStr">
        <is>
          <t>Model Parts Proposed</t>
        </is>
      </c>
    </row>
    <row r="5">
      <c r="A5" t="inlineStr">
        <is>
          <t>Future</t>
        </is>
      </c>
      <c r="B5" t="inlineStr">
        <is>
          <t>Pending Identity Review</t>
        </is>
      </c>
      <c r="C5" t="inlineStr">
        <is>
          <t>Variant-Level Proposed</t>
        </is>
      </c>
      <c r="D5" t="inlineStr">
        <is>
          <t>Complete</t>
        </is>
      </c>
      <c r="E5" t="inlineStr">
        <is>
          <t>Complete</t>
        </is>
      </c>
    </row>
    <row r="6">
      <c r="A6" t="inlineStr">
        <is>
          <t>Discontinued</t>
        </is>
      </c>
      <c r="B6" t="inlineStr">
        <is>
          <t>Pending Relationship Review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</row>
    <row r="7">
      <c r="A7" t="inlineStr">
        <is>
          <t>Archived</t>
        </is>
      </c>
      <c r="B7" t="inlineStr">
        <is>
          <t>Ready for Approval</t>
        </is>
      </c>
      <c r="C7" t="inlineStr">
        <is>
          <t>Approved</t>
        </is>
      </c>
      <c r="D7" t="inlineStr">
        <is>
          <t>Approved</t>
        </is>
      </c>
      <c r="E7" t="inlineStr">
        <is>
          <t>Approved</t>
        </is>
      </c>
    </row>
    <row r="8">
      <c r="A8" t="inlineStr">
        <is>
          <t>Rejected</t>
        </is>
      </c>
      <c r="B8" t="inlineStr">
        <is>
          <t>Approved</t>
        </is>
      </c>
      <c r="C8" t="inlineStr">
        <is>
          <t>Rejected</t>
        </is>
      </c>
      <c r="D8" t="inlineStr">
        <is>
          <t>Rejected</t>
        </is>
      </c>
      <c r="E8" t="inlineStr">
        <is>
          <t>Rejected</t>
        </is>
      </c>
    </row>
    <row r="9">
      <c r="B9" t="inlineStr">
        <is>
          <t>Rejected</t>
        </is>
      </c>
    </row>
    <row r="10">
      <c r="B10" t="inlineStr">
        <is>
          <t>Archived</t>
        </is>
      </c>
    </row>
  </sheetData>
  <autoFilter ref="A1:G10"/>
  <conditionalFormatting sqref="B2:E10">
    <cfRule type="expression" priority="1" dxfId="332">
      <formula>ISNUMBER(SEARCH("Pending",B2))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19" customWidth="1" style="42" min="2" max="3"/>
    <col width="20" customWidth="1" style="42" min="4" max="4"/>
    <col width="22" customWidth="1" style="42" min="5" max="5"/>
    <col width="15" customWidth="1" style="42" min="6" max="6"/>
    <col width="34" customWidth="1" style="42" min="7" max="7"/>
    <col width="14" customWidth="1" style="42" min="8" max="8"/>
    <col width="12" customWidth="1" style="42" min="9" max="9"/>
    <col width="34" customWidth="1" style="42" min="10" max="12"/>
    <col width="29" customWidth="1" style="42" min="13" max="13"/>
    <col width="16" customWidth="1" style="42" min="14" max="14"/>
  </cols>
  <sheetData>
    <row r="1">
      <c r="A1" s="1" t="inlineStr">
        <is>
          <t>Device ID</t>
        </is>
      </c>
      <c r="B1" s="1" t="inlineStr">
        <is>
          <t>Legacy Device SKU</t>
        </is>
      </c>
      <c r="C1" s="1" t="inlineStr">
        <is>
          <t>Manufacturer Name</t>
        </is>
      </c>
      <c r="D1" s="1" t="inlineStr">
        <is>
          <t>Device Family Name</t>
        </is>
      </c>
      <c r="E1" s="1" t="inlineStr">
        <is>
          <t>Product Line</t>
        </is>
      </c>
      <c r="F1" s="1" t="inlineStr">
        <is>
          <t>Device Series</t>
        </is>
      </c>
      <c r="G1" s="1" t="inlineStr">
        <is>
          <t>Device Name</t>
        </is>
      </c>
      <c r="H1" s="1" t="inlineStr">
        <is>
          <t>Model Number</t>
        </is>
      </c>
      <c r="I1" s="1" t="inlineStr">
        <is>
          <t>Variant</t>
        </is>
      </c>
      <c r="J1" s="1" t="inlineStr">
        <is>
          <t>Missing Identity Inputs</t>
        </is>
      </c>
      <c r="K1" s="1" t="inlineStr">
        <is>
          <t>Identity Concern</t>
        </is>
      </c>
      <c r="L1" s="1" t="inlineStr">
        <is>
          <t>Required Action</t>
        </is>
      </c>
      <c r="M1" s="1" t="inlineStr">
        <is>
          <t>Review Status</t>
        </is>
      </c>
      <c r="N1" s="1" t="inlineStr">
        <is>
          <t>Reviewer Notes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iPhone</t>
        </is>
      </c>
      <c r="D2" t="inlineStr">
        <is>
          <t>Phone</t>
        </is>
      </c>
      <c r="E2" t="inlineStr">
        <is>
          <t>Apple</t>
        </is>
      </c>
      <c r="G2" t="inlineStr">
        <is>
          <t>6 Plus Space Grey - A1522</t>
        </is>
      </c>
      <c r="J2" t="inlineStr">
        <is>
          <t>Manufacturer ID; Device Series; Model Number; Variant</t>
        </is>
      </c>
      <c r="K2" t="inlineStr">
        <is>
          <t>Legacy identity requires canonical model and variant review</t>
        </is>
      </c>
      <c r="L2" t="inlineStr">
        <is>
          <t>Confirm manufacturer, family, product line, model, and variant</t>
        </is>
      </c>
      <c r="M2" t="inlineStr">
        <is>
          <t>Pending Manufacturer Review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iPhone</t>
        </is>
      </c>
      <c r="D3" t="inlineStr">
        <is>
          <t>Phone</t>
        </is>
      </c>
      <c r="E3" t="inlineStr">
        <is>
          <t>Apple</t>
        </is>
      </c>
      <c r="G3" t="inlineStr">
        <is>
          <t>8 White</t>
        </is>
      </c>
      <c r="J3" t="inlineStr">
        <is>
          <t>Manufacturer ID; Device Series; Model Number; Variant</t>
        </is>
      </c>
      <c r="K3" t="inlineStr">
        <is>
          <t>Legacy identity requires canonical model and variant review</t>
        </is>
      </c>
      <c r="L3" t="inlineStr">
        <is>
          <t>Confirm manufacturer, family, product line, model, and variant</t>
        </is>
      </c>
      <c r="M3" t="inlineStr">
        <is>
          <t>Pending Manufacturer Review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iPhone</t>
        </is>
      </c>
      <c r="D4" t="inlineStr">
        <is>
          <t>Phone</t>
        </is>
      </c>
      <c r="E4" t="inlineStr">
        <is>
          <t>Apple</t>
        </is>
      </c>
      <c r="G4" t="inlineStr">
        <is>
          <t>SE A2275</t>
        </is>
      </c>
      <c r="J4" t="inlineStr">
        <is>
          <t>Manufacturer ID; Device Series; Model Number; Variant</t>
        </is>
      </c>
      <c r="K4" t="inlineStr">
        <is>
          <t>Legacy identity requires canonical model and variant review</t>
        </is>
      </c>
      <c r="L4" t="inlineStr">
        <is>
          <t>Confirm manufacturer, family, product line, model, and variant</t>
        </is>
      </c>
      <c r="M4" t="inlineStr">
        <is>
          <t>Pending Manufacturer Review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iPhone</t>
        </is>
      </c>
      <c r="D5" t="inlineStr">
        <is>
          <t>Phone</t>
        </is>
      </c>
      <c r="E5" t="inlineStr">
        <is>
          <t>Apple</t>
        </is>
      </c>
      <c r="G5" t="inlineStr">
        <is>
          <t>A1688-Silver</t>
        </is>
      </c>
      <c r="J5" t="inlineStr">
        <is>
          <t>Manufacturer ID; Device Series; Model Number; Variant</t>
        </is>
      </c>
      <c r="K5" t="inlineStr">
        <is>
          <t>Legacy identity requires canonical model and variant review</t>
        </is>
      </c>
      <c r="L5" t="inlineStr">
        <is>
          <t>Confirm manufacturer, family, product line, model, and variant</t>
        </is>
      </c>
      <c r="M5" t="inlineStr">
        <is>
          <t>Pending Manufacturer Review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iPhone</t>
        </is>
      </c>
      <c r="D6" t="inlineStr">
        <is>
          <t>Phone</t>
        </is>
      </c>
      <c r="E6" t="inlineStr">
        <is>
          <t>Apple</t>
        </is>
      </c>
      <c r="G6" t="inlineStr">
        <is>
          <t>A1784 Black</t>
        </is>
      </c>
      <c r="J6" t="inlineStr">
        <is>
          <t>Manufacturer ID; Device Series; Model Number; Variant</t>
        </is>
      </c>
      <c r="K6" t="inlineStr">
        <is>
          <t>Legacy identity requires canonical model and variant review</t>
        </is>
      </c>
      <c r="L6" t="inlineStr">
        <is>
          <t>Confirm manufacturer, family, product line, model, and variant</t>
        </is>
      </c>
      <c r="M6" t="inlineStr">
        <is>
          <t>Pending Manufacturer Review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iPhone</t>
        </is>
      </c>
      <c r="D7" t="inlineStr">
        <is>
          <t>Phone</t>
        </is>
      </c>
      <c r="E7" t="inlineStr">
        <is>
          <t>Apple</t>
        </is>
      </c>
      <c r="G7" t="inlineStr">
        <is>
          <t>5C White - A1532</t>
        </is>
      </c>
      <c r="J7" t="inlineStr">
        <is>
          <t>Manufacturer ID; Device Series; Model Number; Variant</t>
        </is>
      </c>
      <c r="K7" t="inlineStr">
        <is>
          <t>Legacy identity requires canonical model and variant review</t>
        </is>
      </c>
      <c r="L7" t="inlineStr">
        <is>
          <t>Confirm manufacturer, family, product line, model, and variant</t>
        </is>
      </c>
      <c r="M7" t="inlineStr">
        <is>
          <t>Pending Manufacturer Review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iPhone</t>
        </is>
      </c>
      <c r="D8" t="inlineStr">
        <is>
          <t>Phone</t>
        </is>
      </c>
      <c r="E8" t="inlineStr">
        <is>
          <t>Apple</t>
        </is>
      </c>
      <c r="G8" t="inlineStr">
        <is>
          <t>7 A1778 Black</t>
        </is>
      </c>
      <c r="J8" t="inlineStr">
        <is>
          <t>Manufacturer ID; Device Series; Model Number; Variant</t>
        </is>
      </c>
      <c r="K8" t="inlineStr">
        <is>
          <t>Legacy identity requires canonical model and variant review</t>
        </is>
      </c>
      <c r="L8" t="inlineStr">
        <is>
          <t>Confirm manufacturer, family, product line, model, and variant</t>
        </is>
      </c>
      <c r="M8" t="inlineStr">
        <is>
          <t>Pending Manufacturer Review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iPhone</t>
        </is>
      </c>
      <c r="D9" t="inlineStr">
        <is>
          <t>Phone</t>
        </is>
      </c>
      <c r="E9" t="inlineStr">
        <is>
          <t>Apple</t>
        </is>
      </c>
      <c r="G9" t="inlineStr">
        <is>
          <t>6 A1585 Gold</t>
        </is>
      </c>
      <c r="J9" t="inlineStr">
        <is>
          <t>Manufacturer ID; Device Series; Model Number; Variant</t>
        </is>
      </c>
      <c r="K9" t="inlineStr">
        <is>
          <t>Legacy identity requires canonical model and variant review</t>
        </is>
      </c>
      <c r="L9" t="inlineStr">
        <is>
          <t>Confirm manufacturer, family, product line, model, and variant</t>
        </is>
      </c>
      <c r="M9" t="inlineStr">
        <is>
          <t>Pending Manufacturer Review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iPhone</t>
        </is>
      </c>
      <c r="D10" t="inlineStr">
        <is>
          <t>Phone</t>
        </is>
      </c>
      <c r="E10" t="inlineStr">
        <is>
          <t>Apple</t>
        </is>
      </c>
      <c r="G10" t="inlineStr">
        <is>
          <t>7 Red/White A1660</t>
        </is>
      </c>
      <c r="J10" t="inlineStr">
        <is>
          <t>Manufacturer ID; Device Series; Model Number; Variant</t>
        </is>
      </c>
      <c r="K10" t="inlineStr">
        <is>
          <t>Legacy identity requires canonical model and variant review</t>
        </is>
      </c>
      <c r="L10" t="inlineStr">
        <is>
          <t>Confirm manufacturer, family, product line, model, and variant</t>
        </is>
      </c>
      <c r="M10" t="inlineStr">
        <is>
          <t>Pending Manufacturer Review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iPhone</t>
        </is>
      </c>
      <c r="D11" t="inlineStr">
        <is>
          <t>Phone</t>
        </is>
      </c>
      <c r="E11" t="inlineStr">
        <is>
          <t>Apple</t>
        </is>
      </c>
      <c r="G11" t="inlineStr">
        <is>
          <t>5S - A1533</t>
        </is>
      </c>
      <c r="J11" t="inlineStr">
        <is>
          <t>Manufacturer ID; Device Series; Model Number; Variant</t>
        </is>
      </c>
      <c r="K11" t="inlineStr">
        <is>
          <t>Legacy identity requires canonical model and variant review</t>
        </is>
      </c>
      <c r="L11" t="inlineStr">
        <is>
          <t>Confirm manufacturer, family, product line, model, and variant</t>
        </is>
      </c>
      <c r="M11" t="inlineStr">
        <is>
          <t>Pending Manufacturer Review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Galaxy</t>
        </is>
      </c>
      <c r="D12" t="inlineStr">
        <is>
          <t>Phone</t>
        </is>
      </c>
      <c r="E12" t="inlineStr">
        <is>
          <t>Samsung</t>
        </is>
      </c>
      <c r="G12" t="inlineStr">
        <is>
          <t>S5</t>
        </is>
      </c>
      <c r="J12" t="inlineStr">
        <is>
          <t>Manufacturer ID; Device Series; Model Number; Variant</t>
        </is>
      </c>
      <c r="K12" t="inlineStr">
        <is>
          <t>Legacy identity requires canonical model and variant review</t>
        </is>
      </c>
      <c r="L12" t="inlineStr">
        <is>
          <t>Confirm manufacturer, family, product line, model, and variant</t>
        </is>
      </c>
      <c r="M12" t="inlineStr">
        <is>
          <t>Pending Manufacturer Review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Galaxy</t>
        </is>
      </c>
      <c r="D13" t="inlineStr">
        <is>
          <t>Phone</t>
        </is>
      </c>
      <c r="E13" t="inlineStr">
        <is>
          <t>Samsung</t>
        </is>
      </c>
      <c r="G13" t="inlineStr">
        <is>
          <t>S Original</t>
        </is>
      </c>
      <c r="J13" t="inlineStr">
        <is>
          <t>Manufacturer ID; Device Series; Model Number; Variant</t>
        </is>
      </c>
      <c r="K13" t="inlineStr">
        <is>
          <t>Legacy identity requires canonical model and variant review</t>
        </is>
      </c>
      <c r="L13" t="inlineStr">
        <is>
          <t>Confirm manufacturer, family, product line, model, and variant</t>
        </is>
      </c>
      <c r="M13" t="inlineStr">
        <is>
          <t>Pending Manufacturer Review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Galaxy</t>
        </is>
      </c>
      <c r="D14" t="inlineStr">
        <is>
          <t>Phone</t>
        </is>
      </c>
      <c r="E14" t="inlineStr">
        <is>
          <t>Samsung</t>
        </is>
      </c>
      <c r="G14" t="inlineStr">
        <is>
          <t>ON5  SM-G550T1</t>
        </is>
      </c>
      <c r="J14" t="inlineStr">
        <is>
          <t>Manufacturer ID; Device Series; Model Number; Variant</t>
        </is>
      </c>
      <c r="K14" t="inlineStr">
        <is>
          <t>Legacy identity requires canonical model and variant review</t>
        </is>
      </c>
      <c r="L14" t="inlineStr">
        <is>
          <t>Confirm manufacturer, family, product line, model, and variant</t>
        </is>
      </c>
      <c r="M14" t="inlineStr">
        <is>
          <t>Pending Manufacturer Review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Galaxy</t>
        </is>
      </c>
      <c r="D15" t="inlineStr">
        <is>
          <t>Phone</t>
        </is>
      </c>
      <c r="E15" t="inlineStr">
        <is>
          <t>Samsung</t>
        </is>
      </c>
      <c r="G15" t="inlineStr">
        <is>
          <t>SM-J737V</t>
        </is>
      </c>
      <c r="J15" t="inlineStr">
        <is>
          <t>Manufacturer ID; Device Series; Model Number; Variant</t>
        </is>
      </c>
      <c r="K15" t="inlineStr">
        <is>
          <t>Legacy identity requires canonical model and variant review</t>
        </is>
      </c>
      <c r="L15" t="inlineStr">
        <is>
          <t>Confirm manufacturer, family, product line, model, and variant</t>
        </is>
      </c>
      <c r="M15" t="inlineStr">
        <is>
          <t>Pending Manufacturer Review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Galaxy</t>
        </is>
      </c>
      <c r="D16" t="inlineStr">
        <is>
          <t>Phone</t>
        </is>
      </c>
      <c r="E16" t="inlineStr">
        <is>
          <t>Samsung</t>
        </is>
      </c>
      <c r="G16" t="inlineStr">
        <is>
          <t>J7 SM-J700T</t>
        </is>
      </c>
      <c r="J16" t="inlineStr">
        <is>
          <t>Manufacturer ID; Device Series; Model Number; Variant</t>
        </is>
      </c>
      <c r="K16" t="inlineStr">
        <is>
          <t>Legacy identity requires canonical model and variant review</t>
        </is>
      </c>
      <c r="L16" t="inlineStr">
        <is>
          <t>Confirm manufacturer, family, product line, model, and variant</t>
        </is>
      </c>
      <c r="M16" t="inlineStr">
        <is>
          <t>Pending Manufacturer Review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Galaxy</t>
        </is>
      </c>
      <c r="D17" t="inlineStr">
        <is>
          <t>Phone</t>
        </is>
      </c>
      <c r="E17" t="inlineStr">
        <is>
          <t>Samsung</t>
        </is>
      </c>
      <c r="G17" t="inlineStr">
        <is>
          <t>J7V SM-J727T</t>
        </is>
      </c>
      <c r="J17" t="inlineStr">
        <is>
          <t>Manufacturer ID; Device Series; Model Number; Variant</t>
        </is>
      </c>
      <c r="K17" t="inlineStr">
        <is>
          <t>Legacy identity requires canonical model and variant review</t>
        </is>
      </c>
      <c r="L17" t="inlineStr">
        <is>
          <t>Confirm manufacturer, family, product line, model, and variant</t>
        </is>
      </c>
      <c r="M17" t="inlineStr">
        <is>
          <t>Pending Manufacturer Review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Galaxy</t>
        </is>
      </c>
      <c r="D18" t="inlineStr">
        <is>
          <t>Phone</t>
        </is>
      </c>
      <c r="E18" t="inlineStr">
        <is>
          <t>Samsung</t>
        </is>
      </c>
      <c r="G18" t="inlineStr">
        <is>
          <t>Express 3 SM-J120A</t>
        </is>
      </c>
      <c r="J18" t="inlineStr">
        <is>
          <t>Manufacturer ID; Device Series; Model Number; Variant</t>
        </is>
      </c>
      <c r="K18" t="inlineStr">
        <is>
          <t>Legacy identity requires canonical model and variant review</t>
        </is>
      </c>
      <c r="L18" t="inlineStr">
        <is>
          <t>Confirm manufacturer, family, product line, model, and variant</t>
        </is>
      </c>
      <c r="M18" t="inlineStr">
        <is>
          <t>Pending Manufacturer Review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Galaxy</t>
        </is>
      </c>
      <c r="D19" t="inlineStr">
        <is>
          <t>Phone</t>
        </is>
      </c>
      <c r="E19" t="inlineStr">
        <is>
          <t>Samsung</t>
        </is>
      </c>
      <c r="G19" t="inlineStr">
        <is>
          <t>S4 SCH-I545</t>
        </is>
      </c>
      <c r="J19" t="inlineStr">
        <is>
          <t>Manufacturer ID; Device Series; Model Number; Variant</t>
        </is>
      </c>
      <c r="K19" t="inlineStr">
        <is>
          <t>Legacy identity requires canonical model and variant review</t>
        </is>
      </c>
      <c r="L19" t="inlineStr">
        <is>
          <t>Confirm manufacturer, family, product line, model, and variant</t>
        </is>
      </c>
      <c r="M19" t="inlineStr">
        <is>
          <t>Pending Manufacturer Review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Galaxy</t>
        </is>
      </c>
      <c r="D20" t="inlineStr">
        <is>
          <t>Phone</t>
        </is>
      </c>
      <c r="E20" t="inlineStr">
        <is>
          <t>Samsung</t>
        </is>
      </c>
      <c r="G20" t="inlineStr">
        <is>
          <t>Grand GT-I9082L</t>
        </is>
      </c>
      <c r="J20" t="inlineStr">
        <is>
          <t>Manufacturer ID; Device Series; Model Number; Variant</t>
        </is>
      </c>
      <c r="K20" t="inlineStr">
        <is>
          <t>Legacy identity requires canonical model and variant review</t>
        </is>
      </c>
      <c r="L20" t="inlineStr">
        <is>
          <t>Confirm manufacturer, family, product line, model, and variant</t>
        </is>
      </c>
      <c r="M20" t="inlineStr">
        <is>
          <t>Pending Manufacturer Review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Galaxy</t>
        </is>
      </c>
      <c r="D21" t="inlineStr">
        <is>
          <t>Phone</t>
        </is>
      </c>
      <c r="E21" t="inlineStr">
        <is>
          <t>Samsung</t>
        </is>
      </c>
      <c r="G21" t="inlineStr">
        <is>
          <t>Note 9 SM-N960U</t>
        </is>
      </c>
      <c r="J21" t="inlineStr">
        <is>
          <t>Manufacturer ID; Device Series; Model Number; Variant</t>
        </is>
      </c>
      <c r="K21" t="inlineStr">
        <is>
          <t>Legacy identity requires canonical model and variant review</t>
        </is>
      </c>
      <c r="L21" t="inlineStr">
        <is>
          <t>Confirm manufacturer, family, product line, model, and variant</t>
        </is>
      </c>
      <c r="M21" t="inlineStr">
        <is>
          <t>Pending Manufacturer Review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Galaxy</t>
        </is>
      </c>
      <c r="D22" t="inlineStr">
        <is>
          <t>Phone</t>
        </is>
      </c>
      <c r="E22" t="inlineStr">
        <is>
          <t>Samsung</t>
        </is>
      </c>
      <c r="G22" t="inlineStr">
        <is>
          <t>Note 9 SM-N960U</t>
        </is>
      </c>
      <c r="J22" t="inlineStr">
        <is>
          <t>Manufacturer ID; Device Series; Model Number; Variant</t>
        </is>
      </c>
      <c r="K22" t="inlineStr">
        <is>
          <t>Legacy identity requires canonical model and variant review</t>
        </is>
      </c>
      <c r="L22" t="inlineStr">
        <is>
          <t>Confirm manufacturer, family, product line, model, and variant</t>
        </is>
      </c>
      <c r="M22" t="inlineStr">
        <is>
          <t>Pending Manufacturer Review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Galaxy</t>
        </is>
      </c>
      <c r="D23" t="inlineStr">
        <is>
          <t>Phone</t>
        </is>
      </c>
      <c r="E23" t="inlineStr">
        <is>
          <t>Samsung</t>
        </is>
      </c>
      <c r="G23" t="inlineStr">
        <is>
          <t>S8 SM-G950U</t>
        </is>
      </c>
      <c r="J23" t="inlineStr">
        <is>
          <t>Manufacturer ID; Device Series; Model Number; Variant</t>
        </is>
      </c>
      <c r="K23" t="inlineStr">
        <is>
          <t>Legacy identity requires canonical model and variant review</t>
        </is>
      </c>
      <c r="L23" t="inlineStr">
        <is>
          <t>Confirm manufacturer, family, product line, model, and variant</t>
        </is>
      </c>
      <c r="M23" t="inlineStr">
        <is>
          <t>Pending Manufacturer Review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Galaxy</t>
        </is>
      </c>
      <c r="D24" t="inlineStr">
        <is>
          <t>Phone</t>
        </is>
      </c>
      <c r="E24" t="inlineStr">
        <is>
          <t>Samsung</t>
        </is>
      </c>
      <c r="G24" t="inlineStr">
        <is>
          <t>Galaxy S8 Plus</t>
        </is>
      </c>
      <c r="J24" t="inlineStr">
        <is>
          <t>Manufacturer ID; Device Series; Model Number; Variant</t>
        </is>
      </c>
      <c r="K24" t="inlineStr">
        <is>
          <t>Legacy identity requires canonical model and variant review</t>
        </is>
      </c>
      <c r="L24" t="inlineStr">
        <is>
          <t>Confirm manufacturer, family, product line, model, and variant</t>
        </is>
      </c>
      <c r="M24" t="inlineStr">
        <is>
          <t>Pending Manufacturer Review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Samsung</t>
        </is>
      </c>
      <c r="D25" t="inlineStr">
        <is>
          <t>Phone</t>
        </is>
      </c>
      <c r="E25" t="inlineStr">
        <is>
          <t>Samsung</t>
        </is>
      </c>
      <c r="G25" t="inlineStr">
        <is>
          <t>Samsung ?</t>
        </is>
      </c>
      <c r="J25" t="inlineStr">
        <is>
          <t>Device Series; Model Number; Variant</t>
        </is>
      </c>
      <c r="K25" t="inlineStr">
        <is>
          <t>Legacy identity requires canonical model and variant review</t>
        </is>
      </c>
      <c r="L25" t="inlineStr">
        <is>
          <t>Confirm manufacturer, family, product line, model, and variant</t>
        </is>
      </c>
      <c r="M25" t="inlineStr">
        <is>
          <t>Pending Identity Review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Galaxy</t>
        </is>
      </c>
      <c r="D26" t="inlineStr">
        <is>
          <t>Phone</t>
        </is>
      </c>
      <c r="E26" t="inlineStr">
        <is>
          <t>Samsung</t>
        </is>
      </c>
      <c r="G26" t="inlineStr">
        <is>
          <t>Galaxy S9</t>
        </is>
      </c>
      <c r="J26" t="inlineStr">
        <is>
          <t>Manufacturer ID; Device Series; Model Number; Variant</t>
        </is>
      </c>
      <c r="K26" t="inlineStr">
        <is>
          <t>Legacy identity requires canonical model and variant review</t>
        </is>
      </c>
      <c r="L26" t="inlineStr">
        <is>
          <t>Confirm manufacturer, family, product line, model, and variant</t>
        </is>
      </c>
      <c r="M26" t="inlineStr">
        <is>
          <t>Pending Manufacturer Review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Motorola</t>
        </is>
      </c>
      <c r="D27" t="inlineStr">
        <is>
          <t>Phone</t>
        </is>
      </c>
      <c r="E27" t="inlineStr">
        <is>
          <t>Motorola</t>
        </is>
      </c>
      <c r="G27" t="inlineStr">
        <is>
          <t>Moto V91</t>
        </is>
      </c>
      <c r="J27" t="inlineStr">
        <is>
          <t>Device Series; Model Number; Variant</t>
        </is>
      </c>
      <c r="K27" t="inlineStr">
        <is>
          <t>Legacy identity requires canonical model and variant review</t>
        </is>
      </c>
      <c r="L27" t="inlineStr">
        <is>
          <t>Confirm manufacturer, family, product line, model, and variant</t>
        </is>
      </c>
      <c r="M27" t="inlineStr">
        <is>
          <t>Pending Identity Review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Motorola</t>
        </is>
      </c>
      <c r="D28" t="inlineStr">
        <is>
          <t>Phone</t>
        </is>
      </c>
      <c r="E28" t="inlineStr">
        <is>
          <t>Motorola</t>
        </is>
      </c>
      <c r="G28" t="inlineStr">
        <is>
          <t>Motorola</t>
        </is>
      </c>
      <c r="J28" t="inlineStr">
        <is>
          <t>Device Series; Model Number; Variant</t>
        </is>
      </c>
      <c r="K28" t="inlineStr">
        <is>
          <t>Legacy identity requires canonical model and variant review</t>
        </is>
      </c>
      <c r="L28" t="inlineStr">
        <is>
          <t>Confirm manufacturer, family, product line, model, and variant</t>
        </is>
      </c>
      <c r="M28" t="inlineStr">
        <is>
          <t>Pending Identity Review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LG</t>
        </is>
      </c>
      <c r="D29" t="inlineStr">
        <is>
          <t>Phone</t>
        </is>
      </c>
      <c r="E29" t="inlineStr">
        <is>
          <t>Misc Phones</t>
        </is>
      </c>
      <c r="G29" t="inlineStr">
        <is>
          <t>Tracphone</t>
        </is>
      </c>
      <c r="J29" t="inlineStr">
        <is>
          <t>Device Series; Model Number; Variant</t>
        </is>
      </c>
      <c r="K29" t="inlineStr">
        <is>
          <t>Legacy identity requires canonical model and variant review</t>
        </is>
      </c>
      <c r="L29" t="inlineStr">
        <is>
          <t>Confirm manufacturer, family, product line, model, and variant</t>
        </is>
      </c>
      <c r="M29" t="inlineStr">
        <is>
          <t>Pending Identity Review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Maxwest</t>
        </is>
      </c>
      <c r="D30" t="inlineStr">
        <is>
          <t>Phone</t>
        </is>
      </c>
      <c r="E30" t="inlineStr">
        <is>
          <t>Misc Phones</t>
        </is>
      </c>
      <c r="G30" t="inlineStr">
        <is>
          <t>Nitro 55A</t>
        </is>
      </c>
      <c r="J30" t="inlineStr">
        <is>
          <t>Manufacturer ID; Device Series; Model Number; Variant</t>
        </is>
      </c>
      <c r="K30" t="inlineStr">
        <is>
          <t>Legacy identity requires canonical model and variant review</t>
        </is>
      </c>
      <c r="L30" t="inlineStr">
        <is>
          <t>Confirm manufacturer, family, product line, model, and variant</t>
        </is>
      </c>
      <c r="M30" t="inlineStr">
        <is>
          <t>Pending Manufacturer Review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TCL</t>
        </is>
      </c>
      <c r="D31" t="inlineStr">
        <is>
          <t>Phone</t>
        </is>
      </c>
      <c r="E31" t="inlineStr">
        <is>
          <t>Misc Phones</t>
        </is>
      </c>
      <c r="G31" t="inlineStr">
        <is>
          <t>TCL Phone</t>
        </is>
      </c>
      <c r="J31" t="inlineStr">
        <is>
          <t>Manufacturer ID; Device Series; Model Number; Variant</t>
        </is>
      </c>
      <c r="K31" t="inlineStr">
        <is>
          <t>Legacy identity requires canonical model and variant review</t>
        </is>
      </c>
      <c r="L31" t="inlineStr">
        <is>
          <t>Confirm manufacturer, family, product line, model, and variant</t>
        </is>
      </c>
      <c r="M31" t="inlineStr">
        <is>
          <t>Pending Manufacturer Review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Apple</t>
        </is>
      </c>
      <c r="D32" t="inlineStr">
        <is>
          <t>Tablet</t>
        </is>
      </c>
      <c r="E32" t="inlineStr">
        <is>
          <t>Miscellaneous Device</t>
        </is>
      </c>
      <c r="G32" t="inlineStr">
        <is>
          <t>iPad Air 2(Parts Only)</t>
        </is>
      </c>
      <c r="J32" t="inlineStr">
        <is>
          <t>Device Series; Model Number; Variant</t>
        </is>
      </c>
      <c r="K32" t="inlineStr">
        <is>
          <t>Legacy identity requires canonical model and variant review</t>
        </is>
      </c>
      <c r="L32" t="inlineStr">
        <is>
          <t>Confirm manufacturer, family, product line, model, and variant</t>
        </is>
      </c>
      <c r="M32" t="inlineStr">
        <is>
          <t>Pending Identity Review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Apple</t>
        </is>
      </c>
      <c r="D33" t="inlineStr">
        <is>
          <t>Phone</t>
        </is>
      </c>
      <c r="E33" t="inlineStr">
        <is>
          <t>Miscellaneous Device</t>
        </is>
      </c>
      <c r="G33" t="inlineStr">
        <is>
          <t>Pre-Owned iPhone 6S  (Non-Functioning)</t>
        </is>
      </c>
      <c r="J33" t="inlineStr">
        <is>
          <t>Device Series; Model Number; Variant</t>
        </is>
      </c>
      <c r="K33" t="inlineStr">
        <is>
          <t>Legacy identity requires canonical model and variant review</t>
        </is>
      </c>
      <c r="L33" t="inlineStr">
        <is>
          <t>Confirm manufacturer, family, product line, model, and variant</t>
        </is>
      </c>
      <c r="M33" t="inlineStr">
        <is>
          <t>Pending Identity Review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Apple</t>
        </is>
      </c>
      <c r="D34" t="inlineStr">
        <is>
          <t>Phone</t>
        </is>
      </c>
      <c r="E34" t="inlineStr">
        <is>
          <t>Miscellaneous Device</t>
        </is>
      </c>
      <c r="G34" t="inlineStr">
        <is>
          <t>iPhone 8 Pre-Owned Device (BER ???Non-Functioning Device)</t>
        </is>
      </c>
      <c r="J34" t="inlineStr">
        <is>
          <t>Device Series; Model Number; Variant</t>
        </is>
      </c>
      <c r="K34" t="inlineStr">
        <is>
          <t>Legacy identity requires canonical model and variant review</t>
        </is>
      </c>
      <c r="L34" t="inlineStr">
        <is>
          <t>Confirm manufacturer, family, product line, model, and variant</t>
        </is>
      </c>
      <c r="M34" t="inlineStr">
        <is>
          <t>Pending Identity Review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Apple</t>
        </is>
      </c>
      <c r="D35" t="inlineStr">
        <is>
          <t>Phone</t>
        </is>
      </c>
      <c r="E35" t="inlineStr">
        <is>
          <t>Miscellaneous Device</t>
        </is>
      </c>
      <c r="G35" t="inlineStr">
        <is>
          <t>iPhone 8 Pre-Owned Device (BER ???Non-Functioning Device)</t>
        </is>
      </c>
      <c r="J35" t="inlineStr">
        <is>
          <t>Device Series; Model Number; Variant</t>
        </is>
      </c>
      <c r="K35" t="inlineStr">
        <is>
          <t>Legacy identity requires canonical model and variant review</t>
        </is>
      </c>
      <c r="L35" t="inlineStr">
        <is>
          <t>Confirm manufacturer, family, product line, model, and variant</t>
        </is>
      </c>
      <c r="M35" t="inlineStr">
        <is>
          <t>Pending Identity Review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Apple</t>
        </is>
      </c>
      <c r="D36" t="inlineStr">
        <is>
          <t>Phone</t>
        </is>
      </c>
      <c r="E36" t="inlineStr">
        <is>
          <t>Miscellaneous Device</t>
        </is>
      </c>
      <c r="G36" t="inlineStr">
        <is>
          <t>Pre-Owned iPhone 7 Plus (Non-Functioning)</t>
        </is>
      </c>
      <c r="J36" t="inlineStr">
        <is>
          <t>Device Series; Model Number; Variant</t>
        </is>
      </c>
      <c r="K36" t="inlineStr">
        <is>
          <t>Legacy identity requires canonical model and variant review</t>
        </is>
      </c>
      <c r="L36" t="inlineStr">
        <is>
          <t>Confirm manufacturer, family, product line, model, and variant</t>
        </is>
      </c>
      <c r="M36" t="inlineStr">
        <is>
          <t>Pending Identity Review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Apple</t>
        </is>
      </c>
      <c r="D37" t="inlineStr">
        <is>
          <t>Phone</t>
        </is>
      </c>
      <c r="E37" t="inlineStr">
        <is>
          <t>Miscellaneous Device</t>
        </is>
      </c>
      <c r="G37" t="inlineStr">
        <is>
          <t>Pre-Owned iPhone 7  (Non-Functioning)</t>
        </is>
      </c>
      <c r="J37" t="inlineStr">
        <is>
          <t>Device Series; Model Number; Variant</t>
        </is>
      </c>
      <c r="K37" t="inlineStr">
        <is>
          <t>Legacy identity requires canonical model and variant review</t>
        </is>
      </c>
      <c r="L37" t="inlineStr">
        <is>
          <t>Confirm manufacturer, family, product line, model, and variant</t>
        </is>
      </c>
      <c r="M37" t="inlineStr">
        <is>
          <t>Pending Identity Review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Apple</t>
        </is>
      </c>
      <c r="D38" t="inlineStr">
        <is>
          <t>Tablet</t>
        </is>
      </c>
      <c r="E38" t="inlineStr">
        <is>
          <t>Miscellaneous Device</t>
        </is>
      </c>
      <c r="G38" t="inlineStr">
        <is>
          <t>iPad Wifi 16gb (B Grade)</t>
        </is>
      </c>
      <c r="J38" t="inlineStr">
        <is>
          <t>Device Series; Model Number; Variant</t>
        </is>
      </c>
      <c r="K38" t="inlineStr">
        <is>
          <t>Legacy identity requires canonical model and variant review</t>
        </is>
      </c>
      <c r="L38" t="inlineStr">
        <is>
          <t>Confirm manufacturer, family, product line, model, and variant</t>
        </is>
      </c>
      <c r="M38" t="inlineStr">
        <is>
          <t>Pending Identity Review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Samsung</t>
        </is>
      </c>
      <c r="D39" t="inlineStr">
        <is>
          <t>Tablet</t>
        </is>
      </c>
      <c r="E39" t="inlineStr">
        <is>
          <t>Miscellaneous Device</t>
        </is>
      </c>
      <c r="G39" t="inlineStr">
        <is>
          <t>Samsung Tab E 9.6" SM-T560NU16gb (B Grade)</t>
        </is>
      </c>
      <c r="J39" t="inlineStr">
        <is>
          <t>Device Series; Model Number; Variant</t>
        </is>
      </c>
      <c r="K39" t="inlineStr">
        <is>
          <t>Legacy identity requires canonical model and variant review</t>
        </is>
      </c>
      <c r="L39" t="inlineStr">
        <is>
          <t>Confirm manufacturer, family, product line, model, and variant</t>
        </is>
      </c>
      <c r="M39" t="inlineStr">
        <is>
          <t>Pending Identity Review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N/A</t>
        </is>
      </c>
      <c r="D40" t="inlineStr">
        <is>
          <t>Phone</t>
        </is>
      </c>
      <c r="E40" t="inlineStr">
        <is>
          <t>Miscellaneous Device</t>
        </is>
      </c>
      <c r="G40" t="inlineStr">
        <is>
          <t>iPhone 8 Pre-Owned Device (BER ???Non-Functioning Device)</t>
        </is>
      </c>
      <c r="J40" t="inlineStr">
        <is>
          <t>Manufacturer ID; Device Series; Model Number; Variant</t>
        </is>
      </c>
      <c r="K40" t="inlineStr">
        <is>
          <t>Legacy identity requires canonical model and variant review</t>
        </is>
      </c>
      <c r="L40" t="inlineStr">
        <is>
          <t>Confirm manufacturer, family, product line, model, and variant</t>
        </is>
      </c>
      <c r="M40" t="inlineStr">
        <is>
          <t>Pending Manufacturer Review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N/A</t>
        </is>
      </c>
      <c r="D41" t="inlineStr">
        <is>
          <t>Tablet</t>
        </is>
      </c>
      <c r="E41" t="inlineStr">
        <is>
          <t>Miscellaneous Device</t>
        </is>
      </c>
      <c r="G41" t="inlineStr">
        <is>
          <t>iPad Air 2(Parts Only)</t>
        </is>
      </c>
      <c r="J41" t="inlineStr">
        <is>
          <t>Manufacturer ID; Device Series; Model Number; Variant</t>
        </is>
      </c>
      <c r="K41" t="inlineStr">
        <is>
          <t>Legacy identity requires canonical model and variant review</t>
        </is>
      </c>
      <c r="L41" t="inlineStr">
        <is>
          <t>Confirm manufacturer, family, product line, model, and variant</t>
        </is>
      </c>
      <c r="M41" t="inlineStr">
        <is>
          <t>Pending Manufacturer Review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N/A</t>
        </is>
      </c>
      <c r="D42" t="inlineStr">
        <is>
          <t>Tablet</t>
        </is>
      </c>
      <c r="E42" t="inlineStr">
        <is>
          <t>Miscellaneous Device</t>
        </is>
      </c>
      <c r="G42" t="inlineStr">
        <is>
          <t>iPad Mini 4(Parts Only)</t>
        </is>
      </c>
      <c r="J42" t="inlineStr">
        <is>
          <t>Manufacturer ID; Device Series; Model Number; Variant</t>
        </is>
      </c>
      <c r="K42" t="inlineStr">
        <is>
          <t>Legacy identity requires canonical model and variant review</t>
        </is>
      </c>
      <c r="L42" t="inlineStr">
        <is>
          <t>Confirm manufacturer, family, product line, model, and variant</t>
        </is>
      </c>
      <c r="M42" t="inlineStr">
        <is>
          <t>Pending Manufacturer Review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N/A</t>
        </is>
      </c>
      <c r="D43" t="inlineStr">
        <is>
          <t>Tablet</t>
        </is>
      </c>
      <c r="E43" t="inlineStr">
        <is>
          <t>Miscellaneous Device</t>
        </is>
      </c>
      <c r="G43" t="inlineStr">
        <is>
          <t>Samsung Tab E 9.6" SM-T560NU16gb (B Grade)</t>
        </is>
      </c>
      <c r="J43" t="inlineStr">
        <is>
          <t>Manufacturer ID; Device Series; Model Number; Variant</t>
        </is>
      </c>
      <c r="K43" t="inlineStr">
        <is>
          <t>Legacy identity requires canonical model and variant review</t>
        </is>
      </c>
      <c r="L43" t="inlineStr">
        <is>
          <t>Confirm manufacturer, family, product line, model, and variant</t>
        </is>
      </c>
      <c r="M43" t="inlineStr">
        <is>
          <t>Pending Manufacturer Review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N/A</t>
        </is>
      </c>
      <c r="D44" t="inlineStr">
        <is>
          <t>Tablet</t>
        </is>
      </c>
      <c r="E44" t="inlineStr">
        <is>
          <t>Miscellaneous Device</t>
        </is>
      </c>
      <c r="G44" t="inlineStr">
        <is>
          <t>iPad Wifi 16gb (B Grade)</t>
        </is>
      </c>
      <c r="J44" t="inlineStr">
        <is>
          <t>Manufacturer ID; Device Series; Model Number; Variant</t>
        </is>
      </c>
      <c r="K44" t="inlineStr">
        <is>
          <t>Legacy identity requires canonical model and variant review</t>
        </is>
      </c>
      <c r="L44" t="inlineStr">
        <is>
          <t>Confirm manufacturer, family, product line, model, and variant</t>
        </is>
      </c>
      <c r="M44" t="inlineStr">
        <is>
          <t>Pending Manufacturer Review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N/A</t>
        </is>
      </c>
      <c r="D45" t="inlineStr">
        <is>
          <t>Phone</t>
        </is>
      </c>
      <c r="E45" t="inlineStr">
        <is>
          <t>Miscellaneous Device</t>
        </is>
      </c>
      <c r="G45" t="inlineStr">
        <is>
          <t>Pre-Owned iPhone 7 Plus (Non-Functioning)</t>
        </is>
      </c>
      <c r="J45" t="inlineStr">
        <is>
          <t>Manufacturer ID; Device Series; Model Number; Variant</t>
        </is>
      </c>
      <c r="K45" t="inlineStr">
        <is>
          <t>Legacy identity requires canonical model and variant review</t>
        </is>
      </c>
      <c r="L45" t="inlineStr">
        <is>
          <t>Confirm manufacturer, family, product line, model, and variant</t>
        </is>
      </c>
      <c r="M45" t="inlineStr">
        <is>
          <t>Pending Manufacturer Review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N/A</t>
        </is>
      </c>
      <c r="D46" t="inlineStr">
        <is>
          <t>Phone</t>
        </is>
      </c>
      <c r="E46" t="inlineStr">
        <is>
          <t>Miscellaneous Device</t>
        </is>
      </c>
      <c r="G46" t="inlineStr">
        <is>
          <t>Pre-Owned iPhone 7  (Non-Functioning)</t>
        </is>
      </c>
      <c r="J46" t="inlineStr">
        <is>
          <t>Manufacturer ID; Device Series; Model Number; Variant</t>
        </is>
      </c>
      <c r="K46" t="inlineStr">
        <is>
          <t>Legacy identity requires canonical model and variant review</t>
        </is>
      </c>
      <c r="L46" t="inlineStr">
        <is>
          <t>Confirm manufacturer, family, product line, model, and variant</t>
        </is>
      </c>
      <c r="M46" t="inlineStr">
        <is>
          <t>Pending Manufacturer Review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N/A</t>
        </is>
      </c>
      <c r="D47" t="inlineStr">
        <is>
          <t>Phone</t>
        </is>
      </c>
      <c r="E47" t="inlineStr">
        <is>
          <t>Miscellaneous Device</t>
        </is>
      </c>
      <c r="G47" t="inlineStr">
        <is>
          <t>Pre-Owned iPhone 6S  (Non-Functioning)</t>
        </is>
      </c>
      <c r="J47" t="inlineStr">
        <is>
          <t>Manufacturer ID; Device Series; Model Number; Variant</t>
        </is>
      </c>
      <c r="K47" t="inlineStr">
        <is>
          <t>Legacy identity requires canonical model and variant review</t>
        </is>
      </c>
      <c r="L47" t="inlineStr">
        <is>
          <t>Confirm manufacturer, family, product line, model, and variant</t>
        </is>
      </c>
      <c r="M47" t="inlineStr">
        <is>
          <t>Pending Manufacturer Review</t>
        </is>
      </c>
    </row>
  </sheetData>
  <autoFilter ref="A1:N47"/>
  <conditionalFormatting sqref="J2:J47">
    <cfRule type="expression" priority="2" dxfId="333">
      <formula>LEN(TRIM(J2))&gt;0</formula>
    </cfRule>
  </conditionalFormatting>
  <conditionalFormatting sqref="M2:M47">
    <cfRule type="expression" priority="1" dxfId="332">
      <formula>ISNUMBER(SEARCH("Pending",M2))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17" customWidth="1" style="42" min="3" max="3"/>
    <col width="20" customWidth="1" style="42" min="4" max="4"/>
    <col width="30" customWidth="1" style="42" min="5" max="5"/>
    <col width="25" customWidth="1" style="42" min="6" max="6"/>
    <col width="23" customWidth="1" style="42" min="7" max="7"/>
    <col width="34" customWidth="1" style="42" min="8" max="9"/>
    <col width="29" customWidth="1" style="42" min="10" max="10"/>
    <col width="16" customWidth="1" style="42" min="11" max="11"/>
  </cols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Manufacturer ID</t>
        </is>
      </c>
      <c r="D1" s="1" t="inlineStr">
        <is>
          <t>Device Family Code</t>
        </is>
      </c>
      <c r="E1" s="1" t="inlineStr">
        <is>
          <t>Compatibility Status</t>
        </is>
      </c>
      <c r="F1" s="1" t="inlineStr">
        <is>
          <t>Service Mapping Status</t>
        </is>
      </c>
      <c r="G1" s="1" t="inlineStr">
        <is>
          <t>Parts Mapping Status</t>
        </is>
      </c>
      <c r="H1" s="1" t="inlineStr">
        <is>
          <t>Missing Relationships</t>
        </is>
      </c>
      <c r="I1" s="1" t="inlineStr">
        <is>
          <t>Required Action</t>
        </is>
      </c>
      <c r="J1" s="1" t="inlineStr">
        <is>
          <t>Review Status</t>
        </is>
      </c>
      <c r="K1" s="1" t="inlineStr">
        <is>
          <t>Reviewer Notes</t>
        </is>
      </c>
    </row>
    <row r="2">
      <c r="A2" t="inlineStr">
        <is>
          <t>DEV000843</t>
        </is>
      </c>
      <c r="B2" t="inlineStr">
        <is>
          <t>6 Plus Space Grey - A1522</t>
        </is>
      </c>
      <c r="D2" t="inlineStr">
        <is>
          <t>PHN</t>
        </is>
      </c>
      <c r="E2" t="inlineStr">
        <is>
          <t>Pending Compatibility Review</t>
        </is>
      </c>
      <c r="F2" t="inlineStr">
        <is>
          <t>Pending Service Mapping</t>
        </is>
      </c>
      <c r="G2" t="inlineStr">
        <is>
          <t>Pending Parts Mapping</t>
        </is>
      </c>
      <c r="H2" t="inlineStr">
        <is>
          <t>Compatibility; Service mapping; Parts mapping</t>
        </is>
      </c>
      <c r="I2" t="inlineStr">
        <is>
          <t>Review relationships after device identity approval</t>
        </is>
      </c>
      <c r="J2" t="inlineStr">
        <is>
          <t>Pending Relationship Review</t>
        </is>
      </c>
    </row>
    <row r="3">
      <c r="A3" t="inlineStr">
        <is>
          <t>DEV000844</t>
        </is>
      </c>
      <c r="B3" t="inlineStr">
        <is>
          <t>8 White</t>
        </is>
      </c>
      <c r="D3" t="inlineStr">
        <is>
          <t>PHN</t>
        </is>
      </c>
      <c r="E3" t="inlineStr">
        <is>
          <t>Pending Compatibility Review</t>
        </is>
      </c>
      <c r="F3" t="inlineStr">
        <is>
          <t>Pending Service Mapping</t>
        </is>
      </c>
      <c r="G3" t="inlineStr">
        <is>
          <t>Pending Parts Mapping</t>
        </is>
      </c>
      <c r="H3" t="inlineStr">
        <is>
          <t>Compatibility; Service mapping; Parts mapping</t>
        </is>
      </c>
      <c r="I3" t="inlineStr">
        <is>
          <t>Review relationships after device identity approval</t>
        </is>
      </c>
      <c r="J3" t="inlineStr">
        <is>
          <t>Pending Relationship Review</t>
        </is>
      </c>
    </row>
    <row r="4">
      <c r="A4" t="inlineStr">
        <is>
          <t>DEV000845</t>
        </is>
      </c>
      <c r="B4" t="inlineStr">
        <is>
          <t>SE A2275</t>
        </is>
      </c>
      <c r="D4" t="inlineStr">
        <is>
          <t>PHN</t>
        </is>
      </c>
      <c r="E4" t="inlineStr">
        <is>
          <t>Pending Compatibility Review</t>
        </is>
      </c>
      <c r="F4" t="inlineStr">
        <is>
          <t>Pending Service Mapping</t>
        </is>
      </c>
      <c r="G4" t="inlineStr">
        <is>
          <t>Pending Parts Mapping</t>
        </is>
      </c>
      <c r="H4" t="inlineStr">
        <is>
          <t>Compatibility; Service mapping; Parts mapping</t>
        </is>
      </c>
      <c r="I4" t="inlineStr">
        <is>
          <t>Review relationships after device identity approval</t>
        </is>
      </c>
      <c r="J4" t="inlineStr">
        <is>
          <t>Pending Relationship Review</t>
        </is>
      </c>
    </row>
    <row r="5">
      <c r="A5" t="inlineStr">
        <is>
          <t>DEV000846</t>
        </is>
      </c>
      <c r="B5" t="inlineStr">
        <is>
          <t>A1688-Silver</t>
        </is>
      </c>
      <c r="D5" t="inlineStr">
        <is>
          <t>PHN</t>
        </is>
      </c>
      <c r="E5" t="inlineStr">
        <is>
          <t>Pending Compatibility Review</t>
        </is>
      </c>
      <c r="F5" t="inlineStr">
        <is>
          <t>Pending Service Mapping</t>
        </is>
      </c>
      <c r="G5" t="inlineStr">
        <is>
          <t>Pending Parts Mapping</t>
        </is>
      </c>
      <c r="H5" t="inlineStr">
        <is>
          <t>Compatibility; Service mapping; Parts mapping</t>
        </is>
      </c>
      <c r="I5" t="inlineStr">
        <is>
          <t>Review relationships after device identity approval</t>
        </is>
      </c>
      <c r="J5" t="inlineStr">
        <is>
          <t>Pending Relationship Review</t>
        </is>
      </c>
    </row>
    <row r="6">
      <c r="A6" t="inlineStr">
        <is>
          <t>DEV000847</t>
        </is>
      </c>
      <c r="B6" t="inlineStr">
        <is>
          <t>A1784 Black</t>
        </is>
      </c>
      <c r="D6" t="inlineStr">
        <is>
          <t>PHN</t>
        </is>
      </c>
      <c r="E6" t="inlineStr">
        <is>
          <t>Pending Compatibility Review</t>
        </is>
      </c>
      <c r="F6" t="inlineStr">
        <is>
          <t>Pending Service Mapping</t>
        </is>
      </c>
      <c r="G6" t="inlineStr">
        <is>
          <t>Pending Parts Mapping</t>
        </is>
      </c>
      <c r="H6" t="inlineStr">
        <is>
          <t>Compatibility; Service mapping; Parts mapping</t>
        </is>
      </c>
      <c r="I6" t="inlineStr">
        <is>
          <t>Review relationships after device identity approval</t>
        </is>
      </c>
      <c r="J6" t="inlineStr">
        <is>
          <t>Pending Relationship Review</t>
        </is>
      </c>
    </row>
    <row r="7">
      <c r="A7" t="inlineStr">
        <is>
          <t>DEV000848</t>
        </is>
      </c>
      <c r="B7" t="inlineStr">
        <is>
          <t>5C White - A1532</t>
        </is>
      </c>
      <c r="D7" t="inlineStr">
        <is>
          <t>PHN</t>
        </is>
      </c>
      <c r="E7" t="inlineStr">
        <is>
          <t>Pending Compatibility Review</t>
        </is>
      </c>
      <c r="F7" t="inlineStr">
        <is>
          <t>Pending Service Mapping</t>
        </is>
      </c>
      <c r="G7" t="inlineStr">
        <is>
          <t>Pending Parts Mapping</t>
        </is>
      </c>
      <c r="H7" t="inlineStr">
        <is>
          <t>Compatibility; Service mapping; Parts mapping</t>
        </is>
      </c>
      <c r="I7" t="inlineStr">
        <is>
          <t>Review relationships after device identity approval</t>
        </is>
      </c>
      <c r="J7" t="inlineStr">
        <is>
          <t>Pending Relationship Review</t>
        </is>
      </c>
    </row>
    <row r="8">
      <c r="A8" t="inlineStr">
        <is>
          <t>DEV000849</t>
        </is>
      </c>
      <c r="B8" t="inlineStr">
        <is>
          <t>7 A1778 Black</t>
        </is>
      </c>
      <c r="D8" t="inlineStr">
        <is>
          <t>PHN</t>
        </is>
      </c>
      <c r="E8" t="inlineStr">
        <is>
          <t>Pending Compatibility Review</t>
        </is>
      </c>
      <c r="F8" t="inlineStr">
        <is>
          <t>Pending Service Mapping</t>
        </is>
      </c>
      <c r="G8" t="inlineStr">
        <is>
          <t>Pending Parts Mapping</t>
        </is>
      </c>
      <c r="H8" t="inlineStr">
        <is>
          <t>Compatibility; Service mapping; Parts mapping</t>
        </is>
      </c>
      <c r="I8" t="inlineStr">
        <is>
          <t>Review relationships after device identity approval</t>
        </is>
      </c>
      <c r="J8" t="inlineStr">
        <is>
          <t>Pending Relationship Review</t>
        </is>
      </c>
    </row>
    <row r="9">
      <c r="A9" t="inlineStr">
        <is>
          <t>DEV000850</t>
        </is>
      </c>
      <c r="B9" t="inlineStr">
        <is>
          <t>6 A1585 Gold</t>
        </is>
      </c>
      <c r="D9" t="inlineStr">
        <is>
          <t>PHN</t>
        </is>
      </c>
      <c r="E9" t="inlineStr">
        <is>
          <t>Pending Compatibility Review</t>
        </is>
      </c>
      <c r="F9" t="inlineStr">
        <is>
          <t>Pending Service Mapping</t>
        </is>
      </c>
      <c r="G9" t="inlineStr">
        <is>
          <t>Pending Parts Mapping</t>
        </is>
      </c>
      <c r="H9" t="inlineStr">
        <is>
          <t>Compatibility; Service mapping; Parts mapping</t>
        </is>
      </c>
      <c r="I9" t="inlineStr">
        <is>
          <t>Review relationships after device identity approval</t>
        </is>
      </c>
      <c r="J9" t="inlineStr">
        <is>
          <t>Pending Relationship Review</t>
        </is>
      </c>
    </row>
    <row r="10">
      <c r="A10" t="inlineStr">
        <is>
          <t>DEV000851</t>
        </is>
      </c>
      <c r="B10" t="inlineStr">
        <is>
          <t>7 Red/White A1660</t>
        </is>
      </c>
      <c r="D10" t="inlineStr">
        <is>
          <t>PHN</t>
        </is>
      </c>
      <c r="E10" t="inlineStr">
        <is>
          <t>Pending Compatibility Review</t>
        </is>
      </c>
      <c r="F10" t="inlineStr">
        <is>
          <t>Pending Service Mapping</t>
        </is>
      </c>
      <c r="G10" t="inlineStr">
        <is>
          <t>Pending Parts Mapping</t>
        </is>
      </c>
      <c r="H10" t="inlineStr">
        <is>
          <t>Compatibility; Service mapping; Parts mapping</t>
        </is>
      </c>
      <c r="I10" t="inlineStr">
        <is>
          <t>Review relationships after device identity approval</t>
        </is>
      </c>
      <c r="J10" t="inlineStr">
        <is>
          <t>Pending Relationship Review</t>
        </is>
      </c>
    </row>
    <row r="11">
      <c r="A11" t="inlineStr">
        <is>
          <t>DEV000852</t>
        </is>
      </c>
      <c r="B11" t="inlineStr">
        <is>
          <t>5S - A1533</t>
        </is>
      </c>
      <c r="D11" t="inlineStr">
        <is>
          <t>PHN</t>
        </is>
      </c>
      <c r="E11" t="inlineStr">
        <is>
          <t>Pending Compatibility Review</t>
        </is>
      </c>
      <c r="F11" t="inlineStr">
        <is>
          <t>Pending Service Mapping</t>
        </is>
      </c>
      <c r="G11" t="inlineStr">
        <is>
          <t>Pending Parts Mapping</t>
        </is>
      </c>
      <c r="H11" t="inlineStr">
        <is>
          <t>Compatibility; Service mapping; Parts mapping</t>
        </is>
      </c>
      <c r="I11" t="inlineStr">
        <is>
          <t>Review relationships after device identity approval</t>
        </is>
      </c>
      <c r="J11" t="inlineStr">
        <is>
          <t>Pending Relationship Review</t>
        </is>
      </c>
    </row>
    <row r="12">
      <c r="A12" t="inlineStr">
        <is>
          <t>DEV000853</t>
        </is>
      </c>
      <c r="B12" t="inlineStr">
        <is>
          <t>S5</t>
        </is>
      </c>
      <c r="D12" t="inlineStr">
        <is>
          <t>PHN</t>
        </is>
      </c>
      <c r="E12" t="inlineStr">
        <is>
          <t>Pending Compatibility Review</t>
        </is>
      </c>
      <c r="F12" t="inlineStr">
        <is>
          <t>Pending Service Mapping</t>
        </is>
      </c>
      <c r="G12" t="inlineStr">
        <is>
          <t>Pending Parts Mapping</t>
        </is>
      </c>
      <c r="H12" t="inlineStr">
        <is>
          <t>Compatibility; Service mapping; Parts mapping</t>
        </is>
      </c>
      <c r="I12" t="inlineStr">
        <is>
          <t>Review relationships after device identity approval</t>
        </is>
      </c>
      <c r="J12" t="inlineStr">
        <is>
          <t>Pending Relationship Review</t>
        </is>
      </c>
    </row>
    <row r="13">
      <c r="A13" t="inlineStr">
        <is>
          <t>DEV000854</t>
        </is>
      </c>
      <c r="B13" t="inlineStr">
        <is>
          <t>S Original</t>
        </is>
      </c>
      <c r="D13" t="inlineStr">
        <is>
          <t>PHN</t>
        </is>
      </c>
      <c r="E13" t="inlineStr">
        <is>
          <t>Pending Compatibility Review</t>
        </is>
      </c>
      <c r="F13" t="inlineStr">
        <is>
          <t>Pending Service Mapping</t>
        </is>
      </c>
      <c r="G13" t="inlineStr">
        <is>
          <t>Pending Parts Mapping</t>
        </is>
      </c>
      <c r="H13" t="inlineStr">
        <is>
          <t>Compatibility; Service mapping; Parts mapping</t>
        </is>
      </c>
      <c r="I13" t="inlineStr">
        <is>
          <t>Review relationships after device identity approval</t>
        </is>
      </c>
      <c r="J13" t="inlineStr">
        <is>
          <t>Pending Relationship Review</t>
        </is>
      </c>
    </row>
    <row r="14">
      <c r="A14" t="inlineStr">
        <is>
          <t>DEV000855</t>
        </is>
      </c>
      <c r="B14" t="inlineStr">
        <is>
          <t>ON5  SM-G550T1</t>
        </is>
      </c>
      <c r="D14" t="inlineStr">
        <is>
          <t>PHN</t>
        </is>
      </c>
      <c r="E14" t="inlineStr">
        <is>
          <t>Pending Compatibility Review</t>
        </is>
      </c>
      <c r="F14" t="inlineStr">
        <is>
          <t>Pending Service Mapping</t>
        </is>
      </c>
      <c r="G14" t="inlineStr">
        <is>
          <t>Pending Parts Mapping</t>
        </is>
      </c>
      <c r="H14" t="inlineStr">
        <is>
          <t>Compatibility; Service mapping; Parts mapping</t>
        </is>
      </c>
      <c r="I14" t="inlineStr">
        <is>
          <t>Review relationships after device identity approval</t>
        </is>
      </c>
      <c r="J14" t="inlineStr">
        <is>
          <t>Pending Relationship Review</t>
        </is>
      </c>
    </row>
    <row r="15">
      <c r="A15" t="inlineStr">
        <is>
          <t>DEV000856</t>
        </is>
      </c>
      <c r="B15" t="inlineStr">
        <is>
          <t>SM-J737V</t>
        </is>
      </c>
      <c r="D15" t="inlineStr">
        <is>
          <t>PHN</t>
        </is>
      </c>
      <c r="E15" t="inlineStr">
        <is>
          <t>Pending Compatibility Review</t>
        </is>
      </c>
      <c r="F15" t="inlineStr">
        <is>
          <t>Pending Service Mapping</t>
        </is>
      </c>
      <c r="G15" t="inlineStr">
        <is>
          <t>Pending Parts Mapping</t>
        </is>
      </c>
      <c r="H15" t="inlineStr">
        <is>
          <t>Compatibility; Service mapping; Parts mapping</t>
        </is>
      </c>
      <c r="I15" t="inlineStr">
        <is>
          <t>Review relationships after device identity approval</t>
        </is>
      </c>
      <c r="J15" t="inlineStr">
        <is>
          <t>Pending Relationship Review</t>
        </is>
      </c>
    </row>
    <row r="16">
      <c r="A16" t="inlineStr">
        <is>
          <t>DEV000857</t>
        </is>
      </c>
      <c r="B16" t="inlineStr">
        <is>
          <t>J7 SM-J700T</t>
        </is>
      </c>
      <c r="D16" t="inlineStr">
        <is>
          <t>PHN</t>
        </is>
      </c>
      <c r="E16" t="inlineStr">
        <is>
          <t>Pending Compatibility Review</t>
        </is>
      </c>
      <c r="F16" t="inlineStr">
        <is>
          <t>Pending Service Mapping</t>
        </is>
      </c>
      <c r="G16" t="inlineStr">
        <is>
          <t>Pending Parts Mapping</t>
        </is>
      </c>
      <c r="H16" t="inlineStr">
        <is>
          <t>Compatibility; Service mapping; Parts mapping</t>
        </is>
      </c>
      <c r="I16" t="inlineStr">
        <is>
          <t>Review relationships after device identity approval</t>
        </is>
      </c>
      <c r="J16" t="inlineStr">
        <is>
          <t>Pending Relationship Review</t>
        </is>
      </c>
    </row>
    <row r="17">
      <c r="A17" t="inlineStr">
        <is>
          <t>DEV000858</t>
        </is>
      </c>
      <c r="B17" t="inlineStr">
        <is>
          <t>J7V SM-J727T</t>
        </is>
      </c>
      <c r="D17" t="inlineStr">
        <is>
          <t>PHN</t>
        </is>
      </c>
      <c r="E17" t="inlineStr">
        <is>
          <t>Pending Compatibility Review</t>
        </is>
      </c>
      <c r="F17" t="inlineStr">
        <is>
          <t>Pending Service Mapping</t>
        </is>
      </c>
      <c r="G17" t="inlineStr">
        <is>
          <t>Pending Parts Mapping</t>
        </is>
      </c>
      <c r="H17" t="inlineStr">
        <is>
          <t>Compatibility; Service mapping; Parts mapping</t>
        </is>
      </c>
      <c r="I17" t="inlineStr">
        <is>
          <t>Review relationships after device identity approval</t>
        </is>
      </c>
      <c r="J17" t="inlineStr">
        <is>
          <t>Pending Relationship Review</t>
        </is>
      </c>
    </row>
    <row r="18">
      <c r="A18" t="inlineStr">
        <is>
          <t>DEV000859</t>
        </is>
      </c>
      <c r="B18" t="inlineStr">
        <is>
          <t>Express 3 SM-J120A</t>
        </is>
      </c>
      <c r="D18" t="inlineStr">
        <is>
          <t>PHN</t>
        </is>
      </c>
      <c r="E18" t="inlineStr">
        <is>
          <t>Pending Compatibility Review</t>
        </is>
      </c>
      <c r="F18" t="inlineStr">
        <is>
          <t>Pending Service Mapping</t>
        </is>
      </c>
      <c r="G18" t="inlineStr">
        <is>
          <t>Pending Parts Mapping</t>
        </is>
      </c>
      <c r="H18" t="inlineStr">
        <is>
          <t>Compatibility; Service mapping; Parts mapping</t>
        </is>
      </c>
      <c r="I18" t="inlineStr">
        <is>
          <t>Review relationships after device identity approval</t>
        </is>
      </c>
      <c r="J18" t="inlineStr">
        <is>
          <t>Pending Relationship Review</t>
        </is>
      </c>
    </row>
    <row r="19">
      <c r="A19" t="inlineStr">
        <is>
          <t>DEV000860</t>
        </is>
      </c>
      <c r="B19" t="inlineStr">
        <is>
          <t>S4 SCH-I545</t>
        </is>
      </c>
      <c r="D19" t="inlineStr">
        <is>
          <t>PHN</t>
        </is>
      </c>
      <c r="E19" t="inlineStr">
        <is>
          <t>Pending Compatibility Review</t>
        </is>
      </c>
      <c r="F19" t="inlineStr">
        <is>
          <t>Pending Service Mapping</t>
        </is>
      </c>
      <c r="G19" t="inlineStr">
        <is>
          <t>Pending Parts Mapping</t>
        </is>
      </c>
      <c r="H19" t="inlineStr">
        <is>
          <t>Compatibility; Service mapping; Parts mapping</t>
        </is>
      </c>
      <c r="I19" t="inlineStr">
        <is>
          <t>Review relationships after device identity approval</t>
        </is>
      </c>
      <c r="J19" t="inlineStr">
        <is>
          <t>Pending Relationship Review</t>
        </is>
      </c>
    </row>
    <row r="20">
      <c r="A20" t="inlineStr">
        <is>
          <t>DEV000861</t>
        </is>
      </c>
      <c r="B20" t="inlineStr">
        <is>
          <t>Grand GT-I9082L</t>
        </is>
      </c>
      <c r="D20" t="inlineStr">
        <is>
          <t>PHN</t>
        </is>
      </c>
      <c r="E20" t="inlineStr">
        <is>
          <t>Pending Compatibility Review</t>
        </is>
      </c>
      <c r="F20" t="inlineStr">
        <is>
          <t>Pending Service Mapping</t>
        </is>
      </c>
      <c r="G20" t="inlineStr">
        <is>
          <t>Pending Parts Mapping</t>
        </is>
      </c>
      <c r="H20" t="inlineStr">
        <is>
          <t>Compatibility; Service mapping; Parts mapping</t>
        </is>
      </c>
      <c r="I20" t="inlineStr">
        <is>
          <t>Review relationships after device identity approval</t>
        </is>
      </c>
      <c r="J20" t="inlineStr">
        <is>
          <t>Pending Relationship Review</t>
        </is>
      </c>
    </row>
    <row r="21">
      <c r="A21" t="inlineStr">
        <is>
          <t>DEV000862</t>
        </is>
      </c>
      <c r="B21" t="inlineStr">
        <is>
          <t>Note 9 SM-N960U</t>
        </is>
      </c>
      <c r="D21" t="inlineStr">
        <is>
          <t>PHN</t>
        </is>
      </c>
      <c r="E21" t="inlineStr">
        <is>
          <t>Pending Compatibility Review</t>
        </is>
      </c>
      <c r="F21" t="inlineStr">
        <is>
          <t>Pending Service Mapping</t>
        </is>
      </c>
      <c r="G21" t="inlineStr">
        <is>
          <t>Pending Parts Mapping</t>
        </is>
      </c>
      <c r="H21" t="inlineStr">
        <is>
          <t>Compatibility; Service mapping; Parts mapping</t>
        </is>
      </c>
      <c r="I21" t="inlineStr">
        <is>
          <t>Review relationships after device identity approval</t>
        </is>
      </c>
      <c r="J21" t="inlineStr">
        <is>
          <t>Pending Relationship Review</t>
        </is>
      </c>
    </row>
    <row r="22">
      <c r="A22" t="inlineStr">
        <is>
          <t>DEV000863</t>
        </is>
      </c>
      <c r="B22" t="inlineStr">
        <is>
          <t>Note 9 SM-N960U</t>
        </is>
      </c>
      <c r="D22" t="inlineStr">
        <is>
          <t>PHN</t>
        </is>
      </c>
      <c r="E22" t="inlineStr">
        <is>
          <t>Pending Compatibility Review</t>
        </is>
      </c>
      <c r="F22" t="inlineStr">
        <is>
          <t>Pending Service Mapping</t>
        </is>
      </c>
      <c r="G22" t="inlineStr">
        <is>
          <t>Pending Parts Mapping</t>
        </is>
      </c>
      <c r="H22" t="inlineStr">
        <is>
          <t>Compatibility; Service mapping; Parts mapping</t>
        </is>
      </c>
      <c r="I22" t="inlineStr">
        <is>
          <t>Review relationships after device identity approval</t>
        </is>
      </c>
      <c r="J22" t="inlineStr">
        <is>
          <t>Pending Relationship Review</t>
        </is>
      </c>
    </row>
    <row r="23">
      <c r="A23" t="inlineStr">
        <is>
          <t>DEV000864</t>
        </is>
      </c>
      <c r="B23" t="inlineStr">
        <is>
          <t>S8 SM-G950U</t>
        </is>
      </c>
      <c r="D23" t="inlineStr">
        <is>
          <t>PHN</t>
        </is>
      </c>
      <c r="E23" t="inlineStr">
        <is>
          <t>Pending Compatibility Review</t>
        </is>
      </c>
      <c r="F23" t="inlineStr">
        <is>
          <t>Pending Service Mapping</t>
        </is>
      </c>
      <c r="G23" t="inlineStr">
        <is>
          <t>Pending Parts Mapping</t>
        </is>
      </c>
      <c r="H23" t="inlineStr">
        <is>
          <t>Compatibility; Service mapping; Parts mapping</t>
        </is>
      </c>
      <c r="I23" t="inlineStr">
        <is>
          <t>Review relationships after device identity approval</t>
        </is>
      </c>
      <c r="J23" t="inlineStr">
        <is>
          <t>Pending Relationship Review</t>
        </is>
      </c>
    </row>
    <row r="24">
      <c r="A24" t="inlineStr">
        <is>
          <t>DEV000865</t>
        </is>
      </c>
      <c r="B24" t="inlineStr">
        <is>
          <t>Galaxy S8 Plus</t>
        </is>
      </c>
      <c r="D24" t="inlineStr">
        <is>
          <t>PHN</t>
        </is>
      </c>
      <c r="E24" t="inlineStr">
        <is>
          <t>Pending Compatibility Review</t>
        </is>
      </c>
      <c r="F24" t="inlineStr">
        <is>
          <t>Pending Service Mapping</t>
        </is>
      </c>
      <c r="G24" t="inlineStr">
        <is>
          <t>Pending Parts Mapping</t>
        </is>
      </c>
      <c r="H24" t="inlineStr">
        <is>
          <t>Compatibility; Service mapping; Parts mapping</t>
        </is>
      </c>
      <c r="I24" t="inlineStr">
        <is>
          <t>Review relationships after device identity approval</t>
        </is>
      </c>
      <c r="J24" t="inlineStr">
        <is>
          <t>Pending Relationship Review</t>
        </is>
      </c>
    </row>
    <row r="25">
      <c r="A25" t="inlineStr">
        <is>
          <t>DEV000866</t>
        </is>
      </c>
      <c r="B25" t="inlineStr">
        <is>
          <t>Samsung ?</t>
        </is>
      </c>
      <c r="C25" t="inlineStr">
        <is>
          <t>SAM</t>
        </is>
      </c>
      <c r="D25" t="inlineStr">
        <is>
          <t>PHN</t>
        </is>
      </c>
      <c r="E25" t="inlineStr">
        <is>
          <t>Pending Compatibility Review</t>
        </is>
      </c>
      <c r="F25" t="inlineStr">
        <is>
          <t>Pending Service Mapping</t>
        </is>
      </c>
      <c r="G25" t="inlineStr">
        <is>
          <t>Pending Parts Mapping</t>
        </is>
      </c>
      <c r="H25" t="inlineStr">
        <is>
          <t>Compatibility; Service mapping; Parts mapping</t>
        </is>
      </c>
      <c r="I25" t="inlineStr">
        <is>
          <t>Review relationships after device identity approval</t>
        </is>
      </c>
      <c r="J25" t="inlineStr">
        <is>
          <t>Pending Relationship Review</t>
        </is>
      </c>
    </row>
    <row r="26">
      <c r="A26" t="inlineStr">
        <is>
          <t>DEV000867</t>
        </is>
      </c>
      <c r="B26" t="inlineStr">
        <is>
          <t>Galaxy S9</t>
        </is>
      </c>
      <c r="D26" t="inlineStr">
        <is>
          <t>PHN</t>
        </is>
      </c>
      <c r="E26" t="inlineStr">
        <is>
          <t>Pending Compatibility Review</t>
        </is>
      </c>
      <c r="F26" t="inlineStr">
        <is>
          <t>Pending Service Mapping</t>
        </is>
      </c>
      <c r="G26" t="inlineStr">
        <is>
          <t>Pending Parts Mapping</t>
        </is>
      </c>
      <c r="H26" t="inlineStr">
        <is>
          <t>Compatibility; Service mapping; Parts mapping</t>
        </is>
      </c>
      <c r="I26" t="inlineStr">
        <is>
          <t>Review relationships after device identity approval</t>
        </is>
      </c>
      <c r="J26" t="inlineStr">
        <is>
          <t>Pending Relationship Review</t>
        </is>
      </c>
    </row>
    <row r="27">
      <c r="A27" t="inlineStr">
        <is>
          <t>DEV000868</t>
        </is>
      </c>
      <c r="B27" t="inlineStr">
        <is>
          <t>Moto V91</t>
        </is>
      </c>
      <c r="C27" t="inlineStr">
        <is>
          <t>MOT</t>
        </is>
      </c>
      <c r="D27" t="inlineStr">
        <is>
          <t>PHN</t>
        </is>
      </c>
      <c r="E27" t="inlineStr">
        <is>
          <t>Pending Compatibility Review</t>
        </is>
      </c>
      <c r="F27" t="inlineStr">
        <is>
          <t>Pending Service Mapping</t>
        </is>
      </c>
      <c r="G27" t="inlineStr">
        <is>
          <t>Pending Parts Mapping</t>
        </is>
      </c>
      <c r="H27" t="inlineStr">
        <is>
          <t>Compatibility; Service mapping; Parts mapping</t>
        </is>
      </c>
      <c r="I27" t="inlineStr">
        <is>
          <t>Review relationships after device identity approval</t>
        </is>
      </c>
      <c r="J27" t="inlineStr">
        <is>
          <t>Pending Relationship Review</t>
        </is>
      </c>
    </row>
    <row r="28">
      <c r="A28" t="inlineStr">
        <is>
          <t>DEV000869</t>
        </is>
      </c>
      <c r="B28" t="inlineStr">
        <is>
          <t>Motorola</t>
        </is>
      </c>
      <c r="C28" t="inlineStr">
        <is>
          <t>MOT</t>
        </is>
      </c>
      <c r="D28" t="inlineStr">
        <is>
          <t>PHN</t>
        </is>
      </c>
      <c r="E28" t="inlineStr">
        <is>
          <t>Pending Compatibility Review</t>
        </is>
      </c>
      <c r="F28" t="inlineStr">
        <is>
          <t>Pending Service Mapping</t>
        </is>
      </c>
      <c r="G28" t="inlineStr">
        <is>
          <t>Pending Parts Mapping</t>
        </is>
      </c>
      <c r="H28" t="inlineStr">
        <is>
          <t>Compatibility; Service mapping; Parts mapping</t>
        </is>
      </c>
      <c r="I28" t="inlineStr">
        <is>
          <t>Review relationships after device identity approval</t>
        </is>
      </c>
      <c r="J28" t="inlineStr">
        <is>
          <t>Pending Relationship Review</t>
        </is>
      </c>
    </row>
    <row r="29">
      <c r="A29" t="inlineStr">
        <is>
          <t>DEV000870</t>
        </is>
      </c>
      <c r="B29" t="inlineStr">
        <is>
          <t>Tracphone</t>
        </is>
      </c>
      <c r="C29" t="inlineStr">
        <is>
          <t>LGE</t>
        </is>
      </c>
      <c r="D29" t="inlineStr">
        <is>
          <t>PHN</t>
        </is>
      </c>
      <c r="E29" t="inlineStr">
        <is>
          <t>Pending Compatibility Review</t>
        </is>
      </c>
      <c r="F29" t="inlineStr">
        <is>
          <t>Pending Service Mapping</t>
        </is>
      </c>
      <c r="G29" t="inlineStr">
        <is>
          <t>Pending Parts Mapping</t>
        </is>
      </c>
      <c r="H29" t="inlineStr">
        <is>
          <t>Compatibility; Service mapping; Parts mapping</t>
        </is>
      </c>
      <c r="I29" t="inlineStr">
        <is>
          <t>Review relationships after device identity approval</t>
        </is>
      </c>
      <c r="J29" t="inlineStr">
        <is>
          <t>Pending Relationship Review</t>
        </is>
      </c>
    </row>
    <row r="30">
      <c r="A30" t="inlineStr">
        <is>
          <t>DEV000871</t>
        </is>
      </c>
      <c r="B30" t="inlineStr">
        <is>
          <t>Nitro 55A</t>
        </is>
      </c>
      <c r="D30" t="inlineStr">
        <is>
          <t>PHN</t>
        </is>
      </c>
      <c r="E30" t="inlineStr">
        <is>
          <t>Pending Compatibility Review</t>
        </is>
      </c>
      <c r="F30" t="inlineStr">
        <is>
          <t>Pending Service Mapping</t>
        </is>
      </c>
      <c r="G30" t="inlineStr">
        <is>
          <t>Pending Parts Mapping</t>
        </is>
      </c>
      <c r="H30" t="inlineStr">
        <is>
          <t>Compatibility; Service mapping; Parts mapping</t>
        </is>
      </c>
      <c r="I30" t="inlineStr">
        <is>
          <t>Review relationships after device identity approval</t>
        </is>
      </c>
      <c r="J30" t="inlineStr">
        <is>
          <t>Pending Relationship Review</t>
        </is>
      </c>
    </row>
    <row r="31">
      <c r="A31" t="inlineStr">
        <is>
          <t>DEV000872</t>
        </is>
      </c>
      <c r="B31" t="inlineStr">
        <is>
          <t>TCL Phone</t>
        </is>
      </c>
      <c r="D31" t="inlineStr">
        <is>
          <t>PHN</t>
        </is>
      </c>
      <c r="E31" t="inlineStr">
        <is>
          <t>Pending Compatibility Review</t>
        </is>
      </c>
      <c r="F31" t="inlineStr">
        <is>
          <t>Pending Service Mapping</t>
        </is>
      </c>
      <c r="G31" t="inlineStr">
        <is>
          <t>Pending Parts Mapping</t>
        </is>
      </c>
      <c r="H31" t="inlineStr">
        <is>
          <t>Compatibility; Service mapping; Parts mapping</t>
        </is>
      </c>
      <c r="I31" t="inlineStr">
        <is>
          <t>Review relationships after device identity approval</t>
        </is>
      </c>
      <c r="J31" t="inlineStr">
        <is>
          <t>Pending Relationship Review</t>
        </is>
      </c>
    </row>
    <row r="32">
      <c r="A32" t="inlineStr">
        <is>
          <t>DEV000873</t>
        </is>
      </c>
      <c r="B32" t="inlineStr">
        <is>
          <t>iPad Air 2(Parts Only)</t>
        </is>
      </c>
      <c r="C32" t="inlineStr">
        <is>
          <t>APL</t>
        </is>
      </c>
      <c r="D32" t="inlineStr">
        <is>
          <t>TAB</t>
        </is>
      </c>
      <c r="E32" t="inlineStr">
        <is>
          <t>Pending Compatibility Review</t>
        </is>
      </c>
      <c r="F32" t="inlineStr">
        <is>
          <t>Pending Service Mapping</t>
        </is>
      </c>
      <c r="G32" t="inlineStr">
        <is>
          <t>Pending Parts Mapping</t>
        </is>
      </c>
      <c r="H32" t="inlineStr">
        <is>
          <t>Compatibility; Service mapping; Parts mapping</t>
        </is>
      </c>
      <c r="I32" t="inlineStr">
        <is>
          <t>Review relationships after device identity approval</t>
        </is>
      </c>
      <c r="J32" t="inlineStr">
        <is>
          <t>Pending Relationship Review</t>
        </is>
      </c>
    </row>
    <row r="33">
      <c r="A33" t="inlineStr">
        <is>
          <t>DEV000874</t>
        </is>
      </c>
      <c r="B33" t="inlineStr">
        <is>
          <t>Pre-Owned iPhone 6S  (Non-Functioning)</t>
        </is>
      </c>
      <c r="C33" t="inlineStr">
        <is>
          <t>APL</t>
        </is>
      </c>
      <c r="D33" t="inlineStr">
        <is>
          <t>PHN</t>
        </is>
      </c>
      <c r="E33" t="inlineStr">
        <is>
          <t>Pending Compatibility Review</t>
        </is>
      </c>
      <c r="F33" t="inlineStr">
        <is>
          <t>Pending Service Mapping</t>
        </is>
      </c>
      <c r="G33" t="inlineStr">
        <is>
          <t>Pending Parts Mapping</t>
        </is>
      </c>
      <c r="H33" t="inlineStr">
        <is>
          <t>Compatibility; Service mapping; Parts mapping</t>
        </is>
      </c>
      <c r="I33" t="inlineStr">
        <is>
          <t>Review relationships after device identity approval</t>
        </is>
      </c>
      <c r="J33" t="inlineStr">
        <is>
          <t>Pending Relationship Review</t>
        </is>
      </c>
    </row>
    <row r="34">
      <c r="A34" t="inlineStr">
        <is>
          <t>DEV000875</t>
        </is>
      </c>
      <c r="B34" t="inlineStr">
        <is>
          <t>iPhone 8 Pre-Owned Device (BER ???Non-Functioning Device)</t>
        </is>
      </c>
      <c r="C34" t="inlineStr">
        <is>
          <t>APL</t>
        </is>
      </c>
      <c r="D34" t="inlineStr">
        <is>
          <t>PHN</t>
        </is>
      </c>
      <c r="E34" t="inlineStr">
        <is>
          <t>Pending Compatibility Review</t>
        </is>
      </c>
      <c r="F34" t="inlineStr">
        <is>
          <t>Pending Service Mapping</t>
        </is>
      </c>
      <c r="G34" t="inlineStr">
        <is>
          <t>Pending Parts Mapping</t>
        </is>
      </c>
      <c r="H34" t="inlineStr">
        <is>
          <t>Compatibility; Service mapping; Parts mapping</t>
        </is>
      </c>
      <c r="I34" t="inlineStr">
        <is>
          <t>Review relationships after device identity approval</t>
        </is>
      </c>
      <c r="J34" t="inlineStr">
        <is>
          <t>Pending Relationship Review</t>
        </is>
      </c>
    </row>
    <row r="35">
      <c r="A35" t="inlineStr">
        <is>
          <t>DEV000876</t>
        </is>
      </c>
      <c r="B35" t="inlineStr">
        <is>
          <t>iPhone 8 Pre-Owned Device (BER ???Non-Functioning Device)</t>
        </is>
      </c>
      <c r="C35" t="inlineStr">
        <is>
          <t>APL</t>
        </is>
      </c>
      <c r="D35" t="inlineStr">
        <is>
          <t>PHN</t>
        </is>
      </c>
      <c r="E35" t="inlineStr">
        <is>
          <t>Pending Compatibility Review</t>
        </is>
      </c>
      <c r="F35" t="inlineStr">
        <is>
          <t>Pending Service Mapping</t>
        </is>
      </c>
      <c r="G35" t="inlineStr">
        <is>
          <t>Pending Parts Mapping</t>
        </is>
      </c>
      <c r="H35" t="inlineStr">
        <is>
          <t>Compatibility; Service mapping; Parts mapping</t>
        </is>
      </c>
      <c r="I35" t="inlineStr">
        <is>
          <t>Review relationships after device identity approval</t>
        </is>
      </c>
      <c r="J35" t="inlineStr">
        <is>
          <t>Pending Relationship Review</t>
        </is>
      </c>
    </row>
    <row r="36">
      <c r="A36" t="inlineStr">
        <is>
          <t>DEV000877</t>
        </is>
      </c>
      <c r="B36" t="inlineStr">
        <is>
          <t>Pre-Owned iPhone 7 Plus (Non-Functioning)</t>
        </is>
      </c>
      <c r="C36" t="inlineStr">
        <is>
          <t>APL</t>
        </is>
      </c>
      <c r="D36" t="inlineStr">
        <is>
          <t>PHN</t>
        </is>
      </c>
      <c r="E36" t="inlineStr">
        <is>
          <t>Pending Compatibility Review</t>
        </is>
      </c>
      <c r="F36" t="inlineStr">
        <is>
          <t>Pending Service Mapping</t>
        </is>
      </c>
      <c r="G36" t="inlineStr">
        <is>
          <t>Pending Parts Mapping</t>
        </is>
      </c>
      <c r="H36" t="inlineStr">
        <is>
          <t>Compatibility; Service mapping; Parts mapping</t>
        </is>
      </c>
      <c r="I36" t="inlineStr">
        <is>
          <t>Review relationships after device identity approval</t>
        </is>
      </c>
      <c r="J36" t="inlineStr">
        <is>
          <t>Pending Relationship Review</t>
        </is>
      </c>
    </row>
    <row r="37">
      <c r="A37" t="inlineStr">
        <is>
          <t>DEV000878</t>
        </is>
      </c>
      <c r="B37" t="inlineStr">
        <is>
          <t>Pre-Owned iPhone 7  (Non-Functioning)</t>
        </is>
      </c>
      <c r="C37" t="inlineStr">
        <is>
          <t>APL</t>
        </is>
      </c>
      <c r="D37" t="inlineStr">
        <is>
          <t>PHN</t>
        </is>
      </c>
      <c r="E37" t="inlineStr">
        <is>
          <t>Pending Compatibility Review</t>
        </is>
      </c>
      <c r="F37" t="inlineStr">
        <is>
          <t>Pending Service Mapping</t>
        </is>
      </c>
      <c r="G37" t="inlineStr">
        <is>
          <t>Pending Parts Mapping</t>
        </is>
      </c>
      <c r="H37" t="inlineStr">
        <is>
          <t>Compatibility; Service mapping; Parts mapping</t>
        </is>
      </c>
      <c r="I37" t="inlineStr">
        <is>
          <t>Review relationships after device identity approval</t>
        </is>
      </c>
      <c r="J37" t="inlineStr">
        <is>
          <t>Pending Relationship Review</t>
        </is>
      </c>
    </row>
    <row r="38">
      <c r="A38" t="inlineStr">
        <is>
          <t>DEV000879</t>
        </is>
      </c>
      <c r="B38" t="inlineStr">
        <is>
          <t>iPad Wifi 16gb (B Grade)</t>
        </is>
      </c>
      <c r="C38" t="inlineStr">
        <is>
          <t>APL</t>
        </is>
      </c>
      <c r="D38" t="inlineStr">
        <is>
          <t>TAB</t>
        </is>
      </c>
      <c r="E38" t="inlineStr">
        <is>
          <t>Pending Compatibility Review</t>
        </is>
      </c>
      <c r="F38" t="inlineStr">
        <is>
          <t>Pending Service Mapping</t>
        </is>
      </c>
      <c r="G38" t="inlineStr">
        <is>
          <t>Pending Parts Mapping</t>
        </is>
      </c>
      <c r="H38" t="inlineStr">
        <is>
          <t>Compatibility; Service mapping; Parts mapping</t>
        </is>
      </c>
      <c r="I38" t="inlineStr">
        <is>
          <t>Review relationships after device identity approval</t>
        </is>
      </c>
      <c r="J38" t="inlineStr">
        <is>
          <t>Pending Relationship Review</t>
        </is>
      </c>
    </row>
    <row r="39">
      <c r="A39" t="inlineStr">
        <is>
          <t>DEV000880</t>
        </is>
      </c>
      <c r="B39" t="inlineStr">
        <is>
          <t>Samsung Tab E 9.6" SM-T560NU16gb (B Grade)</t>
        </is>
      </c>
      <c r="C39" t="inlineStr">
        <is>
          <t>SAM</t>
        </is>
      </c>
      <c r="D39" t="inlineStr">
        <is>
          <t>TAB</t>
        </is>
      </c>
      <c r="E39" t="inlineStr">
        <is>
          <t>Pending Compatibility Review</t>
        </is>
      </c>
      <c r="F39" t="inlineStr">
        <is>
          <t>Pending Service Mapping</t>
        </is>
      </c>
      <c r="G39" t="inlineStr">
        <is>
          <t>Pending Parts Mapping</t>
        </is>
      </c>
      <c r="H39" t="inlineStr">
        <is>
          <t>Compatibility; Service mapping; Parts mapping</t>
        </is>
      </c>
      <c r="I39" t="inlineStr">
        <is>
          <t>Review relationships after device identity approval</t>
        </is>
      </c>
      <c r="J39" t="inlineStr">
        <is>
          <t>Pending Relationship Review</t>
        </is>
      </c>
    </row>
    <row r="40">
      <c r="A40" t="inlineStr">
        <is>
          <t>DEV000881</t>
        </is>
      </c>
      <c r="B40" t="inlineStr">
        <is>
          <t>iPhone 8 Pre-Owned Device (BER ???Non-Functioning Device)</t>
        </is>
      </c>
      <c r="D40" t="inlineStr">
        <is>
          <t>PHN</t>
        </is>
      </c>
      <c r="E40" t="inlineStr">
        <is>
          <t>Pending Compatibility Review</t>
        </is>
      </c>
      <c r="F40" t="inlineStr">
        <is>
          <t>Pending Service Mapping</t>
        </is>
      </c>
      <c r="G40" t="inlineStr">
        <is>
          <t>Pending Parts Mapping</t>
        </is>
      </c>
      <c r="H40" t="inlineStr">
        <is>
          <t>Compatibility; Service mapping; Parts mapping</t>
        </is>
      </c>
      <c r="I40" t="inlineStr">
        <is>
          <t>Review relationships after device identity approval</t>
        </is>
      </c>
      <c r="J40" t="inlineStr">
        <is>
          <t>Pending Relationship Review</t>
        </is>
      </c>
    </row>
    <row r="41">
      <c r="A41" t="inlineStr">
        <is>
          <t>DEV000882</t>
        </is>
      </c>
      <c r="B41" t="inlineStr">
        <is>
          <t>iPad Air 2(Parts Only)</t>
        </is>
      </c>
      <c r="D41" t="inlineStr">
        <is>
          <t>TAB</t>
        </is>
      </c>
      <c r="E41" t="inlineStr">
        <is>
          <t>Pending Compatibility Review</t>
        </is>
      </c>
      <c r="F41" t="inlineStr">
        <is>
          <t>Pending Service Mapping</t>
        </is>
      </c>
      <c r="G41" t="inlineStr">
        <is>
          <t>Pending Parts Mapping</t>
        </is>
      </c>
      <c r="H41" t="inlineStr">
        <is>
          <t>Compatibility; Service mapping; Parts mapping</t>
        </is>
      </c>
      <c r="I41" t="inlineStr">
        <is>
          <t>Review relationships after device identity approval</t>
        </is>
      </c>
      <c r="J41" t="inlineStr">
        <is>
          <t>Pending Relationship Review</t>
        </is>
      </c>
    </row>
    <row r="42">
      <c r="A42" t="inlineStr">
        <is>
          <t>DEV000883</t>
        </is>
      </c>
      <c r="B42" t="inlineStr">
        <is>
          <t>iPad Mini 4(Parts Only)</t>
        </is>
      </c>
      <c r="D42" t="inlineStr">
        <is>
          <t>TAB</t>
        </is>
      </c>
      <c r="E42" t="inlineStr">
        <is>
          <t>Pending Compatibility Review</t>
        </is>
      </c>
      <c r="F42" t="inlineStr">
        <is>
          <t>Pending Service Mapping</t>
        </is>
      </c>
      <c r="G42" t="inlineStr">
        <is>
          <t>Pending Parts Mapping</t>
        </is>
      </c>
      <c r="H42" t="inlineStr">
        <is>
          <t>Compatibility; Service mapping; Parts mapping</t>
        </is>
      </c>
      <c r="I42" t="inlineStr">
        <is>
          <t>Review relationships after device identity approval</t>
        </is>
      </c>
      <c r="J42" t="inlineStr">
        <is>
          <t>Pending Relationship Review</t>
        </is>
      </c>
    </row>
    <row r="43">
      <c r="A43" t="inlineStr">
        <is>
          <t>DEV000884</t>
        </is>
      </c>
      <c r="B43" t="inlineStr">
        <is>
          <t>Samsung Tab E 9.6" SM-T560NU16gb (B Grade)</t>
        </is>
      </c>
      <c r="D43" t="inlineStr">
        <is>
          <t>TAB</t>
        </is>
      </c>
      <c r="E43" t="inlineStr">
        <is>
          <t>Pending Compatibility Review</t>
        </is>
      </c>
      <c r="F43" t="inlineStr">
        <is>
          <t>Pending Service Mapping</t>
        </is>
      </c>
      <c r="G43" t="inlineStr">
        <is>
          <t>Pending Parts Mapping</t>
        </is>
      </c>
      <c r="H43" t="inlineStr">
        <is>
          <t>Compatibility; Service mapping; Parts mapping</t>
        </is>
      </c>
      <c r="I43" t="inlineStr">
        <is>
          <t>Review relationships after device identity approval</t>
        </is>
      </c>
      <c r="J43" t="inlineStr">
        <is>
          <t>Pending Relationship Review</t>
        </is>
      </c>
    </row>
    <row r="44">
      <c r="A44" t="inlineStr">
        <is>
          <t>DEV000885</t>
        </is>
      </c>
      <c r="B44" t="inlineStr">
        <is>
          <t>iPad Wifi 16gb (B Grade)</t>
        </is>
      </c>
      <c r="D44" t="inlineStr">
        <is>
          <t>TAB</t>
        </is>
      </c>
      <c r="E44" t="inlineStr">
        <is>
          <t>Pending Compatibility Review</t>
        </is>
      </c>
      <c r="F44" t="inlineStr">
        <is>
          <t>Pending Service Mapping</t>
        </is>
      </c>
      <c r="G44" t="inlineStr">
        <is>
          <t>Pending Parts Mapping</t>
        </is>
      </c>
      <c r="H44" t="inlineStr">
        <is>
          <t>Compatibility; Service mapping; Parts mapping</t>
        </is>
      </c>
      <c r="I44" t="inlineStr">
        <is>
          <t>Review relationships after device identity approval</t>
        </is>
      </c>
      <c r="J44" t="inlineStr">
        <is>
          <t>Pending Relationship Review</t>
        </is>
      </c>
    </row>
    <row r="45">
      <c r="A45" t="inlineStr">
        <is>
          <t>DEV000886</t>
        </is>
      </c>
      <c r="B45" t="inlineStr">
        <is>
          <t>Pre-Owned iPhone 7 Plus (Non-Functioning)</t>
        </is>
      </c>
      <c r="D45" t="inlineStr">
        <is>
          <t>PHN</t>
        </is>
      </c>
      <c r="E45" t="inlineStr">
        <is>
          <t>Pending Compatibility Review</t>
        </is>
      </c>
      <c r="F45" t="inlineStr">
        <is>
          <t>Pending Service Mapping</t>
        </is>
      </c>
      <c r="G45" t="inlineStr">
        <is>
          <t>Pending Parts Mapping</t>
        </is>
      </c>
      <c r="H45" t="inlineStr">
        <is>
          <t>Compatibility; Service mapping; Parts mapping</t>
        </is>
      </c>
      <c r="I45" t="inlineStr">
        <is>
          <t>Review relationships after device identity approval</t>
        </is>
      </c>
      <c r="J45" t="inlineStr">
        <is>
          <t>Pending Relationship Review</t>
        </is>
      </c>
    </row>
    <row r="46">
      <c r="A46" t="inlineStr">
        <is>
          <t>DEV000887</t>
        </is>
      </c>
      <c r="B46" t="inlineStr">
        <is>
          <t>Pre-Owned iPhone 7  (Non-Functioning)</t>
        </is>
      </c>
      <c r="D46" t="inlineStr">
        <is>
          <t>PHN</t>
        </is>
      </c>
      <c r="E46" t="inlineStr">
        <is>
          <t>Pending Compatibility Review</t>
        </is>
      </c>
      <c r="F46" t="inlineStr">
        <is>
          <t>Pending Service Mapping</t>
        </is>
      </c>
      <c r="G46" t="inlineStr">
        <is>
          <t>Pending Parts Mapping</t>
        </is>
      </c>
      <c r="H46" t="inlineStr">
        <is>
          <t>Compatibility; Service mapping; Parts mapping</t>
        </is>
      </c>
      <c r="I46" t="inlineStr">
        <is>
          <t>Review relationships after device identity approval</t>
        </is>
      </c>
      <c r="J46" t="inlineStr">
        <is>
          <t>Pending Relationship Review</t>
        </is>
      </c>
    </row>
    <row r="47">
      <c r="A47" t="inlineStr">
        <is>
          <t>DEV000888</t>
        </is>
      </c>
      <c r="B47" t="inlineStr">
        <is>
          <t>Pre-Owned iPhone 6S  (Non-Functioning)</t>
        </is>
      </c>
      <c r="D47" t="inlineStr">
        <is>
          <t>PHN</t>
        </is>
      </c>
      <c r="E47" t="inlineStr">
        <is>
          <t>Pending Compatibility Review</t>
        </is>
      </c>
      <c r="F47" t="inlineStr">
        <is>
          <t>Pending Service Mapping</t>
        </is>
      </c>
      <c r="G47" t="inlineStr">
        <is>
          <t>Pending Parts Mapping</t>
        </is>
      </c>
      <c r="H47" t="inlineStr">
        <is>
          <t>Compatibility; Service mapping; Parts mapping</t>
        </is>
      </c>
      <c r="I47" t="inlineStr">
        <is>
          <t>Review relationships after device identity approval</t>
        </is>
      </c>
      <c r="J47" t="inlineStr">
        <is>
          <t>Pending Relationship Review</t>
        </is>
      </c>
    </row>
  </sheetData>
  <autoFilter ref="A1:K47"/>
  <conditionalFormatting sqref="E2:G47">
    <cfRule type="expression" priority="2" dxfId="332">
      <formula>ISNUMBER(SEARCH("Pending",E2))</formula>
    </cfRule>
  </conditionalFormatting>
  <conditionalFormatting sqref="H2:H47">
    <cfRule type="expression" priority="5" dxfId="333">
      <formula>LEN(TRIM(H2))&gt;0</formula>
    </cfRule>
  </conditionalFormatting>
  <conditionalFormatting sqref="J2:J47">
    <cfRule type="expression" priority="1" dxfId="332">
      <formula>ISNUMBER(SEARCH("Pending",J2))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style="42" min="1" max="1"/>
    <col width="12" customWidth="1" style="42" min="2" max="2"/>
    <col width="34" customWidth="1" style="42" min="3" max="3"/>
  </cols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Retained Device rows</t>
        </is>
      </c>
      <c r="B2" t="inlineStr">
        <is>
          <t>PASS</t>
        </is>
      </c>
      <c r="C2" t="inlineStr">
        <is>
          <t>46</t>
        </is>
      </c>
    </row>
    <row r="3">
      <c r="A3" t="inlineStr">
        <is>
          <t>Master Devices schema</t>
        </is>
      </c>
      <c r="B3" t="inlineStr">
        <is>
          <t>PASS</t>
        </is>
      </c>
      <c r="C3" t="inlineStr">
        <is>
          <t>48 columns</t>
        </is>
      </c>
    </row>
    <row r="4">
      <c r="A4" t="inlineStr">
        <is>
          <t>Worksheet contract</t>
        </is>
      </c>
      <c r="B4" t="inlineStr">
        <is>
          <t>PASS</t>
        </is>
      </c>
      <c r="C4" t="inlineStr">
        <is>
          <t>15 worksheets</t>
        </is>
      </c>
    </row>
    <row r="5">
      <c r="A5" t="inlineStr">
        <is>
          <t>Canonical Device ID source</t>
        </is>
      </c>
      <c r="B5" t="inlineStr">
        <is>
          <t>PASS</t>
        </is>
      </c>
      <c r="C5" t="inlineStr">
        <is>
          <t>Highest valid ID DEV000842</t>
        </is>
      </c>
    </row>
    <row r="6">
      <c r="A6" t="inlineStr">
        <is>
          <t>Generated Device ID sequence</t>
        </is>
      </c>
      <c r="B6" t="inlineStr">
        <is>
          <t>PASS</t>
        </is>
      </c>
      <c r="C6" t="inlineStr">
        <is>
          <t>DEV000843 through DEV000888</t>
        </is>
      </c>
    </row>
    <row r="7">
      <c r="A7" t="inlineStr">
        <is>
          <t>Malformed canonical Device IDs</t>
        </is>
      </c>
      <c r="B7" t="inlineStr">
        <is>
          <t>PASS</t>
        </is>
      </c>
      <c r="C7" t="inlineStr">
        <is>
          <t>None</t>
        </is>
      </c>
    </row>
    <row r="8">
      <c r="A8" t="inlineStr">
        <is>
          <t>Protected input hashes</t>
        </is>
      </c>
      <c r="B8" t="inlineStr">
        <is>
          <t>PASS</t>
        </is>
      </c>
      <c r="C8" t="inlineStr">
        <is>
          <t>Verified before and after generation</t>
        </is>
      </c>
    </row>
    <row r="9">
      <c r="A9" t="inlineStr">
        <is>
          <t>Canonical import</t>
        </is>
      </c>
      <c r="B9" t="inlineStr">
        <is>
          <t>PASS</t>
        </is>
      </c>
      <c r="C9" t="inlineStr">
        <is>
          <t>Not performed; review artifact only</t>
        </is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28" customWidth="1" style="42" min="2" max="2"/>
    <col width="29" customWidth="1" style="42" min="3" max="3"/>
    <col width="14" customWidth="1" style="42" min="4" max="4"/>
    <col width="34" customWidth="1" style="42" min="5" max="5"/>
  </cols>
  <sheetData>
    <row r="1">
      <c r="A1" s="1" t="inlineStr">
        <is>
          <t>Revision</t>
        </is>
      </c>
      <c r="B1" s="1" t="inlineStr">
        <is>
          <t>Revision Date</t>
        </is>
      </c>
      <c r="C1" s="1" t="inlineStr">
        <is>
          <t>Author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v1</t>
        </is>
      </c>
      <c r="B2" s="4" t="n">
        <v>46226.22557619213</v>
      </c>
      <c r="C2" t="inlineStr">
        <is>
          <t>Nocturnix Catalog Generator</t>
        </is>
      </c>
      <c r="D2" t="inlineStr">
        <is>
          <t>Review Draft</t>
        </is>
      </c>
      <c r="E2" t="inlineStr">
        <is>
          <t>Initial Master Devices review package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42" min="1" max="2"/>
  </cols>
  <sheetData>
    <row r="1">
      <c r="A1" s="1" t="inlineStr">
        <is>
          <t>Metadata Key</t>
        </is>
      </c>
      <c r="B1" s="1" t="inlineStr">
        <is>
          <t>Metadata Value</t>
        </is>
      </c>
    </row>
    <row r="2">
      <c r="A2" t="inlineStr">
        <is>
          <t>Artifact Type</t>
        </is>
      </c>
      <c r="B2" t="inlineStr">
        <is>
          <t>Master Devices Catalog V1 review workbook</t>
        </is>
      </c>
    </row>
    <row r="3">
      <c r="A3" t="inlineStr">
        <is>
          <t>Generated At UTC</t>
        </is>
      </c>
      <c r="B3" s="4" t="n">
        <v>46226.2255762037</v>
      </c>
    </row>
    <row r="4">
      <c r="A4" t="inlineStr">
        <is>
          <t>Import Batch ID</t>
        </is>
      </c>
      <c r="B4" t="inlineStr">
        <is>
          <t>MASTER-DEVICES-V1-REVIEW</t>
        </is>
      </c>
    </row>
    <row r="5">
      <c r="A5" t="inlineStr">
        <is>
          <t>Namespace Authority</t>
        </is>
      </c>
      <c r="B5" t="inlineStr">
        <is>
          <t>ADR-009</t>
        </is>
      </c>
    </row>
    <row r="6">
      <c r="A6" t="inlineStr">
        <is>
          <t>Expected Device Rows</t>
        </is>
      </c>
      <c r="B6" t="n">
        <v>46</v>
      </c>
    </row>
    <row r="7">
      <c r="A7" t="inlineStr">
        <is>
          <t>Schema Columns</t>
        </is>
      </c>
      <c r="B7" t="n">
        <v>48</v>
      </c>
    </row>
    <row r="8">
      <c r="A8" t="inlineStr">
        <is>
          <t>Highest Existing Device ID</t>
        </is>
      </c>
      <c r="B8" t="inlineStr">
        <is>
          <t>DEV000842</t>
        </is>
      </c>
    </row>
    <row r="9">
      <c r="A9" t="inlineStr">
        <is>
          <t>First Proposed Device ID</t>
        </is>
      </c>
      <c r="B9" t="inlineStr">
        <is>
          <t>DEV000843</t>
        </is>
      </c>
    </row>
    <row r="10">
      <c r="A10" t="inlineStr">
        <is>
          <t>Final Proposed Device ID</t>
        </is>
      </c>
      <c r="B10" t="inlineStr">
        <is>
          <t>DEV000888</t>
        </is>
      </c>
    </row>
    <row r="11">
      <c r="A11" t="inlineStr">
        <is>
          <t>Malformed Existing Device IDs</t>
        </is>
      </c>
    </row>
    <row r="12">
      <c r="A12" t="inlineStr">
        <is>
          <t>Canonical Write Performed</t>
        </is>
      </c>
      <c r="B12" t="inlineStr">
        <is>
          <t>No</t>
        </is>
      </c>
    </row>
    <row r="13">
      <c r="A13" t="inlineStr">
        <is>
          <t>SHA-256 Nocturnix_Legacy_Catalog_Deduplication_Proposal_v1.xlsx</t>
        </is>
      </c>
      <c r="B13" t="inlineStr">
        <is>
          <t>fe78cd36c7c71a4838a0a28344789af8d813ab0aa0888bcbe5e610919c38275d</t>
        </is>
      </c>
    </row>
    <row r="14">
      <c r="A14" t="inlineStr">
        <is>
          <t>SHA-256 Nocturnix_Master_Services_Catalog_v1.xlsx</t>
        </is>
      </c>
      <c r="B14" t="inlineStr">
        <is>
          <t>f1a85069f3f7655e2fd375cf2ee63c5c716422e1a7d2befe61073005396e34c2</t>
        </is>
      </c>
    </row>
    <row r="15">
      <c r="A15" t="inlineStr">
        <is>
          <t>SHA-256 Nocturnix_Master_Parts_Catalog_v1.xlsx</t>
        </is>
      </c>
      <c r="B15" t="inlineStr">
        <is>
          <t>3f6387b43647aa63c69f2995fbc0c272d9f85c0dd1a340ebaab842704d3c3464</t>
        </is>
      </c>
    </row>
    <row r="16">
      <c r="A16" t="inlineStr">
        <is>
          <t>SHA-256 Nocturnix_Master_Pricing_Catalog_v1.xlsx</t>
        </is>
      </c>
      <c r="B16" t="inlineStr">
        <is>
          <t>fe9e719435293555ea708ad238c492b386c1f78a826c62e93a66ed344ee3137a</t>
        </is>
      </c>
    </row>
    <row r="17">
      <c r="A17" t="inlineStr">
        <is>
          <t>SHA-256 Nocturnix_Master_Database.xlsm</t>
        </is>
      </c>
      <c r="B17" t="inlineStr">
        <is>
          <t>d7123cf666ea6620b7fda30448efcee77476fe9320302153d8f5a4cd188e55a3</t>
        </is>
      </c>
    </row>
  </sheetData>
  <autoFilter ref="A1:B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selection activeCell="A2" sqref="A2"/>
    </sheetView>
  </sheetViews>
  <sheetFormatPr baseColWidth="8" defaultRowHeight="14.5"/>
  <cols>
    <col width="23.81640625" bestFit="1" customWidth="1" style="42" min="1" max="1"/>
    <col width="21.7265625" bestFit="1" customWidth="1" style="42" min="2" max="2"/>
    <col width="23.453125" bestFit="1" customWidth="1" style="42" min="3" max="3"/>
    <col width="16.81640625" bestFit="1" customWidth="1" style="42" min="4" max="4"/>
    <col width="13.7265625" bestFit="1" customWidth="1" style="42" min="5" max="5"/>
    <col width="24.54296875" bestFit="1" customWidth="1" style="42" min="6" max="6"/>
    <col width="14.54296875" bestFit="1" customWidth="1" style="42" min="7" max="7"/>
    <col width="19.7265625" bestFit="1" customWidth="1" style="42" min="8" max="8"/>
    <col width="19.26953125" bestFit="1" customWidth="1" style="42" min="9" max="9"/>
    <col width="17.453125" bestFit="1" customWidth="1" style="42" min="10" max="10"/>
    <col width="36.90625" bestFit="1" customWidth="1" style="42" min="11" max="11"/>
    <col width="24.54296875" bestFit="1" customWidth="1" style="42" min="12" max="12"/>
    <col width="16.26953125" bestFit="1" customWidth="1" style="42" min="13" max="13"/>
    <col width="13.26953125" bestFit="1" customWidth="1" style="42" min="14" max="14"/>
    <col width="11.453125" bestFit="1" customWidth="1" style="42" min="15" max="15"/>
    <col width="8.7265625" customWidth="1" style="42" min="16" max="16384"/>
  </cols>
  <sheetData>
    <row r="1" ht="21.5" customHeight="1" s="42">
      <c r="A1" s="23" t="inlineStr">
        <is>
          <t>DeviceTypeID</t>
        </is>
      </c>
      <c r="B1" s="23" t="inlineStr">
        <is>
          <t>Device Type</t>
        </is>
      </c>
      <c r="C1" s="23" t="inlineStr">
        <is>
          <t>Description</t>
        </is>
      </c>
      <c r="D1" s="24" t="inlineStr">
        <is>
          <t>Sort Order</t>
        </is>
      </c>
      <c r="E1" s="23" t="inlineStr">
        <is>
          <t>IsActive</t>
        </is>
      </c>
      <c r="F1" s="35" t="n"/>
      <c r="G1" s="35" t="inlineStr">
        <is>
          <t>ModelID</t>
        </is>
      </c>
      <c r="H1" s="35" t="inlineStr">
        <is>
          <t>ManufacturerID</t>
        </is>
      </c>
      <c r="I1" s="35" t="inlineStr">
        <is>
          <t>DeviceFamilyID</t>
        </is>
      </c>
      <c r="J1" s="35" t="inlineStr">
        <is>
          <t>ProposedManufacturerID</t>
        </is>
      </c>
      <c r="K1" s="35" t="inlineStr">
        <is>
          <t>ProposedDeviceFamilyID</t>
        </is>
      </c>
      <c r="L1" s="35" t="inlineStr">
        <is>
          <t>ProposedDeviceTypeID</t>
        </is>
      </c>
      <c r="M1" s="35" t="inlineStr">
        <is>
          <t>ManufacturerMappingStatus</t>
        </is>
      </c>
      <c r="N1" s="35" t="inlineStr">
        <is>
          <t>DeviceFamilyMappingStatus</t>
        </is>
      </c>
      <c r="O1" s="35" t="inlineStr">
        <is>
          <t>DeviceTypeMappingStatus</t>
        </is>
      </c>
      <c r="P1" t="inlineStr">
        <is>
          <t>ForeignKeyReviewStatus</t>
        </is>
      </c>
      <c r="Q1" t="inlineStr">
        <is>
          <t>DuplicateCandidateStatus</t>
        </is>
      </c>
    </row>
    <row r="2" ht="21.5" customHeight="1" s="42">
      <c r="A2" s="37" t="inlineStr">
        <is>
          <t>DT000001</t>
        </is>
      </c>
      <c r="B2" s="37" t="inlineStr">
        <is>
          <t>Smartphone</t>
        </is>
      </c>
      <c r="C2" s="37" t="inlineStr">
        <is>
          <t>Mobile phones</t>
        </is>
      </c>
      <c r="D2" s="27" t="n">
        <v>1</v>
      </c>
      <c r="E2" s="38" t="inlineStr">
        <is>
          <t>Yes</t>
        </is>
      </c>
      <c r="F2" s="38" t="n"/>
      <c r="G2" s="10" t="inlineStr">
        <is>
          <t>MOD000001</t>
        </is>
      </c>
      <c r="H2" s="31" t="inlineStr">
        <is>
          <t>MFG001</t>
        </is>
      </c>
      <c r="I2" s="31" t="inlineStr">
        <is>
          <t>DF001</t>
        </is>
      </c>
      <c r="J2" s="31">
        <f>XLOOKUP([@ManufacturerID],tblManufacturerIDCrosswalk[LegacyManufacturerID],tblManufacturerIDCrosswalk[CanonicalManufacturerID],"")</f>
        <v/>
      </c>
      <c r="K2" s="33">
        <f>XLOOKUP([@DeviceFamilyID],tblDeviceFamilyIDCrosswalk[LegacyDeviceFamilyID],tblDeviceFamilyIDCrosswalk[CanonicalDeviceFamilyID],"")</f>
        <v/>
      </c>
      <c r="L2" s="33">
        <f>XLOOKUP([@DeviceTypeID],tblDeviceTypeIDCrosswalk[LegacyDeviceTypeID],tblDeviceTypeIDCrosswalk[CanonicalDeviceTypeID],"")</f>
        <v/>
      </c>
      <c r="M2" s="32">
        <f>XLOOKUP([@ManufacturerID],tblManufacturerIDCrosswalk[LegacyManufacturerID],tblManufacturerIDCrosswalk[MappingStatus],"No Crosswalk")</f>
        <v/>
      </c>
      <c r="N2" s="35">
        <f>XLOOKUP([@DeviceFamilyID],tblDeviceFamilyIDCrosswalk[LegacyDeviceFamilyID],tblDeviceFamilyIDCrosswalk[MappingStatus],"No Crosswalk")</f>
        <v/>
      </c>
      <c r="O2" s="35">
        <f>XLOOKUP([@DeviceTypeID],tblDeviceTypeIDCrosswalk[LegacyDeviceTypeID],tblDeviceTypeIDCrosswalk[MappingStatus],"No Crosswalk")</f>
        <v/>
      </c>
      <c r="P2">
        <f>IF(OR([@ManufacturerMappingStatus]&lt;&gt;"Approved",[@DeviceFamilyMappingStatus]&lt;&gt;"Approved",[@DeviceTypeMappingStatus]&lt;&gt;"Approved"),"Manual Review Required","Approved Crosswalk Available")</f>
        <v/>
      </c>
      <c r="Q2" t="inlineStr">
        <is>
          <t>Pending Review</t>
        </is>
      </c>
    </row>
    <row r="3" ht="21.5" customHeight="1" s="42">
      <c r="A3" s="37" t="inlineStr">
        <is>
          <t>DT000002</t>
        </is>
      </c>
      <c r="B3" s="37" t="inlineStr">
        <is>
          <t>Tablet</t>
        </is>
      </c>
      <c r="C3" s="37" t="inlineStr">
        <is>
          <t>Tablets and iPads</t>
        </is>
      </c>
      <c r="D3" s="27" t="n">
        <v>2</v>
      </c>
      <c r="E3" s="38" t="inlineStr">
        <is>
          <t>Yes</t>
        </is>
      </c>
      <c r="F3" s="38" t="n"/>
      <c r="G3" s="10" t="inlineStr">
        <is>
          <t>MOD000002</t>
        </is>
      </c>
      <c r="H3" s="31" t="inlineStr">
        <is>
          <t>MFG001</t>
        </is>
      </c>
      <c r="I3" s="31" t="inlineStr">
        <is>
          <t>DF001</t>
        </is>
      </c>
      <c r="J3" s="31">
        <f>XLOOKUP([@ManufacturerID],tblManufacturerIDCrosswalk[LegacyManufacturerID],tblManufacturerIDCrosswalk[CanonicalManufacturerID],"")</f>
        <v/>
      </c>
      <c r="K3" s="33">
        <f>XLOOKUP([@DeviceFamilyID],tblDeviceFamilyIDCrosswalk[LegacyDeviceFamilyID],tblDeviceFamilyIDCrosswalk[CanonicalDeviceFamilyID],"")</f>
        <v/>
      </c>
      <c r="L3" s="33">
        <f>XLOOKUP([@DeviceTypeID],tblDeviceTypeIDCrosswalk[LegacyDeviceTypeID],tblDeviceTypeIDCrosswalk[CanonicalDeviceTypeID],"")</f>
        <v/>
      </c>
      <c r="M3" s="32">
        <f>XLOOKUP([@ManufacturerID],tblManufacturerIDCrosswalk[LegacyManufacturerID],tblManufacturerIDCrosswalk[MappingStatus],"No Crosswalk")</f>
        <v/>
      </c>
      <c r="N3" s="35">
        <f>XLOOKUP([@DeviceFamilyID],tblDeviceFamilyIDCrosswalk[LegacyDeviceFamilyID],tblDeviceFamilyIDCrosswalk[MappingStatus],"No Crosswalk")</f>
        <v/>
      </c>
      <c r="O3" s="35">
        <f>XLOOKUP([@DeviceTypeID],tblDeviceTypeIDCrosswalk[LegacyDeviceTypeID],tblDeviceTypeIDCrosswalk[MappingStatus],"No Crosswalk")</f>
        <v/>
      </c>
      <c r="P3">
        <f>IF(OR([@ManufacturerMappingStatus]&lt;&gt;"Approved",[@DeviceFamilyMappingStatus]&lt;&gt;"Approved",[@DeviceTypeMappingStatus]&lt;&gt;"Approved"),"Manual Review Required","Approved Crosswalk Available")</f>
        <v/>
      </c>
      <c r="Q3" t="inlineStr">
        <is>
          <t>Pending Review</t>
        </is>
      </c>
    </row>
    <row r="4" ht="21.5" customHeight="1" s="42">
      <c r="A4" s="37" t="inlineStr">
        <is>
          <t>DT000003</t>
        </is>
      </c>
      <c r="B4" s="37" t="inlineStr">
        <is>
          <t>Laptop</t>
        </is>
      </c>
      <c r="C4" s="37" t="inlineStr">
        <is>
          <t>Portable computers</t>
        </is>
      </c>
      <c r="D4" s="27" t="n">
        <v>3</v>
      </c>
      <c r="E4" s="38" t="inlineStr">
        <is>
          <t>Yes</t>
        </is>
      </c>
      <c r="F4" s="38" t="n"/>
      <c r="G4" s="10" t="inlineStr">
        <is>
          <t>MOD000003</t>
        </is>
      </c>
      <c r="H4" s="31" t="inlineStr">
        <is>
          <t>MFG001</t>
        </is>
      </c>
      <c r="I4" s="31" t="inlineStr">
        <is>
          <t>DF001</t>
        </is>
      </c>
      <c r="J4" s="31">
        <f>XLOOKUP([@ManufacturerID],tblManufacturerIDCrosswalk[LegacyManufacturerID],tblManufacturerIDCrosswalk[CanonicalManufacturerID],"")</f>
        <v/>
      </c>
      <c r="K4" s="33">
        <f>XLOOKUP([@DeviceFamilyID],tblDeviceFamilyIDCrosswalk[LegacyDeviceFamilyID],tblDeviceFamilyIDCrosswalk[CanonicalDeviceFamilyID],"")</f>
        <v/>
      </c>
      <c r="L4" s="33">
        <f>XLOOKUP([@DeviceTypeID],tblDeviceTypeIDCrosswalk[LegacyDeviceTypeID],tblDeviceTypeIDCrosswalk[CanonicalDeviceTypeID],"")</f>
        <v/>
      </c>
      <c r="M4" s="32">
        <f>XLOOKUP([@ManufacturerID],tblManufacturerIDCrosswalk[LegacyManufacturerID],tblManufacturerIDCrosswalk[MappingStatus],"No Crosswalk")</f>
        <v/>
      </c>
      <c r="N4" s="35">
        <f>XLOOKUP([@DeviceFamilyID],tblDeviceFamilyIDCrosswalk[LegacyDeviceFamilyID],tblDeviceFamilyIDCrosswalk[MappingStatus],"No Crosswalk")</f>
        <v/>
      </c>
      <c r="O4" s="35">
        <f>XLOOKUP([@DeviceTypeID],tblDeviceTypeIDCrosswalk[LegacyDeviceTypeID],tblDeviceTypeIDCrosswalk[MappingStatus],"No Crosswalk")</f>
        <v/>
      </c>
      <c r="P4">
        <f>IF(OR([@ManufacturerMappingStatus]&lt;&gt;"Approved",[@DeviceFamilyMappingStatus]&lt;&gt;"Approved",[@DeviceTypeMappingStatus]&lt;&gt;"Approved"),"Manual Review Required","Approved Crosswalk Available")</f>
        <v/>
      </c>
      <c r="Q4" t="inlineStr">
        <is>
          <t>Pending Review</t>
        </is>
      </c>
    </row>
    <row r="5" ht="21.5" customHeight="1" s="42">
      <c r="A5" s="37" t="inlineStr">
        <is>
          <t>DT000004</t>
        </is>
      </c>
      <c r="B5" s="37" t="inlineStr">
        <is>
          <t>Desktop</t>
        </is>
      </c>
      <c r="C5" s="37" t="inlineStr">
        <is>
          <t>Desktop computers</t>
        </is>
      </c>
      <c r="D5" s="27" t="n">
        <v>4</v>
      </c>
      <c r="E5" s="38" t="inlineStr">
        <is>
          <t>Yes</t>
        </is>
      </c>
      <c r="F5" s="38" t="n"/>
      <c r="G5" s="10" t="inlineStr">
        <is>
          <t>MOD000004</t>
        </is>
      </c>
      <c r="H5" s="31" t="inlineStr">
        <is>
          <t>MFG001</t>
        </is>
      </c>
      <c r="I5" s="31" t="inlineStr">
        <is>
          <t>DF001</t>
        </is>
      </c>
      <c r="J5" s="31">
        <f>XLOOKUP([@ManufacturerID],tblManufacturerIDCrosswalk[LegacyManufacturerID],tblManufacturerIDCrosswalk[CanonicalManufacturerID],"")</f>
        <v/>
      </c>
      <c r="K5" s="33">
        <f>XLOOKUP([@DeviceFamilyID],tblDeviceFamilyIDCrosswalk[LegacyDeviceFamilyID],tblDeviceFamilyIDCrosswalk[CanonicalDeviceFamilyID],"")</f>
        <v/>
      </c>
      <c r="L5" s="33">
        <f>XLOOKUP([@DeviceTypeID],tblDeviceTypeIDCrosswalk[LegacyDeviceTypeID],tblDeviceTypeIDCrosswalk[CanonicalDeviceTypeID],"")</f>
        <v/>
      </c>
      <c r="M5" s="32">
        <f>XLOOKUP([@ManufacturerID],tblManufacturerIDCrosswalk[LegacyManufacturerID],tblManufacturerIDCrosswalk[MappingStatus],"No Crosswalk")</f>
        <v/>
      </c>
      <c r="N5" s="35">
        <f>XLOOKUP([@DeviceFamilyID],tblDeviceFamilyIDCrosswalk[LegacyDeviceFamilyID],tblDeviceFamilyIDCrosswalk[MappingStatus],"No Crosswalk")</f>
        <v/>
      </c>
      <c r="O5" s="35">
        <f>XLOOKUP([@DeviceTypeID],tblDeviceTypeIDCrosswalk[LegacyDeviceTypeID],tblDeviceTypeIDCrosswalk[MappingStatus],"No Crosswalk")</f>
        <v/>
      </c>
      <c r="P5">
        <f>IF(OR([@ManufacturerMappingStatus]&lt;&gt;"Approved",[@DeviceFamilyMappingStatus]&lt;&gt;"Approved",[@DeviceTypeMappingStatus]&lt;&gt;"Approved"),"Manual Review Required","Approved Crosswalk Available")</f>
        <v/>
      </c>
      <c r="Q5" t="inlineStr">
        <is>
          <t>Pending Review</t>
        </is>
      </c>
    </row>
    <row r="6" ht="21.5" customHeight="1" s="42">
      <c r="A6" s="37" t="inlineStr">
        <is>
          <t>DT000005</t>
        </is>
      </c>
      <c r="B6" s="37" t="inlineStr">
        <is>
          <t>Gaming Console</t>
        </is>
      </c>
      <c r="C6" s="37" t="inlineStr">
        <is>
          <t>Consoles</t>
        </is>
      </c>
      <c r="D6" s="27" t="n">
        <v>5</v>
      </c>
      <c r="E6" s="38" t="inlineStr">
        <is>
          <t>Yes</t>
        </is>
      </c>
      <c r="F6" s="38" t="n"/>
      <c r="G6" s="10" t="inlineStr">
        <is>
          <t>MOD000005</t>
        </is>
      </c>
      <c r="H6" s="31" t="inlineStr">
        <is>
          <t>MFG001</t>
        </is>
      </c>
      <c r="I6" s="31" t="inlineStr">
        <is>
          <t>DF001</t>
        </is>
      </c>
      <c r="J6" s="31">
        <f>XLOOKUP([@ManufacturerID],tblManufacturerIDCrosswalk[LegacyManufacturerID],tblManufacturerIDCrosswalk[CanonicalManufacturerID],"")</f>
        <v/>
      </c>
      <c r="K6" s="33">
        <f>XLOOKUP([@DeviceFamilyID],tblDeviceFamilyIDCrosswalk[LegacyDeviceFamilyID],tblDeviceFamilyIDCrosswalk[CanonicalDeviceFamilyID],"")</f>
        <v/>
      </c>
      <c r="L6" s="33">
        <f>XLOOKUP([@DeviceTypeID],tblDeviceTypeIDCrosswalk[LegacyDeviceTypeID],tblDeviceTypeIDCrosswalk[CanonicalDeviceTypeID],"")</f>
        <v/>
      </c>
      <c r="M6" s="32">
        <f>XLOOKUP([@ManufacturerID],tblManufacturerIDCrosswalk[LegacyManufacturerID],tblManufacturerIDCrosswalk[MappingStatus],"No Crosswalk")</f>
        <v/>
      </c>
      <c r="N6" s="35">
        <f>XLOOKUP([@DeviceFamilyID],tblDeviceFamilyIDCrosswalk[LegacyDeviceFamilyID],tblDeviceFamilyIDCrosswalk[MappingStatus],"No Crosswalk")</f>
        <v/>
      </c>
      <c r="O6" s="35">
        <f>XLOOKUP([@DeviceTypeID],tblDeviceTypeIDCrosswalk[LegacyDeviceTypeID],tblDeviceTypeIDCrosswalk[MappingStatus],"No Crosswalk")</f>
        <v/>
      </c>
      <c r="P6">
        <f>IF(OR([@ManufacturerMappingStatus]&lt;&gt;"Approved",[@DeviceFamilyMappingStatus]&lt;&gt;"Approved",[@DeviceTypeMappingStatus]&lt;&gt;"Approved"),"Manual Review Required","Approved Crosswalk Available")</f>
        <v/>
      </c>
      <c r="Q6" t="inlineStr">
        <is>
          <t>Pending Review</t>
        </is>
      </c>
    </row>
    <row r="7" ht="21.5" customHeight="1" s="42">
      <c r="A7" s="37" t="inlineStr">
        <is>
          <t>DT000006</t>
        </is>
      </c>
      <c r="B7" s="37" t="inlineStr">
        <is>
          <t>Smartwatch</t>
        </is>
      </c>
      <c r="C7" s="37" t="inlineStr">
        <is>
          <t>Wearable devices</t>
        </is>
      </c>
      <c r="D7" s="27" t="n">
        <v>6</v>
      </c>
      <c r="E7" s="38" t="inlineStr">
        <is>
          <t>Yes</t>
        </is>
      </c>
      <c r="F7" s="38" t="n"/>
      <c r="G7" s="10" t="inlineStr">
        <is>
          <t>MOD000006</t>
        </is>
      </c>
      <c r="H7" s="31" t="inlineStr">
        <is>
          <t>MFG001</t>
        </is>
      </c>
      <c r="I7" s="31" t="inlineStr">
        <is>
          <t>DF001</t>
        </is>
      </c>
      <c r="J7" s="31">
        <f>XLOOKUP([@ManufacturerID],tblManufacturerIDCrosswalk[LegacyManufacturerID],tblManufacturerIDCrosswalk[CanonicalManufacturerID],"")</f>
        <v/>
      </c>
      <c r="K7" s="33">
        <f>XLOOKUP([@DeviceFamilyID],tblDeviceFamilyIDCrosswalk[LegacyDeviceFamilyID],tblDeviceFamilyIDCrosswalk[CanonicalDeviceFamilyID],"")</f>
        <v/>
      </c>
      <c r="L7" s="33">
        <f>XLOOKUP([@DeviceTypeID],tblDeviceTypeIDCrosswalk[LegacyDeviceTypeID],tblDeviceTypeIDCrosswalk[CanonicalDeviceTypeID],"")</f>
        <v/>
      </c>
      <c r="M7" s="32">
        <f>XLOOKUP([@ManufacturerID],tblManufacturerIDCrosswalk[LegacyManufacturerID],tblManufacturerIDCrosswalk[MappingStatus],"No Crosswalk")</f>
        <v/>
      </c>
      <c r="N7" s="35">
        <f>XLOOKUP([@DeviceFamilyID],tblDeviceFamilyIDCrosswalk[LegacyDeviceFamilyID],tblDeviceFamilyIDCrosswalk[MappingStatus],"No Crosswalk")</f>
        <v/>
      </c>
      <c r="O7" s="35">
        <f>XLOOKUP([@DeviceTypeID],tblDeviceTypeIDCrosswalk[LegacyDeviceTypeID],tblDeviceTypeIDCrosswalk[MappingStatus],"No Crosswalk")</f>
        <v/>
      </c>
      <c r="P7">
        <f>IF(OR([@ManufacturerMappingStatus]&lt;&gt;"Approved",[@DeviceFamilyMappingStatus]&lt;&gt;"Approved",[@DeviceTypeMappingStatus]&lt;&gt;"Approved"),"Manual Review Required","Approved Crosswalk Available")</f>
        <v/>
      </c>
      <c r="Q7" t="inlineStr">
        <is>
          <t>Pending Review</t>
        </is>
      </c>
    </row>
    <row r="8" ht="21.5" customHeight="1" s="42">
      <c r="A8" s="37" t="inlineStr">
        <is>
          <t>DT000007</t>
        </is>
      </c>
      <c r="B8" s="37" t="inlineStr">
        <is>
          <t>Drone</t>
        </is>
      </c>
      <c r="C8" s="37" t="inlineStr">
        <is>
          <t>Consumer drones</t>
        </is>
      </c>
      <c r="D8" s="27" t="n">
        <v>7</v>
      </c>
      <c r="E8" s="38" t="inlineStr">
        <is>
          <t>Yes</t>
        </is>
      </c>
      <c r="F8" s="38" t="n"/>
      <c r="G8" s="10" t="inlineStr">
        <is>
          <t>MOD000007</t>
        </is>
      </c>
      <c r="H8" s="31" t="inlineStr">
        <is>
          <t>MFG001</t>
        </is>
      </c>
      <c r="I8" s="31" t="inlineStr">
        <is>
          <t>DF001</t>
        </is>
      </c>
      <c r="J8" s="31">
        <f>XLOOKUP([@ManufacturerID],tblManufacturerIDCrosswalk[LegacyManufacturerID],tblManufacturerIDCrosswalk[CanonicalManufacturerID],"")</f>
        <v/>
      </c>
      <c r="K8" s="33">
        <f>XLOOKUP([@DeviceFamilyID],tblDeviceFamilyIDCrosswalk[LegacyDeviceFamilyID],tblDeviceFamilyIDCrosswalk[CanonicalDeviceFamilyID],"")</f>
        <v/>
      </c>
      <c r="L8" s="33">
        <f>XLOOKUP([@DeviceTypeID],tblDeviceTypeIDCrosswalk[LegacyDeviceTypeID],tblDeviceTypeIDCrosswalk[CanonicalDeviceTypeID],"")</f>
        <v/>
      </c>
      <c r="M8" s="32">
        <f>XLOOKUP([@ManufacturerID],tblManufacturerIDCrosswalk[LegacyManufacturerID],tblManufacturerIDCrosswalk[MappingStatus],"No Crosswalk")</f>
        <v/>
      </c>
      <c r="N8" s="35">
        <f>XLOOKUP([@DeviceFamilyID],tblDeviceFamilyIDCrosswalk[LegacyDeviceFamilyID],tblDeviceFamilyIDCrosswalk[MappingStatus],"No Crosswalk")</f>
        <v/>
      </c>
      <c r="O8" s="35">
        <f>XLOOKUP([@DeviceTypeID],tblDeviceTypeIDCrosswalk[LegacyDeviceTypeID],tblDeviceTypeIDCrosswalk[MappingStatus],"No Crosswalk")</f>
        <v/>
      </c>
      <c r="P8">
        <f>IF(OR([@ManufacturerMappingStatus]&lt;&gt;"Approved",[@DeviceFamilyMappingStatus]&lt;&gt;"Approved",[@DeviceTypeMappingStatus]&lt;&gt;"Approved"),"Manual Review Required","Approved Crosswalk Available")</f>
        <v/>
      </c>
      <c r="Q8" t="inlineStr">
        <is>
          <t>Pending Review</t>
        </is>
      </c>
    </row>
    <row r="9" ht="21.5" customHeight="1" s="42">
      <c r="A9" s="37" t="inlineStr">
        <is>
          <t>DT000008</t>
        </is>
      </c>
      <c r="B9" s="37" t="inlineStr">
        <is>
          <t>VR Headset</t>
        </is>
      </c>
      <c r="C9" s="37" t="inlineStr">
        <is>
          <t>Virtual reality devices</t>
        </is>
      </c>
      <c r="D9" s="27" t="n">
        <v>8</v>
      </c>
      <c r="E9" s="38" t="inlineStr">
        <is>
          <t>Yes</t>
        </is>
      </c>
      <c r="F9" s="38" t="n"/>
      <c r="G9" s="10" t="inlineStr">
        <is>
          <t>MOD000008</t>
        </is>
      </c>
      <c r="H9" s="31" t="inlineStr">
        <is>
          <t>MFG001</t>
        </is>
      </c>
      <c r="I9" s="31" t="inlineStr">
        <is>
          <t>DF001</t>
        </is>
      </c>
      <c r="J9" s="31">
        <f>XLOOKUP([@ManufacturerID],tblManufacturerIDCrosswalk[LegacyManufacturerID],tblManufacturerIDCrosswalk[CanonicalManufacturerID],"")</f>
        <v/>
      </c>
      <c r="K9" s="33">
        <f>XLOOKUP([@DeviceFamilyID],tblDeviceFamilyIDCrosswalk[LegacyDeviceFamilyID],tblDeviceFamilyIDCrosswalk[CanonicalDeviceFamilyID],"")</f>
        <v/>
      </c>
      <c r="L9" s="33">
        <f>XLOOKUP([@DeviceTypeID],tblDeviceTypeIDCrosswalk[LegacyDeviceTypeID],tblDeviceTypeIDCrosswalk[CanonicalDeviceTypeID],"")</f>
        <v/>
      </c>
      <c r="M9" s="32">
        <f>XLOOKUP([@ManufacturerID],tblManufacturerIDCrosswalk[LegacyManufacturerID],tblManufacturerIDCrosswalk[MappingStatus],"No Crosswalk")</f>
        <v/>
      </c>
      <c r="N9" s="35">
        <f>XLOOKUP([@DeviceFamilyID],tblDeviceFamilyIDCrosswalk[LegacyDeviceFamilyID],tblDeviceFamilyIDCrosswalk[MappingStatus],"No Crosswalk")</f>
        <v/>
      </c>
      <c r="O9" s="35">
        <f>XLOOKUP([@DeviceTypeID],tblDeviceTypeIDCrosswalk[LegacyDeviceTypeID],tblDeviceTypeIDCrosswalk[MappingStatus],"No Crosswalk")</f>
        <v/>
      </c>
      <c r="P9">
        <f>IF(OR([@ManufacturerMappingStatus]&lt;&gt;"Approved",[@DeviceFamilyMappingStatus]&lt;&gt;"Approved",[@DeviceTypeMappingStatus]&lt;&gt;"Approved"),"Manual Review Required","Approved Crosswalk Available")</f>
        <v/>
      </c>
      <c r="Q9" t="inlineStr">
        <is>
          <t>Pending Review</t>
        </is>
      </c>
    </row>
    <row r="10" ht="21.5" customHeight="1" s="42">
      <c r="A10" s="37" t="inlineStr">
        <is>
          <t>DT000009</t>
        </is>
      </c>
      <c r="B10" s="37" t="inlineStr">
        <is>
          <t>E-Reader</t>
        </is>
      </c>
      <c r="C10" s="37" t="inlineStr">
        <is>
          <t>Kindle, Nook, etc.</t>
        </is>
      </c>
      <c r="D10" s="27" t="n">
        <v>9</v>
      </c>
      <c r="E10" s="38" t="inlineStr">
        <is>
          <t>Yes</t>
        </is>
      </c>
      <c r="F10" s="38" t="n"/>
      <c r="G10" s="10" t="inlineStr">
        <is>
          <t>MOD000009</t>
        </is>
      </c>
      <c r="H10" s="31" t="inlineStr">
        <is>
          <t>MFG001</t>
        </is>
      </c>
      <c r="I10" s="31" t="inlineStr">
        <is>
          <t>DF001</t>
        </is>
      </c>
      <c r="J10" s="31">
        <f>XLOOKUP([@ManufacturerID],tblManufacturerIDCrosswalk[LegacyManufacturerID],tblManufacturerIDCrosswalk[CanonicalManufacturerID],"")</f>
        <v/>
      </c>
      <c r="K10" s="33">
        <f>XLOOKUP([@DeviceFamilyID],tblDeviceFamilyIDCrosswalk[LegacyDeviceFamilyID],tblDeviceFamilyIDCrosswalk[CanonicalDeviceFamilyID],"")</f>
        <v/>
      </c>
      <c r="L10" s="33">
        <f>XLOOKUP([@DeviceTypeID],tblDeviceTypeIDCrosswalk[LegacyDeviceTypeID],tblDeviceTypeIDCrosswalk[CanonicalDeviceTypeID],"")</f>
        <v/>
      </c>
      <c r="M10" s="32">
        <f>XLOOKUP([@ManufacturerID],tblManufacturerIDCrosswalk[LegacyManufacturerID],tblManufacturerIDCrosswalk[MappingStatus],"No Crosswalk")</f>
        <v/>
      </c>
      <c r="N10" s="35">
        <f>XLOOKUP([@DeviceFamilyID],tblDeviceFamilyIDCrosswalk[LegacyDeviceFamilyID],tblDeviceFamilyIDCrosswalk[MappingStatus],"No Crosswalk")</f>
        <v/>
      </c>
      <c r="O10" s="35">
        <f>XLOOKUP([@DeviceTypeID],tblDeviceTypeIDCrosswalk[LegacyDeviceTypeID],tblDeviceTypeIDCrosswalk[MappingStatus],"No Crosswalk")</f>
        <v/>
      </c>
      <c r="P10">
        <f>IF(OR([@ManufacturerMappingStatus]&lt;&gt;"Approved",[@DeviceFamilyMappingStatus]&lt;&gt;"Approved",[@DeviceTypeMappingStatus]&lt;&gt;"Approved"),"Manual Review Required","Approved Crosswalk Available")</f>
        <v/>
      </c>
      <c r="Q10" t="inlineStr">
        <is>
          <t>Pending Review</t>
        </is>
      </c>
    </row>
    <row r="11" ht="21.5" customHeight="1" s="42">
      <c r="A11" s="37" t="inlineStr">
        <is>
          <t>DT000010</t>
        </is>
      </c>
      <c r="B11" s="37" t="inlineStr">
        <is>
          <t>Media Player</t>
        </is>
      </c>
      <c r="C11" s="37" t="inlineStr">
        <is>
          <t>Apple TV, Roku, etc.</t>
        </is>
      </c>
      <c r="D11" s="27" t="n">
        <v>10</v>
      </c>
      <c r="E11" s="38" t="inlineStr">
        <is>
          <t>Yes</t>
        </is>
      </c>
      <c r="F11" s="38" t="n"/>
      <c r="G11" s="10" t="inlineStr">
        <is>
          <t>MOD000010</t>
        </is>
      </c>
      <c r="H11" s="31" t="inlineStr">
        <is>
          <t>MFG001</t>
        </is>
      </c>
      <c r="I11" s="31" t="inlineStr">
        <is>
          <t>DF001</t>
        </is>
      </c>
      <c r="J11" s="31">
        <f>XLOOKUP([@ManufacturerID],tblManufacturerIDCrosswalk[LegacyManufacturerID],tblManufacturerIDCrosswalk[CanonicalManufacturerID],"")</f>
        <v/>
      </c>
      <c r="K11" s="33">
        <f>XLOOKUP([@DeviceFamilyID],tblDeviceFamilyIDCrosswalk[LegacyDeviceFamilyID],tblDeviceFamilyIDCrosswalk[CanonicalDeviceFamilyID],"")</f>
        <v/>
      </c>
      <c r="L11" s="33">
        <f>XLOOKUP([@DeviceTypeID],tblDeviceTypeIDCrosswalk[LegacyDeviceTypeID],tblDeviceTypeIDCrosswalk[CanonicalDeviceTypeID],"")</f>
        <v/>
      </c>
      <c r="M11" s="32">
        <f>XLOOKUP([@ManufacturerID],tblManufacturerIDCrosswalk[LegacyManufacturerID],tblManufacturerIDCrosswalk[MappingStatus],"No Crosswalk")</f>
        <v/>
      </c>
      <c r="N11" s="35">
        <f>XLOOKUP([@DeviceFamilyID],tblDeviceFamilyIDCrosswalk[LegacyDeviceFamilyID],tblDeviceFamilyIDCrosswalk[MappingStatus],"No Crosswalk")</f>
        <v/>
      </c>
      <c r="O11" s="35">
        <f>XLOOKUP([@DeviceTypeID],tblDeviceTypeIDCrosswalk[LegacyDeviceTypeID],tblDeviceTypeIDCrosswalk[MappingStatus],"No Crosswalk")</f>
        <v/>
      </c>
      <c r="P11">
        <f>IF(OR([@ManufacturerMappingStatus]&lt;&gt;"Approved",[@DeviceFamilyMappingStatus]&lt;&gt;"Approved",[@DeviceTypeMappingStatus]&lt;&gt;"Approved"),"Manual Review Required","Approved Crosswalk Available")</f>
        <v/>
      </c>
      <c r="Q11" t="inlineStr">
        <is>
          <t>Pending Review</t>
        </is>
      </c>
    </row>
    <row r="12" ht="21.5" customHeight="1" s="42">
      <c r="A12" s="37" t="inlineStr">
        <is>
          <t>DT000011</t>
        </is>
      </c>
      <c r="B12" s="37" t="inlineStr">
        <is>
          <t>Streaming Device</t>
        </is>
      </c>
      <c r="C12" s="37" t="inlineStr">
        <is>
          <t>Fire Stick, Chromecast</t>
        </is>
      </c>
      <c r="D12" s="27" t="n">
        <v>11</v>
      </c>
      <c r="E12" s="38" t="inlineStr">
        <is>
          <t>Yes</t>
        </is>
      </c>
      <c r="F12" s="38" t="n"/>
      <c r="G12" s="10" t="inlineStr">
        <is>
          <t>MOD000011</t>
        </is>
      </c>
      <c r="H12" s="31" t="inlineStr">
        <is>
          <t>MFG001</t>
        </is>
      </c>
      <c r="I12" s="31" t="inlineStr">
        <is>
          <t>DF001</t>
        </is>
      </c>
      <c r="J12" s="31">
        <f>XLOOKUP([@ManufacturerID],tblManufacturerIDCrosswalk[LegacyManufacturerID],tblManufacturerIDCrosswalk[CanonicalManufacturerID],"")</f>
        <v/>
      </c>
      <c r="K12" s="33">
        <f>XLOOKUP([@DeviceFamilyID],tblDeviceFamilyIDCrosswalk[LegacyDeviceFamilyID],tblDeviceFamilyIDCrosswalk[CanonicalDeviceFamilyID],"")</f>
        <v/>
      </c>
      <c r="L12" s="33">
        <f>XLOOKUP([@DeviceTypeID],tblDeviceTypeIDCrosswalk[LegacyDeviceTypeID],tblDeviceTypeIDCrosswalk[CanonicalDeviceTypeID],"")</f>
        <v/>
      </c>
      <c r="M12" s="32">
        <f>XLOOKUP([@ManufacturerID],tblManufacturerIDCrosswalk[LegacyManufacturerID],tblManufacturerIDCrosswalk[MappingStatus],"No Crosswalk")</f>
        <v/>
      </c>
      <c r="N12" s="35">
        <f>XLOOKUP([@DeviceFamilyID],tblDeviceFamilyIDCrosswalk[LegacyDeviceFamilyID],tblDeviceFamilyIDCrosswalk[MappingStatus],"No Crosswalk")</f>
        <v/>
      </c>
      <c r="O12" s="35">
        <f>XLOOKUP([@DeviceTypeID],tblDeviceTypeIDCrosswalk[LegacyDeviceTypeID],tblDeviceTypeIDCrosswalk[MappingStatus],"No Crosswalk")</f>
        <v/>
      </c>
      <c r="P12">
        <f>IF(OR([@ManufacturerMappingStatus]&lt;&gt;"Approved",[@DeviceFamilyMappingStatus]&lt;&gt;"Approved",[@DeviceTypeMappingStatus]&lt;&gt;"Approved"),"Manual Review Required","Approved Crosswalk Available")</f>
        <v/>
      </c>
      <c r="Q12" t="inlineStr">
        <is>
          <t>Pending Review</t>
        </is>
      </c>
    </row>
    <row r="13" ht="21.5" customHeight="1" s="42">
      <c r="A13" s="37" t="inlineStr">
        <is>
          <t>DT000012</t>
        </is>
      </c>
      <c r="B13" s="37" t="inlineStr">
        <is>
          <t>Other</t>
        </is>
      </c>
      <c r="C13" s="37" t="inlineStr">
        <is>
          <t>Miscellaneous devices</t>
        </is>
      </c>
      <c r="D13" s="27" t="n">
        <v>99</v>
      </c>
      <c r="E13" s="38" t="inlineStr">
        <is>
          <t>Yes</t>
        </is>
      </c>
      <c r="F13" s="38" t="n"/>
      <c r="G13" s="10" t="inlineStr">
        <is>
          <t>MOD000012</t>
        </is>
      </c>
      <c r="H13" s="31" t="inlineStr">
        <is>
          <t>MFG001</t>
        </is>
      </c>
      <c r="I13" s="31" t="inlineStr">
        <is>
          <t>DF001</t>
        </is>
      </c>
      <c r="J13" s="31">
        <f>XLOOKUP([@ManufacturerID],tblManufacturerIDCrosswalk[LegacyManufacturerID],tblManufacturerIDCrosswalk[CanonicalManufacturerID],"")</f>
        <v/>
      </c>
      <c r="K13" s="33">
        <f>XLOOKUP([@DeviceFamilyID],tblDeviceFamilyIDCrosswalk[LegacyDeviceFamilyID],tblDeviceFamilyIDCrosswalk[CanonicalDeviceFamilyID],"")</f>
        <v/>
      </c>
      <c r="L13" s="33">
        <f>XLOOKUP([@DeviceTypeID],tblDeviceTypeIDCrosswalk[LegacyDeviceTypeID],tblDeviceTypeIDCrosswalk[CanonicalDeviceTypeID],"")</f>
        <v/>
      </c>
      <c r="M13" s="32">
        <f>XLOOKUP([@ManufacturerID],tblManufacturerIDCrosswalk[LegacyManufacturerID],tblManufacturerIDCrosswalk[MappingStatus],"No Crosswalk")</f>
        <v/>
      </c>
      <c r="N13" s="35">
        <f>XLOOKUP([@DeviceFamilyID],tblDeviceFamilyIDCrosswalk[LegacyDeviceFamilyID],tblDeviceFamilyIDCrosswalk[MappingStatus],"No Crosswalk")</f>
        <v/>
      </c>
      <c r="O13" s="35">
        <f>XLOOKUP([@DeviceTypeID],tblDeviceTypeIDCrosswalk[LegacyDeviceTypeID],tblDeviceTypeIDCrosswalk[MappingStatus],"No Crosswalk")</f>
        <v/>
      </c>
      <c r="P13">
        <f>IF(OR([@ManufacturerMappingStatus]&lt;&gt;"Approved",[@DeviceFamilyMappingStatus]&lt;&gt;"Approved",[@DeviceTypeMappingStatus]&lt;&gt;"Approved"),"Manual Review Required","Approved Crosswalk Available")</f>
        <v/>
      </c>
      <c r="Q13" t="inlineStr">
        <is>
          <t>Pending Review</t>
        </is>
      </c>
    </row>
    <row r="14" ht="21.5" customHeight="1" s="42">
      <c r="A14" s="36" t="n"/>
      <c r="B14" s="37" t="n"/>
      <c r="C14" s="37" t="n"/>
      <c r="D14" s="37" t="n"/>
      <c r="E14" s="38" t="n"/>
      <c r="F14" s="38" t="n"/>
      <c r="G14" s="10" t="inlineStr">
        <is>
          <t>MOD000013</t>
        </is>
      </c>
      <c r="H14" s="31" t="inlineStr">
        <is>
          <t>MFG001</t>
        </is>
      </c>
      <c r="I14" s="31" t="inlineStr">
        <is>
          <t>DF001</t>
        </is>
      </c>
      <c r="J14" s="31">
        <f>XLOOKUP([@ManufacturerID],tblManufacturerIDCrosswalk[LegacyManufacturerID],tblManufacturerIDCrosswalk[CanonicalManufacturerID],"")</f>
        <v/>
      </c>
      <c r="K14" s="33">
        <f>XLOOKUP([@DeviceFamilyID],tblDeviceFamilyIDCrosswalk[LegacyDeviceFamilyID],tblDeviceFamilyIDCrosswalk[CanonicalDeviceFamilyID],"")</f>
        <v/>
      </c>
      <c r="L14" s="33">
        <f>XLOOKUP([@DeviceTypeID],tblDeviceTypeIDCrosswalk[LegacyDeviceTypeID],tblDeviceTypeIDCrosswalk[CanonicalDeviceTypeID],"")</f>
        <v/>
      </c>
      <c r="M14" s="32">
        <f>XLOOKUP([@ManufacturerID],tblManufacturerIDCrosswalk[LegacyManufacturerID],tblManufacturerIDCrosswalk[MappingStatus],"No Crosswalk")</f>
        <v/>
      </c>
      <c r="N14" s="35">
        <f>XLOOKUP([@DeviceFamilyID],tblDeviceFamilyIDCrosswalk[LegacyDeviceFamilyID],tblDeviceFamilyIDCrosswalk[MappingStatus],"No Crosswalk")</f>
        <v/>
      </c>
      <c r="O14" s="35">
        <f>XLOOKUP([@DeviceTypeID],tblDeviceTypeIDCrosswalk[LegacyDeviceTypeID],tblDeviceTypeIDCrosswalk[MappingStatus],"No Crosswalk")</f>
        <v/>
      </c>
      <c r="P14">
        <f>IF(OR([@ManufacturerMappingStatus]&lt;&gt;"Approved",[@DeviceFamilyMappingStatus]&lt;&gt;"Approved",[@DeviceTypeMappingStatus]&lt;&gt;"Approved"),"Manual Review Required","Approved Crosswalk Available")</f>
        <v/>
      </c>
      <c r="Q14" t="inlineStr">
        <is>
          <t>Pending Review</t>
        </is>
      </c>
    </row>
    <row r="15" ht="21.5" customHeight="1" s="42">
      <c r="A15" s="23" t="inlineStr">
        <is>
          <t>ManufacturerID</t>
        </is>
      </c>
      <c r="B15" s="23" t="inlineStr">
        <is>
          <t>Manufacturer</t>
        </is>
      </c>
      <c r="C15" s="23" t="inlineStr">
        <is>
          <t>Description</t>
        </is>
      </c>
      <c r="D15" s="24" t="inlineStr">
        <is>
          <t>Sort Order</t>
        </is>
      </c>
      <c r="E15" s="23" t="inlineStr">
        <is>
          <t>IsActive</t>
        </is>
      </c>
      <c r="F15" s="38" t="n"/>
      <c r="G15" s="10" t="inlineStr">
        <is>
          <t>MOD000014</t>
        </is>
      </c>
      <c r="H15" s="31" t="inlineStr">
        <is>
          <t>MFG001</t>
        </is>
      </c>
      <c r="I15" s="31" t="inlineStr">
        <is>
          <t>DF001</t>
        </is>
      </c>
      <c r="J15" s="31">
        <f>XLOOKUP([@ManufacturerID],tblManufacturerIDCrosswalk[LegacyManufacturerID],tblManufacturerIDCrosswalk[CanonicalManufacturerID],"")</f>
        <v/>
      </c>
      <c r="K15" s="33">
        <f>XLOOKUP([@DeviceFamilyID],tblDeviceFamilyIDCrosswalk[LegacyDeviceFamilyID],tblDeviceFamilyIDCrosswalk[CanonicalDeviceFamilyID],"")</f>
        <v/>
      </c>
      <c r="L15" s="33">
        <f>XLOOKUP([@DeviceTypeID],tblDeviceTypeIDCrosswalk[LegacyDeviceTypeID],tblDeviceTypeIDCrosswalk[CanonicalDeviceTypeID],"")</f>
        <v/>
      </c>
      <c r="M15" s="32">
        <f>XLOOKUP([@ManufacturerID],tblManufacturerIDCrosswalk[LegacyManufacturerID],tblManufacturerIDCrosswalk[MappingStatus],"No Crosswalk")</f>
        <v/>
      </c>
      <c r="N15" s="35">
        <f>XLOOKUP([@DeviceFamilyID],tblDeviceFamilyIDCrosswalk[LegacyDeviceFamilyID],tblDeviceFamilyIDCrosswalk[MappingStatus],"No Crosswalk")</f>
        <v/>
      </c>
      <c r="O15" s="35">
        <f>XLOOKUP([@DeviceTypeID],tblDeviceTypeIDCrosswalk[LegacyDeviceTypeID],tblDeviceTypeIDCrosswalk[MappingStatus],"No Crosswalk")</f>
        <v/>
      </c>
      <c r="P15">
        <f>IF(OR([@ManufacturerMappingStatus]&lt;&gt;"Approved",[@DeviceFamilyMappingStatus]&lt;&gt;"Approved",[@DeviceTypeMappingStatus]&lt;&gt;"Approved"),"Manual Review Required","Approved Crosswalk Available")</f>
        <v/>
      </c>
      <c r="Q15" t="inlineStr">
        <is>
          <t>Pending Review</t>
        </is>
      </c>
    </row>
    <row r="16" ht="21.5" customHeight="1" s="42">
      <c r="A16" s="37" t="inlineStr">
        <is>
          <t>MFG000001</t>
        </is>
      </c>
      <c r="B16" s="37" t="inlineStr">
        <is>
          <t>Apple</t>
        </is>
      </c>
      <c r="C16" s="37" t="inlineStr">
        <is>
          <t>Apple Inc.</t>
        </is>
      </c>
      <c r="D16" s="27" t="n">
        <v>1</v>
      </c>
      <c r="E16" s="38" t="inlineStr">
        <is>
          <t>Yes</t>
        </is>
      </c>
      <c r="F16" s="38" t="n"/>
      <c r="G16" s="10" t="inlineStr">
        <is>
          <t>MOD000015</t>
        </is>
      </c>
      <c r="H16" s="31" t="inlineStr">
        <is>
          <t>MFG001</t>
        </is>
      </c>
      <c r="I16" s="31" t="inlineStr">
        <is>
          <t>DF001</t>
        </is>
      </c>
      <c r="J16" s="31">
        <f>XLOOKUP([@ManufacturerID],tblManufacturerIDCrosswalk[LegacyManufacturerID],tblManufacturerIDCrosswalk[CanonicalManufacturerID],"")</f>
        <v/>
      </c>
      <c r="K16" s="33">
        <f>XLOOKUP([@DeviceFamilyID],tblDeviceFamilyIDCrosswalk[LegacyDeviceFamilyID],tblDeviceFamilyIDCrosswalk[CanonicalDeviceFamilyID],"")</f>
        <v/>
      </c>
      <c r="L16" s="33">
        <f>XLOOKUP([@DeviceTypeID],tblDeviceTypeIDCrosswalk[LegacyDeviceTypeID],tblDeviceTypeIDCrosswalk[CanonicalDeviceTypeID],"")</f>
        <v/>
      </c>
      <c r="M16" s="32">
        <f>XLOOKUP([@ManufacturerID],tblManufacturerIDCrosswalk[LegacyManufacturerID],tblManufacturerIDCrosswalk[MappingStatus],"No Crosswalk")</f>
        <v/>
      </c>
      <c r="N16" s="35">
        <f>XLOOKUP([@DeviceFamilyID],tblDeviceFamilyIDCrosswalk[LegacyDeviceFamilyID],tblDeviceFamilyIDCrosswalk[MappingStatus],"No Crosswalk")</f>
        <v/>
      </c>
      <c r="O16" s="35">
        <f>XLOOKUP([@DeviceTypeID],tblDeviceTypeIDCrosswalk[LegacyDeviceTypeID],tblDeviceTypeIDCrosswalk[MappingStatus],"No Crosswalk")</f>
        <v/>
      </c>
      <c r="P16">
        <f>IF(OR([@ManufacturerMappingStatus]&lt;&gt;"Approved",[@DeviceFamilyMappingStatus]&lt;&gt;"Approved",[@DeviceTypeMappingStatus]&lt;&gt;"Approved"),"Manual Review Required","Approved Crosswalk Available")</f>
        <v/>
      </c>
      <c r="Q16" t="inlineStr">
        <is>
          <t>Pending Review</t>
        </is>
      </c>
    </row>
    <row r="17" ht="21.5" customHeight="1" s="42">
      <c r="A17" s="37" t="inlineStr">
        <is>
          <t>MFG000002</t>
        </is>
      </c>
      <c r="B17" s="37" t="inlineStr">
        <is>
          <t>Samsung</t>
        </is>
      </c>
      <c r="C17" s="37" t="inlineStr">
        <is>
          <t>Samsung Electronics</t>
        </is>
      </c>
      <c r="D17" s="27" t="n">
        <v>2</v>
      </c>
      <c r="E17" s="38" t="inlineStr">
        <is>
          <t>Yes</t>
        </is>
      </c>
      <c r="F17" s="38" t="n"/>
      <c r="G17" s="10" t="inlineStr">
        <is>
          <t>MOD000016</t>
        </is>
      </c>
      <c r="H17" s="31" t="inlineStr">
        <is>
          <t>MFG001</t>
        </is>
      </c>
      <c r="I17" s="31" t="inlineStr">
        <is>
          <t>DF001</t>
        </is>
      </c>
      <c r="J17" s="31">
        <f>XLOOKUP([@ManufacturerID],tblManufacturerIDCrosswalk[LegacyManufacturerID],tblManufacturerIDCrosswalk[CanonicalManufacturerID],"")</f>
        <v/>
      </c>
      <c r="K17" s="33">
        <f>XLOOKUP([@DeviceFamilyID],tblDeviceFamilyIDCrosswalk[LegacyDeviceFamilyID],tblDeviceFamilyIDCrosswalk[CanonicalDeviceFamilyID],"")</f>
        <v/>
      </c>
      <c r="L17" s="33">
        <f>XLOOKUP([@DeviceTypeID],tblDeviceTypeIDCrosswalk[LegacyDeviceTypeID],tblDeviceTypeIDCrosswalk[CanonicalDeviceTypeID],"")</f>
        <v/>
      </c>
      <c r="M17" s="32">
        <f>XLOOKUP([@ManufacturerID],tblManufacturerIDCrosswalk[LegacyManufacturerID],tblManufacturerIDCrosswalk[MappingStatus],"No Crosswalk")</f>
        <v/>
      </c>
      <c r="N17" s="35">
        <f>XLOOKUP([@DeviceFamilyID],tblDeviceFamilyIDCrosswalk[LegacyDeviceFamilyID],tblDeviceFamilyIDCrosswalk[MappingStatus],"No Crosswalk")</f>
        <v/>
      </c>
      <c r="O17" s="35">
        <f>XLOOKUP([@DeviceTypeID],tblDeviceTypeIDCrosswalk[LegacyDeviceTypeID],tblDeviceTypeIDCrosswalk[MappingStatus],"No Crosswalk")</f>
        <v/>
      </c>
      <c r="P17">
        <f>IF(OR([@ManufacturerMappingStatus]&lt;&gt;"Approved",[@DeviceFamilyMappingStatus]&lt;&gt;"Approved",[@DeviceTypeMappingStatus]&lt;&gt;"Approved"),"Manual Review Required","Approved Crosswalk Available")</f>
        <v/>
      </c>
      <c r="Q17" t="inlineStr">
        <is>
          <t>Pending Review</t>
        </is>
      </c>
    </row>
    <row r="18" ht="21.5" customHeight="1" s="42">
      <c r="A18" s="37" t="inlineStr">
        <is>
          <t>MFG000003</t>
        </is>
      </c>
      <c r="B18" s="37" t="inlineStr">
        <is>
          <t>Google</t>
        </is>
      </c>
      <c r="C18" s="37" t="inlineStr">
        <is>
          <t>Pixel devices</t>
        </is>
      </c>
      <c r="D18" s="27" t="n">
        <v>3</v>
      </c>
      <c r="E18" s="38" t="inlineStr">
        <is>
          <t>Yes</t>
        </is>
      </c>
      <c r="F18" s="38" t="n"/>
      <c r="G18" s="10" t="inlineStr">
        <is>
          <t>MOD000017</t>
        </is>
      </c>
      <c r="H18" s="31" t="inlineStr">
        <is>
          <t>MFG001</t>
        </is>
      </c>
      <c r="I18" s="31" t="inlineStr">
        <is>
          <t>DF001</t>
        </is>
      </c>
      <c r="J18" s="31">
        <f>XLOOKUP([@ManufacturerID],tblManufacturerIDCrosswalk[LegacyManufacturerID],tblManufacturerIDCrosswalk[CanonicalManufacturerID],"")</f>
        <v/>
      </c>
      <c r="K18" s="33">
        <f>XLOOKUP([@DeviceFamilyID],tblDeviceFamilyIDCrosswalk[LegacyDeviceFamilyID],tblDeviceFamilyIDCrosswalk[CanonicalDeviceFamilyID],"")</f>
        <v/>
      </c>
      <c r="L18" s="33">
        <f>XLOOKUP([@DeviceTypeID],tblDeviceTypeIDCrosswalk[LegacyDeviceTypeID],tblDeviceTypeIDCrosswalk[CanonicalDeviceTypeID],"")</f>
        <v/>
      </c>
      <c r="M18" s="32">
        <f>XLOOKUP([@ManufacturerID],tblManufacturerIDCrosswalk[LegacyManufacturerID],tblManufacturerIDCrosswalk[MappingStatus],"No Crosswalk")</f>
        <v/>
      </c>
      <c r="N18" s="35">
        <f>XLOOKUP([@DeviceFamilyID],tblDeviceFamilyIDCrosswalk[LegacyDeviceFamilyID],tblDeviceFamilyIDCrosswalk[MappingStatus],"No Crosswalk")</f>
        <v/>
      </c>
      <c r="O18" s="35">
        <f>XLOOKUP([@DeviceTypeID],tblDeviceTypeIDCrosswalk[LegacyDeviceTypeID],tblDeviceTypeIDCrosswalk[MappingStatus],"No Crosswalk")</f>
        <v/>
      </c>
      <c r="P18">
        <f>IF(OR([@ManufacturerMappingStatus]&lt;&gt;"Approved",[@DeviceFamilyMappingStatus]&lt;&gt;"Approved",[@DeviceTypeMappingStatus]&lt;&gt;"Approved"),"Manual Review Required","Approved Crosswalk Available")</f>
        <v/>
      </c>
      <c r="Q18" t="inlineStr">
        <is>
          <t>Pending Review</t>
        </is>
      </c>
    </row>
    <row r="19" ht="21.5" customHeight="1" s="42">
      <c r="A19" s="37" t="inlineStr">
        <is>
          <t>MFG000004</t>
        </is>
      </c>
      <c r="B19" s="37" t="inlineStr">
        <is>
          <t>Motorola</t>
        </is>
      </c>
      <c r="C19" s="37" t="inlineStr">
        <is>
          <t>Motorola Mobility</t>
        </is>
      </c>
      <c r="D19" s="27" t="n">
        <v>4</v>
      </c>
      <c r="E19" s="38" t="inlineStr">
        <is>
          <t>Yes</t>
        </is>
      </c>
      <c r="F19" s="38" t="n"/>
      <c r="G19" s="10" t="inlineStr">
        <is>
          <t>MOD000018</t>
        </is>
      </c>
      <c r="H19" s="31" t="inlineStr">
        <is>
          <t>MFG001</t>
        </is>
      </c>
      <c r="I19" s="31" t="inlineStr">
        <is>
          <t>DF001</t>
        </is>
      </c>
      <c r="J19" s="31">
        <f>XLOOKUP([@ManufacturerID],tblManufacturerIDCrosswalk[LegacyManufacturerID],tblManufacturerIDCrosswalk[CanonicalManufacturerID],"")</f>
        <v/>
      </c>
      <c r="K19" s="33">
        <f>XLOOKUP([@DeviceFamilyID],tblDeviceFamilyIDCrosswalk[LegacyDeviceFamilyID],tblDeviceFamilyIDCrosswalk[CanonicalDeviceFamilyID],"")</f>
        <v/>
      </c>
      <c r="L19" s="33">
        <f>XLOOKUP([@DeviceTypeID],tblDeviceTypeIDCrosswalk[LegacyDeviceTypeID],tblDeviceTypeIDCrosswalk[CanonicalDeviceTypeID],"")</f>
        <v/>
      </c>
      <c r="M19" s="32">
        <f>XLOOKUP([@ManufacturerID],tblManufacturerIDCrosswalk[LegacyManufacturerID],tblManufacturerIDCrosswalk[MappingStatus],"No Crosswalk")</f>
        <v/>
      </c>
      <c r="N19" s="35">
        <f>XLOOKUP([@DeviceFamilyID],tblDeviceFamilyIDCrosswalk[LegacyDeviceFamilyID],tblDeviceFamilyIDCrosswalk[MappingStatus],"No Crosswalk")</f>
        <v/>
      </c>
      <c r="O19" s="35">
        <f>XLOOKUP([@DeviceTypeID],tblDeviceTypeIDCrosswalk[LegacyDeviceTypeID],tblDeviceTypeIDCrosswalk[MappingStatus],"No Crosswalk")</f>
        <v/>
      </c>
      <c r="P19">
        <f>IF(OR([@ManufacturerMappingStatus]&lt;&gt;"Approved",[@DeviceFamilyMappingStatus]&lt;&gt;"Approved",[@DeviceTypeMappingStatus]&lt;&gt;"Approved"),"Manual Review Required","Approved Crosswalk Available")</f>
        <v/>
      </c>
      <c r="Q19" t="inlineStr">
        <is>
          <t>Pending Review</t>
        </is>
      </c>
    </row>
    <row r="20" ht="21.5" customHeight="1" s="42">
      <c r="A20" s="37" t="inlineStr">
        <is>
          <t>MFG000005</t>
        </is>
      </c>
      <c r="B20" s="37" t="inlineStr">
        <is>
          <t>OnePlus</t>
        </is>
      </c>
      <c r="C20" s="37" t="inlineStr">
        <is>
          <t>OnePlus</t>
        </is>
      </c>
      <c r="D20" s="27" t="n">
        <v>5</v>
      </c>
      <c r="E20" s="38" t="inlineStr">
        <is>
          <t>Yes</t>
        </is>
      </c>
      <c r="F20" s="38" t="n"/>
      <c r="G20" s="10" t="inlineStr">
        <is>
          <t>MOD000019</t>
        </is>
      </c>
      <c r="H20" s="31" t="inlineStr">
        <is>
          <t>MFG001</t>
        </is>
      </c>
      <c r="I20" s="31" t="inlineStr">
        <is>
          <t>DF001</t>
        </is>
      </c>
      <c r="J20" s="31">
        <f>XLOOKUP([@ManufacturerID],tblManufacturerIDCrosswalk[LegacyManufacturerID],tblManufacturerIDCrosswalk[CanonicalManufacturerID],"")</f>
        <v/>
      </c>
      <c r="K20" s="33">
        <f>XLOOKUP([@DeviceFamilyID],tblDeviceFamilyIDCrosswalk[LegacyDeviceFamilyID],tblDeviceFamilyIDCrosswalk[CanonicalDeviceFamilyID],"")</f>
        <v/>
      </c>
      <c r="L20" s="33">
        <f>XLOOKUP([@DeviceTypeID],tblDeviceTypeIDCrosswalk[LegacyDeviceTypeID],tblDeviceTypeIDCrosswalk[CanonicalDeviceTypeID],"")</f>
        <v/>
      </c>
      <c r="M20" s="32">
        <f>XLOOKUP([@ManufacturerID],tblManufacturerIDCrosswalk[LegacyManufacturerID],tblManufacturerIDCrosswalk[MappingStatus],"No Crosswalk")</f>
        <v/>
      </c>
      <c r="N20" s="35">
        <f>XLOOKUP([@DeviceFamilyID],tblDeviceFamilyIDCrosswalk[LegacyDeviceFamilyID],tblDeviceFamilyIDCrosswalk[MappingStatus],"No Crosswalk")</f>
        <v/>
      </c>
      <c r="O20" s="35">
        <f>XLOOKUP([@DeviceTypeID],tblDeviceTypeIDCrosswalk[LegacyDeviceTypeID],tblDeviceTypeIDCrosswalk[MappingStatus],"No Crosswalk")</f>
        <v/>
      </c>
      <c r="P20">
        <f>IF(OR([@ManufacturerMappingStatus]&lt;&gt;"Approved",[@DeviceFamilyMappingStatus]&lt;&gt;"Approved",[@DeviceTypeMappingStatus]&lt;&gt;"Approved"),"Manual Review Required","Approved Crosswalk Available")</f>
        <v/>
      </c>
      <c r="Q20" t="inlineStr">
        <is>
          <t>Pending Review</t>
        </is>
      </c>
    </row>
    <row r="21" ht="21.5" customHeight="1" s="42">
      <c r="A21" s="37" t="inlineStr">
        <is>
          <t>MFG000006</t>
        </is>
      </c>
      <c r="B21" s="37" t="inlineStr">
        <is>
          <t>LG</t>
        </is>
      </c>
      <c r="C21" s="37" t="inlineStr">
        <is>
          <t>LG Electronics</t>
        </is>
      </c>
      <c r="D21" s="27" t="n">
        <v>6</v>
      </c>
      <c r="E21" s="38" t="inlineStr">
        <is>
          <t>Yes</t>
        </is>
      </c>
      <c r="F21" s="38" t="n"/>
      <c r="G21" s="10" t="inlineStr">
        <is>
          <t>MOD000020</t>
        </is>
      </c>
      <c r="H21" s="31" t="inlineStr">
        <is>
          <t>MFG001</t>
        </is>
      </c>
      <c r="I21" s="31" t="inlineStr">
        <is>
          <t>DF001</t>
        </is>
      </c>
      <c r="J21" s="31">
        <f>XLOOKUP([@ManufacturerID],tblManufacturerIDCrosswalk[LegacyManufacturerID],tblManufacturerIDCrosswalk[CanonicalManufacturerID],"")</f>
        <v/>
      </c>
      <c r="K21" s="33">
        <f>XLOOKUP([@DeviceFamilyID],tblDeviceFamilyIDCrosswalk[LegacyDeviceFamilyID],tblDeviceFamilyIDCrosswalk[CanonicalDeviceFamilyID],"")</f>
        <v/>
      </c>
      <c r="L21" s="33">
        <f>XLOOKUP([@DeviceTypeID],tblDeviceTypeIDCrosswalk[LegacyDeviceTypeID],tblDeviceTypeIDCrosswalk[CanonicalDeviceTypeID],"")</f>
        <v/>
      </c>
      <c r="M21" s="32">
        <f>XLOOKUP([@ManufacturerID],tblManufacturerIDCrosswalk[LegacyManufacturerID],tblManufacturerIDCrosswalk[MappingStatus],"No Crosswalk")</f>
        <v/>
      </c>
      <c r="N21" s="35">
        <f>XLOOKUP([@DeviceFamilyID],tblDeviceFamilyIDCrosswalk[LegacyDeviceFamilyID],tblDeviceFamilyIDCrosswalk[MappingStatus],"No Crosswalk")</f>
        <v/>
      </c>
      <c r="O21" s="35">
        <f>XLOOKUP([@DeviceTypeID],tblDeviceTypeIDCrosswalk[LegacyDeviceTypeID],tblDeviceTypeIDCrosswalk[MappingStatus],"No Crosswalk")</f>
        <v/>
      </c>
      <c r="P21">
        <f>IF(OR([@ManufacturerMappingStatus]&lt;&gt;"Approved",[@DeviceFamilyMappingStatus]&lt;&gt;"Approved",[@DeviceTypeMappingStatus]&lt;&gt;"Approved"),"Manual Review Required","Approved Crosswalk Available")</f>
        <v/>
      </c>
      <c r="Q21" t="inlineStr">
        <is>
          <t>Pending Review</t>
        </is>
      </c>
    </row>
    <row r="22" ht="21.5" customHeight="1" s="42">
      <c r="A22" s="37" t="inlineStr">
        <is>
          <t>MFG000007</t>
        </is>
      </c>
      <c r="B22" s="37" t="inlineStr">
        <is>
          <t>Sony</t>
        </is>
      </c>
      <c r="C22" s="37" t="inlineStr">
        <is>
          <t>Sony Mobile</t>
        </is>
      </c>
      <c r="D22" s="27" t="n">
        <v>7</v>
      </c>
      <c r="E22" s="38" t="inlineStr">
        <is>
          <t>Yes</t>
        </is>
      </c>
      <c r="F22" s="38" t="n"/>
      <c r="G22" s="10" t="inlineStr">
        <is>
          <t>MOD000021</t>
        </is>
      </c>
      <c r="H22" s="31" t="inlineStr">
        <is>
          <t>MFG001</t>
        </is>
      </c>
      <c r="I22" s="31" t="inlineStr">
        <is>
          <t>DF001</t>
        </is>
      </c>
      <c r="J22" s="31">
        <f>XLOOKUP([@ManufacturerID],tblManufacturerIDCrosswalk[LegacyManufacturerID],tblManufacturerIDCrosswalk[CanonicalManufacturerID],"")</f>
        <v/>
      </c>
      <c r="K22" s="33">
        <f>XLOOKUP([@DeviceFamilyID],tblDeviceFamilyIDCrosswalk[LegacyDeviceFamilyID],tblDeviceFamilyIDCrosswalk[CanonicalDeviceFamilyID],"")</f>
        <v/>
      </c>
      <c r="L22" s="33">
        <f>XLOOKUP([@DeviceTypeID],tblDeviceTypeIDCrosswalk[LegacyDeviceTypeID],tblDeviceTypeIDCrosswalk[CanonicalDeviceTypeID],"")</f>
        <v/>
      </c>
      <c r="M22" s="32">
        <f>XLOOKUP([@ManufacturerID],tblManufacturerIDCrosswalk[LegacyManufacturerID],tblManufacturerIDCrosswalk[MappingStatus],"No Crosswalk")</f>
        <v/>
      </c>
      <c r="N22" s="35">
        <f>XLOOKUP([@DeviceFamilyID],tblDeviceFamilyIDCrosswalk[LegacyDeviceFamilyID],tblDeviceFamilyIDCrosswalk[MappingStatus],"No Crosswalk")</f>
        <v/>
      </c>
      <c r="O22" s="35">
        <f>XLOOKUP([@DeviceTypeID],tblDeviceTypeIDCrosswalk[LegacyDeviceTypeID],tblDeviceTypeIDCrosswalk[MappingStatus],"No Crosswalk")</f>
        <v/>
      </c>
      <c r="P22">
        <f>IF(OR([@ManufacturerMappingStatus]&lt;&gt;"Approved",[@DeviceFamilyMappingStatus]&lt;&gt;"Approved",[@DeviceTypeMappingStatus]&lt;&gt;"Approved"),"Manual Review Required","Approved Crosswalk Available")</f>
        <v/>
      </c>
      <c r="Q22" t="inlineStr">
        <is>
          <t>Pending Review</t>
        </is>
      </c>
    </row>
    <row r="23" ht="21.5" customHeight="1" s="42">
      <c r="A23" s="37" t="inlineStr">
        <is>
          <t>MFG000008</t>
        </is>
      </c>
      <c r="B23" s="37" t="inlineStr">
        <is>
          <t>Nokia</t>
        </is>
      </c>
      <c r="C23" s="37" t="inlineStr">
        <is>
          <t>Nokia/HMD</t>
        </is>
      </c>
      <c r="D23" s="27" t="n">
        <v>8</v>
      </c>
      <c r="E23" s="38" t="inlineStr">
        <is>
          <t>Yes</t>
        </is>
      </c>
      <c r="F23" s="38" t="n"/>
      <c r="G23" s="10" t="inlineStr">
        <is>
          <t>MOD000022</t>
        </is>
      </c>
      <c r="H23" s="31" t="inlineStr">
        <is>
          <t>MFG001</t>
        </is>
      </c>
      <c r="I23" s="31" t="inlineStr">
        <is>
          <t>DF001</t>
        </is>
      </c>
      <c r="J23" s="31">
        <f>XLOOKUP([@ManufacturerID],tblManufacturerIDCrosswalk[LegacyManufacturerID],tblManufacturerIDCrosswalk[CanonicalManufacturerID],"")</f>
        <v/>
      </c>
      <c r="K23" s="33">
        <f>XLOOKUP([@DeviceFamilyID],tblDeviceFamilyIDCrosswalk[LegacyDeviceFamilyID],tblDeviceFamilyIDCrosswalk[CanonicalDeviceFamilyID],"")</f>
        <v/>
      </c>
      <c r="L23" s="33">
        <f>XLOOKUP([@DeviceTypeID],tblDeviceTypeIDCrosswalk[LegacyDeviceTypeID],tblDeviceTypeIDCrosswalk[CanonicalDeviceTypeID],"")</f>
        <v/>
      </c>
      <c r="M23" s="32">
        <f>XLOOKUP([@ManufacturerID],tblManufacturerIDCrosswalk[LegacyManufacturerID],tblManufacturerIDCrosswalk[MappingStatus],"No Crosswalk")</f>
        <v/>
      </c>
      <c r="N23" s="35">
        <f>XLOOKUP([@DeviceFamilyID],tblDeviceFamilyIDCrosswalk[LegacyDeviceFamilyID],tblDeviceFamilyIDCrosswalk[MappingStatus],"No Crosswalk")</f>
        <v/>
      </c>
      <c r="O23" s="35">
        <f>XLOOKUP([@DeviceTypeID],tblDeviceTypeIDCrosswalk[LegacyDeviceTypeID],tblDeviceTypeIDCrosswalk[MappingStatus],"No Crosswalk")</f>
        <v/>
      </c>
      <c r="P23">
        <f>IF(OR([@ManufacturerMappingStatus]&lt;&gt;"Approved",[@DeviceFamilyMappingStatus]&lt;&gt;"Approved",[@DeviceTypeMappingStatus]&lt;&gt;"Approved"),"Manual Review Required","Approved Crosswalk Available")</f>
        <v/>
      </c>
      <c r="Q23" t="inlineStr">
        <is>
          <t>Pending Review</t>
        </is>
      </c>
    </row>
    <row r="24" ht="21.5" customHeight="1" s="42">
      <c r="A24" s="37" t="inlineStr">
        <is>
          <t>MFG000009</t>
        </is>
      </c>
      <c r="B24" s="37" t="inlineStr">
        <is>
          <t>Microsoft</t>
        </is>
      </c>
      <c r="C24" s="37" t="inlineStr">
        <is>
          <t>Surface devices</t>
        </is>
      </c>
      <c r="D24" s="27" t="n">
        <v>9</v>
      </c>
      <c r="E24" s="38" t="inlineStr">
        <is>
          <t>Yes</t>
        </is>
      </c>
      <c r="F24" s="38" t="n"/>
      <c r="G24" s="10" t="inlineStr">
        <is>
          <t>MOD000023</t>
        </is>
      </c>
      <c r="H24" s="31" t="inlineStr">
        <is>
          <t>MFG001</t>
        </is>
      </c>
      <c r="I24" s="31" t="inlineStr">
        <is>
          <t>DF001</t>
        </is>
      </c>
      <c r="J24" s="31">
        <f>XLOOKUP([@ManufacturerID],tblManufacturerIDCrosswalk[LegacyManufacturerID],tblManufacturerIDCrosswalk[CanonicalManufacturerID],"")</f>
        <v/>
      </c>
      <c r="K24" s="33">
        <f>XLOOKUP([@DeviceFamilyID],tblDeviceFamilyIDCrosswalk[LegacyDeviceFamilyID],tblDeviceFamilyIDCrosswalk[CanonicalDeviceFamilyID],"")</f>
        <v/>
      </c>
      <c r="L24" s="33">
        <f>XLOOKUP([@DeviceTypeID],tblDeviceTypeIDCrosswalk[LegacyDeviceTypeID],tblDeviceTypeIDCrosswalk[CanonicalDeviceTypeID],"")</f>
        <v/>
      </c>
      <c r="M24" s="32">
        <f>XLOOKUP([@ManufacturerID],tblManufacturerIDCrosswalk[LegacyManufacturerID],tblManufacturerIDCrosswalk[MappingStatus],"No Crosswalk")</f>
        <v/>
      </c>
      <c r="N24" s="35">
        <f>XLOOKUP([@DeviceFamilyID],tblDeviceFamilyIDCrosswalk[LegacyDeviceFamilyID],tblDeviceFamilyIDCrosswalk[MappingStatus],"No Crosswalk")</f>
        <v/>
      </c>
      <c r="O24" s="35">
        <f>XLOOKUP([@DeviceTypeID],tblDeviceTypeIDCrosswalk[LegacyDeviceTypeID],tblDeviceTypeIDCrosswalk[MappingStatus],"No Crosswalk")</f>
        <v/>
      </c>
      <c r="P24">
        <f>IF(OR([@ManufacturerMappingStatus]&lt;&gt;"Approved",[@DeviceFamilyMappingStatus]&lt;&gt;"Approved",[@DeviceTypeMappingStatus]&lt;&gt;"Approved"),"Manual Review Required","Approved Crosswalk Available")</f>
        <v/>
      </c>
      <c r="Q24" t="inlineStr">
        <is>
          <t>Pending Review</t>
        </is>
      </c>
    </row>
    <row r="25" ht="21.5" customHeight="1" s="42">
      <c r="A25" s="37" t="inlineStr">
        <is>
          <t>MFG000010</t>
        </is>
      </c>
      <c r="B25" s="37" t="inlineStr">
        <is>
          <t>Dell</t>
        </is>
      </c>
      <c r="C25" s="37" t="inlineStr">
        <is>
          <t>Dell Technologies</t>
        </is>
      </c>
      <c r="D25" s="27" t="n">
        <v>10</v>
      </c>
      <c r="E25" s="38" t="inlineStr">
        <is>
          <t>Yes</t>
        </is>
      </c>
      <c r="F25" s="38" t="n"/>
      <c r="G25" s="10" t="inlineStr">
        <is>
          <t>MOD000024</t>
        </is>
      </c>
      <c r="H25" s="31" t="inlineStr">
        <is>
          <t>MFG001</t>
        </is>
      </c>
      <c r="I25" s="31" t="inlineStr">
        <is>
          <t>DF001</t>
        </is>
      </c>
      <c r="J25" s="31">
        <f>XLOOKUP([@ManufacturerID],tblManufacturerIDCrosswalk[LegacyManufacturerID],tblManufacturerIDCrosswalk[CanonicalManufacturerID],"")</f>
        <v/>
      </c>
      <c r="K25" s="33">
        <f>XLOOKUP([@DeviceFamilyID],tblDeviceFamilyIDCrosswalk[LegacyDeviceFamilyID],tblDeviceFamilyIDCrosswalk[CanonicalDeviceFamilyID],"")</f>
        <v/>
      </c>
      <c r="L25" s="33">
        <f>XLOOKUP([@DeviceTypeID],tblDeviceTypeIDCrosswalk[LegacyDeviceTypeID],tblDeviceTypeIDCrosswalk[CanonicalDeviceTypeID],"")</f>
        <v/>
      </c>
      <c r="M25" s="32">
        <f>XLOOKUP([@ManufacturerID],tblManufacturerIDCrosswalk[LegacyManufacturerID],tblManufacturerIDCrosswalk[MappingStatus],"No Crosswalk")</f>
        <v/>
      </c>
      <c r="N25" s="35">
        <f>XLOOKUP([@DeviceFamilyID],tblDeviceFamilyIDCrosswalk[LegacyDeviceFamilyID],tblDeviceFamilyIDCrosswalk[MappingStatus],"No Crosswalk")</f>
        <v/>
      </c>
      <c r="O25" s="35">
        <f>XLOOKUP([@DeviceTypeID],tblDeviceTypeIDCrosswalk[LegacyDeviceTypeID],tblDeviceTypeIDCrosswalk[MappingStatus],"No Crosswalk")</f>
        <v/>
      </c>
      <c r="P25">
        <f>IF(OR([@ManufacturerMappingStatus]&lt;&gt;"Approved",[@DeviceFamilyMappingStatus]&lt;&gt;"Approved",[@DeviceTypeMappingStatus]&lt;&gt;"Approved"),"Manual Review Required","Approved Crosswalk Available")</f>
        <v/>
      </c>
      <c r="Q25" t="inlineStr">
        <is>
          <t>Pending Review</t>
        </is>
      </c>
    </row>
    <row r="26" ht="21.5" customHeight="1" s="42">
      <c r="A26" s="37" t="inlineStr">
        <is>
          <t>MFG000011</t>
        </is>
      </c>
      <c r="B26" s="37" t="inlineStr">
        <is>
          <t>HP</t>
        </is>
      </c>
      <c r="C26" s="37" t="inlineStr">
        <is>
          <t>Hewlett-Packard</t>
        </is>
      </c>
      <c r="D26" s="27" t="n">
        <v>11</v>
      </c>
      <c r="E26" s="38" t="inlineStr">
        <is>
          <t>Yes</t>
        </is>
      </c>
      <c r="F26" s="38" t="n"/>
      <c r="G26" s="10" t="inlineStr">
        <is>
          <t>MOD000025</t>
        </is>
      </c>
      <c r="H26" s="31" t="inlineStr">
        <is>
          <t>MFG001</t>
        </is>
      </c>
      <c r="I26" s="31" t="inlineStr">
        <is>
          <t>DF001</t>
        </is>
      </c>
      <c r="J26" s="31">
        <f>XLOOKUP([@ManufacturerID],tblManufacturerIDCrosswalk[LegacyManufacturerID],tblManufacturerIDCrosswalk[CanonicalManufacturerID],"")</f>
        <v/>
      </c>
      <c r="K26" s="33">
        <f>XLOOKUP([@DeviceFamilyID],tblDeviceFamilyIDCrosswalk[LegacyDeviceFamilyID],tblDeviceFamilyIDCrosswalk[CanonicalDeviceFamilyID],"")</f>
        <v/>
      </c>
      <c r="L26" s="33">
        <f>XLOOKUP([@DeviceTypeID],tblDeviceTypeIDCrosswalk[LegacyDeviceTypeID],tblDeviceTypeIDCrosswalk[CanonicalDeviceTypeID],"")</f>
        <v/>
      </c>
      <c r="M26" s="32">
        <f>XLOOKUP([@ManufacturerID],tblManufacturerIDCrosswalk[LegacyManufacturerID],tblManufacturerIDCrosswalk[MappingStatus],"No Crosswalk")</f>
        <v/>
      </c>
      <c r="N26" s="35">
        <f>XLOOKUP([@DeviceFamilyID],tblDeviceFamilyIDCrosswalk[LegacyDeviceFamilyID],tblDeviceFamilyIDCrosswalk[MappingStatus],"No Crosswalk")</f>
        <v/>
      </c>
      <c r="O26" s="35">
        <f>XLOOKUP([@DeviceTypeID],tblDeviceTypeIDCrosswalk[LegacyDeviceTypeID],tblDeviceTypeIDCrosswalk[MappingStatus],"No Crosswalk")</f>
        <v/>
      </c>
      <c r="P26">
        <f>IF(OR([@ManufacturerMappingStatus]&lt;&gt;"Approved",[@DeviceFamilyMappingStatus]&lt;&gt;"Approved",[@DeviceTypeMappingStatus]&lt;&gt;"Approved"),"Manual Review Required","Approved Crosswalk Available")</f>
        <v/>
      </c>
      <c r="Q26" t="inlineStr">
        <is>
          <t>Pending Review</t>
        </is>
      </c>
    </row>
    <row r="27" ht="21.5" customHeight="1" s="42">
      <c r="A27" s="37" t="inlineStr">
        <is>
          <t>MFG000012</t>
        </is>
      </c>
      <c r="B27" s="37" t="inlineStr">
        <is>
          <t>Lenovo</t>
        </is>
      </c>
      <c r="C27" s="37" t="inlineStr">
        <is>
          <t>Lenovo</t>
        </is>
      </c>
      <c r="D27" s="27" t="n">
        <v>12</v>
      </c>
      <c r="E27" s="38" t="inlineStr">
        <is>
          <t>Yes</t>
        </is>
      </c>
      <c r="F27" s="38" t="n"/>
      <c r="G27" s="10" t="inlineStr">
        <is>
          <t>MOD000026</t>
        </is>
      </c>
      <c r="H27" s="31" t="inlineStr">
        <is>
          <t>MFG001</t>
        </is>
      </c>
      <c r="I27" s="31" t="inlineStr">
        <is>
          <t>DF001</t>
        </is>
      </c>
      <c r="J27" s="31">
        <f>XLOOKUP([@ManufacturerID],tblManufacturerIDCrosswalk[LegacyManufacturerID],tblManufacturerIDCrosswalk[CanonicalManufacturerID],"")</f>
        <v/>
      </c>
      <c r="K27" s="33">
        <f>XLOOKUP([@DeviceFamilyID],tblDeviceFamilyIDCrosswalk[LegacyDeviceFamilyID],tblDeviceFamilyIDCrosswalk[CanonicalDeviceFamilyID],"")</f>
        <v/>
      </c>
      <c r="L27" s="33">
        <f>XLOOKUP([@DeviceTypeID],tblDeviceTypeIDCrosswalk[LegacyDeviceTypeID],tblDeviceTypeIDCrosswalk[CanonicalDeviceTypeID],"")</f>
        <v/>
      </c>
      <c r="M27" s="32">
        <f>XLOOKUP([@ManufacturerID],tblManufacturerIDCrosswalk[LegacyManufacturerID],tblManufacturerIDCrosswalk[MappingStatus],"No Crosswalk")</f>
        <v/>
      </c>
      <c r="N27" s="35">
        <f>XLOOKUP([@DeviceFamilyID],tblDeviceFamilyIDCrosswalk[LegacyDeviceFamilyID],tblDeviceFamilyIDCrosswalk[MappingStatus],"No Crosswalk")</f>
        <v/>
      </c>
      <c r="O27" s="35">
        <f>XLOOKUP([@DeviceTypeID],tblDeviceTypeIDCrosswalk[LegacyDeviceTypeID],tblDeviceTypeIDCrosswalk[MappingStatus],"No Crosswalk")</f>
        <v/>
      </c>
      <c r="P27">
        <f>IF(OR([@ManufacturerMappingStatus]&lt;&gt;"Approved",[@DeviceFamilyMappingStatus]&lt;&gt;"Approved",[@DeviceTypeMappingStatus]&lt;&gt;"Approved"),"Manual Review Required","Approved Crosswalk Available")</f>
        <v/>
      </c>
      <c r="Q27" t="inlineStr">
        <is>
          <t>Pending Review</t>
        </is>
      </c>
    </row>
    <row r="28" ht="21.5" customHeight="1" s="42">
      <c r="A28" s="37" t="inlineStr">
        <is>
          <t>MFG000013</t>
        </is>
      </c>
      <c r="B28" s="37" t="inlineStr">
        <is>
          <t>ASUS</t>
        </is>
      </c>
      <c r="C28" s="37" t="inlineStr">
        <is>
          <t>ASUS</t>
        </is>
      </c>
      <c r="D28" s="27" t="n">
        <v>13</v>
      </c>
      <c r="E28" s="38" t="inlineStr">
        <is>
          <t>Yes</t>
        </is>
      </c>
      <c r="F28" s="38" t="n"/>
      <c r="G28" s="10" t="inlineStr">
        <is>
          <t>MOD000027</t>
        </is>
      </c>
      <c r="H28" s="31" t="inlineStr">
        <is>
          <t>MFG001</t>
        </is>
      </c>
      <c r="I28" s="31" t="inlineStr">
        <is>
          <t>DF001</t>
        </is>
      </c>
      <c r="J28" s="31">
        <f>XLOOKUP([@ManufacturerID],tblManufacturerIDCrosswalk[LegacyManufacturerID],tblManufacturerIDCrosswalk[CanonicalManufacturerID],"")</f>
        <v/>
      </c>
      <c r="K28" s="33">
        <f>XLOOKUP([@DeviceFamilyID],tblDeviceFamilyIDCrosswalk[LegacyDeviceFamilyID],tblDeviceFamilyIDCrosswalk[CanonicalDeviceFamilyID],"")</f>
        <v/>
      </c>
      <c r="L28" s="33">
        <f>XLOOKUP([@DeviceTypeID],tblDeviceTypeIDCrosswalk[LegacyDeviceTypeID],tblDeviceTypeIDCrosswalk[CanonicalDeviceTypeID],"")</f>
        <v/>
      </c>
      <c r="M28" s="32">
        <f>XLOOKUP([@ManufacturerID],tblManufacturerIDCrosswalk[LegacyManufacturerID],tblManufacturerIDCrosswalk[MappingStatus],"No Crosswalk")</f>
        <v/>
      </c>
      <c r="N28" s="35">
        <f>XLOOKUP([@DeviceFamilyID],tblDeviceFamilyIDCrosswalk[LegacyDeviceFamilyID],tblDeviceFamilyIDCrosswalk[MappingStatus],"No Crosswalk")</f>
        <v/>
      </c>
      <c r="O28" s="35">
        <f>XLOOKUP([@DeviceTypeID],tblDeviceTypeIDCrosswalk[LegacyDeviceTypeID],tblDeviceTypeIDCrosswalk[MappingStatus],"No Crosswalk")</f>
        <v/>
      </c>
      <c r="P28">
        <f>IF(OR([@ManufacturerMappingStatus]&lt;&gt;"Approved",[@DeviceFamilyMappingStatus]&lt;&gt;"Approved",[@DeviceTypeMappingStatus]&lt;&gt;"Approved"),"Manual Review Required","Approved Crosswalk Available")</f>
        <v/>
      </c>
      <c r="Q28" t="inlineStr">
        <is>
          <t>Pending Review</t>
        </is>
      </c>
    </row>
    <row r="29" ht="21.5" customHeight="1" s="42">
      <c r="A29" s="37" t="inlineStr">
        <is>
          <t>MFG000014</t>
        </is>
      </c>
      <c r="B29" s="37" t="inlineStr">
        <is>
          <t>Acer</t>
        </is>
      </c>
      <c r="C29" s="37" t="inlineStr">
        <is>
          <t>Acer</t>
        </is>
      </c>
      <c r="D29" s="27" t="n">
        <v>14</v>
      </c>
      <c r="E29" s="38" t="inlineStr">
        <is>
          <t>Yes</t>
        </is>
      </c>
      <c r="F29" s="38" t="n"/>
      <c r="G29" s="10" t="inlineStr">
        <is>
          <t>MOD000028</t>
        </is>
      </c>
      <c r="H29" s="31" t="inlineStr">
        <is>
          <t>MFG001</t>
        </is>
      </c>
      <c r="I29" s="31" t="inlineStr">
        <is>
          <t>DF001</t>
        </is>
      </c>
      <c r="J29" s="31">
        <f>XLOOKUP([@ManufacturerID],tblManufacturerIDCrosswalk[LegacyManufacturerID],tblManufacturerIDCrosswalk[CanonicalManufacturerID],"")</f>
        <v/>
      </c>
      <c r="K29" s="33">
        <f>XLOOKUP([@DeviceFamilyID],tblDeviceFamilyIDCrosswalk[LegacyDeviceFamilyID],tblDeviceFamilyIDCrosswalk[CanonicalDeviceFamilyID],"")</f>
        <v/>
      </c>
      <c r="L29" s="33">
        <f>XLOOKUP([@DeviceTypeID],tblDeviceTypeIDCrosswalk[LegacyDeviceTypeID],tblDeviceTypeIDCrosswalk[CanonicalDeviceTypeID],"")</f>
        <v/>
      </c>
      <c r="M29" s="32">
        <f>XLOOKUP([@ManufacturerID],tblManufacturerIDCrosswalk[LegacyManufacturerID],tblManufacturerIDCrosswalk[MappingStatus],"No Crosswalk")</f>
        <v/>
      </c>
      <c r="N29" s="35">
        <f>XLOOKUP([@DeviceFamilyID],tblDeviceFamilyIDCrosswalk[LegacyDeviceFamilyID],tblDeviceFamilyIDCrosswalk[MappingStatus],"No Crosswalk")</f>
        <v/>
      </c>
      <c r="O29" s="35">
        <f>XLOOKUP([@DeviceTypeID],tblDeviceTypeIDCrosswalk[LegacyDeviceTypeID],tblDeviceTypeIDCrosswalk[MappingStatus],"No Crosswalk")</f>
        <v/>
      </c>
      <c r="P29">
        <f>IF(OR([@ManufacturerMappingStatus]&lt;&gt;"Approved",[@DeviceFamilyMappingStatus]&lt;&gt;"Approved",[@DeviceTypeMappingStatus]&lt;&gt;"Approved"),"Manual Review Required","Approved Crosswalk Available")</f>
        <v/>
      </c>
      <c r="Q29" t="inlineStr">
        <is>
          <t>Pending Review</t>
        </is>
      </c>
    </row>
    <row r="30" ht="21.5" customHeight="1" s="42">
      <c r="A30" s="37" t="inlineStr">
        <is>
          <t>MFG000015</t>
        </is>
      </c>
      <c r="B30" s="37" t="inlineStr">
        <is>
          <t>MSI</t>
        </is>
      </c>
      <c r="C30" s="37" t="inlineStr">
        <is>
          <t>MSI</t>
        </is>
      </c>
      <c r="D30" s="27" t="n">
        <v>15</v>
      </c>
      <c r="E30" s="38" t="inlineStr">
        <is>
          <t>Yes</t>
        </is>
      </c>
      <c r="F30" s="38" t="n"/>
      <c r="G30" s="10" t="inlineStr">
        <is>
          <t>MOD000029</t>
        </is>
      </c>
      <c r="H30" s="31" t="inlineStr">
        <is>
          <t>MFG001</t>
        </is>
      </c>
      <c r="I30" s="31" t="inlineStr">
        <is>
          <t>DF001</t>
        </is>
      </c>
      <c r="J30" s="31">
        <f>XLOOKUP([@ManufacturerID],tblManufacturerIDCrosswalk[LegacyManufacturerID],tblManufacturerIDCrosswalk[CanonicalManufacturerID],"")</f>
        <v/>
      </c>
      <c r="K30" s="33">
        <f>XLOOKUP([@DeviceFamilyID],tblDeviceFamilyIDCrosswalk[LegacyDeviceFamilyID],tblDeviceFamilyIDCrosswalk[CanonicalDeviceFamilyID],"")</f>
        <v/>
      </c>
      <c r="L30" s="33">
        <f>XLOOKUP([@DeviceTypeID],tblDeviceTypeIDCrosswalk[LegacyDeviceTypeID],tblDeviceTypeIDCrosswalk[CanonicalDeviceTypeID],"")</f>
        <v/>
      </c>
      <c r="M30" s="32">
        <f>XLOOKUP([@ManufacturerID],tblManufacturerIDCrosswalk[LegacyManufacturerID],tblManufacturerIDCrosswalk[MappingStatus],"No Crosswalk")</f>
        <v/>
      </c>
      <c r="N30" s="35">
        <f>XLOOKUP([@DeviceFamilyID],tblDeviceFamilyIDCrosswalk[LegacyDeviceFamilyID],tblDeviceFamilyIDCrosswalk[MappingStatus],"No Crosswalk")</f>
        <v/>
      </c>
      <c r="O30" s="35">
        <f>XLOOKUP([@DeviceTypeID],tblDeviceTypeIDCrosswalk[LegacyDeviceTypeID],tblDeviceTypeIDCrosswalk[MappingStatus],"No Crosswalk")</f>
        <v/>
      </c>
      <c r="P30">
        <f>IF(OR([@ManufacturerMappingStatus]&lt;&gt;"Approved",[@DeviceFamilyMappingStatus]&lt;&gt;"Approved",[@DeviceTypeMappingStatus]&lt;&gt;"Approved"),"Manual Review Required","Approved Crosswalk Available")</f>
        <v/>
      </c>
      <c r="Q30" t="inlineStr">
        <is>
          <t>Pending Review</t>
        </is>
      </c>
    </row>
    <row r="31" ht="21.5" customHeight="1" s="42">
      <c r="A31" s="37" t="inlineStr">
        <is>
          <t>MFG000016</t>
        </is>
      </c>
      <c r="B31" s="37" t="inlineStr">
        <is>
          <t>Nintendo</t>
        </is>
      </c>
      <c r="C31" s="37" t="inlineStr">
        <is>
          <t>Nintendo</t>
        </is>
      </c>
      <c r="D31" s="27" t="n">
        <v>16</v>
      </c>
      <c r="E31" s="38" t="inlineStr">
        <is>
          <t>Yes</t>
        </is>
      </c>
      <c r="F31" s="38" t="n"/>
      <c r="G31" s="10" t="inlineStr">
        <is>
          <t>MOD000030</t>
        </is>
      </c>
      <c r="H31" s="31" t="inlineStr">
        <is>
          <t>MFG001</t>
        </is>
      </c>
      <c r="I31" s="31" t="inlineStr">
        <is>
          <t>DF001</t>
        </is>
      </c>
      <c r="J31" s="31">
        <f>XLOOKUP([@ManufacturerID],tblManufacturerIDCrosswalk[LegacyManufacturerID],tblManufacturerIDCrosswalk[CanonicalManufacturerID],"")</f>
        <v/>
      </c>
      <c r="K31" s="33">
        <f>XLOOKUP([@DeviceFamilyID],tblDeviceFamilyIDCrosswalk[LegacyDeviceFamilyID],tblDeviceFamilyIDCrosswalk[CanonicalDeviceFamilyID],"")</f>
        <v/>
      </c>
      <c r="L31" s="33">
        <f>XLOOKUP([@DeviceTypeID],tblDeviceTypeIDCrosswalk[LegacyDeviceTypeID],tblDeviceTypeIDCrosswalk[CanonicalDeviceTypeID],"")</f>
        <v/>
      </c>
      <c r="M31" s="32">
        <f>XLOOKUP([@ManufacturerID],tblManufacturerIDCrosswalk[LegacyManufacturerID],tblManufacturerIDCrosswalk[MappingStatus],"No Crosswalk")</f>
        <v/>
      </c>
      <c r="N31" s="35">
        <f>XLOOKUP([@DeviceFamilyID],tblDeviceFamilyIDCrosswalk[LegacyDeviceFamilyID],tblDeviceFamilyIDCrosswalk[MappingStatus],"No Crosswalk")</f>
        <v/>
      </c>
      <c r="O31" s="35">
        <f>XLOOKUP([@DeviceTypeID],tblDeviceTypeIDCrosswalk[LegacyDeviceTypeID],tblDeviceTypeIDCrosswalk[MappingStatus],"No Crosswalk")</f>
        <v/>
      </c>
      <c r="P31">
        <f>IF(OR([@ManufacturerMappingStatus]&lt;&gt;"Approved",[@DeviceFamilyMappingStatus]&lt;&gt;"Approved",[@DeviceTypeMappingStatus]&lt;&gt;"Approved"),"Manual Review Required","Approved Crosswalk Available")</f>
        <v/>
      </c>
      <c r="Q31" t="inlineStr">
        <is>
          <t>Pending Review</t>
        </is>
      </c>
    </row>
    <row r="32" ht="21.5" customHeight="1" s="42">
      <c r="A32" s="37" t="inlineStr">
        <is>
          <t>MFG000017</t>
        </is>
      </c>
      <c r="B32" s="37" t="inlineStr">
        <is>
          <t>Sony PlayStation</t>
        </is>
      </c>
      <c r="C32" s="37" t="inlineStr">
        <is>
          <t>PlayStation</t>
        </is>
      </c>
      <c r="D32" s="27" t="n">
        <v>17</v>
      </c>
      <c r="E32" s="38" t="inlineStr">
        <is>
          <t>Yes</t>
        </is>
      </c>
      <c r="F32" s="38" t="n"/>
      <c r="G32" s="10" t="inlineStr">
        <is>
          <t>MOD000031</t>
        </is>
      </c>
      <c r="H32" s="31" t="inlineStr">
        <is>
          <t>MFG001</t>
        </is>
      </c>
      <c r="I32" s="31" t="inlineStr">
        <is>
          <t>DF001</t>
        </is>
      </c>
      <c r="J32" s="31">
        <f>XLOOKUP([@ManufacturerID],tblManufacturerIDCrosswalk[LegacyManufacturerID],tblManufacturerIDCrosswalk[CanonicalManufacturerID],"")</f>
        <v/>
      </c>
      <c r="K32" s="33">
        <f>XLOOKUP([@DeviceFamilyID],tblDeviceFamilyIDCrosswalk[LegacyDeviceFamilyID],tblDeviceFamilyIDCrosswalk[CanonicalDeviceFamilyID],"")</f>
        <v/>
      </c>
      <c r="L32" s="33">
        <f>XLOOKUP([@DeviceTypeID],tblDeviceTypeIDCrosswalk[LegacyDeviceTypeID],tblDeviceTypeIDCrosswalk[CanonicalDeviceTypeID],"")</f>
        <v/>
      </c>
      <c r="M32" s="32">
        <f>XLOOKUP([@ManufacturerID],tblManufacturerIDCrosswalk[LegacyManufacturerID],tblManufacturerIDCrosswalk[MappingStatus],"No Crosswalk")</f>
        <v/>
      </c>
      <c r="N32" s="35">
        <f>XLOOKUP([@DeviceFamilyID],tblDeviceFamilyIDCrosswalk[LegacyDeviceFamilyID],tblDeviceFamilyIDCrosswalk[MappingStatus],"No Crosswalk")</f>
        <v/>
      </c>
      <c r="O32" s="35">
        <f>XLOOKUP([@DeviceTypeID],tblDeviceTypeIDCrosswalk[LegacyDeviceTypeID],tblDeviceTypeIDCrosswalk[MappingStatus],"No Crosswalk")</f>
        <v/>
      </c>
      <c r="P32">
        <f>IF(OR([@ManufacturerMappingStatus]&lt;&gt;"Approved",[@DeviceFamilyMappingStatus]&lt;&gt;"Approved",[@DeviceTypeMappingStatus]&lt;&gt;"Approved"),"Manual Review Required","Approved Crosswalk Available")</f>
        <v/>
      </c>
      <c r="Q32" t="inlineStr">
        <is>
          <t>Pending Review</t>
        </is>
      </c>
    </row>
    <row r="33" ht="21.5" customHeight="1" s="42">
      <c r="A33" s="37" t="inlineStr">
        <is>
          <t>MFG000018</t>
        </is>
      </c>
      <c r="B33" s="37" t="inlineStr">
        <is>
          <t>Microsoft Xbox</t>
        </is>
      </c>
      <c r="C33" s="37" t="inlineStr">
        <is>
          <t>Xbox</t>
        </is>
      </c>
      <c r="D33" s="27" t="n">
        <v>18</v>
      </c>
      <c r="E33" s="38" t="inlineStr">
        <is>
          <t>Yes</t>
        </is>
      </c>
      <c r="F33" s="38" t="n"/>
      <c r="G33" s="10" t="inlineStr">
        <is>
          <t>MOD000032</t>
        </is>
      </c>
      <c r="H33" s="31" t="inlineStr">
        <is>
          <t>MFG001</t>
        </is>
      </c>
      <c r="I33" s="31" t="inlineStr">
        <is>
          <t>DF001</t>
        </is>
      </c>
      <c r="J33" s="31">
        <f>XLOOKUP([@ManufacturerID],tblManufacturerIDCrosswalk[LegacyManufacturerID],tblManufacturerIDCrosswalk[CanonicalManufacturerID],"")</f>
        <v/>
      </c>
      <c r="K33" s="33">
        <f>XLOOKUP([@DeviceFamilyID],tblDeviceFamilyIDCrosswalk[LegacyDeviceFamilyID],tblDeviceFamilyIDCrosswalk[CanonicalDeviceFamilyID],"")</f>
        <v/>
      </c>
      <c r="L33" s="33">
        <f>XLOOKUP([@DeviceTypeID],tblDeviceTypeIDCrosswalk[LegacyDeviceTypeID],tblDeviceTypeIDCrosswalk[CanonicalDeviceTypeID],"")</f>
        <v/>
      </c>
      <c r="M33" s="32">
        <f>XLOOKUP([@ManufacturerID],tblManufacturerIDCrosswalk[LegacyManufacturerID],tblManufacturerIDCrosswalk[MappingStatus],"No Crosswalk")</f>
        <v/>
      </c>
      <c r="N33" s="35">
        <f>XLOOKUP([@DeviceFamilyID],tblDeviceFamilyIDCrosswalk[LegacyDeviceFamilyID],tblDeviceFamilyIDCrosswalk[MappingStatus],"No Crosswalk")</f>
        <v/>
      </c>
      <c r="O33" s="35">
        <f>XLOOKUP([@DeviceTypeID],tblDeviceTypeIDCrosswalk[LegacyDeviceTypeID],tblDeviceTypeIDCrosswalk[MappingStatus],"No Crosswalk")</f>
        <v/>
      </c>
      <c r="P33">
        <f>IF(OR([@ManufacturerMappingStatus]&lt;&gt;"Approved",[@DeviceFamilyMappingStatus]&lt;&gt;"Approved",[@DeviceTypeMappingStatus]&lt;&gt;"Approved"),"Manual Review Required","Approved Crosswalk Available")</f>
        <v/>
      </c>
      <c r="Q33" t="inlineStr">
        <is>
          <t>Pending Review</t>
        </is>
      </c>
    </row>
    <row r="34" ht="21.5" customHeight="1" s="42">
      <c r="A34" s="37" t="inlineStr">
        <is>
          <t>MFG000019</t>
        </is>
      </c>
      <c r="B34" s="37" t="inlineStr">
        <is>
          <t>Meta</t>
        </is>
      </c>
      <c r="C34" s="37" t="inlineStr">
        <is>
          <t>Quest VR</t>
        </is>
      </c>
      <c r="D34" s="27" t="n">
        <v>19</v>
      </c>
      <c r="E34" s="38" t="inlineStr">
        <is>
          <t>Yes</t>
        </is>
      </c>
      <c r="F34" s="38" t="n"/>
      <c r="G34" s="10" t="inlineStr">
        <is>
          <t>MOD000033</t>
        </is>
      </c>
      <c r="H34" s="31" t="inlineStr">
        <is>
          <t>MFG001</t>
        </is>
      </c>
      <c r="I34" s="31" t="inlineStr">
        <is>
          <t>DF001</t>
        </is>
      </c>
      <c r="J34" s="31">
        <f>XLOOKUP([@ManufacturerID],tblManufacturerIDCrosswalk[LegacyManufacturerID],tblManufacturerIDCrosswalk[CanonicalManufacturerID],"")</f>
        <v/>
      </c>
      <c r="K34" s="33">
        <f>XLOOKUP([@DeviceFamilyID],tblDeviceFamilyIDCrosswalk[LegacyDeviceFamilyID],tblDeviceFamilyIDCrosswalk[CanonicalDeviceFamilyID],"")</f>
        <v/>
      </c>
      <c r="L34" s="33">
        <f>XLOOKUP([@DeviceTypeID],tblDeviceTypeIDCrosswalk[LegacyDeviceTypeID],tblDeviceTypeIDCrosswalk[CanonicalDeviceTypeID],"")</f>
        <v/>
      </c>
      <c r="M34" s="32">
        <f>XLOOKUP([@ManufacturerID],tblManufacturerIDCrosswalk[LegacyManufacturerID],tblManufacturerIDCrosswalk[MappingStatus],"No Crosswalk")</f>
        <v/>
      </c>
      <c r="N34" s="35">
        <f>XLOOKUP([@DeviceFamilyID],tblDeviceFamilyIDCrosswalk[LegacyDeviceFamilyID],tblDeviceFamilyIDCrosswalk[MappingStatus],"No Crosswalk")</f>
        <v/>
      </c>
      <c r="O34" s="35">
        <f>XLOOKUP([@DeviceTypeID],tblDeviceTypeIDCrosswalk[LegacyDeviceTypeID],tblDeviceTypeIDCrosswalk[MappingStatus],"No Crosswalk")</f>
        <v/>
      </c>
      <c r="P34">
        <f>IF(OR([@ManufacturerMappingStatus]&lt;&gt;"Approved",[@DeviceFamilyMappingStatus]&lt;&gt;"Approved",[@DeviceTypeMappingStatus]&lt;&gt;"Approved"),"Manual Review Required","Approved Crosswalk Available")</f>
        <v/>
      </c>
      <c r="Q34" t="inlineStr">
        <is>
          <t>Pending Review</t>
        </is>
      </c>
    </row>
    <row r="35" ht="21.5" customHeight="1" s="42">
      <c r="A35" s="37" t="inlineStr">
        <is>
          <t>MFG000020</t>
        </is>
      </c>
      <c r="B35" s="37" t="inlineStr">
        <is>
          <t>DJI</t>
        </is>
      </c>
      <c r="C35" s="37" t="inlineStr">
        <is>
          <t>Drones</t>
        </is>
      </c>
      <c r="D35" s="27" t="n">
        <v>20</v>
      </c>
      <c r="E35" s="38" t="inlineStr">
        <is>
          <t>Yes</t>
        </is>
      </c>
      <c r="F35" s="38" t="n"/>
      <c r="G35" s="10" t="inlineStr">
        <is>
          <t>MOD000034</t>
        </is>
      </c>
      <c r="H35" s="31" t="inlineStr">
        <is>
          <t>MFG001</t>
        </is>
      </c>
      <c r="I35" s="31" t="inlineStr">
        <is>
          <t>DF001</t>
        </is>
      </c>
      <c r="J35" s="31">
        <f>XLOOKUP([@ManufacturerID],tblManufacturerIDCrosswalk[LegacyManufacturerID],tblManufacturerIDCrosswalk[CanonicalManufacturerID],"")</f>
        <v/>
      </c>
      <c r="K35" s="33">
        <f>XLOOKUP([@DeviceFamilyID],tblDeviceFamilyIDCrosswalk[LegacyDeviceFamilyID],tblDeviceFamilyIDCrosswalk[CanonicalDeviceFamilyID],"")</f>
        <v/>
      </c>
      <c r="L35" s="33">
        <f>XLOOKUP([@DeviceTypeID],tblDeviceTypeIDCrosswalk[LegacyDeviceTypeID],tblDeviceTypeIDCrosswalk[CanonicalDeviceTypeID],"")</f>
        <v/>
      </c>
      <c r="M35" s="32">
        <f>XLOOKUP([@ManufacturerID],tblManufacturerIDCrosswalk[LegacyManufacturerID],tblManufacturerIDCrosswalk[MappingStatus],"No Crosswalk")</f>
        <v/>
      </c>
      <c r="N35" s="35">
        <f>XLOOKUP([@DeviceFamilyID],tblDeviceFamilyIDCrosswalk[LegacyDeviceFamilyID],tblDeviceFamilyIDCrosswalk[MappingStatus],"No Crosswalk")</f>
        <v/>
      </c>
      <c r="O35" s="35">
        <f>XLOOKUP([@DeviceTypeID],tblDeviceTypeIDCrosswalk[LegacyDeviceTypeID],tblDeviceTypeIDCrosswalk[MappingStatus],"No Crosswalk")</f>
        <v/>
      </c>
      <c r="P35">
        <f>IF(OR([@ManufacturerMappingStatus]&lt;&gt;"Approved",[@DeviceFamilyMappingStatus]&lt;&gt;"Approved",[@DeviceTypeMappingStatus]&lt;&gt;"Approved"),"Manual Review Required","Approved Crosswalk Available")</f>
        <v/>
      </c>
      <c r="Q35" t="inlineStr">
        <is>
          <t>Pending Review</t>
        </is>
      </c>
    </row>
    <row r="36" ht="21.5" customHeight="1" s="42">
      <c r="A36" s="36" t="n"/>
      <c r="B36" s="37" t="n"/>
      <c r="C36" s="37" t="n"/>
      <c r="D36" s="37" t="n"/>
      <c r="E36" s="38" t="n"/>
      <c r="F36" s="38" t="n"/>
      <c r="G36" s="10" t="inlineStr">
        <is>
          <t>MOD000035</t>
        </is>
      </c>
      <c r="H36" s="31" t="inlineStr">
        <is>
          <t>MFG001</t>
        </is>
      </c>
      <c r="I36" s="31" t="inlineStr">
        <is>
          <t>DF001</t>
        </is>
      </c>
      <c r="J36" s="31">
        <f>XLOOKUP([@ManufacturerID],tblManufacturerIDCrosswalk[LegacyManufacturerID],tblManufacturerIDCrosswalk[CanonicalManufacturerID],"")</f>
        <v/>
      </c>
      <c r="K36" s="33">
        <f>XLOOKUP([@DeviceFamilyID],tblDeviceFamilyIDCrosswalk[LegacyDeviceFamilyID],tblDeviceFamilyIDCrosswalk[CanonicalDeviceFamilyID],"")</f>
        <v/>
      </c>
      <c r="L36" s="33">
        <f>XLOOKUP([@DeviceTypeID],tblDeviceTypeIDCrosswalk[LegacyDeviceTypeID],tblDeviceTypeIDCrosswalk[CanonicalDeviceTypeID],"")</f>
        <v/>
      </c>
      <c r="M36" s="32">
        <f>XLOOKUP([@ManufacturerID],tblManufacturerIDCrosswalk[LegacyManufacturerID],tblManufacturerIDCrosswalk[MappingStatus],"No Crosswalk")</f>
        <v/>
      </c>
      <c r="N36" s="35">
        <f>XLOOKUP([@DeviceFamilyID],tblDeviceFamilyIDCrosswalk[LegacyDeviceFamilyID],tblDeviceFamilyIDCrosswalk[MappingStatus],"No Crosswalk")</f>
        <v/>
      </c>
      <c r="O36" s="35">
        <f>XLOOKUP([@DeviceTypeID],tblDeviceTypeIDCrosswalk[LegacyDeviceTypeID],tblDeviceTypeIDCrosswalk[MappingStatus],"No Crosswalk")</f>
        <v/>
      </c>
      <c r="P36">
        <f>IF(OR([@ManufacturerMappingStatus]&lt;&gt;"Approved",[@DeviceFamilyMappingStatus]&lt;&gt;"Approved",[@DeviceTypeMappingStatus]&lt;&gt;"Approved"),"Manual Review Required","Approved Crosswalk Available")</f>
        <v/>
      </c>
      <c r="Q36" t="inlineStr">
        <is>
          <t>Pending Review</t>
        </is>
      </c>
    </row>
    <row r="37" ht="21.5" customHeight="1" s="42">
      <c r="A37" s="23" t="inlineStr">
        <is>
          <t>DeviceFamilyID</t>
        </is>
      </c>
      <c r="B37" s="23" t="inlineStr">
        <is>
          <t>Device Family</t>
        </is>
      </c>
      <c r="C37" s="23" t="inlineStr">
        <is>
          <t>Manufacturer</t>
        </is>
      </c>
      <c r="D37" s="24" t="inlineStr">
        <is>
          <t>Sort Order</t>
        </is>
      </c>
      <c r="E37" s="23" t="inlineStr">
        <is>
          <t>IsActive</t>
        </is>
      </c>
      <c r="F37" s="39" t="n"/>
      <c r="G37" s="10" t="n"/>
      <c r="H37" s="31" t="n"/>
      <c r="I37" s="31" t="n"/>
      <c r="J37" s="31">
        <f>XLOOKUP([@ManufacturerID],tblManufacturerIDCrosswalk[LegacyManufacturerID],tblManufacturerIDCrosswalk[CanonicalManufacturerID],"")</f>
        <v/>
      </c>
      <c r="K37" s="7">
        <f>XLOOKUP([@DeviceFamilyID],tblDeviceFamilyIDCrosswalk[LegacyDeviceFamilyID],tblDeviceFamilyIDCrosswalk[CanonicalDeviceFamilyID],"")</f>
        <v/>
      </c>
      <c r="L37" s="7">
        <f>XLOOKUP([@DeviceTypeID],tblDeviceTypeIDCrosswalk[LegacyDeviceTypeID],tblDeviceTypeIDCrosswalk[CanonicalDeviceTypeID],"")</f>
        <v/>
      </c>
      <c r="M37" s="32">
        <f>XLOOKUP([@ManufacturerID],tblManufacturerIDCrosswalk[LegacyManufacturerID],tblManufacturerIDCrosswalk[MappingStatus],"No Crosswalk")</f>
        <v/>
      </c>
      <c r="N37" s="35">
        <f>XLOOKUP([@DeviceFamilyID],tblDeviceFamilyIDCrosswalk[LegacyDeviceFamilyID],tblDeviceFamilyIDCrosswalk[MappingStatus],"No Crosswalk")</f>
        <v/>
      </c>
      <c r="O37" s="35">
        <f>XLOOKUP([@DeviceTypeID],tblDeviceTypeIDCrosswalk[LegacyDeviceTypeID],tblDeviceTypeIDCrosswalk[MappingStatus],"No Crosswalk")</f>
        <v/>
      </c>
      <c r="P37">
        <f>IF(OR([@ManufacturerMappingStatus]&lt;&gt;"Approved",[@DeviceFamilyMappingStatus]&lt;&gt;"Approved",[@DeviceTypeMappingStatus]&lt;&gt;"Approved"),"Manual Review Required","Approved Crosswalk Available")</f>
        <v/>
      </c>
      <c r="Q37" t="inlineStr">
        <is>
          <t>Pending Review</t>
        </is>
      </c>
    </row>
    <row r="38" ht="21.5" customHeight="1" s="42">
      <c r="A38" s="37" t="inlineStr">
        <is>
          <t>DF000001</t>
        </is>
      </c>
      <c r="B38" s="37" t="inlineStr">
        <is>
          <t>iPhone</t>
        </is>
      </c>
      <c r="C38" s="37" t="inlineStr">
        <is>
          <t>Apple</t>
        </is>
      </c>
      <c r="D38" s="27" t="n">
        <v>1</v>
      </c>
      <c r="E38" s="38" t="inlineStr">
        <is>
          <t>Yes</t>
        </is>
      </c>
      <c r="F38" s="39" t="n"/>
      <c r="G38" s="10" t="n"/>
      <c r="H38" s="31" t="n"/>
      <c r="I38" s="31" t="n"/>
      <c r="J38" s="31">
        <f>XLOOKUP([@ManufacturerID],tblManufacturerIDCrosswalk[LegacyManufacturerID],tblManufacturerIDCrosswalk[CanonicalManufacturerID],"")</f>
        <v/>
      </c>
      <c r="K38" s="7">
        <f>XLOOKUP([@DeviceFamilyID],tblDeviceFamilyIDCrosswalk[LegacyDeviceFamilyID],tblDeviceFamilyIDCrosswalk[CanonicalDeviceFamilyID],"")</f>
        <v/>
      </c>
      <c r="L38" s="7">
        <f>XLOOKUP([@DeviceTypeID],tblDeviceTypeIDCrosswalk[LegacyDeviceTypeID],tblDeviceTypeIDCrosswalk[CanonicalDeviceTypeID],"")</f>
        <v/>
      </c>
      <c r="M38" s="32">
        <f>XLOOKUP([@ManufacturerID],tblManufacturerIDCrosswalk[LegacyManufacturerID],tblManufacturerIDCrosswalk[MappingStatus],"No Crosswalk")</f>
        <v/>
      </c>
      <c r="N38" s="35">
        <f>XLOOKUP([@DeviceFamilyID],tblDeviceFamilyIDCrosswalk[LegacyDeviceFamilyID],tblDeviceFamilyIDCrosswalk[MappingStatus],"No Crosswalk")</f>
        <v/>
      </c>
      <c r="O38" s="35">
        <f>XLOOKUP([@DeviceTypeID],tblDeviceTypeIDCrosswalk[LegacyDeviceTypeID],tblDeviceTypeIDCrosswalk[MappingStatus],"No Crosswalk")</f>
        <v/>
      </c>
      <c r="P38">
        <f>IF(OR([@ManufacturerMappingStatus]&lt;&gt;"Approved",[@DeviceFamilyMappingStatus]&lt;&gt;"Approved",[@DeviceTypeMappingStatus]&lt;&gt;"Approved"),"Manual Review Required","Approved Crosswalk Available")</f>
        <v/>
      </c>
      <c r="Q38" t="inlineStr">
        <is>
          <t>Pending Review</t>
        </is>
      </c>
    </row>
    <row r="39" ht="21.5" customHeight="1" s="42">
      <c r="A39" s="37" t="inlineStr">
        <is>
          <t>DF000002</t>
        </is>
      </c>
      <c r="B39" s="37" t="inlineStr">
        <is>
          <t>iPad</t>
        </is>
      </c>
      <c r="C39" s="37" t="inlineStr">
        <is>
          <t>Apple</t>
        </is>
      </c>
      <c r="D39" s="27" t="n">
        <v>2</v>
      </c>
      <c r="E39" s="38" t="inlineStr">
        <is>
          <t>Yes</t>
        </is>
      </c>
      <c r="F39" s="38" t="n"/>
      <c r="G39" s="10" t="inlineStr">
        <is>
          <t>MOD000036</t>
        </is>
      </c>
      <c r="H39" s="31" t="inlineStr">
        <is>
          <t>MFG001</t>
        </is>
      </c>
      <c r="I39" s="31" t="inlineStr">
        <is>
          <t>DF001</t>
        </is>
      </c>
      <c r="J39" s="31">
        <f>XLOOKUP([@ManufacturerID],tblManufacturerIDCrosswalk[LegacyManufacturerID],tblManufacturerIDCrosswalk[CanonicalManufacturerID],"")</f>
        <v/>
      </c>
      <c r="K39" s="33">
        <f>XLOOKUP([@DeviceFamilyID],tblDeviceFamilyIDCrosswalk[LegacyDeviceFamilyID],tblDeviceFamilyIDCrosswalk[CanonicalDeviceFamilyID],"")</f>
        <v/>
      </c>
      <c r="L39" s="33">
        <f>XLOOKUP([@DeviceTypeID],tblDeviceTypeIDCrosswalk[LegacyDeviceTypeID],tblDeviceTypeIDCrosswalk[CanonicalDeviceTypeID],"")</f>
        <v/>
      </c>
      <c r="M39" s="32">
        <f>XLOOKUP([@ManufacturerID],tblManufacturerIDCrosswalk[LegacyManufacturerID],tblManufacturerIDCrosswalk[MappingStatus],"No Crosswalk")</f>
        <v/>
      </c>
      <c r="N39" s="35">
        <f>XLOOKUP([@DeviceFamilyID],tblDeviceFamilyIDCrosswalk[LegacyDeviceFamilyID],tblDeviceFamilyIDCrosswalk[MappingStatus],"No Crosswalk")</f>
        <v/>
      </c>
      <c r="O39" s="35">
        <f>XLOOKUP([@DeviceTypeID],tblDeviceTypeIDCrosswalk[LegacyDeviceTypeID],tblDeviceTypeIDCrosswalk[MappingStatus],"No Crosswalk")</f>
        <v/>
      </c>
      <c r="P39">
        <f>IF(OR([@ManufacturerMappingStatus]&lt;&gt;"Approved",[@DeviceFamilyMappingStatus]&lt;&gt;"Approved",[@DeviceTypeMappingStatus]&lt;&gt;"Approved"),"Manual Review Required","Approved Crosswalk Available")</f>
        <v/>
      </c>
      <c r="Q39" t="inlineStr">
        <is>
          <t>Pending Review</t>
        </is>
      </c>
    </row>
    <row r="40" ht="21.5" customHeight="1" s="42">
      <c r="A40" s="37" t="inlineStr">
        <is>
          <t>DF000003</t>
        </is>
      </c>
      <c r="B40" s="37" t="inlineStr">
        <is>
          <t>MacBook</t>
        </is>
      </c>
      <c r="C40" s="37" t="inlineStr">
        <is>
          <t>Apple</t>
        </is>
      </c>
      <c r="D40" s="27" t="n">
        <v>3</v>
      </c>
      <c r="E40" s="38" t="inlineStr">
        <is>
          <t>Yes</t>
        </is>
      </c>
      <c r="F40" s="38" t="n"/>
      <c r="G40" s="10" t="inlineStr">
        <is>
          <t>MOD000037</t>
        </is>
      </c>
      <c r="H40" s="31" t="inlineStr">
        <is>
          <t>MFG001</t>
        </is>
      </c>
      <c r="I40" s="31" t="inlineStr">
        <is>
          <t>DF001</t>
        </is>
      </c>
      <c r="J40" s="31">
        <f>XLOOKUP([@ManufacturerID],tblManufacturerIDCrosswalk[LegacyManufacturerID],tblManufacturerIDCrosswalk[CanonicalManufacturerID],"")</f>
        <v/>
      </c>
      <c r="K40" s="33">
        <f>XLOOKUP([@DeviceFamilyID],tblDeviceFamilyIDCrosswalk[LegacyDeviceFamilyID],tblDeviceFamilyIDCrosswalk[CanonicalDeviceFamilyID],"")</f>
        <v/>
      </c>
      <c r="L40" s="33">
        <f>XLOOKUP([@DeviceTypeID],tblDeviceTypeIDCrosswalk[LegacyDeviceTypeID],tblDeviceTypeIDCrosswalk[CanonicalDeviceTypeID],"")</f>
        <v/>
      </c>
      <c r="M40" s="32">
        <f>XLOOKUP([@ManufacturerID],tblManufacturerIDCrosswalk[LegacyManufacturerID],tblManufacturerIDCrosswalk[MappingStatus],"No Crosswalk")</f>
        <v/>
      </c>
      <c r="N40" s="35">
        <f>XLOOKUP([@DeviceFamilyID],tblDeviceFamilyIDCrosswalk[LegacyDeviceFamilyID],tblDeviceFamilyIDCrosswalk[MappingStatus],"No Crosswalk")</f>
        <v/>
      </c>
      <c r="O40" s="35">
        <f>XLOOKUP([@DeviceTypeID],tblDeviceTypeIDCrosswalk[LegacyDeviceTypeID],tblDeviceTypeIDCrosswalk[MappingStatus],"No Crosswalk")</f>
        <v/>
      </c>
      <c r="P40">
        <f>IF(OR([@ManufacturerMappingStatus]&lt;&gt;"Approved",[@DeviceFamilyMappingStatus]&lt;&gt;"Approved",[@DeviceTypeMappingStatus]&lt;&gt;"Approved"),"Manual Review Required","Approved Crosswalk Available")</f>
        <v/>
      </c>
      <c r="Q40" t="inlineStr">
        <is>
          <t>Pending Review</t>
        </is>
      </c>
    </row>
    <row r="41" ht="21.5" customHeight="1" s="42">
      <c r="A41" s="37" t="inlineStr">
        <is>
          <t>DF000004</t>
        </is>
      </c>
      <c r="B41" s="37" t="inlineStr">
        <is>
          <t>Galaxy S</t>
        </is>
      </c>
      <c r="C41" s="37" t="inlineStr">
        <is>
          <t>Samsung</t>
        </is>
      </c>
      <c r="D41" s="27" t="n">
        <v>4</v>
      </c>
      <c r="E41" s="38" t="inlineStr">
        <is>
          <t>Yes</t>
        </is>
      </c>
      <c r="F41" s="38" t="n"/>
      <c r="G41" s="10" t="inlineStr">
        <is>
          <t>MOD000038</t>
        </is>
      </c>
      <c r="H41" s="31" t="inlineStr">
        <is>
          <t>MFG001</t>
        </is>
      </c>
      <c r="I41" s="31" t="inlineStr">
        <is>
          <t>DF001</t>
        </is>
      </c>
      <c r="J41" s="31">
        <f>XLOOKUP([@ManufacturerID],tblManufacturerIDCrosswalk[LegacyManufacturerID],tblManufacturerIDCrosswalk[CanonicalManufacturerID],"")</f>
        <v/>
      </c>
      <c r="K41" s="33">
        <f>XLOOKUP([@DeviceFamilyID],tblDeviceFamilyIDCrosswalk[LegacyDeviceFamilyID],tblDeviceFamilyIDCrosswalk[CanonicalDeviceFamilyID],"")</f>
        <v/>
      </c>
      <c r="L41" s="33">
        <f>XLOOKUP([@DeviceTypeID],tblDeviceTypeIDCrosswalk[LegacyDeviceTypeID],tblDeviceTypeIDCrosswalk[CanonicalDeviceTypeID],"")</f>
        <v/>
      </c>
      <c r="M41" s="32">
        <f>XLOOKUP([@ManufacturerID],tblManufacturerIDCrosswalk[LegacyManufacturerID],tblManufacturerIDCrosswalk[MappingStatus],"No Crosswalk")</f>
        <v/>
      </c>
      <c r="N41" s="35">
        <f>XLOOKUP([@DeviceFamilyID],tblDeviceFamilyIDCrosswalk[LegacyDeviceFamilyID],tblDeviceFamilyIDCrosswalk[MappingStatus],"No Crosswalk")</f>
        <v/>
      </c>
      <c r="O41" s="35">
        <f>XLOOKUP([@DeviceTypeID],tblDeviceTypeIDCrosswalk[LegacyDeviceTypeID],tblDeviceTypeIDCrosswalk[MappingStatus],"No Crosswalk")</f>
        <v/>
      </c>
      <c r="P41">
        <f>IF(OR([@ManufacturerMappingStatus]&lt;&gt;"Approved",[@DeviceFamilyMappingStatus]&lt;&gt;"Approved",[@DeviceTypeMappingStatus]&lt;&gt;"Approved"),"Manual Review Required","Approved Crosswalk Available")</f>
        <v/>
      </c>
      <c r="Q41" t="inlineStr">
        <is>
          <t>Pending Review</t>
        </is>
      </c>
    </row>
    <row r="42" ht="21.5" customHeight="1" s="42">
      <c r="A42" s="37" t="inlineStr">
        <is>
          <t>DF000005</t>
        </is>
      </c>
      <c r="B42" s="37" t="inlineStr">
        <is>
          <t>Galaxy Note</t>
        </is>
      </c>
      <c r="C42" s="37" t="inlineStr">
        <is>
          <t>Samsung</t>
        </is>
      </c>
      <c r="D42" s="27" t="n">
        <v>5</v>
      </c>
      <c r="E42" s="38" t="inlineStr">
        <is>
          <t>Yes</t>
        </is>
      </c>
      <c r="F42" s="38" t="n"/>
      <c r="G42" s="10" t="inlineStr">
        <is>
          <t>MOD000039</t>
        </is>
      </c>
      <c r="H42" s="31" t="inlineStr">
        <is>
          <t>MFG001</t>
        </is>
      </c>
      <c r="I42" s="31" t="inlineStr">
        <is>
          <t>DF001</t>
        </is>
      </c>
      <c r="J42" s="31">
        <f>XLOOKUP([@ManufacturerID],tblManufacturerIDCrosswalk[LegacyManufacturerID],tblManufacturerIDCrosswalk[CanonicalManufacturerID],"")</f>
        <v/>
      </c>
      <c r="K42" s="33">
        <f>XLOOKUP([@DeviceFamilyID],tblDeviceFamilyIDCrosswalk[LegacyDeviceFamilyID],tblDeviceFamilyIDCrosswalk[CanonicalDeviceFamilyID],"")</f>
        <v/>
      </c>
      <c r="L42" s="33">
        <f>XLOOKUP([@DeviceTypeID],tblDeviceTypeIDCrosswalk[LegacyDeviceTypeID],tblDeviceTypeIDCrosswalk[CanonicalDeviceTypeID],"")</f>
        <v/>
      </c>
      <c r="M42" s="32">
        <f>XLOOKUP([@ManufacturerID],tblManufacturerIDCrosswalk[LegacyManufacturerID],tblManufacturerIDCrosswalk[MappingStatus],"No Crosswalk")</f>
        <v/>
      </c>
      <c r="N42" s="35">
        <f>XLOOKUP([@DeviceFamilyID],tblDeviceFamilyIDCrosswalk[LegacyDeviceFamilyID],tblDeviceFamilyIDCrosswalk[MappingStatus],"No Crosswalk")</f>
        <v/>
      </c>
      <c r="O42" s="35">
        <f>XLOOKUP([@DeviceTypeID],tblDeviceTypeIDCrosswalk[LegacyDeviceTypeID],tblDeviceTypeIDCrosswalk[MappingStatus],"No Crosswalk")</f>
        <v/>
      </c>
      <c r="P42">
        <f>IF(OR([@ManufacturerMappingStatus]&lt;&gt;"Approved",[@DeviceFamilyMappingStatus]&lt;&gt;"Approved",[@DeviceTypeMappingStatus]&lt;&gt;"Approved"),"Manual Review Required","Approved Crosswalk Available")</f>
        <v/>
      </c>
      <c r="Q42" t="inlineStr">
        <is>
          <t>Pending Review</t>
        </is>
      </c>
    </row>
    <row r="43" ht="21.5" customHeight="1" s="42">
      <c r="A43" s="37" t="inlineStr">
        <is>
          <t>DF000006</t>
        </is>
      </c>
      <c r="B43" s="37" t="inlineStr">
        <is>
          <t>Galaxy A</t>
        </is>
      </c>
      <c r="C43" s="37" t="inlineStr">
        <is>
          <t>Samsung</t>
        </is>
      </c>
      <c r="D43" s="27" t="n">
        <v>6</v>
      </c>
      <c r="E43" s="38" t="inlineStr">
        <is>
          <t>Yes</t>
        </is>
      </c>
      <c r="F43" s="38" t="n"/>
      <c r="G43" s="10" t="inlineStr">
        <is>
          <t>MOD000040</t>
        </is>
      </c>
      <c r="H43" s="31" t="inlineStr">
        <is>
          <t>MFG001</t>
        </is>
      </c>
      <c r="I43" s="31" t="inlineStr">
        <is>
          <t>DF001</t>
        </is>
      </c>
      <c r="J43" s="31">
        <f>XLOOKUP([@ManufacturerID],tblManufacturerIDCrosswalk[LegacyManufacturerID],tblManufacturerIDCrosswalk[CanonicalManufacturerID],"")</f>
        <v/>
      </c>
      <c r="K43" s="33">
        <f>XLOOKUP([@DeviceFamilyID],tblDeviceFamilyIDCrosswalk[LegacyDeviceFamilyID],tblDeviceFamilyIDCrosswalk[CanonicalDeviceFamilyID],"")</f>
        <v/>
      </c>
      <c r="L43" s="33">
        <f>XLOOKUP([@DeviceTypeID],tblDeviceTypeIDCrosswalk[LegacyDeviceTypeID],tblDeviceTypeIDCrosswalk[CanonicalDeviceTypeID],"")</f>
        <v/>
      </c>
      <c r="M43" s="32">
        <f>XLOOKUP([@ManufacturerID],tblManufacturerIDCrosswalk[LegacyManufacturerID],tblManufacturerIDCrosswalk[MappingStatus],"No Crosswalk")</f>
        <v/>
      </c>
      <c r="N43" s="35">
        <f>XLOOKUP([@DeviceFamilyID],tblDeviceFamilyIDCrosswalk[LegacyDeviceFamilyID],tblDeviceFamilyIDCrosswalk[MappingStatus],"No Crosswalk")</f>
        <v/>
      </c>
      <c r="O43" s="35">
        <f>XLOOKUP([@DeviceTypeID],tblDeviceTypeIDCrosswalk[LegacyDeviceTypeID],tblDeviceTypeIDCrosswalk[MappingStatus],"No Crosswalk")</f>
        <v/>
      </c>
      <c r="P43">
        <f>IF(OR([@ManufacturerMappingStatus]&lt;&gt;"Approved",[@DeviceFamilyMappingStatus]&lt;&gt;"Approved",[@DeviceTypeMappingStatus]&lt;&gt;"Approved"),"Manual Review Required","Approved Crosswalk Available")</f>
        <v/>
      </c>
      <c r="Q43" t="inlineStr">
        <is>
          <t>Pending Review</t>
        </is>
      </c>
    </row>
    <row r="44" ht="21.5" customHeight="1" s="42">
      <c r="A44" s="37" t="inlineStr">
        <is>
          <t>DF000007</t>
        </is>
      </c>
      <c r="B44" s="37" t="inlineStr">
        <is>
          <t>Pixel</t>
        </is>
      </c>
      <c r="C44" s="37" t="inlineStr">
        <is>
          <t>Google</t>
        </is>
      </c>
      <c r="D44" s="27" t="n">
        <v>7</v>
      </c>
      <c r="E44" s="38" t="inlineStr">
        <is>
          <t>Yes</t>
        </is>
      </c>
      <c r="F44" s="38" t="n"/>
      <c r="G44" s="10" t="inlineStr">
        <is>
          <t>MOD000041</t>
        </is>
      </c>
      <c r="H44" s="31" t="inlineStr">
        <is>
          <t>MFG001</t>
        </is>
      </c>
      <c r="I44" s="31" t="inlineStr">
        <is>
          <t>DF001</t>
        </is>
      </c>
      <c r="J44" s="31">
        <f>XLOOKUP([@ManufacturerID],tblManufacturerIDCrosswalk[LegacyManufacturerID],tblManufacturerIDCrosswalk[CanonicalManufacturerID],"")</f>
        <v/>
      </c>
      <c r="K44" s="33">
        <f>XLOOKUP([@DeviceFamilyID],tblDeviceFamilyIDCrosswalk[LegacyDeviceFamilyID],tblDeviceFamilyIDCrosswalk[CanonicalDeviceFamilyID],"")</f>
        <v/>
      </c>
      <c r="L44" s="33">
        <f>XLOOKUP([@DeviceTypeID],tblDeviceTypeIDCrosswalk[LegacyDeviceTypeID],tblDeviceTypeIDCrosswalk[CanonicalDeviceTypeID],"")</f>
        <v/>
      </c>
      <c r="M44" s="32">
        <f>XLOOKUP([@ManufacturerID],tblManufacturerIDCrosswalk[LegacyManufacturerID],tblManufacturerIDCrosswalk[MappingStatus],"No Crosswalk")</f>
        <v/>
      </c>
      <c r="N44" s="35">
        <f>XLOOKUP([@DeviceFamilyID],tblDeviceFamilyIDCrosswalk[LegacyDeviceFamilyID],tblDeviceFamilyIDCrosswalk[MappingStatus],"No Crosswalk")</f>
        <v/>
      </c>
      <c r="O44" s="35">
        <f>XLOOKUP([@DeviceTypeID],tblDeviceTypeIDCrosswalk[LegacyDeviceTypeID],tblDeviceTypeIDCrosswalk[MappingStatus],"No Crosswalk")</f>
        <v/>
      </c>
      <c r="P44">
        <f>IF(OR([@ManufacturerMappingStatus]&lt;&gt;"Approved",[@DeviceFamilyMappingStatus]&lt;&gt;"Approved",[@DeviceTypeMappingStatus]&lt;&gt;"Approved"),"Manual Review Required","Approved Crosswalk Available")</f>
        <v/>
      </c>
      <c r="Q44" t="inlineStr">
        <is>
          <t>Pending Review</t>
        </is>
      </c>
    </row>
    <row r="45" ht="21.5" customHeight="1" s="42">
      <c r="A45" s="37" t="inlineStr">
        <is>
          <t>DF000008</t>
        </is>
      </c>
      <c r="B45" s="37" t="inlineStr">
        <is>
          <t>Surface</t>
        </is>
      </c>
      <c r="C45" s="37" t="inlineStr">
        <is>
          <t>Microsoft</t>
        </is>
      </c>
      <c r="D45" s="27" t="n">
        <v>8</v>
      </c>
      <c r="E45" s="38" t="inlineStr">
        <is>
          <t>Yes</t>
        </is>
      </c>
      <c r="F45" s="38" t="n"/>
      <c r="G45" s="10" t="inlineStr">
        <is>
          <t>MOD000042</t>
        </is>
      </c>
      <c r="H45" s="31" t="inlineStr">
        <is>
          <t>MFG001</t>
        </is>
      </c>
      <c r="I45" s="31" t="inlineStr">
        <is>
          <t>DF001</t>
        </is>
      </c>
      <c r="J45" s="31">
        <f>XLOOKUP([@ManufacturerID],tblManufacturerIDCrosswalk[LegacyManufacturerID],tblManufacturerIDCrosswalk[CanonicalManufacturerID],"")</f>
        <v/>
      </c>
      <c r="K45" s="33">
        <f>XLOOKUP([@DeviceFamilyID],tblDeviceFamilyIDCrosswalk[LegacyDeviceFamilyID],tblDeviceFamilyIDCrosswalk[CanonicalDeviceFamilyID],"")</f>
        <v/>
      </c>
      <c r="L45" s="33">
        <f>XLOOKUP([@DeviceTypeID],tblDeviceTypeIDCrosswalk[LegacyDeviceTypeID],tblDeviceTypeIDCrosswalk[CanonicalDeviceTypeID],"")</f>
        <v/>
      </c>
      <c r="M45" s="32">
        <f>XLOOKUP([@ManufacturerID],tblManufacturerIDCrosswalk[LegacyManufacturerID],tblManufacturerIDCrosswalk[MappingStatus],"No Crosswalk")</f>
        <v/>
      </c>
      <c r="N45" s="35">
        <f>XLOOKUP([@DeviceFamilyID],tblDeviceFamilyIDCrosswalk[LegacyDeviceFamilyID],tblDeviceFamilyIDCrosswalk[MappingStatus],"No Crosswalk")</f>
        <v/>
      </c>
      <c r="O45" s="35">
        <f>XLOOKUP([@DeviceTypeID],tblDeviceTypeIDCrosswalk[LegacyDeviceTypeID],tblDeviceTypeIDCrosswalk[MappingStatus],"No Crosswalk")</f>
        <v/>
      </c>
      <c r="P45">
        <f>IF(OR([@ManufacturerMappingStatus]&lt;&gt;"Approved",[@DeviceFamilyMappingStatus]&lt;&gt;"Approved",[@DeviceTypeMappingStatus]&lt;&gt;"Approved"),"Manual Review Required","Approved Crosswalk Available")</f>
        <v/>
      </c>
      <c r="Q45" t="inlineStr">
        <is>
          <t>Pending Review</t>
        </is>
      </c>
    </row>
    <row r="46" ht="21.5" customHeight="1" s="42">
      <c r="A46" s="37" t="inlineStr">
        <is>
          <t>DF000009</t>
        </is>
      </c>
      <c r="B46" s="37" t="inlineStr">
        <is>
          <t>Inspiron</t>
        </is>
      </c>
      <c r="C46" s="37" t="inlineStr">
        <is>
          <t>Dell</t>
        </is>
      </c>
      <c r="D46" s="27" t="n">
        <v>9</v>
      </c>
      <c r="E46" s="38" t="inlineStr">
        <is>
          <t>Yes</t>
        </is>
      </c>
      <c r="F46" s="38" t="n"/>
      <c r="G46" s="10" t="inlineStr">
        <is>
          <t>MOD000043</t>
        </is>
      </c>
      <c r="H46" s="31" t="inlineStr">
        <is>
          <t>MFG001</t>
        </is>
      </c>
      <c r="I46" s="31" t="inlineStr">
        <is>
          <t>DF001</t>
        </is>
      </c>
      <c r="J46" s="31">
        <f>XLOOKUP([@ManufacturerID],tblManufacturerIDCrosswalk[LegacyManufacturerID],tblManufacturerIDCrosswalk[CanonicalManufacturerID],"")</f>
        <v/>
      </c>
      <c r="K46" s="33">
        <f>XLOOKUP([@DeviceFamilyID],tblDeviceFamilyIDCrosswalk[LegacyDeviceFamilyID],tblDeviceFamilyIDCrosswalk[CanonicalDeviceFamilyID],"")</f>
        <v/>
      </c>
      <c r="L46" s="33">
        <f>XLOOKUP([@DeviceTypeID],tblDeviceTypeIDCrosswalk[LegacyDeviceTypeID],tblDeviceTypeIDCrosswalk[CanonicalDeviceTypeID],"")</f>
        <v/>
      </c>
      <c r="M46" s="32">
        <f>XLOOKUP([@ManufacturerID],tblManufacturerIDCrosswalk[LegacyManufacturerID],tblManufacturerIDCrosswalk[MappingStatus],"No Crosswalk")</f>
        <v/>
      </c>
      <c r="N46" s="35">
        <f>XLOOKUP([@DeviceFamilyID],tblDeviceFamilyIDCrosswalk[LegacyDeviceFamilyID],tblDeviceFamilyIDCrosswalk[MappingStatus],"No Crosswalk")</f>
        <v/>
      </c>
      <c r="O46" s="35">
        <f>XLOOKUP([@DeviceTypeID],tblDeviceTypeIDCrosswalk[LegacyDeviceTypeID],tblDeviceTypeIDCrosswalk[MappingStatus],"No Crosswalk")</f>
        <v/>
      </c>
      <c r="P46">
        <f>IF(OR([@ManufacturerMappingStatus]&lt;&gt;"Approved",[@DeviceFamilyMappingStatus]&lt;&gt;"Approved",[@DeviceTypeMappingStatus]&lt;&gt;"Approved"),"Manual Review Required","Approved Crosswalk Available")</f>
        <v/>
      </c>
      <c r="Q46" t="inlineStr">
        <is>
          <t>Pending Review</t>
        </is>
      </c>
    </row>
    <row r="47" ht="21.5" customHeight="1" s="42">
      <c r="A47" s="37" t="inlineStr">
        <is>
          <t>DF000010</t>
        </is>
      </c>
      <c r="B47" s="37" t="inlineStr">
        <is>
          <t>Latitude</t>
        </is>
      </c>
      <c r="C47" s="37" t="inlineStr">
        <is>
          <t>Dell</t>
        </is>
      </c>
      <c r="D47" s="27" t="n">
        <v>10</v>
      </c>
      <c r="E47" s="38" t="inlineStr">
        <is>
          <t>Yes</t>
        </is>
      </c>
      <c r="F47" s="38" t="n"/>
      <c r="G47" s="10" t="inlineStr">
        <is>
          <t>MOD000044</t>
        </is>
      </c>
      <c r="H47" s="31" t="inlineStr">
        <is>
          <t>MFG001</t>
        </is>
      </c>
      <c r="I47" s="31" t="inlineStr">
        <is>
          <t>DF001</t>
        </is>
      </c>
      <c r="J47" s="31">
        <f>XLOOKUP([@ManufacturerID],tblManufacturerIDCrosswalk[LegacyManufacturerID],tblManufacturerIDCrosswalk[CanonicalManufacturerID],"")</f>
        <v/>
      </c>
      <c r="K47" s="33">
        <f>XLOOKUP([@DeviceFamilyID],tblDeviceFamilyIDCrosswalk[LegacyDeviceFamilyID],tblDeviceFamilyIDCrosswalk[CanonicalDeviceFamilyID],"")</f>
        <v/>
      </c>
      <c r="L47" s="33">
        <f>XLOOKUP([@DeviceTypeID],tblDeviceTypeIDCrosswalk[LegacyDeviceTypeID],tblDeviceTypeIDCrosswalk[CanonicalDeviceTypeID],"")</f>
        <v/>
      </c>
      <c r="M47" s="32">
        <f>XLOOKUP([@ManufacturerID],tblManufacturerIDCrosswalk[LegacyManufacturerID],tblManufacturerIDCrosswalk[MappingStatus],"No Crosswalk")</f>
        <v/>
      </c>
      <c r="N47" s="35">
        <f>XLOOKUP([@DeviceFamilyID],tblDeviceFamilyIDCrosswalk[LegacyDeviceFamilyID],tblDeviceFamilyIDCrosswalk[MappingStatus],"No Crosswalk")</f>
        <v/>
      </c>
      <c r="O47" s="35">
        <f>XLOOKUP([@DeviceTypeID],tblDeviceTypeIDCrosswalk[LegacyDeviceTypeID],tblDeviceTypeIDCrosswalk[MappingStatus],"No Crosswalk")</f>
        <v/>
      </c>
      <c r="P47">
        <f>IF(OR([@ManufacturerMappingStatus]&lt;&gt;"Approved",[@DeviceFamilyMappingStatus]&lt;&gt;"Approved",[@DeviceTypeMappingStatus]&lt;&gt;"Approved"),"Manual Review Required","Approved Crosswalk Available")</f>
        <v/>
      </c>
      <c r="Q47" t="inlineStr">
        <is>
          <t>Pending Review</t>
        </is>
      </c>
    </row>
    <row r="48" ht="21.5" customHeight="1" s="42">
      <c r="A48" s="37" t="inlineStr">
        <is>
          <t>DF000011</t>
        </is>
      </c>
      <c r="B48" s="37" t="inlineStr">
        <is>
          <t>PlayStation</t>
        </is>
      </c>
      <c r="C48" s="37" t="inlineStr">
        <is>
          <t>Sony</t>
        </is>
      </c>
      <c r="D48" s="27" t="n">
        <v>11</v>
      </c>
      <c r="E48" s="38" t="inlineStr">
        <is>
          <t>Yes</t>
        </is>
      </c>
      <c r="F48" s="38" t="n"/>
      <c r="G48" s="10" t="inlineStr">
        <is>
          <t>MOD000045</t>
        </is>
      </c>
      <c r="H48" s="31" t="inlineStr">
        <is>
          <t>MFG001</t>
        </is>
      </c>
      <c r="I48" s="31" t="inlineStr">
        <is>
          <t>DF001</t>
        </is>
      </c>
      <c r="J48" s="31">
        <f>XLOOKUP([@ManufacturerID],tblManufacturerIDCrosswalk[LegacyManufacturerID],tblManufacturerIDCrosswalk[CanonicalManufacturerID],"")</f>
        <v/>
      </c>
      <c r="K48" s="33">
        <f>XLOOKUP([@DeviceFamilyID],tblDeviceFamilyIDCrosswalk[LegacyDeviceFamilyID],tblDeviceFamilyIDCrosswalk[CanonicalDeviceFamilyID],"")</f>
        <v/>
      </c>
      <c r="L48" s="33">
        <f>XLOOKUP([@DeviceTypeID],tblDeviceTypeIDCrosswalk[LegacyDeviceTypeID],tblDeviceTypeIDCrosswalk[CanonicalDeviceTypeID],"")</f>
        <v/>
      </c>
      <c r="M48" s="32">
        <f>XLOOKUP([@ManufacturerID],tblManufacturerIDCrosswalk[LegacyManufacturerID],tblManufacturerIDCrosswalk[MappingStatus],"No Crosswalk")</f>
        <v/>
      </c>
      <c r="N48" s="35">
        <f>XLOOKUP([@DeviceFamilyID],tblDeviceFamilyIDCrosswalk[LegacyDeviceFamilyID],tblDeviceFamilyIDCrosswalk[MappingStatus],"No Crosswalk")</f>
        <v/>
      </c>
      <c r="O48" s="35">
        <f>XLOOKUP([@DeviceTypeID],tblDeviceTypeIDCrosswalk[LegacyDeviceTypeID],tblDeviceTypeIDCrosswalk[MappingStatus],"No Crosswalk")</f>
        <v/>
      </c>
      <c r="P48">
        <f>IF(OR([@ManufacturerMappingStatus]&lt;&gt;"Approved",[@DeviceFamilyMappingStatus]&lt;&gt;"Approved",[@DeviceTypeMappingStatus]&lt;&gt;"Approved"),"Manual Review Required","Approved Crosswalk Available")</f>
        <v/>
      </c>
      <c r="Q48" t="inlineStr">
        <is>
          <t>Pending Review</t>
        </is>
      </c>
    </row>
    <row r="49" ht="21.5" customHeight="1" s="42">
      <c r="A49" s="37" t="inlineStr">
        <is>
          <t>DF000012</t>
        </is>
      </c>
      <c r="B49" s="37" t="inlineStr">
        <is>
          <t>Xbox</t>
        </is>
      </c>
      <c r="C49" s="37" t="inlineStr">
        <is>
          <t>Microsoft</t>
        </is>
      </c>
      <c r="D49" s="27" t="n">
        <v>12</v>
      </c>
      <c r="E49" s="38" t="inlineStr">
        <is>
          <t>Yes</t>
        </is>
      </c>
      <c r="F49" s="38" t="n"/>
      <c r="G49" s="10" t="inlineStr">
        <is>
          <t>MOD000046</t>
        </is>
      </c>
      <c r="H49" s="31" t="inlineStr">
        <is>
          <t>MFG001</t>
        </is>
      </c>
      <c r="I49" s="31" t="inlineStr">
        <is>
          <t>DF001</t>
        </is>
      </c>
      <c r="J49" s="31">
        <f>XLOOKUP([@ManufacturerID],tblManufacturerIDCrosswalk[LegacyManufacturerID],tblManufacturerIDCrosswalk[CanonicalManufacturerID],"")</f>
        <v/>
      </c>
      <c r="K49" s="33">
        <f>XLOOKUP([@DeviceFamilyID],tblDeviceFamilyIDCrosswalk[LegacyDeviceFamilyID],tblDeviceFamilyIDCrosswalk[CanonicalDeviceFamilyID],"")</f>
        <v/>
      </c>
      <c r="L49" s="33">
        <f>XLOOKUP([@DeviceTypeID],tblDeviceTypeIDCrosswalk[LegacyDeviceTypeID],tblDeviceTypeIDCrosswalk[CanonicalDeviceTypeID],"")</f>
        <v/>
      </c>
      <c r="M49" s="32">
        <f>XLOOKUP([@ManufacturerID],tblManufacturerIDCrosswalk[LegacyManufacturerID],tblManufacturerIDCrosswalk[MappingStatus],"No Crosswalk")</f>
        <v/>
      </c>
      <c r="N49" s="35">
        <f>XLOOKUP([@DeviceFamilyID],tblDeviceFamilyIDCrosswalk[LegacyDeviceFamilyID],tblDeviceFamilyIDCrosswalk[MappingStatus],"No Crosswalk")</f>
        <v/>
      </c>
      <c r="O49" s="35">
        <f>XLOOKUP([@DeviceTypeID],tblDeviceTypeIDCrosswalk[LegacyDeviceTypeID],tblDeviceTypeIDCrosswalk[MappingStatus],"No Crosswalk")</f>
        <v/>
      </c>
      <c r="P49">
        <f>IF(OR([@ManufacturerMappingStatus]&lt;&gt;"Approved",[@DeviceFamilyMappingStatus]&lt;&gt;"Approved",[@DeviceTypeMappingStatus]&lt;&gt;"Approved"),"Manual Review Required","Approved Crosswalk Available")</f>
        <v/>
      </c>
      <c r="Q49" t="inlineStr">
        <is>
          <t>Pending Review</t>
        </is>
      </c>
    </row>
    <row r="50" ht="21.5" customHeight="1" s="42">
      <c r="A50" s="37" t="inlineStr">
        <is>
          <t>DF000013</t>
        </is>
      </c>
      <c r="B50" s="37" t="inlineStr">
        <is>
          <t>Switch</t>
        </is>
      </c>
      <c r="C50" s="37" t="inlineStr">
        <is>
          <t>Nintendo</t>
        </is>
      </c>
      <c r="D50" s="27" t="n">
        <v>13</v>
      </c>
      <c r="E50" s="38" t="inlineStr">
        <is>
          <t>Yes</t>
        </is>
      </c>
      <c r="F50" s="38" t="n"/>
      <c r="G50" s="10" t="inlineStr">
        <is>
          <t>MOD000047</t>
        </is>
      </c>
      <c r="H50" s="31" t="inlineStr">
        <is>
          <t>MFG001</t>
        </is>
      </c>
      <c r="I50" s="31" t="inlineStr">
        <is>
          <t>DF001</t>
        </is>
      </c>
      <c r="J50" s="31">
        <f>XLOOKUP([@ManufacturerID],tblManufacturerIDCrosswalk[LegacyManufacturerID],tblManufacturerIDCrosswalk[CanonicalManufacturerID],"")</f>
        <v/>
      </c>
      <c r="K50" s="33">
        <f>XLOOKUP([@DeviceFamilyID],tblDeviceFamilyIDCrosswalk[LegacyDeviceFamilyID],tblDeviceFamilyIDCrosswalk[CanonicalDeviceFamilyID],"")</f>
        <v/>
      </c>
      <c r="L50" s="33">
        <f>XLOOKUP([@DeviceTypeID],tblDeviceTypeIDCrosswalk[LegacyDeviceTypeID],tblDeviceTypeIDCrosswalk[CanonicalDeviceTypeID],"")</f>
        <v/>
      </c>
      <c r="M50" s="32">
        <f>XLOOKUP([@ManufacturerID],tblManufacturerIDCrosswalk[LegacyManufacturerID],tblManufacturerIDCrosswalk[MappingStatus],"No Crosswalk")</f>
        <v/>
      </c>
      <c r="N50" s="35">
        <f>XLOOKUP([@DeviceFamilyID],tblDeviceFamilyIDCrosswalk[LegacyDeviceFamilyID],tblDeviceFamilyIDCrosswalk[MappingStatus],"No Crosswalk")</f>
        <v/>
      </c>
      <c r="O50" s="35">
        <f>XLOOKUP([@DeviceTypeID],tblDeviceTypeIDCrosswalk[LegacyDeviceTypeID],tblDeviceTypeIDCrosswalk[MappingStatus],"No Crosswalk")</f>
        <v/>
      </c>
      <c r="P50">
        <f>IF(OR([@ManufacturerMappingStatus]&lt;&gt;"Approved",[@DeviceFamilyMappingStatus]&lt;&gt;"Approved",[@DeviceTypeMappingStatus]&lt;&gt;"Approved"),"Manual Review Required","Approved Crosswalk Available")</f>
        <v/>
      </c>
      <c r="Q50" t="inlineStr">
        <is>
          <t>Pending Review</t>
        </is>
      </c>
    </row>
    <row r="51" ht="21.5" customHeight="1" s="42">
      <c r="A51" s="36" t="n"/>
      <c r="B51" s="37" t="n"/>
      <c r="C51" s="37" t="n"/>
      <c r="D51" s="37" t="n"/>
      <c r="E51" s="38" t="n"/>
      <c r="F51" s="38" t="n"/>
      <c r="G51" s="10" t="inlineStr">
        <is>
          <t>MOD000048</t>
        </is>
      </c>
      <c r="H51" s="31" t="inlineStr">
        <is>
          <t>MFG001</t>
        </is>
      </c>
      <c r="I51" s="31" t="inlineStr">
        <is>
          <t>DF002</t>
        </is>
      </c>
      <c r="J51" s="31">
        <f>XLOOKUP([@ManufacturerID],tblManufacturerIDCrosswalk[LegacyManufacturerID],tblManufacturerIDCrosswalk[CanonicalManufacturerID],"")</f>
        <v/>
      </c>
      <c r="K51" s="33">
        <f>XLOOKUP([@DeviceFamilyID],tblDeviceFamilyIDCrosswalk[LegacyDeviceFamilyID],tblDeviceFamilyIDCrosswalk[CanonicalDeviceFamilyID],"")</f>
        <v/>
      </c>
      <c r="L51" s="33">
        <f>XLOOKUP([@DeviceTypeID],tblDeviceTypeIDCrosswalk[LegacyDeviceTypeID],tblDeviceTypeIDCrosswalk[CanonicalDeviceTypeID],"")</f>
        <v/>
      </c>
      <c r="M51" s="32">
        <f>XLOOKUP([@ManufacturerID],tblManufacturerIDCrosswalk[LegacyManufacturerID],tblManufacturerIDCrosswalk[MappingStatus],"No Crosswalk")</f>
        <v/>
      </c>
      <c r="N51" s="35">
        <f>XLOOKUP([@DeviceFamilyID],tblDeviceFamilyIDCrosswalk[LegacyDeviceFamilyID],tblDeviceFamilyIDCrosswalk[MappingStatus],"No Crosswalk")</f>
        <v/>
      </c>
      <c r="O51" s="35">
        <f>XLOOKUP([@DeviceTypeID],tblDeviceTypeIDCrosswalk[LegacyDeviceTypeID],tblDeviceTypeIDCrosswalk[MappingStatus],"No Crosswalk")</f>
        <v/>
      </c>
      <c r="P51">
        <f>IF(OR([@ManufacturerMappingStatus]&lt;&gt;"Approved",[@DeviceFamilyMappingStatus]&lt;&gt;"Approved",[@DeviceTypeMappingStatus]&lt;&gt;"Approved"),"Manual Review Required","Approved Crosswalk Available")</f>
        <v/>
      </c>
      <c r="Q51" t="inlineStr">
        <is>
          <t>Pending Review</t>
        </is>
      </c>
    </row>
    <row r="52" ht="21.5" customHeight="1" s="42">
      <c r="A52" s="45" t="inlineStr">
        <is>
          <t>ID</t>
        </is>
      </c>
      <c r="B52" s="45" t="inlineStr">
        <is>
          <t>Name</t>
        </is>
      </c>
      <c r="C52" s="45" t="inlineStr">
        <is>
          <t>Description</t>
        </is>
      </c>
      <c r="D52" s="45" t="inlineStr">
        <is>
          <t>DisplayOrder</t>
        </is>
      </c>
      <c r="E52" s="45" t="inlineStr">
        <is>
          <t>Active</t>
        </is>
      </c>
      <c r="F52" s="38" t="n"/>
      <c r="G52" s="10" t="inlineStr">
        <is>
          <t>MOD000049</t>
        </is>
      </c>
      <c r="H52" s="31" t="inlineStr">
        <is>
          <t>MFG001</t>
        </is>
      </c>
      <c r="I52" s="31" t="inlineStr">
        <is>
          <t>DF002</t>
        </is>
      </c>
      <c r="J52" s="31">
        <f>XLOOKUP([@ManufacturerID],tblManufacturerIDCrosswalk[LegacyManufacturerID],tblManufacturerIDCrosswalk[CanonicalManufacturerID],"")</f>
        <v/>
      </c>
      <c r="K52" s="33">
        <f>XLOOKUP([@DeviceFamilyID],tblDeviceFamilyIDCrosswalk[LegacyDeviceFamilyID],tblDeviceFamilyIDCrosswalk[CanonicalDeviceFamilyID],"")</f>
        <v/>
      </c>
      <c r="L52" s="33">
        <f>XLOOKUP([@DeviceTypeID],tblDeviceTypeIDCrosswalk[LegacyDeviceTypeID],tblDeviceTypeIDCrosswalk[CanonicalDeviceTypeID],"")</f>
        <v/>
      </c>
      <c r="M52" s="32">
        <f>XLOOKUP([@ManufacturerID],tblManufacturerIDCrosswalk[LegacyManufacturerID],tblManufacturerIDCrosswalk[MappingStatus],"No Crosswalk")</f>
        <v/>
      </c>
      <c r="N52" s="35">
        <f>XLOOKUP([@DeviceFamilyID],tblDeviceFamilyIDCrosswalk[LegacyDeviceFamilyID],tblDeviceFamilyIDCrosswalk[MappingStatus],"No Crosswalk")</f>
        <v/>
      </c>
      <c r="O52" s="35">
        <f>XLOOKUP([@DeviceTypeID],tblDeviceTypeIDCrosswalk[LegacyDeviceTypeID],tblDeviceTypeIDCrosswalk[MappingStatus],"No Crosswalk")</f>
        <v/>
      </c>
      <c r="P52">
        <f>IF(OR([@ManufacturerMappingStatus]&lt;&gt;"Approved",[@DeviceFamilyMappingStatus]&lt;&gt;"Approved",[@DeviceTypeMappingStatus]&lt;&gt;"Approved"),"Manual Review Required","Approved Crosswalk Available")</f>
        <v/>
      </c>
      <c r="Q52" t="inlineStr">
        <is>
          <t>Pending Review</t>
        </is>
      </c>
    </row>
    <row r="53" ht="21.5" customHeight="1" s="42">
      <c r="A53" s="35" t="inlineStr">
        <is>
          <t>CLR000001</t>
        </is>
      </c>
      <c r="B53" s="35" t="inlineStr">
        <is>
          <t>Black</t>
        </is>
      </c>
      <c r="C53" s="35" t="inlineStr">
        <is>
          <t>Black</t>
        </is>
      </c>
      <c r="D53" s="35" t="n">
        <v>1</v>
      </c>
      <c r="E53" s="35" t="b">
        <v>1</v>
      </c>
      <c r="F53" s="38" t="n"/>
      <c r="G53" s="10" t="inlineStr">
        <is>
          <t>MOD000050</t>
        </is>
      </c>
      <c r="H53" s="31" t="inlineStr">
        <is>
          <t>MFG001</t>
        </is>
      </c>
      <c r="I53" s="31" t="inlineStr">
        <is>
          <t>DF002</t>
        </is>
      </c>
      <c r="J53" s="31">
        <f>XLOOKUP([@ManufacturerID],tblManufacturerIDCrosswalk[LegacyManufacturerID],tblManufacturerIDCrosswalk[CanonicalManufacturerID],"")</f>
        <v/>
      </c>
      <c r="K53" s="33">
        <f>XLOOKUP([@DeviceFamilyID],tblDeviceFamilyIDCrosswalk[LegacyDeviceFamilyID],tblDeviceFamilyIDCrosswalk[CanonicalDeviceFamilyID],"")</f>
        <v/>
      </c>
      <c r="L53" s="33">
        <f>XLOOKUP([@DeviceTypeID],tblDeviceTypeIDCrosswalk[LegacyDeviceTypeID],tblDeviceTypeIDCrosswalk[CanonicalDeviceTypeID],"")</f>
        <v/>
      </c>
      <c r="M53" s="32">
        <f>XLOOKUP([@ManufacturerID],tblManufacturerIDCrosswalk[LegacyManufacturerID],tblManufacturerIDCrosswalk[MappingStatus],"No Crosswalk")</f>
        <v/>
      </c>
      <c r="N53" s="35">
        <f>XLOOKUP([@DeviceFamilyID],tblDeviceFamilyIDCrosswalk[LegacyDeviceFamilyID],tblDeviceFamilyIDCrosswalk[MappingStatus],"No Crosswalk")</f>
        <v/>
      </c>
      <c r="O53" s="35">
        <f>XLOOKUP([@DeviceTypeID],tblDeviceTypeIDCrosswalk[LegacyDeviceTypeID],tblDeviceTypeIDCrosswalk[MappingStatus],"No Crosswalk")</f>
        <v/>
      </c>
      <c r="P53">
        <f>IF(OR([@ManufacturerMappingStatus]&lt;&gt;"Approved",[@DeviceFamilyMappingStatus]&lt;&gt;"Approved",[@DeviceTypeMappingStatus]&lt;&gt;"Approved"),"Manual Review Required","Approved Crosswalk Available")</f>
        <v/>
      </c>
      <c r="Q53" t="inlineStr">
        <is>
          <t>Pending Review</t>
        </is>
      </c>
    </row>
    <row r="54" ht="21.5" customHeight="1" s="42">
      <c r="A54" s="35" t="inlineStr">
        <is>
          <t>CLR000002</t>
        </is>
      </c>
      <c r="B54" s="35" t="inlineStr">
        <is>
          <t>White</t>
        </is>
      </c>
      <c r="C54" s="35" t="inlineStr">
        <is>
          <t>White</t>
        </is>
      </c>
      <c r="D54" s="35" t="n">
        <v>2</v>
      </c>
      <c r="E54" s="35" t="b">
        <v>1</v>
      </c>
      <c r="F54" s="38" t="n"/>
      <c r="G54" s="10" t="inlineStr">
        <is>
          <t>MOD000051</t>
        </is>
      </c>
      <c r="H54" s="31" t="inlineStr">
        <is>
          <t>MFG001</t>
        </is>
      </c>
      <c r="I54" s="31" t="inlineStr">
        <is>
          <t>DF002</t>
        </is>
      </c>
      <c r="J54" s="31">
        <f>XLOOKUP([@ManufacturerID],tblManufacturerIDCrosswalk[LegacyManufacturerID],tblManufacturerIDCrosswalk[CanonicalManufacturerID],"")</f>
        <v/>
      </c>
      <c r="K54" s="33">
        <f>XLOOKUP([@DeviceFamilyID],tblDeviceFamilyIDCrosswalk[LegacyDeviceFamilyID],tblDeviceFamilyIDCrosswalk[CanonicalDeviceFamilyID],"")</f>
        <v/>
      </c>
      <c r="L54" s="33">
        <f>XLOOKUP([@DeviceTypeID],tblDeviceTypeIDCrosswalk[LegacyDeviceTypeID],tblDeviceTypeIDCrosswalk[CanonicalDeviceTypeID],"")</f>
        <v/>
      </c>
      <c r="M54" s="32">
        <f>XLOOKUP([@ManufacturerID],tblManufacturerIDCrosswalk[LegacyManufacturerID],tblManufacturerIDCrosswalk[MappingStatus],"No Crosswalk")</f>
        <v/>
      </c>
      <c r="N54" s="35">
        <f>XLOOKUP([@DeviceFamilyID],tblDeviceFamilyIDCrosswalk[LegacyDeviceFamilyID],tblDeviceFamilyIDCrosswalk[MappingStatus],"No Crosswalk")</f>
        <v/>
      </c>
      <c r="O54" s="35">
        <f>XLOOKUP([@DeviceTypeID],tblDeviceTypeIDCrosswalk[LegacyDeviceTypeID],tblDeviceTypeIDCrosswalk[MappingStatus],"No Crosswalk")</f>
        <v/>
      </c>
      <c r="P54">
        <f>IF(OR([@ManufacturerMappingStatus]&lt;&gt;"Approved",[@DeviceFamilyMappingStatus]&lt;&gt;"Approved",[@DeviceTypeMappingStatus]&lt;&gt;"Approved"),"Manual Review Required","Approved Crosswalk Available")</f>
        <v/>
      </c>
      <c r="Q54" t="inlineStr">
        <is>
          <t>Pending Review</t>
        </is>
      </c>
    </row>
    <row r="55" ht="21.5" customHeight="1" s="42">
      <c r="A55" s="35" t="inlineStr">
        <is>
          <t>CLR000003</t>
        </is>
      </c>
      <c r="B55" s="35" t="inlineStr">
        <is>
          <t>Midnight</t>
        </is>
      </c>
      <c r="C55" s="35" t="inlineStr">
        <is>
          <t>Midnight</t>
        </is>
      </c>
      <c r="D55" s="35" t="n">
        <v>3</v>
      </c>
      <c r="E55" s="35" t="b">
        <v>1</v>
      </c>
      <c r="F55" s="38" t="n"/>
      <c r="G55" s="10" t="inlineStr">
        <is>
          <t>MOD000052</t>
        </is>
      </c>
      <c r="H55" s="31" t="inlineStr">
        <is>
          <t>MFG001</t>
        </is>
      </c>
      <c r="I55" s="31" t="inlineStr">
        <is>
          <t>DF002</t>
        </is>
      </c>
      <c r="J55" s="31">
        <f>XLOOKUP([@ManufacturerID],tblManufacturerIDCrosswalk[LegacyManufacturerID],tblManufacturerIDCrosswalk[CanonicalManufacturerID],"")</f>
        <v/>
      </c>
      <c r="K55" s="33">
        <f>XLOOKUP([@DeviceFamilyID],tblDeviceFamilyIDCrosswalk[LegacyDeviceFamilyID],tblDeviceFamilyIDCrosswalk[CanonicalDeviceFamilyID],"")</f>
        <v/>
      </c>
      <c r="L55" s="33">
        <f>XLOOKUP([@DeviceTypeID],tblDeviceTypeIDCrosswalk[LegacyDeviceTypeID],tblDeviceTypeIDCrosswalk[CanonicalDeviceTypeID],"")</f>
        <v/>
      </c>
      <c r="M55" s="32">
        <f>XLOOKUP([@ManufacturerID],tblManufacturerIDCrosswalk[LegacyManufacturerID],tblManufacturerIDCrosswalk[MappingStatus],"No Crosswalk")</f>
        <v/>
      </c>
      <c r="N55" s="35">
        <f>XLOOKUP([@DeviceFamilyID],tblDeviceFamilyIDCrosswalk[LegacyDeviceFamilyID],tblDeviceFamilyIDCrosswalk[MappingStatus],"No Crosswalk")</f>
        <v/>
      </c>
      <c r="O55" s="35">
        <f>XLOOKUP([@DeviceTypeID],tblDeviceTypeIDCrosswalk[LegacyDeviceTypeID],tblDeviceTypeIDCrosswalk[MappingStatus],"No Crosswalk")</f>
        <v/>
      </c>
      <c r="P55">
        <f>IF(OR([@ManufacturerMappingStatus]&lt;&gt;"Approved",[@DeviceFamilyMappingStatus]&lt;&gt;"Approved",[@DeviceTypeMappingStatus]&lt;&gt;"Approved"),"Manual Review Required","Approved Crosswalk Available")</f>
        <v/>
      </c>
      <c r="Q55" t="inlineStr">
        <is>
          <t>Pending Review</t>
        </is>
      </c>
    </row>
    <row r="56" ht="21.5" customHeight="1" s="42">
      <c r="A56" s="35" t="inlineStr">
        <is>
          <t>CLR000004</t>
        </is>
      </c>
      <c r="B56" s="35" t="inlineStr">
        <is>
          <t>Space Black</t>
        </is>
      </c>
      <c r="C56" s="35" t="inlineStr">
        <is>
          <t>Space Black</t>
        </is>
      </c>
      <c r="D56" s="35" t="n">
        <v>4</v>
      </c>
      <c r="E56" s="35" t="b">
        <v>1</v>
      </c>
      <c r="F56" s="38" t="n"/>
      <c r="G56" s="10" t="inlineStr">
        <is>
          <t>MOD000053</t>
        </is>
      </c>
      <c r="H56" s="31" t="inlineStr">
        <is>
          <t>MFG001</t>
        </is>
      </c>
      <c r="I56" s="31" t="inlineStr">
        <is>
          <t>DF002</t>
        </is>
      </c>
      <c r="J56" s="31">
        <f>XLOOKUP([@ManufacturerID],tblManufacturerIDCrosswalk[LegacyManufacturerID],tblManufacturerIDCrosswalk[CanonicalManufacturerID],"")</f>
        <v/>
      </c>
      <c r="K56" s="33">
        <f>XLOOKUP([@DeviceFamilyID],tblDeviceFamilyIDCrosswalk[LegacyDeviceFamilyID],tblDeviceFamilyIDCrosswalk[CanonicalDeviceFamilyID],"")</f>
        <v/>
      </c>
      <c r="L56" s="33">
        <f>XLOOKUP([@DeviceTypeID],tblDeviceTypeIDCrosswalk[LegacyDeviceTypeID],tblDeviceTypeIDCrosswalk[CanonicalDeviceTypeID],"")</f>
        <v/>
      </c>
      <c r="M56" s="32">
        <f>XLOOKUP([@ManufacturerID],tblManufacturerIDCrosswalk[LegacyManufacturerID],tblManufacturerIDCrosswalk[MappingStatus],"No Crosswalk")</f>
        <v/>
      </c>
      <c r="N56" s="35">
        <f>XLOOKUP([@DeviceFamilyID],tblDeviceFamilyIDCrosswalk[LegacyDeviceFamilyID],tblDeviceFamilyIDCrosswalk[MappingStatus],"No Crosswalk")</f>
        <v/>
      </c>
      <c r="O56" s="35">
        <f>XLOOKUP([@DeviceTypeID],tblDeviceTypeIDCrosswalk[LegacyDeviceTypeID],tblDeviceTypeIDCrosswalk[MappingStatus],"No Crosswalk")</f>
        <v/>
      </c>
      <c r="P56">
        <f>IF(OR([@ManufacturerMappingStatus]&lt;&gt;"Approved",[@DeviceFamilyMappingStatus]&lt;&gt;"Approved",[@DeviceTypeMappingStatus]&lt;&gt;"Approved"),"Manual Review Required","Approved Crosswalk Available")</f>
        <v/>
      </c>
      <c r="Q56" t="inlineStr">
        <is>
          <t>Pending Review</t>
        </is>
      </c>
    </row>
    <row r="57" ht="21.5" customHeight="1" s="42">
      <c r="A57" s="35" t="inlineStr">
        <is>
          <t>CLR000005</t>
        </is>
      </c>
      <c r="B57" s="35" t="inlineStr">
        <is>
          <t>Space Gray</t>
        </is>
      </c>
      <c r="C57" s="35" t="inlineStr">
        <is>
          <t>Space Gray</t>
        </is>
      </c>
      <c r="D57" s="35" t="n">
        <v>5</v>
      </c>
      <c r="E57" s="35" t="b">
        <v>1</v>
      </c>
      <c r="F57" s="38" t="n"/>
      <c r="G57" s="10" t="inlineStr">
        <is>
          <t>MOD000054</t>
        </is>
      </c>
      <c r="H57" s="31" t="inlineStr">
        <is>
          <t>MFG001</t>
        </is>
      </c>
      <c r="I57" s="31" t="inlineStr">
        <is>
          <t>DF002</t>
        </is>
      </c>
      <c r="J57" s="31">
        <f>XLOOKUP([@ManufacturerID],tblManufacturerIDCrosswalk[LegacyManufacturerID],tblManufacturerIDCrosswalk[CanonicalManufacturerID],"")</f>
        <v/>
      </c>
      <c r="K57" s="33">
        <f>XLOOKUP([@DeviceFamilyID],tblDeviceFamilyIDCrosswalk[LegacyDeviceFamilyID],tblDeviceFamilyIDCrosswalk[CanonicalDeviceFamilyID],"")</f>
        <v/>
      </c>
      <c r="L57" s="33">
        <f>XLOOKUP([@DeviceTypeID],tblDeviceTypeIDCrosswalk[LegacyDeviceTypeID],tblDeviceTypeIDCrosswalk[CanonicalDeviceTypeID],"")</f>
        <v/>
      </c>
      <c r="M57" s="32">
        <f>XLOOKUP([@ManufacturerID],tblManufacturerIDCrosswalk[LegacyManufacturerID],tblManufacturerIDCrosswalk[MappingStatus],"No Crosswalk")</f>
        <v/>
      </c>
      <c r="N57" s="35">
        <f>XLOOKUP([@DeviceFamilyID],tblDeviceFamilyIDCrosswalk[LegacyDeviceFamilyID],tblDeviceFamilyIDCrosswalk[MappingStatus],"No Crosswalk")</f>
        <v/>
      </c>
      <c r="O57" s="35">
        <f>XLOOKUP([@DeviceTypeID],tblDeviceTypeIDCrosswalk[LegacyDeviceTypeID],tblDeviceTypeIDCrosswalk[MappingStatus],"No Crosswalk")</f>
        <v/>
      </c>
      <c r="P57">
        <f>IF(OR([@ManufacturerMappingStatus]&lt;&gt;"Approved",[@DeviceFamilyMappingStatus]&lt;&gt;"Approved",[@DeviceTypeMappingStatus]&lt;&gt;"Approved"),"Manual Review Required","Approved Crosswalk Available")</f>
        <v/>
      </c>
      <c r="Q57" t="inlineStr">
        <is>
          <t>Pending Review</t>
        </is>
      </c>
    </row>
    <row r="58" ht="21.5" customHeight="1" s="42">
      <c r="A58" s="35" t="inlineStr">
        <is>
          <t>CLR000006</t>
        </is>
      </c>
      <c r="B58" s="35" t="inlineStr">
        <is>
          <t>Silver</t>
        </is>
      </c>
      <c r="C58" s="35" t="inlineStr">
        <is>
          <t>Silver</t>
        </is>
      </c>
      <c r="D58" s="35" t="n">
        <v>6</v>
      </c>
      <c r="E58" s="35" t="b">
        <v>1</v>
      </c>
      <c r="F58" s="38" t="n"/>
      <c r="G58" s="10" t="inlineStr">
        <is>
          <t>MOD000055</t>
        </is>
      </c>
      <c r="H58" s="31" t="inlineStr">
        <is>
          <t>MFG001</t>
        </is>
      </c>
      <c r="I58" s="31" t="inlineStr">
        <is>
          <t>DF002</t>
        </is>
      </c>
      <c r="J58" s="31">
        <f>XLOOKUP([@ManufacturerID],tblManufacturerIDCrosswalk[LegacyManufacturerID],tblManufacturerIDCrosswalk[CanonicalManufacturerID],"")</f>
        <v/>
      </c>
      <c r="K58" s="33">
        <f>XLOOKUP([@DeviceFamilyID],tblDeviceFamilyIDCrosswalk[LegacyDeviceFamilyID],tblDeviceFamilyIDCrosswalk[CanonicalDeviceFamilyID],"")</f>
        <v/>
      </c>
      <c r="L58" s="33">
        <f>XLOOKUP([@DeviceTypeID],tblDeviceTypeIDCrosswalk[LegacyDeviceTypeID],tblDeviceTypeIDCrosswalk[CanonicalDeviceTypeID],"")</f>
        <v/>
      </c>
      <c r="M58" s="32">
        <f>XLOOKUP([@ManufacturerID],tblManufacturerIDCrosswalk[LegacyManufacturerID],tblManufacturerIDCrosswalk[MappingStatus],"No Crosswalk")</f>
        <v/>
      </c>
      <c r="N58" s="35">
        <f>XLOOKUP([@DeviceFamilyID],tblDeviceFamilyIDCrosswalk[LegacyDeviceFamilyID],tblDeviceFamilyIDCrosswalk[MappingStatus],"No Crosswalk")</f>
        <v/>
      </c>
      <c r="O58" s="35">
        <f>XLOOKUP([@DeviceTypeID],tblDeviceTypeIDCrosswalk[LegacyDeviceTypeID],tblDeviceTypeIDCrosswalk[MappingStatus],"No Crosswalk")</f>
        <v/>
      </c>
      <c r="P58">
        <f>IF(OR([@ManufacturerMappingStatus]&lt;&gt;"Approved",[@DeviceFamilyMappingStatus]&lt;&gt;"Approved",[@DeviceTypeMappingStatus]&lt;&gt;"Approved"),"Manual Review Required","Approved Crosswalk Available")</f>
        <v/>
      </c>
      <c r="Q58" t="inlineStr">
        <is>
          <t>Pending Review</t>
        </is>
      </c>
    </row>
    <row r="59" ht="21.5" customHeight="1" s="42">
      <c r="A59" s="35" t="inlineStr">
        <is>
          <t>CLR000007</t>
        </is>
      </c>
      <c r="B59" s="35" t="inlineStr">
        <is>
          <t>Gold</t>
        </is>
      </c>
      <c r="C59" s="35" t="inlineStr">
        <is>
          <t>Gold</t>
        </is>
      </c>
      <c r="D59" s="35" t="n">
        <v>7</v>
      </c>
      <c r="E59" s="35" t="b">
        <v>1</v>
      </c>
      <c r="F59" s="38" t="n"/>
      <c r="G59" s="10" t="inlineStr">
        <is>
          <t>MOD000056</t>
        </is>
      </c>
      <c r="H59" s="31" t="inlineStr">
        <is>
          <t>MFG001</t>
        </is>
      </c>
      <c r="I59" s="31" t="inlineStr">
        <is>
          <t>DF002</t>
        </is>
      </c>
      <c r="J59" s="31">
        <f>XLOOKUP([@ManufacturerID],tblManufacturerIDCrosswalk[LegacyManufacturerID],tblManufacturerIDCrosswalk[CanonicalManufacturerID],"")</f>
        <v/>
      </c>
      <c r="K59" s="33">
        <f>XLOOKUP([@DeviceFamilyID],tblDeviceFamilyIDCrosswalk[LegacyDeviceFamilyID],tblDeviceFamilyIDCrosswalk[CanonicalDeviceFamilyID],"")</f>
        <v/>
      </c>
      <c r="L59" s="33">
        <f>XLOOKUP([@DeviceTypeID],tblDeviceTypeIDCrosswalk[LegacyDeviceTypeID],tblDeviceTypeIDCrosswalk[CanonicalDeviceTypeID],"")</f>
        <v/>
      </c>
      <c r="M59" s="32">
        <f>XLOOKUP([@ManufacturerID],tblManufacturerIDCrosswalk[LegacyManufacturerID],tblManufacturerIDCrosswalk[MappingStatus],"No Crosswalk")</f>
        <v/>
      </c>
      <c r="N59" s="35">
        <f>XLOOKUP([@DeviceFamilyID],tblDeviceFamilyIDCrosswalk[LegacyDeviceFamilyID],tblDeviceFamilyIDCrosswalk[MappingStatus],"No Crosswalk")</f>
        <v/>
      </c>
      <c r="O59" s="35">
        <f>XLOOKUP([@DeviceTypeID],tblDeviceTypeIDCrosswalk[LegacyDeviceTypeID],tblDeviceTypeIDCrosswalk[MappingStatus],"No Crosswalk")</f>
        <v/>
      </c>
      <c r="P59">
        <f>IF(OR([@ManufacturerMappingStatus]&lt;&gt;"Approved",[@DeviceFamilyMappingStatus]&lt;&gt;"Approved",[@DeviceTypeMappingStatus]&lt;&gt;"Approved"),"Manual Review Required","Approved Crosswalk Available")</f>
        <v/>
      </c>
      <c r="Q59" t="inlineStr">
        <is>
          <t>Pending Review</t>
        </is>
      </c>
    </row>
    <row r="60" ht="21.5" customHeight="1" s="42">
      <c r="A60" s="35" t="inlineStr">
        <is>
          <t>CLR000008</t>
        </is>
      </c>
      <c r="B60" s="35" t="inlineStr">
        <is>
          <t>Rose Gold</t>
        </is>
      </c>
      <c r="C60" s="35" t="inlineStr">
        <is>
          <t>Rose Gold</t>
        </is>
      </c>
      <c r="D60" s="35" t="n">
        <v>8</v>
      </c>
      <c r="E60" s="35" t="b">
        <v>1</v>
      </c>
      <c r="F60" s="38" t="n"/>
      <c r="G60" s="10" t="inlineStr">
        <is>
          <t>MOD000057</t>
        </is>
      </c>
      <c r="H60" s="31" t="inlineStr">
        <is>
          <t>MFG001</t>
        </is>
      </c>
      <c r="I60" s="31" t="inlineStr">
        <is>
          <t>DF002</t>
        </is>
      </c>
      <c r="J60" s="31">
        <f>XLOOKUP([@ManufacturerID],tblManufacturerIDCrosswalk[LegacyManufacturerID],tblManufacturerIDCrosswalk[CanonicalManufacturerID],"")</f>
        <v/>
      </c>
      <c r="K60" s="33">
        <f>XLOOKUP([@DeviceFamilyID],tblDeviceFamilyIDCrosswalk[LegacyDeviceFamilyID],tblDeviceFamilyIDCrosswalk[CanonicalDeviceFamilyID],"")</f>
        <v/>
      </c>
      <c r="L60" s="33">
        <f>XLOOKUP([@DeviceTypeID],tblDeviceTypeIDCrosswalk[LegacyDeviceTypeID],tblDeviceTypeIDCrosswalk[CanonicalDeviceTypeID],"")</f>
        <v/>
      </c>
      <c r="M60" s="32">
        <f>XLOOKUP([@ManufacturerID],tblManufacturerIDCrosswalk[LegacyManufacturerID],tblManufacturerIDCrosswalk[MappingStatus],"No Crosswalk")</f>
        <v/>
      </c>
      <c r="N60" s="35">
        <f>XLOOKUP([@DeviceFamilyID],tblDeviceFamilyIDCrosswalk[LegacyDeviceFamilyID],tblDeviceFamilyIDCrosswalk[MappingStatus],"No Crosswalk")</f>
        <v/>
      </c>
      <c r="O60" s="35">
        <f>XLOOKUP([@DeviceTypeID],tblDeviceTypeIDCrosswalk[LegacyDeviceTypeID],tblDeviceTypeIDCrosswalk[MappingStatus],"No Crosswalk")</f>
        <v/>
      </c>
      <c r="P60">
        <f>IF(OR([@ManufacturerMappingStatus]&lt;&gt;"Approved",[@DeviceFamilyMappingStatus]&lt;&gt;"Approved",[@DeviceTypeMappingStatus]&lt;&gt;"Approved"),"Manual Review Required","Approved Crosswalk Available")</f>
        <v/>
      </c>
      <c r="Q60" t="inlineStr">
        <is>
          <t>Pending Review</t>
        </is>
      </c>
    </row>
    <row r="61" ht="21.5" customHeight="1" s="42">
      <c r="A61" s="35" t="inlineStr">
        <is>
          <t>CLR000009</t>
        </is>
      </c>
      <c r="B61" s="35" t="inlineStr">
        <is>
          <t>Sierra Blue</t>
        </is>
      </c>
      <c r="C61" s="35" t="inlineStr">
        <is>
          <t>Sierra Blue</t>
        </is>
      </c>
      <c r="D61" s="35" t="n">
        <v>9</v>
      </c>
      <c r="E61" s="35" t="b">
        <v>1</v>
      </c>
      <c r="F61" s="38" t="n"/>
      <c r="G61" s="10" t="inlineStr">
        <is>
          <t>MOD000058</t>
        </is>
      </c>
      <c r="H61" s="31" t="inlineStr">
        <is>
          <t>MFG001</t>
        </is>
      </c>
      <c r="I61" s="31" t="inlineStr">
        <is>
          <t>DF004</t>
        </is>
      </c>
      <c r="J61" s="31">
        <f>XLOOKUP([@ManufacturerID],tblManufacturerIDCrosswalk[LegacyManufacturerID],tblManufacturerIDCrosswalk[CanonicalManufacturerID],"")</f>
        <v/>
      </c>
      <c r="K61" s="33">
        <f>XLOOKUP([@DeviceFamilyID],tblDeviceFamilyIDCrosswalk[LegacyDeviceFamilyID],tblDeviceFamilyIDCrosswalk[CanonicalDeviceFamilyID],"")</f>
        <v/>
      </c>
      <c r="L61" s="33">
        <f>XLOOKUP([@DeviceTypeID],tblDeviceTypeIDCrosswalk[LegacyDeviceTypeID],tblDeviceTypeIDCrosswalk[CanonicalDeviceTypeID],"")</f>
        <v/>
      </c>
      <c r="M61" s="32">
        <f>XLOOKUP([@ManufacturerID],tblManufacturerIDCrosswalk[LegacyManufacturerID],tblManufacturerIDCrosswalk[MappingStatus],"No Crosswalk")</f>
        <v/>
      </c>
      <c r="N61" s="35">
        <f>XLOOKUP([@DeviceFamilyID],tblDeviceFamilyIDCrosswalk[LegacyDeviceFamilyID],tblDeviceFamilyIDCrosswalk[MappingStatus],"No Crosswalk")</f>
        <v/>
      </c>
      <c r="O61" s="35">
        <f>XLOOKUP([@DeviceTypeID],tblDeviceTypeIDCrosswalk[LegacyDeviceTypeID],tblDeviceTypeIDCrosswalk[MappingStatus],"No Crosswalk")</f>
        <v/>
      </c>
      <c r="P61">
        <f>IF(OR([@ManufacturerMappingStatus]&lt;&gt;"Approved",[@DeviceFamilyMappingStatus]&lt;&gt;"Approved",[@DeviceTypeMappingStatus]&lt;&gt;"Approved"),"Manual Review Required","Approved Crosswalk Available")</f>
        <v/>
      </c>
      <c r="Q61" t="inlineStr">
        <is>
          <t>Pending Review</t>
        </is>
      </c>
    </row>
    <row r="62" ht="21.5" customHeight="1" s="42">
      <c r="A62" s="35" t="inlineStr">
        <is>
          <t>CLR000010</t>
        </is>
      </c>
      <c r="B62" s="35" t="inlineStr">
        <is>
          <t>Pacific Blue</t>
        </is>
      </c>
      <c r="C62" s="35" t="inlineStr">
        <is>
          <t>Pacific Blue</t>
        </is>
      </c>
      <c r="D62" s="35" t="n">
        <v>10</v>
      </c>
      <c r="E62" s="35" t="b">
        <v>1</v>
      </c>
      <c r="F62" s="38" t="n"/>
      <c r="G62" s="10" t="inlineStr">
        <is>
          <t>MOD000059</t>
        </is>
      </c>
      <c r="H62" s="31" t="inlineStr">
        <is>
          <t>MFG001</t>
        </is>
      </c>
      <c r="I62" s="31" t="inlineStr">
        <is>
          <t>DF004</t>
        </is>
      </c>
      <c r="J62" s="31">
        <f>XLOOKUP([@ManufacturerID],tblManufacturerIDCrosswalk[LegacyManufacturerID],tblManufacturerIDCrosswalk[CanonicalManufacturerID],"")</f>
        <v/>
      </c>
      <c r="K62" s="33">
        <f>XLOOKUP([@DeviceFamilyID],tblDeviceFamilyIDCrosswalk[LegacyDeviceFamilyID],tblDeviceFamilyIDCrosswalk[CanonicalDeviceFamilyID],"")</f>
        <v/>
      </c>
      <c r="L62" s="33">
        <f>XLOOKUP([@DeviceTypeID],tblDeviceTypeIDCrosswalk[LegacyDeviceTypeID],tblDeviceTypeIDCrosswalk[CanonicalDeviceTypeID],"")</f>
        <v/>
      </c>
      <c r="M62" s="32">
        <f>XLOOKUP([@ManufacturerID],tblManufacturerIDCrosswalk[LegacyManufacturerID],tblManufacturerIDCrosswalk[MappingStatus],"No Crosswalk")</f>
        <v/>
      </c>
      <c r="N62" s="35">
        <f>XLOOKUP([@DeviceFamilyID],tblDeviceFamilyIDCrosswalk[LegacyDeviceFamilyID],tblDeviceFamilyIDCrosswalk[MappingStatus],"No Crosswalk")</f>
        <v/>
      </c>
      <c r="O62" s="35">
        <f>XLOOKUP([@DeviceTypeID],tblDeviceTypeIDCrosswalk[LegacyDeviceTypeID],tblDeviceTypeIDCrosswalk[MappingStatus],"No Crosswalk")</f>
        <v/>
      </c>
      <c r="P62">
        <f>IF(OR([@ManufacturerMappingStatus]&lt;&gt;"Approved",[@DeviceFamilyMappingStatus]&lt;&gt;"Approved",[@DeviceTypeMappingStatus]&lt;&gt;"Approved"),"Manual Review Required","Approved Crosswalk Available")</f>
        <v/>
      </c>
      <c r="Q62" t="inlineStr">
        <is>
          <t>Pending Review</t>
        </is>
      </c>
    </row>
    <row r="63" ht="21.5" customHeight="1" s="42">
      <c r="A63" s="35" t="inlineStr">
        <is>
          <t>CLR000011</t>
        </is>
      </c>
      <c r="B63" s="35" t="inlineStr">
        <is>
          <t>Deep Purple</t>
        </is>
      </c>
      <c r="C63" s="35" t="inlineStr">
        <is>
          <t>Deep Purple</t>
        </is>
      </c>
      <c r="D63" s="35" t="n">
        <v>11</v>
      </c>
      <c r="E63" s="35" t="b">
        <v>1</v>
      </c>
      <c r="F63" s="38" t="n"/>
      <c r="G63" s="10" t="inlineStr">
        <is>
          <t>MOD000060</t>
        </is>
      </c>
      <c r="H63" s="31" t="inlineStr">
        <is>
          <t>MFG001</t>
        </is>
      </c>
      <c r="I63" s="31" t="inlineStr">
        <is>
          <t>DF004</t>
        </is>
      </c>
      <c r="J63" s="31">
        <f>XLOOKUP([@ManufacturerID],tblManufacturerIDCrosswalk[LegacyManufacturerID],tblManufacturerIDCrosswalk[CanonicalManufacturerID],"")</f>
        <v/>
      </c>
      <c r="K63" s="33">
        <f>XLOOKUP([@DeviceFamilyID],tblDeviceFamilyIDCrosswalk[LegacyDeviceFamilyID],tblDeviceFamilyIDCrosswalk[CanonicalDeviceFamilyID],"")</f>
        <v/>
      </c>
      <c r="L63" s="33">
        <f>XLOOKUP([@DeviceTypeID],tblDeviceTypeIDCrosswalk[LegacyDeviceTypeID],tblDeviceTypeIDCrosswalk[CanonicalDeviceTypeID],"")</f>
        <v/>
      </c>
      <c r="M63" s="32">
        <f>XLOOKUP([@ManufacturerID],tblManufacturerIDCrosswalk[LegacyManufacturerID],tblManufacturerIDCrosswalk[MappingStatus],"No Crosswalk")</f>
        <v/>
      </c>
      <c r="N63" s="35">
        <f>XLOOKUP([@DeviceFamilyID],tblDeviceFamilyIDCrosswalk[LegacyDeviceFamilyID],tblDeviceFamilyIDCrosswalk[MappingStatus],"No Crosswalk")</f>
        <v/>
      </c>
      <c r="O63" s="35">
        <f>XLOOKUP([@DeviceTypeID],tblDeviceTypeIDCrosswalk[LegacyDeviceTypeID],tblDeviceTypeIDCrosswalk[MappingStatus],"No Crosswalk")</f>
        <v/>
      </c>
      <c r="P63">
        <f>IF(OR([@ManufacturerMappingStatus]&lt;&gt;"Approved",[@DeviceFamilyMappingStatus]&lt;&gt;"Approved",[@DeviceTypeMappingStatus]&lt;&gt;"Approved"),"Manual Review Required","Approved Crosswalk Available")</f>
        <v/>
      </c>
      <c r="Q63" t="inlineStr">
        <is>
          <t>Pending Review</t>
        </is>
      </c>
    </row>
    <row r="64" ht="21.5" customHeight="1" s="42">
      <c r="A64" s="35" t="inlineStr">
        <is>
          <t>CLR000012</t>
        </is>
      </c>
      <c r="B64" s="35" t="inlineStr">
        <is>
          <t>Natural Titanium</t>
        </is>
      </c>
      <c r="C64" s="35" t="inlineStr">
        <is>
          <t>Natural Titanium</t>
        </is>
      </c>
      <c r="D64" s="35" t="n">
        <v>12</v>
      </c>
      <c r="E64" s="35" t="b">
        <v>1</v>
      </c>
      <c r="F64" s="38" t="n"/>
      <c r="G64" s="10" t="inlineStr">
        <is>
          <t>MOD000061</t>
        </is>
      </c>
      <c r="H64" s="31" t="inlineStr">
        <is>
          <t>MFG001</t>
        </is>
      </c>
      <c r="I64" s="31" t="inlineStr">
        <is>
          <t>DF004</t>
        </is>
      </c>
      <c r="J64" s="31">
        <f>XLOOKUP([@ManufacturerID],tblManufacturerIDCrosswalk[LegacyManufacturerID],tblManufacturerIDCrosswalk[CanonicalManufacturerID],"")</f>
        <v/>
      </c>
      <c r="K64" s="33">
        <f>XLOOKUP([@DeviceFamilyID],tblDeviceFamilyIDCrosswalk[LegacyDeviceFamilyID],tblDeviceFamilyIDCrosswalk[CanonicalDeviceFamilyID],"")</f>
        <v/>
      </c>
      <c r="L64" s="33">
        <f>XLOOKUP([@DeviceTypeID],tblDeviceTypeIDCrosswalk[LegacyDeviceTypeID],tblDeviceTypeIDCrosswalk[CanonicalDeviceTypeID],"")</f>
        <v/>
      </c>
      <c r="M64" s="32">
        <f>XLOOKUP([@ManufacturerID],tblManufacturerIDCrosswalk[LegacyManufacturerID],tblManufacturerIDCrosswalk[MappingStatus],"No Crosswalk")</f>
        <v/>
      </c>
      <c r="N64" s="35">
        <f>XLOOKUP([@DeviceFamilyID],tblDeviceFamilyIDCrosswalk[LegacyDeviceFamilyID],tblDeviceFamilyIDCrosswalk[MappingStatus],"No Crosswalk")</f>
        <v/>
      </c>
      <c r="O64" s="35">
        <f>XLOOKUP([@DeviceTypeID],tblDeviceTypeIDCrosswalk[LegacyDeviceTypeID],tblDeviceTypeIDCrosswalk[MappingStatus],"No Crosswalk")</f>
        <v/>
      </c>
      <c r="P64">
        <f>IF(OR([@ManufacturerMappingStatus]&lt;&gt;"Approved",[@DeviceFamilyMappingStatus]&lt;&gt;"Approved",[@DeviceTypeMappingStatus]&lt;&gt;"Approved"),"Manual Review Required","Approved Crosswalk Available")</f>
        <v/>
      </c>
      <c r="Q64" t="inlineStr">
        <is>
          <t>Pending Review</t>
        </is>
      </c>
    </row>
    <row r="65" ht="21.5" customHeight="1" s="42">
      <c r="A65" s="35" t="inlineStr">
        <is>
          <t>CLR000013</t>
        </is>
      </c>
      <c r="B65" s="35" t="inlineStr">
        <is>
          <t>Desert Titanium</t>
        </is>
      </c>
      <c r="C65" s="35" t="inlineStr">
        <is>
          <t>Desert Titanium</t>
        </is>
      </c>
      <c r="D65" s="35" t="n">
        <v>13</v>
      </c>
      <c r="E65" s="35" t="b">
        <v>1</v>
      </c>
      <c r="F65" s="38" t="n"/>
      <c r="G65" s="10" t="inlineStr">
        <is>
          <t>MOD000062</t>
        </is>
      </c>
      <c r="H65" s="31" t="inlineStr">
        <is>
          <t>MFG001</t>
        </is>
      </c>
      <c r="I65" s="31" t="inlineStr">
        <is>
          <t>DF004</t>
        </is>
      </c>
      <c r="J65" s="31">
        <f>XLOOKUP([@ManufacturerID],tblManufacturerIDCrosswalk[LegacyManufacturerID],tblManufacturerIDCrosswalk[CanonicalManufacturerID],"")</f>
        <v/>
      </c>
      <c r="K65" s="33">
        <f>XLOOKUP([@DeviceFamilyID],tblDeviceFamilyIDCrosswalk[LegacyDeviceFamilyID],tblDeviceFamilyIDCrosswalk[CanonicalDeviceFamilyID],"")</f>
        <v/>
      </c>
      <c r="L65" s="33">
        <f>XLOOKUP([@DeviceTypeID],tblDeviceTypeIDCrosswalk[LegacyDeviceTypeID],tblDeviceTypeIDCrosswalk[CanonicalDeviceTypeID],"")</f>
        <v/>
      </c>
      <c r="M65" s="32">
        <f>XLOOKUP([@ManufacturerID],tblManufacturerIDCrosswalk[LegacyManufacturerID],tblManufacturerIDCrosswalk[MappingStatus],"No Crosswalk")</f>
        <v/>
      </c>
      <c r="N65" s="35">
        <f>XLOOKUP([@DeviceFamilyID],tblDeviceFamilyIDCrosswalk[LegacyDeviceFamilyID],tblDeviceFamilyIDCrosswalk[MappingStatus],"No Crosswalk")</f>
        <v/>
      </c>
      <c r="O65" s="35">
        <f>XLOOKUP([@DeviceTypeID],tblDeviceTypeIDCrosswalk[LegacyDeviceTypeID],tblDeviceTypeIDCrosswalk[MappingStatus],"No Crosswalk")</f>
        <v/>
      </c>
      <c r="P65">
        <f>IF(OR([@ManufacturerMappingStatus]&lt;&gt;"Approved",[@DeviceFamilyMappingStatus]&lt;&gt;"Approved",[@DeviceTypeMappingStatus]&lt;&gt;"Approved"),"Manual Review Required","Approved Crosswalk Available")</f>
        <v/>
      </c>
      <c r="Q65" t="inlineStr">
        <is>
          <t>Pending Review</t>
        </is>
      </c>
    </row>
    <row r="66" ht="21.5" customHeight="1" s="42">
      <c r="A66" s="35" t="inlineStr">
        <is>
          <t>CLR000014</t>
        </is>
      </c>
      <c r="B66" s="35" t="inlineStr">
        <is>
          <t>Phantom Black</t>
        </is>
      </c>
      <c r="C66" s="35" t="inlineStr">
        <is>
          <t>Phantom Black</t>
        </is>
      </c>
      <c r="D66" s="35" t="n">
        <v>14</v>
      </c>
      <c r="E66" s="35" t="b">
        <v>1</v>
      </c>
      <c r="F66" s="38" t="n"/>
      <c r="G66" s="10" t="inlineStr">
        <is>
          <t>MOD000063</t>
        </is>
      </c>
      <c r="H66" s="31" t="inlineStr">
        <is>
          <t>MFG001</t>
        </is>
      </c>
      <c r="I66" s="31" t="inlineStr">
        <is>
          <t>DF004</t>
        </is>
      </c>
      <c r="J66" s="31">
        <f>XLOOKUP([@ManufacturerID],tblManufacturerIDCrosswalk[LegacyManufacturerID],tblManufacturerIDCrosswalk[CanonicalManufacturerID],"")</f>
        <v/>
      </c>
      <c r="K66" s="33">
        <f>XLOOKUP([@DeviceFamilyID],tblDeviceFamilyIDCrosswalk[LegacyDeviceFamilyID],tblDeviceFamilyIDCrosswalk[CanonicalDeviceFamilyID],"")</f>
        <v/>
      </c>
      <c r="L66" s="33">
        <f>XLOOKUP([@DeviceTypeID],tblDeviceTypeIDCrosswalk[LegacyDeviceTypeID],tblDeviceTypeIDCrosswalk[CanonicalDeviceTypeID],"")</f>
        <v/>
      </c>
      <c r="M66" s="32">
        <f>XLOOKUP([@ManufacturerID],tblManufacturerIDCrosswalk[LegacyManufacturerID],tblManufacturerIDCrosswalk[MappingStatus],"No Crosswalk")</f>
        <v/>
      </c>
      <c r="N66" s="35">
        <f>XLOOKUP([@DeviceFamilyID],tblDeviceFamilyIDCrosswalk[LegacyDeviceFamilyID],tblDeviceFamilyIDCrosswalk[MappingStatus],"No Crosswalk")</f>
        <v/>
      </c>
      <c r="O66" s="35">
        <f>XLOOKUP([@DeviceTypeID],tblDeviceTypeIDCrosswalk[LegacyDeviceTypeID],tblDeviceTypeIDCrosswalk[MappingStatus],"No Crosswalk")</f>
        <v/>
      </c>
      <c r="P66">
        <f>IF(OR([@ManufacturerMappingStatus]&lt;&gt;"Approved",[@DeviceFamilyMappingStatus]&lt;&gt;"Approved",[@DeviceTypeMappingStatus]&lt;&gt;"Approved"),"Manual Review Required","Approved Crosswalk Available")</f>
        <v/>
      </c>
      <c r="Q66" t="inlineStr">
        <is>
          <t>Pending Review</t>
        </is>
      </c>
    </row>
    <row r="67" ht="21.5" customHeight="1" s="42">
      <c r="A67" s="35" t="inlineStr">
        <is>
          <t>CLR000015</t>
        </is>
      </c>
      <c r="B67" s="35" t="inlineStr">
        <is>
          <t>Phantom Silver</t>
        </is>
      </c>
      <c r="C67" s="35" t="inlineStr">
        <is>
          <t>Phantom Silver</t>
        </is>
      </c>
      <c r="D67" s="35" t="n">
        <v>15</v>
      </c>
      <c r="E67" s="35" t="b">
        <v>1</v>
      </c>
      <c r="F67" s="38" t="n"/>
      <c r="G67" s="10" t="inlineStr">
        <is>
          <t>MOD000064</t>
        </is>
      </c>
      <c r="H67" s="31" t="inlineStr">
        <is>
          <t>MFG001</t>
        </is>
      </c>
      <c r="I67" s="31" t="inlineStr">
        <is>
          <t>DF003</t>
        </is>
      </c>
      <c r="J67" s="31">
        <f>XLOOKUP([@ManufacturerID],tblManufacturerIDCrosswalk[LegacyManufacturerID],tblManufacturerIDCrosswalk[CanonicalManufacturerID],"")</f>
        <v/>
      </c>
      <c r="K67" s="33">
        <f>XLOOKUP([@DeviceFamilyID],tblDeviceFamilyIDCrosswalk[LegacyDeviceFamilyID],tblDeviceFamilyIDCrosswalk[CanonicalDeviceFamilyID],"")</f>
        <v/>
      </c>
      <c r="L67" s="33">
        <f>XLOOKUP([@DeviceTypeID],tblDeviceTypeIDCrosswalk[LegacyDeviceTypeID],tblDeviceTypeIDCrosswalk[CanonicalDeviceTypeID],"")</f>
        <v/>
      </c>
      <c r="M67" s="32">
        <f>XLOOKUP([@ManufacturerID],tblManufacturerIDCrosswalk[LegacyManufacturerID],tblManufacturerIDCrosswalk[MappingStatus],"No Crosswalk")</f>
        <v/>
      </c>
      <c r="N67" s="35">
        <f>XLOOKUP([@DeviceFamilyID],tblDeviceFamilyIDCrosswalk[LegacyDeviceFamilyID],tblDeviceFamilyIDCrosswalk[MappingStatus],"No Crosswalk")</f>
        <v/>
      </c>
      <c r="O67" s="35">
        <f>XLOOKUP([@DeviceTypeID],tblDeviceTypeIDCrosswalk[LegacyDeviceTypeID],tblDeviceTypeIDCrosswalk[MappingStatus],"No Crosswalk")</f>
        <v/>
      </c>
      <c r="P67">
        <f>IF(OR([@ManufacturerMappingStatus]&lt;&gt;"Approved",[@DeviceFamilyMappingStatus]&lt;&gt;"Approved",[@DeviceTypeMappingStatus]&lt;&gt;"Approved"),"Manual Review Required","Approved Crosswalk Available")</f>
        <v/>
      </c>
      <c r="Q67" t="inlineStr">
        <is>
          <t>Pending Review</t>
        </is>
      </c>
    </row>
    <row r="68" ht="21.5" customHeight="1" s="42">
      <c r="A68" s="35" t="inlineStr">
        <is>
          <t>CLR000016</t>
        </is>
      </c>
      <c r="B68" s="35" t="inlineStr">
        <is>
          <t>Lavender</t>
        </is>
      </c>
      <c r="C68" s="35" t="inlineStr">
        <is>
          <t>Lavender</t>
        </is>
      </c>
      <c r="D68" s="35" t="n">
        <v>16</v>
      </c>
      <c r="E68" s="35" t="b">
        <v>1</v>
      </c>
      <c r="F68" s="38" t="n"/>
      <c r="G68" s="10" t="inlineStr">
        <is>
          <t>MOD000065</t>
        </is>
      </c>
      <c r="H68" s="31" t="inlineStr">
        <is>
          <t>MFG001</t>
        </is>
      </c>
      <c r="I68" s="31" t="inlineStr">
        <is>
          <t>DF003</t>
        </is>
      </c>
      <c r="J68" s="31">
        <f>XLOOKUP([@ManufacturerID],tblManufacturerIDCrosswalk[LegacyManufacturerID],tblManufacturerIDCrosswalk[CanonicalManufacturerID],"")</f>
        <v/>
      </c>
      <c r="K68" s="33">
        <f>XLOOKUP([@DeviceFamilyID],tblDeviceFamilyIDCrosswalk[LegacyDeviceFamilyID],tblDeviceFamilyIDCrosswalk[CanonicalDeviceFamilyID],"")</f>
        <v/>
      </c>
      <c r="L68" s="33">
        <f>XLOOKUP([@DeviceTypeID],tblDeviceTypeIDCrosswalk[LegacyDeviceTypeID],tblDeviceTypeIDCrosswalk[CanonicalDeviceTypeID],"")</f>
        <v/>
      </c>
      <c r="M68" s="32">
        <f>XLOOKUP([@ManufacturerID],tblManufacturerIDCrosswalk[LegacyManufacturerID],tblManufacturerIDCrosswalk[MappingStatus],"No Crosswalk")</f>
        <v/>
      </c>
      <c r="N68" s="35">
        <f>XLOOKUP([@DeviceFamilyID],tblDeviceFamilyIDCrosswalk[LegacyDeviceFamilyID],tblDeviceFamilyIDCrosswalk[MappingStatus],"No Crosswalk")</f>
        <v/>
      </c>
      <c r="O68" s="35">
        <f>XLOOKUP([@DeviceTypeID],tblDeviceTypeIDCrosswalk[LegacyDeviceTypeID],tblDeviceTypeIDCrosswalk[MappingStatus],"No Crosswalk")</f>
        <v/>
      </c>
      <c r="P68">
        <f>IF(OR([@ManufacturerMappingStatus]&lt;&gt;"Approved",[@DeviceFamilyMappingStatus]&lt;&gt;"Approved",[@DeviceTypeMappingStatus]&lt;&gt;"Approved"),"Manual Review Required","Approved Crosswalk Available")</f>
        <v/>
      </c>
      <c r="Q68" t="inlineStr">
        <is>
          <t>Pending Review</t>
        </is>
      </c>
    </row>
    <row r="69" ht="21.5" customHeight="1" s="42">
      <c r="A69" s="36" t="n"/>
      <c r="B69" s="37" t="n"/>
      <c r="C69" s="37" t="n"/>
      <c r="D69" s="37" t="n"/>
      <c r="E69" s="38" t="n"/>
      <c r="F69" s="38" t="n"/>
      <c r="G69" s="10" t="inlineStr">
        <is>
          <t>MOD000066</t>
        </is>
      </c>
      <c r="H69" s="31" t="inlineStr">
        <is>
          <t>MFG001</t>
        </is>
      </c>
      <c r="I69" s="31" t="inlineStr">
        <is>
          <t>DF003</t>
        </is>
      </c>
      <c r="J69" s="31">
        <f>XLOOKUP([@ManufacturerID],tblManufacturerIDCrosswalk[LegacyManufacturerID],tblManufacturerIDCrosswalk[CanonicalManufacturerID],"")</f>
        <v/>
      </c>
      <c r="K69" s="33">
        <f>XLOOKUP([@DeviceFamilyID],tblDeviceFamilyIDCrosswalk[LegacyDeviceFamilyID],tblDeviceFamilyIDCrosswalk[CanonicalDeviceFamilyID],"")</f>
        <v/>
      </c>
      <c r="L69" s="33">
        <f>XLOOKUP([@DeviceTypeID],tblDeviceTypeIDCrosswalk[LegacyDeviceTypeID],tblDeviceTypeIDCrosswalk[CanonicalDeviceTypeID],"")</f>
        <v/>
      </c>
      <c r="M69" s="32">
        <f>XLOOKUP([@ManufacturerID],tblManufacturerIDCrosswalk[LegacyManufacturerID],tblManufacturerIDCrosswalk[MappingStatus],"No Crosswalk")</f>
        <v/>
      </c>
      <c r="N69" s="35">
        <f>XLOOKUP([@DeviceFamilyID],tblDeviceFamilyIDCrosswalk[LegacyDeviceFamilyID],tblDeviceFamilyIDCrosswalk[MappingStatus],"No Crosswalk")</f>
        <v/>
      </c>
      <c r="O69" s="35">
        <f>XLOOKUP([@DeviceTypeID],tblDeviceTypeIDCrosswalk[LegacyDeviceTypeID],tblDeviceTypeIDCrosswalk[MappingStatus],"No Crosswalk")</f>
        <v/>
      </c>
      <c r="P69">
        <f>IF(OR([@ManufacturerMappingStatus]&lt;&gt;"Approved",[@DeviceFamilyMappingStatus]&lt;&gt;"Approved",[@DeviceTypeMappingStatus]&lt;&gt;"Approved"),"Manual Review Required","Approved Crosswalk Available")</f>
        <v/>
      </c>
      <c r="Q69" t="inlineStr">
        <is>
          <t>Pending Review</t>
        </is>
      </c>
    </row>
    <row r="70" ht="21.5" customHeight="1" s="42">
      <c r="A70" s="45" t="inlineStr">
        <is>
          <t>ID</t>
        </is>
      </c>
      <c r="B70" s="45" t="inlineStr">
        <is>
          <t>Name</t>
        </is>
      </c>
      <c r="C70" s="45" t="inlineStr">
        <is>
          <t>Description</t>
        </is>
      </c>
      <c r="D70" s="45" t="inlineStr">
        <is>
          <t>DisplayOrder</t>
        </is>
      </c>
      <c r="E70" s="45" t="inlineStr">
        <is>
          <t>Active</t>
        </is>
      </c>
      <c r="F70" s="38" t="n"/>
      <c r="G70" s="10" t="inlineStr">
        <is>
          <t>MOD000067</t>
        </is>
      </c>
      <c r="H70" s="31" t="inlineStr">
        <is>
          <t>MFG001</t>
        </is>
      </c>
      <c r="I70" s="31" t="inlineStr">
        <is>
          <t>DF003</t>
        </is>
      </c>
      <c r="J70" s="31">
        <f>XLOOKUP([@ManufacturerID],tblManufacturerIDCrosswalk[LegacyManufacturerID],tblManufacturerIDCrosswalk[CanonicalManufacturerID],"")</f>
        <v/>
      </c>
      <c r="K70" s="33">
        <f>XLOOKUP([@DeviceFamilyID],tblDeviceFamilyIDCrosswalk[LegacyDeviceFamilyID],tblDeviceFamilyIDCrosswalk[CanonicalDeviceFamilyID],"")</f>
        <v/>
      </c>
      <c r="L70" s="33">
        <f>XLOOKUP([@DeviceTypeID],tblDeviceTypeIDCrosswalk[LegacyDeviceTypeID],tblDeviceTypeIDCrosswalk[CanonicalDeviceTypeID],"")</f>
        <v/>
      </c>
      <c r="M70" s="32">
        <f>XLOOKUP([@ManufacturerID],tblManufacturerIDCrosswalk[LegacyManufacturerID],tblManufacturerIDCrosswalk[MappingStatus],"No Crosswalk")</f>
        <v/>
      </c>
      <c r="N70" s="35">
        <f>XLOOKUP([@DeviceFamilyID],tblDeviceFamilyIDCrosswalk[LegacyDeviceFamilyID],tblDeviceFamilyIDCrosswalk[MappingStatus],"No Crosswalk")</f>
        <v/>
      </c>
      <c r="O70" s="35">
        <f>XLOOKUP([@DeviceTypeID],tblDeviceTypeIDCrosswalk[LegacyDeviceTypeID],tblDeviceTypeIDCrosswalk[MappingStatus],"No Crosswalk")</f>
        <v/>
      </c>
      <c r="P70">
        <f>IF(OR([@ManufacturerMappingStatus]&lt;&gt;"Approved",[@DeviceFamilyMappingStatus]&lt;&gt;"Approved",[@DeviceTypeMappingStatus]&lt;&gt;"Approved"),"Manual Review Required","Approved Crosswalk Available")</f>
        <v/>
      </c>
      <c r="Q70" t="inlineStr">
        <is>
          <t>Pending Review</t>
        </is>
      </c>
    </row>
    <row r="71" ht="21.5" customHeight="1" s="42">
      <c r="A71" s="35" t="inlineStr">
        <is>
          <t>CAR000001</t>
        </is>
      </c>
      <c r="B71" s="35" t="inlineStr">
        <is>
          <t>AT&amp;T</t>
        </is>
      </c>
      <c r="C71" s="35" t="inlineStr">
        <is>
          <t>US</t>
        </is>
      </c>
      <c r="D71" s="35" t="n">
        <v>1</v>
      </c>
      <c r="E71" s="35" t="b">
        <v>1</v>
      </c>
      <c r="F71" s="38" t="n"/>
      <c r="G71" s="10" t="inlineStr">
        <is>
          <t>MOD000068</t>
        </is>
      </c>
      <c r="H71" s="31" t="inlineStr">
        <is>
          <t>MFG001</t>
        </is>
      </c>
      <c r="I71" s="31" t="inlineStr">
        <is>
          <t>DF003</t>
        </is>
      </c>
      <c r="J71" s="31">
        <f>XLOOKUP([@ManufacturerID],tblManufacturerIDCrosswalk[LegacyManufacturerID],tblManufacturerIDCrosswalk[CanonicalManufacturerID],"")</f>
        <v/>
      </c>
      <c r="K71" s="33">
        <f>XLOOKUP([@DeviceFamilyID],tblDeviceFamilyIDCrosswalk[LegacyDeviceFamilyID],tblDeviceFamilyIDCrosswalk[CanonicalDeviceFamilyID],"")</f>
        <v/>
      </c>
      <c r="L71" s="33">
        <f>XLOOKUP([@DeviceTypeID],tblDeviceTypeIDCrosswalk[LegacyDeviceTypeID],tblDeviceTypeIDCrosswalk[CanonicalDeviceTypeID],"")</f>
        <v/>
      </c>
      <c r="M71" s="32">
        <f>XLOOKUP([@ManufacturerID],tblManufacturerIDCrosswalk[LegacyManufacturerID],tblManufacturerIDCrosswalk[MappingStatus],"No Crosswalk")</f>
        <v/>
      </c>
      <c r="N71" s="35">
        <f>XLOOKUP([@DeviceFamilyID],tblDeviceFamilyIDCrosswalk[LegacyDeviceFamilyID],tblDeviceFamilyIDCrosswalk[MappingStatus],"No Crosswalk")</f>
        <v/>
      </c>
      <c r="O71" s="35">
        <f>XLOOKUP([@DeviceTypeID],tblDeviceTypeIDCrosswalk[LegacyDeviceTypeID],tblDeviceTypeIDCrosswalk[MappingStatus],"No Crosswalk")</f>
        <v/>
      </c>
      <c r="P71">
        <f>IF(OR([@ManufacturerMappingStatus]&lt;&gt;"Approved",[@DeviceFamilyMappingStatus]&lt;&gt;"Approved",[@DeviceTypeMappingStatus]&lt;&gt;"Approved"),"Manual Review Required","Approved Crosswalk Available")</f>
        <v/>
      </c>
      <c r="Q71" t="inlineStr">
        <is>
          <t>Pending Review</t>
        </is>
      </c>
    </row>
    <row r="72" ht="21.5" customHeight="1" s="42">
      <c r="A72" s="35" t="inlineStr">
        <is>
          <t>CAR000002</t>
        </is>
      </c>
      <c r="B72" s="35" t="inlineStr">
        <is>
          <t>Verizon</t>
        </is>
      </c>
      <c r="C72" s="35" t="inlineStr">
        <is>
          <t>US</t>
        </is>
      </c>
      <c r="D72" s="35" t="n">
        <v>2</v>
      </c>
      <c r="E72" s="35" t="b">
        <v>1</v>
      </c>
      <c r="F72" s="38" t="n"/>
      <c r="G72" s="10" t="inlineStr">
        <is>
          <t>MOD000069</t>
        </is>
      </c>
      <c r="H72" s="31" t="inlineStr">
        <is>
          <t>MFG001</t>
        </is>
      </c>
      <c r="I72" s="31" t="inlineStr">
        <is>
          <t>DF003</t>
        </is>
      </c>
      <c r="J72" s="31">
        <f>XLOOKUP([@ManufacturerID],tblManufacturerIDCrosswalk[LegacyManufacturerID],tblManufacturerIDCrosswalk[CanonicalManufacturerID],"")</f>
        <v/>
      </c>
      <c r="K72" s="33">
        <f>XLOOKUP([@DeviceFamilyID],tblDeviceFamilyIDCrosswalk[LegacyDeviceFamilyID],tblDeviceFamilyIDCrosswalk[CanonicalDeviceFamilyID],"")</f>
        <v/>
      </c>
      <c r="L72" s="33">
        <f>XLOOKUP([@DeviceTypeID],tblDeviceTypeIDCrosswalk[LegacyDeviceTypeID],tblDeviceTypeIDCrosswalk[CanonicalDeviceTypeID],"")</f>
        <v/>
      </c>
      <c r="M72" s="32">
        <f>XLOOKUP([@ManufacturerID],tblManufacturerIDCrosswalk[LegacyManufacturerID],tblManufacturerIDCrosswalk[MappingStatus],"No Crosswalk")</f>
        <v/>
      </c>
      <c r="N72" s="35">
        <f>XLOOKUP([@DeviceFamilyID],tblDeviceFamilyIDCrosswalk[LegacyDeviceFamilyID],tblDeviceFamilyIDCrosswalk[MappingStatus],"No Crosswalk")</f>
        <v/>
      </c>
      <c r="O72" s="35">
        <f>XLOOKUP([@DeviceTypeID],tblDeviceTypeIDCrosswalk[LegacyDeviceTypeID],tblDeviceTypeIDCrosswalk[MappingStatus],"No Crosswalk")</f>
        <v/>
      </c>
      <c r="P72">
        <f>IF(OR([@ManufacturerMappingStatus]&lt;&gt;"Approved",[@DeviceFamilyMappingStatus]&lt;&gt;"Approved",[@DeviceTypeMappingStatus]&lt;&gt;"Approved"),"Manual Review Required","Approved Crosswalk Available")</f>
        <v/>
      </c>
      <c r="Q72" t="inlineStr">
        <is>
          <t>Pending Review</t>
        </is>
      </c>
    </row>
    <row r="73" ht="21.5" customHeight="1" s="42">
      <c r="A73" s="35" t="inlineStr">
        <is>
          <t>CAR000003</t>
        </is>
      </c>
      <c r="B73" s="35" t="inlineStr">
        <is>
          <t>T-Mobile</t>
        </is>
      </c>
      <c r="C73" s="35" t="inlineStr">
        <is>
          <t>US</t>
        </is>
      </c>
      <c r="D73" s="35" t="n">
        <v>3</v>
      </c>
      <c r="E73" s="35" t="b">
        <v>1</v>
      </c>
      <c r="F73" s="38" t="n"/>
      <c r="G73" s="10" t="inlineStr">
        <is>
          <t>MOD000070</t>
        </is>
      </c>
      <c r="H73" s="31" t="inlineStr">
        <is>
          <t>MFG001</t>
        </is>
      </c>
      <c r="I73" s="31" t="inlineStr">
        <is>
          <t>DF003</t>
        </is>
      </c>
      <c r="J73" s="31">
        <f>XLOOKUP([@ManufacturerID],tblManufacturerIDCrosswalk[LegacyManufacturerID],tblManufacturerIDCrosswalk[CanonicalManufacturerID],"")</f>
        <v/>
      </c>
      <c r="K73" s="33">
        <f>XLOOKUP([@DeviceFamilyID],tblDeviceFamilyIDCrosswalk[LegacyDeviceFamilyID],tblDeviceFamilyIDCrosswalk[CanonicalDeviceFamilyID],"")</f>
        <v/>
      </c>
      <c r="L73" s="33">
        <f>XLOOKUP([@DeviceTypeID],tblDeviceTypeIDCrosswalk[LegacyDeviceTypeID],tblDeviceTypeIDCrosswalk[CanonicalDeviceTypeID],"")</f>
        <v/>
      </c>
      <c r="M73" s="32">
        <f>XLOOKUP([@ManufacturerID],tblManufacturerIDCrosswalk[LegacyManufacturerID],tblManufacturerIDCrosswalk[MappingStatus],"No Crosswalk")</f>
        <v/>
      </c>
      <c r="N73" s="35">
        <f>XLOOKUP([@DeviceFamilyID],tblDeviceFamilyIDCrosswalk[LegacyDeviceFamilyID],tblDeviceFamilyIDCrosswalk[MappingStatus],"No Crosswalk")</f>
        <v/>
      </c>
      <c r="O73" s="35">
        <f>XLOOKUP([@DeviceTypeID],tblDeviceTypeIDCrosswalk[LegacyDeviceTypeID],tblDeviceTypeIDCrosswalk[MappingStatus],"No Crosswalk")</f>
        <v/>
      </c>
      <c r="P73">
        <f>IF(OR([@ManufacturerMappingStatus]&lt;&gt;"Approved",[@DeviceFamilyMappingStatus]&lt;&gt;"Approved",[@DeviceTypeMappingStatus]&lt;&gt;"Approved"),"Manual Review Required","Approved Crosswalk Available")</f>
        <v/>
      </c>
      <c r="Q73" t="inlineStr">
        <is>
          <t>Pending Review</t>
        </is>
      </c>
    </row>
    <row r="74" ht="21.5" customHeight="1" s="42">
      <c r="A74" s="35" t="inlineStr">
        <is>
          <t>CAR000004</t>
        </is>
      </c>
      <c r="B74" s="35" t="inlineStr">
        <is>
          <t>US Cellular</t>
        </is>
      </c>
      <c r="C74" s="35" t="inlineStr">
        <is>
          <t>US</t>
        </is>
      </c>
      <c r="D74" s="35" t="n">
        <v>4</v>
      </c>
      <c r="E74" s="35" t="b">
        <v>1</v>
      </c>
      <c r="F74" s="38" t="n"/>
      <c r="G74" s="10" t="inlineStr">
        <is>
          <t>MOD000071</t>
        </is>
      </c>
      <c r="H74" s="31" t="inlineStr">
        <is>
          <t>MFG001</t>
        </is>
      </c>
      <c r="I74" s="31" t="inlineStr">
        <is>
          <t>DF005</t>
        </is>
      </c>
      <c r="J74" s="31">
        <f>XLOOKUP([@ManufacturerID],tblManufacturerIDCrosswalk[LegacyManufacturerID],tblManufacturerIDCrosswalk[CanonicalManufacturerID],"")</f>
        <v/>
      </c>
      <c r="K74" s="33">
        <f>XLOOKUP([@DeviceFamilyID],tblDeviceFamilyIDCrosswalk[LegacyDeviceFamilyID],tblDeviceFamilyIDCrosswalk[CanonicalDeviceFamilyID],"")</f>
        <v/>
      </c>
      <c r="L74" s="33">
        <f>XLOOKUP([@DeviceTypeID],tblDeviceTypeIDCrosswalk[LegacyDeviceTypeID],tblDeviceTypeIDCrosswalk[CanonicalDeviceTypeID],"")</f>
        <v/>
      </c>
      <c r="M74" s="32">
        <f>XLOOKUP([@ManufacturerID],tblManufacturerIDCrosswalk[LegacyManufacturerID],tblManufacturerIDCrosswalk[MappingStatus],"No Crosswalk")</f>
        <v/>
      </c>
      <c r="N74" s="35">
        <f>XLOOKUP([@DeviceFamilyID],tblDeviceFamilyIDCrosswalk[LegacyDeviceFamilyID],tblDeviceFamilyIDCrosswalk[MappingStatus],"No Crosswalk")</f>
        <v/>
      </c>
      <c r="O74" s="35">
        <f>XLOOKUP([@DeviceTypeID],tblDeviceTypeIDCrosswalk[LegacyDeviceTypeID],tblDeviceTypeIDCrosswalk[MappingStatus],"No Crosswalk")</f>
        <v/>
      </c>
      <c r="P74">
        <f>IF(OR([@ManufacturerMappingStatus]&lt;&gt;"Approved",[@DeviceFamilyMappingStatus]&lt;&gt;"Approved",[@DeviceTypeMappingStatus]&lt;&gt;"Approved"),"Manual Review Required","Approved Crosswalk Available")</f>
        <v/>
      </c>
      <c r="Q74" t="inlineStr">
        <is>
          <t>Pending Review</t>
        </is>
      </c>
    </row>
    <row r="75" ht="21.5" customHeight="1" s="42">
      <c r="A75" s="35" t="inlineStr">
        <is>
          <t>CAR000005</t>
        </is>
      </c>
      <c r="B75" s="35" t="inlineStr">
        <is>
          <t>Boost Mobile</t>
        </is>
      </c>
      <c r="C75" s="35" t="inlineStr">
        <is>
          <t>US</t>
        </is>
      </c>
      <c r="D75" s="35" t="n">
        <v>5</v>
      </c>
      <c r="E75" s="35" t="b">
        <v>1</v>
      </c>
      <c r="F75" s="38" t="n"/>
      <c r="G75" s="10" t="inlineStr">
        <is>
          <t>MOD000072</t>
        </is>
      </c>
      <c r="H75" s="31" t="inlineStr">
        <is>
          <t>MFG001</t>
        </is>
      </c>
      <c r="I75" s="31" t="inlineStr">
        <is>
          <t>DF005</t>
        </is>
      </c>
      <c r="J75" s="31">
        <f>XLOOKUP([@ManufacturerID],tblManufacturerIDCrosswalk[LegacyManufacturerID],tblManufacturerIDCrosswalk[CanonicalManufacturerID],"")</f>
        <v/>
      </c>
      <c r="K75" s="33">
        <f>XLOOKUP([@DeviceFamilyID],tblDeviceFamilyIDCrosswalk[LegacyDeviceFamilyID],tblDeviceFamilyIDCrosswalk[CanonicalDeviceFamilyID],"")</f>
        <v/>
      </c>
      <c r="L75" s="33">
        <f>XLOOKUP([@DeviceTypeID],tblDeviceTypeIDCrosswalk[LegacyDeviceTypeID],tblDeviceTypeIDCrosswalk[CanonicalDeviceTypeID],"")</f>
        <v/>
      </c>
      <c r="M75" s="32">
        <f>XLOOKUP([@ManufacturerID],tblManufacturerIDCrosswalk[LegacyManufacturerID],tblManufacturerIDCrosswalk[MappingStatus],"No Crosswalk")</f>
        <v/>
      </c>
      <c r="N75" s="35">
        <f>XLOOKUP([@DeviceFamilyID],tblDeviceFamilyIDCrosswalk[LegacyDeviceFamilyID],tblDeviceFamilyIDCrosswalk[MappingStatus],"No Crosswalk")</f>
        <v/>
      </c>
      <c r="O75" s="35">
        <f>XLOOKUP([@DeviceTypeID],tblDeviceTypeIDCrosswalk[LegacyDeviceTypeID],tblDeviceTypeIDCrosswalk[MappingStatus],"No Crosswalk")</f>
        <v/>
      </c>
      <c r="P75">
        <f>IF(OR([@ManufacturerMappingStatus]&lt;&gt;"Approved",[@DeviceFamilyMappingStatus]&lt;&gt;"Approved",[@DeviceTypeMappingStatus]&lt;&gt;"Approved"),"Manual Review Required","Approved Crosswalk Available")</f>
        <v/>
      </c>
      <c r="Q75" t="inlineStr">
        <is>
          <t>Pending Review</t>
        </is>
      </c>
    </row>
    <row r="76" ht="21.5" customHeight="1" s="42">
      <c r="A76" s="35" t="inlineStr">
        <is>
          <t>CAR000006</t>
        </is>
      </c>
      <c r="B76" s="35" t="inlineStr">
        <is>
          <t>Metro by T-Mobile</t>
        </is>
      </c>
      <c r="C76" s="35" t="inlineStr">
        <is>
          <t>US</t>
        </is>
      </c>
      <c r="D76" s="35" t="n">
        <v>6</v>
      </c>
      <c r="E76" s="35" t="n">
        <v>1</v>
      </c>
      <c r="F76" s="38" t="n"/>
      <c r="G76" s="10" t="inlineStr">
        <is>
          <t>MOD000073</t>
        </is>
      </c>
      <c r="H76" s="31" t="inlineStr">
        <is>
          <t>MFG001</t>
        </is>
      </c>
      <c r="I76" s="31" t="inlineStr">
        <is>
          <t>DF005</t>
        </is>
      </c>
      <c r="J76" s="31">
        <f>XLOOKUP([@ManufacturerID],tblManufacturerIDCrosswalk[LegacyManufacturerID],tblManufacturerIDCrosswalk[CanonicalManufacturerID],"")</f>
        <v/>
      </c>
      <c r="K76" s="33">
        <f>XLOOKUP([@DeviceFamilyID],tblDeviceFamilyIDCrosswalk[LegacyDeviceFamilyID],tblDeviceFamilyIDCrosswalk[CanonicalDeviceFamilyID],"")</f>
        <v/>
      </c>
      <c r="L76" s="33">
        <f>XLOOKUP([@DeviceTypeID],tblDeviceTypeIDCrosswalk[LegacyDeviceTypeID],tblDeviceTypeIDCrosswalk[CanonicalDeviceTypeID],"")</f>
        <v/>
      </c>
      <c r="M76" s="32">
        <f>XLOOKUP([@ManufacturerID],tblManufacturerIDCrosswalk[LegacyManufacturerID],tblManufacturerIDCrosswalk[MappingStatus],"No Crosswalk")</f>
        <v/>
      </c>
      <c r="N76" s="35">
        <f>XLOOKUP([@DeviceFamilyID],tblDeviceFamilyIDCrosswalk[LegacyDeviceFamilyID],tblDeviceFamilyIDCrosswalk[MappingStatus],"No Crosswalk")</f>
        <v/>
      </c>
      <c r="O76" s="35">
        <f>XLOOKUP([@DeviceTypeID],tblDeviceTypeIDCrosswalk[LegacyDeviceTypeID],tblDeviceTypeIDCrosswalk[MappingStatus],"No Crosswalk")</f>
        <v/>
      </c>
      <c r="P76">
        <f>IF(OR([@ManufacturerMappingStatus]&lt;&gt;"Approved",[@DeviceFamilyMappingStatus]&lt;&gt;"Approved",[@DeviceTypeMappingStatus]&lt;&gt;"Approved"),"Manual Review Required","Approved Crosswalk Available")</f>
        <v/>
      </c>
      <c r="Q76" t="inlineStr">
        <is>
          <t>Pending Review</t>
        </is>
      </c>
    </row>
    <row r="77" ht="21.5" customHeight="1" s="42">
      <c r="A77" s="35" t="inlineStr">
        <is>
          <t>CAR000007</t>
        </is>
      </c>
      <c r="B77" s="35" t="inlineStr">
        <is>
          <t>Google Fi</t>
        </is>
      </c>
      <c r="C77" s="35" t="inlineStr">
        <is>
          <t>US</t>
        </is>
      </c>
      <c r="D77" s="35" t="n">
        <v>7</v>
      </c>
      <c r="E77" s="35" t="b">
        <v>1</v>
      </c>
      <c r="F77" s="38" t="n"/>
      <c r="G77" s="10" t="inlineStr">
        <is>
          <t>MOD000074</t>
        </is>
      </c>
      <c r="H77" s="31" t="inlineStr">
        <is>
          <t>MFG001</t>
        </is>
      </c>
      <c r="I77" s="31" t="inlineStr">
        <is>
          <t>DF005</t>
        </is>
      </c>
      <c r="J77" s="31">
        <f>XLOOKUP([@ManufacturerID],tblManufacturerIDCrosswalk[LegacyManufacturerID],tblManufacturerIDCrosswalk[CanonicalManufacturerID],"")</f>
        <v/>
      </c>
      <c r="K77" s="33">
        <f>XLOOKUP([@DeviceFamilyID],tblDeviceFamilyIDCrosswalk[LegacyDeviceFamilyID],tblDeviceFamilyIDCrosswalk[CanonicalDeviceFamilyID],"")</f>
        <v/>
      </c>
      <c r="L77" s="33">
        <f>XLOOKUP([@DeviceTypeID],tblDeviceTypeIDCrosswalk[LegacyDeviceTypeID],tblDeviceTypeIDCrosswalk[CanonicalDeviceTypeID],"")</f>
        <v/>
      </c>
      <c r="M77" s="32">
        <f>XLOOKUP([@ManufacturerID],tblManufacturerIDCrosswalk[LegacyManufacturerID],tblManufacturerIDCrosswalk[MappingStatus],"No Crosswalk")</f>
        <v/>
      </c>
      <c r="N77" s="35">
        <f>XLOOKUP([@DeviceFamilyID],tblDeviceFamilyIDCrosswalk[LegacyDeviceFamilyID],tblDeviceFamilyIDCrosswalk[MappingStatus],"No Crosswalk")</f>
        <v/>
      </c>
      <c r="O77" s="35">
        <f>XLOOKUP([@DeviceTypeID],tblDeviceTypeIDCrosswalk[LegacyDeviceTypeID],tblDeviceTypeIDCrosswalk[MappingStatus],"No Crosswalk")</f>
        <v/>
      </c>
      <c r="P77">
        <f>IF(OR([@ManufacturerMappingStatus]&lt;&gt;"Approved",[@DeviceFamilyMappingStatus]&lt;&gt;"Approved",[@DeviceTypeMappingStatus]&lt;&gt;"Approved"),"Manual Review Required","Approved Crosswalk Available")</f>
        <v/>
      </c>
      <c r="Q77" t="inlineStr">
        <is>
          <t>Pending Review</t>
        </is>
      </c>
    </row>
    <row r="78" ht="21.5" customHeight="1" s="42">
      <c r="A78" s="35" t="inlineStr">
        <is>
          <t>CAR000008</t>
        </is>
      </c>
      <c r="B78" s="35" t="inlineStr">
        <is>
          <t>Xfinity Mobile</t>
        </is>
      </c>
      <c r="C78" s="35" t="inlineStr">
        <is>
          <t>US</t>
        </is>
      </c>
      <c r="D78" s="35" t="n">
        <v>8</v>
      </c>
      <c r="E78" s="35" t="b">
        <v>1</v>
      </c>
      <c r="F78" s="38" t="n"/>
      <c r="G78" s="10" t="inlineStr">
        <is>
          <t>MOD000075</t>
        </is>
      </c>
      <c r="H78" s="31" t="inlineStr">
        <is>
          <t>MFG001</t>
        </is>
      </c>
      <c r="I78" s="31" t="inlineStr">
        <is>
          <t>DF005</t>
        </is>
      </c>
      <c r="J78" s="31">
        <f>XLOOKUP([@ManufacturerID],tblManufacturerIDCrosswalk[LegacyManufacturerID],tblManufacturerIDCrosswalk[CanonicalManufacturerID],"")</f>
        <v/>
      </c>
      <c r="K78" s="33">
        <f>XLOOKUP([@DeviceFamilyID],tblDeviceFamilyIDCrosswalk[LegacyDeviceFamilyID],tblDeviceFamilyIDCrosswalk[CanonicalDeviceFamilyID],"")</f>
        <v/>
      </c>
      <c r="L78" s="33">
        <f>XLOOKUP([@DeviceTypeID],tblDeviceTypeIDCrosswalk[LegacyDeviceTypeID],tblDeviceTypeIDCrosswalk[CanonicalDeviceTypeID],"")</f>
        <v/>
      </c>
      <c r="M78" s="32">
        <f>XLOOKUP([@ManufacturerID],tblManufacturerIDCrosswalk[LegacyManufacturerID],tblManufacturerIDCrosswalk[MappingStatus],"No Crosswalk")</f>
        <v/>
      </c>
      <c r="N78" s="35">
        <f>XLOOKUP([@DeviceFamilyID],tblDeviceFamilyIDCrosswalk[LegacyDeviceFamilyID],tblDeviceFamilyIDCrosswalk[MappingStatus],"No Crosswalk")</f>
        <v/>
      </c>
      <c r="O78" s="35">
        <f>XLOOKUP([@DeviceTypeID],tblDeviceTypeIDCrosswalk[LegacyDeviceTypeID],tblDeviceTypeIDCrosswalk[MappingStatus],"No Crosswalk")</f>
        <v/>
      </c>
      <c r="P78">
        <f>IF(OR([@ManufacturerMappingStatus]&lt;&gt;"Approved",[@DeviceFamilyMappingStatus]&lt;&gt;"Approved",[@DeviceTypeMappingStatus]&lt;&gt;"Approved"),"Manual Review Required","Approved Crosswalk Available")</f>
        <v/>
      </c>
      <c r="Q78" t="inlineStr">
        <is>
          <t>Pending Review</t>
        </is>
      </c>
    </row>
    <row r="79" ht="21.5" customHeight="1" s="42">
      <c r="A79" s="35" t="inlineStr">
        <is>
          <t>CAR000009</t>
        </is>
      </c>
      <c r="B79" s="35" t="inlineStr">
        <is>
          <t>Spectrum Mobile</t>
        </is>
      </c>
      <c r="C79" s="35" t="inlineStr">
        <is>
          <t>US</t>
        </is>
      </c>
      <c r="D79" s="35" t="n">
        <v>9</v>
      </c>
      <c r="E79" s="35" t="b">
        <v>1</v>
      </c>
      <c r="F79" s="38" t="n"/>
      <c r="G79" s="10" t="inlineStr">
        <is>
          <t>MOD000076</t>
        </is>
      </c>
      <c r="H79" s="31" t="inlineStr">
        <is>
          <t>MFG001</t>
        </is>
      </c>
      <c r="I79" s="31" t="inlineStr">
        <is>
          <t>DF005</t>
        </is>
      </c>
      <c r="J79" s="31">
        <f>XLOOKUP([@ManufacturerID],tblManufacturerIDCrosswalk[LegacyManufacturerID],tblManufacturerIDCrosswalk[CanonicalManufacturerID],"")</f>
        <v/>
      </c>
      <c r="K79" s="33">
        <f>XLOOKUP([@DeviceFamilyID],tblDeviceFamilyIDCrosswalk[LegacyDeviceFamilyID],tblDeviceFamilyIDCrosswalk[CanonicalDeviceFamilyID],"")</f>
        <v/>
      </c>
      <c r="L79" s="33">
        <f>XLOOKUP([@DeviceTypeID],tblDeviceTypeIDCrosswalk[LegacyDeviceTypeID],tblDeviceTypeIDCrosswalk[CanonicalDeviceTypeID],"")</f>
        <v/>
      </c>
      <c r="M79" s="32">
        <f>XLOOKUP([@ManufacturerID],tblManufacturerIDCrosswalk[LegacyManufacturerID],tblManufacturerIDCrosswalk[MappingStatus],"No Crosswalk")</f>
        <v/>
      </c>
      <c r="N79" s="35">
        <f>XLOOKUP([@DeviceFamilyID],tblDeviceFamilyIDCrosswalk[LegacyDeviceFamilyID],tblDeviceFamilyIDCrosswalk[MappingStatus],"No Crosswalk")</f>
        <v/>
      </c>
      <c r="O79" s="35">
        <f>XLOOKUP([@DeviceTypeID],tblDeviceTypeIDCrosswalk[LegacyDeviceTypeID],tblDeviceTypeIDCrosswalk[MappingStatus],"No Crosswalk")</f>
        <v/>
      </c>
      <c r="P79">
        <f>IF(OR([@ManufacturerMappingStatus]&lt;&gt;"Approved",[@DeviceFamilyMappingStatus]&lt;&gt;"Approved",[@DeviceTypeMappingStatus]&lt;&gt;"Approved"),"Manual Review Required","Approved Crosswalk Available")</f>
        <v/>
      </c>
      <c r="Q79" t="inlineStr">
        <is>
          <t>Pending Review</t>
        </is>
      </c>
    </row>
    <row r="80" ht="21.5" customHeight="1" s="42">
      <c r="A80" s="35" t="inlineStr">
        <is>
          <t>CAR000010</t>
        </is>
      </c>
      <c r="B80" s="35" t="inlineStr">
        <is>
          <t>Mint Mobile</t>
        </is>
      </c>
      <c r="C80" s="35" t="inlineStr">
        <is>
          <t>US</t>
        </is>
      </c>
      <c r="D80" s="35" t="n">
        <v>10</v>
      </c>
      <c r="E80" s="35" t="b">
        <v>1</v>
      </c>
      <c r="F80" s="38" t="n"/>
      <c r="G80" s="10" t="inlineStr">
        <is>
          <t>MOD000077</t>
        </is>
      </c>
      <c r="H80" s="31" t="inlineStr">
        <is>
          <t>MFG001</t>
        </is>
      </c>
      <c r="I80" s="31" t="inlineStr">
        <is>
          <t>DF005</t>
        </is>
      </c>
      <c r="J80" s="31">
        <f>XLOOKUP([@ManufacturerID],tblManufacturerIDCrosswalk[LegacyManufacturerID],tblManufacturerIDCrosswalk[CanonicalManufacturerID],"")</f>
        <v/>
      </c>
      <c r="K80" s="33">
        <f>XLOOKUP([@DeviceFamilyID],tblDeviceFamilyIDCrosswalk[LegacyDeviceFamilyID],tblDeviceFamilyIDCrosswalk[CanonicalDeviceFamilyID],"")</f>
        <v/>
      </c>
      <c r="L80" s="33">
        <f>XLOOKUP([@DeviceTypeID],tblDeviceTypeIDCrosswalk[LegacyDeviceTypeID],tblDeviceTypeIDCrosswalk[CanonicalDeviceTypeID],"")</f>
        <v/>
      </c>
      <c r="M80" s="32">
        <f>XLOOKUP([@ManufacturerID],tblManufacturerIDCrosswalk[LegacyManufacturerID],tblManufacturerIDCrosswalk[MappingStatus],"No Crosswalk")</f>
        <v/>
      </c>
      <c r="N80" s="35">
        <f>XLOOKUP([@DeviceFamilyID],tblDeviceFamilyIDCrosswalk[LegacyDeviceFamilyID],tblDeviceFamilyIDCrosswalk[MappingStatus],"No Crosswalk")</f>
        <v/>
      </c>
      <c r="O80" s="35">
        <f>XLOOKUP([@DeviceTypeID],tblDeviceTypeIDCrosswalk[LegacyDeviceTypeID],tblDeviceTypeIDCrosswalk[MappingStatus],"No Crosswalk")</f>
        <v/>
      </c>
      <c r="P80">
        <f>IF(OR([@ManufacturerMappingStatus]&lt;&gt;"Approved",[@DeviceFamilyMappingStatus]&lt;&gt;"Approved",[@DeviceTypeMappingStatus]&lt;&gt;"Approved"),"Manual Review Required","Approved Crosswalk Available")</f>
        <v/>
      </c>
      <c r="Q80" t="inlineStr">
        <is>
          <t>Pending Review</t>
        </is>
      </c>
    </row>
    <row r="81" ht="21.5" customHeight="1" s="42">
      <c r="A81" s="36" t="n"/>
      <c r="B81" s="37" t="n"/>
      <c r="C81" s="37" t="n"/>
      <c r="D81" s="37" t="n"/>
      <c r="E81" s="38" t="n"/>
      <c r="F81" s="38" t="n"/>
      <c r="G81" s="10" t="inlineStr">
        <is>
          <t>MOD000078</t>
        </is>
      </c>
      <c r="H81" s="31" t="inlineStr">
        <is>
          <t>MFG001</t>
        </is>
      </c>
      <c r="I81" s="31" t="inlineStr">
        <is>
          <t>DF005</t>
        </is>
      </c>
      <c r="J81" s="31">
        <f>XLOOKUP([@ManufacturerID],tblManufacturerIDCrosswalk[LegacyManufacturerID],tblManufacturerIDCrosswalk[CanonicalManufacturerID],"")</f>
        <v/>
      </c>
      <c r="K81" s="33">
        <f>XLOOKUP([@DeviceFamilyID],tblDeviceFamilyIDCrosswalk[LegacyDeviceFamilyID],tblDeviceFamilyIDCrosswalk[CanonicalDeviceFamilyID],"")</f>
        <v/>
      </c>
      <c r="L81" s="33">
        <f>XLOOKUP([@DeviceTypeID],tblDeviceTypeIDCrosswalk[LegacyDeviceTypeID],tblDeviceTypeIDCrosswalk[CanonicalDeviceTypeID],"")</f>
        <v/>
      </c>
      <c r="M81" s="32">
        <f>XLOOKUP([@ManufacturerID],tblManufacturerIDCrosswalk[LegacyManufacturerID],tblManufacturerIDCrosswalk[MappingStatus],"No Crosswalk")</f>
        <v/>
      </c>
      <c r="N81" s="35">
        <f>XLOOKUP([@DeviceFamilyID],tblDeviceFamilyIDCrosswalk[LegacyDeviceFamilyID],tblDeviceFamilyIDCrosswalk[MappingStatus],"No Crosswalk")</f>
        <v/>
      </c>
      <c r="O81" s="35">
        <f>XLOOKUP([@DeviceTypeID],tblDeviceTypeIDCrosswalk[LegacyDeviceTypeID],tblDeviceTypeIDCrosswalk[MappingStatus],"No Crosswalk")</f>
        <v/>
      </c>
      <c r="P81">
        <f>IF(OR([@ManufacturerMappingStatus]&lt;&gt;"Approved",[@DeviceFamilyMappingStatus]&lt;&gt;"Approved",[@DeviceTypeMappingStatus]&lt;&gt;"Approved"),"Manual Review Required","Approved Crosswalk Available")</f>
        <v/>
      </c>
      <c r="Q81" t="inlineStr">
        <is>
          <t>Pending Review</t>
        </is>
      </c>
    </row>
    <row r="82" ht="21.5" customHeight="1" s="42">
      <c r="A82" s="45" t="inlineStr">
        <is>
          <t>OperatingSystemID</t>
        </is>
      </c>
      <c r="B82" s="45" t="inlineStr">
        <is>
          <t>OperatingSystem</t>
        </is>
      </c>
      <c r="C82" s="37" t="n"/>
      <c r="G82" s="10" t="inlineStr">
        <is>
          <t>MOD000079</t>
        </is>
      </c>
      <c r="H82" s="31" t="inlineStr">
        <is>
          <t>MFG001</t>
        </is>
      </c>
      <c r="I82" s="31" t="inlineStr">
        <is>
          <t>DF005</t>
        </is>
      </c>
      <c r="J82" s="31">
        <f>XLOOKUP([@ManufacturerID],tblManufacturerIDCrosswalk[LegacyManufacturerID],tblManufacturerIDCrosswalk[CanonicalManufacturerID],"")</f>
        <v/>
      </c>
      <c r="K82" s="33">
        <f>XLOOKUP([@DeviceFamilyID],tblDeviceFamilyIDCrosswalk[LegacyDeviceFamilyID],tblDeviceFamilyIDCrosswalk[CanonicalDeviceFamilyID],"")</f>
        <v/>
      </c>
      <c r="L82" s="33">
        <f>XLOOKUP([@DeviceTypeID],tblDeviceTypeIDCrosswalk[LegacyDeviceTypeID],tblDeviceTypeIDCrosswalk[CanonicalDeviceTypeID],"")</f>
        <v/>
      </c>
      <c r="M82" s="32">
        <f>XLOOKUP([@ManufacturerID],tblManufacturerIDCrosswalk[LegacyManufacturerID],tblManufacturerIDCrosswalk[MappingStatus],"No Crosswalk")</f>
        <v/>
      </c>
      <c r="N82" s="35">
        <f>XLOOKUP([@DeviceFamilyID],tblDeviceFamilyIDCrosswalk[LegacyDeviceFamilyID],tblDeviceFamilyIDCrosswalk[MappingStatus],"No Crosswalk")</f>
        <v/>
      </c>
      <c r="O82" s="35">
        <f>XLOOKUP([@DeviceTypeID],tblDeviceTypeIDCrosswalk[LegacyDeviceTypeID],tblDeviceTypeIDCrosswalk[MappingStatus],"No Crosswalk")</f>
        <v/>
      </c>
      <c r="P82">
        <f>IF(OR([@ManufacturerMappingStatus]&lt;&gt;"Approved",[@DeviceFamilyMappingStatus]&lt;&gt;"Approved",[@DeviceTypeMappingStatus]&lt;&gt;"Approved"),"Manual Review Required","Approved Crosswalk Available")</f>
        <v/>
      </c>
      <c r="Q82" t="inlineStr">
        <is>
          <t>Pending Review</t>
        </is>
      </c>
    </row>
    <row r="83" ht="21.5" customHeight="1" s="42">
      <c r="A83" s="37" t="inlineStr">
        <is>
          <t>OS000001</t>
        </is>
      </c>
      <c r="B83" s="35" t="inlineStr">
        <is>
          <t>Android</t>
        </is>
      </c>
      <c r="C83" s="37" t="n"/>
      <c r="G83" s="10" t="inlineStr">
        <is>
          <t>MOD000080</t>
        </is>
      </c>
      <c r="H83" s="31" t="inlineStr">
        <is>
          <t>MFG001</t>
        </is>
      </c>
      <c r="I83" s="31" t="inlineStr">
        <is>
          <t>DF005</t>
        </is>
      </c>
      <c r="J83" s="31">
        <f>XLOOKUP([@ManufacturerID],tblManufacturerIDCrosswalk[LegacyManufacturerID],tblManufacturerIDCrosswalk[CanonicalManufacturerID],"")</f>
        <v/>
      </c>
      <c r="K83" s="33">
        <f>XLOOKUP([@DeviceFamilyID],tblDeviceFamilyIDCrosswalk[LegacyDeviceFamilyID],tblDeviceFamilyIDCrosswalk[CanonicalDeviceFamilyID],"")</f>
        <v/>
      </c>
      <c r="L83" s="33">
        <f>XLOOKUP([@DeviceTypeID],tblDeviceTypeIDCrosswalk[LegacyDeviceTypeID],tblDeviceTypeIDCrosswalk[CanonicalDeviceTypeID],"")</f>
        <v/>
      </c>
      <c r="M83" s="32">
        <f>XLOOKUP([@ManufacturerID],tblManufacturerIDCrosswalk[LegacyManufacturerID],tblManufacturerIDCrosswalk[MappingStatus],"No Crosswalk")</f>
        <v/>
      </c>
      <c r="N83" s="35">
        <f>XLOOKUP([@DeviceFamilyID],tblDeviceFamilyIDCrosswalk[LegacyDeviceFamilyID],tblDeviceFamilyIDCrosswalk[MappingStatus],"No Crosswalk")</f>
        <v/>
      </c>
      <c r="O83" s="35">
        <f>XLOOKUP([@DeviceTypeID],tblDeviceTypeIDCrosswalk[LegacyDeviceTypeID],tblDeviceTypeIDCrosswalk[MappingStatus],"No Crosswalk")</f>
        <v/>
      </c>
      <c r="P83">
        <f>IF(OR([@ManufacturerMappingStatus]&lt;&gt;"Approved",[@DeviceFamilyMappingStatus]&lt;&gt;"Approved",[@DeviceTypeMappingStatus]&lt;&gt;"Approved"),"Manual Review Required","Approved Crosswalk Available")</f>
        <v/>
      </c>
      <c r="Q83" t="inlineStr">
        <is>
          <t>Pending Review</t>
        </is>
      </c>
    </row>
    <row r="84" ht="21.5" customHeight="1" s="42">
      <c r="A84" s="37" t="inlineStr">
        <is>
          <t>OS000002</t>
        </is>
      </c>
      <c r="B84" s="35" t="inlineStr">
        <is>
          <t>iOS</t>
        </is>
      </c>
      <c r="C84" s="37" t="n"/>
      <c r="G84" s="10" t="inlineStr">
        <is>
          <t>MOD000081</t>
        </is>
      </c>
      <c r="H84" s="31" t="inlineStr">
        <is>
          <t>MFG001</t>
        </is>
      </c>
      <c r="I84" s="31" t="inlineStr">
        <is>
          <t>DF005</t>
        </is>
      </c>
      <c r="J84" s="31">
        <f>XLOOKUP([@ManufacturerID],tblManufacturerIDCrosswalk[LegacyManufacturerID],tblManufacturerIDCrosswalk[CanonicalManufacturerID],"")</f>
        <v/>
      </c>
      <c r="K84" s="33">
        <f>XLOOKUP([@DeviceFamilyID],tblDeviceFamilyIDCrosswalk[LegacyDeviceFamilyID],tblDeviceFamilyIDCrosswalk[CanonicalDeviceFamilyID],"")</f>
        <v/>
      </c>
      <c r="L84" s="33">
        <f>XLOOKUP([@DeviceTypeID],tblDeviceTypeIDCrosswalk[LegacyDeviceTypeID],tblDeviceTypeIDCrosswalk[CanonicalDeviceTypeID],"")</f>
        <v/>
      </c>
      <c r="M84" s="32">
        <f>XLOOKUP([@ManufacturerID],tblManufacturerIDCrosswalk[LegacyManufacturerID],tblManufacturerIDCrosswalk[MappingStatus],"No Crosswalk")</f>
        <v/>
      </c>
      <c r="N84" s="35">
        <f>XLOOKUP([@DeviceFamilyID],tblDeviceFamilyIDCrosswalk[LegacyDeviceFamilyID],tblDeviceFamilyIDCrosswalk[MappingStatus],"No Crosswalk")</f>
        <v/>
      </c>
      <c r="O84" s="35">
        <f>XLOOKUP([@DeviceTypeID],tblDeviceTypeIDCrosswalk[LegacyDeviceTypeID],tblDeviceTypeIDCrosswalk[MappingStatus],"No Crosswalk")</f>
        <v/>
      </c>
      <c r="P84">
        <f>IF(OR([@ManufacturerMappingStatus]&lt;&gt;"Approved",[@DeviceFamilyMappingStatus]&lt;&gt;"Approved",[@DeviceTypeMappingStatus]&lt;&gt;"Approved"),"Manual Review Required","Approved Crosswalk Available")</f>
        <v/>
      </c>
      <c r="Q84" t="inlineStr">
        <is>
          <t>Pending Review</t>
        </is>
      </c>
    </row>
    <row r="85" ht="21.5" customHeight="1" s="42">
      <c r="A85" s="37" t="inlineStr">
        <is>
          <t>OS000003</t>
        </is>
      </c>
      <c r="B85" s="35" t="inlineStr">
        <is>
          <t>iPadOS</t>
        </is>
      </c>
      <c r="C85" s="37" t="n"/>
      <c r="G85" s="10" t="inlineStr">
        <is>
          <t>MOD000082</t>
        </is>
      </c>
      <c r="H85" s="31" t="inlineStr">
        <is>
          <t>MFG001</t>
        </is>
      </c>
      <c r="I85" s="31" t="inlineStr">
        <is>
          <t>DF005</t>
        </is>
      </c>
      <c r="J85" s="31">
        <f>XLOOKUP([@ManufacturerID],tblManufacturerIDCrosswalk[LegacyManufacturerID],tblManufacturerIDCrosswalk[CanonicalManufacturerID],"")</f>
        <v/>
      </c>
      <c r="K85" s="33">
        <f>XLOOKUP([@DeviceFamilyID],tblDeviceFamilyIDCrosswalk[LegacyDeviceFamilyID],tblDeviceFamilyIDCrosswalk[CanonicalDeviceFamilyID],"")</f>
        <v/>
      </c>
      <c r="L85" s="33">
        <f>XLOOKUP([@DeviceTypeID],tblDeviceTypeIDCrosswalk[LegacyDeviceTypeID],tblDeviceTypeIDCrosswalk[CanonicalDeviceTypeID],"")</f>
        <v/>
      </c>
      <c r="M85" s="32">
        <f>XLOOKUP([@ManufacturerID],tblManufacturerIDCrosswalk[LegacyManufacturerID],tblManufacturerIDCrosswalk[MappingStatus],"No Crosswalk")</f>
        <v/>
      </c>
      <c r="N85" s="35">
        <f>XLOOKUP([@DeviceFamilyID],tblDeviceFamilyIDCrosswalk[LegacyDeviceFamilyID],tblDeviceFamilyIDCrosswalk[MappingStatus],"No Crosswalk")</f>
        <v/>
      </c>
      <c r="O85" s="35">
        <f>XLOOKUP([@DeviceTypeID],tblDeviceTypeIDCrosswalk[LegacyDeviceTypeID],tblDeviceTypeIDCrosswalk[MappingStatus],"No Crosswalk")</f>
        <v/>
      </c>
      <c r="P85">
        <f>IF(OR([@ManufacturerMappingStatus]&lt;&gt;"Approved",[@DeviceFamilyMappingStatus]&lt;&gt;"Approved",[@DeviceTypeMappingStatus]&lt;&gt;"Approved"),"Manual Review Required","Approved Crosswalk Available")</f>
        <v/>
      </c>
      <c r="Q85" t="inlineStr">
        <is>
          <t>Pending Review</t>
        </is>
      </c>
    </row>
    <row r="86" ht="21.5" customHeight="1" s="42">
      <c r="A86" s="37" t="inlineStr">
        <is>
          <t>OS000004</t>
        </is>
      </c>
      <c r="B86" s="35" t="inlineStr">
        <is>
          <t>HarmonyOS</t>
        </is>
      </c>
      <c r="C86" s="37" t="n"/>
      <c r="G86" s="10" t="inlineStr">
        <is>
          <t>MOD000083</t>
        </is>
      </c>
      <c r="H86" s="31" t="inlineStr">
        <is>
          <t>MFG001</t>
        </is>
      </c>
      <c r="I86" s="31" t="inlineStr">
        <is>
          <t>DF005</t>
        </is>
      </c>
      <c r="J86" s="31">
        <f>XLOOKUP([@ManufacturerID],tblManufacturerIDCrosswalk[LegacyManufacturerID],tblManufacturerIDCrosswalk[CanonicalManufacturerID],"")</f>
        <v/>
      </c>
      <c r="K86" s="33">
        <f>XLOOKUP([@DeviceFamilyID],tblDeviceFamilyIDCrosswalk[LegacyDeviceFamilyID],tblDeviceFamilyIDCrosswalk[CanonicalDeviceFamilyID],"")</f>
        <v/>
      </c>
      <c r="L86" s="33">
        <f>XLOOKUP([@DeviceTypeID],tblDeviceTypeIDCrosswalk[LegacyDeviceTypeID],tblDeviceTypeIDCrosswalk[CanonicalDeviceTypeID],"")</f>
        <v/>
      </c>
      <c r="M86" s="32">
        <f>XLOOKUP([@ManufacturerID],tblManufacturerIDCrosswalk[LegacyManufacturerID],tblManufacturerIDCrosswalk[MappingStatus],"No Crosswalk")</f>
        <v/>
      </c>
      <c r="N86" s="35">
        <f>XLOOKUP([@DeviceFamilyID],tblDeviceFamilyIDCrosswalk[LegacyDeviceFamilyID],tblDeviceFamilyIDCrosswalk[MappingStatus],"No Crosswalk")</f>
        <v/>
      </c>
      <c r="O86" s="35">
        <f>XLOOKUP([@DeviceTypeID],tblDeviceTypeIDCrosswalk[LegacyDeviceTypeID],tblDeviceTypeIDCrosswalk[MappingStatus],"No Crosswalk")</f>
        <v/>
      </c>
      <c r="P86">
        <f>IF(OR([@ManufacturerMappingStatus]&lt;&gt;"Approved",[@DeviceFamilyMappingStatus]&lt;&gt;"Approved",[@DeviceTypeMappingStatus]&lt;&gt;"Approved"),"Manual Review Required","Approved Crosswalk Available")</f>
        <v/>
      </c>
      <c r="Q86" t="inlineStr">
        <is>
          <t>Pending Review</t>
        </is>
      </c>
    </row>
    <row r="87" ht="21.5" customHeight="1" s="42">
      <c r="A87" s="37" t="inlineStr">
        <is>
          <t>OS000005</t>
        </is>
      </c>
      <c r="B87" s="35" t="inlineStr">
        <is>
          <t>Windows</t>
        </is>
      </c>
      <c r="C87" s="37" t="n"/>
      <c r="G87" s="10" t="inlineStr">
        <is>
          <t>MOD000084</t>
        </is>
      </c>
      <c r="H87" s="31" t="inlineStr">
        <is>
          <t>MFG001</t>
        </is>
      </c>
      <c r="I87" s="31" t="inlineStr">
        <is>
          <t>DF005</t>
        </is>
      </c>
      <c r="J87" s="31">
        <f>XLOOKUP([@ManufacturerID],tblManufacturerIDCrosswalk[LegacyManufacturerID],tblManufacturerIDCrosswalk[CanonicalManufacturerID],"")</f>
        <v/>
      </c>
      <c r="K87" s="33">
        <f>XLOOKUP([@DeviceFamilyID],tblDeviceFamilyIDCrosswalk[LegacyDeviceFamilyID],tblDeviceFamilyIDCrosswalk[CanonicalDeviceFamilyID],"")</f>
        <v/>
      </c>
      <c r="L87" s="33">
        <f>XLOOKUP([@DeviceTypeID],tblDeviceTypeIDCrosswalk[LegacyDeviceTypeID],tblDeviceTypeIDCrosswalk[CanonicalDeviceTypeID],"")</f>
        <v/>
      </c>
      <c r="M87" s="32">
        <f>XLOOKUP([@ManufacturerID],tblManufacturerIDCrosswalk[LegacyManufacturerID],tblManufacturerIDCrosswalk[MappingStatus],"No Crosswalk")</f>
        <v/>
      </c>
      <c r="N87" s="35">
        <f>XLOOKUP([@DeviceFamilyID],tblDeviceFamilyIDCrosswalk[LegacyDeviceFamilyID],tblDeviceFamilyIDCrosswalk[MappingStatus],"No Crosswalk")</f>
        <v/>
      </c>
      <c r="O87" s="35">
        <f>XLOOKUP([@DeviceTypeID],tblDeviceTypeIDCrosswalk[LegacyDeviceTypeID],tblDeviceTypeIDCrosswalk[MappingStatus],"No Crosswalk")</f>
        <v/>
      </c>
      <c r="P87">
        <f>IF(OR([@ManufacturerMappingStatus]&lt;&gt;"Approved",[@DeviceFamilyMappingStatus]&lt;&gt;"Approved",[@DeviceTypeMappingStatus]&lt;&gt;"Approved"),"Manual Review Required","Approved Crosswalk Available")</f>
        <v/>
      </c>
      <c r="Q87" t="inlineStr">
        <is>
          <t>Pending Review</t>
        </is>
      </c>
    </row>
    <row r="88" ht="21.5" customHeight="1" s="42">
      <c r="A88" s="37" t="inlineStr">
        <is>
          <t>OS000006</t>
        </is>
      </c>
      <c r="B88" s="35" t="inlineStr">
        <is>
          <t>macOS</t>
        </is>
      </c>
      <c r="C88" s="37" t="n"/>
      <c r="G88" s="10" t="inlineStr">
        <is>
          <t>MOD000085</t>
        </is>
      </c>
      <c r="H88" s="31" t="inlineStr">
        <is>
          <t>MFG001</t>
        </is>
      </c>
      <c r="I88" s="31" t="inlineStr">
        <is>
          <t>DF006</t>
        </is>
      </c>
      <c r="J88" s="31">
        <f>XLOOKUP([@ManufacturerID],tblManufacturerIDCrosswalk[LegacyManufacturerID],tblManufacturerIDCrosswalk[CanonicalManufacturerID],"")</f>
        <v/>
      </c>
      <c r="K88" s="33">
        <f>XLOOKUP([@DeviceFamilyID],tblDeviceFamilyIDCrosswalk[LegacyDeviceFamilyID],tblDeviceFamilyIDCrosswalk[CanonicalDeviceFamilyID],"")</f>
        <v/>
      </c>
      <c r="L88" s="33">
        <f>XLOOKUP([@DeviceTypeID],tblDeviceTypeIDCrosswalk[LegacyDeviceTypeID],tblDeviceTypeIDCrosswalk[CanonicalDeviceTypeID],"")</f>
        <v/>
      </c>
      <c r="M88" s="32">
        <f>XLOOKUP([@ManufacturerID],tblManufacturerIDCrosswalk[LegacyManufacturerID],tblManufacturerIDCrosswalk[MappingStatus],"No Crosswalk")</f>
        <v/>
      </c>
      <c r="N88" s="35">
        <f>XLOOKUP([@DeviceFamilyID],tblDeviceFamilyIDCrosswalk[LegacyDeviceFamilyID],tblDeviceFamilyIDCrosswalk[MappingStatus],"No Crosswalk")</f>
        <v/>
      </c>
      <c r="O88" s="35">
        <f>XLOOKUP([@DeviceTypeID],tblDeviceTypeIDCrosswalk[LegacyDeviceTypeID],tblDeviceTypeIDCrosswalk[MappingStatus],"No Crosswalk")</f>
        <v/>
      </c>
      <c r="P88">
        <f>IF(OR([@ManufacturerMappingStatus]&lt;&gt;"Approved",[@DeviceFamilyMappingStatus]&lt;&gt;"Approved",[@DeviceTypeMappingStatus]&lt;&gt;"Approved"),"Manual Review Required","Approved Crosswalk Available")</f>
        <v/>
      </c>
      <c r="Q88" t="inlineStr">
        <is>
          <t>Pending Review</t>
        </is>
      </c>
    </row>
    <row r="89" ht="21.5" customHeight="1" s="42">
      <c r="A89" s="37" t="inlineStr">
        <is>
          <t>OS000007</t>
        </is>
      </c>
      <c r="B89" s="35" t="inlineStr">
        <is>
          <t>ChromeOS</t>
        </is>
      </c>
      <c r="C89" s="37" t="n"/>
      <c r="G89" s="10" t="inlineStr">
        <is>
          <t>MOD000086</t>
        </is>
      </c>
      <c r="H89" s="31" t="inlineStr">
        <is>
          <t>MFG001</t>
        </is>
      </c>
      <c r="I89" s="31" t="inlineStr">
        <is>
          <t>DF006</t>
        </is>
      </c>
      <c r="J89" s="31">
        <f>XLOOKUP([@ManufacturerID],tblManufacturerIDCrosswalk[LegacyManufacturerID],tblManufacturerIDCrosswalk[CanonicalManufacturerID],"")</f>
        <v/>
      </c>
      <c r="K89" s="33">
        <f>XLOOKUP([@DeviceFamilyID],tblDeviceFamilyIDCrosswalk[LegacyDeviceFamilyID],tblDeviceFamilyIDCrosswalk[CanonicalDeviceFamilyID],"")</f>
        <v/>
      </c>
      <c r="L89" s="33">
        <f>XLOOKUP([@DeviceTypeID],tblDeviceTypeIDCrosswalk[LegacyDeviceTypeID],tblDeviceTypeIDCrosswalk[CanonicalDeviceTypeID],"")</f>
        <v/>
      </c>
      <c r="M89" s="32">
        <f>XLOOKUP([@ManufacturerID],tblManufacturerIDCrosswalk[LegacyManufacturerID],tblManufacturerIDCrosswalk[MappingStatus],"No Crosswalk")</f>
        <v/>
      </c>
      <c r="N89" s="35">
        <f>XLOOKUP([@DeviceFamilyID],tblDeviceFamilyIDCrosswalk[LegacyDeviceFamilyID],tblDeviceFamilyIDCrosswalk[MappingStatus],"No Crosswalk")</f>
        <v/>
      </c>
      <c r="O89" s="35">
        <f>XLOOKUP([@DeviceTypeID],tblDeviceTypeIDCrosswalk[LegacyDeviceTypeID],tblDeviceTypeIDCrosswalk[MappingStatus],"No Crosswalk")</f>
        <v/>
      </c>
      <c r="P89">
        <f>IF(OR([@ManufacturerMappingStatus]&lt;&gt;"Approved",[@DeviceFamilyMappingStatus]&lt;&gt;"Approved",[@DeviceTypeMappingStatus]&lt;&gt;"Approved"),"Manual Review Required","Approved Crosswalk Available")</f>
        <v/>
      </c>
      <c r="Q89" t="inlineStr">
        <is>
          <t>Pending Review</t>
        </is>
      </c>
    </row>
    <row r="90" ht="21.5" customHeight="1" s="42">
      <c r="A90" s="37" t="inlineStr">
        <is>
          <t>OS000008</t>
        </is>
      </c>
      <c r="B90" s="35" t="inlineStr">
        <is>
          <t>Fire OS</t>
        </is>
      </c>
      <c r="C90" s="37" t="n"/>
      <c r="G90" s="10" t="inlineStr">
        <is>
          <t>MOD000087</t>
        </is>
      </c>
      <c r="H90" s="31" t="inlineStr">
        <is>
          <t>MFG001</t>
        </is>
      </c>
      <c r="I90" s="31" t="inlineStr">
        <is>
          <t>DF006</t>
        </is>
      </c>
      <c r="J90" s="31">
        <f>XLOOKUP([@ManufacturerID],tblManufacturerIDCrosswalk[LegacyManufacturerID],tblManufacturerIDCrosswalk[CanonicalManufacturerID],"")</f>
        <v/>
      </c>
      <c r="K90" s="33">
        <f>XLOOKUP([@DeviceFamilyID],tblDeviceFamilyIDCrosswalk[LegacyDeviceFamilyID],tblDeviceFamilyIDCrosswalk[CanonicalDeviceFamilyID],"")</f>
        <v/>
      </c>
      <c r="L90" s="33">
        <f>XLOOKUP([@DeviceTypeID],tblDeviceTypeIDCrosswalk[LegacyDeviceTypeID],tblDeviceTypeIDCrosswalk[CanonicalDeviceTypeID],"")</f>
        <v/>
      </c>
      <c r="M90" s="32">
        <f>XLOOKUP([@ManufacturerID],tblManufacturerIDCrosswalk[LegacyManufacturerID],tblManufacturerIDCrosswalk[MappingStatus],"No Crosswalk")</f>
        <v/>
      </c>
      <c r="N90" s="35">
        <f>XLOOKUP([@DeviceFamilyID],tblDeviceFamilyIDCrosswalk[LegacyDeviceFamilyID],tblDeviceFamilyIDCrosswalk[MappingStatus],"No Crosswalk")</f>
        <v/>
      </c>
      <c r="O90" s="35">
        <f>XLOOKUP([@DeviceTypeID],tblDeviceTypeIDCrosswalk[LegacyDeviceTypeID],tblDeviceTypeIDCrosswalk[MappingStatus],"No Crosswalk")</f>
        <v/>
      </c>
      <c r="P90">
        <f>IF(OR([@ManufacturerMappingStatus]&lt;&gt;"Approved",[@DeviceFamilyMappingStatus]&lt;&gt;"Approved",[@DeviceTypeMappingStatus]&lt;&gt;"Approved"),"Manual Review Required","Approved Crosswalk Available")</f>
        <v/>
      </c>
      <c r="Q90" t="inlineStr">
        <is>
          <t>Pending Review</t>
        </is>
      </c>
    </row>
    <row r="91" ht="21.5" customHeight="1" s="42">
      <c r="A91" s="37" t="inlineStr">
        <is>
          <t>OS000009</t>
        </is>
      </c>
      <c r="B91" s="35" t="inlineStr">
        <is>
          <t>SteamOS</t>
        </is>
      </c>
      <c r="C91" s="37" t="n"/>
      <c r="G91" s="10" t="inlineStr">
        <is>
          <t>MOD000088</t>
        </is>
      </c>
      <c r="H91" s="31" t="inlineStr">
        <is>
          <t>MFG001</t>
        </is>
      </c>
      <c r="I91" s="31" t="inlineStr">
        <is>
          <t>DF007</t>
        </is>
      </c>
      <c r="J91" s="31">
        <f>XLOOKUP([@ManufacturerID],tblManufacturerIDCrosswalk[LegacyManufacturerID],tblManufacturerIDCrosswalk[CanonicalManufacturerID],"")</f>
        <v/>
      </c>
      <c r="K91" s="33">
        <f>XLOOKUP([@DeviceFamilyID],tblDeviceFamilyIDCrosswalk[LegacyDeviceFamilyID],tblDeviceFamilyIDCrosswalk[CanonicalDeviceFamilyID],"")</f>
        <v/>
      </c>
      <c r="L91" s="33">
        <f>XLOOKUP([@DeviceTypeID],tblDeviceTypeIDCrosswalk[LegacyDeviceTypeID],tblDeviceTypeIDCrosswalk[CanonicalDeviceTypeID],"")</f>
        <v/>
      </c>
      <c r="M91" s="32">
        <f>XLOOKUP([@ManufacturerID],tblManufacturerIDCrosswalk[LegacyManufacturerID],tblManufacturerIDCrosswalk[MappingStatus],"No Crosswalk")</f>
        <v/>
      </c>
      <c r="N91" s="35">
        <f>XLOOKUP([@DeviceFamilyID],tblDeviceFamilyIDCrosswalk[LegacyDeviceFamilyID],tblDeviceFamilyIDCrosswalk[MappingStatus],"No Crosswalk")</f>
        <v/>
      </c>
      <c r="O91" s="35">
        <f>XLOOKUP([@DeviceTypeID],tblDeviceTypeIDCrosswalk[LegacyDeviceTypeID],tblDeviceTypeIDCrosswalk[MappingStatus],"No Crosswalk")</f>
        <v/>
      </c>
      <c r="P91">
        <f>IF(OR([@ManufacturerMappingStatus]&lt;&gt;"Approved",[@DeviceFamilyMappingStatus]&lt;&gt;"Approved",[@DeviceTypeMappingStatus]&lt;&gt;"Approved"),"Manual Review Required","Approved Crosswalk Available")</f>
        <v/>
      </c>
      <c r="Q91" t="inlineStr">
        <is>
          <t>Pending Review</t>
        </is>
      </c>
    </row>
    <row r="92" ht="21.5" customHeight="1" s="42">
      <c r="A92" s="37" t="inlineStr">
        <is>
          <t>OS000010</t>
        </is>
      </c>
      <c r="B92" s="35" t="inlineStr">
        <is>
          <t>Nintendo OS</t>
        </is>
      </c>
      <c r="C92" s="37" t="n"/>
      <c r="G92" s="10" t="inlineStr">
        <is>
          <t>MOD000089</t>
        </is>
      </c>
      <c r="H92" s="31" t="inlineStr">
        <is>
          <t>MFG001</t>
        </is>
      </c>
      <c r="I92" s="31" t="inlineStr">
        <is>
          <t>DF007</t>
        </is>
      </c>
      <c r="J92" s="31">
        <f>XLOOKUP([@ManufacturerID],tblManufacturerIDCrosswalk[LegacyManufacturerID],tblManufacturerIDCrosswalk[CanonicalManufacturerID],"")</f>
        <v/>
      </c>
      <c r="K92" s="33">
        <f>XLOOKUP([@DeviceFamilyID],tblDeviceFamilyIDCrosswalk[LegacyDeviceFamilyID],tblDeviceFamilyIDCrosswalk[CanonicalDeviceFamilyID],"")</f>
        <v/>
      </c>
      <c r="L92" s="33">
        <f>XLOOKUP([@DeviceTypeID],tblDeviceTypeIDCrosswalk[LegacyDeviceTypeID],tblDeviceTypeIDCrosswalk[CanonicalDeviceTypeID],"")</f>
        <v/>
      </c>
      <c r="M92" s="32">
        <f>XLOOKUP([@ManufacturerID],tblManufacturerIDCrosswalk[LegacyManufacturerID],tblManufacturerIDCrosswalk[MappingStatus],"No Crosswalk")</f>
        <v/>
      </c>
      <c r="N92" s="35">
        <f>XLOOKUP([@DeviceFamilyID],tblDeviceFamilyIDCrosswalk[LegacyDeviceFamilyID],tblDeviceFamilyIDCrosswalk[MappingStatus],"No Crosswalk")</f>
        <v/>
      </c>
      <c r="O92" s="35">
        <f>XLOOKUP([@DeviceTypeID],tblDeviceTypeIDCrosswalk[LegacyDeviceTypeID],tblDeviceTypeIDCrosswalk[MappingStatus],"No Crosswalk")</f>
        <v/>
      </c>
      <c r="P92">
        <f>IF(OR([@ManufacturerMappingStatus]&lt;&gt;"Approved",[@DeviceFamilyMappingStatus]&lt;&gt;"Approved",[@DeviceTypeMappingStatus]&lt;&gt;"Approved"),"Manual Review Required","Approved Crosswalk Available")</f>
        <v/>
      </c>
      <c r="Q92" t="inlineStr">
        <is>
          <t>Pending Review</t>
        </is>
      </c>
    </row>
    <row r="93" ht="21.5" customHeight="1" s="42">
      <c r="A93" s="37" t="inlineStr">
        <is>
          <t>OS000011</t>
        </is>
      </c>
      <c r="B93" s="35" t="inlineStr">
        <is>
          <t>PlayStation OS</t>
        </is>
      </c>
      <c r="C93" s="37" t="n"/>
      <c r="G93" s="10" t="inlineStr">
        <is>
          <t>MOD000090</t>
        </is>
      </c>
      <c r="H93" s="31" t="inlineStr">
        <is>
          <t>MFG001</t>
        </is>
      </c>
      <c r="I93" s="31" t="inlineStr">
        <is>
          <t>DF007</t>
        </is>
      </c>
      <c r="J93" s="31">
        <f>XLOOKUP([@ManufacturerID],tblManufacturerIDCrosswalk[LegacyManufacturerID],tblManufacturerIDCrosswalk[CanonicalManufacturerID],"")</f>
        <v/>
      </c>
      <c r="K93" s="33">
        <f>XLOOKUP([@DeviceFamilyID],tblDeviceFamilyIDCrosswalk[LegacyDeviceFamilyID],tblDeviceFamilyIDCrosswalk[CanonicalDeviceFamilyID],"")</f>
        <v/>
      </c>
      <c r="L93" s="33">
        <f>XLOOKUP([@DeviceTypeID],tblDeviceTypeIDCrosswalk[LegacyDeviceTypeID],tblDeviceTypeIDCrosswalk[CanonicalDeviceTypeID],"")</f>
        <v/>
      </c>
      <c r="M93" s="32">
        <f>XLOOKUP([@ManufacturerID],tblManufacturerIDCrosswalk[LegacyManufacturerID],tblManufacturerIDCrosswalk[MappingStatus],"No Crosswalk")</f>
        <v/>
      </c>
      <c r="N93" s="35">
        <f>XLOOKUP([@DeviceFamilyID],tblDeviceFamilyIDCrosswalk[LegacyDeviceFamilyID],tblDeviceFamilyIDCrosswalk[MappingStatus],"No Crosswalk")</f>
        <v/>
      </c>
      <c r="O93" s="35">
        <f>XLOOKUP([@DeviceTypeID],tblDeviceTypeIDCrosswalk[LegacyDeviceTypeID],tblDeviceTypeIDCrosswalk[MappingStatus],"No Crosswalk")</f>
        <v/>
      </c>
      <c r="P93">
        <f>IF(OR([@ManufacturerMappingStatus]&lt;&gt;"Approved",[@DeviceFamilyMappingStatus]&lt;&gt;"Approved",[@DeviceTypeMappingStatus]&lt;&gt;"Approved"),"Manual Review Required","Approved Crosswalk Available")</f>
        <v/>
      </c>
      <c r="Q93" t="inlineStr">
        <is>
          <t>Pending Review</t>
        </is>
      </c>
    </row>
    <row r="94" ht="21.5" customHeight="1" s="42">
      <c r="A94" s="37" t="inlineStr">
        <is>
          <t>OS000012</t>
        </is>
      </c>
      <c r="B94" s="35" t="inlineStr">
        <is>
          <t>Xbox OS</t>
        </is>
      </c>
      <c r="C94" s="37" t="n"/>
      <c r="G94" s="10" t="inlineStr">
        <is>
          <t>MOD000091</t>
        </is>
      </c>
      <c r="H94" s="31" t="inlineStr">
        <is>
          <t>MFG001</t>
        </is>
      </c>
      <c r="I94" s="31" t="inlineStr">
        <is>
          <t>DF007</t>
        </is>
      </c>
      <c r="J94" s="31">
        <f>XLOOKUP([@ManufacturerID],tblManufacturerIDCrosswalk[LegacyManufacturerID],tblManufacturerIDCrosswalk[CanonicalManufacturerID],"")</f>
        <v/>
      </c>
      <c r="K94" s="33">
        <f>XLOOKUP([@DeviceFamilyID],tblDeviceFamilyIDCrosswalk[LegacyDeviceFamilyID],tblDeviceFamilyIDCrosswalk[CanonicalDeviceFamilyID],"")</f>
        <v/>
      </c>
      <c r="L94" s="33">
        <f>XLOOKUP([@DeviceTypeID],tblDeviceTypeIDCrosswalk[LegacyDeviceTypeID],tblDeviceTypeIDCrosswalk[CanonicalDeviceTypeID],"")</f>
        <v/>
      </c>
      <c r="M94" s="32">
        <f>XLOOKUP([@ManufacturerID],tblManufacturerIDCrosswalk[LegacyManufacturerID],tblManufacturerIDCrosswalk[MappingStatus],"No Crosswalk")</f>
        <v/>
      </c>
      <c r="N94" s="35">
        <f>XLOOKUP([@DeviceFamilyID],tblDeviceFamilyIDCrosswalk[LegacyDeviceFamilyID],tblDeviceFamilyIDCrosswalk[MappingStatus],"No Crosswalk")</f>
        <v/>
      </c>
      <c r="O94" s="35">
        <f>XLOOKUP([@DeviceTypeID],tblDeviceTypeIDCrosswalk[LegacyDeviceTypeID],tblDeviceTypeIDCrosswalk[MappingStatus],"No Crosswalk")</f>
        <v/>
      </c>
      <c r="P94">
        <f>IF(OR([@ManufacturerMappingStatus]&lt;&gt;"Approved",[@DeviceFamilyMappingStatus]&lt;&gt;"Approved",[@DeviceTypeMappingStatus]&lt;&gt;"Approved"),"Manual Review Required","Approved Crosswalk Available")</f>
        <v/>
      </c>
      <c r="Q94" t="inlineStr">
        <is>
          <t>Pending Review</t>
        </is>
      </c>
    </row>
    <row r="95" ht="21.5" customHeight="1" s="42">
      <c r="A95" s="36" t="n"/>
      <c r="B95" s="37" t="n"/>
      <c r="C95" s="37" t="n"/>
      <c r="G95" s="10" t="inlineStr">
        <is>
          <t>MOD000092</t>
        </is>
      </c>
      <c r="H95" s="31" t="inlineStr">
        <is>
          <t>MFG001</t>
        </is>
      </c>
      <c r="I95" s="31" t="inlineStr">
        <is>
          <t>DF007</t>
        </is>
      </c>
      <c r="J95" s="31">
        <f>XLOOKUP([@ManufacturerID],tblManufacturerIDCrosswalk[LegacyManufacturerID],tblManufacturerIDCrosswalk[CanonicalManufacturerID],"")</f>
        <v/>
      </c>
      <c r="K95" s="33">
        <f>XLOOKUP([@DeviceFamilyID],tblDeviceFamilyIDCrosswalk[LegacyDeviceFamilyID],tblDeviceFamilyIDCrosswalk[CanonicalDeviceFamilyID],"")</f>
        <v/>
      </c>
      <c r="L95" s="33">
        <f>XLOOKUP([@DeviceTypeID],tblDeviceTypeIDCrosswalk[LegacyDeviceTypeID],tblDeviceTypeIDCrosswalk[CanonicalDeviceTypeID],"")</f>
        <v/>
      </c>
      <c r="M95" s="32">
        <f>XLOOKUP([@ManufacturerID],tblManufacturerIDCrosswalk[LegacyManufacturerID],tblManufacturerIDCrosswalk[MappingStatus],"No Crosswalk")</f>
        <v/>
      </c>
      <c r="N95" s="35">
        <f>XLOOKUP([@DeviceFamilyID],tblDeviceFamilyIDCrosswalk[LegacyDeviceFamilyID],tblDeviceFamilyIDCrosswalk[MappingStatus],"No Crosswalk")</f>
        <v/>
      </c>
      <c r="O95" s="35">
        <f>XLOOKUP([@DeviceTypeID],tblDeviceTypeIDCrosswalk[LegacyDeviceTypeID],tblDeviceTypeIDCrosswalk[MappingStatus],"No Crosswalk")</f>
        <v/>
      </c>
      <c r="P95">
        <f>IF(OR([@ManufacturerMappingStatus]&lt;&gt;"Approved",[@DeviceFamilyMappingStatus]&lt;&gt;"Approved",[@DeviceTypeMappingStatus]&lt;&gt;"Approved"),"Manual Review Required","Approved Crosswalk Available")</f>
        <v/>
      </c>
      <c r="Q95" t="inlineStr">
        <is>
          <t>Pending Review</t>
        </is>
      </c>
    </row>
    <row r="96" ht="21.5" customHeight="1" s="42">
      <c r="A96" s="45" t="inlineStr">
        <is>
          <t>ID</t>
        </is>
      </c>
      <c r="B96" s="45" t="inlineStr">
        <is>
          <t>Name</t>
        </is>
      </c>
      <c r="C96" s="45" t="inlineStr">
        <is>
          <t>Description</t>
        </is>
      </c>
      <c r="D96" s="45" t="inlineStr">
        <is>
          <t>DisplayOrder</t>
        </is>
      </c>
      <c r="E96" s="45" t="inlineStr">
        <is>
          <t>Active</t>
        </is>
      </c>
      <c r="G96" s="10" t="inlineStr">
        <is>
          <t>MOD000093</t>
        </is>
      </c>
      <c r="H96" s="31" t="inlineStr">
        <is>
          <t>MFG001</t>
        </is>
      </c>
      <c r="I96" s="31" t="inlineStr">
        <is>
          <t>DF007</t>
        </is>
      </c>
      <c r="J96" s="31">
        <f>XLOOKUP([@ManufacturerID],tblManufacturerIDCrosswalk[LegacyManufacturerID],tblManufacturerIDCrosswalk[CanonicalManufacturerID],"")</f>
        <v/>
      </c>
      <c r="K96" s="33">
        <f>XLOOKUP([@DeviceFamilyID],tblDeviceFamilyIDCrosswalk[LegacyDeviceFamilyID],tblDeviceFamilyIDCrosswalk[CanonicalDeviceFamilyID],"")</f>
        <v/>
      </c>
      <c r="L96" s="33">
        <f>XLOOKUP([@DeviceTypeID],tblDeviceTypeIDCrosswalk[LegacyDeviceTypeID],tblDeviceTypeIDCrosswalk[CanonicalDeviceTypeID],"")</f>
        <v/>
      </c>
      <c r="M96" s="32">
        <f>XLOOKUP([@ManufacturerID],tblManufacturerIDCrosswalk[LegacyManufacturerID],tblManufacturerIDCrosswalk[MappingStatus],"No Crosswalk")</f>
        <v/>
      </c>
      <c r="N96" s="35">
        <f>XLOOKUP([@DeviceFamilyID],tblDeviceFamilyIDCrosswalk[LegacyDeviceFamilyID],tblDeviceFamilyIDCrosswalk[MappingStatus],"No Crosswalk")</f>
        <v/>
      </c>
      <c r="O96" s="35">
        <f>XLOOKUP([@DeviceTypeID],tblDeviceTypeIDCrosswalk[LegacyDeviceTypeID],tblDeviceTypeIDCrosswalk[MappingStatus],"No Crosswalk")</f>
        <v/>
      </c>
      <c r="P96">
        <f>IF(OR([@ManufacturerMappingStatus]&lt;&gt;"Approved",[@DeviceFamilyMappingStatus]&lt;&gt;"Approved",[@DeviceTypeMappingStatus]&lt;&gt;"Approved"),"Manual Review Required","Approved Crosswalk Available")</f>
        <v/>
      </c>
      <c r="Q96" t="inlineStr">
        <is>
          <t>Pending Review</t>
        </is>
      </c>
    </row>
    <row r="97" ht="21.5" customHeight="1" s="42">
      <c r="A97" s="46" t="inlineStr">
        <is>
          <t>RAM000001</t>
        </is>
      </c>
      <c r="B97" s="46" t="inlineStr">
        <is>
          <t>4 GB</t>
        </is>
      </c>
      <c r="C97" s="46" t="inlineStr">
        <is>
          <t>4 GB</t>
        </is>
      </c>
      <c r="D97" s="46" t="n">
        <v>1</v>
      </c>
      <c r="E97" s="46" t="b">
        <v>1</v>
      </c>
      <c r="G97" s="10" t="inlineStr">
        <is>
          <t>MOD000094</t>
        </is>
      </c>
      <c r="H97" s="31" t="inlineStr">
        <is>
          <t>MFG001</t>
        </is>
      </c>
      <c r="I97" s="31" t="inlineStr">
        <is>
          <t>DF007</t>
        </is>
      </c>
      <c r="J97" s="31">
        <f>XLOOKUP([@ManufacturerID],tblManufacturerIDCrosswalk[LegacyManufacturerID],tblManufacturerIDCrosswalk[CanonicalManufacturerID],"")</f>
        <v/>
      </c>
      <c r="K97" s="33">
        <f>XLOOKUP([@DeviceFamilyID],tblDeviceFamilyIDCrosswalk[LegacyDeviceFamilyID],tblDeviceFamilyIDCrosswalk[CanonicalDeviceFamilyID],"")</f>
        <v/>
      </c>
      <c r="L97" s="33">
        <f>XLOOKUP([@DeviceTypeID],tblDeviceTypeIDCrosswalk[LegacyDeviceTypeID],tblDeviceTypeIDCrosswalk[CanonicalDeviceTypeID],"")</f>
        <v/>
      </c>
      <c r="M97" s="32">
        <f>XLOOKUP([@ManufacturerID],tblManufacturerIDCrosswalk[LegacyManufacturerID],tblManufacturerIDCrosswalk[MappingStatus],"No Crosswalk")</f>
        <v/>
      </c>
      <c r="N97" s="35">
        <f>XLOOKUP([@DeviceFamilyID],tblDeviceFamilyIDCrosswalk[LegacyDeviceFamilyID],tblDeviceFamilyIDCrosswalk[MappingStatus],"No Crosswalk")</f>
        <v/>
      </c>
      <c r="O97" s="35">
        <f>XLOOKUP([@DeviceTypeID],tblDeviceTypeIDCrosswalk[LegacyDeviceTypeID],tblDeviceTypeIDCrosswalk[MappingStatus],"No Crosswalk")</f>
        <v/>
      </c>
      <c r="P97">
        <f>IF(OR([@ManufacturerMappingStatus]&lt;&gt;"Approved",[@DeviceFamilyMappingStatus]&lt;&gt;"Approved",[@DeviceTypeMappingStatus]&lt;&gt;"Approved"),"Manual Review Required","Approved Crosswalk Available")</f>
        <v/>
      </c>
      <c r="Q97" t="inlineStr">
        <is>
          <t>Pending Review</t>
        </is>
      </c>
    </row>
    <row r="98" ht="21.5" customHeight="1" s="42">
      <c r="A98" s="46" t="inlineStr">
        <is>
          <t>RAM000002</t>
        </is>
      </c>
      <c r="B98" s="46" t="inlineStr">
        <is>
          <t>6 GB</t>
        </is>
      </c>
      <c r="C98" s="46" t="inlineStr">
        <is>
          <t>6 GB</t>
        </is>
      </c>
      <c r="D98" s="46" t="n">
        <v>2</v>
      </c>
      <c r="E98" s="46" t="b">
        <v>1</v>
      </c>
      <c r="G98" s="10" t="inlineStr">
        <is>
          <t>MOD000095</t>
        </is>
      </c>
      <c r="H98" s="31" t="inlineStr">
        <is>
          <t>MFG001</t>
        </is>
      </c>
      <c r="I98" s="31" t="inlineStr">
        <is>
          <t>DF007</t>
        </is>
      </c>
      <c r="J98" s="31">
        <f>XLOOKUP([@ManufacturerID],tblManufacturerIDCrosswalk[LegacyManufacturerID],tblManufacturerIDCrosswalk[CanonicalManufacturerID],"")</f>
        <v/>
      </c>
      <c r="K98" s="33">
        <f>XLOOKUP([@DeviceFamilyID],tblDeviceFamilyIDCrosswalk[LegacyDeviceFamilyID],tblDeviceFamilyIDCrosswalk[CanonicalDeviceFamilyID],"")</f>
        <v/>
      </c>
      <c r="L98" s="33">
        <f>XLOOKUP([@DeviceTypeID],tblDeviceTypeIDCrosswalk[LegacyDeviceTypeID],tblDeviceTypeIDCrosswalk[CanonicalDeviceTypeID],"")</f>
        <v/>
      </c>
      <c r="M98" s="32">
        <f>XLOOKUP([@ManufacturerID],tblManufacturerIDCrosswalk[LegacyManufacturerID],tblManufacturerIDCrosswalk[MappingStatus],"No Crosswalk")</f>
        <v/>
      </c>
      <c r="N98" s="35">
        <f>XLOOKUP([@DeviceFamilyID],tblDeviceFamilyIDCrosswalk[LegacyDeviceFamilyID],tblDeviceFamilyIDCrosswalk[MappingStatus],"No Crosswalk")</f>
        <v/>
      </c>
      <c r="O98" s="35">
        <f>XLOOKUP([@DeviceTypeID],tblDeviceTypeIDCrosswalk[LegacyDeviceTypeID],tblDeviceTypeIDCrosswalk[MappingStatus],"No Crosswalk")</f>
        <v/>
      </c>
      <c r="P98">
        <f>IF(OR([@ManufacturerMappingStatus]&lt;&gt;"Approved",[@DeviceFamilyMappingStatus]&lt;&gt;"Approved",[@DeviceTypeMappingStatus]&lt;&gt;"Approved"),"Manual Review Required","Approved Crosswalk Available")</f>
        <v/>
      </c>
      <c r="Q98" t="inlineStr">
        <is>
          <t>Pending Review</t>
        </is>
      </c>
    </row>
    <row r="99" ht="21.5" customHeight="1" s="42">
      <c r="A99" s="46" t="inlineStr">
        <is>
          <t>RAM000003</t>
        </is>
      </c>
      <c r="B99" s="46" t="inlineStr">
        <is>
          <t>8 GB</t>
        </is>
      </c>
      <c r="C99" s="46" t="inlineStr">
        <is>
          <t>8 GB</t>
        </is>
      </c>
      <c r="D99" s="46" t="n">
        <v>3</v>
      </c>
      <c r="E99" s="46" t="b">
        <v>1</v>
      </c>
      <c r="G99" s="10" t="inlineStr">
        <is>
          <t>MOD000096</t>
        </is>
      </c>
      <c r="H99" s="31" t="inlineStr">
        <is>
          <t>MFG001</t>
        </is>
      </c>
      <c r="I99" s="31" t="inlineStr">
        <is>
          <t>DF007</t>
        </is>
      </c>
      <c r="J99" s="31">
        <f>XLOOKUP([@ManufacturerID],tblManufacturerIDCrosswalk[LegacyManufacturerID],tblManufacturerIDCrosswalk[CanonicalManufacturerID],"")</f>
        <v/>
      </c>
      <c r="K99" s="33">
        <f>XLOOKUP([@DeviceFamilyID],tblDeviceFamilyIDCrosswalk[LegacyDeviceFamilyID],tblDeviceFamilyIDCrosswalk[CanonicalDeviceFamilyID],"")</f>
        <v/>
      </c>
      <c r="L99" s="33">
        <f>XLOOKUP([@DeviceTypeID],tblDeviceTypeIDCrosswalk[LegacyDeviceTypeID],tblDeviceTypeIDCrosswalk[CanonicalDeviceTypeID],"")</f>
        <v/>
      </c>
      <c r="M99" s="32">
        <f>XLOOKUP([@ManufacturerID],tblManufacturerIDCrosswalk[LegacyManufacturerID],tblManufacturerIDCrosswalk[MappingStatus],"No Crosswalk")</f>
        <v/>
      </c>
      <c r="N99" s="35">
        <f>XLOOKUP([@DeviceFamilyID],tblDeviceFamilyIDCrosswalk[LegacyDeviceFamilyID],tblDeviceFamilyIDCrosswalk[MappingStatus],"No Crosswalk")</f>
        <v/>
      </c>
      <c r="O99" s="35">
        <f>XLOOKUP([@DeviceTypeID],tblDeviceTypeIDCrosswalk[LegacyDeviceTypeID],tblDeviceTypeIDCrosswalk[MappingStatus],"No Crosswalk")</f>
        <v/>
      </c>
      <c r="P99">
        <f>IF(OR([@ManufacturerMappingStatus]&lt;&gt;"Approved",[@DeviceFamilyMappingStatus]&lt;&gt;"Approved",[@DeviceTypeMappingStatus]&lt;&gt;"Approved"),"Manual Review Required","Approved Crosswalk Available")</f>
        <v/>
      </c>
      <c r="Q99" t="inlineStr">
        <is>
          <t>Pending Review</t>
        </is>
      </c>
    </row>
    <row r="100" ht="21.5" customHeight="1" s="42">
      <c r="A100" s="46" t="inlineStr">
        <is>
          <t>RAM000004</t>
        </is>
      </c>
      <c r="B100" s="46" t="inlineStr">
        <is>
          <t>12 GB</t>
        </is>
      </c>
      <c r="C100" s="46" t="inlineStr">
        <is>
          <t>12 GB</t>
        </is>
      </c>
      <c r="D100" s="46" t="n">
        <v>4</v>
      </c>
      <c r="E100" s="46" t="b">
        <v>1</v>
      </c>
      <c r="F100" s="38" t="n"/>
      <c r="G100" s="10" t="inlineStr">
        <is>
          <t>MOD000097</t>
        </is>
      </c>
      <c r="H100" s="31" t="inlineStr">
        <is>
          <t>MFG001</t>
        </is>
      </c>
      <c r="I100" s="31" t="inlineStr">
        <is>
          <t>DF008</t>
        </is>
      </c>
      <c r="J100" s="31">
        <f>XLOOKUP([@ManufacturerID],tblManufacturerIDCrosswalk[LegacyManufacturerID],tblManufacturerIDCrosswalk[CanonicalManufacturerID],"")</f>
        <v/>
      </c>
      <c r="K100" s="33">
        <f>XLOOKUP([@DeviceFamilyID],tblDeviceFamilyIDCrosswalk[LegacyDeviceFamilyID],tblDeviceFamilyIDCrosswalk[CanonicalDeviceFamilyID],"")</f>
        <v/>
      </c>
      <c r="L100" s="33">
        <f>XLOOKUP([@DeviceTypeID],tblDeviceTypeIDCrosswalk[LegacyDeviceTypeID],tblDeviceTypeIDCrosswalk[CanonicalDeviceTypeID],"")</f>
        <v/>
      </c>
      <c r="M100" s="32">
        <f>XLOOKUP([@ManufacturerID],tblManufacturerIDCrosswalk[LegacyManufacturerID],tblManufacturerIDCrosswalk[MappingStatus],"No Crosswalk")</f>
        <v/>
      </c>
      <c r="N100" s="35">
        <f>XLOOKUP([@DeviceFamilyID],tblDeviceFamilyIDCrosswalk[LegacyDeviceFamilyID],tblDeviceFamilyIDCrosswalk[MappingStatus],"No Crosswalk")</f>
        <v/>
      </c>
      <c r="O100" s="35">
        <f>XLOOKUP([@DeviceTypeID],tblDeviceTypeIDCrosswalk[LegacyDeviceTypeID],tblDeviceTypeIDCrosswalk[MappingStatus],"No Crosswalk")</f>
        <v/>
      </c>
      <c r="P100">
        <f>IF(OR([@ManufacturerMappingStatus]&lt;&gt;"Approved",[@DeviceFamilyMappingStatus]&lt;&gt;"Approved",[@DeviceTypeMappingStatus]&lt;&gt;"Approved"),"Manual Review Required","Approved Crosswalk Available")</f>
        <v/>
      </c>
      <c r="Q100" t="inlineStr">
        <is>
          <t>Pending Review</t>
        </is>
      </c>
    </row>
    <row r="101" ht="21.5" customHeight="1" s="42">
      <c r="A101" s="46" t="inlineStr">
        <is>
          <t>RAM000005</t>
        </is>
      </c>
      <c r="B101" s="46" t="inlineStr">
        <is>
          <t>16 GB</t>
        </is>
      </c>
      <c r="C101" s="46" t="inlineStr">
        <is>
          <t>16 GB</t>
        </is>
      </c>
      <c r="D101" s="46" t="n">
        <v>5</v>
      </c>
      <c r="E101" s="46" t="b">
        <v>1</v>
      </c>
      <c r="G101" s="10" t="inlineStr">
        <is>
          <t>MOD000098</t>
        </is>
      </c>
      <c r="H101" s="31" t="inlineStr">
        <is>
          <t>MFG001</t>
        </is>
      </c>
      <c r="I101" s="31" t="inlineStr">
        <is>
          <t>DF008</t>
        </is>
      </c>
      <c r="J101" s="31">
        <f>XLOOKUP([@ManufacturerID],tblManufacturerIDCrosswalk[LegacyManufacturerID],tblManufacturerIDCrosswalk[CanonicalManufacturerID],"")</f>
        <v/>
      </c>
      <c r="K101" s="33">
        <f>XLOOKUP([@DeviceFamilyID],tblDeviceFamilyIDCrosswalk[LegacyDeviceFamilyID],tblDeviceFamilyIDCrosswalk[CanonicalDeviceFamilyID],"")</f>
        <v/>
      </c>
      <c r="L101" s="33">
        <f>XLOOKUP([@DeviceTypeID],tblDeviceTypeIDCrosswalk[LegacyDeviceTypeID],tblDeviceTypeIDCrosswalk[CanonicalDeviceTypeID],"")</f>
        <v/>
      </c>
      <c r="M101" s="32">
        <f>XLOOKUP([@ManufacturerID],tblManufacturerIDCrosswalk[LegacyManufacturerID],tblManufacturerIDCrosswalk[MappingStatus],"No Crosswalk")</f>
        <v/>
      </c>
      <c r="N101" s="35">
        <f>XLOOKUP([@DeviceFamilyID],tblDeviceFamilyIDCrosswalk[LegacyDeviceFamilyID],tblDeviceFamilyIDCrosswalk[MappingStatus],"No Crosswalk")</f>
        <v/>
      </c>
      <c r="O101" s="35">
        <f>XLOOKUP([@DeviceTypeID],tblDeviceTypeIDCrosswalk[LegacyDeviceTypeID],tblDeviceTypeIDCrosswalk[MappingStatus],"No Crosswalk")</f>
        <v/>
      </c>
      <c r="P101">
        <f>IF(OR([@ManufacturerMappingStatus]&lt;&gt;"Approved",[@DeviceFamilyMappingStatus]&lt;&gt;"Approved",[@DeviceTypeMappingStatus]&lt;&gt;"Approved"),"Manual Review Required","Approved Crosswalk Available")</f>
        <v/>
      </c>
      <c r="Q101" t="inlineStr">
        <is>
          <t>Pending Review</t>
        </is>
      </c>
    </row>
    <row r="102" ht="21.5" customHeight="1" s="42">
      <c r="A102" s="46" t="inlineStr">
        <is>
          <t>RAM000006</t>
        </is>
      </c>
      <c r="B102" s="46" t="inlineStr">
        <is>
          <t>24 GB</t>
        </is>
      </c>
      <c r="C102" s="46" t="inlineStr">
        <is>
          <t>24 GB</t>
        </is>
      </c>
      <c r="D102" s="46" t="n">
        <v>6</v>
      </c>
      <c r="E102" s="46" t="b">
        <v>1</v>
      </c>
      <c r="G102" s="10" t="inlineStr">
        <is>
          <t>MOD000099</t>
        </is>
      </c>
      <c r="H102" s="31" t="inlineStr">
        <is>
          <t>MFG001</t>
        </is>
      </c>
      <c r="I102" s="31" t="inlineStr">
        <is>
          <t>DF008</t>
        </is>
      </c>
      <c r="J102" s="31">
        <f>XLOOKUP([@ManufacturerID],tblManufacturerIDCrosswalk[LegacyManufacturerID],tblManufacturerIDCrosswalk[CanonicalManufacturerID],"")</f>
        <v/>
      </c>
      <c r="K102" s="33">
        <f>XLOOKUP([@DeviceFamilyID],tblDeviceFamilyIDCrosswalk[LegacyDeviceFamilyID],tblDeviceFamilyIDCrosswalk[CanonicalDeviceFamilyID],"")</f>
        <v/>
      </c>
      <c r="L102" s="33">
        <f>XLOOKUP([@DeviceTypeID],tblDeviceTypeIDCrosswalk[LegacyDeviceTypeID],tblDeviceTypeIDCrosswalk[CanonicalDeviceTypeID],"")</f>
        <v/>
      </c>
      <c r="M102" s="32">
        <f>XLOOKUP([@ManufacturerID],tblManufacturerIDCrosswalk[LegacyManufacturerID],tblManufacturerIDCrosswalk[MappingStatus],"No Crosswalk")</f>
        <v/>
      </c>
      <c r="N102" s="35">
        <f>XLOOKUP([@DeviceFamilyID],tblDeviceFamilyIDCrosswalk[LegacyDeviceFamilyID],tblDeviceFamilyIDCrosswalk[MappingStatus],"No Crosswalk")</f>
        <v/>
      </c>
      <c r="O102" s="35">
        <f>XLOOKUP([@DeviceTypeID],tblDeviceTypeIDCrosswalk[LegacyDeviceTypeID],tblDeviceTypeIDCrosswalk[MappingStatus],"No Crosswalk")</f>
        <v/>
      </c>
      <c r="P102">
        <f>IF(OR([@ManufacturerMappingStatus]&lt;&gt;"Approved",[@DeviceFamilyMappingStatus]&lt;&gt;"Approved",[@DeviceTypeMappingStatus]&lt;&gt;"Approved"),"Manual Review Required","Approved Crosswalk Available")</f>
        <v/>
      </c>
      <c r="Q102" t="inlineStr">
        <is>
          <t>Pending Review</t>
        </is>
      </c>
    </row>
    <row r="103" ht="21.5" customHeight="1" s="42">
      <c r="A103" s="46" t="inlineStr">
        <is>
          <t>RAM000007</t>
        </is>
      </c>
      <c r="B103" s="46" t="inlineStr">
        <is>
          <t>32 GB</t>
        </is>
      </c>
      <c r="C103" s="46" t="inlineStr">
        <is>
          <t>32 GB</t>
        </is>
      </c>
      <c r="D103" s="46" t="n">
        <v>7</v>
      </c>
      <c r="E103" s="46" t="b">
        <v>1</v>
      </c>
      <c r="G103" s="10" t="inlineStr">
        <is>
          <t>MOD000100</t>
        </is>
      </c>
      <c r="H103" s="31" t="inlineStr">
        <is>
          <t>MFG001</t>
        </is>
      </c>
      <c r="I103" s="31" t="inlineStr">
        <is>
          <t>DF008</t>
        </is>
      </c>
      <c r="J103" s="31">
        <f>XLOOKUP([@ManufacturerID],tblManufacturerIDCrosswalk[LegacyManufacturerID],tblManufacturerIDCrosswalk[CanonicalManufacturerID],"")</f>
        <v/>
      </c>
      <c r="K103" s="33">
        <f>XLOOKUP([@DeviceFamilyID],tblDeviceFamilyIDCrosswalk[LegacyDeviceFamilyID],tblDeviceFamilyIDCrosswalk[CanonicalDeviceFamilyID],"")</f>
        <v/>
      </c>
      <c r="L103" s="33">
        <f>XLOOKUP([@DeviceTypeID],tblDeviceTypeIDCrosswalk[LegacyDeviceTypeID],tblDeviceTypeIDCrosswalk[CanonicalDeviceTypeID],"")</f>
        <v/>
      </c>
      <c r="M103" s="32">
        <f>XLOOKUP([@ManufacturerID],tblManufacturerIDCrosswalk[LegacyManufacturerID],tblManufacturerIDCrosswalk[MappingStatus],"No Crosswalk")</f>
        <v/>
      </c>
      <c r="N103" s="35">
        <f>XLOOKUP([@DeviceFamilyID],tblDeviceFamilyIDCrosswalk[LegacyDeviceFamilyID],tblDeviceFamilyIDCrosswalk[MappingStatus],"No Crosswalk")</f>
        <v/>
      </c>
      <c r="O103" s="35">
        <f>XLOOKUP([@DeviceTypeID],tblDeviceTypeIDCrosswalk[LegacyDeviceTypeID],tblDeviceTypeIDCrosswalk[MappingStatus],"No Crosswalk")</f>
        <v/>
      </c>
      <c r="P103">
        <f>IF(OR([@ManufacturerMappingStatus]&lt;&gt;"Approved",[@DeviceFamilyMappingStatus]&lt;&gt;"Approved",[@DeviceTypeMappingStatus]&lt;&gt;"Approved"),"Manual Review Required","Approved Crosswalk Available")</f>
        <v/>
      </c>
      <c r="Q103" t="inlineStr">
        <is>
          <t>Pending Review</t>
        </is>
      </c>
    </row>
    <row r="104" ht="21.5" customHeight="1" s="42">
      <c r="C104" s="37" t="n"/>
      <c r="G104" s="10" t="inlineStr">
        <is>
          <t>MOD000101</t>
        </is>
      </c>
      <c r="H104" s="31" t="inlineStr">
        <is>
          <t>MFG001</t>
        </is>
      </c>
      <c r="I104" s="31" t="inlineStr">
        <is>
          <t>DF008</t>
        </is>
      </c>
      <c r="J104" s="31">
        <f>XLOOKUP([@ManufacturerID],tblManufacturerIDCrosswalk[LegacyManufacturerID],tblManufacturerIDCrosswalk[CanonicalManufacturerID],"")</f>
        <v/>
      </c>
      <c r="K104" s="33">
        <f>XLOOKUP([@DeviceFamilyID],tblDeviceFamilyIDCrosswalk[LegacyDeviceFamilyID],tblDeviceFamilyIDCrosswalk[CanonicalDeviceFamilyID],"")</f>
        <v/>
      </c>
      <c r="L104" s="33">
        <f>XLOOKUP([@DeviceTypeID],tblDeviceTypeIDCrosswalk[LegacyDeviceTypeID],tblDeviceTypeIDCrosswalk[CanonicalDeviceTypeID],"")</f>
        <v/>
      </c>
      <c r="M104" s="32">
        <f>XLOOKUP([@ManufacturerID],tblManufacturerIDCrosswalk[LegacyManufacturerID],tblManufacturerIDCrosswalk[MappingStatus],"No Crosswalk")</f>
        <v/>
      </c>
      <c r="N104" s="35">
        <f>XLOOKUP([@DeviceFamilyID],tblDeviceFamilyIDCrosswalk[LegacyDeviceFamilyID],tblDeviceFamilyIDCrosswalk[MappingStatus],"No Crosswalk")</f>
        <v/>
      </c>
      <c r="O104" s="35">
        <f>XLOOKUP([@DeviceTypeID],tblDeviceTypeIDCrosswalk[LegacyDeviceTypeID],tblDeviceTypeIDCrosswalk[MappingStatus],"No Crosswalk")</f>
        <v/>
      </c>
      <c r="P104">
        <f>IF(OR([@ManufacturerMappingStatus]&lt;&gt;"Approved",[@DeviceFamilyMappingStatus]&lt;&gt;"Approved",[@DeviceTypeMappingStatus]&lt;&gt;"Approved"),"Manual Review Required","Approved Crosswalk Available")</f>
        <v/>
      </c>
      <c r="Q104" t="inlineStr">
        <is>
          <t>Pending Review</t>
        </is>
      </c>
    </row>
    <row r="105" ht="21.5" customHeight="1" s="42">
      <c r="A105" s="45" t="inlineStr">
        <is>
          <t>ID</t>
        </is>
      </c>
      <c r="B105" s="45" t="inlineStr">
        <is>
          <t>Name</t>
        </is>
      </c>
      <c r="C105" s="45" t="inlineStr">
        <is>
          <t>Description</t>
        </is>
      </c>
      <c r="D105" s="45" t="inlineStr">
        <is>
          <t>DisplayOrder</t>
        </is>
      </c>
      <c r="E105" s="45" t="inlineStr">
        <is>
          <t>Active</t>
        </is>
      </c>
      <c r="G105" s="10" t="inlineStr">
        <is>
          <t>MOD000102</t>
        </is>
      </c>
      <c r="H105" s="31" t="inlineStr">
        <is>
          <t>MFG001</t>
        </is>
      </c>
      <c r="I105" s="31" t="inlineStr">
        <is>
          <t>DF008</t>
        </is>
      </c>
      <c r="J105" s="31">
        <f>XLOOKUP([@ManufacturerID],tblManufacturerIDCrosswalk[LegacyManufacturerID],tblManufacturerIDCrosswalk[CanonicalManufacturerID],"")</f>
        <v/>
      </c>
      <c r="K105" s="33">
        <f>XLOOKUP([@DeviceFamilyID],tblDeviceFamilyIDCrosswalk[LegacyDeviceFamilyID],tblDeviceFamilyIDCrosswalk[CanonicalDeviceFamilyID],"")</f>
        <v/>
      </c>
      <c r="L105" s="33">
        <f>XLOOKUP([@DeviceTypeID],tblDeviceTypeIDCrosswalk[LegacyDeviceTypeID],tblDeviceTypeIDCrosswalk[CanonicalDeviceTypeID],"")</f>
        <v/>
      </c>
      <c r="M105" s="32">
        <f>XLOOKUP([@ManufacturerID],tblManufacturerIDCrosswalk[LegacyManufacturerID],tblManufacturerIDCrosswalk[MappingStatus],"No Crosswalk")</f>
        <v/>
      </c>
      <c r="N105" s="35">
        <f>XLOOKUP([@DeviceFamilyID],tblDeviceFamilyIDCrosswalk[LegacyDeviceFamilyID],tblDeviceFamilyIDCrosswalk[MappingStatus],"No Crosswalk")</f>
        <v/>
      </c>
      <c r="O105" s="35">
        <f>XLOOKUP([@DeviceTypeID],tblDeviceTypeIDCrosswalk[LegacyDeviceTypeID],tblDeviceTypeIDCrosswalk[MappingStatus],"No Crosswalk")</f>
        <v/>
      </c>
      <c r="P105">
        <f>IF(OR([@ManufacturerMappingStatus]&lt;&gt;"Approved",[@DeviceFamilyMappingStatus]&lt;&gt;"Approved",[@DeviceTypeMappingStatus]&lt;&gt;"Approved"),"Manual Review Required","Approved Crosswalk Available")</f>
        <v/>
      </c>
      <c r="Q105" t="inlineStr">
        <is>
          <t>Pending Review</t>
        </is>
      </c>
    </row>
    <row r="106" ht="21.5" customHeight="1" s="42">
      <c r="A106" s="46" t="inlineStr">
        <is>
          <t>STO000001</t>
        </is>
      </c>
      <c r="B106" s="46" t="inlineStr">
        <is>
          <t>64 GB</t>
        </is>
      </c>
      <c r="C106" s="46" t="inlineStr">
        <is>
          <t>64 GB</t>
        </is>
      </c>
      <c r="D106" s="46" t="n">
        <v>1</v>
      </c>
      <c r="E106" s="46" t="b">
        <v>1</v>
      </c>
      <c r="G106" s="10" t="inlineStr">
        <is>
          <t>MOD000103</t>
        </is>
      </c>
      <c r="H106" s="31" t="inlineStr">
        <is>
          <t>MFG001</t>
        </is>
      </c>
      <c r="I106" s="31" t="inlineStr">
        <is>
          <t>DF009</t>
        </is>
      </c>
      <c r="J106" s="31">
        <f>XLOOKUP([@ManufacturerID],tblManufacturerIDCrosswalk[LegacyManufacturerID],tblManufacturerIDCrosswalk[CanonicalManufacturerID],"")</f>
        <v/>
      </c>
      <c r="K106" s="33">
        <f>XLOOKUP([@DeviceFamilyID],tblDeviceFamilyIDCrosswalk[LegacyDeviceFamilyID],tblDeviceFamilyIDCrosswalk[CanonicalDeviceFamilyID],"")</f>
        <v/>
      </c>
      <c r="L106" s="33">
        <f>XLOOKUP([@DeviceTypeID],tblDeviceTypeIDCrosswalk[LegacyDeviceTypeID],tblDeviceTypeIDCrosswalk[CanonicalDeviceTypeID],"")</f>
        <v/>
      </c>
      <c r="M106" s="32">
        <f>XLOOKUP([@ManufacturerID],tblManufacturerIDCrosswalk[LegacyManufacturerID],tblManufacturerIDCrosswalk[MappingStatus],"No Crosswalk")</f>
        <v/>
      </c>
      <c r="N106" s="35">
        <f>XLOOKUP([@DeviceFamilyID],tblDeviceFamilyIDCrosswalk[LegacyDeviceFamilyID],tblDeviceFamilyIDCrosswalk[MappingStatus],"No Crosswalk")</f>
        <v/>
      </c>
      <c r="O106" s="35">
        <f>XLOOKUP([@DeviceTypeID],tblDeviceTypeIDCrosswalk[LegacyDeviceTypeID],tblDeviceTypeIDCrosswalk[MappingStatus],"No Crosswalk")</f>
        <v/>
      </c>
      <c r="P106">
        <f>IF(OR([@ManufacturerMappingStatus]&lt;&gt;"Approved",[@DeviceFamilyMappingStatus]&lt;&gt;"Approved",[@DeviceTypeMappingStatus]&lt;&gt;"Approved"),"Manual Review Required","Approved Crosswalk Available")</f>
        <v/>
      </c>
      <c r="Q106" t="inlineStr">
        <is>
          <t>Pending Review</t>
        </is>
      </c>
    </row>
    <row r="107" ht="21.5" customHeight="1" s="42">
      <c r="A107" s="46" t="inlineStr">
        <is>
          <t>STO000002</t>
        </is>
      </c>
      <c r="B107" s="46" t="inlineStr">
        <is>
          <t>128 GB</t>
        </is>
      </c>
      <c r="C107" s="46" t="inlineStr">
        <is>
          <t>128 GB</t>
        </is>
      </c>
      <c r="D107" s="46" t="n">
        <v>2</v>
      </c>
      <c r="E107" s="46" t="b">
        <v>1</v>
      </c>
      <c r="G107" s="10" t="inlineStr">
        <is>
          <t>MOD000104</t>
        </is>
      </c>
      <c r="H107" s="31" t="inlineStr">
        <is>
          <t>MFG001</t>
        </is>
      </c>
      <c r="I107" s="31" t="inlineStr">
        <is>
          <t>DF009</t>
        </is>
      </c>
      <c r="J107" s="31">
        <f>XLOOKUP([@ManufacturerID],tblManufacturerIDCrosswalk[LegacyManufacturerID],tblManufacturerIDCrosswalk[CanonicalManufacturerID],"")</f>
        <v/>
      </c>
      <c r="K107" s="33">
        <f>XLOOKUP([@DeviceFamilyID],tblDeviceFamilyIDCrosswalk[LegacyDeviceFamilyID],tblDeviceFamilyIDCrosswalk[CanonicalDeviceFamilyID],"")</f>
        <v/>
      </c>
      <c r="L107" s="33">
        <f>XLOOKUP([@DeviceTypeID],tblDeviceTypeIDCrosswalk[LegacyDeviceTypeID],tblDeviceTypeIDCrosswalk[CanonicalDeviceTypeID],"")</f>
        <v/>
      </c>
      <c r="M107" s="32">
        <f>XLOOKUP([@ManufacturerID],tblManufacturerIDCrosswalk[LegacyManufacturerID],tblManufacturerIDCrosswalk[MappingStatus],"No Crosswalk")</f>
        <v/>
      </c>
      <c r="N107" s="35">
        <f>XLOOKUP([@DeviceFamilyID],tblDeviceFamilyIDCrosswalk[LegacyDeviceFamilyID],tblDeviceFamilyIDCrosswalk[MappingStatus],"No Crosswalk")</f>
        <v/>
      </c>
      <c r="O107" s="35">
        <f>XLOOKUP([@DeviceTypeID],tblDeviceTypeIDCrosswalk[LegacyDeviceTypeID],tblDeviceTypeIDCrosswalk[MappingStatus],"No Crosswalk")</f>
        <v/>
      </c>
      <c r="P107">
        <f>IF(OR([@ManufacturerMappingStatus]&lt;&gt;"Approved",[@DeviceFamilyMappingStatus]&lt;&gt;"Approved",[@DeviceTypeMappingStatus]&lt;&gt;"Approved"),"Manual Review Required","Approved Crosswalk Available")</f>
        <v/>
      </c>
      <c r="Q107" t="inlineStr">
        <is>
          <t>Pending Review</t>
        </is>
      </c>
    </row>
    <row r="108" ht="21.5" customHeight="1" s="42">
      <c r="A108" s="46" t="inlineStr">
        <is>
          <t>STO000003</t>
        </is>
      </c>
      <c r="B108" s="46" t="inlineStr">
        <is>
          <t>256 GB</t>
        </is>
      </c>
      <c r="C108" s="46" t="inlineStr">
        <is>
          <t>256 GB</t>
        </is>
      </c>
      <c r="D108" s="46" t="n">
        <v>3</v>
      </c>
      <c r="E108" s="46" t="b">
        <v>1</v>
      </c>
      <c r="F108" s="38" t="n"/>
      <c r="G108" s="10" t="inlineStr">
        <is>
          <t>MOD000105</t>
        </is>
      </c>
      <c r="H108" s="31" t="inlineStr">
        <is>
          <t>MFG001</t>
        </is>
      </c>
      <c r="I108" s="31" t="inlineStr">
        <is>
          <t>DF009</t>
        </is>
      </c>
      <c r="J108" s="31">
        <f>XLOOKUP([@ManufacturerID],tblManufacturerIDCrosswalk[LegacyManufacturerID],tblManufacturerIDCrosswalk[CanonicalManufacturerID],"")</f>
        <v/>
      </c>
      <c r="K108" s="33">
        <f>XLOOKUP([@DeviceFamilyID],tblDeviceFamilyIDCrosswalk[LegacyDeviceFamilyID],tblDeviceFamilyIDCrosswalk[CanonicalDeviceFamilyID],"")</f>
        <v/>
      </c>
      <c r="L108" s="33">
        <f>XLOOKUP([@DeviceTypeID],tblDeviceTypeIDCrosswalk[LegacyDeviceTypeID],tblDeviceTypeIDCrosswalk[CanonicalDeviceTypeID],"")</f>
        <v/>
      </c>
      <c r="M108" s="32">
        <f>XLOOKUP([@ManufacturerID],tblManufacturerIDCrosswalk[LegacyManufacturerID],tblManufacturerIDCrosswalk[MappingStatus],"No Crosswalk")</f>
        <v/>
      </c>
      <c r="N108" s="35">
        <f>XLOOKUP([@DeviceFamilyID],tblDeviceFamilyIDCrosswalk[LegacyDeviceFamilyID],tblDeviceFamilyIDCrosswalk[MappingStatus],"No Crosswalk")</f>
        <v/>
      </c>
      <c r="O108" s="35">
        <f>XLOOKUP([@DeviceTypeID],tblDeviceTypeIDCrosswalk[LegacyDeviceTypeID],tblDeviceTypeIDCrosswalk[MappingStatus],"No Crosswalk")</f>
        <v/>
      </c>
      <c r="P108">
        <f>IF(OR([@ManufacturerMappingStatus]&lt;&gt;"Approved",[@DeviceFamilyMappingStatus]&lt;&gt;"Approved",[@DeviceTypeMappingStatus]&lt;&gt;"Approved"),"Manual Review Required","Approved Crosswalk Available")</f>
        <v/>
      </c>
      <c r="Q108" t="inlineStr">
        <is>
          <t>Pending Review</t>
        </is>
      </c>
    </row>
    <row r="109" ht="21.5" customHeight="1" s="42">
      <c r="A109" s="46" t="inlineStr">
        <is>
          <t>STO000004</t>
        </is>
      </c>
      <c r="B109" s="46" t="inlineStr">
        <is>
          <t>512 GB</t>
        </is>
      </c>
      <c r="C109" s="46" t="inlineStr">
        <is>
          <t>512 GB</t>
        </is>
      </c>
      <c r="D109" s="46" t="n">
        <v>4</v>
      </c>
      <c r="E109" s="46" t="b">
        <v>1</v>
      </c>
      <c r="F109" s="38" t="n"/>
      <c r="G109" s="10" t="inlineStr">
        <is>
          <t>MOD000106</t>
        </is>
      </c>
      <c r="H109" s="31" t="inlineStr">
        <is>
          <t>MFG001</t>
        </is>
      </c>
      <c r="I109" s="31" t="inlineStr">
        <is>
          <t>DF009</t>
        </is>
      </c>
      <c r="J109" s="31">
        <f>XLOOKUP([@ManufacturerID],tblManufacturerIDCrosswalk[LegacyManufacturerID],tblManufacturerIDCrosswalk[CanonicalManufacturerID],"")</f>
        <v/>
      </c>
      <c r="K109" s="33">
        <f>XLOOKUP([@DeviceFamilyID],tblDeviceFamilyIDCrosswalk[LegacyDeviceFamilyID],tblDeviceFamilyIDCrosswalk[CanonicalDeviceFamilyID],"")</f>
        <v/>
      </c>
      <c r="L109" s="33">
        <f>XLOOKUP([@DeviceTypeID],tblDeviceTypeIDCrosswalk[LegacyDeviceTypeID],tblDeviceTypeIDCrosswalk[CanonicalDeviceTypeID],"")</f>
        <v/>
      </c>
      <c r="M109" s="32">
        <f>XLOOKUP([@ManufacturerID],tblManufacturerIDCrosswalk[LegacyManufacturerID],tblManufacturerIDCrosswalk[MappingStatus],"No Crosswalk")</f>
        <v/>
      </c>
      <c r="N109" s="35">
        <f>XLOOKUP([@DeviceFamilyID],tblDeviceFamilyIDCrosswalk[LegacyDeviceFamilyID],tblDeviceFamilyIDCrosswalk[MappingStatus],"No Crosswalk")</f>
        <v/>
      </c>
      <c r="O109" s="35">
        <f>XLOOKUP([@DeviceTypeID],tblDeviceTypeIDCrosswalk[LegacyDeviceTypeID],tblDeviceTypeIDCrosswalk[MappingStatus],"No Crosswalk")</f>
        <v/>
      </c>
      <c r="P109">
        <f>IF(OR([@ManufacturerMappingStatus]&lt;&gt;"Approved",[@DeviceFamilyMappingStatus]&lt;&gt;"Approved",[@DeviceTypeMappingStatus]&lt;&gt;"Approved"),"Manual Review Required","Approved Crosswalk Available")</f>
        <v/>
      </c>
      <c r="Q109" t="inlineStr">
        <is>
          <t>Pending Review</t>
        </is>
      </c>
    </row>
    <row r="110" ht="21.5" customHeight="1" s="42">
      <c r="A110" s="46" t="inlineStr">
        <is>
          <t>STO000005</t>
        </is>
      </c>
      <c r="B110" s="46" t="inlineStr">
        <is>
          <t>1 TB</t>
        </is>
      </c>
      <c r="C110" s="46" t="inlineStr">
        <is>
          <t>1 TB</t>
        </is>
      </c>
      <c r="D110" s="46" t="n">
        <v>5</v>
      </c>
      <c r="E110" s="46" t="b">
        <v>1</v>
      </c>
      <c r="F110" s="38" t="n"/>
      <c r="G110" s="10" t="inlineStr">
        <is>
          <t>MOD000107</t>
        </is>
      </c>
      <c r="H110" s="31" t="inlineStr">
        <is>
          <t>MFG001</t>
        </is>
      </c>
      <c r="I110" s="31" t="inlineStr">
        <is>
          <t>DF009</t>
        </is>
      </c>
      <c r="J110" s="31">
        <f>XLOOKUP([@ManufacturerID],tblManufacturerIDCrosswalk[LegacyManufacturerID],tblManufacturerIDCrosswalk[CanonicalManufacturerID],"")</f>
        <v/>
      </c>
      <c r="K110" s="33">
        <f>XLOOKUP([@DeviceFamilyID],tblDeviceFamilyIDCrosswalk[LegacyDeviceFamilyID],tblDeviceFamilyIDCrosswalk[CanonicalDeviceFamilyID],"")</f>
        <v/>
      </c>
      <c r="L110" s="33">
        <f>XLOOKUP([@DeviceTypeID],tblDeviceTypeIDCrosswalk[LegacyDeviceTypeID],tblDeviceTypeIDCrosswalk[CanonicalDeviceTypeID],"")</f>
        <v/>
      </c>
      <c r="M110" s="32">
        <f>XLOOKUP([@ManufacturerID],tblManufacturerIDCrosswalk[LegacyManufacturerID],tblManufacturerIDCrosswalk[MappingStatus],"No Crosswalk")</f>
        <v/>
      </c>
      <c r="N110" s="35">
        <f>XLOOKUP([@DeviceFamilyID],tblDeviceFamilyIDCrosswalk[LegacyDeviceFamilyID],tblDeviceFamilyIDCrosswalk[MappingStatus],"No Crosswalk")</f>
        <v/>
      </c>
      <c r="O110" s="35">
        <f>XLOOKUP([@DeviceTypeID],tblDeviceTypeIDCrosswalk[LegacyDeviceTypeID],tblDeviceTypeIDCrosswalk[MappingStatus],"No Crosswalk")</f>
        <v/>
      </c>
      <c r="P110">
        <f>IF(OR([@ManufacturerMappingStatus]&lt;&gt;"Approved",[@DeviceFamilyMappingStatus]&lt;&gt;"Approved",[@DeviceTypeMappingStatus]&lt;&gt;"Approved"),"Manual Review Required","Approved Crosswalk Available")</f>
        <v/>
      </c>
      <c r="Q110" t="inlineStr">
        <is>
          <t>Pending Review</t>
        </is>
      </c>
    </row>
    <row r="111" ht="21.5" customHeight="1" s="42">
      <c r="A111" s="46" t="inlineStr">
        <is>
          <t>STO000006</t>
        </is>
      </c>
      <c r="B111" s="46" t="inlineStr">
        <is>
          <t>2 TB</t>
        </is>
      </c>
      <c r="C111" s="46" t="inlineStr">
        <is>
          <t>2 TB</t>
        </is>
      </c>
      <c r="D111" s="46" t="n">
        <v>6</v>
      </c>
      <c r="E111" s="46" t="b">
        <v>1</v>
      </c>
      <c r="F111" s="38" t="n"/>
      <c r="G111" s="10" t="inlineStr">
        <is>
          <t>MOD000108</t>
        </is>
      </c>
      <c r="H111" s="31" t="inlineStr">
        <is>
          <t>MFG001</t>
        </is>
      </c>
      <c r="I111" s="31" t="inlineStr">
        <is>
          <t>DF009</t>
        </is>
      </c>
      <c r="J111" s="31">
        <f>XLOOKUP([@ManufacturerID],tblManufacturerIDCrosswalk[LegacyManufacturerID],tblManufacturerIDCrosswalk[CanonicalManufacturerID],"")</f>
        <v/>
      </c>
      <c r="K111" s="33">
        <f>XLOOKUP([@DeviceFamilyID],tblDeviceFamilyIDCrosswalk[LegacyDeviceFamilyID],tblDeviceFamilyIDCrosswalk[CanonicalDeviceFamilyID],"")</f>
        <v/>
      </c>
      <c r="L111" s="33">
        <f>XLOOKUP([@DeviceTypeID],tblDeviceTypeIDCrosswalk[LegacyDeviceTypeID],tblDeviceTypeIDCrosswalk[CanonicalDeviceTypeID],"")</f>
        <v/>
      </c>
      <c r="M111" s="32">
        <f>XLOOKUP([@ManufacturerID],tblManufacturerIDCrosswalk[LegacyManufacturerID],tblManufacturerIDCrosswalk[MappingStatus],"No Crosswalk")</f>
        <v/>
      </c>
      <c r="N111" s="35">
        <f>XLOOKUP([@DeviceFamilyID],tblDeviceFamilyIDCrosswalk[LegacyDeviceFamilyID],tblDeviceFamilyIDCrosswalk[MappingStatus],"No Crosswalk")</f>
        <v/>
      </c>
      <c r="O111" s="35">
        <f>XLOOKUP([@DeviceTypeID],tblDeviceTypeIDCrosswalk[LegacyDeviceTypeID],tblDeviceTypeIDCrosswalk[MappingStatus],"No Crosswalk")</f>
        <v/>
      </c>
      <c r="P111">
        <f>IF(OR([@ManufacturerMappingStatus]&lt;&gt;"Approved",[@DeviceFamilyMappingStatus]&lt;&gt;"Approved",[@DeviceTypeMappingStatus]&lt;&gt;"Approved"),"Manual Review Required","Approved Crosswalk Available")</f>
        <v/>
      </c>
      <c r="Q111" t="inlineStr">
        <is>
          <t>Pending Review</t>
        </is>
      </c>
    </row>
    <row r="112" ht="21.5" customHeight="1" s="42">
      <c r="F112" s="38" t="n"/>
      <c r="G112" s="10" t="inlineStr">
        <is>
          <t>MOD000109</t>
        </is>
      </c>
      <c r="H112" s="31" t="inlineStr">
        <is>
          <t>MFG001</t>
        </is>
      </c>
      <c r="I112" s="31" t="inlineStr">
        <is>
          <t>DF009</t>
        </is>
      </c>
      <c r="J112" s="31">
        <f>XLOOKUP([@ManufacturerID],tblManufacturerIDCrosswalk[LegacyManufacturerID],tblManufacturerIDCrosswalk[CanonicalManufacturerID],"")</f>
        <v/>
      </c>
      <c r="K112" s="33">
        <f>XLOOKUP([@DeviceFamilyID],tblDeviceFamilyIDCrosswalk[LegacyDeviceFamilyID],tblDeviceFamilyIDCrosswalk[CanonicalDeviceFamilyID],"")</f>
        <v/>
      </c>
      <c r="L112" s="33">
        <f>XLOOKUP([@DeviceTypeID],tblDeviceTypeIDCrosswalk[LegacyDeviceTypeID],tblDeviceTypeIDCrosswalk[CanonicalDeviceTypeID],"")</f>
        <v/>
      </c>
      <c r="M112" s="32">
        <f>XLOOKUP([@ManufacturerID],tblManufacturerIDCrosswalk[LegacyManufacturerID],tblManufacturerIDCrosswalk[MappingStatus],"No Crosswalk")</f>
        <v/>
      </c>
      <c r="N112" s="35">
        <f>XLOOKUP([@DeviceFamilyID],tblDeviceFamilyIDCrosswalk[LegacyDeviceFamilyID],tblDeviceFamilyIDCrosswalk[MappingStatus],"No Crosswalk")</f>
        <v/>
      </c>
      <c r="O112" s="35">
        <f>XLOOKUP([@DeviceTypeID],tblDeviceTypeIDCrosswalk[LegacyDeviceTypeID],tblDeviceTypeIDCrosswalk[MappingStatus],"No Crosswalk")</f>
        <v/>
      </c>
      <c r="P112">
        <f>IF(OR([@ManufacturerMappingStatus]&lt;&gt;"Approved",[@DeviceFamilyMappingStatus]&lt;&gt;"Approved",[@DeviceTypeMappingStatus]&lt;&gt;"Approved"),"Manual Review Required","Approved Crosswalk Available")</f>
        <v/>
      </c>
      <c r="Q112" t="inlineStr">
        <is>
          <t>Pending Review</t>
        </is>
      </c>
    </row>
    <row r="113" ht="21.5" customHeight="1" s="42">
      <c r="F113" s="38" t="n"/>
      <c r="G113" s="10" t="inlineStr">
        <is>
          <t>MOD000110</t>
        </is>
      </c>
      <c r="H113" s="31" t="inlineStr">
        <is>
          <t>MFG001</t>
        </is>
      </c>
      <c r="I113" s="31" t="inlineStr">
        <is>
          <t>DF009</t>
        </is>
      </c>
      <c r="J113" s="31">
        <f>XLOOKUP([@ManufacturerID],tblManufacturerIDCrosswalk[LegacyManufacturerID],tblManufacturerIDCrosswalk[CanonicalManufacturerID],"")</f>
        <v/>
      </c>
      <c r="K113" s="33">
        <f>XLOOKUP([@DeviceFamilyID],tblDeviceFamilyIDCrosswalk[LegacyDeviceFamilyID],tblDeviceFamilyIDCrosswalk[CanonicalDeviceFamilyID],"")</f>
        <v/>
      </c>
      <c r="L113" s="33">
        <f>XLOOKUP([@DeviceTypeID],tblDeviceTypeIDCrosswalk[LegacyDeviceTypeID],tblDeviceTypeIDCrosswalk[CanonicalDeviceTypeID],"")</f>
        <v/>
      </c>
      <c r="M113" s="32">
        <f>XLOOKUP([@ManufacturerID],tblManufacturerIDCrosswalk[LegacyManufacturerID],tblManufacturerIDCrosswalk[MappingStatus],"No Crosswalk")</f>
        <v/>
      </c>
      <c r="N113" s="35">
        <f>XLOOKUP([@DeviceFamilyID],tblDeviceFamilyIDCrosswalk[LegacyDeviceFamilyID],tblDeviceFamilyIDCrosswalk[MappingStatus],"No Crosswalk")</f>
        <v/>
      </c>
      <c r="O113" s="35">
        <f>XLOOKUP([@DeviceTypeID],tblDeviceTypeIDCrosswalk[LegacyDeviceTypeID],tblDeviceTypeIDCrosswalk[MappingStatus],"No Crosswalk")</f>
        <v/>
      </c>
      <c r="P113">
        <f>IF(OR([@ManufacturerMappingStatus]&lt;&gt;"Approved",[@DeviceFamilyMappingStatus]&lt;&gt;"Approved",[@DeviceTypeMappingStatus]&lt;&gt;"Approved"),"Manual Review Required","Approved Crosswalk Available")</f>
        <v/>
      </c>
      <c r="Q113" t="inlineStr">
        <is>
          <t>Pending Review</t>
        </is>
      </c>
    </row>
    <row r="114" ht="21.5" customHeight="1" s="42">
      <c r="F114" s="38" t="n"/>
      <c r="G114" s="10" t="inlineStr">
        <is>
          <t>MOD000111</t>
        </is>
      </c>
      <c r="H114" s="31" t="inlineStr">
        <is>
          <t>MFG001</t>
        </is>
      </c>
      <c r="I114" s="31" t="inlineStr">
        <is>
          <t>DF009</t>
        </is>
      </c>
      <c r="J114" s="31">
        <f>XLOOKUP([@ManufacturerID],tblManufacturerIDCrosswalk[LegacyManufacturerID],tblManufacturerIDCrosswalk[CanonicalManufacturerID],"")</f>
        <v/>
      </c>
      <c r="K114" s="33">
        <f>XLOOKUP([@DeviceFamilyID],tblDeviceFamilyIDCrosswalk[LegacyDeviceFamilyID],tblDeviceFamilyIDCrosswalk[CanonicalDeviceFamilyID],"")</f>
        <v/>
      </c>
      <c r="L114" s="33">
        <f>XLOOKUP([@DeviceTypeID],tblDeviceTypeIDCrosswalk[LegacyDeviceTypeID],tblDeviceTypeIDCrosswalk[CanonicalDeviceTypeID],"")</f>
        <v/>
      </c>
      <c r="M114" s="32">
        <f>XLOOKUP([@ManufacturerID],tblManufacturerIDCrosswalk[LegacyManufacturerID],tblManufacturerIDCrosswalk[MappingStatus],"No Crosswalk")</f>
        <v/>
      </c>
      <c r="N114" s="35">
        <f>XLOOKUP([@DeviceFamilyID],tblDeviceFamilyIDCrosswalk[LegacyDeviceFamilyID],tblDeviceFamilyIDCrosswalk[MappingStatus],"No Crosswalk")</f>
        <v/>
      </c>
      <c r="O114" s="35">
        <f>XLOOKUP([@DeviceTypeID],tblDeviceTypeIDCrosswalk[LegacyDeviceTypeID],tblDeviceTypeIDCrosswalk[MappingStatus],"No Crosswalk")</f>
        <v/>
      </c>
      <c r="P114">
        <f>IF(OR([@ManufacturerMappingStatus]&lt;&gt;"Approved",[@DeviceFamilyMappingStatus]&lt;&gt;"Approved",[@DeviceTypeMappingStatus]&lt;&gt;"Approved"),"Manual Review Required","Approved Crosswalk Available")</f>
        <v/>
      </c>
      <c r="Q114" t="inlineStr">
        <is>
          <t>Pending Review</t>
        </is>
      </c>
    </row>
    <row r="115" ht="21.5" customHeight="1" s="42">
      <c r="F115" s="38" t="n"/>
      <c r="G115" s="10" t="inlineStr">
        <is>
          <t>MOD000112</t>
        </is>
      </c>
      <c r="H115" s="31" t="inlineStr">
        <is>
          <t>MFG001</t>
        </is>
      </c>
      <c r="I115" s="31" t="inlineStr">
        <is>
          <t>DF010</t>
        </is>
      </c>
      <c r="J115" s="31">
        <f>XLOOKUP([@ManufacturerID],tblManufacturerIDCrosswalk[LegacyManufacturerID],tblManufacturerIDCrosswalk[CanonicalManufacturerID],"")</f>
        <v/>
      </c>
      <c r="K115" s="33">
        <f>XLOOKUP([@DeviceFamilyID],tblDeviceFamilyIDCrosswalk[LegacyDeviceFamilyID],tblDeviceFamilyIDCrosswalk[CanonicalDeviceFamilyID],"")</f>
        <v/>
      </c>
      <c r="L115" s="33">
        <f>XLOOKUP([@DeviceTypeID],tblDeviceTypeIDCrosswalk[LegacyDeviceTypeID],tblDeviceTypeIDCrosswalk[CanonicalDeviceTypeID],"")</f>
        <v/>
      </c>
      <c r="M115" s="32">
        <f>XLOOKUP([@ManufacturerID],tblManufacturerIDCrosswalk[LegacyManufacturerID],tblManufacturerIDCrosswalk[MappingStatus],"No Crosswalk")</f>
        <v/>
      </c>
      <c r="N115" s="35">
        <f>XLOOKUP([@DeviceFamilyID],tblDeviceFamilyIDCrosswalk[LegacyDeviceFamilyID],tblDeviceFamilyIDCrosswalk[MappingStatus],"No Crosswalk")</f>
        <v/>
      </c>
      <c r="O115" s="35">
        <f>XLOOKUP([@DeviceTypeID],tblDeviceTypeIDCrosswalk[LegacyDeviceTypeID],tblDeviceTypeIDCrosswalk[MappingStatus],"No Crosswalk")</f>
        <v/>
      </c>
      <c r="P115">
        <f>IF(OR([@ManufacturerMappingStatus]&lt;&gt;"Approved",[@DeviceFamilyMappingStatus]&lt;&gt;"Approved",[@DeviceTypeMappingStatus]&lt;&gt;"Approved"),"Manual Review Required","Approved Crosswalk Available")</f>
        <v/>
      </c>
      <c r="Q115" t="inlineStr">
        <is>
          <t>Pending Review</t>
        </is>
      </c>
    </row>
    <row r="116" ht="21.5" customHeight="1" s="42">
      <c r="F116" s="38" t="n"/>
      <c r="G116" s="10" t="inlineStr">
        <is>
          <t>MOD000113</t>
        </is>
      </c>
      <c r="H116" s="31" t="inlineStr">
        <is>
          <t>MFG001</t>
        </is>
      </c>
      <c r="I116" s="31" t="inlineStr">
        <is>
          <t>DF011</t>
        </is>
      </c>
      <c r="J116" s="31">
        <f>XLOOKUP([@ManufacturerID],tblManufacturerIDCrosswalk[LegacyManufacturerID],tblManufacturerIDCrosswalk[CanonicalManufacturerID],"")</f>
        <v/>
      </c>
      <c r="K116" s="33">
        <f>XLOOKUP([@DeviceFamilyID],tblDeviceFamilyIDCrosswalk[LegacyDeviceFamilyID],tblDeviceFamilyIDCrosswalk[CanonicalDeviceFamilyID],"")</f>
        <v/>
      </c>
      <c r="L116" s="33">
        <f>XLOOKUP([@DeviceTypeID],tblDeviceTypeIDCrosswalk[LegacyDeviceTypeID],tblDeviceTypeIDCrosswalk[CanonicalDeviceTypeID],"")</f>
        <v/>
      </c>
      <c r="M116" s="32">
        <f>XLOOKUP([@ManufacturerID],tblManufacturerIDCrosswalk[LegacyManufacturerID],tblManufacturerIDCrosswalk[MappingStatus],"No Crosswalk")</f>
        <v/>
      </c>
      <c r="N116" s="35">
        <f>XLOOKUP([@DeviceFamilyID],tblDeviceFamilyIDCrosswalk[LegacyDeviceFamilyID],tblDeviceFamilyIDCrosswalk[MappingStatus],"No Crosswalk")</f>
        <v/>
      </c>
      <c r="O116" s="35">
        <f>XLOOKUP([@DeviceTypeID],tblDeviceTypeIDCrosswalk[LegacyDeviceTypeID],tblDeviceTypeIDCrosswalk[MappingStatus],"No Crosswalk")</f>
        <v/>
      </c>
      <c r="P116">
        <f>IF(OR([@ManufacturerMappingStatus]&lt;&gt;"Approved",[@DeviceFamilyMappingStatus]&lt;&gt;"Approved",[@DeviceTypeMappingStatus]&lt;&gt;"Approved"),"Manual Review Required","Approved Crosswalk Available")</f>
        <v/>
      </c>
      <c r="Q116" t="inlineStr">
        <is>
          <t>Pending Review</t>
        </is>
      </c>
    </row>
    <row r="117" ht="21.5" customHeight="1" s="42">
      <c r="F117" s="38" t="n"/>
      <c r="G117" s="10" t="inlineStr">
        <is>
          <t>MOD000114</t>
        </is>
      </c>
      <c r="H117" s="31" t="inlineStr">
        <is>
          <t>MFG001</t>
        </is>
      </c>
      <c r="I117" s="31" t="inlineStr">
        <is>
          <t>DF011</t>
        </is>
      </c>
      <c r="J117" s="31">
        <f>XLOOKUP([@ManufacturerID],tblManufacturerIDCrosswalk[LegacyManufacturerID],tblManufacturerIDCrosswalk[CanonicalManufacturerID],"")</f>
        <v/>
      </c>
      <c r="K117" s="33">
        <f>XLOOKUP([@DeviceFamilyID],tblDeviceFamilyIDCrosswalk[LegacyDeviceFamilyID],tblDeviceFamilyIDCrosswalk[CanonicalDeviceFamilyID],"")</f>
        <v/>
      </c>
      <c r="L117" s="33">
        <f>XLOOKUP([@DeviceTypeID],tblDeviceTypeIDCrosswalk[LegacyDeviceTypeID],tblDeviceTypeIDCrosswalk[CanonicalDeviceTypeID],"")</f>
        <v/>
      </c>
      <c r="M117" s="32">
        <f>XLOOKUP([@ManufacturerID],tblManufacturerIDCrosswalk[LegacyManufacturerID],tblManufacturerIDCrosswalk[MappingStatus],"No Crosswalk")</f>
        <v/>
      </c>
      <c r="N117" s="35">
        <f>XLOOKUP([@DeviceFamilyID],tblDeviceFamilyIDCrosswalk[LegacyDeviceFamilyID],tblDeviceFamilyIDCrosswalk[MappingStatus],"No Crosswalk")</f>
        <v/>
      </c>
      <c r="O117" s="35">
        <f>XLOOKUP([@DeviceTypeID],tblDeviceTypeIDCrosswalk[LegacyDeviceTypeID],tblDeviceTypeIDCrosswalk[MappingStatus],"No Crosswalk")</f>
        <v/>
      </c>
      <c r="P117">
        <f>IF(OR([@ManufacturerMappingStatus]&lt;&gt;"Approved",[@DeviceFamilyMappingStatus]&lt;&gt;"Approved",[@DeviceTypeMappingStatus]&lt;&gt;"Approved"),"Manual Review Required","Approved Crosswalk Available")</f>
        <v/>
      </c>
      <c r="Q117" t="inlineStr">
        <is>
          <t>Pending Review</t>
        </is>
      </c>
    </row>
    <row r="118" ht="21.5" customHeight="1" s="42">
      <c r="F118" s="38" t="n"/>
      <c r="G118" s="10" t="inlineStr">
        <is>
          <t>MOD000115</t>
        </is>
      </c>
      <c r="H118" s="31" t="inlineStr">
        <is>
          <t>MFG001</t>
        </is>
      </c>
      <c r="I118" s="31" t="inlineStr">
        <is>
          <t>DF011</t>
        </is>
      </c>
      <c r="J118" s="31">
        <f>XLOOKUP([@ManufacturerID],tblManufacturerIDCrosswalk[LegacyManufacturerID],tblManufacturerIDCrosswalk[CanonicalManufacturerID],"")</f>
        <v/>
      </c>
      <c r="K118" s="33">
        <f>XLOOKUP([@DeviceFamilyID],tblDeviceFamilyIDCrosswalk[LegacyDeviceFamilyID],tblDeviceFamilyIDCrosswalk[CanonicalDeviceFamilyID],"")</f>
        <v/>
      </c>
      <c r="L118" s="33">
        <f>XLOOKUP([@DeviceTypeID],tblDeviceTypeIDCrosswalk[LegacyDeviceTypeID],tblDeviceTypeIDCrosswalk[CanonicalDeviceTypeID],"")</f>
        <v/>
      </c>
      <c r="M118" s="32">
        <f>XLOOKUP([@ManufacturerID],tblManufacturerIDCrosswalk[LegacyManufacturerID],tblManufacturerIDCrosswalk[MappingStatus],"No Crosswalk")</f>
        <v/>
      </c>
      <c r="N118" s="35">
        <f>XLOOKUP([@DeviceFamilyID],tblDeviceFamilyIDCrosswalk[LegacyDeviceFamilyID],tblDeviceFamilyIDCrosswalk[MappingStatus],"No Crosswalk")</f>
        <v/>
      </c>
      <c r="O118" s="35">
        <f>XLOOKUP([@DeviceTypeID],tblDeviceTypeIDCrosswalk[LegacyDeviceTypeID],tblDeviceTypeIDCrosswalk[MappingStatus],"No Crosswalk")</f>
        <v/>
      </c>
      <c r="P118">
        <f>IF(OR([@ManufacturerMappingStatus]&lt;&gt;"Approved",[@DeviceFamilyMappingStatus]&lt;&gt;"Approved",[@DeviceTypeMappingStatus]&lt;&gt;"Approved"),"Manual Review Required","Approved Crosswalk Available")</f>
        <v/>
      </c>
      <c r="Q118" t="inlineStr">
        <is>
          <t>Pending Review</t>
        </is>
      </c>
    </row>
    <row r="119" ht="21.5" customHeight="1" s="42">
      <c r="F119" s="38" t="n"/>
      <c r="G119" s="10" t="inlineStr">
        <is>
          <t>MOD000116</t>
        </is>
      </c>
      <c r="H119" s="31" t="inlineStr">
        <is>
          <t>MFG001</t>
        </is>
      </c>
      <c r="I119" s="31" t="inlineStr">
        <is>
          <t>DF011</t>
        </is>
      </c>
      <c r="J119" s="31">
        <f>XLOOKUP([@ManufacturerID],tblManufacturerIDCrosswalk[LegacyManufacturerID],tblManufacturerIDCrosswalk[CanonicalManufacturerID],"")</f>
        <v/>
      </c>
      <c r="K119" s="33">
        <f>XLOOKUP([@DeviceFamilyID],tblDeviceFamilyIDCrosswalk[LegacyDeviceFamilyID],tblDeviceFamilyIDCrosswalk[CanonicalDeviceFamilyID],"")</f>
        <v/>
      </c>
      <c r="L119" s="33">
        <f>XLOOKUP([@DeviceTypeID],tblDeviceTypeIDCrosswalk[LegacyDeviceTypeID],tblDeviceTypeIDCrosswalk[CanonicalDeviceTypeID],"")</f>
        <v/>
      </c>
      <c r="M119" s="32">
        <f>XLOOKUP([@ManufacturerID],tblManufacturerIDCrosswalk[LegacyManufacturerID],tblManufacturerIDCrosswalk[MappingStatus],"No Crosswalk")</f>
        <v/>
      </c>
      <c r="N119" s="35">
        <f>XLOOKUP([@DeviceFamilyID],tblDeviceFamilyIDCrosswalk[LegacyDeviceFamilyID],tblDeviceFamilyIDCrosswalk[MappingStatus],"No Crosswalk")</f>
        <v/>
      </c>
      <c r="O119" s="35">
        <f>XLOOKUP([@DeviceTypeID],tblDeviceTypeIDCrosswalk[LegacyDeviceTypeID],tblDeviceTypeIDCrosswalk[MappingStatus],"No Crosswalk")</f>
        <v/>
      </c>
      <c r="P119">
        <f>IF(OR([@ManufacturerMappingStatus]&lt;&gt;"Approved",[@DeviceFamilyMappingStatus]&lt;&gt;"Approved",[@DeviceTypeMappingStatus]&lt;&gt;"Approved"),"Manual Review Required","Approved Crosswalk Available")</f>
        <v/>
      </c>
      <c r="Q119" t="inlineStr">
        <is>
          <t>Pending Review</t>
        </is>
      </c>
    </row>
    <row r="120" ht="21.5" customHeight="1" s="42">
      <c r="A120" s="36" t="n"/>
      <c r="B120" s="37" t="n"/>
      <c r="C120" s="37" t="n"/>
      <c r="D120" s="37" t="n"/>
      <c r="E120" s="38" t="n"/>
      <c r="F120" s="38" t="n"/>
      <c r="G120" s="10" t="inlineStr">
        <is>
          <t>MOD000117</t>
        </is>
      </c>
      <c r="H120" s="31" t="inlineStr">
        <is>
          <t>MFG001</t>
        </is>
      </c>
      <c r="I120" s="31" t="inlineStr">
        <is>
          <t>DF012</t>
        </is>
      </c>
      <c r="J120" s="31">
        <f>XLOOKUP([@ManufacturerID],tblManufacturerIDCrosswalk[LegacyManufacturerID],tblManufacturerIDCrosswalk[CanonicalManufacturerID],"")</f>
        <v/>
      </c>
      <c r="K120" s="33">
        <f>XLOOKUP([@DeviceFamilyID],tblDeviceFamilyIDCrosswalk[LegacyDeviceFamilyID],tblDeviceFamilyIDCrosswalk[CanonicalDeviceFamilyID],"")</f>
        <v/>
      </c>
      <c r="L120" s="33">
        <f>XLOOKUP([@DeviceTypeID],tblDeviceTypeIDCrosswalk[LegacyDeviceTypeID],tblDeviceTypeIDCrosswalk[CanonicalDeviceTypeID],"")</f>
        <v/>
      </c>
      <c r="M120" s="32">
        <f>XLOOKUP([@ManufacturerID],tblManufacturerIDCrosswalk[LegacyManufacturerID],tblManufacturerIDCrosswalk[MappingStatus],"No Crosswalk")</f>
        <v/>
      </c>
      <c r="N120" s="35">
        <f>XLOOKUP([@DeviceFamilyID],tblDeviceFamilyIDCrosswalk[LegacyDeviceFamilyID],tblDeviceFamilyIDCrosswalk[MappingStatus],"No Crosswalk")</f>
        <v/>
      </c>
      <c r="O120" s="35">
        <f>XLOOKUP([@DeviceTypeID],tblDeviceTypeIDCrosswalk[LegacyDeviceTypeID],tblDeviceTypeIDCrosswalk[MappingStatus],"No Crosswalk")</f>
        <v/>
      </c>
      <c r="P120">
        <f>IF(OR([@ManufacturerMappingStatus]&lt;&gt;"Approved",[@DeviceFamilyMappingStatus]&lt;&gt;"Approved",[@DeviceTypeMappingStatus]&lt;&gt;"Approved"),"Manual Review Required","Approved Crosswalk Available")</f>
        <v/>
      </c>
      <c r="Q120" t="inlineStr">
        <is>
          <t>Pending Review</t>
        </is>
      </c>
    </row>
    <row r="121" ht="21.5" customHeight="1" s="42">
      <c r="A121" s="36" t="n"/>
      <c r="B121" s="37" t="n"/>
      <c r="C121" s="37" t="n"/>
      <c r="D121" s="37" t="n"/>
      <c r="E121" s="38" t="n"/>
      <c r="F121" s="38" t="n"/>
      <c r="G121" s="10" t="inlineStr">
        <is>
          <t>MOD000118</t>
        </is>
      </c>
      <c r="H121" s="31" t="inlineStr">
        <is>
          <t>MFG001</t>
        </is>
      </c>
      <c r="I121" s="31" t="inlineStr">
        <is>
          <t>DF012</t>
        </is>
      </c>
      <c r="J121" s="31">
        <f>XLOOKUP([@ManufacturerID],tblManufacturerIDCrosswalk[LegacyManufacturerID],tblManufacturerIDCrosswalk[CanonicalManufacturerID],"")</f>
        <v/>
      </c>
      <c r="K121" s="33">
        <f>XLOOKUP([@DeviceFamilyID],tblDeviceFamilyIDCrosswalk[LegacyDeviceFamilyID],tblDeviceFamilyIDCrosswalk[CanonicalDeviceFamilyID],"")</f>
        <v/>
      </c>
      <c r="L121" s="33">
        <f>XLOOKUP([@DeviceTypeID],tblDeviceTypeIDCrosswalk[LegacyDeviceTypeID],tblDeviceTypeIDCrosswalk[CanonicalDeviceTypeID],"")</f>
        <v/>
      </c>
      <c r="M121" s="32">
        <f>XLOOKUP([@ManufacturerID],tblManufacturerIDCrosswalk[LegacyManufacturerID],tblManufacturerIDCrosswalk[MappingStatus],"No Crosswalk")</f>
        <v/>
      </c>
      <c r="N121" s="35">
        <f>XLOOKUP([@DeviceFamilyID],tblDeviceFamilyIDCrosswalk[LegacyDeviceFamilyID],tblDeviceFamilyIDCrosswalk[MappingStatus],"No Crosswalk")</f>
        <v/>
      </c>
      <c r="O121" s="35">
        <f>XLOOKUP([@DeviceTypeID],tblDeviceTypeIDCrosswalk[LegacyDeviceTypeID],tblDeviceTypeIDCrosswalk[MappingStatus],"No Crosswalk")</f>
        <v/>
      </c>
      <c r="P121">
        <f>IF(OR([@ManufacturerMappingStatus]&lt;&gt;"Approved",[@DeviceFamilyMappingStatus]&lt;&gt;"Approved",[@DeviceTypeMappingStatus]&lt;&gt;"Approved"),"Manual Review Required","Approved Crosswalk Available")</f>
        <v/>
      </c>
      <c r="Q121" t="inlineStr">
        <is>
          <t>Pending Review</t>
        </is>
      </c>
    </row>
    <row r="122" ht="21.5" customHeight="1" s="42">
      <c r="A122" s="36" t="n"/>
      <c r="B122" s="37" t="n"/>
      <c r="C122" s="37" t="n"/>
      <c r="D122" s="37" t="n"/>
      <c r="E122" s="38" t="n"/>
      <c r="F122" s="38" t="n"/>
      <c r="G122" s="10" t="inlineStr">
        <is>
          <t>MOD000119</t>
        </is>
      </c>
      <c r="H122" s="31" t="inlineStr">
        <is>
          <t>MFG001</t>
        </is>
      </c>
      <c r="I122" s="31" t="inlineStr">
        <is>
          <t>DF012</t>
        </is>
      </c>
      <c r="J122" s="31">
        <f>XLOOKUP([@ManufacturerID],tblManufacturerIDCrosswalk[LegacyManufacturerID],tblManufacturerIDCrosswalk[CanonicalManufacturerID],"")</f>
        <v/>
      </c>
      <c r="K122" s="33">
        <f>XLOOKUP([@DeviceFamilyID],tblDeviceFamilyIDCrosswalk[LegacyDeviceFamilyID],tblDeviceFamilyIDCrosswalk[CanonicalDeviceFamilyID],"")</f>
        <v/>
      </c>
      <c r="L122" s="33">
        <f>XLOOKUP([@DeviceTypeID],tblDeviceTypeIDCrosswalk[LegacyDeviceTypeID],tblDeviceTypeIDCrosswalk[CanonicalDeviceTypeID],"")</f>
        <v/>
      </c>
      <c r="M122" s="32">
        <f>XLOOKUP([@ManufacturerID],tblManufacturerIDCrosswalk[LegacyManufacturerID],tblManufacturerIDCrosswalk[MappingStatus],"No Crosswalk")</f>
        <v/>
      </c>
      <c r="N122" s="35">
        <f>XLOOKUP([@DeviceFamilyID],tblDeviceFamilyIDCrosswalk[LegacyDeviceFamilyID],tblDeviceFamilyIDCrosswalk[MappingStatus],"No Crosswalk")</f>
        <v/>
      </c>
      <c r="O122" s="35">
        <f>XLOOKUP([@DeviceTypeID],tblDeviceTypeIDCrosswalk[LegacyDeviceTypeID],tblDeviceTypeIDCrosswalk[MappingStatus],"No Crosswalk")</f>
        <v/>
      </c>
      <c r="P122">
        <f>IF(OR([@ManufacturerMappingStatus]&lt;&gt;"Approved",[@DeviceFamilyMappingStatus]&lt;&gt;"Approved",[@DeviceTypeMappingStatus]&lt;&gt;"Approved"),"Manual Review Required","Approved Crosswalk Available")</f>
        <v/>
      </c>
      <c r="Q122" t="inlineStr">
        <is>
          <t>Pending Review</t>
        </is>
      </c>
    </row>
    <row r="123" ht="21.5" customHeight="1" s="42">
      <c r="A123" s="36" t="n"/>
      <c r="B123" s="37" t="n"/>
      <c r="C123" s="37" t="n"/>
      <c r="D123" s="37" t="n"/>
      <c r="E123" s="38" t="n"/>
      <c r="F123" s="38" t="n"/>
      <c r="G123" s="10" t="inlineStr">
        <is>
          <t>MOD000120</t>
        </is>
      </c>
      <c r="H123" s="31" t="inlineStr">
        <is>
          <t>MFG001</t>
        </is>
      </c>
      <c r="I123" s="31" t="inlineStr">
        <is>
          <t>DF012</t>
        </is>
      </c>
      <c r="J123" s="31">
        <f>XLOOKUP([@ManufacturerID],tblManufacturerIDCrosswalk[LegacyManufacturerID],tblManufacturerIDCrosswalk[CanonicalManufacturerID],"")</f>
        <v/>
      </c>
      <c r="K123" s="33">
        <f>XLOOKUP([@DeviceFamilyID],tblDeviceFamilyIDCrosswalk[LegacyDeviceFamilyID],tblDeviceFamilyIDCrosswalk[CanonicalDeviceFamilyID],"")</f>
        <v/>
      </c>
      <c r="L123" s="33">
        <f>XLOOKUP([@DeviceTypeID],tblDeviceTypeIDCrosswalk[LegacyDeviceTypeID],tblDeviceTypeIDCrosswalk[CanonicalDeviceTypeID],"")</f>
        <v/>
      </c>
      <c r="M123" s="32">
        <f>XLOOKUP([@ManufacturerID],tblManufacturerIDCrosswalk[LegacyManufacturerID],tblManufacturerIDCrosswalk[MappingStatus],"No Crosswalk")</f>
        <v/>
      </c>
      <c r="N123" s="35">
        <f>XLOOKUP([@DeviceFamilyID],tblDeviceFamilyIDCrosswalk[LegacyDeviceFamilyID],tblDeviceFamilyIDCrosswalk[MappingStatus],"No Crosswalk")</f>
        <v/>
      </c>
      <c r="O123" s="35">
        <f>XLOOKUP([@DeviceTypeID],tblDeviceTypeIDCrosswalk[LegacyDeviceTypeID],tblDeviceTypeIDCrosswalk[MappingStatus],"No Crosswalk")</f>
        <v/>
      </c>
      <c r="P123">
        <f>IF(OR([@ManufacturerMappingStatus]&lt;&gt;"Approved",[@DeviceFamilyMappingStatus]&lt;&gt;"Approved",[@DeviceTypeMappingStatus]&lt;&gt;"Approved"),"Manual Review Required","Approved Crosswalk Available")</f>
        <v/>
      </c>
      <c r="Q123" t="inlineStr">
        <is>
          <t>Pending Review</t>
        </is>
      </c>
    </row>
    <row r="124" ht="21.5" customHeight="1" s="42">
      <c r="A124" s="36" t="n"/>
      <c r="B124" s="37" t="n"/>
      <c r="C124" s="37" t="n"/>
      <c r="D124" s="37" t="n"/>
      <c r="E124" s="38" t="n"/>
      <c r="F124" s="38" t="n"/>
      <c r="G124" s="10" t="inlineStr">
        <is>
          <t>MOD000121</t>
        </is>
      </c>
      <c r="H124" s="31" t="inlineStr">
        <is>
          <t>MFG001</t>
        </is>
      </c>
      <c r="I124" s="31" t="inlineStr">
        <is>
          <t>DF013</t>
        </is>
      </c>
      <c r="J124" s="31">
        <f>XLOOKUP([@ManufacturerID],tblManufacturerIDCrosswalk[LegacyManufacturerID],tblManufacturerIDCrosswalk[CanonicalManufacturerID],"")</f>
        <v/>
      </c>
      <c r="K124" s="33">
        <f>XLOOKUP([@DeviceFamilyID],tblDeviceFamilyIDCrosswalk[LegacyDeviceFamilyID],tblDeviceFamilyIDCrosswalk[CanonicalDeviceFamilyID],"")</f>
        <v/>
      </c>
      <c r="L124" s="33">
        <f>XLOOKUP([@DeviceTypeID],tblDeviceTypeIDCrosswalk[LegacyDeviceTypeID],tblDeviceTypeIDCrosswalk[CanonicalDeviceTypeID],"")</f>
        <v/>
      </c>
      <c r="M124" s="32">
        <f>XLOOKUP([@ManufacturerID],tblManufacturerIDCrosswalk[LegacyManufacturerID],tblManufacturerIDCrosswalk[MappingStatus],"No Crosswalk")</f>
        <v/>
      </c>
      <c r="N124" s="35">
        <f>XLOOKUP([@DeviceFamilyID],tblDeviceFamilyIDCrosswalk[LegacyDeviceFamilyID],tblDeviceFamilyIDCrosswalk[MappingStatus],"No Crosswalk")</f>
        <v/>
      </c>
      <c r="O124" s="35">
        <f>XLOOKUP([@DeviceTypeID],tblDeviceTypeIDCrosswalk[LegacyDeviceTypeID],tblDeviceTypeIDCrosswalk[MappingStatus],"No Crosswalk")</f>
        <v/>
      </c>
      <c r="P124">
        <f>IF(OR([@ManufacturerMappingStatus]&lt;&gt;"Approved",[@DeviceFamilyMappingStatus]&lt;&gt;"Approved",[@DeviceTypeMappingStatus]&lt;&gt;"Approved"),"Manual Review Required","Approved Crosswalk Available")</f>
        <v/>
      </c>
      <c r="Q124" t="inlineStr">
        <is>
          <t>Pending Review</t>
        </is>
      </c>
    </row>
    <row r="125" ht="21.5" customHeight="1" s="42">
      <c r="A125" s="36" t="n"/>
      <c r="B125" s="37" t="n"/>
      <c r="C125" s="37" t="n"/>
      <c r="D125" s="37" t="n"/>
      <c r="E125" s="38" t="n"/>
      <c r="F125" s="38" t="n"/>
      <c r="G125" s="10" t="inlineStr">
        <is>
          <t>MOD000122</t>
        </is>
      </c>
      <c r="H125" s="31" t="inlineStr">
        <is>
          <t>MFG001</t>
        </is>
      </c>
      <c r="I125" s="31" t="inlineStr">
        <is>
          <t>DF013</t>
        </is>
      </c>
      <c r="J125" s="31">
        <f>XLOOKUP([@ManufacturerID],tblManufacturerIDCrosswalk[LegacyManufacturerID],tblManufacturerIDCrosswalk[CanonicalManufacturerID],"")</f>
        <v/>
      </c>
      <c r="K125" s="33">
        <f>XLOOKUP([@DeviceFamilyID],tblDeviceFamilyIDCrosswalk[LegacyDeviceFamilyID],tblDeviceFamilyIDCrosswalk[CanonicalDeviceFamilyID],"")</f>
        <v/>
      </c>
      <c r="L125" s="33">
        <f>XLOOKUP([@DeviceTypeID],tblDeviceTypeIDCrosswalk[LegacyDeviceTypeID],tblDeviceTypeIDCrosswalk[CanonicalDeviceTypeID],"")</f>
        <v/>
      </c>
      <c r="M125" s="32">
        <f>XLOOKUP([@ManufacturerID],tblManufacturerIDCrosswalk[LegacyManufacturerID],tblManufacturerIDCrosswalk[MappingStatus],"No Crosswalk")</f>
        <v/>
      </c>
      <c r="N125" s="35">
        <f>XLOOKUP([@DeviceFamilyID],tblDeviceFamilyIDCrosswalk[LegacyDeviceFamilyID],tblDeviceFamilyIDCrosswalk[MappingStatus],"No Crosswalk")</f>
        <v/>
      </c>
      <c r="O125" s="35">
        <f>XLOOKUP([@DeviceTypeID],tblDeviceTypeIDCrosswalk[LegacyDeviceTypeID],tblDeviceTypeIDCrosswalk[MappingStatus],"No Crosswalk")</f>
        <v/>
      </c>
      <c r="P125">
        <f>IF(OR([@ManufacturerMappingStatus]&lt;&gt;"Approved",[@DeviceFamilyMappingStatus]&lt;&gt;"Approved",[@DeviceTypeMappingStatus]&lt;&gt;"Approved"),"Manual Review Required","Approved Crosswalk Available")</f>
        <v/>
      </c>
      <c r="Q125" t="inlineStr">
        <is>
          <t>Pending Review</t>
        </is>
      </c>
    </row>
    <row r="126" ht="21.5" customHeight="1" s="42">
      <c r="A126" s="36" t="n"/>
      <c r="B126" s="37" t="n"/>
      <c r="C126" s="37" t="n"/>
      <c r="D126" s="37" t="n"/>
      <c r="E126" s="38" t="n"/>
      <c r="F126" s="38" t="n"/>
      <c r="G126" s="10" t="inlineStr">
        <is>
          <t>MOD000123</t>
        </is>
      </c>
      <c r="H126" s="31" t="inlineStr">
        <is>
          <t>MFG001</t>
        </is>
      </c>
      <c r="I126" s="31" t="inlineStr">
        <is>
          <t>DF013</t>
        </is>
      </c>
      <c r="J126" s="31">
        <f>XLOOKUP([@ManufacturerID],tblManufacturerIDCrosswalk[LegacyManufacturerID],tblManufacturerIDCrosswalk[CanonicalManufacturerID],"")</f>
        <v/>
      </c>
      <c r="K126" s="33">
        <f>XLOOKUP([@DeviceFamilyID],tblDeviceFamilyIDCrosswalk[LegacyDeviceFamilyID],tblDeviceFamilyIDCrosswalk[CanonicalDeviceFamilyID],"")</f>
        <v/>
      </c>
      <c r="L126" s="33">
        <f>XLOOKUP([@DeviceTypeID],tblDeviceTypeIDCrosswalk[LegacyDeviceTypeID],tblDeviceTypeIDCrosswalk[CanonicalDeviceTypeID],"")</f>
        <v/>
      </c>
      <c r="M126" s="32">
        <f>XLOOKUP([@ManufacturerID],tblManufacturerIDCrosswalk[LegacyManufacturerID],tblManufacturerIDCrosswalk[MappingStatus],"No Crosswalk")</f>
        <v/>
      </c>
      <c r="N126" s="35">
        <f>XLOOKUP([@DeviceFamilyID],tblDeviceFamilyIDCrosswalk[LegacyDeviceFamilyID],tblDeviceFamilyIDCrosswalk[MappingStatus],"No Crosswalk")</f>
        <v/>
      </c>
      <c r="O126" s="35">
        <f>XLOOKUP([@DeviceTypeID],tblDeviceTypeIDCrosswalk[LegacyDeviceTypeID],tblDeviceTypeIDCrosswalk[MappingStatus],"No Crosswalk")</f>
        <v/>
      </c>
      <c r="P126">
        <f>IF(OR([@ManufacturerMappingStatus]&lt;&gt;"Approved",[@DeviceFamilyMappingStatus]&lt;&gt;"Approved",[@DeviceTypeMappingStatus]&lt;&gt;"Approved"),"Manual Review Required","Approved Crosswalk Available")</f>
        <v/>
      </c>
      <c r="Q126" t="inlineStr">
        <is>
          <t>Pending Review</t>
        </is>
      </c>
    </row>
    <row r="127" ht="21.5" customHeight="1" s="42">
      <c r="A127" s="36" t="n"/>
      <c r="B127" s="37" t="n"/>
      <c r="C127" s="37" t="n"/>
      <c r="D127" s="37" t="n"/>
      <c r="E127" s="38" t="n"/>
      <c r="F127" s="38" t="n"/>
      <c r="G127" s="10" t="inlineStr">
        <is>
          <t>MOD000124</t>
        </is>
      </c>
      <c r="H127" s="31" t="inlineStr">
        <is>
          <t>MFG001</t>
        </is>
      </c>
      <c r="I127" s="31" t="inlineStr">
        <is>
          <t>DF014</t>
        </is>
      </c>
      <c r="J127" s="31">
        <f>XLOOKUP([@ManufacturerID],tblManufacturerIDCrosswalk[LegacyManufacturerID],tblManufacturerIDCrosswalk[CanonicalManufacturerID],"")</f>
        <v/>
      </c>
      <c r="K127" s="33">
        <f>XLOOKUP([@DeviceFamilyID],tblDeviceFamilyIDCrosswalk[LegacyDeviceFamilyID],tblDeviceFamilyIDCrosswalk[CanonicalDeviceFamilyID],"")</f>
        <v/>
      </c>
      <c r="L127" s="33">
        <f>XLOOKUP([@DeviceTypeID],tblDeviceTypeIDCrosswalk[LegacyDeviceTypeID],tblDeviceTypeIDCrosswalk[CanonicalDeviceTypeID],"")</f>
        <v/>
      </c>
      <c r="M127" s="32">
        <f>XLOOKUP([@ManufacturerID],tblManufacturerIDCrosswalk[LegacyManufacturerID],tblManufacturerIDCrosswalk[MappingStatus],"No Crosswalk")</f>
        <v/>
      </c>
      <c r="N127" s="35">
        <f>XLOOKUP([@DeviceFamilyID],tblDeviceFamilyIDCrosswalk[LegacyDeviceFamilyID],tblDeviceFamilyIDCrosswalk[MappingStatus],"No Crosswalk")</f>
        <v/>
      </c>
      <c r="O127" s="35">
        <f>XLOOKUP([@DeviceTypeID],tblDeviceTypeIDCrosswalk[LegacyDeviceTypeID],tblDeviceTypeIDCrosswalk[MappingStatus],"No Crosswalk")</f>
        <v/>
      </c>
      <c r="P127">
        <f>IF(OR([@ManufacturerMappingStatus]&lt;&gt;"Approved",[@DeviceFamilyMappingStatus]&lt;&gt;"Approved",[@DeviceTypeMappingStatus]&lt;&gt;"Approved"),"Manual Review Required","Approved Crosswalk Available")</f>
        <v/>
      </c>
      <c r="Q127" t="inlineStr">
        <is>
          <t>Pending Review</t>
        </is>
      </c>
    </row>
    <row r="128" ht="21.5" customHeight="1" s="42">
      <c r="A128" s="36" t="n"/>
      <c r="B128" s="37" t="n"/>
      <c r="C128" s="37" t="n"/>
      <c r="D128" s="37" t="n"/>
      <c r="E128" s="38" t="n"/>
      <c r="F128" s="38" t="n"/>
      <c r="G128" s="10" t="inlineStr">
        <is>
          <t>MOD000125</t>
        </is>
      </c>
      <c r="H128" s="31" t="inlineStr">
        <is>
          <t>MFG001</t>
        </is>
      </c>
      <c r="I128" s="31" t="inlineStr">
        <is>
          <t>DF014</t>
        </is>
      </c>
      <c r="J128" s="31">
        <f>XLOOKUP([@ManufacturerID],tblManufacturerIDCrosswalk[LegacyManufacturerID],tblManufacturerIDCrosswalk[CanonicalManufacturerID],"")</f>
        <v/>
      </c>
      <c r="K128" s="33">
        <f>XLOOKUP([@DeviceFamilyID],tblDeviceFamilyIDCrosswalk[LegacyDeviceFamilyID],tblDeviceFamilyIDCrosswalk[CanonicalDeviceFamilyID],"")</f>
        <v/>
      </c>
      <c r="L128" s="33">
        <f>XLOOKUP([@DeviceTypeID],tblDeviceTypeIDCrosswalk[LegacyDeviceTypeID],tblDeviceTypeIDCrosswalk[CanonicalDeviceTypeID],"")</f>
        <v/>
      </c>
      <c r="M128" s="32">
        <f>XLOOKUP([@ManufacturerID],tblManufacturerIDCrosswalk[LegacyManufacturerID],tblManufacturerIDCrosswalk[MappingStatus],"No Crosswalk")</f>
        <v/>
      </c>
      <c r="N128" s="35">
        <f>XLOOKUP([@DeviceFamilyID],tblDeviceFamilyIDCrosswalk[LegacyDeviceFamilyID],tblDeviceFamilyIDCrosswalk[MappingStatus],"No Crosswalk")</f>
        <v/>
      </c>
      <c r="O128" s="35">
        <f>XLOOKUP([@DeviceTypeID],tblDeviceTypeIDCrosswalk[LegacyDeviceTypeID],tblDeviceTypeIDCrosswalk[MappingStatus],"No Crosswalk")</f>
        <v/>
      </c>
      <c r="P128">
        <f>IF(OR([@ManufacturerMappingStatus]&lt;&gt;"Approved",[@DeviceFamilyMappingStatus]&lt;&gt;"Approved",[@DeviceTypeMappingStatus]&lt;&gt;"Approved"),"Manual Review Required","Approved Crosswalk Available")</f>
        <v/>
      </c>
      <c r="Q128" t="inlineStr">
        <is>
          <t>Pending Review</t>
        </is>
      </c>
    </row>
    <row r="129" ht="21.5" customHeight="1" s="42">
      <c r="A129" s="36" t="n"/>
      <c r="B129" s="37" t="n"/>
      <c r="C129" s="37" t="n"/>
      <c r="D129" s="37" t="n"/>
      <c r="E129" s="38" t="n"/>
      <c r="F129" s="38" t="n"/>
      <c r="G129" s="10" t="inlineStr">
        <is>
          <t>MOD000126</t>
        </is>
      </c>
      <c r="H129" s="31" t="inlineStr">
        <is>
          <t>MFG001</t>
        </is>
      </c>
      <c r="I129" s="31" t="inlineStr">
        <is>
          <t>DF014</t>
        </is>
      </c>
      <c r="J129" s="31">
        <f>XLOOKUP([@ManufacturerID],tblManufacturerIDCrosswalk[LegacyManufacturerID],tblManufacturerIDCrosswalk[CanonicalManufacturerID],"")</f>
        <v/>
      </c>
      <c r="K129" s="33">
        <f>XLOOKUP([@DeviceFamilyID],tblDeviceFamilyIDCrosswalk[LegacyDeviceFamilyID],tblDeviceFamilyIDCrosswalk[CanonicalDeviceFamilyID],"")</f>
        <v/>
      </c>
      <c r="L129" s="33">
        <f>XLOOKUP([@DeviceTypeID],tblDeviceTypeIDCrosswalk[LegacyDeviceTypeID],tblDeviceTypeIDCrosswalk[CanonicalDeviceTypeID],"")</f>
        <v/>
      </c>
      <c r="M129" s="32">
        <f>XLOOKUP([@ManufacturerID],tblManufacturerIDCrosswalk[LegacyManufacturerID],tblManufacturerIDCrosswalk[MappingStatus],"No Crosswalk")</f>
        <v/>
      </c>
      <c r="N129" s="35">
        <f>XLOOKUP([@DeviceFamilyID],tblDeviceFamilyIDCrosswalk[LegacyDeviceFamilyID],tblDeviceFamilyIDCrosswalk[MappingStatus],"No Crosswalk")</f>
        <v/>
      </c>
      <c r="O129" s="35">
        <f>XLOOKUP([@DeviceTypeID],tblDeviceTypeIDCrosswalk[LegacyDeviceTypeID],tblDeviceTypeIDCrosswalk[MappingStatus],"No Crosswalk")</f>
        <v/>
      </c>
      <c r="P129">
        <f>IF(OR([@ManufacturerMappingStatus]&lt;&gt;"Approved",[@DeviceFamilyMappingStatus]&lt;&gt;"Approved",[@DeviceTypeMappingStatus]&lt;&gt;"Approved"),"Manual Review Required","Approved Crosswalk Available")</f>
        <v/>
      </c>
      <c r="Q129" t="inlineStr">
        <is>
          <t>Pending Review</t>
        </is>
      </c>
    </row>
    <row r="130" ht="21.5" customHeight="1" s="42">
      <c r="A130" s="36" t="n"/>
      <c r="B130" s="37" t="n"/>
      <c r="C130" s="37" t="n"/>
      <c r="D130" s="37" t="n"/>
      <c r="E130" s="38" t="n"/>
      <c r="F130" s="38" t="n"/>
      <c r="G130" s="10" t="inlineStr">
        <is>
          <t>MOD000127</t>
        </is>
      </c>
      <c r="H130" s="31" t="inlineStr">
        <is>
          <t>MFG001</t>
        </is>
      </c>
      <c r="I130" s="31" t="inlineStr">
        <is>
          <t>DF014</t>
        </is>
      </c>
      <c r="J130" s="31">
        <f>XLOOKUP([@ManufacturerID],tblManufacturerIDCrosswalk[LegacyManufacturerID],tblManufacturerIDCrosswalk[CanonicalManufacturerID],"")</f>
        <v/>
      </c>
      <c r="K130" s="33">
        <f>XLOOKUP([@DeviceFamilyID],tblDeviceFamilyIDCrosswalk[LegacyDeviceFamilyID],tblDeviceFamilyIDCrosswalk[CanonicalDeviceFamilyID],"")</f>
        <v/>
      </c>
      <c r="L130" s="33">
        <f>XLOOKUP([@DeviceTypeID],tblDeviceTypeIDCrosswalk[LegacyDeviceTypeID],tblDeviceTypeIDCrosswalk[CanonicalDeviceTypeID],"")</f>
        <v/>
      </c>
      <c r="M130" s="32">
        <f>XLOOKUP([@ManufacturerID],tblManufacturerIDCrosswalk[LegacyManufacturerID],tblManufacturerIDCrosswalk[MappingStatus],"No Crosswalk")</f>
        <v/>
      </c>
      <c r="N130" s="35">
        <f>XLOOKUP([@DeviceFamilyID],tblDeviceFamilyIDCrosswalk[LegacyDeviceFamilyID],tblDeviceFamilyIDCrosswalk[MappingStatus],"No Crosswalk")</f>
        <v/>
      </c>
      <c r="O130" s="35">
        <f>XLOOKUP([@DeviceTypeID],tblDeviceTypeIDCrosswalk[LegacyDeviceTypeID],tblDeviceTypeIDCrosswalk[MappingStatus],"No Crosswalk")</f>
        <v/>
      </c>
      <c r="P130">
        <f>IF(OR([@ManufacturerMappingStatus]&lt;&gt;"Approved",[@DeviceFamilyMappingStatus]&lt;&gt;"Approved",[@DeviceTypeMappingStatus]&lt;&gt;"Approved"),"Manual Review Required","Approved Crosswalk Available")</f>
        <v/>
      </c>
      <c r="Q130" t="inlineStr">
        <is>
          <t>Pending Review</t>
        </is>
      </c>
    </row>
    <row r="131" ht="21.5" customHeight="1" s="42">
      <c r="A131" s="36" t="n"/>
      <c r="B131" s="37" t="n"/>
      <c r="C131" s="37" t="n"/>
      <c r="D131" s="37" t="n"/>
      <c r="E131" s="38" t="n"/>
      <c r="F131" s="38" t="n"/>
      <c r="G131" s="10" t="inlineStr">
        <is>
          <t>MOD000128</t>
        </is>
      </c>
      <c r="H131" s="31" t="inlineStr">
        <is>
          <t>MFG001</t>
        </is>
      </c>
      <c r="I131" s="31" t="inlineStr">
        <is>
          <t>DF014</t>
        </is>
      </c>
      <c r="J131" s="31">
        <f>XLOOKUP([@ManufacturerID],tblManufacturerIDCrosswalk[LegacyManufacturerID],tblManufacturerIDCrosswalk[CanonicalManufacturerID],"")</f>
        <v/>
      </c>
      <c r="K131" s="33">
        <f>XLOOKUP([@DeviceFamilyID],tblDeviceFamilyIDCrosswalk[LegacyDeviceFamilyID],tblDeviceFamilyIDCrosswalk[CanonicalDeviceFamilyID],"")</f>
        <v/>
      </c>
      <c r="L131" s="33">
        <f>XLOOKUP([@DeviceTypeID],tblDeviceTypeIDCrosswalk[LegacyDeviceTypeID],tblDeviceTypeIDCrosswalk[CanonicalDeviceTypeID],"")</f>
        <v/>
      </c>
      <c r="M131" s="32">
        <f>XLOOKUP([@ManufacturerID],tblManufacturerIDCrosswalk[LegacyManufacturerID],tblManufacturerIDCrosswalk[MappingStatus],"No Crosswalk")</f>
        <v/>
      </c>
      <c r="N131" s="35">
        <f>XLOOKUP([@DeviceFamilyID],tblDeviceFamilyIDCrosswalk[LegacyDeviceFamilyID],tblDeviceFamilyIDCrosswalk[MappingStatus],"No Crosswalk")</f>
        <v/>
      </c>
      <c r="O131" s="35">
        <f>XLOOKUP([@DeviceTypeID],tblDeviceTypeIDCrosswalk[LegacyDeviceTypeID],tblDeviceTypeIDCrosswalk[MappingStatus],"No Crosswalk")</f>
        <v/>
      </c>
      <c r="P131">
        <f>IF(OR([@ManufacturerMappingStatus]&lt;&gt;"Approved",[@DeviceFamilyMappingStatus]&lt;&gt;"Approved",[@DeviceTypeMappingStatus]&lt;&gt;"Approved"),"Manual Review Required","Approved Crosswalk Available")</f>
        <v/>
      </c>
      <c r="Q131" t="inlineStr">
        <is>
          <t>Pending Review</t>
        </is>
      </c>
    </row>
    <row r="132" ht="21.5" customHeight="1" s="42">
      <c r="A132" s="36" t="n"/>
      <c r="B132" s="37" t="n"/>
      <c r="C132" s="37" t="n"/>
      <c r="D132" s="37" t="n"/>
      <c r="E132" s="38" t="n"/>
      <c r="F132" s="38" t="n"/>
      <c r="G132" s="10" t="inlineStr">
        <is>
          <t>MOD000129</t>
        </is>
      </c>
      <c r="H132" s="31" t="inlineStr">
        <is>
          <t>MFG001</t>
        </is>
      </c>
      <c r="I132" s="31" t="inlineStr">
        <is>
          <t>DF014</t>
        </is>
      </c>
      <c r="J132" s="31">
        <f>XLOOKUP([@ManufacturerID],tblManufacturerIDCrosswalk[LegacyManufacturerID],tblManufacturerIDCrosswalk[CanonicalManufacturerID],"")</f>
        <v/>
      </c>
      <c r="K132" s="33">
        <f>XLOOKUP([@DeviceFamilyID],tblDeviceFamilyIDCrosswalk[LegacyDeviceFamilyID],tblDeviceFamilyIDCrosswalk[CanonicalDeviceFamilyID],"")</f>
        <v/>
      </c>
      <c r="L132" s="33">
        <f>XLOOKUP([@DeviceTypeID],tblDeviceTypeIDCrosswalk[LegacyDeviceTypeID],tblDeviceTypeIDCrosswalk[CanonicalDeviceTypeID],"")</f>
        <v/>
      </c>
      <c r="M132" s="32">
        <f>XLOOKUP([@ManufacturerID],tblManufacturerIDCrosswalk[LegacyManufacturerID],tblManufacturerIDCrosswalk[MappingStatus],"No Crosswalk")</f>
        <v/>
      </c>
      <c r="N132" s="35">
        <f>XLOOKUP([@DeviceFamilyID],tblDeviceFamilyIDCrosswalk[LegacyDeviceFamilyID],tblDeviceFamilyIDCrosswalk[MappingStatus],"No Crosswalk")</f>
        <v/>
      </c>
      <c r="O132" s="35">
        <f>XLOOKUP([@DeviceTypeID],tblDeviceTypeIDCrosswalk[LegacyDeviceTypeID],tblDeviceTypeIDCrosswalk[MappingStatus],"No Crosswalk")</f>
        <v/>
      </c>
      <c r="P132">
        <f>IF(OR([@ManufacturerMappingStatus]&lt;&gt;"Approved",[@DeviceFamilyMappingStatus]&lt;&gt;"Approved",[@DeviceTypeMappingStatus]&lt;&gt;"Approved"),"Manual Review Required","Approved Crosswalk Available")</f>
        <v/>
      </c>
      <c r="Q132" t="inlineStr">
        <is>
          <t>Pending Review</t>
        </is>
      </c>
    </row>
    <row r="133" ht="21.5" customHeight="1" s="42">
      <c r="A133" s="36" t="n"/>
      <c r="B133" s="37" t="n"/>
      <c r="C133" s="37" t="n"/>
      <c r="D133" s="37" t="n"/>
      <c r="E133" s="38" t="n"/>
      <c r="F133" s="38" t="n"/>
      <c r="G133" s="10" t="inlineStr">
        <is>
          <t>MOD000130</t>
        </is>
      </c>
      <c r="H133" s="31" t="inlineStr">
        <is>
          <t>MFG001</t>
        </is>
      </c>
      <c r="I133" s="31" t="inlineStr">
        <is>
          <t>DF014</t>
        </is>
      </c>
      <c r="J133" s="31">
        <f>XLOOKUP([@ManufacturerID],tblManufacturerIDCrosswalk[LegacyManufacturerID],tblManufacturerIDCrosswalk[CanonicalManufacturerID],"")</f>
        <v/>
      </c>
      <c r="K133" s="33">
        <f>XLOOKUP([@DeviceFamilyID],tblDeviceFamilyIDCrosswalk[LegacyDeviceFamilyID],tblDeviceFamilyIDCrosswalk[CanonicalDeviceFamilyID],"")</f>
        <v/>
      </c>
      <c r="L133" s="33">
        <f>XLOOKUP([@DeviceTypeID],tblDeviceTypeIDCrosswalk[LegacyDeviceTypeID],tblDeviceTypeIDCrosswalk[CanonicalDeviceTypeID],"")</f>
        <v/>
      </c>
      <c r="M133" s="32">
        <f>XLOOKUP([@ManufacturerID],tblManufacturerIDCrosswalk[LegacyManufacturerID],tblManufacturerIDCrosswalk[MappingStatus],"No Crosswalk")</f>
        <v/>
      </c>
      <c r="N133" s="35">
        <f>XLOOKUP([@DeviceFamilyID],tblDeviceFamilyIDCrosswalk[LegacyDeviceFamilyID],tblDeviceFamilyIDCrosswalk[MappingStatus],"No Crosswalk")</f>
        <v/>
      </c>
      <c r="O133" s="35">
        <f>XLOOKUP([@DeviceTypeID],tblDeviceTypeIDCrosswalk[LegacyDeviceTypeID],tblDeviceTypeIDCrosswalk[MappingStatus],"No Crosswalk")</f>
        <v/>
      </c>
      <c r="P133">
        <f>IF(OR([@ManufacturerMappingStatus]&lt;&gt;"Approved",[@DeviceFamilyMappingStatus]&lt;&gt;"Approved",[@DeviceTypeMappingStatus]&lt;&gt;"Approved"),"Manual Review Required","Approved Crosswalk Available")</f>
        <v/>
      </c>
      <c r="Q133" t="inlineStr">
        <is>
          <t>Pending Review</t>
        </is>
      </c>
    </row>
    <row r="134" ht="21.5" customHeight="1" s="42">
      <c r="A134" s="36" t="n"/>
      <c r="B134" s="37" t="n"/>
      <c r="C134" s="37" t="n"/>
      <c r="D134" s="37" t="n"/>
      <c r="E134" s="38" t="n"/>
      <c r="F134" s="38" t="n"/>
      <c r="G134" s="10" t="inlineStr">
        <is>
          <t>MOD000131</t>
        </is>
      </c>
      <c r="H134" s="31" t="inlineStr">
        <is>
          <t>MFG001</t>
        </is>
      </c>
      <c r="I134" s="31" t="inlineStr">
        <is>
          <t>DF014</t>
        </is>
      </c>
      <c r="J134" s="31">
        <f>XLOOKUP([@ManufacturerID],tblManufacturerIDCrosswalk[LegacyManufacturerID],tblManufacturerIDCrosswalk[CanonicalManufacturerID],"")</f>
        <v/>
      </c>
      <c r="K134" s="33">
        <f>XLOOKUP([@DeviceFamilyID],tblDeviceFamilyIDCrosswalk[LegacyDeviceFamilyID],tblDeviceFamilyIDCrosswalk[CanonicalDeviceFamilyID],"")</f>
        <v/>
      </c>
      <c r="L134" s="33">
        <f>XLOOKUP([@DeviceTypeID],tblDeviceTypeIDCrosswalk[LegacyDeviceTypeID],tblDeviceTypeIDCrosswalk[CanonicalDeviceTypeID],"")</f>
        <v/>
      </c>
      <c r="M134" s="32">
        <f>XLOOKUP([@ManufacturerID],tblManufacturerIDCrosswalk[LegacyManufacturerID],tblManufacturerIDCrosswalk[MappingStatus],"No Crosswalk")</f>
        <v/>
      </c>
      <c r="N134" s="35">
        <f>XLOOKUP([@DeviceFamilyID],tblDeviceFamilyIDCrosswalk[LegacyDeviceFamilyID],tblDeviceFamilyIDCrosswalk[MappingStatus],"No Crosswalk")</f>
        <v/>
      </c>
      <c r="O134" s="35">
        <f>XLOOKUP([@DeviceTypeID],tblDeviceTypeIDCrosswalk[LegacyDeviceTypeID],tblDeviceTypeIDCrosswalk[MappingStatus],"No Crosswalk")</f>
        <v/>
      </c>
      <c r="P134">
        <f>IF(OR([@ManufacturerMappingStatus]&lt;&gt;"Approved",[@DeviceFamilyMappingStatus]&lt;&gt;"Approved",[@DeviceTypeMappingStatus]&lt;&gt;"Approved"),"Manual Review Required","Approved Crosswalk Available")</f>
        <v/>
      </c>
      <c r="Q134" t="inlineStr">
        <is>
          <t>Pending Review</t>
        </is>
      </c>
    </row>
    <row r="135" ht="21.5" customHeight="1" s="42">
      <c r="A135" s="36" t="n"/>
      <c r="B135" s="37" t="n"/>
      <c r="C135" s="37" t="n"/>
      <c r="D135" s="37" t="n"/>
      <c r="E135" s="38" t="n"/>
      <c r="F135" s="38" t="n"/>
      <c r="G135" s="10" t="inlineStr">
        <is>
          <t>MOD000132</t>
        </is>
      </c>
      <c r="H135" s="31" t="inlineStr">
        <is>
          <t>MFG001</t>
        </is>
      </c>
      <c r="I135" s="31" t="inlineStr">
        <is>
          <t>DF014</t>
        </is>
      </c>
      <c r="J135" s="31">
        <f>XLOOKUP([@ManufacturerID],tblManufacturerIDCrosswalk[LegacyManufacturerID],tblManufacturerIDCrosswalk[CanonicalManufacturerID],"")</f>
        <v/>
      </c>
      <c r="K135" s="33">
        <f>XLOOKUP([@DeviceFamilyID],tblDeviceFamilyIDCrosswalk[LegacyDeviceFamilyID],tblDeviceFamilyIDCrosswalk[CanonicalDeviceFamilyID],"")</f>
        <v/>
      </c>
      <c r="L135" s="33">
        <f>XLOOKUP([@DeviceTypeID],tblDeviceTypeIDCrosswalk[LegacyDeviceTypeID],tblDeviceTypeIDCrosswalk[CanonicalDeviceTypeID],"")</f>
        <v/>
      </c>
      <c r="M135" s="32">
        <f>XLOOKUP([@ManufacturerID],tblManufacturerIDCrosswalk[LegacyManufacturerID],tblManufacturerIDCrosswalk[MappingStatus],"No Crosswalk")</f>
        <v/>
      </c>
      <c r="N135" s="35">
        <f>XLOOKUP([@DeviceFamilyID],tblDeviceFamilyIDCrosswalk[LegacyDeviceFamilyID],tblDeviceFamilyIDCrosswalk[MappingStatus],"No Crosswalk")</f>
        <v/>
      </c>
      <c r="O135" s="35">
        <f>XLOOKUP([@DeviceTypeID],tblDeviceTypeIDCrosswalk[LegacyDeviceTypeID],tblDeviceTypeIDCrosswalk[MappingStatus],"No Crosswalk")</f>
        <v/>
      </c>
      <c r="P135">
        <f>IF(OR([@ManufacturerMappingStatus]&lt;&gt;"Approved",[@DeviceFamilyMappingStatus]&lt;&gt;"Approved",[@DeviceTypeMappingStatus]&lt;&gt;"Approved"),"Manual Review Required","Approved Crosswalk Available")</f>
        <v/>
      </c>
      <c r="Q135" t="inlineStr">
        <is>
          <t>Pending Review</t>
        </is>
      </c>
    </row>
    <row r="136" ht="21.5" customHeight="1" s="42">
      <c r="A136" s="36" t="n"/>
      <c r="B136" s="37" t="n"/>
      <c r="C136" s="37" t="n"/>
      <c r="D136" s="37" t="n"/>
      <c r="E136" s="38" t="n"/>
      <c r="F136" s="38" t="n"/>
      <c r="G136" s="10" t="inlineStr">
        <is>
          <t>MOD000133</t>
        </is>
      </c>
      <c r="H136" s="31" t="inlineStr">
        <is>
          <t>MFG001</t>
        </is>
      </c>
      <c r="I136" s="31" t="inlineStr">
        <is>
          <t>DF014</t>
        </is>
      </c>
      <c r="J136" s="31">
        <f>XLOOKUP([@ManufacturerID],tblManufacturerIDCrosswalk[LegacyManufacturerID],tblManufacturerIDCrosswalk[CanonicalManufacturerID],"")</f>
        <v/>
      </c>
      <c r="K136" s="33">
        <f>XLOOKUP([@DeviceFamilyID],tblDeviceFamilyIDCrosswalk[LegacyDeviceFamilyID],tblDeviceFamilyIDCrosswalk[CanonicalDeviceFamilyID],"")</f>
        <v/>
      </c>
      <c r="L136" s="33">
        <f>XLOOKUP([@DeviceTypeID],tblDeviceTypeIDCrosswalk[LegacyDeviceTypeID],tblDeviceTypeIDCrosswalk[CanonicalDeviceTypeID],"")</f>
        <v/>
      </c>
      <c r="M136" s="32">
        <f>XLOOKUP([@ManufacturerID],tblManufacturerIDCrosswalk[LegacyManufacturerID],tblManufacturerIDCrosswalk[MappingStatus],"No Crosswalk")</f>
        <v/>
      </c>
      <c r="N136" s="35">
        <f>XLOOKUP([@DeviceFamilyID],tblDeviceFamilyIDCrosswalk[LegacyDeviceFamilyID],tblDeviceFamilyIDCrosswalk[MappingStatus],"No Crosswalk")</f>
        <v/>
      </c>
      <c r="O136" s="35">
        <f>XLOOKUP([@DeviceTypeID],tblDeviceTypeIDCrosswalk[LegacyDeviceTypeID],tblDeviceTypeIDCrosswalk[MappingStatus],"No Crosswalk")</f>
        <v/>
      </c>
      <c r="P136">
        <f>IF(OR([@ManufacturerMappingStatus]&lt;&gt;"Approved",[@DeviceFamilyMappingStatus]&lt;&gt;"Approved",[@DeviceTypeMappingStatus]&lt;&gt;"Approved"),"Manual Review Required","Approved Crosswalk Available")</f>
        <v/>
      </c>
      <c r="Q136" t="inlineStr">
        <is>
          <t>Pending Review</t>
        </is>
      </c>
    </row>
    <row r="137" ht="21.5" customHeight="1" s="42">
      <c r="A137" s="36" t="n"/>
      <c r="B137" s="37" t="n"/>
      <c r="C137" s="37" t="n"/>
      <c r="D137" s="37" t="n"/>
      <c r="E137" s="38" t="n"/>
      <c r="F137" s="38" t="n"/>
      <c r="G137" s="10" t="inlineStr">
        <is>
          <t>MOD000134</t>
        </is>
      </c>
      <c r="H137" s="31" t="inlineStr">
        <is>
          <t>MFG001</t>
        </is>
      </c>
      <c r="I137" s="31" t="inlineStr">
        <is>
          <t>DF014</t>
        </is>
      </c>
      <c r="J137" s="31">
        <f>XLOOKUP([@ManufacturerID],tblManufacturerIDCrosswalk[LegacyManufacturerID],tblManufacturerIDCrosswalk[CanonicalManufacturerID],"")</f>
        <v/>
      </c>
      <c r="K137" s="33">
        <f>XLOOKUP([@DeviceFamilyID],tblDeviceFamilyIDCrosswalk[LegacyDeviceFamilyID],tblDeviceFamilyIDCrosswalk[CanonicalDeviceFamilyID],"")</f>
        <v/>
      </c>
      <c r="L137" s="33">
        <f>XLOOKUP([@DeviceTypeID],tblDeviceTypeIDCrosswalk[LegacyDeviceTypeID],tblDeviceTypeIDCrosswalk[CanonicalDeviceTypeID],"")</f>
        <v/>
      </c>
      <c r="M137" s="32">
        <f>XLOOKUP([@ManufacturerID],tblManufacturerIDCrosswalk[LegacyManufacturerID],tblManufacturerIDCrosswalk[MappingStatus],"No Crosswalk")</f>
        <v/>
      </c>
      <c r="N137" s="35">
        <f>XLOOKUP([@DeviceFamilyID],tblDeviceFamilyIDCrosswalk[LegacyDeviceFamilyID],tblDeviceFamilyIDCrosswalk[MappingStatus],"No Crosswalk")</f>
        <v/>
      </c>
      <c r="O137" s="35">
        <f>XLOOKUP([@DeviceTypeID],tblDeviceTypeIDCrosswalk[LegacyDeviceTypeID],tblDeviceTypeIDCrosswalk[MappingStatus],"No Crosswalk")</f>
        <v/>
      </c>
      <c r="P137">
        <f>IF(OR([@ManufacturerMappingStatus]&lt;&gt;"Approved",[@DeviceFamilyMappingStatus]&lt;&gt;"Approved",[@DeviceTypeMappingStatus]&lt;&gt;"Approved"),"Manual Review Required","Approved Crosswalk Available")</f>
        <v/>
      </c>
      <c r="Q137" t="inlineStr">
        <is>
          <t>Pending Review</t>
        </is>
      </c>
    </row>
    <row r="138" ht="21.5" customHeight="1" s="42">
      <c r="A138" s="36" t="n"/>
      <c r="B138" s="37" t="n"/>
      <c r="C138" s="37" t="n"/>
      <c r="D138" s="37" t="n"/>
      <c r="E138" s="38" t="n"/>
      <c r="F138" s="38" t="n"/>
      <c r="G138" s="10" t="inlineStr">
        <is>
          <t>MOD000135</t>
        </is>
      </c>
      <c r="H138" s="31" t="inlineStr">
        <is>
          <t>MFG001</t>
        </is>
      </c>
      <c r="I138" s="31" t="inlineStr">
        <is>
          <t>DF014</t>
        </is>
      </c>
      <c r="J138" s="31">
        <f>XLOOKUP([@ManufacturerID],tblManufacturerIDCrosswalk[LegacyManufacturerID],tblManufacturerIDCrosswalk[CanonicalManufacturerID],"")</f>
        <v/>
      </c>
      <c r="K138" s="33">
        <f>XLOOKUP([@DeviceFamilyID],tblDeviceFamilyIDCrosswalk[LegacyDeviceFamilyID],tblDeviceFamilyIDCrosswalk[CanonicalDeviceFamilyID],"")</f>
        <v/>
      </c>
      <c r="L138" s="33">
        <f>XLOOKUP([@DeviceTypeID],tblDeviceTypeIDCrosswalk[LegacyDeviceTypeID],tblDeviceTypeIDCrosswalk[CanonicalDeviceTypeID],"")</f>
        <v/>
      </c>
      <c r="M138" s="32">
        <f>XLOOKUP([@ManufacturerID],tblManufacturerIDCrosswalk[LegacyManufacturerID],tblManufacturerIDCrosswalk[MappingStatus],"No Crosswalk")</f>
        <v/>
      </c>
      <c r="N138" s="35">
        <f>XLOOKUP([@DeviceFamilyID],tblDeviceFamilyIDCrosswalk[LegacyDeviceFamilyID],tblDeviceFamilyIDCrosswalk[MappingStatus],"No Crosswalk")</f>
        <v/>
      </c>
      <c r="O138" s="35">
        <f>XLOOKUP([@DeviceTypeID],tblDeviceTypeIDCrosswalk[LegacyDeviceTypeID],tblDeviceTypeIDCrosswalk[MappingStatus],"No Crosswalk")</f>
        <v/>
      </c>
      <c r="P138">
        <f>IF(OR([@ManufacturerMappingStatus]&lt;&gt;"Approved",[@DeviceFamilyMappingStatus]&lt;&gt;"Approved",[@DeviceTypeMappingStatus]&lt;&gt;"Approved"),"Manual Review Required","Approved Crosswalk Available")</f>
        <v/>
      </c>
      <c r="Q138" t="inlineStr">
        <is>
          <t>Pending Review</t>
        </is>
      </c>
    </row>
    <row r="139" ht="21.5" customHeight="1" s="42">
      <c r="A139" s="36" t="n"/>
      <c r="B139" s="37" t="n"/>
      <c r="C139" s="37" t="n"/>
      <c r="D139" s="37" t="n"/>
      <c r="E139" s="38" t="n"/>
      <c r="F139" s="38" t="n"/>
      <c r="G139" s="10" t="inlineStr">
        <is>
          <t>MOD000136</t>
        </is>
      </c>
      <c r="H139" s="31" t="inlineStr">
        <is>
          <t>MFG001</t>
        </is>
      </c>
      <c r="I139" s="31" t="inlineStr">
        <is>
          <t>DF014</t>
        </is>
      </c>
      <c r="J139" s="31">
        <f>XLOOKUP([@ManufacturerID],tblManufacturerIDCrosswalk[LegacyManufacturerID],tblManufacturerIDCrosswalk[CanonicalManufacturerID],"")</f>
        <v/>
      </c>
      <c r="K139" s="33">
        <f>XLOOKUP([@DeviceFamilyID],tblDeviceFamilyIDCrosswalk[LegacyDeviceFamilyID],tblDeviceFamilyIDCrosswalk[CanonicalDeviceFamilyID],"")</f>
        <v/>
      </c>
      <c r="L139" s="33">
        <f>XLOOKUP([@DeviceTypeID],tblDeviceTypeIDCrosswalk[LegacyDeviceTypeID],tblDeviceTypeIDCrosswalk[CanonicalDeviceTypeID],"")</f>
        <v/>
      </c>
      <c r="M139" s="32">
        <f>XLOOKUP([@ManufacturerID],tblManufacturerIDCrosswalk[LegacyManufacturerID],tblManufacturerIDCrosswalk[MappingStatus],"No Crosswalk")</f>
        <v/>
      </c>
      <c r="N139" s="35">
        <f>XLOOKUP([@DeviceFamilyID],tblDeviceFamilyIDCrosswalk[LegacyDeviceFamilyID],tblDeviceFamilyIDCrosswalk[MappingStatus],"No Crosswalk")</f>
        <v/>
      </c>
      <c r="O139" s="35">
        <f>XLOOKUP([@DeviceTypeID],tblDeviceTypeIDCrosswalk[LegacyDeviceTypeID],tblDeviceTypeIDCrosswalk[MappingStatus],"No Crosswalk")</f>
        <v/>
      </c>
      <c r="P139">
        <f>IF(OR([@ManufacturerMappingStatus]&lt;&gt;"Approved",[@DeviceFamilyMappingStatus]&lt;&gt;"Approved",[@DeviceTypeMappingStatus]&lt;&gt;"Approved"),"Manual Review Required","Approved Crosswalk Available")</f>
        <v/>
      </c>
      <c r="Q139" t="inlineStr">
        <is>
          <t>Pending Review</t>
        </is>
      </c>
    </row>
    <row r="140" ht="21.5" customHeight="1" s="42">
      <c r="A140" s="36" t="n"/>
      <c r="B140" s="37" t="n"/>
      <c r="C140" s="37" t="n"/>
      <c r="D140" s="37" t="n"/>
      <c r="E140" s="38" t="n"/>
      <c r="F140" s="38" t="n"/>
      <c r="G140" s="10" t="inlineStr">
        <is>
          <t>MOD000137</t>
        </is>
      </c>
      <c r="H140" s="31" t="inlineStr">
        <is>
          <t>MFG001</t>
        </is>
      </c>
      <c r="I140" s="31" t="inlineStr">
        <is>
          <t>DF014</t>
        </is>
      </c>
      <c r="J140" s="31">
        <f>XLOOKUP([@ManufacturerID],tblManufacturerIDCrosswalk[LegacyManufacturerID],tblManufacturerIDCrosswalk[CanonicalManufacturerID],"")</f>
        <v/>
      </c>
      <c r="K140" s="33">
        <f>XLOOKUP([@DeviceFamilyID],tblDeviceFamilyIDCrosswalk[LegacyDeviceFamilyID],tblDeviceFamilyIDCrosswalk[CanonicalDeviceFamilyID],"")</f>
        <v/>
      </c>
      <c r="L140" s="33">
        <f>XLOOKUP([@DeviceTypeID],tblDeviceTypeIDCrosswalk[LegacyDeviceTypeID],tblDeviceTypeIDCrosswalk[CanonicalDeviceTypeID],"")</f>
        <v/>
      </c>
      <c r="M140" s="32">
        <f>XLOOKUP([@ManufacturerID],tblManufacturerIDCrosswalk[LegacyManufacturerID],tblManufacturerIDCrosswalk[MappingStatus],"No Crosswalk")</f>
        <v/>
      </c>
      <c r="N140" s="35">
        <f>XLOOKUP([@DeviceFamilyID],tblDeviceFamilyIDCrosswalk[LegacyDeviceFamilyID],tblDeviceFamilyIDCrosswalk[MappingStatus],"No Crosswalk")</f>
        <v/>
      </c>
      <c r="O140" s="35">
        <f>XLOOKUP([@DeviceTypeID],tblDeviceTypeIDCrosswalk[LegacyDeviceTypeID],tblDeviceTypeIDCrosswalk[MappingStatus],"No Crosswalk")</f>
        <v/>
      </c>
      <c r="P140">
        <f>IF(OR([@ManufacturerMappingStatus]&lt;&gt;"Approved",[@DeviceFamilyMappingStatus]&lt;&gt;"Approved",[@DeviceTypeMappingStatus]&lt;&gt;"Approved"),"Manual Review Required","Approved Crosswalk Available")</f>
        <v/>
      </c>
      <c r="Q140" t="inlineStr">
        <is>
          <t>Pending Review</t>
        </is>
      </c>
    </row>
    <row r="141" ht="21.5" customHeight="1" s="42">
      <c r="A141" s="36" t="n"/>
      <c r="B141" s="37" t="n"/>
      <c r="C141" s="37" t="n"/>
      <c r="D141" s="37" t="n"/>
      <c r="E141" s="38" t="n"/>
      <c r="F141" s="38" t="n"/>
      <c r="G141" s="10" t="inlineStr">
        <is>
          <t>MOD000138</t>
        </is>
      </c>
      <c r="H141" s="31" t="inlineStr">
        <is>
          <t>MFG001</t>
        </is>
      </c>
      <c r="I141" s="31" t="inlineStr">
        <is>
          <t>DF014</t>
        </is>
      </c>
      <c r="J141" s="31">
        <f>XLOOKUP([@ManufacturerID],tblManufacturerIDCrosswalk[LegacyManufacturerID],tblManufacturerIDCrosswalk[CanonicalManufacturerID],"")</f>
        <v/>
      </c>
      <c r="K141" s="33">
        <f>XLOOKUP([@DeviceFamilyID],tblDeviceFamilyIDCrosswalk[LegacyDeviceFamilyID],tblDeviceFamilyIDCrosswalk[CanonicalDeviceFamilyID],"")</f>
        <v/>
      </c>
      <c r="L141" s="33">
        <f>XLOOKUP([@DeviceTypeID],tblDeviceTypeIDCrosswalk[LegacyDeviceTypeID],tblDeviceTypeIDCrosswalk[CanonicalDeviceTypeID],"")</f>
        <v/>
      </c>
      <c r="M141" s="32">
        <f>XLOOKUP([@ManufacturerID],tblManufacturerIDCrosswalk[LegacyManufacturerID],tblManufacturerIDCrosswalk[MappingStatus],"No Crosswalk")</f>
        <v/>
      </c>
      <c r="N141" s="35">
        <f>XLOOKUP([@DeviceFamilyID],tblDeviceFamilyIDCrosswalk[LegacyDeviceFamilyID],tblDeviceFamilyIDCrosswalk[MappingStatus],"No Crosswalk")</f>
        <v/>
      </c>
      <c r="O141" s="35">
        <f>XLOOKUP([@DeviceTypeID],tblDeviceTypeIDCrosswalk[LegacyDeviceTypeID],tblDeviceTypeIDCrosswalk[MappingStatus],"No Crosswalk")</f>
        <v/>
      </c>
      <c r="P141">
        <f>IF(OR([@ManufacturerMappingStatus]&lt;&gt;"Approved",[@DeviceFamilyMappingStatus]&lt;&gt;"Approved",[@DeviceTypeMappingStatus]&lt;&gt;"Approved"),"Manual Review Required","Approved Crosswalk Available")</f>
        <v/>
      </c>
      <c r="Q141" t="inlineStr">
        <is>
          <t>Pending Review</t>
        </is>
      </c>
    </row>
    <row r="142" ht="21.5" customHeight="1" s="42">
      <c r="A142" s="36" t="n"/>
      <c r="B142" s="37" t="n"/>
      <c r="C142" s="37" t="n"/>
      <c r="D142" s="37" t="n"/>
      <c r="E142" s="38" t="n"/>
      <c r="F142" s="38" t="n"/>
      <c r="G142" s="10" t="inlineStr">
        <is>
          <t>MOD000139</t>
        </is>
      </c>
      <c r="H142" s="31" t="inlineStr">
        <is>
          <t>MFG001</t>
        </is>
      </c>
      <c r="I142" s="31" t="inlineStr">
        <is>
          <t>DF015</t>
        </is>
      </c>
      <c r="J142" s="31">
        <f>XLOOKUP([@ManufacturerID],tblManufacturerIDCrosswalk[LegacyManufacturerID],tblManufacturerIDCrosswalk[CanonicalManufacturerID],"")</f>
        <v/>
      </c>
      <c r="K142" s="33">
        <f>XLOOKUP([@DeviceFamilyID],tblDeviceFamilyIDCrosswalk[LegacyDeviceFamilyID],tblDeviceFamilyIDCrosswalk[CanonicalDeviceFamilyID],"")</f>
        <v/>
      </c>
      <c r="L142" s="33">
        <f>XLOOKUP([@DeviceTypeID],tblDeviceTypeIDCrosswalk[LegacyDeviceTypeID],tblDeviceTypeIDCrosswalk[CanonicalDeviceTypeID],"")</f>
        <v/>
      </c>
      <c r="M142" s="32">
        <f>XLOOKUP([@ManufacturerID],tblManufacturerIDCrosswalk[LegacyManufacturerID],tblManufacturerIDCrosswalk[MappingStatus],"No Crosswalk")</f>
        <v/>
      </c>
      <c r="N142" s="35">
        <f>XLOOKUP([@DeviceFamilyID],tblDeviceFamilyIDCrosswalk[LegacyDeviceFamilyID],tblDeviceFamilyIDCrosswalk[MappingStatus],"No Crosswalk")</f>
        <v/>
      </c>
      <c r="O142" s="35">
        <f>XLOOKUP([@DeviceTypeID],tblDeviceTypeIDCrosswalk[LegacyDeviceTypeID],tblDeviceTypeIDCrosswalk[MappingStatus],"No Crosswalk")</f>
        <v/>
      </c>
      <c r="P142">
        <f>IF(OR([@ManufacturerMappingStatus]&lt;&gt;"Approved",[@DeviceFamilyMappingStatus]&lt;&gt;"Approved",[@DeviceTypeMappingStatus]&lt;&gt;"Approved"),"Manual Review Required","Approved Crosswalk Available")</f>
        <v/>
      </c>
      <c r="Q142" t="inlineStr">
        <is>
          <t>Pending Review</t>
        </is>
      </c>
    </row>
    <row r="143" ht="21.5" customHeight="1" s="42">
      <c r="A143" s="36" t="n"/>
      <c r="B143" s="37" t="n"/>
      <c r="C143" s="37" t="n"/>
      <c r="D143" s="37" t="n"/>
      <c r="E143" s="38" t="n"/>
      <c r="F143" s="38" t="n"/>
      <c r="G143" s="10" t="inlineStr">
        <is>
          <t>MOD000140</t>
        </is>
      </c>
      <c r="H143" s="31" t="inlineStr">
        <is>
          <t>MFG001</t>
        </is>
      </c>
      <c r="I143" s="31" t="inlineStr">
        <is>
          <t>DF015</t>
        </is>
      </c>
      <c r="J143" s="31">
        <f>XLOOKUP([@ManufacturerID],tblManufacturerIDCrosswalk[LegacyManufacturerID],tblManufacturerIDCrosswalk[CanonicalManufacturerID],"")</f>
        <v/>
      </c>
      <c r="K143" s="33">
        <f>XLOOKUP([@DeviceFamilyID],tblDeviceFamilyIDCrosswalk[LegacyDeviceFamilyID],tblDeviceFamilyIDCrosswalk[CanonicalDeviceFamilyID],"")</f>
        <v/>
      </c>
      <c r="L143" s="33">
        <f>XLOOKUP([@DeviceTypeID],tblDeviceTypeIDCrosswalk[LegacyDeviceTypeID],tblDeviceTypeIDCrosswalk[CanonicalDeviceTypeID],"")</f>
        <v/>
      </c>
      <c r="M143" s="32">
        <f>XLOOKUP([@ManufacturerID],tblManufacturerIDCrosswalk[LegacyManufacturerID],tblManufacturerIDCrosswalk[MappingStatus],"No Crosswalk")</f>
        <v/>
      </c>
      <c r="N143" s="35">
        <f>XLOOKUP([@DeviceFamilyID],tblDeviceFamilyIDCrosswalk[LegacyDeviceFamilyID],tblDeviceFamilyIDCrosswalk[MappingStatus],"No Crosswalk")</f>
        <v/>
      </c>
      <c r="O143" s="35">
        <f>XLOOKUP([@DeviceTypeID],tblDeviceTypeIDCrosswalk[LegacyDeviceTypeID],tblDeviceTypeIDCrosswalk[MappingStatus],"No Crosswalk")</f>
        <v/>
      </c>
      <c r="P143">
        <f>IF(OR([@ManufacturerMappingStatus]&lt;&gt;"Approved",[@DeviceFamilyMappingStatus]&lt;&gt;"Approved",[@DeviceTypeMappingStatus]&lt;&gt;"Approved"),"Manual Review Required","Approved Crosswalk Available")</f>
        <v/>
      </c>
      <c r="Q143" t="inlineStr">
        <is>
          <t>Pending Review</t>
        </is>
      </c>
    </row>
    <row r="144" ht="21.5" customHeight="1" s="42">
      <c r="A144" s="36" t="n"/>
      <c r="B144" s="37" t="n"/>
      <c r="C144" s="37" t="n"/>
      <c r="D144" s="37" t="n"/>
      <c r="E144" s="38" t="n"/>
      <c r="F144" s="38" t="n"/>
      <c r="G144" s="10" t="inlineStr">
        <is>
          <t>MOD000141</t>
        </is>
      </c>
      <c r="H144" s="31" t="inlineStr">
        <is>
          <t>MFG001</t>
        </is>
      </c>
      <c r="I144" s="31" t="inlineStr">
        <is>
          <t>DF015</t>
        </is>
      </c>
      <c r="J144" s="31">
        <f>XLOOKUP([@ManufacturerID],tblManufacturerIDCrosswalk[LegacyManufacturerID],tblManufacturerIDCrosswalk[CanonicalManufacturerID],"")</f>
        <v/>
      </c>
      <c r="K144" s="33">
        <f>XLOOKUP([@DeviceFamilyID],tblDeviceFamilyIDCrosswalk[LegacyDeviceFamilyID],tblDeviceFamilyIDCrosswalk[CanonicalDeviceFamilyID],"")</f>
        <v/>
      </c>
      <c r="L144" s="33">
        <f>XLOOKUP([@DeviceTypeID],tblDeviceTypeIDCrosswalk[LegacyDeviceTypeID],tblDeviceTypeIDCrosswalk[CanonicalDeviceTypeID],"")</f>
        <v/>
      </c>
      <c r="M144" s="32">
        <f>XLOOKUP([@ManufacturerID],tblManufacturerIDCrosswalk[LegacyManufacturerID],tblManufacturerIDCrosswalk[MappingStatus],"No Crosswalk")</f>
        <v/>
      </c>
      <c r="N144" s="35">
        <f>XLOOKUP([@DeviceFamilyID],tblDeviceFamilyIDCrosswalk[LegacyDeviceFamilyID],tblDeviceFamilyIDCrosswalk[MappingStatus],"No Crosswalk")</f>
        <v/>
      </c>
      <c r="O144" s="35">
        <f>XLOOKUP([@DeviceTypeID],tblDeviceTypeIDCrosswalk[LegacyDeviceTypeID],tblDeviceTypeIDCrosswalk[MappingStatus],"No Crosswalk")</f>
        <v/>
      </c>
      <c r="P144">
        <f>IF(OR([@ManufacturerMappingStatus]&lt;&gt;"Approved",[@DeviceFamilyMappingStatus]&lt;&gt;"Approved",[@DeviceTypeMappingStatus]&lt;&gt;"Approved"),"Manual Review Required","Approved Crosswalk Available")</f>
        <v/>
      </c>
      <c r="Q144" t="inlineStr">
        <is>
          <t>Pending Review</t>
        </is>
      </c>
    </row>
    <row r="145" ht="21.5" customHeight="1" s="42">
      <c r="A145" s="36" t="n"/>
      <c r="B145" s="37" t="n"/>
      <c r="C145" s="37" t="n"/>
      <c r="D145" s="37" t="n"/>
      <c r="E145" s="38" t="n"/>
      <c r="F145" s="38" t="n"/>
      <c r="G145" s="10" t="inlineStr">
        <is>
          <t>MOD000142</t>
        </is>
      </c>
      <c r="H145" s="31" t="inlineStr">
        <is>
          <t>MFG001</t>
        </is>
      </c>
      <c r="I145" s="31" t="inlineStr">
        <is>
          <t>DF015</t>
        </is>
      </c>
      <c r="J145" s="31">
        <f>XLOOKUP([@ManufacturerID],tblManufacturerIDCrosswalk[LegacyManufacturerID],tblManufacturerIDCrosswalk[CanonicalManufacturerID],"")</f>
        <v/>
      </c>
      <c r="K145" s="33">
        <f>XLOOKUP([@DeviceFamilyID],tblDeviceFamilyIDCrosswalk[LegacyDeviceFamilyID],tblDeviceFamilyIDCrosswalk[CanonicalDeviceFamilyID],"")</f>
        <v/>
      </c>
      <c r="L145" s="33">
        <f>XLOOKUP([@DeviceTypeID],tblDeviceTypeIDCrosswalk[LegacyDeviceTypeID],tblDeviceTypeIDCrosswalk[CanonicalDeviceTypeID],"")</f>
        <v/>
      </c>
      <c r="M145" s="32">
        <f>XLOOKUP([@ManufacturerID],tblManufacturerIDCrosswalk[LegacyManufacturerID],tblManufacturerIDCrosswalk[MappingStatus],"No Crosswalk")</f>
        <v/>
      </c>
      <c r="N145" s="35">
        <f>XLOOKUP([@DeviceFamilyID],tblDeviceFamilyIDCrosswalk[LegacyDeviceFamilyID],tblDeviceFamilyIDCrosswalk[MappingStatus],"No Crosswalk")</f>
        <v/>
      </c>
      <c r="O145" s="35">
        <f>XLOOKUP([@DeviceTypeID],tblDeviceTypeIDCrosswalk[LegacyDeviceTypeID],tblDeviceTypeIDCrosswalk[MappingStatus],"No Crosswalk")</f>
        <v/>
      </c>
      <c r="P145">
        <f>IF(OR([@ManufacturerMappingStatus]&lt;&gt;"Approved",[@DeviceFamilyMappingStatus]&lt;&gt;"Approved",[@DeviceTypeMappingStatus]&lt;&gt;"Approved"),"Manual Review Required","Approved Crosswalk Available")</f>
        <v/>
      </c>
      <c r="Q145" t="inlineStr">
        <is>
          <t>Pending Review</t>
        </is>
      </c>
    </row>
    <row r="146" ht="21.5" customHeight="1" s="42">
      <c r="A146" s="36" t="n"/>
      <c r="B146" s="37" t="n"/>
      <c r="C146" s="37" t="n"/>
      <c r="D146" s="37" t="n"/>
      <c r="E146" s="38" t="n"/>
      <c r="F146" s="38" t="n"/>
      <c r="G146" s="10" t="inlineStr">
        <is>
          <t>MOD000143</t>
        </is>
      </c>
      <c r="H146" s="31" t="inlineStr">
        <is>
          <t>MFG001</t>
        </is>
      </c>
      <c r="I146" s="31" t="inlineStr">
        <is>
          <t>DF015</t>
        </is>
      </c>
      <c r="J146" s="31">
        <f>XLOOKUP([@ManufacturerID],tblManufacturerIDCrosswalk[LegacyManufacturerID],tblManufacturerIDCrosswalk[CanonicalManufacturerID],"")</f>
        <v/>
      </c>
      <c r="K146" s="33">
        <f>XLOOKUP([@DeviceFamilyID],tblDeviceFamilyIDCrosswalk[LegacyDeviceFamilyID],tblDeviceFamilyIDCrosswalk[CanonicalDeviceFamilyID],"")</f>
        <v/>
      </c>
      <c r="L146" s="33">
        <f>XLOOKUP([@DeviceTypeID],tblDeviceTypeIDCrosswalk[LegacyDeviceTypeID],tblDeviceTypeIDCrosswalk[CanonicalDeviceTypeID],"")</f>
        <v/>
      </c>
      <c r="M146" s="32">
        <f>XLOOKUP([@ManufacturerID],tblManufacturerIDCrosswalk[LegacyManufacturerID],tblManufacturerIDCrosswalk[MappingStatus],"No Crosswalk")</f>
        <v/>
      </c>
      <c r="N146" s="35">
        <f>XLOOKUP([@DeviceFamilyID],tblDeviceFamilyIDCrosswalk[LegacyDeviceFamilyID],tblDeviceFamilyIDCrosswalk[MappingStatus],"No Crosswalk")</f>
        <v/>
      </c>
      <c r="O146" s="35">
        <f>XLOOKUP([@DeviceTypeID],tblDeviceTypeIDCrosswalk[LegacyDeviceTypeID],tblDeviceTypeIDCrosswalk[MappingStatus],"No Crosswalk")</f>
        <v/>
      </c>
      <c r="P146">
        <f>IF(OR([@ManufacturerMappingStatus]&lt;&gt;"Approved",[@DeviceFamilyMappingStatus]&lt;&gt;"Approved",[@DeviceTypeMappingStatus]&lt;&gt;"Approved"),"Manual Review Required","Approved Crosswalk Available")</f>
        <v/>
      </c>
      <c r="Q146" t="inlineStr">
        <is>
          <t>Pending Review</t>
        </is>
      </c>
    </row>
    <row r="147" ht="21.5" customHeight="1" s="42">
      <c r="A147" s="36" t="n"/>
      <c r="B147" s="37" t="n"/>
      <c r="C147" s="37" t="n"/>
      <c r="D147" s="37" t="n"/>
      <c r="E147" s="38" t="n"/>
      <c r="F147" s="38" t="n"/>
      <c r="G147" s="10" t="inlineStr">
        <is>
          <t>MOD000144</t>
        </is>
      </c>
      <c r="H147" s="31" t="inlineStr">
        <is>
          <t>MFG001</t>
        </is>
      </c>
      <c r="I147" s="31" t="inlineStr">
        <is>
          <t>DF015</t>
        </is>
      </c>
      <c r="J147" s="31">
        <f>XLOOKUP([@ManufacturerID],tblManufacturerIDCrosswalk[LegacyManufacturerID],tblManufacturerIDCrosswalk[CanonicalManufacturerID],"")</f>
        <v/>
      </c>
      <c r="K147" s="33">
        <f>XLOOKUP([@DeviceFamilyID],tblDeviceFamilyIDCrosswalk[LegacyDeviceFamilyID],tblDeviceFamilyIDCrosswalk[CanonicalDeviceFamilyID],"")</f>
        <v/>
      </c>
      <c r="L147" s="33">
        <f>XLOOKUP([@DeviceTypeID],tblDeviceTypeIDCrosswalk[LegacyDeviceTypeID],tblDeviceTypeIDCrosswalk[CanonicalDeviceTypeID],"")</f>
        <v/>
      </c>
      <c r="M147" s="32">
        <f>XLOOKUP([@ManufacturerID],tblManufacturerIDCrosswalk[LegacyManufacturerID],tblManufacturerIDCrosswalk[MappingStatus],"No Crosswalk")</f>
        <v/>
      </c>
      <c r="N147" s="35">
        <f>XLOOKUP([@DeviceFamilyID],tblDeviceFamilyIDCrosswalk[LegacyDeviceFamilyID],tblDeviceFamilyIDCrosswalk[MappingStatus],"No Crosswalk")</f>
        <v/>
      </c>
      <c r="O147" s="35">
        <f>XLOOKUP([@DeviceTypeID],tblDeviceTypeIDCrosswalk[LegacyDeviceTypeID],tblDeviceTypeIDCrosswalk[MappingStatus],"No Crosswalk")</f>
        <v/>
      </c>
      <c r="P147">
        <f>IF(OR([@ManufacturerMappingStatus]&lt;&gt;"Approved",[@DeviceFamilyMappingStatus]&lt;&gt;"Approved",[@DeviceTypeMappingStatus]&lt;&gt;"Approved"),"Manual Review Required","Approved Crosswalk Available")</f>
        <v/>
      </c>
      <c r="Q147" t="inlineStr">
        <is>
          <t>Pending Review</t>
        </is>
      </c>
    </row>
    <row r="148" ht="21.5" customHeight="1" s="42">
      <c r="A148" s="36" t="n"/>
      <c r="B148" s="37" t="n"/>
      <c r="C148" s="37" t="n"/>
      <c r="D148" s="37" t="n"/>
      <c r="E148" s="38" t="n"/>
      <c r="F148" s="38" t="n"/>
      <c r="G148" s="10" t="inlineStr">
        <is>
          <t>MOD000145</t>
        </is>
      </c>
      <c r="H148" s="31" t="inlineStr">
        <is>
          <t>MFG001</t>
        </is>
      </c>
      <c r="I148" s="31" t="inlineStr">
        <is>
          <t>DF015</t>
        </is>
      </c>
      <c r="J148" s="31">
        <f>XLOOKUP([@ManufacturerID],tblManufacturerIDCrosswalk[LegacyManufacturerID],tblManufacturerIDCrosswalk[CanonicalManufacturerID],"")</f>
        <v/>
      </c>
      <c r="K148" s="33">
        <f>XLOOKUP([@DeviceFamilyID],tblDeviceFamilyIDCrosswalk[LegacyDeviceFamilyID],tblDeviceFamilyIDCrosswalk[CanonicalDeviceFamilyID],"")</f>
        <v/>
      </c>
      <c r="L148" s="33">
        <f>XLOOKUP([@DeviceTypeID],tblDeviceTypeIDCrosswalk[LegacyDeviceTypeID],tblDeviceTypeIDCrosswalk[CanonicalDeviceTypeID],"")</f>
        <v/>
      </c>
      <c r="M148" s="32">
        <f>XLOOKUP([@ManufacturerID],tblManufacturerIDCrosswalk[LegacyManufacturerID],tblManufacturerIDCrosswalk[MappingStatus],"No Crosswalk")</f>
        <v/>
      </c>
      <c r="N148" s="35">
        <f>XLOOKUP([@DeviceFamilyID],tblDeviceFamilyIDCrosswalk[LegacyDeviceFamilyID],tblDeviceFamilyIDCrosswalk[MappingStatus],"No Crosswalk")</f>
        <v/>
      </c>
      <c r="O148" s="35">
        <f>XLOOKUP([@DeviceTypeID],tblDeviceTypeIDCrosswalk[LegacyDeviceTypeID],tblDeviceTypeIDCrosswalk[MappingStatus],"No Crosswalk")</f>
        <v/>
      </c>
      <c r="P148">
        <f>IF(OR([@ManufacturerMappingStatus]&lt;&gt;"Approved",[@DeviceFamilyMappingStatus]&lt;&gt;"Approved",[@DeviceTypeMappingStatus]&lt;&gt;"Approved"),"Manual Review Required","Approved Crosswalk Available")</f>
        <v/>
      </c>
      <c r="Q148" t="inlineStr">
        <is>
          <t>Pending Review</t>
        </is>
      </c>
    </row>
    <row r="149" ht="21.5" customHeight="1" s="42">
      <c r="A149" s="36" t="n"/>
      <c r="B149" s="37" t="n"/>
      <c r="C149" s="37" t="n"/>
      <c r="D149" s="37" t="n"/>
      <c r="E149" s="38" t="n"/>
      <c r="F149" s="38" t="n"/>
      <c r="G149" s="10" t="inlineStr">
        <is>
          <t>MOD000146</t>
        </is>
      </c>
      <c r="H149" s="31" t="inlineStr">
        <is>
          <t>MFG001</t>
        </is>
      </c>
      <c r="I149" s="31" t="inlineStr">
        <is>
          <t>DF016</t>
        </is>
      </c>
      <c r="J149" s="31">
        <f>XLOOKUP([@ManufacturerID],tblManufacturerIDCrosswalk[LegacyManufacturerID],tblManufacturerIDCrosswalk[CanonicalManufacturerID],"")</f>
        <v/>
      </c>
      <c r="K149" s="33">
        <f>XLOOKUP([@DeviceFamilyID],tblDeviceFamilyIDCrosswalk[LegacyDeviceFamilyID],tblDeviceFamilyIDCrosswalk[CanonicalDeviceFamilyID],"")</f>
        <v/>
      </c>
      <c r="L149" s="33">
        <f>XLOOKUP([@DeviceTypeID],tblDeviceTypeIDCrosswalk[LegacyDeviceTypeID],tblDeviceTypeIDCrosswalk[CanonicalDeviceTypeID],"")</f>
        <v/>
      </c>
      <c r="M149" s="32">
        <f>XLOOKUP([@ManufacturerID],tblManufacturerIDCrosswalk[LegacyManufacturerID],tblManufacturerIDCrosswalk[MappingStatus],"No Crosswalk")</f>
        <v/>
      </c>
      <c r="N149" s="35">
        <f>XLOOKUP([@DeviceFamilyID],tblDeviceFamilyIDCrosswalk[LegacyDeviceFamilyID],tblDeviceFamilyIDCrosswalk[MappingStatus],"No Crosswalk")</f>
        <v/>
      </c>
      <c r="O149" s="35">
        <f>XLOOKUP([@DeviceTypeID],tblDeviceTypeIDCrosswalk[LegacyDeviceTypeID],tblDeviceTypeIDCrosswalk[MappingStatus],"No Crosswalk")</f>
        <v/>
      </c>
      <c r="P149">
        <f>IF(OR([@ManufacturerMappingStatus]&lt;&gt;"Approved",[@DeviceFamilyMappingStatus]&lt;&gt;"Approved",[@DeviceTypeMappingStatus]&lt;&gt;"Approved"),"Manual Review Required","Approved Crosswalk Available")</f>
        <v/>
      </c>
      <c r="Q149" t="inlineStr">
        <is>
          <t>Pending Review</t>
        </is>
      </c>
    </row>
    <row r="150" ht="21.5" customHeight="1" s="42">
      <c r="A150" s="36" t="n"/>
      <c r="B150" s="35" t="n"/>
      <c r="C150" s="35" t="n"/>
      <c r="D150" s="35" t="n"/>
      <c r="E150" s="39" t="n"/>
      <c r="F150" s="39" t="n"/>
      <c r="G150" s="10" t="inlineStr">
        <is>
          <t>MOD000147</t>
        </is>
      </c>
      <c r="H150" s="14" t="inlineStr">
        <is>
          <t>MFG002</t>
        </is>
      </c>
      <c r="I150" s="14" t="inlineStr">
        <is>
          <t>DF020</t>
        </is>
      </c>
      <c r="J150" s="14">
        <f>XLOOKUP([@ManufacturerID],tblManufacturerIDCrosswalk[LegacyManufacturerID],tblManufacturerIDCrosswalk[CanonicalManufacturerID],"")</f>
        <v/>
      </c>
      <c r="K150" s="7">
        <f>XLOOKUP([@DeviceFamilyID],tblDeviceFamilyIDCrosswalk[LegacyDeviceFamilyID],tblDeviceFamilyIDCrosswalk[CanonicalDeviceFamilyID],"")</f>
        <v/>
      </c>
      <c r="L150" s="7">
        <f>XLOOKUP([@DeviceTypeID],tblDeviceTypeIDCrosswalk[LegacyDeviceTypeID],tblDeviceTypeIDCrosswalk[CanonicalDeviceTypeID],"")</f>
        <v/>
      </c>
      <c r="M150" s="14">
        <f>XLOOKUP([@ManufacturerID],tblManufacturerIDCrosswalk[LegacyManufacturerID],tblManufacturerIDCrosswalk[MappingStatus],"No Crosswalk")</f>
        <v/>
      </c>
      <c r="N150" s="35">
        <f>XLOOKUP([@DeviceFamilyID],tblDeviceFamilyIDCrosswalk[LegacyDeviceFamilyID],tblDeviceFamilyIDCrosswalk[MappingStatus],"No Crosswalk")</f>
        <v/>
      </c>
      <c r="O150" s="35">
        <f>XLOOKUP([@DeviceTypeID],tblDeviceTypeIDCrosswalk[LegacyDeviceTypeID],tblDeviceTypeIDCrosswalk[MappingStatus],"No Crosswalk")</f>
        <v/>
      </c>
      <c r="P150">
        <f>IF(OR([@ManufacturerMappingStatus]&lt;&gt;"Approved",[@DeviceFamilyMappingStatus]&lt;&gt;"Approved",[@DeviceTypeMappingStatus]&lt;&gt;"Approved"),"Manual Review Required","Approved Crosswalk Available")</f>
        <v/>
      </c>
      <c r="Q150" t="inlineStr">
        <is>
          <t>Pending Review</t>
        </is>
      </c>
    </row>
    <row r="151" ht="21.5" customHeight="1" s="42">
      <c r="A151" s="36" t="n"/>
      <c r="B151" s="35" t="n"/>
      <c r="C151" s="35" t="n"/>
      <c r="D151" s="35" t="n"/>
      <c r="E151" s="39" t="n"/>
      <c r="F151" s="39" t="n"/>
      <c r="G151" s="10" t="inlineStr">
        <is>
          <t>MOD000148</t>
        </is>
      </c>
      <c r="H151" s="14" t="inlineStr">
        <is>
          <t>MFG002</t>
        </is>
      </c>
      <c r="I151" s="14" t="inlineStr">
        <is>
          <t>DF020</t>
        </is>
      </c>
      <c r="J151" s="14">
        <f>XLOOKUP([@ManufacturerID],tblManufacturerIDCrosswalk[LegacyManufacturerID],tblManufacturerIDCrosswalk[CanonicalManufacturerID],"")</f>
        <v/>
      </c>
      <c r="K151" s="7">
        <f>XLOOKUP([@DeviceFamilyID],tblDeviceFamilyIDCrosswalk[LegacyDeviceFamilyID],tblDeviceFamilyIDCrosswalk[CanonicalDeviceFamilyID],"")</f>
        <v/>
      </c>
      <c r="L151" s="7">
        <f>XLOOKUP([@DeviceTypeID],tblDeviceTypeIDCrosswalk[LegacyDeviceTypeID],tblDeviceTypeIDCrosswalk[CanonicalDeviceTypeID],"")</f>
        <v/>
      </c>
      <c r="M151" s="14">
        <f>XLOOKUP([@ManufacturerID],tblManufacturerIDCrosswalk[LegacyManufacturerID],tblManufacturerIDCrosswalk[MappingStatus],"No Crosswalk")</f>
        <v/>
      </c>
      <c r="N151" s="35">
        <f>XLOOKUP([@DeviceFamilyID],tblDeviceFamilyIDCrosswalk[LegacyDeviceFamilyID],tblDeviceFamilyIDCrosswalk[MappingStatus],"No Crosswalk")</f>
        <v/>
      </c>
      <c r="O151" s="35">
        <f>XLOOKUP([@DeviceTypeID],tblDeviceTypeIDCrosswalk[LegacyDeviceTypeID],tblDeviceTypeIDCrosswalk[MappingStatus],"No Crosswalk")</f>
        <v/>
      </c>
      <c r="P151">
        <f>IF(OR([@ManufacturerMappingStatus]&lt;&gt;"Approved",[@DeviceFamilyMappingStatus]&lt;&gt;"Approved",[@DeviceTypeMappingStatus]&lt;&gt;"Approved"),"Manual Review Required","Approved Crosswalk Available")</f>
        <v/>
      </c>
      <c r="Q151" t="inlineStr">
        <is>
          <t>Pending Review</t>
        </is>
      </c>
    </row>
    <row r="152" ht="21.5" customHeight="1" s="42">
      <c r="A152" s="36" t="n"/>
      <c r="B152" s="35" t="n"/>
      <c r="C152" s="35" t="n"/>
      <c r="D152" s="35" t="n"/>
      <c r="E152" s="39" t="n"/>
      <c r="F152" s="39" t="n"/>
      <c r="G152" s="10" t="inlineStr">
        <is>
          <t>MOD000149</t>
        </is>
      </c>
      <c r="H152" s="14" t="inlineStr">
        <is>
          <t>MFG002</t>
        </is>
      </c>
      <c r="I152" s="14" t="inlineStr">
        <is>
          <t>DF020</t>
        </is>
      </c>
      <c r="J152" s="14">
        <f>XLOOKUP([@ManufacturerID],tblManufacturerIDCrosswalk[LegacyManufacturerID],tblManufacturerIDCrosswalk[CanonicalManufacturerID],"")</f>
        <v/>
      </c>
      <c r="K152" s="7">
        <f>XLOOKUP([@DeviceFamilyID],tblDeviceFamilyIDCrosswalk[LegacyDeviceFamilyID],tblDeviceFamilyIDCrosswalk[CanonicalDeviceFamilyID],"")</f>
        <v/>
      </c>
      <c r="L152" s="7">
        <f>XLOOKUP([@DeviceTypeID],tblDeviceTypeIDCrosswalk[LegacyDeviceTypeID],tblDeviceTypeIDCrosswalk[CanonicalDeviceTypeID],"")</f>
        <v/>
      </c>
      <c r="M152" s="14">
        <f>XLOOKUP([@ManufacturerID],tblManufacturerIDCrosswalk[LegacyManufacturerID],tblManufacturerIDCrosswalk[MappingStatus],"No Crosswalk")</f>
        <v/>
      </c>
      <c r="N152" s="35">
        <f>XLOOKUP([@DeviceFamilyID],tblDeviceFamilyIDCrosswalk[LegacyDeviceFamilyID],tblDeviceFamilyIDCrosswalk[MappingStatus],"No Crosswalk")</f>
        <v/>
      </c>
      <c r="O152" s="35">
        <f>XLOOKUP([@DeviceTypeID],tblDeviceTypeIDCrosswalk[LegacyDeviceTypeID],tblDeviceTypeIDCrosswalk[MappingStatus],"No Crosswalk")</f>
        <v/>
      </c>
      <c r="P152">
        <f>IF(OR([@ManufacturerMappingStatus]&lt;&gt;"Approved",[@DeviceFamilyMappingStatus]&lt;&gt;"Approved",[@DeviceTypeMappingStatus]&lt;&gt;"Approved"),"Manual Review Required","Approved Crosswalk Available")</f>
        <v/>
      </c>
      <c r="Q152" t="inlineStr">
        <is>
          <t>Pending Review</t>
        </is>
      </c>
    </row>
    <row r="153" ht="21.5" customHeight="1" s="42">
      <c r="A153" s="36" t="n"/>
      <c r="B153" s="35" t="n"/>
      <c r="C153" s="35" t="n"/>
      <c r="D153" s="35" t="n"/>
      <c r="E153" s="39" t="n"/>
      <c r="F153" s="39" t="n"/>
      <c r="G153" s="10" t="inlineStr">
        <is>
          <t>MOD000150</t>
        </is>
      </c>
      <c r="H153" s="14" t="inlineStr">
        <is>
          <t>MFG002</t>
        </is>
      </c>
      <c r="I153" s="14" t="inlineStr">
        <is>
          <t>DF020</t>
        </is>
      </c>
      <c r="J153" s="14">
        <f>XLOOKUP([@ManufacturerID],tblManufacturerIDCrosswalk[LegacyManufacturerID],tblManufacturerIDCrosswalk[CanonicalManufacturerID],"")</f>
        <v/>
      </c>
      <c r="K153" s="7">
        <f>XLOOKUP([@DeviceFamilyID],tblDeviceFamilyIDCrosswalk[LegacyDeviceFamilyID],tblDeviceFamilyIDCrosswalk[CanonicalDeviceFamilyID],"")</f>
        <v/>
      </c>
      <c r="L153" s="7">
        <f>XLOOKUP([@DeviceTypeID],tblDeviceTypeIDCrosswalk[LegacyDeviceTypeID],tblDeviceTypeIDCrosswalk[CanonicalDeviceTypeID],"")</f>
        <v/>
      </c>
      <c r="M153" s="14">
        <f>XLOOKUP([@ManufacturerID],tblManufacturerIDCrosswalk[LegacyManufacturerID],tblManufacturerIDCrosswalk[MappingStatus],"No Crosswalk")</f>
        <v/>
      </c>
      <c r="N153" s="35">
        <f>XLOOKUP([@DeviceFamilyID],tblDeviceFamilyIDCrosswalk[LegacyDeviceFamilyID],tblDeviceFamilyIDCrosswalk[MappingStatus],"No Crosswalk")</f>
        <v/>
      </c>
      <c r="O153" s="35">
        <f>XLOOKUP([@DeviceTypeID],tblDeviceTypeIDCrosswalk[LegacyDeviceTypeID],tblDeviceTypeIDCrosswalk[MappingStatus],"No Crosswalk")</f>
        <v/>
      </c>
      <c r="P153">
        <f>IF(OR([@ManufacturerMappingStatus]&lt;&gt;"Approved",[@DeviceFamilyMappingStatus]&lt;&gt;"Approved",[@DeviceTypeMappingStatus]&lt;&gt;"Approved"),"Manual Review Required","Approved Crosswalk Available")</f>
        <v/>
      </c>
      <c r="Q153" t="inlineStr">
        <is>
          <t>Pending Review</t>
        </is>
      </c>
    </row>
    <row r="154" ht="21.5" customHeight="1" s="42">
      <c r="A154" s="36" t="n"/>
      <c r="B154" s="35" t="n"/>
      <c r="C154" s="35" t="n"/>
      <c r="D154" s="35" t="n"/>
      <c r="E154" s="39" t="n"/>
      <c r="F154" s="39" t="n"/>
      <c r="G154" s="10" t="inlineStr">
        <is>
          <t>MOD000151</t>
        </is>
      </c>
      <c r="H154" s="14" t="inlineStr">
        <is>
          <t>MFG002</t>
        </is>
      </c>
      <c r="I154" s="14" t="inlineStr">
        <is>
          <t>DF020</t>
        </is>
      </c>
      <c r="J154" s="14">
        <f>XLOOKUP([@ManufacturerID],tblManufacturerIDCrosswalk[LegacyManufacturerID],tblManufacturerIDCrosswalk[CanonicalManufacturerID],"")</f>
        <v/>
      </c>
      <c r="K154" s="7">
        <f>XLOOKUP([@DeviceFamilyID],tblDeviceFamilyIDCrosswalk[LegacyDeviceFamilyID],tblDeviceFamilyIDCrosswalk[CanonicalDeviceFamilyID],"")</f>
        <v/>
      </c>
      <c r="L154" s="7">
        <f>XLOOKUP([@DeviceTypeID],tblDeviceTypeIDCrosswalk[LegacyDeviceTypeID],tblDeviceTypeIDCrosswalk[CanonicalDeviceTypeID],"")</f>
        <v/>
      </c>
      <c r="M154" s="14">
        <f>XLOOKUP([@ManufacturerID],tblManufacturerIDCrosswalk[LegacyManufacturerID],tblManufacturerIDCrosswalk[MappingStatus],"No Crosswalk")</f>
        <v/>
      </c>
      <c r="N154" s="35">
        <f>XLOOKUP([@DeviceFamilyID],tblDeviceFamilyIDCrosswalk[LegacyDeviceFamilyID],tblDeviceFamilyIDCrosswalk[MappingStatus],"No Crosswalk")</f>
        <v/>
      </c>
      <c r="O154" s="35">
        <f>XLOOKUP([@DeviceTypeID],tblDeviceTypeIDCrosswalk[LegacyDeviceTypeID],tblDeviceTypeIDCrosswalk[MappingStatus],"No Crosswalk")</f>
        <v/>
      </c>
      <c r="P154">
        <f>IF(OR([@ManufacturerMappingStatus]&lt;&gt;"Approved",[@DeviceFamilyMappingStatus]&lt;&gt;"Approved",[@DeviceTypeMappingStatus]&lt;&gt;"Approved"),"Manual Review Required","Approved Crosswalk Available")</f>
        <v/>
      </c>
      <c r="Q154" t="inlineStr">
        <is>
          <t>Pending Review</t>
        </is>
      </c>
    </row>
    <row r="155" ht="21.5" customHeight="1" s="42">
      <c r="A155" s="36" t="n"/>
      <c r="B155" s="35" t="n"/>
      <c r="C155" s="35" t="n"/>
      <c r="D155" s="35" t="n"/>
      <c r="E155" s="39" t="n"/>
      <c r="F155" s="39" t="n"/>
      <c r="G155" s="10" t="inlineStr">
        <is>
          <t>MOD000152</t>
        </is>
      </c>
      <c r="H155" s="14" t="inlineStr">
        <is>
          <t>MFG002</t>
        </is>
      </c>
      <c r="I155" s="14" t="inlineStr">
        <is>
          <t>DF020</t>
        </is>
      </c>
      <c r="J155" s="14">
        <f>XLOOKUP([@ManufacturerID],tblManufacturerIDCrosswalk[LegacyManufacturerID],tblManufacturerIDCrosswalk[CanonicalManufacturerID],"")</f>
        <v/>
      </c>
      <c r="K155" s="7">
        <f>XLOOKUP([@DeviceFamilyID],tblDeviceFamilyIDCrosswalk[LegacyDeviceFamilyID],tblDeviceFamilyIDCrosswalk[CanonicalDeviceFamilyID],"")</f>
        <v/>
      </c>
      <c r="L155" s="7">
        <f>XLOOKUP([@DeviceTypeID],tblDeviceTypeIDCrosswalk[LegacyDeviceTypeID],tblDeviceTypeIDCrosswalk[CanonicalDeviceTypeID],"")</f>
        <v/>
      </c>
      <c r="M155" s="14">
        <f>XLOOKUP([@ManufacturerID],tblManufacturerIDCrosswalk[LegacyManufacturerID],tblManufacturerIDCrosswalk[MappingStatus],"No Crosswalk")</f>
        <v/>
      </c>
      <c r="N155" s="35">
        <f>XLOOKUP([@DeviceFamilyID],tblDeviceFamilyIDCrosswalk[LegacyDeviceFamilyID],tblDeviceFamilyIDCrosswalk[MappingStatus],"No Crosswalk")</f>
        <v/>
      </c>
      <c r="O155" s="35">
        <f>XLOOKUP([@DeviceTypeID],tblDeviceTypeIDCrosswalk[LegacyDeviceTypeID],tblDeviceTypeIDCrosswalk[MappingStatus],"No Crosswalk")</f>
        <v/>
      </c>
      <c r="P155">
        <f>IF(OR([@ManufacturerMappingStatus]&lt;&gt;"Approved",[@DeviceFamilyMappingStatus]&lt;&gt;"Approved",[@DeviceTypeMappingStatus]&lt;&gt;"Approved"),"Manual Review Required","Approved Crosswalk Available")</f>
        <v/>
      </c>
      <c r="Q155" t="inlineStr">
        <is>
          <t>Pending Review</t>
        </is>
      </c>
    </row>
    <row r="156" ht="21.5" customHeight="1" s="42">
      <c r="A156" s="36" t="n"/>
      <c r="B156" s="35" t="n"/>
      <c r="C156" s="35" t="n"/>
      <c r="D156" s="35" t="n"/>
      <c r="E156" s="39" t="n"/>
      <c r="F156" s="39" t="n"/>
      <c r="G156" s="10" t="inlineStr">
        <is>
          <t>MOD000153</t>
        </is>
      </c>
      <c r="H156" s="14" t="inlineStr">
        <is>
          <t>MFG002</t>
        </is>
      </c>
      <c r="I156" s="14" t="inlineStr">
        <is>
          <t>DF020</t>
        </is>
      </c>
      <c r="J156" s="14">
        <f>XLOOKUP([@ManufacturerID],tblManufacturerIDCrosswalk[LegacyManufacturerID],tblManufacturerIDCrosswalk[CanonicalManufacturerID],"")</f>
        <v/>
      </c>
      <c r="K156" s="7">
        <f>XLOOKUP([@DeviceFamilyID],tblDeviceFamilyIDCrosswalk[LegacyDeviceFamilyID],tblDeviceFamilyIDCrosswalk[CanonicalDeviceFamilyID],"")</f>
        <v/>
      </c>
      <c r="L156" s="7">
        <f>XLOOKUP([@DeviceTypeID],tblDeviceTypeIDCrosswalk[LegacyDeviceTypeID],tblDeviceTypeIDCrosswalk[CanonicalDeviceTypeID],"")</f>
        <v/>
      </c>
      <c r="M156" s="14">
        <f>XLOOKUP([@ManufacturerID],tblManufacturerIDCrosswalk[LegacyManufacturerID],tblManufacturerIDCrosswalk[MappingStatus],"No Crosswalk")</f>
        <v/>
      </c>
      <c r="N156" s="35">
        <f>XLOOKUP([@DeviceFamilyID],tblDeviceFamilyIDCrosswalk[LegacyDeviceFamilyID],tblDeviceFamilyIDCrosswalk[MappingStatus],"No Crosswalk")</f>
        <v/>
      </c>
      <c r="O156" s="35">
        <f>XLOOKUP([@DeviceTypeID],tblDeviceTypeIDCrosswalk[LegacyDeviceTypeID],tblDeviceTypeIDCrosswalk[MappingStatus],"No Crosswalk")</f>
        <v/>
      </c>
      <c r="P156">
        <f>IF(OR([@ManufacturerMappingStatus]&lt;&gt;"Approved",[@DeviceFamilyMappingStatus]&lt;&gt;"Approved",[@DeviceTypeMappingStatus]&lt;&gt;"Approved"),"Manual Review Required","Approved Crosswalk Available")</f>
        <v/>
      </c>
      <c r="Q156" t="inlineStr">
        <is>
          <t>Pending Review</t>
        </is>
      </c>
    </row>
    <row r="157" ht="21.5" customHeight="1" s="42">
      <c r="A157" s="36" t="n"/>
      <c r="B157" s="35" t="n"/>
      <c r="C157" s="35" t="n"/>
      <c r="D157" s="35" t="n"/>
      <c r="E157" s="39" t="n"/>
      <c r="F157" s="39" t="n"/>
      <c r="G157" s="10" t="inlineStr">
        <is>
          <t>MOD000154</t>
        </is>
      </c>
      <c r="H157" s="14" t="inlineStr">
        <is>
          <t>MFG002</t>
        </is>
      </c>
      <c r="I157" s="14" t="inlineStr">
        <is>
          <t>DF020</t>
        </is>
      </c>
      <c r="J157" s="14">
        <f>XLOOKUP([@ManufacturerID],tblManufacturerIDCrosswalk[LegacyManufacturerID],tblManufacturerIDCrosswalk[CanonicalManufacturerID],"")</f>
        <v/>
      </c>
      <c r="K157" s="7">
        <f>XLOOKUP([@DeviceFamilyID],tblDeviceFamilyIDCrosswalk[LegacyDeviceFamilyID],tblDeviceFamilyIDCrosswalk[CanonicalDeviceFamilyID],"")</f>
        <v/>
      </c>
      <c r="L157" s="7">
        <f>XLOOKUP([@DeviceTypeID],tblDeviceTypeIDCrosswalk[LegacyDeviceTypeID],tblDeviceTypeIDCrosswalk[CanonicalDeviceTypeID],"")</f>
        <v/>
      </c>
      <c r="M157" s="14">
        <f>XLOOKUP([@ManufacturerID],tblManufacturerIDCrosswalk[LegacyManufacturerID],tblManufacturerIDCrosswalk[MappingStatus],"No Crosswalk")</f>
        <v/>
      </c>
      <c r="N157" s="35">
        <f>XLOOKUP([@DeviceFamilyID],tblDeviceFamilyIDCrosswalk[LegacyDeviceFamilyID],tblDeviceFamilyIDCrosswalk[MappingStatus],"No Crosswalk")</f>
        <v/>
      </c>
      <c r="O157" s="35">
        <f>XLOOKUP([@DeviceTypeID],tblDeviceTypeIDCrosswalk[LegacyDeviceTypeID],tblDeviceTypeIDCrosswalk[MappingStatus],"No Crosswalk")</f>
        <v/>
      </c>
      <c r="P157">
        <f>IF(OR([@ManufacturerMappingStatus]&lt;&gt;"Approved",[@DeviceFamilyMappingStatus]&lt;&gt;"Approved",[@DeviceTypeMappingStatus]&lt;&gt;"Approved"),"Manual Review Required","Approved Crosswalk Available")</f>
        <v/>
      </c>
      <c r="Q157" t="inlineStr">
        <is>
          <t>Pending Review</t>
        </is>
      </c>
    </row>
    <row r="158" ht="21.5" customHeight="1" s="42">
      <c r="A158" s="36" t="n"/>
      <c r="B158" s="35" t="n"/>
      <c r="C158" s="35" t="n"/>
      <c r="D158" s="35" t="n"/>
      <c r="E158" s="39" t="n"/>
      <c r="F158" s="39" t="n"/>
      <c r="G158" s="10" t="inlineStr">
        <is>
          <t>MOD000155</t>
        </is>
      </c>
      <c r="H158" s="14" t="inlineStr">
        <is>
          <t>MFG002</t>
        </is>
      </c>
      <c r="I158" s="14" t="inlineStr">
        <is>
          <t>DF020</t>
        </is>
      </c>
      <c r="J158" s="14">
        <f>XLOOKUP([@ManufacturerID],tblManufacturerIDCrosswalk[LegacyManufacturerID],tblManufacturerIDCrosswalk[CanonicalManufacturerID],"")</f>
        <v/>
      </c>
      <c r="K158" s="7">
        <f>XLOOKUP([@DeviceFamilyID],tblDeviceFamilyIDCrosswalk[LegacyDeviceFamilyID],tblDeviceFamilyIDCrosswalk[CanonicalDeviceFamilyID],"")</f>
        <v/>
      </c>
      <c r="L158" s="7">
        <f>XLOOKUP([@DeviceTypeID],tblDeviceTypeIDCrosswalk[LegacyDeviceTypeID],tblDeviceTypeIDCrosswalk[CanonicalDeviceTypeID],"")</f>
        <v/>
      </c>
      <c r="M158" s="14">
        <f>XLOOKUP([@ManufacturerID],tblManufacturerIDCrosswalk[LegacyManufacturerID],tblManufacturerIDCrosswalk[MappingStatus],"No Crosswalk")</f>
        <v/>
      </c>
      <c r="N158" s="35">
        <f>XLOOKUP([@DeviceFamilyID],tblDeviceFamilyIDCrosswalk[LegacyDeviceFamilyID],tblDeviceFamilyIDCrosswalk[MappingStatus],"No Crosswalk")</f>
        <v/>
      </c>
      <c r="O158" s="35">
        <f>XLOOKUP([@DeviceTypeID],tblDeviceTypeIDCrosswalk[LegacyDeviceTypeID],tblDeviceTypeIDCrosswalk[MappingStatus],"No Crosswalk")</f>
        <v/>
      </c>
      <c r="P158">
        <f>IF(OR([@ManufacturerMappingStatus]&lt;&gt;"Approved",[@DeviceFamilyMappingStatus]&lt;&gt;"Approved",[@DeviceTypeMappingStatus]&lt;&gt;"Approved"),"Manual Review Required","Approved Crosswalk Available")</f>
        <v/>
      </c>
      <c r="Q158" t="inlineStr">
        <is>
          <t>Pending Review</t>
        </is>
      </c>
    </row>
    <row r="159" ht="21.5" customHeight="1" s="42">
      <c r="A159" s="36" t="n"/>
      <c r="B159" s="35" t="n"/>
      <c r="C159" s="35" t="n"/>
      <c r="D159" s="35" t="n"/>
      <c r="E159" s="39" t="n"/>
      <c r="F159" s="39" t="n"/>
      <c r="G159" s="10" t="inlineStr">
        <is>
          <t>MOD000156</t>
        </is>
      </c>
      <c r="H159" s="14" t="inlineStr">
        <is>
          <t>MFG002</t>
        </is>
      </c>
      <c r="I159" s="14" t="inlineStr">
        <is>
          <t>DF020</t>
        </is>
      </c>
      <c r="J159" s="14">
        <f>XLOOKUP([@ManufacturerID],tblManufacturerIDCrosswalk[LegacyManufacturerID],tblManufacturerIDCrosswalk[CanonicalManufacturerID],"")</f>
        <v/>
      </c>
      <c r="K159" s="7">
        <f>XLOOKUP([@DeviceFamilyID],tblDeviceFamilyIDCrosswalk[LegacyDeviceFamilyID],tblDeviceFamilyIDCrosswalk[CanonicalDeviceFamilyID],"")</f>
        <v/>
      </c>
      <c r="L159" s="7">
        <f>XLOOKUP([@DeviceTypeID],tblDeviceTypeIDCrosswalk[LegacyDeviceTypeID],tblDeviceTypeIDCrosswalk[CanonicalDeviceTypeID],"")</f>
        <v/>
      </c>
      <c r="M159" s="14">
        <f>XLOOKUP([@ManufacturerID],tblManufacturerIDCrosswalk[LegacyManufacturerID],tblManufacturerIDCrosswalk[MappingStatus],"No Crosswalk")</f>
        <v/>
      </c>
      <c r="N159" s="35">
        <f>XLOOKUP([@DeviceFamilyID],tblDeviceFamilyIDCrosswalk[LegacyDeviceFamilyID],tblDeviceFamilyIDCrosswalk[MappingStatus],"No Crosswalk")</f>
        <v/>
      </c>
      <c r="O159" s="35">
        <f>XLOOKUP([@DeviceTypeID],tblDeviceTypeIDCrosswalk[LegacyDeviceTypeID],tblDeviceTypeIDCrosswalk[MappingStatus],"No Crosswalk")</f>
        <v/>
      </c>
      <c r="P159">
        <f>IF(OR([@ManufacturerMappingStatus]&lt;&gt;"Approved",[@DeviceFamilyMappingStatus]&lt;&gt;"Approved",[@DeviceTypeMappingStatus]&lt;&gt;"Approved"),"Manual Review Required","Approved Crosswalk Available")</f>
        <v/>
      </c>
      <c r="Q159" t="inlineStr">
        <is>
          <t>Pending Review</t>
        </is>
      </c>
    </row>
    <row r="160" ht="21.5" customHeight="1" s="42">
      <c r="A160" s="36" t="n"/>
      <c r="B160" s="35" t="n"/>
      <c r="C160" s="35" t="n"/>
      <c r="D160" s="35" t="n"/>
      <c r="E160" s="39" t="n"/>
      <c r="F160" s="39" t="n"/>
      <c r="G160" s="10" t="inlineStr">
        <is>
          <t>MOD000157</t>
        </is>
      </c>
      <c r="H160" s="14" t="inlineStr">
        <is>
          <t>MFG002</t>
        </is>
      </c>
      <c r="I160" s="14" t="inlineStr">
        <is>
          <t>DF020</t>
        </is>
      </c>
      <c r="J160" s="14">
        <f>XLOOKUP([@ManufacturerID],tblManufacturerIDCrosswalk[LegacyManufacturerID],tblManufacturerIDCrosswalk[CanonicalManufacturerID],"")</f>
        <v/>
      </c>
      <c r="K160" s="7">
        <f>XLOOKUP([@DeviceFamilyID],tblDeviceFamilyIDCrosswalk[LegacyDeviceFamilyID],tblDeviceFamilyIDCrosswalk[CanonicalDeviceFamilyID],"")</f>
        <v/>
      </c>
      <c r="L160" s="7">
        <f>XLOOKUP([@DeviceTypeID],tblDeviceTypeIDCrosswalk[LegacyDeviceTypeID],tblDeviceTypeIDCrosswalk[CanonicalDeviceTypeID],"")</f>
        <v/>
      </c>
      <c r="M160" s="14">
        <f>XLOOKUP([@ManufacturerID],tblManufacturerIDCrosswalk[LegacyManufacturerID],tblManufacturerIDCrosswalk[MappingStatus],"No Crosswalk")</f>
        <v/>
      </c>
      <c r="N160" s="35">
        <f>XLOOKUP([@DeviceFamilyID],tblDeviceFamilyIDCrosswalk[LegacyDeviceFamilyID],tblDeviceFamilyIDCrosswalk[MappingStatus],"No Crosswalk")</f>
        <v/>
      </c>
      <c r="O160" s="35">
        <f>XLOOKUP([@DeviceTypeID],tblDeviceTypeIDCrosswalk[LegacyDeviceTypeID],tblDeviceTypeIDCrosswalk[MappingStatus],"No Crosswalk")</f>
        <v/>
      </c>
      <c r="P160">
        <f>IF(OR([@ManufacturerMappingStatus]&lt;&gt;"Approved",[@DeviceFamilyMappingStatus]&lt;&gt;"Approved",[@DeviceTypeMappingStatus]&lt;&gt;"Approved"),"Manual Review Required","Approved Crosswalk Available")</f>
        <v/>
      </c>
      <c r="Q160" t="inlineStr">
        <is>
          <t>Pending Review</t>
        </is>
      </c>
    </row>
    <row r="161" ht="21.5" customHeight="1" s="42">
      <c r="A161" s="36" t="n"/>
      <c r="B161" s="35" t="n"/>
      <c r="C161" s="35" t="n"/>
      <c r="D161" s="35" t="n"/>
      <c r="E161" s="39" t="n"/>
      <c r="F161" s="39" t="n"/>
      <c r="G161" s="10" t="inlineStr">
        <is>
          <t>MOD000158</t>
        </is>
      </c>
      <c r="H161" s="14" t="inlineStr">
        <is>
          <t>MFG002</t>
        </is>
      </c>
      <c r="I161" s="14" t="inlineStr">
        <is>
          <t>DF020</t>
        </is>
      </c>
      <c r="J161" s="14">
        <f>XLOOKUP([@ManufacturerID],tblManufacturerIDCrosswalk[LegacyManufacturerID],tblManufacturerIDCrosswalk[CanonicalManufacturerID],"")</f>
        <v/>
      </c>
      <c r="K161" s="7">
        <f>XLOOKUP([@DeviceFamilyID],tblDeviceFamilyIDCrosswalk[LegacyDeviceFamilyID],tblDeviceFamilyIDCrosswalk[CanonicalDeviceFamilyID],"")</f>
        <v/>
      </c>
      <c r="L161" s="7">
        <f>XLOOKUP([@DeviceTypeID],tblDeviceTypeIDCrosswalk[LegacyDeviceTypeID],tblDeviceTypeIDCrosswalk[CanonicalDeviceTypeID],"")</f>
        <v/>
      </c>
      <c r="M161" s="14">
        <f>XLOOKUP([@ManufacturerID],tblManufacturerIDCrosswalk[LegacyManufacturerID],tblManufacturerIDCrosswalk[MappingStatus],"No Crosswalk")</f>
        <v/>
      </c>
      <c r="N161" s="35">
        <f>XLOOKUP([@DeviceFamilyID],tblDeviceFamilyIDCrosswalk[LegacyDeviceFamilyID],tblDeviceFamilyIDCrosswalk[MappingStatus],"No Crosswalk")</f>
        <v/>
      </c>
      <c r="O161" s="35">
        <f>XLOOKUP([@DeviceTypeID],tblDeviceTypeIDCrosswalk[LegacyDeviceTypeID],tblDeviceTypeIDCrosswalk[MappingStatus],"No Crosswalk")</f>
        <v/>
      </c>
      <c r="P161">
        <f>IF(OR([@ManufacturerMappingStatus]&lt;&gt;"Approved",[@DeviceFamilyMappingStatus]&lt;&gt;"Approved",[@DeviceTypeMappingStatus]&lt;&gt;"Approved"),"Manual Review Required","Approved Crosswalk Available")</f>
        <v/>
      </c>
      <c r="Q161" t="inlineStr">
        <is>
          <t>Pending Review</t>
        </is>
      </c>
    </row>
    <row r="162" ht="21.5" customHeight="1" s="42">
      <c r="A162" s="36" t="n"/>
      <c r="B162" s="35" t="n"/>
      <c r="C162" s="35" t="n"/>
      <c r="D162" s="35" t="n"/>
      <c r="E162" s="39" t="n"/>
      <c r="F162" s="39" t="n"/>
      <c r="G162" s="10" t="inlineStr">
        <is>
          <t>MOD000159</t>
        </is>
      </c>
      <c r="H162" s="14" t="inlineStr">
        <is>
          <t>MFG002</t>
        </is>
      </c>
      <c r="I162" s="14" t="inlineStr">
        <is>
          <t>DF020</t>
        </is>
      </c>
      <c r="J162" s="14">
        <f>XLOOKUP([@ManufacturerID],tblManufacturerIDCrosswalk[LegacyManufacturerID],tblManufacturerIDCrosswalk[CanonicalManufacturerID],"")</f>
        <v/>
      </c>
      <c r="K162" s="7">
        <f>XLOOKUP([@DeviceFamilyID],tblDeviceFamilyIDCrosswalk[LegacyDeviceFamilyID],tblDeviceFamilyIDCrosswalk[CanonicalDeviceFamilyID],"")</f>
        <v/>
      </c>
      <c r="L162" s="7">
        <f>XLOOKUP([@DeviceTypeID],tblDeviceTypeIDCrosswalk[LegacyDeviceTypeID],tblDeviceTypeIDCrosswalk[CanonicalDeviceTypeID],"")</f>
        <v/>
      </c>
      <c r="M162" s="14">
        <f>XLOOKUP([@ManufacturerID],tblManufacturerIDCrosswalk[LegacyManufacturerID],tblManufacturerIDCrosswalk[MappingStatus],"No Crosswalk")</f>
        <v/>
      </c>
      <c r="N162" s="35">
        <f>XLOOKUP([@DeviceFamilyID],tblDeviceFamilyIDCrosswalk[LegacyDeviceFamilyID],tblDeviceFamilyIDCrosswalk[MappingStatus],"No Crosswalk")</f>
        <v/>
      </c>
      <c r="O162" s="35">
        <f>XLOOKUP([@DeviceTypeID],tblDeviceTypeIDCrosswalk[LegacyDeviceTypeID],tblDeviceTypeIDCrosswalk[MappingStatus],"No Crosswalk")</f>
        <v/>
      </c>
      <c r="P162">
        <f>IF(OR([@ManufacturerMappingStatus]&lt;&gt;"Approved",[@DeviceFamilyMappingStatus]&lt;&gt;"Approved",[@DeviceTypeMappingStatus]&lt;&gt;"Approved"),"Manual Review Required","Approved Crosswalk Available")</f>
        <v/>
      </c>
      <c r="Q162" t="inlineStr">
        <is>
          <t>Pending Review</t>
        </is>
      </c>
    </row>
    <row r="163" ht="21.5" customHeight="1" s="42">
      <c r="A163" s="36" t="n"/>
      <c r="B163" s="35" t="n"/>
      <c r="C163" s="35" t="n"/>
      <c r="D163" s="35" t="n"/>
      <c r="E163" s="39" t="n"/>
      <c r="F163" s="39" t="n"/>
      <c r="G163" s="10" t="inlineStr">
        <is>
          <t>MOD000160</t>
        </is>
      </c>
      <c r="H163" s="14" t="inlineStr">
        <is>
          <t>MFG002</t>
        </is>
      </c>
      <c r="I163" s="14" t="inlineStr">
        <is>
          <t>DF020</t>
        </is>
      </c>
      <c r="J163" s="14">
        <f>XLOOKUP([@ManufacturerID],tblManufacturerIDCrosswalk[LegacyManufacturerID],tblManufacturerIDCrosswalk[CanonicalManufacturerID],"")</f>
        <v/>
      </c>
      <c r="K163" s="7">
        <f>XLOOKUP([@DeviceFamilyID],tblDeviceFamilyIDCrosswalk[LegacyDeviceFamilyID],tblDeviceFamilyIDCrosswalk[CanonicalDeviceFamilyID],"")</f>
        <v/>
      </c>
      <c r="L163" s="7">
        <f>XLOOKUP([@DeviceTypeID],tblDeviceTypeIDCrosswalk[LegacyDeviceTypeID],tblDeviceTypeIDCrosswalk[CanonicalDeviceTypeID],"")</f>
        <v/>
      </c>
      <c r="M163" s="14">
        <f>XLOOKUP([@ManufacturerID],tblManufacturerIDCrosswalk[LegacyManufacturerID],tblManufacturerIDCrosswalk[MappingStatus],"No Crosswalk")</f>
        <v/>
      </c>
      <c r="N163" s="35">
        <f>XLOOKUP([@DeviceFamilyID],tblDeviceFamilyIDCrosswalk[LegacyDeviceFamilyID],tblDeviceFamilyIDCrosswalk[MappingStatus],"No Crosswalk")</f>
        <v/>
      </c>
      <c r="O163" s="35">
        <f>XLOOKUP([@DeviceTypeID],tblDeviceTypeIDCrosswalk[LegacyDeviceTypeID],tblDeviceTypeIDCrosswalk[MappingStatus],"No Crosswalk")</f>
        <v/>
      </c>
      <c r="P163">
        <f>IF(OR([@ManufacturerMappingStatus]&lt;&gt;"Approved",[@DeviceFamilyMappingStatus]&lt;&gt;"Approved",[@DeviceTypeMappingStatus]&lt;&gt;"Approved"),"Manual Review Required","Approved Crosswalk Available")</f>
        <v/>
      </c>
      <c r="Q163" t="inlineStr">
        <is>
          <t>Pending Review</t>
        </is>
      </c>
    </row>
    <row r="164" ht="21.5" customHeight="1" s="42">
      <c r="A164" s="36" t="n"/>
      <c r="B164" s="35" t="n"/>
      <c r="C164" s="35" t="n"/>
      <c r="D164" s="35" t="n"/>
      <c r="E164" s="39" t="n"/>
      <c r="F164" s="39" t="n"/>
      <c r="G164" s="10" t="inlineStr">
        <is>
          <t>MOD000161</t>
        </is>
      </c>
      <c r="H164" s="14" t="inlineStr">
        <is>
          <t>MFG002</t>
        </is>
      </c>
      <c r="I164" s="14" t="inlineStr">
        <is>
          <t>DF020</t>
        </is>
      </c>
      <c r="J164" s="14">
        <f>XLOOKUP([@ManufacturerID],tblManufacturerIDCrosswalk[LegacyManufacturerID],tblManufacturerIDCrosswalk[CanonicalManufacturerID],"")</f>
        <v/>
      </c>
      <c r="K164" s="7">
        <f>XLOOKUP([@DeviceFamilyID],tblDeviceFamilyIDCrosswalk[LegacyDeviceFamilyID],tblDeviceFamilyIDCrosswalk[CanonicalDeviceFamilyID],"")</f>
        <v/>
      </c>
      <c r="L164" s="7">
        <f>XLOOKUP([@DeviceTypeID],tblDeviceTypeIDCrosswalk[LegacyDeviceTypeID],tblDeviceTypeIDCrosswalk[CanonicalDeviceTypeID],"")</f>
        <v/>
      </c>
      <c r="M164" s="14">
        <f>XLOOKUP([@ManufacturerID],tblManufacturerIDCrosswalk[LegacyManufacturerID],tblManufacturerIDCrosswalk[MappingStatus],"No Crosswalk")</f>
        <v/>
      </c>
      <c r="N164" s="35">
        <f>XLOOKUP([@DeviceFamilyID],tblDeviceFamilyIDCrosswalk[LegacyDeviceFamilyID],tblDeviceFamilyIDCrosswalk[MappingStatus],"No Crosswalk")</f>
        <v/>
      </c>
      <c r="O164" s="35">
        <f>XLOOKUP([@DeviceTypeID],tblDeviceTypeIDCrosswalk[LegacyDeviceTypeID],tblDeviceTypeIDCrosswalk[MappingStatus],"No Crosswalk")</f>
        <v/>
      </c>
      <c r="P164">
        <f>IF(OR([@ManufacturerMappingStatus]&lt;&gt;"Approved",[@DeviceFamilyMappingStatus]&lt;&gt;"Approved",[@DeviceTypeMappingStatus]&lt;&gt;"Approved"),"Manual Review Required","Approved Crosswalk Available")</f>
        <v/>
      </c>
      <c r="Q164" t="inlineStr">
        <is>
          <t>Pending Review</t>
        </is>
      </c>
    </row>
    <row r="165" ht="21.5" customHeight="1" s="42">
      <c r="A165" s="36" t="n"/>
      <c r="B165" s="35" t="n"/>
      <c r="C165" s="35" t="n"/>
      <c r="D165" s="35" t="n"/>
      <c r="E165" s="39" t="n"/>
      <c r="F165" s="39" t="n"/>
      <c r="G165" s="10" t="inlineStr">
        <is>
          <t>MOD000162</t>
        </is>
      </c>
      <c r="H165" s="14" t="inlineStr">
        <is>
          <t>MFG002</t>
        </is>
      </c>
      <c r="I165" s="14" t="inlineStr">
        <is>
          <t>DF020</t>
        </is>
      </c>
      <c r="J165" s="14">
        <f>XLOOKUP([@ManufacturerID],tblManufacturerIDCrosswalk[LegacyManufacturerID],tblManufacturerIDCrosswalk[CanonicalManufacturerID],"")</f>
        <v/>
      </c>
      <c r="K165" s="7">
        <f>XLOOKUP([@DeviceFamilyID],tblDeviceFamilyIDCrosswalk[LegacyDeviceFamilyID],tblDeviceFamilyIDCrosswalk[CanonicalDeviceFamilyID],"")</f>
        <v/>
      </c>
      <c r="L165" s="7">
        <f>XLOOKUP([@DeviceTypeID],tblDeviceTypeIDCrosswalk[LegacyDeviceTypeID],tblDeviceTypeIDCrosswalk[CanonicalDeviceTypeID],"")</f>
        <v/>
      </c>
      <c r="M165" s="14">
        <f>XLOOKUP([@ManufacturerID],tblManufacturerIDCrosswalk[LegacyManufacturerID],tblManufacturerIDCrosswalk[MappingStatus],"No Crosswalk")</f>
        <v/>
      </c>
      <c r="N165" s="35">
        <f>XLOOKUP([@DeviceFamilyID],tblDeviceFamilyIDCrosswalk[LegacyDeviceFamilyID],tblDeviceFamilyIDCrosswalk[MappingStatus],"No Crosswalk")</f>
        <v/>
      </c>
      <c r="O165" s="35">
        <f>XLOOKUP([@DeviceTypeID],tblDeviceTypeIDCrosswalk[LegacyDeviceTypeID],tblDeviceTypeIDCrosswalk[MappingStatus],"No Crosswalk")</f>
        <v/>
      </c>
      <c r="P165">
        <f>IF(OR([@ManufacturerMappingStatus]&lt;&gt;"Approved",[@DeviceFamilyMappingStatus]&lt;&gt;"Approved",[@DeviceTypeMappingStatus]&lt;&gt;"Approved"),"Manual Review Required","Approved Crosswalk Available")</f>
        <v/>
      </c>
      <c r="Q165" t="inlineStr">
        <is>
          <t>Pending Review</t>
        </is>
      </c>
    </row>
    <row r="166" ht="21.5" customHeight="1" s="42">
      <c r="A166" s="36" t="n"/>
      <c r="B166" s="35" t="n"/>
      <c r="C166" s="35" t="n"/>
      <c r="D166" s="35" t="n"/>
      <c r="E166" s="39" t="n"/>
      <c r="F166" s="39" t="n"/>
      <c r="G166" s="10" t="inlineStr">
        <is>
          <t>MOD000163</t>
        </is>
      </c>
      <c r="H166" s="14" t="inlineStr">
        <is>
          <t>MFG002</t>
        </is>
      </c>
      <c r="I166" s="14" t="inlineStr">
        <is>
          <t>DF020</t>
        </is>
      </c>
      <c r="J166" s="14">
        <f>XLOOKUP([@ManufacturerID],tblManufacturerIDCrosswalk[LegacyManufacturerID],tblManufacturerIDCrosswalk[CanonicalManufacturerID],"")</f>
        <v/>
      </c>
      <c r="K166" s="7">
        <f>XLOOKUP([@DeviceFamilyID],tblDeviceFamilyIDCrosswalk[LegacyDeviceFamilyID],tblDeviceFamilyIDCrosswalk[CanonicalDeviceFamilyID],"")</f>
        <v/>
      </c>
      <c r="L166" s="7">
        <f>XLOOKUP([@DeviceTypeID],tblDeviceTypeIDCrosswalk[LegacyDeviceTypeID],tblDeviceTypeIDCrosswalk[CanonicalDeviceTypeID],"")</f>
        <v/>
      </c>
      <c r="M166" s="14">
        <f>XLOOKUP([@ManufacturerID],tblManufacturerIDCrosswalk[LegacyManufacturerID],tblManufacturerIDCrosswalk[MappingStatus],"No Crosswalk")</f>
        <v/>
      </c>
      <c r="N166" s="35">
        <f>XLOOKUP([@DeviceFamilyID],tblDeviceFamilyIDCrosswalk[LegacyDeviceFamilyID],tblDeviceFamilyIDCrosswalk[MappingStatus],"No Crosswalk")</f>
        <v/>
      </c>
      <c r="O166" s="35">
        <f>XLOOKUP([@DeviceTypeID],tblDeviceTypeIDCrosswalk[LegacyDeviceTypeID],tblDeviceTypeIDCrosswalk[MappingStatus],"No Crosswalk")</f>
        <v/>
      </c>
      <c r="P166">
        <f>IF(OR([@ManufacturerMappingStatus]&lt;&gt;"Approved",[@DeviceFamilyMappingStatus]&lt;&gt;"Approved",[@DeviceTypeMappingStatus]&lt;&gt;"Approved"),"Manual Review Required","Approved Crosswalk Available")</f>
        <v/>
      </c>
      <c r="Q166" t="inlineStr">
        <is>
          <t>Pending Review</t>
        </is>
      </c>
    </row>
    <row r="167" ht="21.5" customHeight="1" s="42">
      <c r="A167" s="36" t="n"/>
      <c r="B167" s="35" t="n"/>
      <c r="C167" s="35" t="n"/>
      <c r="D167" s="35" t="n"/>
      <c r="E167" s="39" t="n"/>
      <c r="F167" s="39" t="n"/>
      <c r="G167" s="10" t="inlineStr">
        <is>
          <t>MOD000164</t>
        </is>
      </c>
      <c r="H167" s="14" t="inlineStr">
        <is>
          <t>MFG002</t>
        </is>
      </c>
      <c r="I167" s="14" t="inlineStr">
        <is>
          <t>DF020</t>
        </is>
      </c>
      <c r="J167" s="14">
        <f>XLOOKUP([@ManufacturerID],tblManufacturerIDCrosswalk[LegacyManufacturerID],tblManufacturerIDCrosswalk[CanonicalManufacturerID],"")</f>
        <v/>
      </c>
      <c r="K167" s="7">
        <f>XLOOKUP([@DeviceFamilyID],tblDeviceFamilyIDCrosswalk[LegacyDeviceFamilyID],tblDeviceFamilyIDCrosswalk[CanonicalDeviceFamilyID],"")</f>
        <v/>
      </c>
      <c r="L167" s="7">
        <f>XLOOKUP([@DeviceTypeID],tblDeviceTypeIDCrosswalk[LegacyDeviceTypeID],tblDeviceTypeIDCrosswalk[CanonicalDeviceTypeID],"")</f>
        <v/>
      </c>
      <c r="M167" s="14">
        <f>XLOOKUP([@ManufacturerID],tblManufacturerIDCrosswalk[LegacyManufacturerID],tblManufacturerIDCrosswalk[MappingStatus],"No Crosswalk")</f>
        <v/>
      </c>
      <c r="N167" s="35">
        <f>XLOOKUP([@DeviceFamilyID],tblDeviceFamilyIDCrosswalk[LegacyDeviceFamilyID],tblDeviceFamilyIDCrosswalk[MappingStatus],"No Crosswalk")</f>
        <v/>
      </c>
      <c r="O167" s="35">
        <f>XLOOKUP([@DeviceTypeID],tblDeviceTypeIDCrosswalk[LegacyDeviceTypeID],tblDeviceTypeIDCrosswalk[MappingStatus],"No Crosswalk")</f>
        <v/>
      </c>
      <c r="P167">
        <f>IF(OR([@ManufacturerMappingStatus]&lt;&gt;"Approved",[@DeviceFamilyMappingStatus]&lt;&gt;"Approved",[@DeviceTypeMappingStatus]&lt;&gt;"Approved"),"Manual Review Required","Approved Crosswalk Available")</f>
        <v/>
      </c>
      <c r="Q167" t="inlineStr">
        <is>
          <t>Pending Review</t>
        </is>
      </c>
    </row>
    <row r="168" ht="21.5" customHeight="1" s="42">
      <c r="A168" s="36" t="n"/>
      <c r="B168" s="35" t="n"/>
      <c r="C168" s="35" t="n"/>
      <c r="D168" s="35" t="n"/>
      <c r="E168" s="39" t="n"/>
      <c r="F168" s="39" t="n"/>
      <c r="G168" s="10" t="inlineStr">
        <is>
          <t>MOD000165</t>
        </is>
      </c>
      <c r="H168" s="14" t="inlineStr">
        <is>
          <t>MFG002</t>
        </is>
      </c>
      <c r="I168" s="14" t="inlineStr">
        <is>
          <t>DF020</t>
        </is>
      </c>
      <c r="J168" s="14">
        <f>XLOOKUP([@ManufacturerID],tblManufacturerIDCrosswalk[LegacyManufacturerID],tblManufacturerIDCrosswalk[CanonicalManufacturerID],"")</f>
        <v/>
      </c>
      <c r="K168" s="7">
        <f>XLOOKUP([@DeviceFamilyID],tblDeviceFamilyIDCrosswalk[LegacyDeviceFamilyID],tblDeviceFamilyIDCrosswalk[CanonicalDeviceFamilyID],"")</f>
        <v/>
      </c>
      <c r="L168" s="7">
        <f>XLOOKUP([@DeviceTypeID],tblDeviceTypeIDCrosswalk[LegacyDeviceTypeID],tblDeviceTypeIDCrosswalk[CanonicalDeviceTypeID],"")</f>
        <v/>
      </c>
      <c r="M168" s="14">
        <f>XLOOKUP([@ManufacturerID],tblManufacturerIDCrosswalk[LegacyManufacturerID],tblManufacturerIDCrosswalk[MappingStatus],"No Crosswalk")</f>
        <v/>
      </c>
      <c r="N168" s="35">
        <f>XLOOKUP([@DeviceFamilyID],tblDeviceFamilyIDCrosswalk[LegacyDeviceFamilyID],tblDeviceFamilyIDCrosswalk[MappingStatus],"No Crosswalk")</f>
        <v/>
      </c>
      <c r="O168" s="35">
        <f>XLOOKUP([@DeviceTypeID],tblDeviceTypeIDCrosswalk[LegacyDeviceTypeID],tblDeviceTypeIDCrosswalk[MappingStatus],"No Crosswalk")</f>
        <v/>
      </c>
      <c r="P168">
        <f>IF(OR([@ManufacturerMappingStatus]&lt;&gt;"Approved",[@DeviceFamilyMappingStatus]&lt;&gt;"Approved",[@DeviceTypeMappingStatus]&lt;&gt;"Approved"),"Manual Review Required","Approved Crosswalk Available")</f>
        <v/>
      </c>
      <c r="Q168" t="inlineStr">
        <is>
          <t>Pending Review</t>
        </is>
      </c>
    </row>
    <row r="169" ht="21.5" customHeight="1" s="42">
      <c r="A169" s="36" t="n"/>
      <c r="B169" s="35" t="n"/>
      <c r="C169" s="35" t="n"/>
      <c r="D169" s="35" t="n"/>
      <c r="E169" s="39" t="n"/>
      <c r="F169" s="39" t="n"/>
      <c r="G169" s="10" t="inlineStr">
        <is>
          <t>MOD000166</t>
        </is>
      </c>
      <c r="H169" s="14" t="inlineStr">
        <is>
          <t>MFG002</t>
        </is>
      </c>
      <c r="I169" s="14" t="inlineStr">
        <is>
          <t>DF020</t>
        </is>
      </c>
      <c r="J169" s="14">
        <f>XLOOKUP([@ManufacturerID],tblManufacturerIDCrosswalk[LegacyManufacturerID],tblManufacturerIDCrosswalk[CanonicalManufacturerID],"")</f>
        <v/>
      </c>
      <c r="K169" s="7">
        <f>XLOOKUP([@DeviceFamilyID],tblDeviceFamilyIDCrosswalk[LegacyDeviceFamilyID],tblDeviceFamilyIDCrosswalk[CanonicalDeviceFamilyID],"")</f>
        <v/>
      </c>
      <c r="L169" s="7">
        <f>XLOOKUP([@DeviceTypeID],tblDeviceTypeIDCrosswalk[LegacyDeviceTypeID],tblDeviceTypeIDCrosswalk[CanonicalDeviceTypeID],"")</f>
        <v/>
      </c>
      <c r="M169" s="14">
        <f>XLOOKUP([@ManufacturerID],tblManufacturerIDCrosswalk[LegacyManufacturerID],tblManufacturerIDCrosswalk[MappingStatus],"No Crosswalk")</f>
        <v/>
      </c>
      <c r="N169" s="35">
        <f>XLOOKUP([@DeviceFamilyID],tblDeviceFamilyIDCrosswalk[LegacyDeviceFamilyID],tblDeviceFamilyIDCrosswalk[MappingStatus],"No Crosswalk")</f>
        <v/>
      </c>
      <c r="O169" s="35">
        <f>XLOOKUP([@DeviceTypeID],tblDeviceTypeIDCrosswalk[LegacyDeviceTypeID],tblDeviceTypeIDCrosswalk[MappingStatus],"No Crosswalk")</f>
        <v/>
      </c>
      <c r="P169">
        <f>IF(OR([@ManufacturerMappingStatus]&lt;&gt;"Approved",[@DeviceFamilyMappingStatus]&lt;&gt;"Approved",[@DeviceTypeMappingStatus]&lt;&gt;"Approved"),"Manual Review Required","Approved Crosswalk Available")</f>
        <v/>
      </c>
      <c r="Q169" t="inlineStr">
        <is>
          <t>Pending Review</t>
        </is>
      </c>
    </row>
    <row r="170" ht="21.5" customHeight="1" s="42">
      <c r="A170" s="36" t="n"/>
      <c r="B170" s="35" t="n"/>
      <c r="C170" s="35" t="n"/>
      <c r="D170" s="35" t="n"/>
      <c r="E170" s="39" t="n"/>
      <c r="F170" s="39" t="n"/>
      <c r="G170" s="10" t="inlineStr">
        <is>
          <t>MOD000167</t>
        </is>
      </c>
      <c r="H170" s="14" t="inlineStr">
        <is>
          <t>MFG002</t>
        </is>
      </c>
      <c r="I170" s="14" t="inlineStr">
        <is>
          <t>DF020</t>
        </is>
      </c>
      <c r="J170" s="14">
        <f>XLOOKUP([@ManufacturerID],tblManufacturerIDCrosswalk[LegacyManufacturerID],tblManufacturerIDCrosswalk[CanonicalManufacturerID],"")</f>
        <v/>
      </c>
      <c r="K170" s="7">
        <f>XLOOKUP([@DeviceFamilyID],tblDeviceFamilyIDCrosswalk[LegacyDeviceFamilyID],tblDeviceFamilyIDCrosswalk[CanonicalDeviceFamilyID],"")</f>
        <v/>
      </c>
      <c r="L170" s="7">
        <f>XLOOKUP([@DeviceTypeID],tblDeviceTypeIDCrosswalk[LegacyDeviceTypeID],tblDeviceTypeIDCrosswalk[CanonicalDeviceTypeID],"")</f>
        <v/>
      </c>
      <c r="M170" s="14">
        <f>XLOOKUP([@ManufacturerID],tblManufacturerIDCrosswalk[LegacyManufacturerID],tblManufacturerIDCrosswalk[MappingStatus],"No Crosswalk")</f>
        <v/>
      </c>
      <c r="N170" s="35">
        <f>XLOOKUP([@DeviceFamilyID],tblDeviceFamilyIDCrosswalk[LegacyDeviceFamilyID],tblDeviceFamilyIDCrosswalk[MappingStatus],"No Crosswalk")</f>
        <v/>
      </c>
      <c r="O170" s="35">
        <f>XLOOKUP([@DeviceTypeID],tblDeviceTypeIDCrosswalk[LegacyDeviceTypeID],tblDeviceTypeIDCrosswalk[MappingStatus],"No Crosswalk")</f>
        <v/>
      </c>
      <c r="P170">
        <f>IF(OR([@ManufacturerMappingStatus]&lt;&gt;"Approved",[@DeviceFamilyMappingStatus]&lt;&gt;"Approved",[@DeviceTypeMappingStatus]&lt;&gt;"Approved"),"Manual Review Required","Approved Crosswalk Available")</f>
        <v/>
      </c>
      <c r="Q170" t="inlineStr">
        <is>
          <t>Pending Review</t>
        </is>
      </c>
    </row>
    <row r="171" ht="21.5" customHeight="1" s="42">
      <c r="A171" s="36" t="n"/>
      <c r="B171" s="35" t="n"/>
      <c r="C171" s="35" t="n"/>
      <c r="D171" s="35" t="n"/>
      <c r="E171" s="39" t="n"/>
      <c r="F171" s="39" t="n"/>
      <c r="G171" s="10" t="inlineStr">
        <is>
          <t>MOD000168</t>
        </is>
      </c>
      <c r="H171" s="14" t="inlineStr">
        <is>
          <t>MFG002</t>
        </is>
      </c>
      <c r="I171" s="14" t="inlineStr">
        <is>
          <t>DF020</t>
        </is>
      </c>
      <c r="J171" s="14">
        <f>XLOOKUP([@ManufacturerID],tblManufacturerIDCrosswalk[LegacyManufacturerID],tblManufacturerIDCrosswalk[CanonicalManufacturerID],"")</f>
        <v/>
      </c>
      <c r="K171" s="7">
        <f>XLOOKUP([@DeviceFamilyID],tblDeviceFamilyIDCrosswalk[LegacyDeviceFamilyID],tblDeviceFamilyIDCrosswalk[CanonicalDeviceFamilyID],"")</f>
        <v/>
      </c>
      <c r="L171" s="7">
        <f>XLOOKUP([@DeviceTypeID],tblDeviceTypeIDCrosswalk[LegacyDeviceTypeID],tblDeviceTypeIDCrosswalk[CanonicalDeviceTypeID],"")</f>
        <v/>
      </c>
      <c r="M171" s="14">
        <f>XLOOKUP([@ManufacturerID],tblManufacturerIDCrosswalk[LegacyManufacturerID],tblManufacturerIDCrosswalk[MappingStatus],"No Crosswalk")</f>
        <v/>
      </c>
      <c r="N171" s="35">
        <f>XLOOKUP([@DeviceFamilyID],tblDeviceFamilyIDCrosswalk[LegacyDeviceFamilyID],tblDeviceFamilyIDCrosswalk[MappingStatus],"No Crosswalk")</f>
        <v/>
      </c>
      <c r="O171" s="35">
        <f>XLOOKUP([@DeviceTypeID],tblDeviceTypeIDCrosswalk[LegacyDeviceTypeID],tblDeviceTypeIDCrosswalk[MappingStatus],"No Crosswalk")</f>
        <v/>
      </c>
      <c r="P171">
        <f>IF(OR([@ManufacturerMappingStatus]&lt;&gt;"Approved",[@DeviceFamilyMappingStatus]&lt;&gt;"Approved",[@DeviceTypeMappingStatus]&lt;&gt;"Approved"),"Manual Review Required","Approved Crosswalk Available")</f>
        <v/>
      </c>
      <c r="Q171" t="inlineStr">
        <is>
          <t>Pending Review</t>
        </is>
      </c>
    </row>
    <row r="172" ht="21.5" customHeight="1" s="42">
      <c r="A172" s="36" t="n"/>
      <c r="B172" s="35" t="n"/>
      <c r="C172" s="35" t="n"/>
      <c r="D172" s="35" t="n"/>
      <c r="E172" s="39" t="n"/>
      <c r="F172" s="39" t="n"/>
      <c r="G172" s="10" t="inlineStr">
        <is>
          <t>MOD000169</t>
        </is>
      </c>
      <c r="H172" s="14" t="inlineStr">
        <is>
          <t>MFG002</t>
        </is>
      </c>
      <c r="I172" s="14" t="inlineStr">
        <is>
          <t>DF020</t>
        </is>
      </c>
      <c r="J172" s="14">
        <f>XLOOKUP([@ManufacturerID],tblManufacturerIDCrosswalk[LegacyManufacturerID],tblManufacturerIDCrosswalk[CanonicalManufacturerID],"")</f>
        <v/>
      </c>
      <c r="K172" s="7">
        <f>XLOOKUP([@DeviceFamilyID],tblDeviceFamilyIDCrosswalk[LegacyDeviceFamilyID],tblDeviceFamilyIDCrosswalk[CanonicalDeviceFamilyID],"")</f>
        <v/>
      </c>
      <c r="L172" s="7">
        <f>XLOOKUP([@DeviceTypeID],tblDeviceTypeIDCrosswalk[LegacyDeviceTypeID],tblDeviceTypeIDCrosswalk[CanonicalDeviceTypeID],"")</f>
        <v/>
      </c>
      <c r="M172" s="14">
        <f>XLOOKUP([@ManufacturerID],tblManufacturerIDCrosswalk[LegacyManufacturerID],tblManufacturerIDCrosswalk[MappingStatus],"No Crosswalk")</f>
        <v/>
      </c>
      <c r="N172" s="35">
        <f>XLOOKUP([@DeviceFamilyID],tblDeviceFamilyIDCrosswalk[LegacyDeviceFamilyID],tblDeviceFamilyIDCrosswalk[MappingStatus],"No Crosswalk")</f>
        <v/>
      </c>
      <c r="O172" s="35">
        <f>XLOOKUP([@DeviceTypeID],tblDeviceTypeIDCrosswalk[LegacyDeviceTypeID],tblDeviceTypeIDCrosswalk[MappingStatus],"No Crosswalk")</f>
        <v/>
      </c>
      <c r="P172">
        <f>IF(OR([@ManufacturerMappingStatus]&lt;&gt;"Approved",[@DeviceFamilyMappingStatus]&lt;&gt;"Approved",[@DeviceTypeMappingStatus]&lt;&gt;"Approved"),"Manual Review Required","Approved Crosswalk Available")</f>
        <v/>
      </c>
      <c r="Q172" t="inlineStr">
        <is>
          <t>Pending Review</t>
        </is>
      </c>
    </row>
    <row r="173" ht="21.5" customHeight="1" s="42">
      <c r="A173" s="36" t="n"/>
      <c r="B173" s="35" t="n"/>
      <c r="C173" s="35" t="n"/>
      <c r="D173" s="35" t="n"/>
      <c r="E173" s="39" t="n"/>
      <c r="F173" s="39" t="n"/>
      <c r="G173" s="10" t="inlineStr">
        <is>
          <t>MOD000170</t>
        </is>
      </c>
      <c r="H173" s="14" t="inlineStr">
        <is>
          <t>MFG002</t>
        </is>
      </c>
      <c r="I173" s="14" t="inlineStr">
        <is>
          <t>DF020</t>
        </is>
      </c>
      <c r="J173" s="14">
        <f>XLOOKUP([@ManufacturerID],tblManufacturerIDCrosswalk[LegacyManufacturerID],tblManufacturerIDCrosswalk[CanonicalManufacturerID],"")</f>
        <v/>
      </c>
      <c r="K173" s="7">
        <f>XLOOKUP([@DeviceFamilyID],tblDeviceFamilyIDCrosswalk[LegacyDeviceFamilyID],tblDeviceFamilyIDCrosswalk[CanonicalDeviceFamilyID],"")</f>
        <v/>
      </c>
      <c r="L173" s="7">
        <f>XLOOKUP([@DeviceTypeID],tblDeviceTypeIDCrosswalk[LegacyDeviceTypeID],tblDeviceTypeIDCrosswalk[CanonicalDeviceTypeID],"")</f>
        <v/>
      </c>
      <c r="M173" s="14">
        <f>XLOOKUP([@ManufacturerID],tblManufacturerIDCrosswalk[LegacyManufacturerID],tblManufacturerIDCrosswalk[MappingStatus],"No Crosswalk")</f>
        <v/>
      </c>
      <c r="N173" s="35">
        <f>XLOOKUP([@DeviceFamilyID],tblDeviceFamilyIDCrosswalk[LegacyDeviceFamilyID],tblDeviceFamilyIDCrosswalk[MappingStatus],"No Crosswalk")</f>
        <v/>
      </c>
      <c r="O173" s="35">
        <f>XLOOKUP([@DeviceTypeID],tblDeviceTypeIDCrosswalk[LegacyDeviceTypeID],tblDeviceTypeIDCrosswalk[MappingStatus],"No Crosswalk")</f>
        <v/>
      </c>
      <c r="P173">
        <f>IF(OR([@ManufacturerMappingStatus]&lt;&gt;"Approved",[@DeviceFamilyMappingStatus]&lt;&gt;"Approved",[@DeviceTypeMappingStatus]&lt;&gt;"Approved"),"Manual Review Required","Approved Crosswalk Available")</f>
        <v/>
      </c>
      <c r="Q173" t="inlineStr">
        <is>
          <t>Pending Review</t>
        </is>
      </c>
    </row>
    <row r="174" ht="21.5" customHeight="1" s="42">
      <c r="A174" s="36" t="n"/>
      <c r="B174" s="35" t="n"/>
      <c r="C174" s="35" t="n"/>
      <c r="D174" s="35" t="n"/>
      <c r="E174" s="39" t="n"/>
      <c r="F174" s="39" t="n"/>
      <c r="G174" s="10" t="inlineStr">
        <is>
          <t>MOD000171</t>
        </is>
      </c>
      <c r="H174" s="14" t="inlineStr">
        <is>
          <t>MFG002</t>
        </is>
      </c>
      <c r="I174" s="14" t="inlineStr">
        <is>
          <t>DF020</t>
        </is>
      </c>
      <c r="J174" s="14">
        <f>XLOOKUP([@ManufacturerID],tblManufacturerIDCrosswalk[LegacyManufacturerID],tblManufacturerIDCrosswalk[CanonicalManufacturerID],"")</f>
        <v/>
      </c>
      <c r="K174" s="7">
        <f>XLOOKUP([@DeviceFamilyID],tblDeviceFamilyIDCrosswalk[LegacyDeviceFamilyID],tblDeviceFamilyIDCrosswalk[CanonicalDeviceFamilyID],"")</f>
        <v/>
      </c>
      <c r="L174" s="7">
        <f>XLOOKUP([@DeviceTypeID],tblDeviceTypeIDCrosswalk[LegacyDeviceTypeID],tblDeviceTypeIDCrosswalk[CanonicalDeviceTypeID],"")</f>
        <v/>
      </c>
      <c r="M174" s="14">
        <f>XLOOKUP([@ManufacturerID],tblManufacturerIDCrosswalk[LegacyManufacturerID],tblManufacturerIDCrosswalk[MappingStatus],"No Crosswalk")</f>
        <v/>
      </c>
      <c r="N174" s="35">
        <f>XLOOKUP([@DeviceFamilyID],tblDeviceFamilyIDCrosswalk[LegacyDeviceFamilyID],tblDeviceFamilyIDCrosswalk[MappingStatus],"No Crosswalk")</f>
        <v/>
      </c>
      <c r="O174" s="35">
        <f>XLOOKUP([@DeviceTypeID],tblDeviceTypeIDCrosswalk[LegacyDeviceTypeID],tblDeviceTypeIDCrosswalk[MappingStatus],"No Crosswalk")</f>
        <v/>
      </c>
      <c r="P174">
        <f>IF(OR([@ManufacturerMappingStatus]&lt;&gt;"Approved",[@DeviceFamilyMappingStatus]&lt;&gt;"Approved",[@DeviceTypeMappingStatus]&lt;&gt;"Approved"),"Manual Review Required","Approved Crosswalk Available")</f>
        <v/>
      </c>
      <c r="Q174" t="inlineStr">
        <is>
          <t>Pending Review</t>
        </is>
      </c>
    </row>
    <row r="175" ht="21.5" customHeight="1" s="42">
      <c r="A175" s="36" t="n"/>
      <c r="B175" s="35" t="n"/>
      <c r="C175" s="35" t="n"/>
      <c r="D175" s="35" t="n"/>
      <c r="E175" s="39" t="n"/>
      <c r="F175" s="39" t="n"/>
      <c r="G175" s="10" t="inlineStr">
        <is>
          <t>MOD000172</t>
        </is>
      </c>
      <c r="H175" s="14" t="inlineStr">
        <is>
          <t>MFG002</t>
        </is>
      </c>
      <c r="I175" s="14" t="inlineStr">
        <is>
          <t>DF020</t>
        </is>
      </c>
      <c r="J175" s="14">
        <f>XLOOKUP([@ManufacturerID],tblManufacturerIDCrosswalk[LegacyManufacturerID],tblManufacturerIDCrosswalk[CanonicalManufacturerID],"")</f>
        <v/>
      </c>
      <c r="K175" s="7">
        <f>XLOOKUP([@DeviceFamilyID],tblDeviceFamilyIDCrosswalk[LegacyDeviceFamilyID],tblDeviceFamilyIDCrosswalk[CanonicalDeviceFamilyID],"")</f>
        <v/>
      </c>
      <c r="L175" s="7">
        <f>XLOOKUP([@DeviceTypeID],tblDeviceTypeIDCrosswalk[LegacyDeviceTypeID],tblDeviceTypeIDCrosswalk[CanonicalDeviceTypeID],"")</f>
        <v/>
      </c>
      <c r="M175" s="14">
        <f>XLOOKUP([@ManufacturerID],tblManufacturerIDCrosswalk[LegacyManufacturerID],tblManufacturerIDCrosswalk[MappingStatus],"No Crosswalk")</f>
        <v/>
      </c>
      <c r="N175" s="35">
        <f>XLOOKUP([@DeviceFamilyID],tblDeviceFamilyIDCrosswalk[LegacyDeviceFamilyID],tblDeviceFamilyIDCrosswalk[MappingStatus],"No Crosswalk")</f>
        <v/>
      </c>
      <c r="O175" s="35">
        <f>XLOOKUP([@DeviceTypeID],tblDeviceTypeIDCrosswalk[LegacyDeviceTypeID],tblDeviceTypeIDCrosswalk[MappingStatus],"No Crosswalk")</f>
        <v/>
      </c>
      <c r="P175">
        <f>IF(OR([@ManufacturerMappingStatus]&lt;&gt;"Approved",[@DeviceFamilyMappingStatus]&lt;&gt;"Approved",[@DeviceTypeMappingStatus]&lt;&gt;"Approved"),"Manual Review Required","Approved Crosswalk Available")</f>
        <v/>
      </c>
      <c r="Q175" t="inlineStr">
        <is>
          <t>Pending Review</t>
        </is>
      </c>
    </row>
    <row r="176" ht="21.5" customHeight="1" s="42">
      <c r="A176" s="36" t="n"/>
      <c r="B176" s="35" t="n"/>
      <c r="C176" s="35" t="n"/>
      <c r="D176" s="35" t="n"/>
      <c r="E176" s="39" t="n"/>
      <c r="F176" s="39" t="n"/>
      <c r="G176" s="10" t="inlineStr">
        <is>
          <t>MOD000173</t>
        </is>
      </c>
      <c r="H176" s="14" t="inlineStr">
        <is>
          <t>MFG002</t>
        </is>
      </c>
      <c r="I176" s="14" t="inlineStr">
        <is>
          <t>DF020</t>
        </is>
      </c>
      <c r="J176" s="14">
        <f>XLOOKUP([@ManufacturerID],tblManufacturerIDCrosswalk[LegacyManufacturerID],tblManufacturerIDCrosswalk[CanonicalManufacturerID],"")</f>
        <v/>
      </c>
      <c r="K176" s="7">
        <f>XLOOKUP([@DeviceFamilyID],tblDeviceFamilyIDCrosswalk[LegacyDeviceFamilyID],tblDeviceFamilyIDCrosswalk[CanonicalDeviceFamilyID],"")</f>
        <v/>
      </c>
      <c r="L176" s="7">
        <f>XLOOKUP([@DeviceTypeID],tblDeviceTypeIDCrosswalk[LegacyDeviceTypeID],tblDeviceTypeIDCrosswalk[CanonicalDeviceTypeID],"")</f>
        <v/>
      </c>
      <c r="M176" s="14">
        <f>XLOOKUP([@ManufacturerID],tblManufacturerIDCrosswalk[LegacyManufacturerID],tblManufacturerIDCrosswalk[MappingStatus],"No Crosswalk")</f>
        <v/>
      </c>
      <c r="N176" s="35">
        <f>XLOOKUP([@DeviceFamilyID],tblDeviceFamilyIDCrosswalk[LegacyDeviceFamilyID],tblDeviceFamilyIDCrosswalk[MappingStatus],"No Crosswalk")</f>
        <v/>
      </c>
      <c r="O176" s="35">
        <f>XLOOKUP([@DeviceTypeID],tblDeviceTypeIDCrosswalk[LegacyDeviceTypeID],tblDeviceTypeIDCrosswalk[MappingStatus],"No Crosswalk")</f>
        <v/>
      </c>
      <c r="P176">
        <f>IF(OR([@ManufacturerMappingStatus]&lt;&gt;"Approved",[@DeviceFamilyMappingStatus]&lt;&gt;"Approved",[@DeviceTypeMappingStatus]&lt;&gt;"Approved"),"Manual Review Required","Approved Crosswalk Available")</f>
        <v/>
      </c>
      <c r="Q176" t="inlineStr">
        <is>
          <t>Pending Review</t>
        </is>
      </c>
    </row>
    <row r="177" ht="21.5" customHeight="1" s="42">
      <c r="A177" s="36" t="n"/>
      <c r="B177" s="35" t="n"/>
      <c r="C177" s="35" t="n"/>
      <c r="D177" s="35" t="n"/>
      <c r="E177" s="39" t="n"/>
      <c r="F177" s="39" t="n"/>
      <c r="G177" s="10" t="inlineStr">
        <is>
          <t>MOD000174</t>
        </is>
      </c>
      <c r="H177" s="14" t="inlineStr">
        <is>
          <t>MFG002</t>
        </is>
      </c>
      <c r="I177" s="14" t="inlineStr">
        <is>
          <t>DF020</t>
        </is>
      </c>
      <c r="J177" s="14">
        <f>XLOOKUP([@ManufacturerID],tblManufacturerIDCrosswalk[LegacyManufacturerID],tblManufacturerIDCrosswalk[CanonicalManufacturerID],"")</f>
        <v/>
      </c>
      <c r="K177" s="7">
        <f>XLOOKUP([@DeviceFamilyID],tblDeviceFamilyIDCrosswalk[LegacyDeviceFamilyID],tblDeviceFamilyIDCrosswalk[CanonicalDeviceFamilyID],"")</f>
        <v/>
      </c>
      <c r="L177" s="7">
        <f>XLOOKUP([@DeviceTypeID],tblDeviceTypeIDCrosswalk[LegacyDeviceTypeID],tblDeviceTypeIDCrosswalk[CanonicalDeviceTypeID],"")</f>
        <v/>
      </c>
      <c r="M177" s="14">
        <f>XLOOKUP([@ManufacturerID],tblManufacturerIDCrosswalk[LegacyManufacturerID],tblManufacturerIDCrosswalk[MappingStatus],"No Crosswalk")</f>
        <v/>
      </c>
      <c r="N177" s="35">
        <f>XLOOKUP([@DeviceFamilyID],tblDeviceFamilyIDCrosswalk[LegacyDeviceFamilyID],tblDeviceFamilyIDCrosswalk[MappingStatus],"No Crosswalk")</f>
        <v/>
      </c>
      <c r="O177" s="35">
        <f>XLOOKUP([@DeviceTypeID],tblDeviceTypeIDCrosswalk[LegacyDeviceTypeID],tblDeviceTypeIDCrosswalk[MappingStatus],"No Crosswalk")</f>
        <v/>
      </c>
      <c r="P177">
        <f>IF(OR([@ManufacturerMappingStatus]&lt;&gt;"Approved",[@DeviceFamilyMappingStatus]&lt;&gt;"Approved",[@DeviceTypeMappingStatus]&lt;&gt;"Approved"),"Manual Review Required","Approved Crosswalk Available")</f>
        <v/>
      </c>
      <c r="Q177" t="inlineStr">
        <is>
          <t>Pending Review</t>
        </is>
      </c>
    </row>
    <row r="178" ht="21.5" customHeight="1" s="42">
      <c r="A178" s="36" t="n"/>
      <c r="B178" s="35" t="n"/>
      <c r="C178" s="35" t="n"/>
      <c r="D178" s="35" t="n"/>
      <c r="E178" s="39" t="n"/>
      <c r="F178" s="39" t="n"/>
      <c r="G178" s="10" t="inlineStr">
        <is>
          <t>MOD000175</t>
        </is>
      </c>
      <c r="H178" s="14" t="inlineStr">
        <is>
          <t>MFG002</t>
        </is>
      </c>
      <c r="I178" s="14" t="inlineStr">
        <is>
          <t>DF020</t>
        </is>
      </c>
      <c r="J178" s="14">
        <f>XLOOKUP([@ManufacturerID],tblManufacturerIDCrosswalk[LegacyManufacturerID],tblManufacturerIDCrosswalk[CanonicalManufacturerID],"")</f>
        <v/>
      </c>
      <c r="K178" s="7">
        <f>XLOOKUP([@DeviceFamilyID],tblDeviceFamilyIDCrosswalk[LegacyDeviceFamilyID],tblDeviceFamilyIDCrosswalk[CanonicalDeviceFamilyID],"")</f>
        <v/>
      </c>
      <c r="L178" s="7">
        <f>XLOOKUP([@DeviceTypeID],tblDeviceTypeIDCrosswalk[LegacyDeviceTypeID],tblDeviceTypeIDCrosswalk[CanonicalDeviceTypeID],"")</f>
        <v/>
      </c>
      <c r="M178" s="14">
        <f>XLOOKUP([@ManufacturerID],tblManufacturerIDCrosswalk[LegacyManufacturerID],tblManufacturerIDCrosswalk[MappingStatus],"No Crosswalk")</f>
        <v/>
      </c>
      <c r="N178" s="35">
        <f>XLOOKUP([@DeviceFamilyID],tblDeviceFamilyIDCrosswalk[LegacyDeviceFamilyID],tblDeviceFamilyIDCrosswalk[MappingStatus],"No Crosswalk")</f>
        <v/>
      </c>
      <c r="O178" s="35">
        <f>XLOOKUP([@DeviceTypeID],tblDeviceTypeIDCrosswalk[LegacyDeviceTypeID],tblDeviceTypeIDCrosswalk[MappingStatus],"No Crosswalk")</f>
        <v/>
      </c>
      <c r="P178">
        <f>IF(OR([@ManufacturerMappingStatus]&lt;&gt;"Approved",[@DeviceFamilyMappingStatus]&lt;&gt;"Approved",[@DeviceTypeMappingStatus]&lt;&gt;"Approved"),"Manual Review Required","Approved Crosswalk Available")</f>
        <v/>
      </c>
      <c r="Q178" t="inlineStr">
        <is>
          <t>Pending Review</t>
        </is>
      </c>
    </row>
    <row r="179" ht="21.5" customHeight="1" s="42">
      <c r="A179" s="36" t="n"/>
      <c r="B179" s="35" t="n"/>
      <c r="C179" s="35" t="n"/>
      <c r="D179" s="35" t="n"/>
      <c r="E179" s="39" t="n"/>
      <c r="F179" s="39" t="n"/>
      <c r="G179" s="10" t="inlineStr">
        <is>
          <t>MOD000176</t>
        </is>
      </c>
      <c r="H179" s="14" t="inlineStr">
        <is>
          <t>MFG002</t>
        </is>
      </c>
      <c r="I179" s="14" t="inlineStr">
        <is>
          <t>DF020</t>
        </is>
      </c>
      <c r="J179" s="14">
        <f>XLOOKUP([@ManufacturerID],tblManufacturerIDCrosswalk[LegacyManufacturerID],tblManufacturerIDCrosswalk[CanonicalManufacturerID],"")</f>
        <v/>
      </c>
      <c r="K179" s="7">
        <f>XLOOKUP([@DeviceFamilyID],tblDeviceFamilyIDCrosswalk[LegacyDeviceFamilyID],tblDeviceFamilyIDCrosswalk[CanonicalDeviceFamilyID],"")</f>
        <v/>
      </c>
      <c r="L179" s="7">
        <f>XLOOKUP([@DeviceTypeID],tblDeviceTypeIDCrosswalk[LegacyDeviceTypeID],tblDeviceTypeIDCrosswalk[CanonicalDeviceTypeID],"")</f>
        <v/>
      </c>
      <c r="M179" s="14">
        <f>XLOOKUP([@ManufacturerID],tblManufacturerIDCrosswalk[LegacyManufacturerID],tblManufacturerIDCrosswalk[MappingStatus],"No Crosswalk")</f>
        <v/>
      </c>
      <c r="N179" s="35">
        <f>XLOOKUP([@DeviceFamilyID],tblDeviceFamilyIDCrosswalk[LegacyDeviceFamilyID],tblDeviceFamilyIDCrosswalk[MappingStatus],"No Crosswalk")</f>
        <v/>
      </c>
      <c r="O179" s="35">
        <f>XLOOKUP([@DeviceTypeID],tblDeviceTypeIDCrosswalk[LegacyDeviceTypeID],tblDeviceTypeIDCrosswalk[MappingStatus],"No Crosswalk")</f>
        <v/>
      </c>
      <c r="P179">
        <f>IF(OR([@ManufacturerMappingStatus]&lt;&gt;"Approved",[@DeviceFamilyMappingStatus]&lt;&gt;"Approved",[@DeviceTypeMappingStatus]&lt;&gt;"Approved"),"Manual Review Required","Approved Crosswalk Available")</f>
        <v/>
      </c>
      <c r="Q179" t="inlineStr">
        <is>
          <t>Pending Review</t>
        </is>
      </c>
    </row>
    <row r="180" ht="21.5" customHeight="1" s="42">
      <c r="A180" s="36" t="n"/>
      <c r="B180" s="35" t="n"/>
      <c r="C180" s="35" t="n"/>
      <c r="D180" s="35" t="n"/>
      <c r="E180" s="39" t="n"/>
      <c r="F180" s="39" t="n"/>
      <c r="G180" s="10" t="inlineStr">
        <is>
          <t>MOD000177</t>
        </is>
      </c>
      <c r="H180" s="14" t="inlineStr">
        <is>
          <t>MFG002</t>
        </is>
      </c>
      <c r="I180" s="14" t="inlineStr">
        <is>
          <t>DF020</t>
        </is>
      </c>
      <c r="J180" s="14">
        <f>XLOOKUP([@ManufacturerID],tblManufacturerIDCrosswalk[LegacyManufacturerID],tblManufacturerIDCrosswalk[CanonicalManufacturerID],"")</f>
        <v/>
      </c>
      <c r="K180" s="7">
        <f>XLOOKUP([@DeviceFamilyID],tblDeviceFamilyIDCrosswalk[LegacyDeviceFamilyID],tblDeviceFamilyIDCrosswalk[CanonicalDeviceFamilyID],"")</f>
        <v/>
      </c>
      <c r="L180" s="7">
        <f>XLOOKUP([@DeviceTypeID],tblDeviceTypeIDCrosswalk[LegacyDeviceTypeID],tblDeviceTypeIDCrosswalk[CanonicalDeviceTypeID],"")</f>
        <v/>
      </c>
      <c r="M180" s="14">
        <f>XLOOKUP([@ManufacturerID],tblManufacturerIDCrosswalk[LegacyManufacturerID],tblManufacturerIDCrosswalk[MappingStatus],"No Crosswalk")</f>
        <v/>
      </c>
      <c r="N180" s="35">
        <f>XLOOKUP([@DeviceFamilyID],tblDeviceFamilyIDCrosswalk[LegacyDeviceFamilyID],tblDeviceFamilyIDCrosswalk[MappingStatus],"No Crosswalk")</f>
        <v/>
      </c>
      <c r="O180" s="35">
        <f>XLOOKUP([@DeviceTypeID],tblDeviceTypeIDCrosswalk[LegacyDeviceTypeID],tblDeviceTypeIDCrosswalk[MappingStatus],"No Crosswalk")</f>
        <v/>
      </c>
      <c r="P180">
        <f>IF(OR([@ManufacturerMappingStatus]&lt;&gt;"Approved",[@DeviceFamilyMappingStatus]&lt;&gt;"Approved",[@DeviceTypeMappingStatus]&lt;&gt;"Approved"),"Manual Review Required","Approved Crosswalk Available")</f>
        <v/>
      </c>
      <c r="Q180" t="inlineStr">
        <is>
          <t>Pending Review</t>
        </is>
      </c>
    </row>
    <row r="181" ht="21.5" customHeight="1" s="42">
      <c r="A181" s="36" t="n"/>
      <c r="B181" s="35" t="n"/>
      <c r="C181" s="35" t="n"/>
      <c r="D181" s="35" t="n"/>
      <c r="E181" s="39" t="n"/>
      <c r="F181" s="39" t="n"/>
      <c r="G181" s="10" t="inlineStr">
        <is>
          <t>MOD000178</t>
        </is>
      </c>
      <c r="H181" s="14" t="inlineStr">
        <is>
          <t>MFG002</t>
        </is>
      </c>
      <c r="I181" s="14" t="inlineStr">
        <is>
          <t>DF020</t>
        </is>
      </c>
      <c r="J181" s="14">
        <f>XLOOKUP([@ManufacturerID],tblManufacturerIDCrosswalk[LegacyManufacturerID],tblManufacturerIDCrosswalk[CanonicalManufacturerID],"")</f>
        <v/>
      </c>
      <c r="K181" s="7">
        <f>XLOOKUP([@DeviceFamilyID],tblDeviceFamilyIDCrosswalk[LegacyDeviceFamilyID],tblDeviceFamilyIDCrosswalk[CanonicalDeviceFamilyID],"")</f>
        <v/>
      </c>
      <c r="L181" s="7">
        <f>XLOOKUP([@DeviceTypeID],tblDeviceTypeIDCrosswalk[LegacyDeviceTypeID],tblDeviceTypeIDCrosswalk[CanonicalDeviceTypeID],"")</f>
        <v/>
      </c>
      <c r="M181" s="14">
        <f>XLOOKUP([@ManufacturerID],tblManufacturerIDCrosswalk[LegacyManufacturerID],tblManufacturerIDCrosswalk[MappingStatus],"No Crosswalk")</f>
        <v/>
      </c>
      <c r="N181" s="35">
        <f>XLOOKUP([@DeviceFamilyID],tblDeviceFamilyIDCrosswalk[LegacyDeviceFamilyID],tblDeviceFamilyIDCrosswalk[MappingStatus],"No Crosswalk")</f>
        <v/>
      </c>
      <c r="O181" s="35">
        <f>XLOOKUP([@DeviceTypeID],tblDeviceTypeIDCrosswalk[LegacyDeviceTypeID],tblDeviceTypeIDCrosswalk[MappingStatus],"No Crosswalk")</f>
        <v/>
      </c>
      <c r="P181">
        <f>IF(OR([@ManufacturerMappingStatus]&lt;&gt;"Approved",[@DeviceFamilyMappingStatus]&lt;&gt;"Approved",[@DeviceTypeMappingStatus]&lt;&gt;"Approved"),"Manual Review Required","Approved Crosswalk Available")</f>
        <v/>
      </c>
      <c r="Q181" t="inlineStr">
        <is>
          <t>Pending Review</t>
        </is>
      </c>
    </row>
    <row r="182" ht="21.5" customHeight="1" s="42">
      <c r="A182" s="36" t="n"/>
      <c r="B182" s="35" t="n"/>
      <c r="C182" s="35" t="n"/>
      <c r="D182" s="35" t="n"/>
      <c r="E182" s="39" t="n"/>
      <c r="F182" s="39" t="n"/>
      <c r="G182" s="10" t="inlineStr">
        <is>
          <t>MOD000179</t>
        </is>
      </c>
      <c r="H182" s="14" t="inlineStr">
        <is>
          <t>MFG002</t>
        </is>
      </c>
      <c r="I182" s="14" t="inlineStr">
        <is>
          <t>DF020</t>
        </is>
      </c>
      <c r="J182" s="14">
        <f>XLOOKUP([@ManufacturerID],tblManufacturerIDCrosswalk[LegacyManufacturerID],tblManufacturerIDCrosswalk[CanonicalManufacturerID],"")</f>
        <v/>
      </c>
      <c r="K182" s="7">
        <f>XLOOKUP([@DeviceFamilyID],tblDeviceFamilyIDCrosswalk[LegacyDeviceFamilyID],tblDeviceFamilyIDCrosswalk[CanonicalDeviceFamilyID],"")</f>
        <v/>
      </c>
      <c r="L182" s="7">
        <f>XLOOKUP([@DeviceTypeID],tblDeviceTypeIDCrosswalk[LegacyDeviceTypeID],tblDeviceTypeIDCrosswalk[CanonicalDeviceTypeID],"")</f>
        <v/>
      </c>
      <c r="M182" s="14">
        <f>XLOOKUP([@ManufacturerID],tblManufacturerIDCrosswalk[LegacyManufacturerID],tblManufacturerIDCrosswalk[MappingStatus],"No Crosswalk")</f>
        <v/>
      </c>
      <c r="N182" s="35">
        <f>XLOOKUP([@DeviceFamilyID],tblDeviceFamilyIDCrosswalk[LegacyDeviceFamilyID],tblDeviceFamilyIDCrosswalk[MappingStatus],"No Crosswalk")</f>
        <v/>
      </c>
      <c r="O182" s="35">
        <f>XLOOKUP([@DeviceTypeID],tblDeviceTypeIDCrosswalk[LegacyDeviceTypeID],tblDeviceTypeIDCrosswalk[MappingStatus],"No Crosswalk")</f>
        <v/>
      </c>
      <c r="P182">
        <f>IF(OR([@ManufacturerMappingStatus]&lt;&gt;"Approved",[@DeviceFamilyMappingStatus]&lt;&gt;"Approved",[@DeviceTypeMappingStatus]&lt;&gt;"Approved"),"Manual Review Required","Approved Crosswalk Available")</f>
        <v/>
      </c>
      <c r="Q182" t="inlineStr">
        <is>
          <t>Pending Review</t>
        </is>
      </c>
    </row>
    <row r="183" ht="21.5" customHeight="1" s="42">
      <c r="A183" s="36" t="n"/>
      <c r="B183" s="35" t="n"/>
      <c r="C183" s="35" t="n"/>
      <c r="D183" s="35" t="n"/>
      <c r="E183" s="39" t="n"/>
      <c r="F183" s="39" t="n"/>
      <c r="G183" s="10" t="inlineStr">
        <is>
          <t>MOD000180</t>
        </is>
      </c>
      <c r="H183" s="14" t="inlineStr">
        <is>
          <t>MFG002</t>
        </is>
      </c>
      <c r="I183" s="14" t="inlineStr">
        <is>
          <t>DF020</t>
        </is>
      </c>
      <c r="J183" s="14">
        <f>XLOOKUP([@ManufacturerID],tblManufacturerIDCrosswalk[LegacyManufacturerID],tblManufacturerIDCrosswalk[CanonicalManufacturerID],"")</f>
        <v/>
      </c>
      <c r="K183" s="7">
        <f>XLOOKUP([@DeviceFamilyID],tblDeviceFamilyIDCrosswalk[LegacyDeviceFamilyID],tblDeviceFamilyIDCrosswalk[CanonicalDeviceFamilyID],"")</f>
        <v/>
      </c>
      <c r="L183" s="7">
        <f>XLOOKUP([@DeviceTypeID],tblDeviceTypeIDCrosswalk[LegacyDeviceTypeID],tblDeviceTypeIDCrosswalk[CanonicalDeviceTypeID],"")</f>
        <v/>
      </c>
      <c r="M183" s="14">
        <f>XLOOKUP([@ManufacturerID],tblManufacturerIDCrosswalk[LegacyManufacturerID],tblManufacturerIDCrosswalk[MappingStatus],"No Crosswalk")</f>
        <v/>
      </c>
      <c r="N183" s="35">
        <f>XLOOKUP([@DeviceFamilyID],tblDeviceFamilyIDCrosswalk[LegacyDeviceFamilyID],tblDeviceFamilyIDCrosswalk[MappingStatus],"No Crosswalk")</f>
        <v/>
      </c>
      <c r="O183" s="35">
        <f>XLOOKUP([@DeviceTypeID],tblDeviceTypeIDCrosswalk[LegacyDeviceTypeID],tblDeviceTypeIDCrosswalk[MappingStatus],"No Crosswalk")</f>
        <v/>
      </c>
      <c r="P183">
        <f>IF(OR([@ManufacturerMappingStatus]&lt;&gt;"Approved",[@DeviceFamilyMappingStatus]&lt;&gt;"Approved",[@DeviceTypeMappingStatus]&lt;&gt;"Approved"),"Manual Review Required","Approved Crosswalk Available")</f>
        <v/>
      </c>
      <c r="Q183" t="inlineStr">
        <is>
          <t>Pending Review</t>
        </is>
      </c>
    </row>
    <row r="184" ht="21.5" customHeight="1" s="42">
      <c r="A184" s="36" t="n"/>
      <c r="B184" s="35" t="n"/>
      <c r="C184" s="35" t="n"/>
      <c r="D184" s="35" t="n"/>
      <c r="E184" s="39" t="n"/>
      <c r="F184" s="39" t="n"/>
      <c r="G184" s="10" t="inlineStr">
        <is>
          <t>MOD000181</t>
        </is>
      </c>
      <c r="H184" s="14" t="inlineStr">
        <is>
          <t>MFG002</t>
        </is>
      </c>
      <c r="I184" s="14" t="inlineStr">
        <is>
          <t>DF020</t>
        </is>
      </c>
      <c r="J184" s="14">
        <f>XLOOKUP([@ManufacturerID],tblManufacturerIDCrosswalk[LegacyManufacturerID],tblManufacturerIDCrosswalk[CanonicalManufacturerID],"")</f>
        <v/>
      </c>
      <c r="K184" s="7">
        <f>XLOOKUP([@DeviceFamilyID],tblDeviceFamilyIDCrosswalk[LegacyDeviceFamilyID],tblDeviceFamilyIDCrosswalk[CanonicalDeviceFamilyID],"")</f>
        <v/>
      </c>
      <c r="L184" s="7">
        <f>XLOOKUP([@DeviceTypeID],tblDeviceTypeIDCrosswalk[LegacyDeviceTypeID],tblDeviceTypeIDCrosswalk[CanonicalDeviceTypeID],"")</f>
        <v/>
      </c>
      <c r="M184" s="14">
        <f>XLOOKUP([@ManufacturerID],tblManufacturerIDCrosswalk[LegacyManufacturerID],tblManufacturerIDCrosswalk[MappingStatus],"No Crosswalk")</f>
        <v/>
      </c>
      <c r="N184" s="35">
        <f>XLOOKUP([@DeviceFamilyID],tblDeviceFamilyIDCrosswalk[LegacyDeviceFamilyID],tblDeviceFamilyIDCrosswalk[MappingStatus],"No Crosswalk")</f>
        <v/>
      </c>
      <c r="O184" s="35">
        <f>XLOOKUP([@DeviceTypeID],tblDeviceTypeIDCrosswalk[LegacyDeviceTypeID],tblDeviceTypeIDCrosswalk[MappingStatus],"No Crosswalk")</f>
        <v/>
      </c>
      <c r="P184">
        <f>IF(OR([@ManufacturerMappingStatus]&lt;&gt;"Approved",[@DeviceFamilyMappingStatus]&lt;&gt;"Approved",[@DeviceTypeMappingStatus]&lt;&gt;"Approved"),"Manual Review Required","Approved Crosswalk Available")</f>
        <v/>
      </c>
      <c r="Q184" t="inlineStr">
        <is>
          <t>Pending Review</t>
        </is>
      </c>
    </row>
    <row r="185" ht="21.5" customHeight="1" s="42">
      <c r="A185" s="36" t="n"/>
      <c r="B185" s="35" t="n"/>
      <c r="C185" s="35" t="n"/>
      <c r="D185" s="35" t="n"/>
      <c r="E185" s="39" t="n"/>
      <c r="F185" s="39" t="n"/>
      <c r="G185" s="10" t="inlineStr">
        <is>
          <t>MOD000182</t>
        </is>
      </c>
      <c r="H185" s="14" t="inlineStr">
        <is>
          <t>MFG002</t>
        </is>
      </c>
      <c r="I185" s="14" t="inlineStr">
        <is>
          <t>DF020</t>
        </is>
      </c>
      <c r="J185" s="14">
        <f>XLOOKUP([@ManufacturerID],tblManufacturerIDCrosswalk[LegacyManufacturerID],tblManufacturerIDCrosswalk[CanonicalManufacturerID],"")</f>
        <v/>
      </c>
      <c r="K185" s="7">
        <f>XLOOKUP([@DeviceFamilyID],tblDeviceFamilyIDCrosswalk[LegacyDeviceFamilyID],tblDeviceFamilyIDCrosswalk[CanonicalDeviceFamilyID],"")</f>
        <v/>
      </c>
      <c r="L185" s="7">
        <f>XLOOKUP([@DeviceTypeID],tblDeviceTypeIDCrosswalk[LegacyDeviceTypeID],tblDeviceTypeIDCrosswalk[CanonicalDeviceTypeID],"")</f>
        <v/>
      </c>
      <c r="M185" s="14">
        <f>XLOOKUP([@ManufacturerID],tblManufacturerIDCrosswalk[LegacyManufacturerID],tblManufacturerIDCrosswalk[MappingStatus],"No Crosswalk")</f>
        <v/>
      </c>
      <c r="N185" s="35">
        <f>XLOOKUP([@DeviceFamilyID],tblDeviceFamilyIDCrosswalk[LegacyDeviceFamilyID],tblDeviceFamilyIDCrosswalk[MappingStatus],"No Crosswalk")</f>
        <v/>
      </c>
      <c r="O185" s="35">
        <f>XLOOKUP([@DeviceTypeID],tblDeviceTypeIDCrosswalk[LegacyDeviceTypeID],tblDeviceTypeIDCrosswalk[MappingStatus],"No Crosswalk")</f>
        <v/>
      </c>
      <c r="P185">
        <f>IF(OR([@ManufacturerMappingStatus]&lt;&gt;"Approved",[@DeviceFamilyMappingStatus]&lt;&gt;"Approved",[@DeviceTypeMappingStatus]&lt;&gt;"Approved"),"Manual Review Required","Approved Crosswalk Available")</f>
        <v/>
      </c>
      <c r="Q185" t="inlineStr">
        <is>
          <t>Pending Review</t>
        </is>
      </c>
    </row>
    <row r="186" ht="21.5" customHeight="1" s="42">
      <c r="A186" s="36" t="n"/>
      <c r="B186" s="35" t="n"/>
      <c r="C186" s="35" t="n"/>
      <c r="D186" s="35" t="n"/>
      <c r="E186" s="39" t="n"/>
      <c r="F186" s="39" t="n"/>
      <c r="G186" s="10" t="inlineStr">
        <is>
          <t>MOD000183</t>
        </is>
      </c>
      <c r="H186" s="14" t="inlineStr">
        <is>
          <t>MFG002</t>
        </is>
      </c>
      <c r="I186" s="14" t="inlineStr">
        <is>
          <t>DF020</t>
        </is>
      </c>
      <c r="J186" s="14">
        <f>XLOOKUP([@ManufacturerID],tblManufacturerIDCrosswalk[LegacyManufacturerID],tblManufacturerIDCrosswalk[CanonicalManufacturerID],"")</f>
        <v/>
      </c>
      <c r="K186" s="7">
        <f>XLOOKUP([@DeviceFamilyID],tblDeviceFamilyIDCrosswalk[LegacyDeviceFamilyID],tblDeviceFamilyIDCrosswalk[CanonicalDeviceFamilyID],"")</f>
        <v/>
      </c>
      <c r="L186" s="7">
        <f>XLOOKUP([@DeviceTypeID],tblDeviceTypeIDCrosswalk[LegacyDeviceTypeID],tblDeviceTypeIDCrosswalk[CanonicalDeviceTypeID],"")</f>
        <v/>
      </c>
      <c r="M186" s="14">
        <f>XLOOKUP([@ManufacturerID],tblManufacturerIDCrosswalk[LegacyManufacturerID],tblManufacturerIDCrosswalk[MappingStatus],"No Crosswalk")</f>
        <v/>
      </c>
      <c r="N186" s="35">
        <f>XLOOKUP([@DeviceFamilyID],tblDeviceFamilyIDCrosswalk[LegacyDeviceFamilyID],tblDeviceFamilyIDCrosswalk[MappingStatus],"No Crosswalk")</f>
        <v/>
      </c>
      <c r="O186" s="35">
        <f>XLOOKUP([@DeviceTypeID],tblDeviceTypeIDCrosswalk[LegacyDeviceTypeID],tblDeviceTypeIDCrosswalk[MappingStatus],"No Crosswalk")</f>
        <v/>
      </c>
      <c r="P186">
        <f>IF(OR([@ManufacturerMappingStatus]&lt;&gt;"Approved",[@DeviceFamilyMappingStatus]&lt;&gt;"Approved",[@DeviceTypeMappingStatus]&lt;&gt;"Approved"),"Manual Review Required","Approved Crosswalk Available")</f>
        <v/>
      </c>
      <c r="Q186" t="inlineStr">
        <is>
          <t>Pending Review</t>
        </is>
      </c>
    </row>
    <row r="187" ht="21.5" customHeight="1" s="42">
      <c r="A187" s="36" t="n"/>
      <c r="B187" s="35" t="n"/>
      <c r="C187" s="35" t="n"/>
      <c r="D187" s="35" t="n"/>
      <c r="E187" s="39" t="n"/>
      <c r="F187" s="39" t="n"/>
      <c r="G187" s="10" t="inlineStr">
        <is>
          <t>MOD000184</t>
        </is>
      </c>
      <c r="H187" s="14" t="inlineStr">
        <is>
          <t>MFG002</t>
        </is>
      </c>
      <c r="I187" s="14" t="inlineStr">
        <is>
          <t>DF020</t>
        </is>
      </c>
      <c r="J187" s="14">
        <f>XLOOKUP([@ManufacturerID],tblManufacturerIDCrosswalk[LegacyManufacturerID],tblManufacturerIDCrosswalk[CanonicalManufacturerID],"")</f>
        <v/>
      </c>
      <c r="K187" s="7">
        <f>XLOOKUP([@DeviceFamilyID],tblDeviceFamilyIDCrosswalk[LegacyDeviceFamilyID],tblDeviceFamilyIDCrosswalk[CanonicalDeviceFamilyID],"")</f>
        <v/>
      </c>
      <c r="L187" s="7">
        <f>XLOOKUP([@DeviceTypeID],tblDeviceTypeIDCrosswalk[LegacyDeviceTypeID],tblDeviceTypeIDCrosswalk[CanonicalDeviceTypeID],"")</f>
        <v/>
      </c>
      <c r="M187" s="14">
        <f>XLOOKUP([@ManufacturerID],tblManufacturerIDCrosswalk[LegacyManufacturerID],tblManufacturerIDCrosswalk[MappingStatus],"No Crosswalk")</f>
        <v/>
      </c>
      <c r="N187" s="35">
        <f>XLOOKUP([@DeviceFamilyID],tblDeviceFamilyIDCrosswalk[LegacyDeviceFamilyID],tblDeviceFamilyIDCrosswalk[MappingStatus],"No Crosswalk")</f>
        <v/>
      </c>
      <c r="O187" s="35">
        <f>XLOOKUP([@DeviceTypeID],tblDeviceTypeIDCrosswalk[LegacyDeviceTypeID],tblDeviceTypeIDCrosswalk[MappingStatus],"No Crosswalk")</f>
        <v/>
      </c>
      <c r="P187">
        <f>IF(OR([@ManufacturerMappingStatus]&lt;&gt;"Approved",[@DeviceFamilyMappingStatus]&lt;&gt;"Approved",[@DeviceTypeMappingStatus]&lt;&gt;"Approved"),"Manual Review Required","Approved Crosswalk Available")</f>
        <v/>
      </c>
      <c r="Q187" t="inlineStr">
        <is>
          <t>Pending Review</t>
        </is>
      </c>
    </row>
    <row r="188" ht="21.5" customHeight="1" s="42">
      <c r="A188" s="36" t="n"/>
      <c r="B188" s="35" t="n"/>
      <c r="C188" s="35" t="n"/>
      <c r="D188" s="35" t="n"/>
      <c r="E188" s="39" t="n"/>
      <c r="F188" s="39" t="n"/>
      <c r="G188" s="10" t="inlineStr">
        <is>
          <t>MOD000185</t>
        </is>
      </c>
      <c r="H188" s="14" t="inlineStr">
        <is>
          <t>MFG002</t>
        </is>
      </c>
      <c r="I188" s="14" t="inlineStr">
        <is>
          <t>DF020</t>
        </is>
      </c>
      <c r="J188" s="14">
        <f>XLOOKUP([@ManufacturerID],tblManufacturerIDCrosswalk[LegacyManufacturerID],tblManufacturerIDCrosswalk[CanonicalManufacturerID],"")</f>
        <v/>
      </c>
      <c r="K188" s="7">
        <f>XLOOKUP([@DeviceFamilyID],tblDeviceFamilyIDCrosswalk[LegacyDeviceFamilyID],tblDeviceFamilyIDCrosswalk[CanonicalDeviceFamilyID],"")</f>
        <v/>
      </c>
      <c r="L188" s="7">
        <f>XLOOKUP([@DeviceTypeID],tblDeviceTypeIDCrosswalk[LegacyDeviceTypeID],tblDeviceTypeIDCrosswalk[CanonicalDeviceTypeID],"")</f>
        <v/>
      </c>
      <c r="M188" s="14">
        <f>XLOOKUP([@ManufacturerID],tblManufacturerIDCrosswalk[LegacyManufacturerID],tblManufacturerIDCrosswalk[MappingStatus],"No Crosswalk")</f>
        <v/>
      </c>
      <c r="N188" s="35">
        <f>XLOOKUP([@DeviceFamilyID],tblDeviceFamilyIDCrosswalk[LegacyDeviceFamilyID],tblDeviceFamilyIDCrosswalk[MappingStatus],"No Crosswalk")</f>
        <v/>
      </c>
      <c r="O188" s="35">
        <f>XLOOKUP([@DeviceTypeID],tblDeviceTypeIDCrosswalk[LegacyDeviceTypeID],tblDeviceTypeIDCrosswalk[MappingStatus],"No Crosswalk")</f>
        <v/>
      </c>
      <c r="P188">
        <f>IF(OR([@ManufacturerMappingStatus]&lt;&gt;"Approved",[@DeviceFamilyMappingStatus]&lt;&gt;"Approved",[@DeviceTypeMappingStatus]&lt;&gt;"Approved"),"Manual Review Required","Approved Crosswalk Available")</f>
        <v/>
      </c>
      <c r="Q188" t="inlineStr">
        <is>
          <t>Pending Review</t>
        </is>
      </c>
    </row>
    <row r="189" ht="21.5" customHeight="1" s="42">
      <c r="A189" s="36" t="n"/>
      <c r="B189" s="35" t="n"/>
      <c r="C189" s="35" t="n"/>
      <c r="D189" s="35" t="n"/>
      <c r="E189" s="39" t="n"/>
      <c r="F189" s="39" t="n"/>
      <c r="G189" s="10" t="inlineStr">
        <is>
          <t>MOD000186</t>
        </is>
      </c>
      <c r="H189" s="14" t="inlineStr">
        <is>
          <t>MFG002</t>
        </is>
      </c>
      <c r="I189" s="14" t="inlineStr">
        <is>
          <t>DF020</t>
        </is>
      </c>
      <c r="J189" s="14">
        <f>XLOOKUP([@ManufacturerID],tblManufacturerIDCrosswalk[LegacyManufacturerID],tblManufacturerIDCrosswalk[CanonicalManufacturerID],"")</f>
        <v/>
      </c>
      <c r="K189" s="7">
        <f>XLOOKUP([@DeviceFamilyID],tblDeviceFamilyIDCrosswalk[LegacyDeviceFamilyID],tblDeviceFamilyIDCrosswalk[CanonicalDeviceFamilyID],"")</f>
        <v/>
      </c>
      <c r="L189" s="7">
        <f>XLOOKUP([@DeviceTypeID],tblDeviceTypeIDCrosswalk[LegacyDeviceTypeID],tblDeviceTypeIDCrosswalk[CanonicalDeviceTypeID],"")</f>
        <v/>
      </c>
      <c r="M189" s="14">
        <f>XLOOKUP([@ManufacturerID],tblManufacturerIDCrosswalk[LegacyManufacturerID],tblManufacturerIDCrosswalk[MappingStatus],"No Crosswalk")</f>
        <v/>
      </c>
      <c r="N189" s="35">
        <f>XLOOKUP([@DeviceFamilyID],tblDeviceFamilyIDCrosswalk[LegacyDeviceFamilyID],tblDeviceFamilyIDCrosswalk[MappingStatus],"No Crosswalk")</f>
        <v/>
      </c>
      <c r="O189" s="35">
        <f>XLOOKUP([@DeviceTypeID],tblDeviceTypeIDCrosswalk[LegacyDeviceTypeID],tblDeviceTypeIDCrosswalk[MappingStatus],"No Crosswalk")</f>
        <v/>
      </c>
      <c r="P189">
        <f>IF(OR([@ManufacturerMappingStatus]&lt;&gt;"Approved",[@DeviceFamilyMappingStatus]&lt;&gt;"Approved",[@DeviceTypeMappingStatus]&lt;&gt;"Approved"),"Manual Review Required","Approved Crosswalk Available")</f>
        <v/>
      </c>
      <c r="Q189" t="inlineStr">
        <is>
          <t>Pending Review</t>
        </is>
      </c>
    </row>
    <row r="190" ht="21.5" customHeight="1" s="42">
      <c r="A190" s="36" t="n"/>
      <c r="B190" s="35" t="n"/>
      <c r="C190" s="35" t="n"/>
      <c r="D190" s="35" t="n"/>
      <c r="E190" s="39" t="n"/>
      <c r="F190" s="39" t="n"/>
      <c r="G190" s="10" t="inlineStr">
        <is>
          <t>MOD000187</t>
        </is>
      </c>
      <c r="H190" s="14" t="inlineStr">
        <is>
          <t>MFG002</t>
        </is>
      </c>
      <c r="I190" s="14" t="inlineStr">
        <is>
          <t>DF020</t>
        </is>
      </c>
      <c r="J190" s="14">
        <f>XLOOKUP([@ManufacturerID],tblManufacturerIDCrosswalk[LegacyManufacturerID],tblManufacturerIDCrosswalk[CanonicalManufacturerID],"")</f>
        <v/>
      </c>
      <c r="K190" s="7">
        <f>XLOOKUP([@DeviceFamilyID],tblDeviceFamilyIDCrosswalk[LegacyDeviceFamilyID],tblDeviceFamilyIDCrosswalk[CanonicalDeviceFamilyID],"")</f>
        <v/>
      </c>
      <c r="L190" s="7">
        <f>XLOOKUP([@DeviceTypeID],tblDeviceTypeIDCrosswalk[LegacyDeviceTypeID],tblDeviceTypeIDCrosswalk[CanonicalDeviceTypeID],"")</f>
        <v/>
      </c>
      <c r="M190" s="14">
        <f>XLOOKUP([@ManufacturerID],tblManufacturerIDCrosswalk[LegacyManufacturerID],tblManufacturerIDCrosswalk[MappingStatus],"No Crosswalk")</f>
        <v/>
      </c>
      <c r="N190" s="35">
        <f>XLOOKUP([@DeviceFamilyID],tblDeviceFamilyIDCrosswalk[LegacyDeviceFamilyID],tblDeviceFamilyIDCrosswalk[MappingStatus],"No Crosswalk")</f>
        <v/>
      </c>
      <c r="O190" s="35">
        <f>XLOOKUP([@DeviceTypeID],tblDeviceTypeIDCrosswalk[LegacyDeviceTypeID],tblDeviceTypeIDCrosswalk[MappingStatus],"No Crosswalk")</f>
        <v/>
      </c>
      <c r="P190">
        <f>IF(OR([@ManufacturerMappingStatus]&lt;&gt;"Approved",[@DeviceFamilyMappingStatus]&lt;&gt;"Approved",[@DeviceTypeMappingStatus]&lt;&gt;"Approved"),"Manual Review Required","Approved Crosswalk Available")</f>
        <v/>
      </c>
      <c r="Q190" t="inlineStr">
        <is>
          <t>Pending Review</t>
        </is>
      </c>
    </row>
    <row r="191" ht="21.5" customHeight="1" s="42">
      <c r="A191" s="36" t="n"/>
      <c r="B191" s="35" t="n"/>
      <c r="C191" s="35" t="n"/>
      <c r="D191" s="35" t="n"/>
      <c r="E191" s="39" t="n"/>
      <c r="F191" s="39" t="n"/>
      <c r="G191" s="10" t="inlineStr">
        <is>
          <t>MOD000188</t>
        </is>
      </c>
      <c r="H191" s="14" t="inlineStr">
        <is>
          <t>MFG002</t>
        </is>
      </c>
      <c r="I191" s="14" t="inlineStr">
        <is>
          <t>DF020</t>
        </is>
      </c>
      <c r="J191" s="14">
        <f>XLOOKUP([@ManufacturerID],tblManufacturerIDCrosswalk[LegacyManufacturerID],tblManufacturerIDCrosswalk[CanonicalManufacturerID],"")</f>
        <v/>
      </c>
      <c r="K191" s="7">
        <f>XLOOKUP([@DeviceFamilyID],tblDeviceFamilyIDCrosswalk[LegacyDeviceFamilyID],tblDeviceFamilyIDCrosswalk[CanonicalDeviceFamilyID],"")</f>
        <v/>
      </c>
      <c r="L191" s="7">
        <f>XLOOKUP([@DeviceTypeID],tblDeviceTypeIDCrosswalk[LegacyDeviceTypeID],tblDeviceTypeIDCrosswalk[CanonicalDeviceTypeID],"")</f>
        <v/>
      </c>
      <c r="M191" s="14">
        <f>XLOOKUP([@ManufacturerID],tblManufacturerIDCrosswalk[LegacyManufacturerID],tblManufacturerIDCrosswalk[MappingStatus],"No Crosswalk")</f>
        <v/>
      </c>
      <c r="N191" s="35">
        <f>XLOOKUP([@DeviceFamilyID],tblDeviceFamilyIDCrosswalk[LegacyDeviceFamilyID],tblDeviceFamilyIDCrosswalk[MappingStatus],"No Crosswalk")</f>
        <v/>
      </c>
      <c r="O191" s="35">
        <f>XLOOKUP([@DeviceTypeID],tblDeviceTypeIDCrosswalk[LegacyDeviceTypeID],tblDeviceTypeIDCrosswalk[MappingStatus],"No Crosswalk")</f>
        <v/>
      </c>
      <c r="P191">
        <f>IF(OR([@ManufacturerMappingStatus]&lt;&gt;"Approved",[@DeviceFamilyMappingStatus]&lt;&gt;"Approved",[@DeviceTypeMappingStatus]&lt;&gt;"Approved"),"Manual Review Required","Approved Crosswalk Available")</f>
        <v/>
      </c>
      <c r="Q191" t="inlineStr">
        <is>
          <t>Pending Review</t>
        </is>
      </c>
    </row>
    <row r="192" ht="21.5" customHeight="1" s="42">
      <c r="A192" s="36" t="n"/>
      <c r="B192" s="35" t="n"/>
      <c r="C192" s="35" t="n"/>
      <c r="D192" s="35" t="n"/>
      <c r="E192" s="39" t="n"/>
      <c r="F192" s="39" t="n"/>
      <c r="G192" s="10" t="inlineStr">
        <is>
          <t>MOD000189</t>
        </is>
      </c>
      <c r="H192" s="14" t="inlineStr">
        <is>
          <t>MFG002</t>
        </is>
      </c>
      <c r="I192" s="14" t="inlineStr">
        <is>
          <t>DF021</t>
        </is>
      </c>
      <c r="J192" s="14">
        <f>XLOOKUP([@ManufacturerID],tblManufacturerIDCrosswalk[LegacyManufacturerID],tblManufacturerIDCrosswalk[CanonicalManufacturerID],"")</f>
        <v/>
      </c>
      <c r="K192" s="7">
        <f>XLOOKUP([@DeviceFamilyID],tblDeviceFamilyIDCrosswalk[LegacyDeviceFamilyID],tblDeviceFamilyIDCrosswalk[CanonicalDeviceFamilyID],"")</f>
        <v/>
      </c>
      <c r="L192" s="7">
        <f>XLOOKUP([@DeviceTypeID],tblDeviceTypeIDCrosswalk[LegacyDeviceTypeID],tblDeviceTypeIDCrosswalk[CanonicalDeviceTypeID],"")</f>
        <v/>
      </c>
      <c r="M192" s="14">
        <f>XLOOKUP([@ManufacturerID],tblManufacturerIDCrosswalk[LegacyManufacturerID],tblManufacturerIDCrosswalk[MappingStatus],"No Crosswalk")</f>
        <v/>
      </c>
      <c r="N192" s="35">
        <f>XLOOKUP([@DeviceFamilyID],tblDeviceFamilyIDCrosswalk[LegacyDeviceFamilyID],tblDeviceFamilyIDCrosswalk[MappingStatus],"No Crosswalk")</f>
        <v/>
      </c>
      <c r="O192" s="35">
        <f>XLOOKUP([@DeviceTypeID],tblDeviceTypeIDCrosswalk[LegacyDeviceTypeID],tblDeviceTypeIDCrosswalk[MappingStatus],"No Crosswalk")</f>
        <v/>
      </c>
      <c r="P192">
        <f>IF(OR([@ManufacturerMappingStatus]&lt;&gt;"Approved",[@DeviceFamilyMappingStatus]&lt;&gt;"Approved",[@DeviceTypeMappingStatus]&lt;&gt;"Approved"),"Manual Review Required","Approved Crosswalk Available")</f>
        <v/>
      </c>
      <c r="Q192" t="inlineStr">
        <is>
          <t>Pending Review</t>
        </is>
      </c>
    </row>
    <row r="193" ht="21.5" customHeight="1" s="42">
      <c r="A193" s="36" t="n"/>
      <c r="B193" s="35" t="n"/>
      <c r="C193" s="35" t="n"/>
      <c r="D193" s="35" t="n"/>
      <c r="E193" s="39" t="n"/>
      <c r="F193" s="39" t="n"/>
      <c r="G193" s="10" t="inlineStr">
        <is>
          <t>MOD000190</t>
        </is>
      </c>
      <c r="H193" s="14" t="inlineStr">
        <is>
          <t>MFG002</t>
        </is>
      </c>
      <c r="I193" s="14" t="inlineStr">
        <is>
          <t>DF021</t>
        </is>
      </c>
      <c r="J193" s="14">
        <f>XLOOKUP([@ManufacturerID],tblManufacturerIDCrosswalk[LegacyManufacturerID],tblManufacturerIDCrosswalk[CanonicalManufacturerID],"")</f>
        <v/>
      </c>
      <c r="K193" s="7">
        <f>XLOOKUP([@DeviceFamilyID],tblDeviceFamilyIDCrosswalk[LegacyDeviceFamilyID],tblDeviceFamilyIDCrosswalk[CanonicalDeviceFamilyID],"")</f>
        <v/>
      </c>
      <c r="L193" s="7">
        <f>XLOOKUP([@DeviceTypeID],tblDeviceTypeIDCrosswalk[LegacyDeviceTypeID],tblDeviceTypeIDCrosswalk[CanonicalDeviceTypeID],"")</f>
        <v/>
      </c>
      <c r="M193" s="14">
        <f>XLOOKUP([@ManufacturerID],tblManufacturerIDCrosswalk[LegacyManufacturerID],tblManufacturerIDCrosswalk[MappingStatus],"No Crosswalk")</f>
        <v/>
      </c>
      <c r="N193" s="35">
        <f>XLOOKUP([@DeviceFamilyID],tblDeviceFamilyIDCrosswalk[LegacyDeviceFamilyID],tblDeviceFamilyIDCrosswalk[MappingStatus],"No Crosswalk")</f>
        <v/>
      </c>
      <c r="O193" s="35">
        <f>XLOOKUP([@DeviceTypeID],tblDeviceTypeIDCrosswalk[LegacyDeviceTypeID],tblDeviceTypeIDCrosswalk[MappingStatus],"No Crosswalk")</f>
        <v/>
      </c>
      <c r="P193">
        <f>IF(OR([@ManufacturerMappingStatus]&lt;&gt;"Approved",[@DeviceFamilyMappingStatus]&lt;&gt;"Approved",[@DeviceTypeMappingStatus]&lt;&gt;"Approved"),"Manual Review Required","Approved Crosswalk Available")</f>
        <v/>
      </c>
      <c r="Q193" t="inlineStr">
        <is>
          <t>Pending Review</t>
        </is>
      </c>
    </row>
    <row r="194" ht="21.5" customHeight="1" s="42">
      <c r="A194" s="36" t="n"/>
      <c r="B194" s="35" t="n"/>
      <c r="C194" s="35" t="n"/>
      <c r="D194" s="35" t="n"/>
      <c r="E194" s="39" t="n"/>
      <c r="F194" s="39" t="n"/>
      <c r="G194" s="10" t="inlineStr">
        <is>
          <t>MOD000191</t>
        </is>
      </c>
      <c r="H194" s="14" t="inlineStr">
        <is>
          <t>MFG002</t>
        </is>
      </c>
      <c r="I194" s="14" t="inlineStr">
        <is>
          <t>DF021</t>
        </is>
      </c>
      <c r="J194" s="14">
        <f>XLOOKUP([@ManufacturerID],tblManufacturerIDCrosswalk[LegacyManufacturerID],tblManufacturerIDCrosswalk[CanonicalManufacturerID],"")</f>
        <v/>
      </c>
      <c r="K194" s="7">
        <f>XLOOKUP([@DeviceFamilyID],tblDeviceFamilyIDCrosswalk[LegacyDeviceFamilyID],tblDeviceFamilyIDCrosswalk[CanonicalDeviceFamilyID],"")</f>
        <v/>
      </c>
      <c r="L194" s="7">
        <f>XLOOKUP([@DeviceTypeID],tblDeviceTypeIDCrosswalk[LegacyDeviceTypeID],tblDeviceTypeIDCrosswalk[CanonicalDeviceTypeID],"")</f>
        <v/>
      </c>
      <c r="M194" s="14">
        <f>XLOOKUP([@ManufacturerID],tblManufacturerIDCrosswalk[LegacyManufacturerID],tblManufacturerIDCrosswalk[MappingStatus],"No Crosswalk")</f>
        <v/>
      </c>
      <c r="N194" s="35">
        <f>XLOOKUP([@DeviceFamilyID],tblDeviceFamilyIDCrosswalk[LegacyDeviceFamilyID],tblDeviceFamilyIDCrosswalk[MappingStatus],"No Crosswalk")</f>
        <v/>
      </c>
      <c r="O194" s="35">
        <f>XLOOKUP([@DeviceTypeID],tblDeviceTypeIDCrosswalk[LegacyDeviceTypeID],tblDeviceTypeIDCrosswalk[MappingStatus],"No Crosswalk")</f>
        <v/>
      </c>
      <c r="P194">
        <f>IF(OR([@ManufacturerMappingStatus]&lt;&gt;"Approved",[@DeviceFamilyMappingStatus]&lt;&gt;"Approved",[@DeviceTypeMappingStatus]&lt;&gt;"Approved"),"Manual Review Required","Approved Crosswalk Available")</f>
        <v/>
      </c>
      <c r="Q194" t="inlineStr">
        <is>
          <t>Pending Review</t>
        </is>
      </c>
    </row>
    <row r="195" ht="21.5" customHeight="1" s="42">
      <c r="A195" s="36" t="n"/>
      <c r="B195" s="35" t="n"/>
      <c r="C195" s="35" t="n"/>
      <c r="D195" s="35" t="n"/>
      <c r="E195" s="39" t="n"/>
      <c r="F195" s="39" t="n"/>
      <c r="G195" s="10" t="inlineStr">
        <is>
          <t>MOD000192</t>
        </is>
      </c>
      <c r="H195" s="14" t="inlineStr">
        <is>
          <t>MFG002</t>
        </is>
      </c>
      <c r="I195" s="14" t="inlineStr">
        <is>
          <t>DF021</t>
        </is>
      </c>
      <c r="J195" s="14">
        <f>XLOOKUP([@ManufacturerID],tblManufacturerIDCrosswalk[LegacyManufacturerID],tblManufacturerIDCrosswalk[CanonicalManufacturerID],"")</f>
        <v/>
      </c>
      <c r="K195" s="7">
        <f>XLOOKUP([@DeviceFamilyID],tblDeviceFamilyIDCrosswalk[LegacyDeviceFamilyID],tblDeviceFamilyIDCrosswalk[CanonicalDeviceFamilyID],"")</f>
        <v/>
      </c>
      <c r="L195" s="7">
        <f>XLOOKUP([@DeviceTypeID],tblDeviceTypeIDCrosswalk[LegacyDeviceTypeID],tblDeviceTypeIDCrosswalk[CanonicalDeviceTypeID],"")</f>
        <v/>
      </c>
      <c r="M195" s="14">
        <f>XLOOKUP([@ManufacturerID],tblManufacturerIDCrosswalk[LegacyManufacturerID],tblManufacturerIDCrosswalk[MappingStatus],"No Crosswalk")</f>
        <v/>
      </c>
      <c r="N195" s="35">
        <f>XLOOKUP([@DeviceFamilyID],tblDeviceFamilyIDCrosswalk[LegacyDeviceFamilyID],tblDeviceFamilyIDCrosswalk[MappingStatus],"No Crosswalk")</f>
        <v/>
      </c>
      <c r="O195" s="35">
        <f>XLOOKUP([@DeviceTypeID],tblDeviceTypeIDCrosswalk[LegacyDeviceTypeID],tblDeviceTypeIDCrosswalk[MappingStatus],"No Crosswalk")</f>
        <v/>
      </c>
      <c r="P195">
        <f>IF(OR([@ManufacturerMappingStatus]&lt;&gt;"Approved",[@DeviceFamilyMappingStatus]&lt;&gt;"Approved",[@DeviceTypeMappingStatus]&lt;&gt;"Approved"),"Manual Review Required","Approved Crosswalk Available")</f>
        <v/>
      </c>
      <c r="Q195" t="inlineStr">
        <is>
          <t>Pending Review</t>
        </is>
      </c>
    </row>
    <row r="196" ht="21.5" customHeight="1" s="42">
      <c r="A196" s="36" t="n"/>
      <c r="B196" s="35" t="n"/>
      <c r="C196" s="35" t="n"/>
      <c r="D196" s="35" t="n"/>
      <c r="E196" s="39" t="n"/>
      <c r="F196" s="39" t="n"/>
      <c r="G196" s="10" t="inlineStr">
        <is>
          <t>MOD000193</t>
        </is>
      </c>
      <c r="H196" s="14" t="inlineStr">
        <is>
          <t>MFG002</t>
        </is>
      </c>
      <c r="I196" s="14" t="inlineStr">
        <is>
          <t>DF021</t>
        </is>
      </c>
      <c r="J196" s="14">
        <f>XLOOKUP([@ManufacturerID],tblManufacturerIDCrosswalk[LegacyManufacturerID],tblManufacturerIDCrosswalk[CanonicalManufacturerID],"")</f>
        <v/>
      </c>
      <c r="K196" s="7">
        <f>XLOOKUP([@DeviceFamilyID],tblDeviceFamilyIDCrosswalk[LegacyDeviceFamilyID],tblDeviceFamilyIDCrosswalk[CanonicalDeviceFamilyID],"")</f>
        <v/>
      </c>
      <c r="L196" s="7">
        <f>XLOOKUP([@DeviceTypeID],tblDeviceTypeIDCrosswalk[LegacyDeviceTypeID],tblDeviceTypeIDCrosswalk[CanonicalDeviceTypeID],"")</f>
        <v/>
      </c>
      <c r="M196" s="14">
        <f>XLOOKUP([@ManufacturerID],tblManufacturerIDCrosswalk[LegacyManufacturerID],tblManufacturerIDCrosswalk[MappingStatus],"No Crosswalk")</f>
        <v/>
      </c>
      <c r="N196" s="35">
        <f>XLOOKUP([@DeviceFamilyID],tblDeviceFamilyIDCrosswalk[LegacyDeviceFamilyID],tblDeviceFamilyIDCrosswalk[MappingStatus],"No Crosswalk")</f>
        <v/>
      </c>
      <c r="O196" s="35">
        <f>XLOOKUP([@DeviceTypeID],tblDeviceTypeIDCrosswalk[LegacyDeviceTypeID],tblDeviceTypeIDCrosswalk[MappingStatus],"No Crosswalk")</f>
        <v/>
      </c>
      <c r="P196">
        <f>IF(OR([@ManufacturerMappingStatus]&lt;&gt;"Approved",[@DeviceFamilyMappingStatus]&lt;&gt;"Approved",[@DeviceTypeMappingStatus]&lt;&gt;"Approved"),"Manual Review Required","Approved Crosswalk Available")</f>
        <v/>
      </c>
      <c r="Q196" t="inlineStr">
        <is>
          <t>Pending Review</t>
        </is>
      </c>
    </row>
    <row r="197" ht="21.5" customHeight="1" s="42">
      <c r="A197" s="36" t="n"/>
      <c r="B197" s="35" t="n"/>
      <c r="C197" s="35" t="n"/>
      <c r="D197" s="35" t="n"/>
      <c r="E197" s="39" t="n"/>
      <c r="F197" s="39" t="n"/>
      <c r="G197" s="10" t="inlineStr">
        <is>
          <t>MOD000194</t>
        </is>
      </c>
      <c r="H197" s="14" t="inlineStr">
        <is>
          <t>MFG002</t>
        </is>
      </c>
      <c r="I197" s="14" t="inlineStr">
        <is>
          <t>DF021</t>
        </is>
      </c>
      <c r="J197" s="14">
        <f>XLOOKUP([@ManufacturerID],tblManufacturerIDCrosswalk[LegacyManufacturerID],tblManufacturerIDCrosswalk[CanonicalManufacturerID],"")</f>
        <v/>
      </c>
      <c r="K197" s="7">
        <f>XLOOKUP([@DeviceFamilyID],tblDeviceFamilyIDCrosswalk[LegacyDeviceFamilyID],tblDeviceFamilyIDCrosswalk[CanonicalDeviceFamilyID],"")</f>
        <v/>
      </c>
      <c r="L197" s="7">
        <f>XLOOKUP([@DeviceTypeID],tblDeviceTypeIDCrosswalk[LegacyDeviceTypeID],tblDeviceTypeIDCrosswalk[CanonicalDeviceTypeID],"")</f>
        <v/>
      </c>
      <c r="M197" s="14">
        <f>XLOOKUP([@ManufacturerID],tblManufacturerIDCrosswalk[LegacyManufacturerID],tblManufacturerIDCrosswalk[MappingStatus],"No Crosswalk")</f>
        <v/>
      </c>
      <c r="N197" s="35">
        <f>XLOOKUP([@DeviceFamilyID],tblDeviceFamilyIDCrosswalk[LegacyDeviceFamilyID],tblDeviceFamilyIDCrosswalk[MappingStatus],"No Crosswalk")</f>
        <v/>
      </c>
      <c r="O197" s="35">
        <f>XLOOKUP([@DeviceTypeID],tblDeviceTypeIDCrosswalk[LegacyDeviceTypeID],tblDeviceTypeIDCrosswalk[MappingStatus],"No Crosswalk")</f>
        <v/>
      </c>
      <c r="P197">
        <f>IF(OR([@ManufacturerMappingStatus]&lt;&gt;"Approved",[@DeviceFamilyMappingStatus]&lt;&gt;"Approved",[@DeviceTypeMappingStatus]&lt;&gt;"Approved"),"Manual Review Required","Approved Crosswalk Available")</f>
        <v/>
      </c>
      <c r="Q197" t="inlineStr">
        <is>
          <t>Pending Review</t>
        </is>
      </c>
    </row>
    <row r="198" ht="21.5" customHeight="1" s="42">
      <c r="A198" s="36" t="n"/>
      <c r="B198" s="35" t="n"/>
      <c r="C198" s="35" t="n"/>
      <c r="D198" s="35" t="n"/>
      <c r="E198" s="39" t="n"/>
      <c r="F198" s="39" t="n"/>
      <c r="G198" s="10" t="inlineStr">
        <is>
          <t>MOD000195</t>
        </is>
      </c>
      <c r="H198" s="14" t="inlineStr">
        <is>
          <t>MFG002</t>
        </is>
      </c>
      <c r="I198" s="14" t="inlineStr">
        <is>
          <t>DF021</t>
        </is>
      </c>
      <c r="J198" s="14">
        <f>XLOOKUP([@ManufacturerID],tblManufacturerIDCrosswalk[LegacyManufacturerID],tblManufacturerIDCrosswalk[CanonicalManufacturerID],"")</f>
        <v/>
      </c>
      <c r="K198" s="7">
        <f>XLOOKUP([@DeviceFamilyID],tblDeviceFamilyIDCrosswalk[LegacyDeviceFamilyID],tblDeviceFamilyIDCrosswalk[CanonicalDeviceFamilyID],"")</f>
        <v/>
      </c>
      <c r="L198" s="7">
        <f>XLOOKUP([@DeviceTypeID],tblDeviceTypeIDCrosswalk[LegacyDeviceTypeID],tblDeviceTypeIDCrosswalk[CanonicalDeviceTypeID],"")</f>
        <v/>
      </c>
      <c r="M198" s="14">
        <f>XLOOKUP([@ManufacturerID],tblManufacturerIDCrosswalk[LegacyManufacturerID],tblManufacturerIDCrosswalk[MappingStatus],"No Crosswalk")</f>
        <v/>
      </c>
      <c r="N198" s="35">
        <f>XLOOKUP([@DeviceFamilyID],tblDeviceFamilyIDCrosswalk[LegacyDeviceFamilyID],tblDeviceFamilyIDCrosswalk[MappingStatus],"No Crosswalk")</f>
        <v/>
      </c>
      <c r="O198" s="35">
        <f>XLOOKUP([@DeviceTypeID],tblDeviceTypeIDCrosswalk[LegacyDeviceTypeID],tblDeviceTypeIDCrosswalk[MappingStatus],"No Crosswalk")</f>
        <v/>
      </c>
      <c r="P198">
        <f>IF(OR([@ManufacturerMappingStatus]&lt;&gt;"Approved",[@DeviceFamilyMappingStatus]&lt;&gt;"Approved",[@DeviceTypeMappingStatus]&lt;&gt;"Approved"),"Manual Review Required","Approved Crosswalk Available")</f>
        <v/>
      </c>
      <c r="Q198" t="inlineStr">
        <is>
          <t>Pending Review</t>
        </is>
      </c>
    </row>
    <row r="199" ht="21.5" customHeight="1" s="42">
      <c r="A199" s="36" t="n"/>
      <c r="B199" s="35" t="n"/>
      <c r="C199" s="35" t="n"/>
      <c r="D199" s="35" t="n"/>
      <c r="E199" s="39" t="n"/>
      <c r="F199" s="39" t="n"/>
      <c r="G199" s="10" t="inlineStr">
        <is>
          <t>MOD000196</t>
        </is>
      </c>
      <c r="H199" s="14" t="inlineStr">
        <is>
          <t>MFG002</t>
        </is>
      </c>
      <c r="I199" s="14" t="inlineStr">
        <is>
          <t>DF021</t>
        </is>
      </c>
      <c r="J199" s="14">
        <f>XLOOKUP([@ManufacturerID],tblManufacturerIDCrosswalk[LegacyManufacturerID],tblManufacturerIDCrosswalk[CanonicalManufacturerID],"")</f>
        <v/>
      </c>
      <c r="K199" s="7">
        <f>XLOOKUP([@DeviceFamilyID],tblDeviceFamilyIDCrosswalk[LegacyDeviceFamilyID],tblDeviceFamilyIDCrosswalk[CanonicalDeviceFamilyID],"")</f>
        <v/>
      </c>
      <c r="L199" s="7">
        <f>XLOOKUP([@DeviceTypeID],tblDeviceTypeIDCrosswalk[LegacyDeviceTypeID],tblDeviceTypeIDCrosswalk[CanonicalDeviceTypeID],"")</f>
        <v/>
      </c>
      <c r="M199" s="14">
        <f>XLOOKUP([@ManufacturerID],tblManufacturerIDCrosswalk[LegacyManufacturerID],tblManufacturerIDCrosswalk[MappingStatus],"No Crosswalk")</f>
        <v/>
      </c>
      <c r="N199" s="35">
        <f>XLOOKUP([@DeviceFamilyID],tblDeviceFamilyIDCrosswalk[LegacyDeviceFamilyID],tblDeviceFamilyIDCrosswalk[MappingStatus],"No Crosswalk")</f>
        <v/>
      </c>
      <c r="O199" s="35">
        <f>XLOOKUP([@DeviceTypeID],tblDeviceTypeIDCrosswalk[LegacyDeviceTypeID],tblDeviceTypeIDCrosswalk[MappingStatus],"No Crosswalk")</f>
        <v/>
      </c>
      <c r="P199">
        <f>IF(OR([@ManufacturerMappingStatus]&lt;&gt;"Approved",[@DeviceFamilyMappingStatus]&lt;&gt;"Approved",[@DeviceTypeMappingStatus]&lt;&gt;"Approved"),"Manual Review Required","Approved Crosswalk Available")</f>
        <v/>
      </c>
      <c r="Q199" t="inlineStr">
        <is>
          <t>Pending Review</t>
        </is>
      </c>
    </row>
    <row r="200" ht="21.5" customHeight="1" s="42">
      <c r="A200" s="36" t="n"/>
      <c r="B200" s="35" t="n"/>
      <c r="C200" s="35" t="n"/>
      <c r="D200" s="35" t="n"/>
      <c r="E200" s="39" t="n"/>
      <c r="F200" s="39" t="n"/>
      <c r="G200" s="10" t="inlineStr">
        <is>
          <t>MOD000197</t>
        </is>
      </c>
      <c r="H200" s="14" t="inlineStr">
        <is>
          <t>MFG002</t>
        </is>
      </c>
      <c r="I200" s="14" t="inlineStr">
        <is>
          <t>DF021</t>
        </is>
      </c>
      <c r="J200" s="14">
        <f>XLOOKUP([@ManufacturerID],tblManufacturerIDCrosswalk[LegacyManufacturerID],tblManufacturerIDCrosswalk[CanonicalManufacturerID],"")</f>
        <v/>
      </c>
      <c r="K200" s="7">
        <f>XLOOKUP([@DeviceFamilyID],tblDeviceFamilyIDCrosswalk[LegacyDeviceFamilyID],tblDeviceFamilyIDCrosswalk[CanonicalDeviceFamilyID],"")</f>
        <v/>
      </c>
      <c r="L200" s="7">
        <f>XLOOKUP([@DeviceTypeID],tblDeviceTypeIDCrosswalk[LegacyDeviceTypeID],tblDeviceTypeIDCrosswalk[CanonicalDeviceTypeID],"")</f>
        <v/>
      </c>
      <c r="M200" s="14">
        <f>XLOOKUP([@ManufacturerID],tblManufacturerIDCrosswalk[LegacyManufacturerID],tblManufacturerIDCrosswalk[MappingStatus],"No Crosswalk")</f>
        <v/>
      </c>
      <c r="N200" s="35">
        <f>XLOOKUP([@DeviceFamilyID],tblDeviceFamilyIDCrosswalk[LegacyDeviceFamilyID],tblDeviceFamilyIDCrosswalk[MappingStatus],"No Crosswalk")</f>
        <v/>
      </c>
      <c r="O200" s="35">
        <f>XLOOKUP([@DeviceTypeID],tblDeviceTypeIDCrosswalk[LegacyDeviceTypeID],tblDeviceTypeIDCrosswalk[MappingStatus],"No Crosswalk")</f>
        <v/>
      </c>
      <c r="P200">
        <f>IF(OR([@ManufacturerMappingStatus]&lt;&gt;"Approved",[@DeviceFamilyMappingStatus]&lt;&gt;"Approved",[@DeviceTypeMappingStatus]&lt;&gt;"Approved"),"Manual Review Required","Approved Crosswalk Available")</f>
        <v/>
      </c>
      <c r="Q200" t="inlineStr">
        <is>
          <t>Pending Review</t>
        </is>
      </c>
    </row>
    <row r="201" ht="21.5" customHeight="1" s="42">
      <c r="A201" s="36" t="n"/>
      <c r="B201" s="35" t="n"/>
      <c r="C201" s="35" t="n"/>
      <c r="D201" s="35" t="n"/>
      <c r="E201" s="39" t="n"/>
      <c r="F201" s="39" t="n"/>
      <c r="G201" s="10" t="inlineStr">
        <is>
          <t>MOD000198</t>
        </is>
      </c>
      <c r="H201" s="14" t="inlineStr">
        <is>
          <t>MFG002</t>
        </is>
      </c>
      <c r="I201" s="14" t="inlineStr">
        <is>
          <t>DF021</t>
        </is>
      </c>
      <c r="J201" s="14">
        <f>XLOOKUP([@ManufacturerID],tblManufacturerIDCrosswalk[LegacyManufacturerID],tblManufacturerIDCrosswalk[CanonicalManufacturerID],"")</f>
        <v/>
      </c>
      <c r="K201" s="7">
        <f>XLOOKUP([@DeviceFamilyID],tblDeviceFamilyIDCrosswalk[LegacyDeviceFamilyID],tblDeviceFamilyIDCrosswalk[CanonicalDeviceFamilyID],"")</f>
        <v/>
      </c>
      <c r="L201" s="7">
        <f>XLOOKUP([@DeviceTypeID],tblDeviceTypeIDCrosswalk[LegacyDeviceTypeID],tblDeviceTypeIDCrosswalk[CanonicalDeviceTypeID],"")</f>
        <v/>
      </c>
      <c r="M201" s="14">
        <f>XLOOKUP([@ManufacturerID],tblManufacturerIDCrosswalk[LegacyManufacturerID],tblManufacturerIDCrosswalk[MappingStatus],"No Crosswalk")</f>
        <v/>
      </c>
      <c r="N201" s="35">
        <f>XLOOKUP([@DeviceFamilyID],tblDeviceFamilyIDCrosswalk[LegacyDeviceFamilyID],tblDeviceFamilyIDCrosswalk[MappingStatus],"No Crosswalk")</f>
        <v/>
      </c>
      <c r="O201" s="35">
        <f>XLOOKUP([@DeviceTypeID],tblDeviceTypeIDCrosswalk[LegacyDeviceTypeID],tblDeviceTypeIDCrosswalk[MappingStatus],"No Crosswalk")</f>
        <v/>
      </c>
      <c r="P201">
        <f>IF(OR([@ManufacturerMappingStatus]&lt;&gt;"Approved",[@DeviceFamilyMappingStatus]&lt;&gt;"Approved",[@DeviceTypeMappingStatus]&lt;&gt;"Approved"),"Manual Review Required","Approved Crosswalk Available")</f>
        <v/>
      </c>
      <c r="Q201" t="inlineStr">
        <is>
          <t>Pending Review</t>
        </is>
      </c>
    </row>
    <row r="202" ht="21.5" customHeight="1" s="42">
      <c r="A202" s="36" t="n"/>
      <c r="B202" s="35" t="n"/>
      <c r="C202" s="35" t="n"/>
      <c r="D202" s="35" t="n"/>
      <c r="E202" s="39" t="n"/>
      <c r="F202" s="39" t="n"/>
      <c r="G202" s="10" t="inlineStr">
        <is>
          <t>MOD000199</t>
        </is>
      </c>
      <c r="H202" s="14" t="inlineStr">
        <is>
          <t>MFG002</t>
        </is>
      </c>
      <c r="I202" s="14" t="inlineStr">
        <is>
          <t>DF021</t>
        </is>
      </c>
      <c r="J202" s="14">
        <f>XLOOKUP([@ManufacturerID],tblManufacturerIDCrosswalk[LegacyManufacturerID],tblManufacturerIDCrosswalk[CanonicalManufacturerID],"")</f>
        <v/>
      </c>
      <c r="K202" s="7">
        <f>XLOOKUP([@DeviceFamilyID],tblDeviceFamilyIDCrosswalk[LegacyDeviceFamilyID],tblDeviceFamilyIDCrosswalk[CanonicalDeviceFamilyID],"")</f>
        <v/>
      </c>
      <c r="L202" s="7">
        <f>XLOOKUP([@DeviceTypeID],tblDeviceTypeIDCrosswalk[LegacyDeviceTypeID],tblDeviceTypeIDCrosswalk[CanonicalDeviceTypeID],"")</f>
        <v/>
      </c>
      <c r="M202" s="14">
        <f>XLOOKUP([@ManufacturerID],tblManufacturerIDCrosswalk[LegacyManufacturerID],tblManufacturerIDCrosswalk[MappingStatus],"No Crosswalk")</f>
        <v/>
      </c>
      <c r="N202" s="35">
        <f>XLOOKUP([@DeviceFamilyID],tblDeviceFamilyIDCrosswalk[LegacyDeviceFamilyID],tblDeviceFamilyIDCrosswalk[MappingStatus],"No Crosswalk")</f>
        <v/>
      </c>
      <c r="O202" s="35">
        <f>XLOOKUP([@DeviceTypeID],tblDeviceTypeIDCrosswalk[LegacyDeviceTypeID],tblDeviceTypeIDCrosswalk[MappingStatus],"No Crosswalk")</f>
        <v/>
      </c>
      <c r="P202">
        <f>IF(OR([@ManufacturerMappingStatus]&lt;&gt;"Approved",[@DeviceFamilyMappingStatus]&lt;&gt;"Approved",[@DeviceTypeMappingStatus]&lt;&gt;"Approved"),"Manual Review Required","Approved Crosswalk Available")</f>
        <v/>
      </c>
      <c r="Q202" t="inlineStr">
        <is>
          <t>Pending Review</t>
        </is>
      </c>
    </row>
    <row r="203" ht="21.5" customHeight="1" s="42">
      <c r="A203" s="36" t="n"/>
      <c r="B203" s="35" t="n"/>
      <c r="C203" s="35" t="n"/>
      <c r="D203" s="35" t="n"/>
      <c r="E203" s="39" t="n"/>
      <c r="F203" s="39" t="n"/>
      <c r="G203" s="10" t="inlineStr">
        <is>
          <t>MOD000200</t>
        </is>
      </c>
      <c r="H203" s="14" t="inlineStr">
        <is>
          <t>MFG002</t>
        </is>
      </c>
      <c r="I203" s="14" t="inlineStr">
        <is>
          <t>DF021</t>
        </is>
      </c>
      <c r="J203" s="14">
        <f>XLOOKUP([@ManufacturerID],tblManufacturerIDCrosswalk[LegacyManufacturerID],tblManufacturerIDCrosswalk[CanonicalManufacturerID],"")</f>
        <v/>
      </c>
      <c r="K203" s="7">
        <f>XLOOKUP([@DeviceFamilyID],tblDeviceFamilyIDCrosswalk[LegacyDeviceFamilyID],tblDeviceFamilyIDCrosswalk[CanonicalDeviceFamilyID],"")</f>
        <v/>
      </c>
      <c r="L203" s="7">
        <f>XLOOKUP([@DeviceTypeID],tblDeviceTypeIDCrosswalk[LegacyDeviceTypeID],tblDeviceTypeIDCrosswalk[CanonicalDeviceTypeID],"")</f>
        <v/>
      </c>
      <c r="M203" s="14">
        <f>XLOOKUP([@ManufacturerID],tblManufacturerIDCrosswalk[LegacyManufacturerID],tblManufacturerIDCrosswalk[MappingStatus],"No Crosswalk")</f>
        <v/>
      </c>
      <c r="N203" s="35">
        <f>XLOOKUP([@DeviceFamilyID],tblDeviceFamilyIDCrosswalk[LegacyDeviceFamilyID],tblDeviceFamilyIDCrosswalk[MappingStatus],"No Crosswalk")</f>
        <v/>
      </c>
      <c r="O203" s="35">
        <f>XLOOKUP([@DeviceTypeID],tblDeviceTypeIDCrosswalk[LegacyDeviceTypeID],tblDeviceTypeIDCrosswalk[MappingStatus],"No Crosswalk")</f>
        <v/>
      </c>
      <c r="P203">
        <f>IF(OR([@ManufacturerMappingStatus]&lt;&gt;"Approved",[@DeviceFamilyMappingStatus]&lt;&gt;"Approved",[@DeviceTypeMappingStatus]&lt;&gt;"Approved"),"Manual Review Required","Approved Crosswalk Available")</f>
        <v/>
      </c>
      <c r="Q203" t="inlineStr">
        <is>
          <t>Pending Review</t>
        </is>
      </c>
    </row>
    <row r="204" ht="21.5" customHeight="1" s="42">
      <c r="A204" s="36" t="n"/>
      <c r="B204" s="35" t="n"/>
      <c r="C204" s="35" t="n"/>
      <c r="D204" s="35" t="n"/>
      <c r="E204" s="39" t="n"/>
      <c r="F204" s="39" t="n"/>
      <c r="G204" s="10" t="inlineStr">
        <is>
          <t>MOD000201</t>
        </is>
      </c>
      <c r="H204" s="14" t="inlineStr">
        <is>
          <t>MFG002</t>
        </is>
      </c>
      <c r="I204" s="14" t="inlineStr">
        <is>
          <t>DF021</t>
        </is>
      </c>
      <c r="J204" s="14">
        <f>XLOOKUP([@ManufacturerID],tblManufacturerIDCrosswalk[LegacyManufacturerID],tblManufacturerIDCrosswalk[CanonicalManufacturerID],"")</f>
        <v/>
      </c>
      <c r="K204" s="7">
        <f>XLOOKUP([@DeviceFamilyID],tblDeviceFamilyIDCrosswalk[LegacyDeviceFamilyID],tblDeviceFamilyIDCrosswalk[CanonicalDeviceFamilyID],"")</f>
        <v/>
      </c>
      <c r="L204" s="7">
        <f>XLOOKUP([@DeviceTypeID],tblDeviceTypeIDCrosswalk[LegacyDeviceTypeID],tblDeviceTypeIDCrosswalk[CanonicalDeviceTypeID],"")</f>
        <v/>
      </c>
      <c r="M204" s="14">
        <f>XLOOKUP([@ManufacturerID],tblManufacturerIDCrosswalk[LegacyManufacturerID],tblManufacturerIDCrosswalk[MappingStatus],"No Crosswalk")</f>
        <v/>
      </c>
      <c r="N204" s="35">
        <f>XLOOKUP([@DeviceFamilyID],tblDeviceFamilyIDCrosswalk[LegacyDeviceFamilyID],tblDeviceFamilyIDCrosswalk[MappingStatus],"No Crosswalk")</f>
        <v/>
      </c>
      <c r="O204" s="35">
        <f>XLOOKUP([@DeviceTypeID],tblDeviceTypeIDCrosswalk[LegacyDeviceTypeID],tblDeviceTypeIDCrosswalk[MappingStatus],"No Crosswalk")</f>
        <v/>
      </c>
      <c r="P204">
        <f>IF(OR([@ManufacturerMappingStatus]&lt;&gt;"Approved",[@DeviceFamilyMappingStatus]&lt;&gt;"Approved",[@DeviceTypeMappingStatus]&lt;&gt;"Approved"),"Manual Review Required","Approved Crosswalk Available")</f>
        <v/>
      </c>
      <c r="Q204" t="inlineStr">
        <is>
          <t>Pending Review</t>
        </is>
      </c>
    </row>
    <row r="205" ht="21.5" customHeight="1" s="42">
      <c r="A205" s="36" t="n"/>
      <c r="B205" s="35" t="n"/>
      <c r="C205" s="35" t="n"/>
      <c r="D205" s="35" t="n"/>
      <c r="E205" s="39" t="n"/>
      <c r="F205" s="39" t="n"/>
      <c r="G205" s="10" t="inlineStr">
        <is>
          <t>MOD000202</t>
        </is>
      </c>
      <c r="H205" s="14" t="inlineStr">
        <is>
          <t>MFG002</t>
        </is>
      </c>
      <c r="I205" s="14" t="inlineStr">
        <is>
          <t>DF021</t>
        </is>
      </c>
      <c r="J205" s="14">
        <f>XLOOKUP([@ManufacturerID],tblManufacturerIDCrosswalk[LegacyManufacturerID],tblManufacturerIDCrosswalk[CanonicalManufacturerID],"")</f>
        <v/>
      </c>
      <c r="K205" s="7">
        <f>XLOOKUP([@DeviceFamilyID],tblDeviceFamilyIDCrosswalk[LegacyDeviceFamilyID],tblDeviceFamilyIDCrosswalk[CanonicalDeviceFamilyID],"")</f>
        <v/>
      </c>
      <c r="L205" s="7">
        <f>XLOOKUP([@DeviceTypeID],tblDeviceTypeIDCrosswalk[LegacyDeviceTypeID],tblDeviceTypeIDCrosswalk[CanonicalDeviceTypeID],"")</f>
        <v/>
      </c>
      <c r="M205" s="14">
        <f>XLOOKUP([@ManufacturerID],tblManufacturerIDCrosswalk[LegacyManufacturerID],tblManufacturerIDCrosswalk[MappingStatus],"No Crosswalk")</f>
        <v/>
      </c>
      <c r="N205" s="35">
        <f>XLOOKUP([@DeviceFamilyID],tblDeviceFamilyIDCrosswalk[LegacyDeviceFamilyID],tblDeviceFamilyIDCrosswalk[MappingStatus],"No Crosswalk")</f>
        <v/>
      </c>
      <c r="O205" s="35">
        <f>XLOOKUP([@DeviceTypeID],tblDeviceTypeIDCrosswalk[LegacyDeviceTypeID],tblDeviceTypeIDCrosswalk[MappingStatus],"No Crosswalk")</f>
        <v/>
      </c>
      <c r="P205">
        <f>IF(OR([@ManufacturerMappingStatus]&lt;&gt;"Approved",[@DeviceFamilyMappingStatus]&lt;&gt;"Approved",[@DeviceTypeMappingStatus]&lt;&gt;"Approved"),"Manual Review Required","Approved Crosswalk Available")</f>
        <v/>
      </c>
      <c r="Q205" t="inlineStr">
        <is>
          <t>Pending Review</t>
        </is>
      </c>
    </row>
    <row r="206" ht="21.5" customHeight="1" s="42">
      <c r="A206" s="36" t="n"/>
      <c r="B206" s="35" t="n"/>
      <c r="C206" s="35" t="n"/>
      <c r="D206" s="35" t="n"/>
      <c r="E206" s="39" t="n"/>
      <c r="F206" s="39" t="n"/>
      <c r="G206" s="10" t="inlineStr">
        <is>
          <t>MOD000203</t>
        </is>
      </c>
      <c r="H206" s="14" t="inlineStr">
        <is>
          <t>MFG002</t>
        </is>
      </c>
      <c r="I206" s="14" t="inlineStr">
        <is>
          <t>DF022</t>
        </is>
      </c>
      <c r="J206" s="14">
        <f>XLOOKUP([@ManufacturerID],tblManufacturerIDCrosswalk[LegacyManufacturerID],tblManufacturerIDCrosswalk[CanonicalManufacturerID],"")</f>
        <v/>
      </c>
      <c r="K206" s="7">
        <f>XLOOKUP([@DeviceFamilyID],tblDeviceFamilyIDCrosswalk[LegacyDeviceFamilyID],tblDeviceFamilyIDCrosswalk[CanonicalDeviceFamilyID],"")</f>
        <v/>
      </c>
      <c r="L206" s="7">
        <f>XLOOKUP([@DeviceTypeID],tblDeviceTypeIDCrosswalk[LegacyDeviceTypeID],tblDeviceTypeIDCrosswalk[CanonicalDeviceTypeID],"")</f>
        <v/>
      </c>
      <c r="M206" s="14">
        <f>XLOOKUP([@ManufacturerID],tblManufacturerIDCrosswalk[LegacyManufacturerID],tblManufacturerIDCrosswalk[MappingStatus],"No Crosswalk")</f>
        <v/>
      </c>
      <c r="N206" s="35">
        <f>XLOOKUP([@DeviceFamilyID],tblDeviceFamilyIDCrosswalk[LegacyDeviceFamilyID],tblDeviceFamilyIDCrosswalk[MappingStatus],"No Crosswalk")</f>
        <v/>
      </c>
      <c r="O206" s="35">
        <f>XLOOKUP([@DeviceTypeID],tblDeviceTypeIDCrosswalk[LegacyDeviceTypeID],tblDeviceTypeIDCrosswalk[MappingStatus],"No Crosswalk")</f>
        <v/>
      </c>
      <c r="P206">
        <f>IF(OR([@ManufacturerMappingStatus]&lt;&gt;"Approved",[@DeviceFamilyMappingStatus]&lt;&gt;"Approved",[@DeviceTypeMappingStatus]&lt;&gt;"Approved"),"Manual Review Required","Approved Crosswalk Available")</f>
        <v/>
      </c>
      <c r="Q206" t="inlineStr">
        <is>
          <t>Pending Review</t>
        </is>
      </c>
    </row>
    <row r="207" ht="21.5" customHeight="1" s="42">
      <c r="A207" s="36" t="n"/>
      <c r="B207" s="35" t="n"/>
      <c r="C207" s="35" t="n"/>
      <c r="D207" s="35" t="n"/>
      <c r="E207" s="39" t="n"/>
      <c r="F207" s="39" t="n"/>
      <c r="G207" s="10" t="inlineStr">
        <is>
          <t>MOD000204</t>
        </is>
      </c>
      <c r="H207" s="14" t="inlineStr">
        <is>
          <t>MFG002</t>
        </is>
      </c>
      <c r="I207" s="14" t="inlineStr">
        <is>
          <t>DF022</t>
        </is>
      </c>
      <c r="J207" s="14">
        <f>XLOOKUP([@ManufacturerID],tblManufacturerIDCrosswalk[LegacyManufacturerID],tblManufacturerIDCrosswalk[CanonicalManufacturerID],"")</f>
        <v/>
      </c>
      <c r="K207" s="7">
        <f>XLOOKUP([@DeviceFamilyID],tblDeviceFamilyIDCrosswalk[LegacyDeviceFamilyID],tblDeviceFamilyIDCrosswalk[CanonicalDeviceFamilyID],"")</f>
        <v/>
      </c>
      <c r="L207" s="7">
        <f>XLOOKUP([@DeviceTypeID],tblDeviceTypeIDCrosswalk[LegacyDeviceTypeID],tblDeviceTypeIDCrosswalk[CanonicalDeviceTypeID],"")</f>
        <v/>
      </c>
      <c r="M207" s="14">
        <f>XLOOKUP([@ManufacturerID],tblManufacturerIDCrosswalk[LegacyManufacturerID],tblManufacturerIDCrosswalk[MappingStatus],"No Crosswalk")</f>
        <v/>
      </c>
      <c r="N207" s="35">
        <f>XLOOKUP([@DeviceFamilyID],tblDeviceFamilyIDCrosswalk[LegacyDeviceFamilyID],tblDeviceFamilyIDCrosswalk[MappingStatus],"No Crosswalk")</f>
        <v/>
      </c>
      <c r="O207" s="35">
        <f>XLOOKUP([@DeviceTypeID],tblDeviceTypeIDCrosswalk[LegacyDeviceTypeID],tblDeviceTypeIDCrosswalk[MappingStatus],"No Crosswalk")</f>
        <v/>
      </c>
      <c r="P207">
        <f>IF(OR([@ManufacturerMappingStatus]&lt;&gt;"Approved",[@DeviceFamilyMappingStatus]&lt;&gt;"Approved",[@DeviceTypeMappingStatus]&lt;&gt;"Approved"),"Manual Review Required","Approved Crosswalk Available")</f>
        <v/>
      </c>
      <c r="Q207" t="inlineStr">
        <is>
          <t>Pending Review</t>
        </is>
      </c>
    </row>
    <row r="208" ht="21.5" customHeight="1" s="42">
      <c r="A208" s="36" t="n"/>
      <c r="B208" s="35" t="n"/>
      <c r="C208" s="35" t="n"/>
      <c r="D208" s="35" t="n"/>
      <c r="E208" s="39" t="n"/>
      <c r="F208" s="39" t="n"/>
      <c r="G208" s="10" t="inlineStr">
        <is>
          <t>MOD000205</t>
        </is>
      </c>
      <c r="H208" s="14" t="inlineStr">
        <is>
          <t>MFG002</t>
        </is>
      </c>
      <c r="I208" s="14" t="inlineStr">
        <is>
          <t>DF022</t>
        </is>
      </c>
      <c r="J208" s="14">
        <f>XLOOKUP([@ManufacturerID],tblManufacturerIDCrosswalk[LegacyManufacturerID],tblManufacturerIDCrosswalk[CanonicalManufacturerID],"")</f>
        <v/>
      </c>
      <c r="K208" s="7">
        <f>XLOOKUP([@DeviceFamilyID],tblDeviceFamilyIDCrosswalk[LegacyDeviceFamilyID],tblDeviceFamilyIDCrosswalk[CanonicalDeviceFamilyID],"")</f>
        <v/>
      </c>
      <c r="L208" s="7">
        <f>XLOOKUP([@DeviceTypeID],tblDeviceTypeIDCrosswalk[LegacyDeviceTypeID],tblDeviceTypeIDCrosswalk[CanonicalDeviceTypeID],"")</f>
        <v/>
      </c>
      <c r="M208" s="14">
        <f>XLOOKUP([@ManufacturerID],tblManufacturerIDCrosswalk[LegacyManufacturerID],tblManufacturerIDCrosswalk[MappingStatus],"No Crosswalk")</f>
        <v/>
      </c>
      <c r="N208" s="35">
        <f>XLOOKUP([@DeviceFamilyID],tblDeviceFamilyIDCrosswalk[LegacyDeviceFamilyID],tblDeviceFamilyIDCrosswalk[MappingStatus],"No Crosswalk")</f>
        <v/>
      </c>
      <c r="O208" s="35">
        <f>XLOOKUP([@DeviceTypeID],tblDeviceTypeIDCrosswalk[LegacyDeviceTypeID],tblDeviceTypeIDCrosswalk[MappingStatus],"No Crosswalk")</f>
        <v/>
      </c>
      <c r="P208">
        <f>IF(OR([@ManufacturerMappingStatus]&lt;&gt;"Approved",[@DeviceFamilyMappingStatus]&lt;&gt;"Approved",[@DeviceTypeMappingStatus]&lt;&gt;"Approved"),"Manual Review Required","Approved Crosswalk Available")</f>
        <v/>
      </c>
      <c r="Q208" t="inlineStr">
        <is>
          <t>Pending Review</t>
        </is>
      </c>
    </row>
    <row r="209" ht="21.5" customHeight="1" s="42">
      <c r="A209" s="36" t="n"/>
      <c r="B209" s="35" t="n"/>
      <c r="C209" s="35" t="n"/>
      <c r="D209" s="35" t="n"/>
      <c r="E209" s="39" t="n"/>
      <c r="F209" s="39" t="n"/>
      <c r="G209" s="10" t="inlineStr">
        <is>
          <t>MOD000206</t>
        </is>
      </c>
      <c r="H209" s="14" t="inlineStr">
        <is>
          <t>MFG002</t>
        </is>
      </c>
      <c r="I209" s="14" t="inlineStr">
        <is>
          <t>DF022</t>
        </is>
      </c>
      <c r="J209" s="14">
        <f>XLOOKUP([@ManufacturerID],tblManufacturerIDCrosswalk[LegacyManufacturerID],tblManufacturerIDCrosswalk[CanonicalManufacturerID],"")</f>
        <v/>
      </c>
      <c r="K209" s="7">
        <f>XLOOKUP([@DeviceFamilyID],tblDeviceFamilyIDCrosswalk[LegacyDeviceFamilyID],tblDeviceFamilyIDCrosswalk[CanonicalDeviceFamilyID],"")</f>
        <v/>
      </c>
      <c r="L209" s="7">
        <f>XLOOKUP([@DeviceTypeID],tblDeviceTypeIDCrosswalk[LegacyDeviceTypeID],tblDeviceTypeIDCrosswalk[CanonicalDeviceTypeID],"")</f>
        <v/>
      </c>
      <c r="M209" s="14">
        <f>XLOOKUP([@ManufacturerID],tblManufacturerIDCrosswalk[LegacyManufacturerID],tblManufacturerIDCrosswalk[MappingStatus],"No Crosswalk")</f>
        <v/>
      </c>
      <c r="N209" s="35">
        <f>XLOOKUP([@DeviceFamilyID],tblDeviceFamilyIDCrosswalk[LegacyDeviceFamilyID],tblDeviceFamilyIDCrosswalk[MappingStatus],"No Crosswalk")</f>
        <v/>
      </c>
      <c r="O209" s="35">
        <f>XLOOKUP([@DeviceTypeID],tblDeviceTypeIDCrosswalk[LegacyDeviceTypeID],tblDeviceTypeIDCrosswalk[MappingStatus],"No Crosswalk")</f>
        <v/>
      </c>
      <c r="P209">
        <f>IF(OR([@ManufacturerMappingStatus]&lt;&gt;"Approved",[@DeviceFamilyMappingStatus]&lt;&gt;"Approved",[@DeviceTypeMappingStatus]&lt;&gt;"Approved"),"Manual Review Required","Approved Crosswalk Available")</f>
        <v/>
      </c>
      <c r="Q209" t="inlineStr">
        <is>
          <t>Pending Review</t>
        </is>
      </c>
    </row>
    <row r="210" ht="21.5" customHeight="1" s="42">
      <c r="A210" s="36" t="n"/>
      <c r="B210" s="35" t="n"/>
      <c r="C210" s="35" t="n"/>
      <c r="D210" s="35" t="n"/>
      <c r="E210" s="39" t="n"/>
      <c r="F210" s="39" t="n"/>
      <c r="G210" s="10" t="inlineStr">
        <is>
          <t>MOD000207</t>
        </is>
      </c>
      <c r="H210" s="14" t="inlineStr">
        <is>
          <t>MFG002</t>
        </is>
      </c>
      <c r="I210" s="14" t="inlineStr">
        <is>
          <t>DF022</t>
        </is>
      </c>
      <c r="J210" s="14">
        <f>XLOOKUP([@ManufacturerID],tblManufacturerIDCrosswalk[LegacyManufacturerID],tblManufacturerIDCrosswalk[CanonicalManufacturerID],"")</f>
        <v/>
      </c>
      <c r="K210" s="7">
        <f>XLOOKUP([@DeviceFamilyID],tblDeviceFamilyIDCrosswalk[LegacyDeviceFamilyID],tblDeviceFamilyIDCrosswalk[CanonicalDeviceFamilyID],"")</f>
        <v/>
      </c>
      <c r="L210" s="7">
        <f>XLOOKUP([@DeviceTypeID],tblDeviceTypeIDCrosswalk[LegacyDeviceTypeID],tblDeviceTypeIDCrosswalk[CanonicalDeviceTypeID],"")</f>
        <v/>
      </c>
      <c r="M210" s="14">
        <f>XLOOKUP([@ManufacturerID],tblManufacturerIDCrosswalk[LegacyManufacturerID],tblManufacturerIDCrosswalk[MappingStatus],"No Crosswalk")</f>
        <v/>
      </c>
      <c r="N210" s="35">
        <f>XLOOKUP([@DeviceFamilyID],tblDeviceFamilyIDCrosswalk[LegacyDeviceFamilyID],tblDeviceFamilyIDCrosswalk[MappingStatus],"No Crosswalk")</f>
        <v/>
      </c>
      <c r="O210" s="35">
        <f>XLOOKUP([@DeviceTypeID],tblDeviceTypeIDCrosswalk[LegacyDeviceTypeID],tblDeviceTypeIDCrosswalk[MappingStatus],"No Crosswalk")</f>
        <v/>
      </c>
      <c r="P210">
        <f>IF(OR([@ManufacturerMappingStatus]&lt;&gt;"Approved",[@DeviceFamilyMappingStatus]&lt;&gt;"Approved",[@DeviceTypeMappingStatus]&lt;&gt;"Approved"),"Manual Review Required","Approved Crosswalk Available")</f>
        <v/>
      </c>
      <c r="Q210" t="inlineStr">
        <is>
          <t>Pending Review</t>
        </is>
      </c>
    </row>
    <row r="211" ht="21.5" customHeight="1" s="42">
      <c r="A211" s="36" t="n"/>
      <c r="B211" s="35" t="n"/>
      <c r="C211" s="35" t="n"/>
      <c r="D211" s="35" t="n"/>
      <c r="E211" s="39" t="n"/>
      <c r="F211" s="39" t="n"/>
      <c r="G211" s="10" t="inlineStr">
        <is>
          <t>MOD000208</t>
        </is>
      </c>
      <c r="H211" s="14" t="inlineStr">
        <is>
          <t>MFG002</t>
        </is>
      </c>
      <c r="I211" s="14" t="inlineStr">
        <is>
          <t>DF022</t>
        </is>
      </c>
      <c r="J211" s="14">
        <f>XLOOKUP([@ManufacturerID],tblManufacturerIDCrosswalk[LegacyManufacturerID],tblManufacturerIDCrosswalk[CanonicalManufacturerID],"")</f>
        <v/>
      </c>
      <c r="K211" s="7">
        <f>XLOOKUP([@DeviceFamilyID],tblDeviceFamilyIDCrosswalk[LegacyDeviceFamilyID],tblDeviceFamilyIDCrosswalk[CanonicalDeviceFamilyID],"")</f>
        <v/>
      </c>
      <c r="L211" s="7">
        <f>XLOOKUP([@DeviceTypeID],tblDeviceTypeIDCrosswalk[LegacyDeviceTypeID],tblDeviceTypeIDCrosswalk[CanonicalDeviceTypeID],"")</f>
        <v/>
      </c>
      <c r="M211" s="14">
        <f>XLOOKUP([@ManufacturerID],tblManufacturerIDCrosswalk[LegacyManufacturerID],tblManufacturerIDCrosswalk[MappingStatus],"No Crosswalk")</f>
        <v/>
      </c>
      <c r="N211" s="35">
        <f>XLOOKUP([@DeviceFamilyID],tblDeviceFamilyIDCrosswalk[LegacyDeviceFamilyID],tblDeviceFamilyIDCrosswalk[MappingStatus],"No Crosswalk")</f>
        <v/>
      </c>
      <c r="O211" s="35">
        <f>XLOOKUP([@DeviceTypeID],tblDeviceTypeIDCrosswalk[LegacyDeviceTypeID],tblDeviceTypeIDCrosswalk[MappingStatus],"No Crosswalk")</f>
        <v/>
      </c>
      <c r="P211">
        <f>IF(OR([@ManufacturerMappingStatus]&lt;&gt;"Approved",[@DeviceFamilyMappingStatus]&lt;&gt;"Approved",[@DeviceTypeMappingStatus]&lt;&gt;"Approved"),"Manual Review Required","Approved Crosswalk Available")</f>
        <v/>
      </c>
      <c r="Q211" t="inlineStr">
        <is>
          <t>Pending Review</t>
        </is>
      </c>
    </row>
    <row r="212" ht="21.5" customHeight="1" s="42">
      <c r="A212" s="36" t="n"/>
      <c r="B212" s="35" t="n"/>
      <c r="C212" s="35" t="n"/>
      <c r="D212" s="35" t="n"/>
      <c r="E212" s="39" t="n"/>
      <c r="F212" s="39" t="n"/>
      <c r="G212" s="10" t="inlineStr">
        <is>
          <t>MOD000209</t>
        </is>
      </c>
      <c r="H212" s="14" t="inlineStr">
        <is>
          <t>MFG002</t>
        </is>
      </c>
      <c r="I212" s="14" t="inlineStr">
        <is>
          <t>DF022</t>
        </is>
      </c>
      <c r="J212" s="14">
        <f>XLOOKUP([@ManufacturerID],tblManufacturerIDCrosswalk[LegacyManufacturerID],tblManufacturerIDCrosswalk[CanonicalManufacturerID],"")</f>
        <v/>
      </c>
      <c r="K212" s="7">
        <f>XLOOKUP([@DeviceFamilyID],tblDeviceFamilyIDCrosswalk[LegacyDeviceFamilyID],tblDeviceFamilyIDCrosswalk[CanonicalDeviceFamilyID],"")</f>
        <v/>
      </c>
      <c r="L212" s="7">
        <f>XLOOKUP([@DeviceTypeID],tblDeviceTypeIDCrosswalk[LegacyDeviceTypeID],tblDeviceTypeIDCrosswalk[CanonicalDeviceTypeID],"")</f>
        <v/>
      </c>
      <c r="M212" s="14">
        <f>XLOOKUP([@ManufacturerID],tblManufacturerIDCrosswalk[LegacyManufacturerID],tblManufacturerIDCrosswalk[MappingStatus],"No Crosswalk")</f>
        <v/>
      </c>
      <c r="N212" s="35">
        <f>XLOOKUP([@DeviceFamilyID],tblDeviceFamilyIDCrosswalk[LegacyDeviceFamilyID],tblDeviceFamilyIDCrosswalk[MappingStatus],"No Crosswalk")</f>
        <v/>
      </c>
      <c r="O212" s="35">
        <f>XLOOKUP([@DeviceTypeID],tblDeviceTypeIDCrosswalk[LegacyDeviceTypeID],tblDeviceTypeIDCrosswalk[MappingStatus],"No Crosswalk")</f>
        <v/>
      </c>
      <c r="P212">
        <f>IF(OR([@ManufacturerMappingStatus]&lt;&gt;"Approved",[@DeviceFamilyMappingStatus]&lt;&gt;"Approved",[@DeviceTypeMappingStatus]&lt;&gt;"Approved"),"Manual Review Required","Approved Crosswalk Available")</f>
        <v/>
      </c>
      <c r="Q212" t="inlineStr">
        <is>
          <t>Pending Review</t>
        </is>
      </c>
    </row>
    <row r="213" ht="21.5" customHeight="1" s="42">
      <c r="A213" s="36" t="n"/>
      <c r="B213" s="35" t="n"/>
      <c r="C213" s="35" t="n"/>
      <c r="D213" s="35" t="n"/>
      <c r="E213" s="39" t="n"/>
      <c r="F213" s="39" t="n"/>
      <c r="G213" s="10" t="inlineStr">
        <is>
          <t>MOD000210</t>
        </is>
      </c>
      <c r="H213" s="14" t="inlineStr">
        <is>
          <t>MFG002</t>
        </is>
      </c>
      <c r="I213" s="14" t="inlineStr">
        <is>
          <t>DF024</t>
        </is>
      </c>
      <c r="J213" s="14">
        <f>XLOOKUP([@ManufacturerID],tblManufacturerIDCrosswalk[LegacyManufacturerID],tblManufacturerIDCrosswalk[CanonicalManufacturerID],"")</f>
        <v/>
      </c>
      <c r="K213" s="7">
        <f>XLOOKUP([@DeviceFamilyID],tblDeviceFamilyIDCrosswalk[LegacyDeviceFamilyID],tblDeviceFamilyIDCrosswalk[CanonicalDeviceFamilyID],"")</f>
        <v/>
      </c>
      <c r="L213" s="7">
        <f>XLOOKUP([@DeviceTypeID],tblDeviceTypeIDCrosswalk[LegacyDeviceTypeID],tblDeviceTypeIDCrosswalk[CanonicalDeviceTypeID],"")</f>
        <v/>
      </c>
      <c r="M213" s="14">
        <f>XLOOKUP([@ManufacturerID],tblManufacturerIDCrosswalk[LegacyManufacturerID],tblManufacturerIDCrosswalk[MappingStatus],"No Crosswalk")</f>
        <v/>
      </c>
      <c r="N213" s="35">
        <f>XLOOKUP([@DeviceFamilyID],tblDeviceFamilyIDCrosswalk[LegacyDeviceFamilyID],tblDeviceFamilyIDCrosswalk[MappingStatus],"No Crosswalk")</f>
        <v/>
      </c>
      <c r="O213" s="35">
        <f>XLOOKUP([@DeviceTypeID],tblDeviceTypeIDCrosswalk[LegacyDeviceTypeID],tblDeviceTypeIDCrosswalk[MappingStatus],"No Crosswalk")</f>
        <v/>
      </c>
      <c r="P213">
        <f>IF(OR([@ManufacturerMappingStatus]&lt;&gt;"Approved",[@DeviceFamilyMappingStatus]&lt;&gt;"Approved",[@DeviceTypeMappingStatus]&lt;&gt;"Approved"),"Manual Review Required","Approved Crosswalk Available")</f>
        <v/>
      </c>
      <c r="Q213" t="inlineStr">
        <is>
          <t>Pending Review</t>
        </is>
      </c>
    </row>
    <row r="214" ht="21.5" customHeight="1" s="42">
      <c r="A214" s="36" t="n"/>
      <c r="B214" s="35" t="n"/>
      <c r="C214" s="35" t="n"/>
      <c r="D214" s="35" t="n"/>
      <c r="E214" s="39" t="n"/>
      <c r="F214" s="39" t="n"/>
      <c r="G214" s="10" t="inlineStr">
        <is>
          <t>MOD000211</t>
        </is>
      </c>
      <c r="H214" s="14" t="inlineStr">
        <is>
          <t>MFG002</t>
        </is>
      </c>
      <c r="I214" s="14" t="inlineStr">
        <is>
          <t>DF024</t>
        </is>
      </c>
      <c r="J214" s="14">
        <f>XLOOKUP([@ManufacturerID],tblManufacturerIDCrosswalk[LegacyManufacturerID],tblManufacturerIDCrosswalk[CanonicalManufacturerID],"")</f>
        <v/>
      </c>
      <c r="K214" s="7">
        <f>XLOOKUP([@DeviceFamilyID],tblDeviceFamilyIDCrosswalk[LegacyDeviceFamilyID],tblDeviceFamilyIDCrosswalk[CanonicalDeviceFamilyID],"")</f>
        <v/>
      </c>
      <c r="L214" s="7">
        <f>XLOOKUP([@DeviceTypeID],tblDeviceTypeIDCrosswalk[LegacyDeviceTypeID],tblDeviceTypeIDCrosswalk[CanonicalDeviceTypeID],"")</f>
        <v/>
      </c>
      <c r="M214" s="14">
        <f>XLOOKUP([@ManufacturerID],tblManufacturerIDCrosswalk[LegacyManufacturerID],tblManufacturerIDCrosswalk[MappingStatus],"No Crosswalk")</f>
        <v/>
      </c>
      <c r="N214" s="35">
        <f>XLOOKUP([@DeviceFamilyID],tblDeviceFamilyIDCrosswalk[LegacyDeviceFamilyID],tblDeviceFamilyIDCrosswalk[MappingStatus],"No Crosswalk")</f>
        <v/>
      </c>
      <c r="O214" s="35">
        <f>XLOOKUP([@DeviceTypeID],tblDeviceTypeIDCrosswalk[LegacyDeviceTypeID],tblDeviceTypeIDCrosswalk[MappingStatus],"No Crosswalk")</f>
        <v/>
      </c>
      <c r="P214">
        <f>IF(OR([@ManufacturerMappingStatus]&lt;&gt;"Approved",[@DeviceFamilyMappingStatus]&lt;&gt;"Approved",[@DeviceTypeMappingStatus]&lt;&gt;"Approved"),"Manual Review Required","Approved Crosswalk Available")</f>
        <v/>
      </c>
      <c r="Q214" t="inlineStr">
        <is>
          <t>Pending Review</t>
        </is>
      </c>
    </row>
    <row r="215" ht="21.5" customHeight="1" s="42">
      <c r="A215" s="36" t="n"/>
      <c r="B215" s="35" t="n"/>
      <c r="C215" s="35" t="n"/>
      <c r="D215" s="35" t="n"/>
      <c r="E215" s="39" t="n"/>
      <c r="F215" s="39" t="n"/>
      <c r="G215" s="10" t="inlineStr">
        <is>
          <t>MOD000212</t>
        </is>
      </c>
      <c r="H215" s="14" t="inlineStr">
        <is>
          <t>MFG002</t>
        </is>
      </c>
      <c r="I215" s="14" t="inlineStr">
        <is>
          <t>DF024</t>
        </is>
      </c>
      <c r="J215" s="14">
        <f>XLOOKUP([@ManufacturerID],tblManufacturerIDCrosswalk[LegacyManufacturerID],tblManufacturerIDCrosswalk[CanonicalManufacturerID],"")</f>
        <v/>
      </c>
      <c r="K215" s="7">
        <f>XLOOKUP([@DeviceFamilyID],tblDeviceFamilyIDCrosswalk[LegacyDeviceFamilyID],tblDeviceFamilyIDCrosswalk[CanonicalDeviceFamilyID],"")</f>
        <v/>
      </c>
      <c r="L215" s="7">
        <f>XLOOKUP([@DeviceTypeID],tblDeviceTypeIDCrosswalk[LegacyDeviceTypeID],tblDeviceTypeIDCrosswalk[CanonicalDeviceTypeID],"")</f>
        <v/>
      </c>
      <c r="M215" s="14">
        <f>XLOOKUP([@ManufacturerID],tblManufacturerIDCrosswalk[LegacyManufacturerID],tblManufacturerIDCrosswalk[MappingStatus],"No Crosswalk")</f>
        <v/>
      </c>
      <c r="N215" s="35">
        <f>XLOOKUP([@DeviceFamilyID],tblDeviceFamilyIDCrosswalk[LegacyDeviceFamilyID],tblDeviceFamilyIDCrosswalk[MappingStatus],"No Crosswalk")</f>
        <v/>
      </c>
      <c r="O215" s="35">
        <f>XLOOKUP([@DeviceTypeID],tblDeviceTypeIDCrosswalk[LegacyDeviceTypeID],tblDeviceTypeIDCrosswalk[MappingStatus],"No Crosswalk")</f>
        <v/>
      </c>
      <c r="P215">
        <f>IF(OR([@ManufacturerMappingStatus]&lt;&gt;"Approved",[@DeviceFamilyMappingStatus]&lt;&gt;"Approved",[@DeviceTypeMappingStatus]&lt;&gt;"Approved"),"Manual Review Required","Approved Crosswalk Available")</f>
        <v/>
      </c>
      <c r="Q215" t="inlineStr">
        <is>
          <t>Pending Review</t>
        </is>
      </c>
    </row>
    <row r="216" ht="21.5" customHeight="1" s="42">
      <c r="A216" s="36" t="n"/>
      <c r="B216" s="35" t="n"/>
      <c r="C216" s="35" t="n"/>
      <c r="D216" s="35" t="n"/>
      <c r="E216" s="39" t="n"/>
      <c r="F216" s="39" t="n"/>
      <c r="G216" s="10" t="inlineStr">
        <is>
          <t>MOD000213</t>
        </is>
      </c>
      <c r="H216" s="14" t="inlineStr">
        <is>
          <t>MFG002</t>
        </is>
      </c>
      <c r="I216" s="14" t="inlineStr">
        <is>
          <t>DF024</t>
        </is>
      </c>
      <c r="J216" s="14">
        <f>XLOOKUP([@ManufacturerID],tblManufacturerIDCrosswalk[LegacyManufacturerID],tblManufacturerIDCrosswalk[CanonicalManufacturerID],"")</f>
        <v/>
      </c>
      <c r="K216" s="7">
        <f>XLOOKUP([@DeviceFamilyID],tblDeviceFamilyIDCrosswalk[LegacyDeviceFamilyID],tblDeviceFamilyIDCrosswalk[CanonicalDeviceFamilyID],"")</f>
        <v/>
      </c>
      <c r="L216" s="7">
        <f>XLOOKUP([@DeviceTypeID],tblDeviceTypeIDCrosswalk[LegacyDeviceTypeID],tblDeviceTypeIDCrosswalk[CanonicalDeviceTypeID],"")</f>
        <v/>
      </c>
      <c r="M216" s="14">
        <f>XLOOKUP([@ManufacturerID],tblManufacturerIDCrosswalk[LegacyManufacturerID],tblManufacturerIDCrosswalk[MappingStatus],"No Crosswalk")</f>
        <v/>
      </c>
      <c r="N216" s="35">
        <f>XLOOKUP([@DeviceFamilyID],tblDeviceFamilyIDCrosswalk[LegacyDeviceFamilyID],tblDeviceFamilyIDCrosswalk[MappingStatus],"No Crosswalk")</f>
        <v/>
      </c>
      <c r="O216" s="35">
        <f>XLOOKUP([@DeviceTypeID],tblDeviceTypeIDCrosswalk[LegacyDeviceTypeID],tblDeviceTypeIDCrosswalk[MappingStatus],"No Crosswalk")</f>
        <v/>
      </c>
      <c r="P216">
        <f>IF(OR([@ManufacturerMappingStatus]&lt;&gt;"Approved",[@DeviceFamilyMappingStatus]&lt;&gt;"Approved",[@DeviceTypeMappingStatus]&lt;&gt;"Approved"),"Manual Review Required","Approved Crosswalk Available")</f>
        <v/>
      </c>
      <c r="Q216" t="inlineStr">
        <is>
          <t>Pending Review</t>
        </is>
      </c>
    </row>
    <row r="217" ht="21.5" customHeight="1" s="42">
      <c r="A217" s="36" t="n"/>
      <c r="B217" s="35" t="n"/>
      <c r="C217" s="35" t="n"/>
      <c r="D217" s="35" t="n"/>
      <c r="E217" s="39" t="n"/>
      <c r="F217" s="39" t="n"/>
      <c r="G217" s="10" t="inlineStr">
        <is>
          <t>MOD000214</t>
        </is>
      </c>
      <c r="H217" s="14" t="inlineStr">
        <is>
          <t>MFG002</t>
        </is>
      </c>
      <c r="I217" s="14" t="inlineStr">
        <is>
          <t>DF024</t>
        </is>
      </c>
      <c r="J217" s="14">
        <f>XLOOKUP([@ManufacturerID],tblManufacturerIDCrosswalk[LegacyManufacturerID],tblManufacturerIDCrosswalk[CanonicalManufacturerID],"")</f>
        <v/>
      </c>
      <c r="K217" s="7">
        <f>XLOOKUP([@DeviceFamilyID],tblDeviceFamilyIDCrosswalk[LegacyDeviceFamilyID],tblDeviceFamilyIDCrosswalk[CanonicalDeviceFamilyID],"")</f>
        <v/>
      </c>
      <c r="L217" s="7">
        <f>XLOOKUP([@DeviceTypeID],tblDeviceTypeIDCrosswalk[LegacyDeviceTypeID],tblDeviceTypeIDCrosswalk[CanonicalDeviceTypeID],"")</f>
        <v/>
      </c>
      <c r="M217" s="14">
        <f>XLOOKUP([@ManufacturerID],tblManufacturerIDCrosswalk[LegacyManufacturerID],tblManufacturerIDCrosswalk[MappingStatus],"No Crosswalk")</f>
        <v/>
      </c>
      <c r="N217" s="35">
        <f>XLOOKUP([@DeviceFamilyID],tblDeviceFamilyIDCrosswalk[LegacyDeviceFamilyID],tblDeviceFamilyIDCrosswalk[MappingStatus],"No Crosswalk")</f>
        <v/>
      </c>
      <c r="O217" s="35">
        <f>XLOOKUP([@DeviceTypeID],tblDeviceTypeIDCrosswalk[LegacyDeviceTypeID],tblDeviceTypeIDCrosswalk[MappingStatus],"No Crosswalk")</f>
        <v/>
      </c>
      <c r="P217">
        <f>IF(OR([@ManufacturerMappingStatus]&lt;&gt;"Approved",[@DeviceFamilyMappingStatus]&lt;&gt;"Approved",[@DeviceTypeMappingStatus]&lt;&gt;"Approved"),"Manual Review Required","Approved Crosswalk Available")</f>
        <v/>
      </c>
      <c r="Q217" t="inlineStr">
        <is>
          <t>Pending Review</t>
        </is>
      </c>
    </row>
    <row r="218" ht="21.5" customHeight="1" s="42">
      <c r="A218" s="36" t="n"/>
      <c r="B218" s="35" t="n"/>
      <c r="C218" s="35" t="n"/>
      <c r="D218" s="35" t="n"/>
      <c r="E218" s="39" t="n"/>
      <c r="F218" s="39" t="n"/>
      <c r="G218" s="10" t="inlineStr">
        <is>
          <t>MOD000215</t>
        </is>
      </c>
      <c r="H218" s="14" t="inlineStr">
        <is>
          <t>MFG002</t>
        </is>
      </c>
      <c r="I218" s="14" t="inlineStr">
        <is>
          <t>DF024</t>
        </is>
      </c>
      <c r="J218" s="14">
        <f>XLOOKUP([@ManufacturerID],tblManufacturerIDCrosswalk[LegacyManufacturerID],tblManufacturerIDCrosswalk[CanonicalManufacturerID],"")</f>
        <v/>
      </c>
      <c r="K218" s="7">
        <f>XLOOKUP([@DeviceFamilyID],tblDeviceFamilyIDCrosswalk[LegacyDeviceFamilyID],tblDeviceFamilyIDCrosswalk[CanonicalDeviceFamilyID],"")</f>
        <v/>
      </c>
      <c r="L218" s="7">
        <f>XLOOKUP([@DeviceTypeID],tblDeviceTypeIDCrosswalk[LegacyDeviceTypeID],tblDeviceTypeIDCrosswalk[CanonicalDeviceTypeID],"")</f>
        <v/>
      </c>
      <c r="M218" s="14">
        <f>XLOOKUP([@ManufacturerID],tblManufacturerIDCrosswalk[LegacyManufacturerID],tblManufacturerIDCrosswalk[MappingStatus],"No Crosswalk")</f>
        <v/>
      </c>
      <c r="N218" s="35">
        <f>XLOOKUP([@DeviceFamilyID],tblDeviceFamilyIDCrosswalk[LegacyDeviceFamilyID],tblDeviceFamilyIDCrosswalk[MappingStatus],"No Crosswalk")</f>
        <v/>
      </c>
      <c r="O218" s="35">
        <f>XLOOKUP([@DeviceTypeID],tblDeviceTypeIDCrosswalk[LegacyDeviceTypeID],tblDeviceTypeIDCrosswalk[MappingStatus],"No Crosswalk")</f>
        <v/>
      </c>
      <c r="P218">
        <f>IF(OR([@ManufacturerMappingStatus]&lt;&gt;"Approved",[@DeviceFamilyMappingStatus]&lt;&gt;"Approved",[@DeviceTypeMappingStatus]&lt;&gt;"Approved"),"Manual Review Required","Approved Crosswalk Available")</f>
        <v/>
      </c>
      <c r="Q218" t="inlineStr">
        <is>
          <t>Pending Review</t>
        </is>
      </c>
    </row>
    <row r="219" ht="21.5" customHeight="1" s="42">
      <c r="A219" s="36" t="n"/>
      <c r="B219" s="35" t="n"/>
      <c r="C219" s="35" t="n"/>
      <c r="D219" s="35" t="n"/>
      <c r="E219" s="39" t="n"/>
      <c r="F219" s="39" t="n"/>
      <c r="G219" s="10" t="inlineStr">
        <is>
          <t>MOD000216</t>
        </is>
      </c>
      <c r="H219" s="14" t="inlineStr">
        <is>
          <t>MFG002</t>
        </is>
      </c>
      <c r="I219" s="14" t="inlineStr">
        <is>
          <t>DF024</t>
        </is>
      </c>
      <c r="J219" s="14">
        <f>XLOOKUP([@ManufacturerID],tblManufacturerIDCrosswalk[LegacyManufacturerID],tblManufacturerIDCrosswalk[CanonicalManufacturerID],"")</f>
        <v/>
      </c>
      <c r="K219" s="7">
        <f>XLOOKUP([@DeviceFamilyID],tblDeviceFamilyIDCrosswalk[LegacyDeviceFamilyID],tblDeviceFamilyIDCrosswalk[CanonicalDeviceFamilyID],"")</f>
        <v/>
      </c>
      <c r="L219" s="7">
        <f>XLOOKUP([@DeviceTypeID],tblDeviceTypeIDCrosswalk[LegacyDeviceTypeID],tblDeviceTypeIDCrosswalk[CanonicalDeviceTypeID],"")</f>
        <v/>
      </c>
      <c r="M219" s="14">
        <f>XLOOKUP([@ManufacturerID],tblManufacturerIDCrosswalk[LegacyManufacturerID],tblManufacturerIDCrosswalk[MappingStatus],"No Crosswalk")</f>
        <v/>
      </c>
      <c r="N219" s="35">
        <f>XLOOKUP([@DeviceFamilyID],tblDeviceFamilyIDCrosswalk[LegacyDeviceFamilyID],tblDeviceFamilyIDCrosswalk[MappingStatus],"No Crosswalk")</f>
        <v/>
      </c>
      <c r="O219" s="35">
        <f>XLOOKUP([@DeviceTypeID],tblDeviceTypeIDCrosswalk[LegacyDeviceTypeID],tblDeviceTypeIDCrosswalk[MappingStatus],"No Crosswalk")</f>
        <v/>
      </c>
      <c r="P219">
        <f>IF(OR([@ManufacturerMappingStatus]&lt;&gt;"Approved",[@DeviceFamilyMappingStatus]&lt;&gt;"Approved",[@DeviceTypeMappingStatus]&lt;&gt;"Approved"),"Manual Review Required","Approved Crosswalk Available")</f>
        <v/>
      </c>
      <c r="Q219" t="inlineStr">
        <is>
          <t>Pending Review</t>
        </is>
      </c>
    </row>
    <row r="220" ht="21.5" customHeight="1" s="42">
      <c r="A220" s="36" t="n"/>
      <c r="B220" s="35" t="n"/>
      <c r="C220" s="35" t="n"/>
      <c r="D220" s="35" t="n"/>
      <c r="E220" s="39" t="n"/>
      <c r="F220" s="39" t="n"/>
      <c r="G220" s="10" t="inlineStr">
        <is>
          <t>MOD000217</t>
        </is>
      </c>
      <c r="H220" s="14" t="inlineStr">
        <is>
          <t>MFG002</t>
        </is>
      </c>
      <c r="I220" s="14" t="inlineStr">
        <is>
          <t>DF024</t>
        </is>
      </c>
      <c r="J220" s="14">
        <f>XLOOKUP([@ManufacturerID],tblManufacturerIDCrosswalk[LegacyManufacturerID],tblManufacturerIDCrosswalk[CanonicalManufacturerID],"")</f>
        <v/>
      </c>
      <c r="K220" s="7">
        <f>XLOOKUP([@DeviceFamilyID],tblDeviceFamilyIDCrosswalk[LegacyDeviceFamilyID],tblDeviceFamilyIDCrosswalk[CanonicalDeviceFamilyID],"")</f>
        <v/>
      </c>
      <c r="L220" s="7">
        <f>XLOOKUP([@DeviceTypeID],tblDeviceTypeIDCrosswalk[LegacyDeviceTypeID],tblDeviceTypeIDCrosswalk[CanonicalDeviceTypeID],"")</f>
        <v/>
      </c>
      <c r="M220" s="14">
        <f>XLOOKUP([@ManufacturerID],tblManufacturerIDCrosswalk[LegacyManufacturerID],tblManufacturerIDCrosswalk[MappingStatus],"No Crosswalk")</f>
        <v/>
      </c>
      <c r="N220" s="35">
        <f>XLOOKUP([@DeviceFamilyID],tblDeviceFamilyIDCrosswalk[LegacyDeviceFamilyID],tblDeviceFamilyIDCrosswalk[MappingStatus],"No Crosswalk")</f>
        <v/>
      </c>
      <c r="O220" s="35">
        <f>XLOOKUP([@DeviceTypeID],tblDeviceTypeIDCrosswalk[LegacyDeviceTypeID],tblDeviceTypeIDCrosswalk[MappingStatus],"No Crosswalk")</f>
        <v/>
      </c>
      <c r="P220">
        <f>IF(OR([@ManufacturerMappingStatus]&lt;&gt;"Approved",[@DeviceFamilyMappingStatus]&lt;&gt;"Approved",[@DeviceTypeMappingStatus]&lt;&gt;"Approved"),"Manual Review Required","Approved Crosswalk Available")</f>
        <v/>
      </c>
      <c r="Q220" t="inlineStr">
        <is>
          <t>Pending Review</t>
        </is>
      </c>
    </row>
    <row r="221" ht="21.5" customHeight="1" s="42">
      <c r="A221" s="36" t="n"/>
      <c r="B221" s="35" t="n"/>
      <c r="C221" s="35" t="n"/>
      <c r="D221" s="35" t="n"/>
      <c r="E221" s="39" t="n"/>
      <c r="F221" s="39" t="n"/>
      <c r="G221" s="10" t="inlineStr">
        <is>
          <t>MOD000218</t>
        </is>
      </c>
      <c r="H221" s="14" t="inlineStr">
        <is>
          <t>MFG002</t>
        </is>
      </c>
      <c r="I221" s="14" t="inlineStr">
        <is>
          <t>DF024</t>
        </is>
      </c>
      <c r="J221" s="14">
        <f>XLOOKUP([@ManufacturerID],tblManufacturerIDCrosswalk[LegacyManufacturerID],tblManufacturerIDCrosswalk[CanonicalManufacturerID],"")</f>
        <v/>
      </c>
      <c r="K221" s="7">
        <f>XLOOKUP([@DeviceFamilyID],tblDeviceFamilyIDCrosswalk[LegacyDeviceFamilyID],tblDeviceFamilyIDCrosswalk[CanonicalDeviceFamilyID],"")</f>
        <v/>
      </c>
      <c r="L221" s="7">
        <f>XLOOKUP([@DeviceTypeID],tblDeviceTypeIDCrosswalk[LegacyDeviceTypeID],tblDeviceTypeIDCrosswalk[CanonicalDeviceTypeID],"")</f>
        <v/>
      </c>
      <c r="M221" s="14">
        <f>XLOOKUP([@ManufacturerID],tblManufacturerIDCrosswalk[LegacyManufacturerID],tblManufacturerIDCrosswalk[MappingStatus],"No Crosswalk")</f>
        <v/>
      </c>
      <c r="N221" s="35">
        <f>XLOOKUP([@DeviceFamilyID],tblDeviceFamilyIDCrosswalk[LegacyDeviceFamilyID],tblDeviceFamilyIDCrosswalk[MappingStatus],"No Crosswalk")</f>
        <v/>
      </c>
      <c r="O221" s="35">
        <f>XLOOKUP([@DeviceTypeID],tblDeviceTypeIDCrosswalk[LegacyDeviceTypeID],tblDeviceTypeIDCrosswalk[MappingStatus],"No Crosswalk")</f>
        <v/>
      </c>
      <c r="P221">
        <f>IF(OR([@ManufacturerMappingStatus]&lt;&gt;"Approved",[@DeviceFamilyMappingStatus]&lt;&gt;"Approved",[@DeviceTypeMappingStatus]&lt;&gt;"Approved"),"Manual Review Required","Approved Crosswalk Available")</f>
        <v/>
      </c>
      <c r="Q221" t="inlineStr">
        <is>
          <t>Pending Review</t>
        </is>
      </c>
    </row>
    <row r="222" ht="21.5" customHeight="1" s="42">
      <c r="A222" s="36" t="n"/>
      <c r="B222" s="35" t="n"/>
      <c r="C222" s="35" t="n"/>
      <c r="D222" s="35" t="n"/>
      <c r="E222" s="39" t="n"/>
      <c r="F222" s="39" t="n"/>
      <c r="G222" s="10" t="inlineStr">
        <is>
          <t>MOD000219</t>
        </is>
      </c>
      <c r="H222" s="14" t="inlineStr">
        <is>
          <t>MFG002</t>
        </is>
      </c>
      <c r="I222" s="14" t="inlineStr">
        <is>
          <t>DF024</t>
        </is>
      </c>
      <c r="J222" s="14">
        <f>XLOOKUP([@ManufacturerID],tblManufacturerIDCrosswalk[LegacyManufacturerID],tblManufacturerIDCrosswalk[CanonicalManufacturerID],"")</f>
        <v/>
      </c>
      <c r="K222" s="7">
        <f>XLOOKUP([@DeviceFamilyID],tblDeviceFamilyIDCrosswalk[LegacyDeviceFamilyID],tblDeviceFamilyIDCrosswalk[CanonicalDeviceFamilyID],"")</f>
        <v/>
      </c>
      <c r="L222" s="7">
        <f>XLOOKUP([@DeviceTypeID],tblDeviceTypeIDCrosswalk[LegacyDeviceTypeID],tblDeviceTypeIDCrosswalk[CanonicalDeviceTypeID],"")</f>
        <v/>
      </c>
      <c r="M222" s="14">
        <f>XLOOKUP([@ManufacturerID],tblManufacturerIDCrosswalk[LegacyManufacturerID],tblManufacturerIDCrosswalk[MappingStatus],"No Crosswalk")</f>
        <v/>
      </c>
      <c r="N222" s="35">
        <f>XLOOKUP([@DeviceFamilyID],tblDeviceFamilyIDCrosswalk[LegacyDeviceFamilyID],tblDeviceFamilyIDCrosswalk[MappingStatus],"No Crosswalk")</f>
        <v/>
      </c>
      <c r="O222" s="35">
        <f>XLOOKUP([@DeviceTypeID],tblDeviceTypeIDCrosswalk[LegacyDeviceTypeID],tblDeviceTypeIDCrosswalk[MappingStatus],"No Crosswalk")</f>
        <v/>
      </c>
      <c r="P222">
        <f>IF(OR([@ManufacturerMappingStatus]&lt;&gt;"Approved",[@DeviceFamilyMappingStatus]&lt;&gt;"Approved",[@DeviceTypeMappingStatus]&lt;&gt;"Approved"),"Manual Review Required","Approved Crosswalk Available")</f>
        <v/>
      </c>
      <c r="Q222" t="inlineStr">
        <is>
          <t>Pending Review</t>
        </is>
      </c>
    </row>
    <row r="223" ht="21.5" customHeight="1" s="42">
      <c r="A223" s="36" t="n"/>
      <c r="B223" s="35" t="n"/>
      <c r="C223" s="35" t="n"/>
      <c r="D223" s="35" t="n"/>
      <c r="E223" s="39" t="n"/>
      <c r="F223" s="39" t="n"/>
      <c r="G223" s="10" t="inlineStr">
        <is>
          <t>MOD000220</t>
        </is>
      </c>
      <c r="H223" s="14" t="inlineStr">
        <is>
          <t>MFG002</t>
        </is>
      </c>
      <c r="I223" s="14" t="inlineStr">
        <is>
          <t>DF024</t>
        </is>
      </c>
      <c r="J223" s="14">
        <f>XLOOKUP([@ManufacturerID],tblManufacturerIDCrosswalk[LegacyManufacturerID],tblManufacturerIDCrosswalk[CanonicalManufacturerID],"")</f>
        <v/>
      </c>
      <c r="K223" s="7">
        <f>XLOOKUP([@DeviceFamilyID],tblDeviceFamilyIDCrosswalk[LegacyDeviceFamilyID],tblDeviceFamilyIDCrosswalk[CanonicalDeviceFamilyID],"")</f>
        <v/>
      </c>
      <c r="L223" s="7">
        <f>XLOOKUP([@DeviceTypeID],tblDeviceTypeIDCrosswalk[LegacyDeviceTypeID],tblDeviceTypeIDCrosswalk[CanonicalDeviceTypeID],"")</f>
        <v/>
      </c>
      <c r="M223" s="14">
        <f>XLOOKUP([@ManufacturerID],tblManufacturerIDCrosswalk[LegacyManufacturerID],tblManufacturerIDCrosswalk[MappingStatus],"No Crosswalk")</f>
        <v/>
      </c>
      <c r="N223" s="35">
        <f>XLOOKUP([@DeviceFamilyID],tblDeviceFamilyIDCrosswalk[LegacyDeviceFamilyID],tblDeviceFamilyIDCrosswalk[MappingStatus],"No Crosswalk")</f>
        <v/>
      </c>
      <c r="O223" s="35">
        <f>XLOOKUP([@DeviceTypeID],tblDeviceTypeIDCrosswalk[LegacyDeviceTypeID],tblDeviceTypeIDCrosswalk[MappingStatus],"No Crosswalk")</f>
        <v/>
      </c>
      <c r="P223">
        <f>IF(OR([@ManufacturerMappingStatus]&lt;&gt;"Approved",[@DeviceFamilyMappingStatus]&lt;&gt;"Approved",[@DeviceTypeMappingStatus]&lt;&gt;"Approved"),"Manual Review Required","Approved Crosswalk Available")</f>
        <v/>
      </c>
      <c r="Q223" t="inlineStr">
        <is>
          <t>Pending Review</t>
        </is>
      </c>
    </row>
    <row r="224" ht="21.5" customHeight="1" s="42">
      <c r="A224" s="36" t="n"/>
      <c r="B224" s="35" t="n"/>
      <c r="C224" s="35" t="n"/>
      <c r="D224" s="35" t="n"/>
      <c r="E224" s="39" t="n"/>
      <c r="F224" s="39" t="n"/>
      <c r="G224" s="10" t="inlineStr">
        <is>
          <t>MOD000221</t>
        </is>
      </c>
      <c r="H224" s="14" t="inlineStr">
        <is>
          <t>MFG002</t>
        </is>
      </c>
      <c r="I224" s="14" t="inlineStr">
        <is>
          <t>DF024</t>
        </is>
      </c>
      <c r="J224" s="14">
        <f>XLOOKUP([@ManufacturerID],tblManufacturerIDCrosswalk[LegacyManufacturerID],tblManufacturerIDCrosswalk[CanonicalManufacturerID],"")</f>
        <v/>
      </c>
      <c r="K224" s="7">
        <f>XLOOKUP([@DeviceFamilyID],tblDeviceFamilyIDCrosswalk[LegacyDeviceFamilyID],tblDeviceFamilyIDCrosswalk[CanonicalDeviceFamilyID],"")</f>
        <v/>
      </c>
      <c r="L224" s="7">
        <f>XLOOKUP([@DeviceTypeID],tblDeviceTypeIDCrosswalk[LegacyDeviceTypeID],tblDeviceTypeIDCrosswalk[CanonicalDeviceTypeID],"")</f>
        <v/>
      </c>
      <c r="M224" s="14">
        <f>XLOOKUP([@ManufacturerID],tblManufacturerIDCrosswalk[LegacyManufacturerID],tblManufacturerIDCrosswalk[MappingStatus],"No Crosswalk")</f>
        <v/>
      </c>
      <c r="N224" s="35">
        <f>XLOOKUP([@DeviceFamilyID],tblDeviceFamilyIDCrosswalk[LegacyDeviceFamilyID],tblDeviceFamilyIDCrosswalk[MappingStatus],"No Crosswalk")</f>
        <v/>
      </c>
      <c r="O224" s="35">
        <f>XLOOKUP([@DeviceTypeID],tblDeviceTypeIDCrosswalk[LegacyDeviceTypeID],tblDeviceTypeIDCrosswalk[MappingStatus],"No Crosswalk")</f>
        <v/>
      </c>
      <c r="P224">
        <f>IF(OR([@ManufacturerMappingStatus]&lt;&gt;"Approved",[@DeviceFamilyMappingStatus]&lt;&gt;"Approved",[@DeviceTypeMappingStatus]&lt;&gt;"Approved"),"Manual Review Required","Approved Crosswalk Available")</f>
        <v/>
      </c>
      <c r="Q224" t="inlineStr">
        <is>
          <t>Pending Review</t>
        </is>
      </c>
    </row>
    <row r="225" ht="21.5" customHeight="1" s="42">
      <c r="A225" s="36" t="n"/>
      <c r="B225" s="35" t="n"/>
      <c r="C225" s="35" t="n"/>
      <c r="D225" s="35" t="n"/>
      <c r="E225" s="39" t="n"/>
      <c r="F225" s="39" t="n"/>
      <c r="G225" s="10" t="inlineStr">
        <is>
          <t>MOD000222</t>
        </is>
      </c>
      <c r="H225" s="14" t="inlineStr">
        <is>
          <t>MFG002</t>
        </is>
      </c>
      <c r="I225" s="14" t="inlineStr">
        <is>
          <t>DF024</t>
        </is>
      </c>
      <c r="J225" s="14">
        <f>XLOOKUP([@ManufacturerID],tblManufacturerIDCrosswalk[LegacyManufacturerID],tblManufacturerIDCrosswalk[CanonicalManufacturerID],"")</f>
        <v/>
      </c>
      <c r="K225" s="7">
        <f>XLOOKUP([@DeviceFamilyID],tblDeviceFamilyIDCrosswalk[LegacyDeviceFamilyID],tblDeviceFamilyIDCrosswalk[CanonicalDeviceFamilyID],"")</f>
        <v/>
      </c>
      <c r="L225" s="7">
        <f>XLOOKUP([@DeviceTypeID],tblDeviceTypeIDCrosswalk[LegacyDeviceTypeID],tblDeviceTypeIDCrosswalk[CanonicalDeviceTypeID],"")</f>
        <v/>
      </c>
      <c r="M225" s="14">
        <f>XLOOKUP([@ManufacturerID],tblManufacturerIDCrosswalk[LegacyManufacturerID],tblManufacturerIDCrosswalk[MappingStatus],"No Crosswalk")</f>
        <v/>
      </c>
      <c r="N225" s="35">
        <f>XLOOKUP([@DeviceFamilyID],tblDeviceFamilyIDCrosswalk[LegacyDeviceFamilyID],tblDeviceFamilyIDCrosswalk[MappingStatus],"No Crosswalk")</f>
        <v/>
      </c>
      <c r="O225" s="35">
        <f>XLOOKUP([@DeviceTypeID],tblDeviceTypeIDCrosswalk[LegacyDeviceTypeID],tblDeviceTypeIDCrosswalk[MappingStatus],"No Crosswalk")</f>
        <v/>
      </c>
      <c r="P225">
        <f>IF(OR([@ManufacturerMappingStatus]&lt;&gt;"Approved",[@DeviceFamilyMappingStatus]&lt;&gt;"Approved",[@DeviceTypeMappingStatus]&lt;&gt;"Approved"),"Manual Review Required","Approved Crosswalk Available")</f>
        <v/>
      </c>
      <c r="Q225" t="inlineStr">
        <is>
          <t>Pending Review</t>
        </is>
      </c>
    </row>
    <row r="226" ht="21.5" customHeight="1" s="42">
      <c r="A226" s="36" t="n"/>
      <c r="B226" s="35" t="n"/>
      <c r="C226" s="35" t="n"/>
      <c r="D226" s="35" t="n"/>
      <c r="E226" s="39" t="n"/>
      <c r="F226" s="39" t="n"/>
      <c r="G226" s="10" t="inlineStr">
        <is>
          <t>MOD000223</t>
        </is>
      </c>
      <c r="H226" s="14" t="inlineStr">
        <is>
          <t>MFG002</t>
        </is>
      </c>
      <c r="I226" s="14" t="inlineStr">
        <is>
          <t>DF024</t>
        </is>
      </c>
      <c r="J226" s="14">
        <f>XLOOKUP([@ManufacturerID],tblManufacturerIDCrosswalk[LegacyManufacturerID],tblManufacturerIDCrosswalk[CanonicalManufacturerID],"")</f>
        <v/>
      </c>
      <c r="K226" s="7">
        <f>XLOOKUP([@DeviceFamilyID],tblDeviceFamilyIDCrosswalk[LegacyDeviceFamilyID],tblDeviceFamilyIDCrosswalk[CanonicalDeviceFamilyID],"")</f>
        <v/>
      </c>
      <c r="L226" s="7">
        <f>XLOOKUP([@DeviceTypeID],tblDeviceTypeIDCrosswalk[LegacyDeviceTypeID],tblDeviceTypeIDCrosswalk[CanonicalDeviceTypeID],"")</f>
        <v/>
      </c>
      <c r="M226" s="14">
        <f>XLOOKUP([@ManufacturerID],tblManufacturerIDCrosswalk[LegacyManufacturerID],tblManufacturerIDCrosswalk[MappingStatus],"No Crosswalk")</f>
        <v/>
      </c>
      <c r="N226" s="35">
        <f>XLOOKUP([@DeviceFamilyID],tblDeviceFamilyIDCrosswalk[LegacyDeviceFamilyID],tblDeviceFamilyIDCrosswalk[MappingStatus],"No Crosswalk")</f>
        <v/>
      </c>
      <c r="O226" s="35">
        <f>XLOOKUP([@DeviceTypeID],tblDeviceTypeIDCrosswalk[LegacyDeviceTypeID],tblDeviceTypeIDCrosswalk[MappingStatus],"No Crosswalk")</f>
        <v/>
      </c>
      <c r="P226">
        <f>IF(OR([@ManufacturerMappingStatus]&lt;&gt;"Approved",[@DeviceFamilyMappingStatus]&lt;&gt;"Approved",[@DeviceTypeMappingStatus]&lt;&gt;"Approved"),"Manual Review Required","Approved Crosswalk Available")</f>
        <v/>
      </c>
      <c r="Q226" t="inlineStr">
        <is>
          <t>Pending Review</t>
        </is>
      </c>
    </row>
    <row r="227" ht="21.5" customHeight="1" s="42">
      <c r="A227" s="36" t="n"/>
      <c r="B227" s="35" t="n"/>
      <c r="C227" s="35" t="n"/>
      <c r="D227" s="35" t="n"/>
      <c r="E227" s="39" t="n"/>
      <c r="F227" s="39" t="n"/>
      <c r="G227" s="10" t="inlineStr">
        <is>
          <t>MOD000224</t>
        </is>
      </c>
      <c r="H227" s="14" t="inlineStr">
        <is>
          <t>MFG002</t>
        </is>
      </c>
      <c r="I227" s="14" t="inlineStr">
        <is>
          <t>DF024</t>
        </is>
      </c>
      <c r="J227" s="14">
        <f>XLOOKUP([@ManufacturerID],tblManufacturerIDCrosswalk[LegacyManufacturerID],tblManufacturerIDCrosswalk[CanonicalManufacturerID],"")</f>
        <v/>
      </c>
      <c r="K227" s="7">
        <f>XLOOKUP([@DeviceFamilyID],tblDeviceFamilyIDCrosswalk[LegacyDeviceFamilyID],tblDeviceFamilyIDCrosswalk[CanonicalDeviceFamilyID],"")</f>
        <v/>
      </c>
      <c r="L227" s="7">
        <f>XLOOKUP([@DeviceTypeID],tblDeviceTypeIDCrosswalk[LegacyDeviceTypeID],tblDeviceTypeIDCrosswalk[CanonicalDeviceTypeID],"")</f>
        <v/>
      </c>
      <c r="M227" s="14">
        <f>XLOOKUP([@ManufacturerID],tblManufacturerIDCrosswalk[LegacyManufacturerID],tblManufacturerIDCrosswalk[MappingStatus],"No Crosswalk")</f>
        <v/>
      </c>
      <c r="N227" s="35">
        <f>XLOOKUP([@DeviceFamilyID],tblDeviceFamilyIDCrosswalk[LegacyDeviceFamilyID],tblDeviceFamilyIDCrosswalk[MappingStatus],"No Crosswalk")</f>
        <v/>
      </c>
      <c r="O227" s="35">
        <f>XLOOKUP([@DeviceTypeID],tblDeviceTypeIDCrosswalk[LegacyDeviceTypeID],tblDeviceTypeIDCrosswalk[MappingStatus],"No Crosswalk")</f>
        <v/>
      </c>
      <c r="P227">
        <f>IF(OR([@ManufacturerMappingStatus]&lt;&gt;"Approved",[@DeviceFamilyMappingStatus]&lt;&gt;"Approved",[@DeviceTypeMappingStatus]&lt;&gt;"Approved"),"Manual Review Required","Approved Crosswalk Available")</f>
        <v/>
      </c>
      <c r="Q227" t="inlineStr">
        <is>
          <t>Pending Review</t>
        </is>
      </c>
    </row>
    <row r="228" ht="21.5" customHeight="1" s="42">
      <c r="A228" s="36" t="n"/>
      <c r="B228" s="35" t="n"/>
      <c r="C228" s="35" t="n"/>
      <c r="D228" s="35" t="n"/>
      <c r="E228" s="39" t="n"/>
      <c r="F228" s="39" t="n"/>
      <c r="G228" s="10" t="inlineStr">
        <is>
          <t>MOD000225</t>
        </is>
      </c>
      <c r="H228" s="14" t="inlineStr">
        <is>
          <t>MFG002</t>
        </is>
      </c>
      <c r="I228" s="14" t="inlineStr">
        <is>
          <t>DF024</t>
        </is>
      </c>
      <c r="J228" s="14">
        <f>XLOOKUP([@ManufacturerID],tblManufacturerIDCrosswalk[LegacyManufacturerID],tblManufacturerIDCrosswalk[CanonicalManufacturerID],"")</f>
        <v/>
      </c>
      <c r="K228" s="7">
        <f>XLOOKUP([@DeviceFamilyID],tblDeviceFamilyIDCrosswalk[LegacyDeviceFamilyID],tblDeviceFamilyIDCrosswalk[CanonicalDeviceFamilyID],"")</f>
        <v/>
      </c>
      <c r="L228" s="7">
        <f>XLOOKUP([@DeviceTypeID],tblDeviceTypeIDCrosswalk[LegacyDeviceTypeID],tblDeviceTypeIDCrosswalk[CanonicalDeviceTypeID],"")</f>
        <v/>
      </c>
      <c r="M228" s="14">
        <f>XLOOKUP([@ManufacturerID],tblManufacturerIDCrosswalk[LegacyManufacturerID],tblManufacturerIDCrosswalk[MappingStatus],"No Crosswalk")</f>
        <v/>
      </c>
      <c r="N228" s="35">
        <f>XLOOKUP([@DeviceFamilyID],tblDeviceFamilyIDCrosswalk[LegacyDeviceFamilyID],tblDeviceFamilyIDCrosswalk[MappingStatus],"No Crosswalk")</f>
        <v/>
      </c>
      <c r="O228" s="35">
        <f>XLOOKUP([@DeviceTypeID],tblDeviceTypeIDCrosswalk[LegacyDeviceTypeID],tblDeviceTypeIDCrosswalk[MappingStatus],"No Crosswalk")</f>
        <v/>
      </c>
      <c r="P228">
        <f>IF(OR([@ManufacturerMappingStatus]&lt;&gt;"Approved",[@DeviceFamilyMappingStatus]&lt;&gt;"Approved",[@DeviceTypeMappingStatus]&lt;&gt;"Approved"),"Manual Review Required","Approved Crosswalk Available")</f>
        <v/>
      </c>
      <c r="Q228" t="inlineStr">
        <is>
          <t>Pending Review</t>
        </is>
      </c>
    </row>
    <row r="229" ht="21.5" customHeight="1" s="42">
      <c r="A229" s="36" t="n"/>
      <c r="B229" s="35" t="n"/>
      <c r="C229" s="35" t="n"/>
      <c r="D229" s="35" t="n"/>
      <c r="E229" s="39" t="n"/>
      <c r="F229" s="39" t="n"/>
      <c r="G229" s="10" t="inlineStr">
        <is>
          <t>MOD000226</t>
        </is>
      </c>
      <c r="H229" s="14" t="inlineStr">
        <is>
          <t>MFG002</t>
        </is>
      </c>
      <c r="I229" s="14" t="inlineStr">
        <is>
          <t>DF024</t>
        </is>
      </c>
      <c r="J229" s="14">
        <f>XLOOKUP([@ManufacturerID],tblManufacturerIDCrosswalk[LegacyManufacturerID],tblManufacturerIDCrosswalk[CanonicalManufacturerID],"")</f>
        <v/>
      </c>
      <c r="K229" s="7">
        <f>XLOOKUP([@DeviceFamilyID],tblDeviceFamilyIDCrosswalk[LegacyDeviceFamilyID],tblDeviceFamilyIDCrosswalk[CanonicalDeviceFamilyID],"")</f>
        <v/>
      </c>
      <c r="L229" s="7">
        <f>XLOOKUP([@DeviceTypeID],tblDeviceTypeIDCrosswalk[LegacyDeviceTypeID],tblDeviceTypeIDCrosswalk[CanonicalDeviceTypeID],"")</f>
        <v/>
      </c>
      <c r="M229" s="14">
        <f>XLOOKUP([@ManufacturerID],tblManufacturerIDCrosswalk[LegacyManufacturerID],tblManufacturerIDCrosswalk[MappingStatus],"No Crosswalk")</f>
        <v/>
      </c>
      <c r="N229" s="35">
        <f>XLOOKUP([@DeviceFamilyID],tblDeviceFamilyIDCrosswalk[LegacyDeviceFamilyID],tblDeviceFamilyIDCrosswalk[MappingStatus],"No Crosswalk")</f>
        <v/>
      </c>
      <c r="O229" s="35">
        <f>XLOOKUP([@DeviceTypeID],tblDeviceTypeIDCrosswalk[LegacyDeviceTypeID],tblDeviceTypeIDCrosswalk[MappingStatus],"No Crosswalk")</f>
        <v/>
      </c>
      <c r="P229">
        <f>IF(OR([@ManufacturerMappingStatus]&lt;&gt;"Approved",[@DeviceFamilyMappingStatus]&lt;&gt;"Approved",[@DeviceTypeMappingStatus]&lt;&gt;"Approved"),"Manual Review Required","Approved Crosswalk Available")</f>
        <v/>
      </c>
      <c r="Q229" t="inlineStr">
        <is>
          <t>Pending Review</t>
        </is>
      </c>
    </row>
    <row r="230" ht="21.5" customHeight="1" s="42">
      <c r="A230" s="36" t="n"/>
      <c r="B230" s="35" t="n"/>
      <c r="C230" s="35" t="n"/>
      <c r="D230" s="35" t="n"/>
      <c r="E230" s="39" t="n"/>
      <c r="F230" s="39" t="n"/>
      <c r="G230" s="10" t="inlineStr">
        <is>
          <t>MOD000227</t>
        </is>
      </c>
      <c r="H230" s="14" t="inlineStr">
        <is>
          <t>MFG002</t>
        </is>
      </c>
      <c r="I230" s="14" t="inlineStr">
        <is>
          <t>DF024</t>
        </is>
      </c>
      <c r="J230" s="14">
        <f>XLOOKUP([@ManufacturerID],tblManufacturerIDCrosswalk[LegacyManufacturerID],tblManufacturerIDCrosswalk[CanonicalManufacturerID],"")</f>
        <v/>
      </c>
      <c r="K230" s="7">
        <f>XLOOKUP([@DeviceFamilyID],tblDeviceFamilyIDCrosswalk[LegacyDeviceFamilyID],tblDeviceFamilyIDCrosswalk[CanonicalDeviceFamilyID],"")</f>
        <v/>
      </c>
      <c r="L230" s="7">
        <f>XLOOKUP([@DeviceTypeID],tblDeviceTypeIDCrosswalk[LegacyDeviceTypeID],tblDeviceTypeIDCrosswalk[CanonicalDeviceTypeID],"")</f>
        <v/>
      </c>
      <c r="M230" s="14">
        <f>XLOOKUP([@ManufacturerID],tblManufacturerIDCrosswalk[LegacyManufacturerID],tblManufacturerIDCrosswalk[MappingStatus],"No Crosswalk")</f>
        <v/>
      </c>
      <c r="N230" s="35">
        <f>XLOOKUP([@DeviceFamilyID],tblDeviceFamilyIDCrosswalk[LegacyDeviceFamilyID],tblDeviceFamilyIDCrosswalk[MappingStatus],"No Crosswalk")</f>
        <v/>
      </c>
      <c r="O230" s="35">
        <f>XLOOKUP([@DeviceTypeID],tblDeviceTypeIDCrosswalk[LegacyDeviceTypeID],tblDeviceTypeIDCrosswalk[MappingStatus],"No Crosswalk")</f>
        <v/>
      </c>
      <c r="P230">
        <f>IF(OR([@ManufacturerMappingStatus]&lt;&gt;"Approved",[@DeviceFamilyMappingStatus]&lt;&gt;"Approved",[@DeviceTypeMappingStatus]&lt;&gt;"Approved"),"Manual Review Required","Approved Crosswalk Available")</f>
        <v/>
      </c>
      <c r="Q230" t="inlineStr">
        <is>
          <t>Pending Review</t>
        </is>
      </c>
    </row>
    <row r="231" ht="21.5" customHeight="1" s="42">
      <c r="A231" s="36" t="n"/>
      <c r="B231" s="35" t="n"/>
      <c r="C231" s="35" t="n"/>
      <c r="D231" s="35" t="n"/>
      <c r="E231" s="39" t="n"/>
      <c r="F231" s="39" t="n"/>
      <c r="G231" s="10" t="inlineStr">
        <is>
          <t>MOD000228</t>
        </is>
      </c>
      <c r="H231" s="14" t="inlineStr">
        <is>
          <t>MFG002</t>
        </is>
      </c>
      <c r="I231" s="14" t="inlineStr">
        <is>
          <t>DF024</t>
        </is>
      </c>
      <c r="J231" s="14">
        <f>XLOOKUP([@ManufacturerID],tblManufacturerIDCrosswalk[LegacyManufacturerID],tblManufacturerIDCrosswalk[CanonicalManufacturerID],"")</f>
        <v/>
      </c>
      <c r="K231" s="7">
        <f>XLOOKUP([@DeviceFamilyID],tblDeviceFamilyIDCrosswalk[LegacyDeviceFamilyID],tblDeviceFamilyIDCrosswalk[CanonicalDeviceFamilyID],"")</f>
        <v/>
      </c>
      <c r="L231" s="7">
        <f>XLOOKUP([@DeviceTypeID],tblDeviceTypeIDCrosswalk[LegacyDeviceTypeID],tblDeviceTypeIDCrosswalk[CanonicalDeviceTypeID],"")</f>
        <v/>
      </c>
      <c r="M231" s="14">
        <f>XLOOKUP([@ManufacturerID],tblManufacturerIDCrosswalk[LegacyManufacturerID],tblManufacturerIDCrosswalk[MappingStatus],"No Crosswalk")</f>
        <v/>
      </c>
      <c r="N231" s="35">
        <f>XLOOKUP([@DeviceFamilyID],tblDeviceFamilyIDCrosswalk[LegacyDeviceFamilyID],tblDeviceFamilyIDCrosswalk[MappingStatus],"No Crosswalk")</f>
        <v/>
      </c>
      <c r="O231" s="35">
        <f>XLOOKUP([@DeviceTypeID],tblDeviceTypeIDCrosswalk[LegacyDeviceTypeID],tblDeviceTypeIDCrosswalk[MappingStatus],"No Crosswalk")</f>
        <v/>
      </c>
      <c r="P231">
        <f>IF(OR([@ManufacturerMappingStatus]&lt;&gt;"Approved",[@DeviceFamilyMappingStatus]&lt;&gt;"Approved",[@DeviceTypeMappingStatus]&lt;&gt;"Approved"),"Manual Review Required","Approved Crosswalk Available")</f>
        <v/>
      </c>
      <c r="Q231" t="inlineStr">
        <is>
          <t>Pending Review</t>
        </is>
      </c>
    </row>
    <row r="232" ht="21.5" customHeight="1" s="42">
      <c r="A232" s="36" t="n"/>
      <c r="B232" s="35" t="n"/>
      <c r="C232" s="35" t="n"/>
      <c r="D232" s="35" t="n"/>
      <c r="E232" s="39" t="n"/>
      <c r="F232" s="39" t="n"/>
      <c r="G232" s="10" t="inlineStr">
        <is>
          <t>MOD000229</t>
        </is>
      </c>
      <c r="H232" s="14" t="inlineStr">
        <is>
          <t>MFG002</t>
        </is>
      </c>
      <c r="I232" s="14" t="inlineStr">
        <is>
          <t>DF024</t>
        </is>
      </c>
      <c r="J232" s="14">
        <f>XLOOKUP([@ManufacturerID],tblManufacturerIDCrosswalk[LegacyManufacturerID],tblManufacturerIDCrosswalk[CanonicalManufacturerID],"")</f>
        <v/>
      </c>
      <c r="K232" s="7">
        <f>XLOOKUP([@DeviceFamilyID],tblDeviceFamilyIDCrosswalk[LegacyDeviceFamilyID],tblDeviceFamilyIDCrosswalk[CanonicalDeviceFamilyID],"")</f>
        <v/>
      </c>
      <c r="L232" s="7">
        <f>XLOOKUP([@DeviceTypeID],tblDeviceTypeIDCrosswalk[LegacyDeviceTypeID],tblDeviceTypeIDCrosswalk[CanonicalDeviceTypeID],"")</f>
        <v/>
      </c>
      <c r="M232" s="14">
        <f>XLOOKUP([@ManufacturerID],tblManufacturerIDCrosswalk[LegacyManufacturerID],tblManufacturerIDCrosswalk[MappingStatus],"No Crosswalk")</f>
        <v/>
      </c>
      <c r="N232" s="35">
        <f>XLOOKUP([@DeviceFamilyID],tblDeviceFamilyIDCrosswalk[LegacyDeviceFamilyID],tblDeviceFamilyIDCrosswalk[MappingStatus],"No Crosswalk")</f>
        <v/>
      </c>
      <c r="O232" s="35">
        <f>XLOOKUP([@DeviceTypeID],tblDeviceTypeIDCrosswalk[LegacyDeviceTypeID],tblDeviceTypeIDCrosswalk[MappingStatus],"No Crosswalk")</f>
        <v/>
      </c>
      <c r="P232">
        <f>IF(OR([@ManufacturerMappingStatus]&lt;&gt;"Approved",[@DeviceFamilyMappingStatus]&lt;&gt;"Approved",[@DeviceTypeMappingStatus]&lt;&gt;"Approved"),"Manual Review Required","Approved Crosswalk Available")</f>
        <v/>
      </c>
      <c r="Q232" t="inlineStr">
        <is>
          <t>Pending Review</t>
        </is>
      </c>
    </row>
    <row r="233" ht="21.5" customHeight="1" s="42">
      <c r="A233" s="36" t="n"/>
      <c r="B233" s="35" t="n"/>
      <c r="C233" s="35" t="n"/>
      <c r="D233" s="35" t="n"/>
      <c r="E233" s="39" t="n"/>
      <c r="F233" s="39" t="n"/>
      <c r="G233" s="10" t="inlineStr">
        <is>
          <t>MOD000230</t>
        </is>
      </c>
      <c r="H233" s="14" t="inlineStr">
        <is>
          <t>MFG002</t>
        </is>
      </c>
      <c r="I233" s="14" t="inlineStr">
        <is>
          <t>DF024</t>
        </is>
      </c>
      <c r="J233" s="14">
        <f>XLOOKUP([@ManufacturerID],tblManufacturerIDCrosswalk[LegacyManufacturerID],tblManufacturerIDCrosswalk[CanonicalManufacturerID],"")</f>
        <v/>
      </c>
      <c r="K233" s="7">
        <f>XLOOKUP([@DeviceFamilyID],tblDeviceFamilyIDCrosswalk[LegacyDeviceFamilyID],tblDeviceFamilyIDCrosswalk[CanonicalDeviceFamilyID],"")</f>
        <v/>
      </c>
      <c r="L233" s="7">
        <f>XLOOKUP([@DeviceTypeID],tblDeviceTypeIDCrosswalk[LegacyDeviceTypeID],tblDeviceTypeIDCrosswalk[CanonicalDeviceTypeID],"")</f>
        <v/>
      </c>
      <c r="M233" s="14">
        <f>XLOOKUP([@ManufacturerID],tblManufacturerIDCrosswalk[LegacyManufacturerID],tblManufacturerIDCrosswalk[MappingStatus],"No Crosswalk")</f>
        <v/>
      </c>
      <c r="N233" s="35">
        <f>XLOOKUP([@DeviceFamilyID],tblDeviceFamilyIDCrosswalk[LegacyDeviceFamilyID],tblDeviceFamilyIDCrosswalk[MappingStatus],"No Crosswalk")</f>
        <v/>
      </c>
      <c r="O233" s="35">
        <f>XLOOKUP([@DeviceTypeID],tblDeviceTypeIDCrosswalk[LegacyDeviceTypeID],tblDeviceTypeIDCrosswalk[MappingStatus],"No Crosswalk")</f>
        <v/>
      </c>
      <c r="P233">
        <f>IF(OR([@ManufacturerMappingStatus]&lt;&gt;"Approved",[@DeviceFamilyMappingStatus]&lt;&gt;"Approved",[@DeviceTypeMappingStatus]&lt;&gt;"Approved"),"Manual Review Required","Approved Crosswalk Available")</f>
        <v/>
      </c>
      <c r="Q233" t="inlineStr">
        <is>
          <t>Pending Review</t>
        </is>
      </c>
    </row>
    <row r="234" ht="21.5" customHeight="1" s="42">
      <c r="A234" s="36" t="n"/>
      <c r="B234" s="35" t="n"/>
      <c r="C234" s="35" t="n"/>
      <c r="D234" s="35" t="n"/>
      <c r="E234" s="39" t="n"/>
      <c r="F234" s="39" t="n"/>
      <c r="G234" s="10" t="inlineStr">
        <is>
          <t>MOD000231</t>
        </is>
      </c>
      <c r="H234" s="14" t="inlineStr">
        <is>
          <t>MFG002</t>
        </is>
      </c>
      <c r="I234" s="14" t="inlineStr">
        <is>
          <t>DF024</t>
        </is>
      </c>
      <c r="J234" s="14">
        <f>XLOOKUP([@ManufacturerID],tblManufacturerIDCrosswalk[LegacyManufacturerID],tblManufacturerIDCrosswalk[CanonicalManufacturerID],"")</f>
        <v/>
      </c>
      <c r="K234" s="7">
        <f>XLOOKUP([@DeviceFamilyID],tblDeviceFamilyIDCrosswalk[LegacyDeviceFamilyID],tblDeviceFamilyIDCrosswalk[CanonicalDeviceFamilyID],"")</f>
        <v/>
      </c>
      <c r="L234" s="7">
        <f>XLOOKUP([@DeviceTypeID],tblDeviceTypeIDCrosswalk[LegacyDeviceTypeID],tblDeviceTypeIDCrosswalk[CanonicalDeviceTypeID],"")</f>
        <v/>
      </c>
      <c r="M234" s="14">
        <f>XLOOKUP([@ManufacturerID],tblManufacturerIDCrosswalk[LegacyManufacturerID],tblManufacturerIDCrosswalk[MappingStatus],"No Crosswalk")</f>
        <v/>
      </c>
      <c r="N234" s="35">
        <f>XLOOKUP([@DeviceFamilyID],tblDeviceFamilyIDCrosswalk[LegacyDeviceFamilyID],tblDeviceFamilyIDCrosswalk[MappingStatus],"No Crosswalk")</f>
        <v/>
      </c>
      <c r="O234" s="35">
        <f>XLOOKUP([@DeviceTypeID],tblDeviceTypeIDCrosswalk[LegacyDeviceTypeID],tblDeviceTypeIDCrosswalk[MappingStatus],"No Crosswalk")</f>
        <v/>
      </c>
      <c r="P234">
        <f>IF(OR([@ManufacturerMappingStatus]&lt;&gt;"Approved",[@DeviceFamilyMappingStatus]&lt;&gt;"Approved",[@DeviceTypeMappingStatus]&lt;&gt;"Approved"),"Manual Review Required","Approved Crosswalk Available")</f>
        <v/>
      </c>
      <c r="Q234" t="inlineStr">
        <is>
          <t>Pending Review</t>
        </is>
      </c>
    </row>
    <row r="235" ht="21.5" customHeight="1" s="42">
      <c r="A235" s="36" t="n"/>
      <c r="B235" s="35" t="n"/>
      <c r="C235" s="35" t="n"/>
      <c r="D235" s="35" t="n"/>
      <c r="E235" s="39" t="n"/>
      <c r="F235" s="39" t="n"/>
      <c r="G235" s="10" t="inlineStr">
        <is>
          <t>MOD000232</t>
        </is>
      </c>
      <c r="H235" s="14" t="inlineStr">
        <is>
          <t>MFG002</t>
        </is>
      </c>
      <c r="I235" s="14" t="inlineStr">
        <is>
          <t>DF024</t>
        </is>
      </c>
      <c r="J235" s="14">
        <f>XLOOKUP([@ManufacturerID],tblManufacturerIDCrosswalk[LegacyManufacturerID],tblManufacturerIDCrosswalk[CanonicalManufacturerID],"")</f>
        <v/>
      </c>
      <c r="K235" s="7">
        <f>XLOOKUP([@DeviceFamilyID],tblDeviceFamilyIDCrosswalk[LegacyDeviceFamilyID],tblDeviceFamilyIDCrosswalk[CanonicalDeviceFamilyID],"")</f>
        <v/>
      </c>
      <c r="L235" s="7">
        <f>XLOOKUP([@DeviceTypeID],tblDeviceTypeIDCrosswalk[LegacyDeviceTypeID],tblDeviceTypeIDCrosswalk[CanonicalDeviceTypeID],"")</f>
        <v/>
      </c>
      <c r="M235" s="14">
        <f>XLOOKUP([@ManufacturerID],tblManufacturerIDCrosswalk[LegacyManufacturerID],tblManufacturerIDCrosswalk[MappingStatus],"No Crosswalk")</f>
        <v/>
      </c>
      <c r="N235" s="35">
        <f>XLOOKUP([@DeviceFamilyID],tblDeviceFamilyIDCrosswalk[LegacyDeviceFamilyID],tblDeviceFamilyIDCrosswalk[MappingStatus],"No Crosswalk")</f>
        <v/>
      </c>
      <c r="O235" s="35">
        <f>XLOOKUP([@DeviceTypeID],tblDeviceTypeIDCrosswalk[LegacyDeviceTypeID],tblDeviceTypeIDCrosswalk[MappingStatus],"No Crosswalk")</f>
        <v/>
      </c>
      <c r="P235">
        <f>IF(OR([@ManufacturerMappingStatus]&lt;&gt;"Approved",[@DeviceFamilyMappingStatus]&lt;&gt;"Approved",[@DeviceTypeMappingStatus]&lt;&gt;"Approved"),"Manual Review Required","Approved Crosswalk Available")</f>
        <v/>
      </c>
      <c r="Q235" t="inlineStr">
        <is>
          <t>Pending Review</t>
        </is>
      </c>
    </row>
    <row r="236" ht="21.5" customHeight="1" s="42">
      <c r="A236" s="36" t="n"/>
      <c r="B236" s="35" t="n"/>
      <c r="C236" s="35" t="n"/>
      <c r="D236" s="35" t="n"/>
      <c r="E236" s="39" t="n"/>
      <c r="F236" s="39" t="n"/>
      <c r="G236" s="10" t="inlineStr">
        <is>
          <t>MOD000233</t>
        </is>
      </c>
      <c r="H236" s="14" t="inlineStr">
        <is>
          <t>MFG002</t>
        </is>
      </c>
      <c r="I236" s="14" t="inlineStr">
        <is>
          <t>DF024</t>
        </is>
      </c>
      <c r="J236" s="14">
        <f>XLOOKUP([@ManufacturerID],tblManufacturerIDCrosswalk[LegacyManufacturerID],tblManufacturerIDCrosswalk[CanonicalManufacturerID],"")</f>
        <v/>
      </c>
      <c r="K236" s="7">
        <f>XLOOKUP([@DeviceFamilyID],tblDeviceFamilyIDCrosswalk[LegacyDeviceFamilyID],tblDeviceFamilyIDCrosswalk[CanonicalDeviceFamilyID],"")</f>
        <v/>
      </c>
      <c r="L236" s="7">
        <f>XLOOKUP([@DeviceTypeID],tblDeviceTypeIDCrosswalk[LegacyDeviceTypeID],tblDeviceTypeIDCrosswalk[CanonicalDeviceTypeID],"")</f>
        <v/>
      </c>
      <c r="M236" s="14">
        <f>XLOOKUP([@ManufacturerID],tblManufacturerIDCrosswalk[LegacyManufacturerID],tblManufacturerIDCrosswalk[MappingStatus],"No Crosswalk")</f>
        <v/>
      </c>
      <c r="N236" s="35">
        <f>XLOOKUP([@DeviceFamilyID],tblDeviceFamilyIDCrosswalk[LegacyDeviceFamilyID],tblDeviceFamilyIDCrosswalk[MappingStatus],"No Crosswalk")</f>
        <v/>
      </c>
      <c r="O236" s="35">
        <f>XLOOKUP([@DeviceTypeID],tblDeviceTypeIDCrosswalk[LegacyDeviceTypeID],tblDeviceTypeIDCrosswalk[MappingStatus],"No Crosswalk")</f>
        <v/>
      </c>
      <c r="P236">
        <f>IF(OR([@ManufacturerMappingStatus]&lt;&gt;"Approved",[@DeviceFamilyMappingStatus]&lt;&gt;"Approved",[@DeviceTypeMappingStatus]&lt;&gt;"Approved"),"Manual Review Required","Approved Crosswalk Available")</f>
        <v/>
      </c>
      <c r="Q236" t="inlineStr">
        <is>
          <t>Pending Review</t>
        </is>
      </c>
    </row>
    <row r="237" ht="21.5" customHeight="1" s="42">
      <c r="A237" s="36" t="n"/>
      <c r="B237" s="35" t="n"/>
      <c r="C237" s="35" t="n"/>
      <c r="D237" s="35" t="n"/>
      <c r="E237" s="39" t="n"/>
      <c r="F237" s="39" t="n"/>
      <c r="G237" s="10" t="inlineStr">
        <is>
          <t>MOD000234</t>
        </is>
      </c>
      <c r="H237" s="14" t="inlineStr">
        <is>
          <t>MFG002</t>
        </is>
      </c>
      <c r="I237" s="14" t="inlineStr">
        <is>
          <t>DF024</t>
        </is>
      </c>
      <c r="J237" s="14">
        <f>XLOOKUP([@ManufacturerID],tblManufacturerIDCrosswalk[LegacyManufacturerID],tblManufacturerIDCrosswalk[CanonicalManufacturerID],"")</f>
        <v/>
      </c>
      <c r="K237" s="7">
        <f>XLOOKUP([@DeviceFamilyID],tblDeviceFamilyIDCrosswalk[LegacyDeviceFamilyID],tblDeviceFamilyIDCrosswalk[CanonicalDeviceFamilyID],"")</f>
        <v/>
      </c>
      <c r="L237" s="7">
        <f>XLOOKUP([@DeviceTypeID],tblDeviceTypeIDCrosswalk[LegacyDeviceTypeID],tblDeviceTypeIDCrosswalk[CanonicalDeviceTypeID],"")</f>
        <v/>
      </c>
      <c r="M237" s="14">
        <f>XLOOKUP([@ManufacturerID],tblManufacturerIDCrosswalk[LegacyManufacturerID],tblManufacturerIDCrosswalk[MappingStatus],"No Crosswalk")</f>
        <v/>
      </c>
      <c r="N237" s="35">
        <f>XLOOKUP([@DeviceFamilyID],tblDeviceFamilyIDCrosswalk[LegacyDeviceFamilyID],tblDeviceFamilyIDCrosswalk[MappingStatus],"No Crosswalk")</f>
        <v/>
      </c>
      <c r="O237" s="35">
        <f>XLOOKUP([@DeviceTypeID],tblDeviceTypeIDCrosswalk[LegacyDeviceTypeID],tblDeviceTypeIDCrosswalk[MappingStatus],"No Crosswalk")</f>
        <v/>
      </c>
      <c r="P237">
        <f>IF(OR([@ManufacturerMappingStatus]&lt;&gt;"Approved",[@DeviceFamilyMappingStatus]&lt;&gt;"Approved",[@DeviceTypeMappingStatus]&lt;&gt;"Approved"),"Manual Review Required","Approved Crosswalk Available")</f>
        <v/>
      </c>
      <c r="Q237" t="inlineStr">
        <is>
          <t>Pending Review</t>
        </is>
      </c>
    </row>
    <row r="238" ht="21.5" customHeight="1" s="42">
      <c r="A238" s="36" t="n"/>
      <c r="B238" s="35" t="n"/>
      <c r="C238" s="35" t="n"/>
      <c r="D238" s="35" t="n"/>
      <c r="E238" s="39" t="n"/>
      <c r="F238" s="39" t="n"/>
      <c r="G238" s="10" t="inlineStr">
        <is>
          <t>MOD000235</t>
        </is>
      </c>
      <c r="H238" s="14" t="inlineStr">
        <is>
          <t>MFG002</t>
        </is>
      </c>
      <c r="I238" s="14" t="inlineStr">
        <is>
          <t>DF024</t>
        </is>
      </c>
      <c r="J238" s="14">
        <f>XLOOKUP([@ManufacturerID],tblManufacturerIDCrosswalk[LegacyManufacturerID],tblManufacturerIDCrosswalk[CanonicalManufacturerID],"")</f>
        <v/>
      </c>
      <c r="K238" s="7">
        <f>XLOOKUP([@DeviceFamilyID],tblDeviceFamilyIDCrosswalk[LegacyDeviceFamilyID],tblDeviceFamilyIDCrosswalk[CanonicalDeviceFamilyID],"")</f>
        <v/>
      </c>
      <c r="L238" s="7">
        <f>XLOOKUP([@DeviceTypeID],tblDeviceTypeIDCrosswalk[LegacyDeviceTypeID],tblDeviceTypeIDCrosswalk[CanonicalDeviceTypeID],"")</f>
        <v/>
      </c>
      <c r="M238" s="14">
        <f>XLOOKUP([@ManufacturerID],tblManufacturerIDCrosswalk[LegacyManufacturerID],tblManufacturerIDCrosswalk[MappingStatus],"No Crosswalk")</f>
        <v/>
      </c>
      <c r="N238" s="35">
        <f>XLOOKUP([@DeviceFamilyID],tblDeviceFamilyIDCrosswalk[LegacyDeviceFamilyID],tblDeviceFamilyIDCrosswalk[MappingStatus],"No Crosswalk")</f>
        <v/>
      </c>
      <c r="O238" s="35">
        <f>XLOOKUP([@DeviceTypeID],tblDeviceTypeIDCrosswalk[LegacyDeviceTypeID],tblDeviceTypeIDCrosswalk[MappingStatus],"No Crosswalk")</f>
        <v/>
      </c>
      <c r="P238">
        <f>IF(OR([@ManufacturerMappingStatus]&lt;&gt;"Approved",[@DeviceFamilyMappingStatus]&lt;&gt;"Approved",[@DeviceTypeMappingStatus]&lt;&gt;"Approved"),"Manual Review Required","Approved Crosswalk Available")</f>
        <v/>
      </c>
      <c r="Q238" t="inlineStr">
        <is>
          <t>Pending Review</t>
        </is>
      </c>
    </row>
    <row r="239" ht="21.5" customHeight="1" s="42">
      <c r="A239" s="36" t="n"/>
      <c r="B239" s="35" t="n"/>
      <c r="C239" s="35" t="n"/>
      <c r="D239" s="35" t="n"/>
      <c r="E239" s="39" t="n"/>
      <c r="F239" s="39" t="n"/>
      <c r="G239" s="10" t="inlineStr">
        <is>
          <t>MOD000236</t>
        </is>
      </c>
      <c r="H239" s="14" t="inlineStr">
        <is>
          <t>MFG002</t>
        </is>
      </c>
      <c r="I239" s="14" t="inlineStr">
        <is>
          <t>DF024</t>
        </is>
      </c>
      <c r="J239" s="14">
        <f>XLOOKUP([@ManufacturerID],tblManufacturerIDCrosswalk[LegacyManufacturerID],tblManufacturerIDCrosswalk[CanonicalManufacturerID],"")</f>
        <v/>
      </c>
      <c r="K239" s="7">
        <f>XLOOKUP([@DeviceFamilyID],tblDeviceFamilyIDCrosswalk[LegacyDeviceFamilyID],tblDeviceFamilyIDCrosswalk[CanonicalDeviceFamilyID],"")</f>
        <v/>
      </c>
      <c r="L239" s="7">
        <f>XLOOKUP([@DeviceTypeID],tblDeviceTypeIDCrosswalk[LegacyDeviceTypeID],tblDeviceTypeIDCrosswalk[CanonicalDeviceTypeID],"")</f>
        <v/>
      </c>
      <c r="M239" s="14">
        <f>XLOOKUP([@ManufacturerID],tblManufacturerIDCrosswalk[LegacyManufacturerID],tblManufacturerIDCrosswalk[MappingStatus],"No Crosswalk")</f>
        <v/>
      </c>
      <c r="N239" s="35">
        <f>XLOOKUP([@DeviceFamilyID],tblDeviceFamilyIDCrosswalk[LegacyDeviceFamilyID],tblDeviceFamilyIDCrosswalk[MappingStatus],"No Crosswalk")</f>
        <v/>
      </c>
      <c r="O239" s="35">
        <f>XLOOKUP([@DeviceTypeID],tblDeviceTypeIDCrosswalk[LegacyDeviceTypeID],tblDeviceTypeIDCrosswalk[MappingStatus],"No Crosswalk")</f>
        <v/>
      </c>
      <c r="P239">
        <f>IF(OR([@ManufacturerMappingStatus]&lt;&gt;"Approved",[@DeviceFamilyMappingStatus]&lt;&gt;"Approved",[@DeviceTypeMappingStatus]&lt;&gt;"Approved"),"Manual Review Required","Approved Crosswalk Available")</f>
        <v/>
      </c>
      <c r="Q239" t="inlineStr">
        <is>
          <t>Pending Review</t>
        </is>
      </c>
    </row>
    <row r="240" ht="21.5" customHeight="1" s="42">
      <c r="A240" s="36" t="n"/>
      <c r="B240" s="35" t="n"/>
      <c r="C240" s="35" t="n"/>
      <c r="D240" s="35" t="n"/>
      <c r="E240" s="39" t="n"/>
      <c r="F240" s="39" t="n"/>
      <c r="G240" s="10" t="inlineStr">
        <is>
          <t>MOD000237</t>
        </is>
      </c>
      <c r="H240" s="14" t="inlineStr">
        <is>
          <t>MFG002</t>
        </is>
      </c>
      <c r="I240" s="14" t="inlineStr">
        <is>
          <t>DF024</t>
        </is>
      </c>
      <c r="J240" s="14">
        <f>XLOOKUP([@ManufacturerID],tblManufacturerIDCrosswalk[LegacyManufacturerID],tblManufacturerIDCrosswalk[CanonicalManufacturerID],"")</f>
        <v/>
      </c>
      <c r="K240" s="7">
        <f>XLOOKUP([@DeviceFamilyID],tblDeviceFamilyIDCrosswalk[LegacyDeviceFamilyID],tblDeviceFamilyIDCrosswalk[CanonicalDeviceFamilyID],"")</f>
        <v/>
      </c>
      <c r="L240" s="7">
        <f>XLOOKUP([@DeviceTypeID],tblDeviceTypeIDCrosswalk[LegacyDeviceTypeID],tblDeviceTypeIDCrosswalk[CanonicalDeviceTypeID],"")</f>
        <v/>
      </c>
      <c r="M240" s="14">
        <f>XLOOKUP([@ManufacturerID],tblManufacturerIDCrosswalk[LegacyManufacturerID],tblManufacturerIDCrosswalk[MappingStatus],"No Crosswalk")</f>
        <v/>
      </c>
      <c r="N240" s="35">
        <f>XLOOKUP([@DeviceFamilyID],tblDeviceFamilyIDCrosswalk[LegacyDeviceFamilyID],tblDeviceFamilyIDCrosswalk[MappingStatus],"No Crosswalk")</f>
        <v/>
      </c>
      <c r="O240" s="35">
        <f>XLOOKUP([@DeviceTypeID],tblDeviceTypeIDCrosswalk[LegacyDeviceTypeID],tblDeviceTypeIDCrosswalk[MappingStatus],"No Crosswalk")</f>
        <v/>
      </c>
      <c r="P240">
        <f>IF(OR([@ManufacturerMappingStatus]&lt;&gt;"Approved",[@DeviceFamilyMappingStatus]&lt;&gt;"Approved",[@DeviceTypeMappingStatus]&lt;&gt;"Approved"),"Manual Review Required","Approved Crosswalk Available")</f>
        <v/>
      </c>
      <c r="Q240" t="inlineStr">
        <is>
          <t>Pending Review</t>
        </is>
      </c>
    </row>
    <row r="241" ht="21.5" customHeight="1" s="42">
      <c r="A241" s="36" t="n"/>
      <c r="B241" s="35" t="n"/>
      <c r="C241" s="35" t="n"/>
      <c r="D241" s="35" t="n"/>
      <c r="E241" s="39" t="n"/>
      <c r="F241" s="39" t="n"/>
      <c r="G241" s="10" t="inlineStr">
        <is>
          <t>MOD000238</t>
        </is>
      </c>
      <c r="H241" s="14" t="inlineStr">
        <is>
          <t>MFG002</t>
        </is>
      </c>
      <c r="I241" s="14" t="inlineStr">
        <is>
          <t>DF024</t>
        </is>
      </c>
      <c r="J241" s="14">
        <f>XLOOKUP([@ManufacturerID],tblManufacturerIDCrosswalk[LegacyManufacturerID],tblManufacturerIDCrosswalk[CanonicalManufacturerID],"")</f>
        <v/>
      </c>
      <c r="K241" s="7">
        <f>XLOOKUP([@DeviceFamilyID],tblDeviceFamilyIDCrosswalk[LegacyDeviceFamilyID],tblDeviceFamilyIDCrosswalk[CanonicalDeviceFamilyID],"")</f>
        <v/>
      </c>
      <c r="L241" s="7">
        <f>XLOOKUP([@DeviceTypeID],tblDeviceTypeIDCrosswalk[LegacyDeviceTypeID],tblDeviceTypeIDCrosswalk[CanonicalDeviceTypeID],"")</f>
        <v/>
      </c>
      <c r="M241" s="14">
        <f>XLOOKUP([@ManufacturerID],tblManufacturerIDCrosswalk[LegacyManufacturerID],tblManufacturerIDCrosswalk[MappingStatus],"No Crosswalk")</f>
        <v/>
      </c>
      <c r="N241" s="35">
        <f>XLOOKUP([@DeviceFamilyID],tblDeviceFamilyIDCrosswalk[LegacyDeviceFamilyID],tblDeviceFamilyIDCrosswalk[MappingStatus],"No Crosswalk")</f>
        <v/>
      </c>
      <c r="O241" s="35">
        <f>XLOOKUP([@DeviceTypeID],tblDeviceTypeIDCrosswalk[LegacyDeviceTypeID],tblDeviceTypeIDCrosswalk[MappingStatus],"No Crosswalk")</f>
        <v/>
      </c>
      <c r="P241">
        <f>IF(OR([@ManufacturerMappingStatus]&lt;&gt;"Approved",[@DeviceFamilyMappingStatus]&lt;&gt;"Approved",[@DeviceTypeMappingStatus]&lt;&gt;"Approved"),"Manual Review Required","Approved Crosswalk Available")</f>
        <v/>
      </c>
      <c r="Q241" t="inlineStr">
        <is>
          <t>Pending Review</t>
        </is>
      </c>
    </row>
    <row r="242" ht="21.5" customHeight="1" s="42">
      <c r="A242" s="36" t="n"/>
      <c r="B242" s="35" t="n"/>
      <c r="C242" s="35" t="n"/>
      <c r="D242" s="35" t="n"/>
      <c r="E242" s="39" t="n"/>
      <c r="F242" s="39" t="n"/>
      <c r="G242" s="10" t="inlineStr">
        <is>
          <t>MOD000239</t>
        </is>
      </c>
      <c r="H242" s="14" t="inlineStr">
        <is>
          <t>MFG002</t>
        </is>
      </c>
      <c r="I242" s="14" t="inlineStr">
        <is>
          <t>DF024</t>
        </is>
      </c>
      <c r="J242" s="14">
        <f>XLOOKUP([@ManufacturerID],tblManufacturerIDCrosswalk[LegacyManufacturerID],tblManufacturerIDCrosswalk[CanonicalManufacturerID],"")</f>
        <v/>
      </c>
      <c r="K242" s="7">
        <f>XLOOKUP([@DeviceFamilyID],tblDeviceFamilyIDCrosswalk[LegacyDeviceFamilyID],tblDeviceFamilyIDCrosswalk[CanonicalDeviceFamilyID],"")</f>
        <v/>
      </c>
      <c r="L242" s="7">
        <f>XLOOKUP([@DeviceTypeID],tblDeviceTypeIDCrosswalk[LegacyDeviceTypeID],tblDeviceTypeIDCrosswalk[CanonicalDeviceTypeID],"")</f>
        <v/>
      </c>
      <c r="M242" s="14">
        <f>XLOOKUP([@ManufacturerID],tblManufacturerIDCrosswalk[LegacyManufacturerID],tblManufacturerIDCrosswalk[MappingStatus],"No Crosswalk")</f>
        <v/>
      </c>
      <c r="N242" s="35">
        <f>XLOOKUP([@DeviceFamilyID],tblDeviceFamilyIDCrosswalk[LegacyDeviceFamilyID],tblDeviceFamilyIDCrosswalk[MappingStatus],"No Crosswalk")</f>
        <v/>
      </c>
      <c r="O242" s="35">
        <f>XLOOKUP([@DeviceTypeID],tblDeviceTypeIDCrosswalk[LegacyDeviceTypeID],tblDeviceTypeIDCrosswalk[MappingStatus],"No Crosswalk")</f>
        <v/>
      </c>
      <c r="P242">
        <f>IF(OR([@ManufacturerMappingStatus]&lt;&gt;"Approved",[@DeviceFamilyMappingStatus]&lt;&gt;"Approved",[@DeviceTypeMappingStatus]&lt;&gt;"Approved"),"Manual Review Required","Approved Crosswalk Available")</f>
        <v/>
      </c>
      <c r="Q242" t="inlineStr">
        <is>
          <t>Pending Review</t>
        </is>
      </c>
    </row>
    <row r="243" ht="21.5" customHeight="1" s="42">
      <c r="A243" s="36" t="n"/>
      <c r="B243" s="35" t="n"/>
      <c r="C243" s="35" t="n"/>
      <c r="D243" s="35" t="n"/>
      <c r="E243" s="39" t="n"/>
      <c r="F243" s="39" t="n"/>
      <c r="G243" s="10" t="inlineStr">
        <is>
          <t>MOD000240</t>
        </is>
      </c>
      <c r="H243" s="14" t="inlineStr">
        <is>
          <t>MFG002</t>
        </is>
      </c>
      <c r="I243" s="14" t="inlineStr">
        <is>
          <t>DF024</t>
        </is>
      </c>
      <c r="J243" s="14">
        <f>XLOOKUP([@ManufacturerID],tblManufacturerIDCrosswalk[LegacyManufacturerID],tblManufacturerIDCrosswalk[CanonicalManufacturerID],"")</f>
        <v/>
      </c>
      <c r="K243" s="7">
        <f>XLOOKUP([@DeviceFamilyID],tblDeviceFamilyIDCrosswalk[LegacyDeviceFamilyID],tblDeviceFamilyIDCrosswalk[CanonicalDeviceFamilyID],"")</f>
        <v/>
      </c>
      <c r="L243" s="7">
        <f>XLOOKUP([@DeviceTypeID],tblDeviceTypeIDCrosswalk[LegacyDeviceTypeID],tblDeviceTypeIDCrosswalk[CanonicalDeviceTypeID],"")</f>
        <v/>
      </c>
      <c r="M243" s="14">
        <f>XLOOKUP([@ManufacturerID],tblManufacturerIDCrosswalk[LegacyManufacturerID],tblManufacturerIDCrosswalk[MappingStatus],"No Crosswalk")</f>
        <v/>
      </c>
      <c r="N243" s="35">
        <f>XLOOKUP([@DeviceFamilyID],tblDeviceFamilyIDCrosswalk[LegacyDeviceFamilyID],tblDeviceFamilyIDCrosswalk[MappingStatus],"No Crosswalk")</f>
        <v/>
      </c>
      <c r="O243" s="35">
        <f>XLOOKUP([@DeviceTypeID],tblDeviceTypeIDCrosswalk[LegacyDeviceTypeID],tblDeviceTypeIDCrosswalk[MappingStatus],"No Crosswalk")</f>
        <v/>
      </c>
      <c r="P243">
        <f>IF(OR([@ManufacturerMappingStatus]&lt;&gt;"Approved",[@DeviceFamilyMappingStatus]&lt;&gt;"Approved",[@DeviceTypeMappingStatus]&lt;&gt;"Approved"),"Manual Review Required","Approved Crosswalk Available")</f>
        <v/>
      </c>
      <c r="Q243" t="inlineStr">
        <is>
          <t>Pending Review</t>
        </is>
      </c>
    </row>
    <row r="244" ht="21.5" customHeight="1" s="42">
      <c r="A244" s="36" t="n"/>
      <c r="B244" s="35" t="n"/>
      <c r="C244" s="35" t="n"/>
      <c r="D244" s="35" t="n"/>
      <c r="E244" s="39" t="n"/>
      <c r="F244" s="39" t="n"/>
      <c r="G244" s="10" t="inlineStr">
        <is>
          <t>MOD000241</t>
        </is>
      </c>
      <c r="H244" s="14" t="inlineStr">
        <is>
          <t>MFG002</t>
        </is>
      </c>
      <c r="I244" s="14" t="inlineStr">
        <is>
          <t>DF024</t>
        </is>
      </c>
      <c r="J244" s="14">
        <f>XLOOKUP([@ManufacturerID],tblManufacturerIDCrosswalk[LegacyManufacturerID],tblManufacturerIDCrosswalk[CanonicalManufacturerID],"")</f>
        <v/>
      </c>
      <c r="K244" s="7">
        <f>XLOOKUP([@DeviceFamilyID],tblDeviceFamilyIDCrosswalk[LegacyDeviceFamilyID],tblDeviceFamilyIDCrosswalk[CanonicalDeviceFamilyID],"")</f>
        <v/>
      </c>
      <c r="L244" s="7">
        <f>XLOOKUP([@DeviceTypeID],tblDeviceTypeIDCrosswalk[LegacyDeviceTypeID],tblDeviceTypeIDCrosswalk[CanonicalDeviceTypeID],"")</f>
        <v/>
      </c>
      <c r="M244" s="14">
        <f>XLOOKUP([@ManufacturerID],tblManufacturerIDCrosswalk[LegacyManufacturerID],tblManufacturerIDCrosswalk[MappingStatus],"No Crosswalk")</f>
        <v/>
      </c>
      <c r="N244" s="35">
        <f>XLOOKUP([@DeviceFamilyID],tblDeviceFamilyIDCrosswalk[LegacyDeviceFamilyID],tblDeviceFamilyIDCrosswalk[MappingStatus],"No Crosswalk")</f>
        <v/>
      </c>
      <c r="O244" s="35">
        <f>XLOOKUP([@DeviceTypeID],tblDeviceTypeIDCrosswalk[LegacyDeviceTypeID],tblDeviceTypeIDCrosswalk[MappingStatus],"No Crosswalk")</f>
        <v/>
      </c>
      <c r="P244">
        <f>IF(OR([@ManufacturerMappingStatus]&lt;&gt;"Approved",[@DeviceFamilyMappingStatus]&lt;&gt;"Approved",[@DeviceTypeMappingStatus]&lt;&gt;"Approved"),"Manual Review Required","Approved Crosswalk Available")</f>
        <v/>
      </c>
      <c r="Q244" t="inlineStr">
        <is>
          <t>Pending Review</t>
        </is>
      </c>
    </row>
    <row r="245" ht="21.5" customHeight="1" s="42">
      <c r="A245" s="36" t="n"/>
      <c r="B245" s="35" t="n"/>
      <c r="C245" s="35" t="n"/>
      <c r="D245" s="35" t="n"/>
      <c r="E245" s="39" t="n"/>
      <c r="F245" s="39" t="n"/>
      <c r="G245" s="10" t="inlineStr">
        <is>
          <t>MOD000242</t>
        </is>
      </c>
      <c r="H245" s="14" t="inlineStr">
        <is>
          <t>MFG002</t>
        </is>
      </c>
      <c r="I245" s="14" t="inlineStr">
        <is>
          <t>DF024</t>
        </is>
      </c>
      <c r="J245" s="14">
        <f>XLOOKUP([@ManufacturerID],tblManufacturerIDCrosswalk[LegacyManufacturerID],tblManufacturerIDCrosswalk[CanonicalManufacturerID],"")</f>
        <v/>
      </c>
      <c r="K245" s="7">
        <f>XLOOKUP([@DeviceFamilyID],tblDeviceFamilyIDCrosswalk[LegacyDeviceFamilyID],tblDeviceFamilyIDCrosswalk[CanonicalDeviceFamilyID],"")</f>
        <v/>
      </c>
      <c r="L245" s="7">
        <f>XLOOKUP([@DeviceTypeID],tblDeviceTypeIDCrosswalk[LegacyDeviceTypeID],tblDeviceTypeIDCrosswalk[CanonicalDeviceTypeID],"")</f>
        <v/>
      </c>
      <c r="M245" s="14">
        <f>XLOOKUP([@ManufacturerID],tblManufacturerIDCrosswalk[LegacyManufacturerID],tblManufacturerIDCrosswalk[MappingStatus],"No Crosswalk")</f>
        <v/>
      </c>
      <c r="N245" s="35">
        <f>XLOOKUP([@DeviceFamilyID],tblDeviceFamilyIDCrosswalk[LegacyDeviceFamilyID],tblDeviceFamilyIDCrosswalk[MappingStatus],"No Crosswalk")</f>
        <v/>
      </c>
      <c r="O245" s="35">
        <f>XLOOKUP([@DeviceTypeID],tblDeviceTypeIDCrosswalk[LegacyDeviceTypeID],tblDeviceTypeIDCrosswalk[MappingStatus],"No Crosswalk")</f>
        <v/>
      </c>
      <c r="P245">
        <f>IF(OR([@ManufacturerMappingStatus]&lt;&gt;"Approved",[@DeviceFamilyMappingStatus]&lt;&gt;"Approved",[@DeviceTypeMappingStatus]&lt;&gt;"Approved"),"Manual Review Required","Approved Crosswalk Available")</f>
        <v/>
      </c>
      <c r="Q245" t="inlineStr">
        <is>
          <t>Pending Review</t>
        </is>
      </c>
    </row>
    <row r="246" ht="21.5" customHeight="1" s="42">
      <c r="A246" s="36" t="n"/>
      <c r="B246" s="35" t="n"/>
      <c r="C246" s="35" t="n"/>
      <c r="D246" s="35" t="n"/>
      <c r="E246" s="39" t="n"/>
      <c r="F246" s="39" t="n"/>
      <c r="G246" s="10" t="inlineStr">
        <is>
          <t>MOD000243</t>
        </is>
      </c>
      <c r="H246" s="14" t="inlineStr">
        <is>
          <t>MFG002</t>
        </is>
      </c>
      <c r="I246" s="14" t="inlineStr">
        <is>
          <t>DF024</t>
        </is>
      </c>
      <c r="J246" s="14">
        <f>XLOOKUP([@ManufacturerID],tblManufacturerIDCrosswalk[LegacyManufacturerID],tblManufacturerIDCrosswalk[CanonicalManufacturerID],"")</f>
        <v/>
      </c>
      <c r="K246" s="7">
        <f>XLOOKUP([@DeviceFamilyID],tblDeviceFamilyIDCrosswalk[LegacyDeviceFamilyID],tblDeviceFamilyIDCrosswalk[CanonicalDeviceFamilyID],"")</f>
        <v/>
      </c>
      <c r="L246" s="7">
        <f>XLOOKUP([@DeviceTypeID],tblDeviceTypeIDCrosswalk[LegacyDeviceTypeID],tblDeviceTypeIDCrosswalk[CanonicalDeviceTypeID],"")</f>
        <v/>
      </c>
      <c r="M246" s="14">
        <f>XLOOKUP([@ManufacturerID],tblManufacturerIDCrosswalk[LegacyManufacturerID],tblManufacturerIDCrosswalk[MappingStatus],"No Crosswalk")</f>
        <v/>
      </c>
      <c r="N246" s="35">
        <f>XLOOKUP([@DeviceFamilyID],tblDeviceFamilyIDCrosswalk[LegacyDeviceFamilyID],tblDeviceFamilyIDCrosswalk[MappingStatus],"No Crosswalk")</f>
        <v/>
      </c>
      <c r="O246" s="35">
        <f>XLOOKUP([@DeviceTypeID],tblDeviceTypeIDCrosswalk[LegacyDeviceTypeID],tblDeviceTypeIDCrosswalk[MappingStatus],"No Crosswalk")</f>
        <v/>
      </c>
      <c r="P246">
        <f>IF(OR([@ManufacturerMappingStatus]&lt;&gt;"Approved",[@DeviceFamilyMappingStatus]&lt;&gt;"Approved",[@DeviceTypeMappingStatus]&lt;&gt;"Approved"),"Manual Review Required","Approved Crosswalk Available")</f>
        <v/>
      </c>
      <c r="Q246" t="inlineStr">
        <is>
          <t>Pending Review</t>
        </is>
      </c>
    </row>
    <row r="247" ht="21.5" customHeight="1" s="42">
      <c r="A247" s="36" t="n"/>
      <c r="B247" s="35" t="n"/>
      <c r="C247" s="35" t="n"/>
      <c r="D247" s="35" t="n"/>
      <c r="E247" s="39" t="n"/>
      <c r="F247" s="39" t="n"/>
      <c r="G247" s="10" t="inlineStr">
        <is>
          <t>MOD000244</t>
        </is>
      </c>
      <c r="H247" s="14" t="inlineStr">
        <is>
          <t>MFG002</t>
        </is>
      </c>
      <c r="I247" s="14" t="inlineStr">
        <is>
          <t>DF024</t>
        </is>
      </c>
      <c r="J247" s="14">
        <f>XLOOKUP([@ManufacturerID],tblManufacturerIDCrosswalk[LegacyManufacturerID],tblManufacturerIDCrosswalk[CanonicalManufacturerID],"")</f>
        <v/>
      </c>
      <c r="K247" s="7">
        <f>XLOOKUP([@DeviceFamilyID],tblDeviceFamilyIDCrosswalk[LegacyDeviceFamilyID],tblDeviceFamilyIDCrosswalk[CanonicalDeviceFamilyID],"")</f>
        <v/>
      </c>
      <c r="L247" s="7">
        <f>XLOOKUP([@DeviceTypeID],tblDeviceTypeIDCrosswalk[LegacyDeviceTypeID],tblDeviceTypeIDCrosswalk[CanonicalDeviceTypeID],"")</f>
        <v/>
      </c>
      <c r="M247" s="14">
        <f>XLOOKUP([@ManufacturerID],tblManufacturerIDCrosswalk[LegacyManufacturerID],tblManufacturerIDCrosswalk[MappingStatus],"No Crosswalk")</f>
        <v/>
      </c>
      <c r="N247" s="35">
        <f>XLOOKUP([@DeviceFamilyID],tblDeviceFamilyIDCrosswalk[LegacyDeviceFamilyID],tblDeviceFamilyIDCrosswalk[MappingStatus],"No Crosswalk")</f>
        <v/>
      </c>
      <c r="O247" s="35">
        <f>XLOOKUP([@DeviceTypeID],tblDeviceTypeIDCrosswalk[LegacyDeviceTypeID],tblDeviceTypeIDCrosswalk[MappingStatus],"No Crosswalk")</f>
        <v/>
      </c>
      <c r="P247">
        <f>IF(OR([@ManufacturerMappingStatus]&lt;&gt;"Approved",[@DeviceFamilyMappingStatus]&lt;&gt;"Approved",[@DeviceTypeMappingStatus]&lt;&gt;"Approved"),"Manual Review Required","Approved Crosswalk Available")</f>
        <v/>
      </c>
      <c r="Q247" t="inlineStr">
        <is>
          <t>Pending Review</t>
        </is>
      </c>
    </row>
    <row r="248" ht="21.5" customHeight="1" s="42">
      <c r="A248" s="36" t="n"/>
      <c r="B248" s="35" t="n"/>
      <c r="C248" s="35" t="n"/>
      <c r="D248" s="35" t="n"/>
      <c r="E248" s="39" t="n"/>
      <c r="F248" s="39" t="n"/>
      <c r="G248" s="10" t="inlineStr">
        <is>
          <t>MOD000245</t>
        </is>
      </c>
      <c r="H248" s="14" t="inlineStr">
        <is>
          <t>MFG002</t>
        </is>
      </c>
      <c r="I248" s="14" t="inlineStr">
        <is>
          <t>DF024</t>
        </is>
      </c>
      <c r="J248" s="14">
        <f>XLOOKUP([@ManufacturerID],tblManufacturerIDCrosswalk[LegacyManufacturerID],tblManufacturerIDCrosswalk[CanonicalManufacturerID],"")</f>
        <v/>
      </c>
      <c r="K248" s="7">
        <f>XLOOKUP([@DeviceFamilyID],tblDeviceFamilyIDCrosswalk[LegacyDeviceFamilyID],tblDeviceFamilyIDCrosswalk[CanonicalDeviceFamilyID],"")</f>
        <v/>
      </c>
      <c r="L248" s="7">
        <f>XLOOKUP([@DeviceTypeID],tblDeviceTypeIDCrosswalk[LegacyDeviceTypeID],tblDeviceTypeIDCrosswalk[CanonicalDeviceTypeID],"")</f>
        <v/>
      </c>
      <c r="M248" s="14">
        <f>XLOOKUP([@ManufacturerID],tblManufacturerIDCrosswalk[LegacyManufacturerID],tblManufacturerIDCrosswalk[MappingStatus],"No Crosswalk")</f>
        <v/>
      </c>
      <c r="N248" s="35">
        <f>XLOOKUP([@DeviceFamilyID],tblDeviceFamilyIDCrosswalk[LegacyDeviceFamilyID],tblDeviceFamilyIDCrosswalk[MappingStatus],"No Crosswalk")</f>
        <v/>
      </c>
      <c r="O248" s="35">
        <f>XLOOKUP([@DeviceTypeID],tblDeviceTypeIDCrosswalk[LegacyDeviceTypeID],tblDeviceTypeIDCrosswalk[MappingStatus],"No Crosswalk")</f>
        <v/>
      </c>
      <c r="P248">
        <f>IF(OR([@ManufacturerMappingStatus]&lt;&gt;"Approved",[@DeviceFamilyMappingStatus]&lt;&gt;"Approved",[@DeviceTypeMappingStatus]&lt;&gt;"Approved"),"Manual Review Required","Approved Crosswalk Available")</f>
        <v/>
      </c>
      <c r="Q248" t="inlineStr">
        <is>
          <t>Pending Review</t>
        </is>
      </c>
    </row>
    <row r="249" ht="21.5" customHeight="1" s="42">
      <c r="A249" s="36" t="n"/>
      <c r="B249" s="35" t="n"/>
      <c r="C249" s="35" t="n"/>
      <c r="D249" s="35" t="n"/>
      <c r="E249" s="39" t="n"/>
      <c r="F249" s="39" t="n"/>
      <c r="G249" s="10" t="inlineStr">
        <is>
          <t>MOD000246</t>
        </is>
      </c>
      <c r="H249" s="14" t="inlineStr">
        <is>
          <t>MFG002</t>
        </is>
      </c>
      <c r="I249" s="14" t="inlineStr">
        <is>
          <t>DF024</t>
        </is>
      </c>
      <c r="J249" s="14">
        <f>XLOOKUP([@ManufacturerID],tblManufacturerIDCrosswalk[LegacyManufacturerID],tblManufacturerIDCrosswalk[CanonicalManufacturerID],"")</f>
        <v/>
      </c>
      <c r="K249" s="7">
        <f>XLOOKUP([@DeviceFamilyID],tblDeviceFamilyIDCrosswalk[LegacyDeviceFamilyID],tblDeviceFamilyIDCrosswalk[CanonicalDeviceFamilyID],"")</f>
        <v/>
      </c>
      <c r="L249" s="7">
        <f>XLOOKUP([@DeviceTypeID],tblDeviceTypeIDCrosswalk[LegacyDeviceTypeID],tblDeviceTypeIDCrosswalk[CanonicalDeviceTypeID],"")</f>
        <v/>
      </c>
      <c r="M249" s="14">
        <f>XLOOKUP([@ManufacturerID],tblManufacturerIDCrosswalk[LegacyManufacturerID],tblManufacturerIDCrosswalk[MappingStatus],"No Crosswalk")</f>
        <v/>
      </c>
      <c r="N249" s="35">
        <f>XLOOKUP([@DeviceFamilyID],tblDeviceFamilyIDCrosswalk[LegacyDeviceFamilyID],tblDeviceFamilyIDCrosswalk[MappingStatus],"No Crosswalk")</f>
        <v/>
      </c>
      <c r="O249" s="35">
        <f>XLOOKUP([@DeviceTypeID],tblDeviceTypeIDCrosswalk[LegacyDeviceTypeID],tblDeviceTypeIDCrosswalk[MappingStatus],"No Crosswalk")</f>
        <v/>
      </c>
      <c r="P249">
        <f>IF(OR([@ManufacturerMappingStatus]&lt;&gt;"Approved",[@DeviceFamilyMappingStatus]&lt;&gt;"Approved",[@DeviceTypeMappingStatus]&lt;&gt;"Approved"),"Manual Review Required","Approved Crosswalk Available")</f>
        <v/>
      </c>
      <c r="Q249" t="inlineStr">
        <is>
          <t>Pending Review</t>
        </is>
      </c>
    </row>
    <row r="250" ht="21.5" customHeight="1" s="42">
      <c r="A250" s="36" t="n"/>
      <c r="B250" s="35" t="n"/>
      <c r="C250" s="35" t="n"/>
      <c r="D250" s="35" t="n"/>
      <c r="E250" s="39" t="n"/>
      <c r="F250" s="39" t="n"/>
      <c r="G250" s="10" t="inlineStr">
        <is>
          <t>MOD000247</t>
        </is>
      </c>
      <c r="H250" s="14" t="inlineStr">
        <is>
          <t>MFG002</t>
        </is>
      </c>
      <c r="I250" s="14" t="inlineStr">
        <is>
          <t>DF024</t>
        </is>
      </c>
      <c r="J250" s="14">
        <f>XLOOKUP([@ManufacturerID],tblManufacturerIDCrosswalk[LegacyManufacturerID],tblManufacturerIDCrosswalk[CanonicalManufacturerID],"")</f>
        <v/>
      </c>
      <c r="K250" s="7">
        <f>XLOOKUP([@DeviceFamilyID],tblDeviceFamilyIDCrosswalk[LegacyDeviceFamilyID],tblDeviceFamilyIDCrosswalk[CanonicalDeviceFamilyID],"")</f>
        <v/>
      </c>
      <c r="L250" s="7">
        <f>XLOOKUP([@DeviceTypeID],tblDeviceTypeIDCrosswalk[LegacyDeviceTypeID],tblDeviceTypeIDCrosswalk[CanonicalDeviceTypeID],"")</f>
        <v/>
      </c>
      <c r="M250" s="14">
        <f>XLOOKUP([@ManufacturerID],tblManufacturerIDCrosswalk[LegacyManufacturerID],tblManufacturerIDCrosswalk[MappingStatus],"No Crosswalk")</f>
        <v/>
      </c>
      <c r="N250" s="35">
        <f>XLOOKUP([@DeviceFamilyID],tblDeviceFamilyIDCrosswalk[LegacyDeviceFamilyID],tblDeviceFamilyIDCrosswalk[MappingStatus],"No Crosswalk")</f>
        <v/>
      </c>
      <c r="O250" s="35">
        <f>XLOOKUP([@DeviceTypeID],tblDeviceTypeIDCrosswalk[LegacyDeviceTypeID],tblDeviceTypeIDCrosswalk[MappingStatus],"No Crosswalk")</f>
        <v/>
      </c>
      <c r="P250">
        <f>IF(OR([@ManufacturerMappingStatus]&lt;&gt;"Approved",[@DeviceFamilyMappingStatus]&lt;&gt;"Approved",[@DeviceTypeMappingStatus]&lt;&gt;"Approved"),"Manual Review Required","Approved Crosswalk Available")</f>
        <v/>
      </c>
      <c r="Q250" t="inlineStr">
        <is>
          <t>Pending Review</t>
        </is>
      </c>
    </row>
    <row r="251" ht="21.5" customHeight="1" s="42">
      <c r="A251" s="36" t="n"/>
      <c r="B251" s="35" t="n"/>
      <c r="C251" s="35" t="n"/>
      <c r="D251" s="35" t="n"/>
      <c r="E251" s="39" t="n"/>
      <c r="F251" s="39" t="n"/>
      <c r="G251" s="10" t="inlineStr">
        <is>
          <t>MOD000248</t>
        </is>
      </c>
      <c r="H251" s="14" t="inlineStr">
        <is>
          <t>MFG002</t>
        </is>
      </c>
      <c r="I251" s="14" t="inlineStr">
        <is>
          <t>DF024</t>
        </is>
      </c>
      <c r="J251" s="14">
        <f>XLOOKUP([@ManufacturerID],tblManufacturerIDCrosswalk[LegacyManufacturerID],tblManufacturerIDCrosswalk[CanonicalManufacturerID],"")</f>
        <v/>
      </c>
      <c r="K251" s="7">
        <f>XLOOKUP([@DeviceFamilyID],tblDeviceFamilyIDCrosswalk[LegacyDeviceFamilyID],tblDeviceFamilyIDCrosswalk[CanonicalDeviceFamilyID],"")</f>
        <v/>
      </c>
      <c r="L251" s="7">
        <f>XLOOKUP([@DeviceTypeID],tblDeviceTypeIDCrosswalk[LegacyDeviceTypeID],tblDeviceTypeIDCrosswalk[CanonicalDeviceTypeID],"")</f>
        <v/>
      </c>
      <c r="M251" s="14">
        <f>XLOOKUP([@ManufacturerID],tblManufacturerIDCrosswalk[LegacyManufacturerID],tblManufacturerIDCrosswalk[MappingStatus],"No Crosswalk")</f>
        <v/>
      </c>
      <c r="N251" s="35">
        <f>XLOOKUP([@DeviceFamilyID],tblDeviceFamilyIDCrosswalk[LegacyDeviceFamilyID],tblDeviceFamilyIDCrosswalk[MappingStatus],"No Crosswalk")</f>
        <v/>
      </c>
      <c r="O251" s="35">
        <f>XLOOKUP([@DeviceTypeID],tblDeviceTypeIDCrosswalk[LegacyDeviceTypeID],tblDeviceTypeIDCrosswalk[MappingStatus],"No Crosswalk")</f>
        <v/>
      </c>
      <c r="P251">
        <f>IF(OR([@ManufacturerMappingStatus]&lt;&gt;"Approved",[@DeviceFamilyMappingStatus]&lt;&gt;"Approved",[@DeviceTypeMappingStatus]&lt;&gt;"Approved"),"Manual Review Required","Approved Crosswalk Available")</f>
        <v/>
      </c>
      <c r="Q251" t="inlineStr">
        <is>
          <t>Pending Review</t>
        </is>
      </c>
    </row>
    <row r="252" ht="21.5" customHeight="1" s="42">
      <c r="A252" s="36" t="n"/>
      <c r="B252" s="35" t="n"/>
      <c r="C252" s="35" t="n"/>
      <c r="D252" s="35" t="n"/>
      <c r="E252" s="39" t="n"/>
      <c r="F252" s="39" t="n"/>
      <c r="G252" s="10" t="inlineStr">
        <is>
          <t>MOD000249</t>
        </is>
      </c>
      <c r="H252" s="14" t="inlineStr">
        <is>
          <t>MFG002</t>
        </is>
      </c>
      <c r="I252" s="14" t="inlineStr">
        <is>
          <t>DF024</t>
        </is>
      </c>
      <c r="J252" s="14">
        <f>XLOOKUP([@ManufacturerID],tblManufacturerIDCrosswalk[LegacyManufacturerID],tblManufacturerIDCrosswalk[CanonicalManufacturerID],"")</f>
        <v/>
      </c>
      <c r="K252" s="7">
        <f>XLOOKUP([@DeviceFamilyID],tblDeviceFamilyIDCrosswalk[LegacyDeviceFamilyID],tblDeviceFamilyIDCrosswalk[CanonicalDeviceFamilyID],"")</f>
        <v/>
      </c>
      <c r="L252" s="7">
        <f>XLOOKUP([@DeviceTypeID],tblDeviceTypeIDCrosswalk[LegacyDeviceTypeID],tblDeviceTypeIDCrosswalk[CanonicalDeviceTypeID],"")</f>
        <v/>
      </c>
      <c r="M252" s="14">
        <f>XLOOKUP([@ManufacturerID],tblManufacturerIDCrosswalk[LegacyManufacturerID],tblManufacturerIDCrosswalk[MappingStatus],"No Crosswalk")</f>
        <v/>
      </c>
      <c r="N252" s="35">
        <f>XLOOKUP([@DeviceFamilyID],tblDeviceFamilyIDCrosswalk[LegacyDeviceFamilyID],tblDeviceFamilyIDCrosswalk[MappingStatus],"No Crosswalk")</f>
        <v/>
      </c>
      <c r="O252" s="35">
        <f>XLOOKUP([@DeviceTypeID],tblDeviceTypeIDCrosswalk[LegacyDeviceTypeID],tblDeviceTypeIDCrosswalk[MappingStatus],"No Crosswalk")</f>
        <v/>
      </c>
      <c r="P252">
        <f>IF(OR([@ManufacturerMappingStatus]&lt;&gt;"Approved",[@DeviceFamilyMappingStatus]&lt;&gt;"Approved",[@DeviceTypeMappingStatus]&lt;&gt;"Approved"),"Manual Review Required","Approved Crosswalk Available")</f>
        <v/>
      </c>
      <c r="Q252" t="inlineStr">
        <is>
          <t>Pending Review</t>
        </is>
      </c>
    </row>
    <row r="253" ht="21.5" customHeight="1" s="42">
      <c r="A253" s="36" t="n"/>
      <c r="B253" s="35" t="n"/>
      <c r="C253" s="35" t="n"/>
      <c r="D253" s="35" t="n"/>
      <c r="E253" s="39" t="n"/>
      <c r="F253" s="39" t="n"/>
      <c r="G253" s="10" t="inlineStr">
        <is>
          <t>MOD000250</t>
        </is>
      </c>
      <c r="H253" s="14" t="inlineStr">
        <is>
          <t>MFG002</t>
        </is>
      </c>
      <c r="I253" s="14" t="inlineStr">
        <is>
          <t>DF024</t>
        </is>
      </c>
      <c r="J253" s="14">
        <f>XLOOKUP([@ManufacturerID],tblManufacturerIDCrosswalk[LegacyManufacturerID],tblManufacturerIDCrosswalk[CanonicalManufacturerID],"")</f>
        <v/>
      </c>
      <c r="K253" s="7">
        <f>XLOOKUP([@DeviceFamilyID],tblDeviceFamilyIDCrosswalk[LegacyDeviceFamilyID],tblDeviceFamilyIDCrosswalk[CanonicalDeviceFamilyID],"")</f>
        <v/>
      </c>
      <c r="L253" s="7">
        <f>XLOOKUP([@DeviceTypeID],tblDeviceTypeIDCrosswalk[LegacyDeviceTypeID],tblDeviceTypeIDCrosswalk[CanonicalDeviceTypeID],"")</f>
        <v/>
      </c>
      <c r="M253" s="14">
        <f>XLOOKUP([@ManufacturerID],tblManufacturerIDCrosswalk[LegacyManufacturerID],tblManufacturerIDCrosswalk[MappingStatus],"No Crosswalk")</f>
        <v/>
      </c>
      <c r="N253" s="35">
        <f>XLOOKUP([@DeviceFamilyID],tblDeviceFamilyIDCrosswalk[LegacyDeviceFamilyID],tblDeviceFamilyIDCrosswalk[MappingStatus],"No Crosswalk")</f>
        <v/>
      </c>
      <c r="O253" s="35">
        <f>XLOOKUP([@DeviceTypeID],tblDeviceTypeIDCrosswalk[LegacyDeviceTypeID],tblDeviceTypeIDCrosswalk[MappingStatus],"No Crosswalk")</f>
        <v/>
      </c>
      <c r="P253">
        <f>IF(OR([@ManufacturerMappingStatus]&lt;&gt;"Approved",[@DeviceFamilyMappingStatus]&lt;&gt;"Approved",[@DeviceTypeMappingStatus]&lt;&gt;"Approved"),"Manual Review Required","Approved Crosswalk Available")</f>
        <v/>
      </c>
      <c r="Q253" t="inlineStr">
        <is>
          <t>Pending Review</t>
        </is>
      </c>
    </row>
    <row r="254" ht="21.5" customHeight="1" s="42">
      <c r="A254" s="36" t="n"/>
      <c r="B254" s="35" t="n"/>
      <c r="C254" s="35" t="n"/>
      <c r="D254" s="35" t="n"/>
      <c r="E254" s="39" t="n"/>
      <c r="F254" s="39" t="n"/>
      <c r="G254" s="10" t="inlineStr">
        <is>
          <t>MOD000251</t>
        </is>
      </c>
      <c r="H254" s="14" t="inlineStr">
        <is>
          <t>MFG002</t>
        </is>
      </c>
      <c r="I254" s="14" t="inlineStr">
        <is>
          <t>DF024</t>
        </is>
      </c>
      <c r="J254" s="14">
        <f>XLOOKUP([@ManufacturerID],tblManufacturerIDCrosswalk[LegacyManufacturerID],tblManufacturerIDCrosswalk[CanonicalManufacturerID],"")</f>
        <v/>
      </c>
      <c r="K254" s="7">
        <f>XLOOKUP([@DeviceFamilyID],tblDeviceFamilyIDCrosswalk[LegacyDeviceFamilyID],tblDeviceFamilyIDCrosswalk[CanonicalDeviceFamilyID],"")</f>
        <v/>
      </c>
      <c r="L254" s="7">
        <f>XLOOKUP([@DeviceTypeID],tblDeviceTypeIDCrosswalk[LegacyDeviceTypeID],tblDeviceTypeIDCrosswalk[CanonicalDeviceTypeID],"")</f>
        <v/>
      </c>
      <c r="M254" s="14">
        <f>XLOOKUP([@ManufacturerID],tblManufacturerIDCrosswalk[LegacyManufacturerID],tblManufacturerIDCrosswalk[MappingStatus],"No Crosswalk")</f>
        <v/>
      </c>
      <c r="N254" s="35">
        <f>XLOOKUP([@DeviceFamilyID],tblDeviceFamilyIDCrosswalk[LegacyDeviceFamilyID],tblDeviceFamilyIDCrosswalk[MappingStatus],"No Crosswalk")</f>
        <v/>
      </c>
      <c r="O254" s="35">
        <f>XLOOKUP([@DeviceTypeID],tblDeviceTypeIDCrosswalk[LegacyDeviceTypeID],tblDeviceTypeIDCrosswalk[MappingStatus],"No Crosswalk")</f>
        <v/>
      </c>
      <c r="P254">
        <f>IF(OR([@ManufacturerMappingStatus]&lt;&gt;"Approved",[@DeviceFamilyMappingStatus]&lt;&gt;"Approved",[@DeviceTypeMappingStatus]&lt;&gt;"Approved"),"Manual Review Required","Approved Crosswalk Available")</f>
        <v/>
      </c>
      <c r="Q254" t="inlineStr">
        <is>
          <t>Pending Review</t>
        </is>
      </c>
    </row>
    <row r="255" ht="21.5" customHeight="1" s="42">
      <c r="A255" s="36" t="n"/>
      <c r="B255" s="35" t="n"/>
      <c r="C255" s="35" t="n"/>
      <c r="D255" s="35" t="n"/>
      <c r="E255" s="39" t="n"/>
      <c r="F255" s="39" t="n"/>
      <c r="G255" s="10" t="inlineStr">
        <is>
          <t>MOD000252</t>
        </is>
      </c>
      <c r="H255" s="14" t="inlineStr">
        <is>
          <t>MFG002</t>
        </is>
      </c>
      <c r="I255" s="14" t="inlineStr">
        <is>
          <t>DF024</t>
        </is>
      </c>
      <c r="J255" s="14">
        <f>XLOOKUP([@ManufacturerID],tblManufacturerIDCrosswalk[LegacyManufacturerID],tblManufacturerIDCrosswalk[CanonicalManufacturerID],"")</f>
        <v/>
      </c>
      <c r="K255" s="7">
        <f>XLOOKUP([@DeviceFamilyID],tblDeviceFamilyIDCrosswalk[LegacyDeviceFamilyID],tblDeviceFamilyIDCrosswalk[CanonicalDeviceFamilyID],"")</f>
        <v/>
      </c>
      <c r="L255" s="7">
        <f>XLOOKUP([@DeviceTypeID],tblDeviceTypeIDCrosswalk[LegacyDeviceTypeID],tblDeviceTypeIDCrosswalk[CanonicalDeviceTypeID],"")</f>
        <v/>
      </c>
      <c r="M255" s="14">
        <f>XLOOKUP([@ManufacturerID],tblManufacturerIDCrosswalk[LegacyManufacturerID],tblManufacturerIDCrosswalk[MappingStatus],"No Crosswalk")</f>
        <v/>
      </c>
      <c r="N255" s="35">
        <f>XLOOKUP([@DeviceFamilyID],tblDeviceFamilyIDCrosswalk[LegacyDeviceFamilyID],tblDeviceFamilyIDCrosswalk[MappingStatus],"No Crosswalk")</f>
        <v/>
      </c>
      <c r="O255" s="35">
        <f>XLOOKUP([@DeviceTypeID],tblDeviceTypeIDCrosswalk[LegacyDeviceTypeID],tblDeviceTypeIDCrosswalk[MappingStatus],"No Crosswalk")</f>
        <v/>
      </c>
      <c r="P255">
        <f>IF(OR([@ManufacturerMappingStatus]&lt;&gt;"Approved",[@DeviceFamilyMappingStatus]&lt;&gt;"Approved",[@DeviceTypeMappingStatus]&lt;&gt;"Approved"),"Manual Review Required","Approved Crosswalk Available")</f>
        <v/>
      </c>
      <c r="Q255" t="inlineStr">
        <is>
          <t>Pending Review</t>
        </is>
      </c>
    </row>
    <row r="256" ht="21.5" customHeight="1" s="42">
      <c r="A256" s="36" t="n"/>
      <c r="B256" s="35" t="n"/>
      <c r="C256" s="35" t="n"/>
      <c r="D256" s="35" t="n"/>
      <c r="E256" s="39" t="n"/>
      <c r="F256" s="39" t="n"/>
      <c r="G256" s="10" t="inlineStr">
        <is>
          <t>MOD000253</t>
        </is>
      </c>
      <c r="H256" s="14" t="inlineStr">
        <is>
          <t>MFG002</t>
        </is>
      </c>
      <c r="I256" s="14" t="inlineStr">
        <is>
          <t>DF024</t>
        </is>
      </c>
      <c r="J256" s="14">
        <f>XLOOKUP([@ManufacturerID],tblManufacturerIDCrosswalk[LegacyManufacturerID],tblManufacturerIDCrosswalk[CanonicalManufacturerID],"")</f>
        <v/>
      </c>
      <c r="K256" s="7">
        <f>XLOOKUP([@DeviceFamilyID],tblDeviceFamilyIDCrosswalk[LegacyDeviceFamilyID],tblDeviceFamilyIDCrosswalk[CanonicalDeviceFamilyID],"")</f>
        <v/>
      </c>
      <c r="L256" s="7">
        <f>XLOOKUP([@DeviceTypeID],tblDeviceTypeIDCrosswalk[LegacyDeviceTypeID],tblDeviceTypeIDCrosswalk[CanonicalDeviceTypeID],"")</f>
        <v/>
      </c>
      <c r="M256" s="14">
        <f>XLOOKUP([@ManufacturerID],tblManufacturerIDCrosswalk[LegacyManufacturerID],tblManufacturerIDCrosswalk[MappingStatus],"No Crosswalk")</f>
        <v/>
      </c>
      <c r="N256" s="35">
        <f>XLOOKUP([@DeviceFamilyID],tblDeviceFamilyIDCrosswalk[LegacyDeviceFamilyID],tblDeviceFamilyIDCrosswalk[MappingStatus],"No Crosswalk")</f>
        <v/>
      </c>
      <c r="O256" s="35">
        <f>XLOOKUP([@DeviceTypeID],tblDeviceTypeIDCrosswalk[LegacyDeviceTypeID],tblDeviceTypeIDCrosswalk[MappingStatus],"No Crosswalk")</f>
        <v/>
      </c>
      <c r="P256">
        <f>IF(OR([@ManufacturerMappingStatus]&lt;&gt;"Approved",[@DeviceFamilyMappingStatus]&lt;&gt;"Approved",[@DeviceTypeMappingStatus]&lt;&gt;"Approved"),"Manual Review Required","Approved Crosswalk Available")</f>
        <v/>
      </c>
      <c r="Q256" t="inlineStr">
        <is>
          <t>Pending Review</t>
        </is>
      </c>
    </row>
    <row r="257" ht="21.5" customHeight="1" s="42">
      <c r="A257" s="36" t="n"/>
      <c r="B257" s="35" t="n"/>
      <c r="C257" s="35" t="n"/>
      <c r="D257" s="35" t="n"/>
      <c r="E257" s="39" t="n"/>
      <c r="F257" s="39" t="n"/>
      <c r="G257" s="10" t="inlineStr">
        <is>
          <t>MOD000254</t>
        </is>
      </c>
      <c r="H257" s="14" t="inlineStr">
        <is>
          <t>MFG002</t>
        </is>
      </c>
      <c r="I257" s="14" t="inlineStr">
        <is>
          <t>DF024</t>
        </is>
      </c>
      <c r="J257" s="14">
        <f>XLOOKUP([@ManufacturerID],tblManufacturerIDCrosswalk[LegacyManufacturerID],tblManufacturerIDCrosswalk[CanonicalManufacturerID],"")</f>
        <v/>
      </c>
      <c r="K257" s="7">
        <f>XLOOKUP([@DeviceFamilyID],tblDeviceFamilyIDCrosswalk[LegacyDeviceFamilyID],tblDeviceFamilyIDCrosswalk[CanonicalDeviceFamilyID],"")</f>
        <v/>
      </c>
      <c r="L257" s="7">
        <f>XLOOKUP([@DeviceTypeID],tblDeviceTypeIDCrosswalk[LegacyDeviceTypeID],tblDeviceTypeIDCrosswalk[CanonicalDeviceTypeID],"")</f>
        <v/>
      </c>
      <c r="M257" s="14">
        <f>XLOOKUP([@ManufacturerID],tblManufacturerIDCrosswalk[LegacyManufacturerID],tblManufacturerIDCrosswalk[MappingStatus],"No Crosswalk")</f>
        <v/>
      </c>
      <c r="N257" s="35">
        <f>XLOOKUP([@DeviceFamilyID],tblDeviceFamilyIDCrosswalk[LegacyDeviceFamilyID],tblDeviceFamilyIDCrosswalk[MappingStatus],"No Crosswalk")</f>
        <v/>
      </c>
      <c r="O257" s="35">
        <f>XLOOKUP([@DeviceTypeID],tblDeviceTypeIDCrosswalk[LegacyDeviceTypeID],tblDeviceTypeIDCrosswalk[MappingStatus],"No Crosswalk")</f>
        <v/>
      </c>
      <c r="P257">
        <f>IF(OR([@ManufacturerMappingStatus]&lt;&gt;"Approved",[@DeviceFamilyMappingStatus]&lt;&gt;"Approved",[@DeviceTypeMappingStatus]&lt;&gt;"Approved"),"Manual Review Required","Approved Crosswalk Available")</f>
        <v/>
      </c>
      <c r="Q257" t="inlineStr">
        <is>
          <t>Pending Review</t>
        </is>
      </c>
    </row>
    <row r="258" ht="21.5" customHeight="1" s="42">
      <c r="A258" s="36" t="n"/>
      <c r="B258" s="35" t="n"/>
      <c r="C258" s="35" t="n"/>
      <c r="D258" s="35" t="n"/>
      <c r="E258" s="39" t="n"/>
      <c r="F258" s="39" t="n"/>
      <c r="G258" s="10" t="inlineStr">
        <is>
          <t>MOD000255</t>
        </is>
      </c>
      <c r="H258" s="14" t="inlineStr">
        <is>
          <t>MFG002</t>
        </is>
      </c>
      <c r="I258" s="14" t="inlineStr">
        <is>
          <t>DF024</t>
        </is>
      </c>
      <c r="J258" s="14">
        <f>XLOOKUP([@ManufacturerID],tblManufacturerIDCrosswalk[LegacyManufacturerID],tblManufacturerIDCrosswalk[CanonicalManufacturerID],"")</f>
        <v/>
      </c>
      <c r="K258" s="7">
        <f>XLOOKUP([@DeviceFamilyID],tblDeviceFamilyIDCrosswalk[LegacyDeviceFamilyID],tblDeviceFamilyIDCrosswalk[CanonicalDeviceFamilyID],"")</f>
        <v/>
      </c>
      <c r="L258" s="7">
        <f>XLOOKUP([@DeviceTypeID],tblDeviceTypeIDCrosswalk[LegacyDeviceTypeID],tblDeviceTypeIDCrosswalk[CanonicalDeviceTypeID],"")</f>
        <v/>
      </c>
      <c r="M258" s="14">
        <f>XLOOKUP([@ManufacturerID],tblManufacturerIDCrosswalk[LegacyManufacturerID],tblManufacturerIDCrosswalk[MappingStatus],"No Crosswalk")</f>
        <v/>
      </c>
      <c r="N258" s="35">
        <f>XLOOKUP([@DeviceFamilyID],tblDeviceFamilyIDCrosswalk[LegacyDeviceFamilyID],tblDeviceFamilyIDCrosswalk[MappingStatus],"No Crosswalk")</f>
        <v/>
      </c>
      <c r="O258" s="35">
        <f>XLOOKUP([@DeviceTypeID],tblDeviceTypeIDCrosswalk[LegacyDeviceTypeID],tblDeviceTypeIDCrosswalk[MappingStatus],"No Crosswalk")</f>
        <v/>
      </c>
      <c r="P258">
        <f>IF(OR([@ManufacturerMappingStatus]&lt;&gt;"Approved",[@DeviceFamilyMappingStatus]&lt;&gt;"Approved",[@DeviceTypeMappingStatus]&lt;&gt;"Approved"),"Manual Review Required","Approved Crosswalk Available")</f>
        <v/>
      </c>
      <c r="Q258" t="inlineStr">
        <is>
          <t>Pending Review</t>
        </is>
      </c>
    </row>
    <row r="259" ht="21.5" customHeight="1" s="42">
      <c r="A259" s="36" t="n"/>
      <c r="B259" s="35" t="n"/>
      <c r="C259" s="35" t="n"/>
      <c r="D259" s="35" t="n"/>
      <c r="E259" s="39" t="n"/>
      <c r="F259" s="39" t="n"/>
      <c r="G259" s="10" t="inlineStr">
        <is>
          <t>MOD000256</t>
        </is>
      </c>
      <c r="H259" s="14" t="inlineStr">
        <is>
          <t>MFG002</t>
        </is>
      </c>
      <c r="I259" s="14" t="inlineStr">
        <is>
          <t>DF024</t>
        </is>
      </c>
      <c r="J259" s="14">
        <f>XLOOKUP([@ManufacturerID],tblManufacturerIDCrosswalk[LegacyManufacturerID],tblManufacturerIDCrosswalk[CanonicalManufacturerID],"")</f>
        <v/>
      </c>
      <c r="K259" s="7">
        <f>XLOOKUP([@DeviceFamilyID],tblDeviceFamilyIDCrosswalk[LegacyDeviceFamilyID],tblDeviceFamilyIDCrosswalk[CanonicalDeviceFamilyID],"")</f>
        <v/>
      </c>
      <c r="L259" s="7">
        <f>XLOOKUP([@DeviceTypeID],tblDeviceTypeIDCrosswalk[LegacyDeviceTypeID],tblDeviceTypeIDCrosswalk[CanonicalDeviceTypeID],"")</f>
        <v/>
      </c>
      <c r="M259" s="14">
        <f>XLOOKUP([@ManufacturerID],tblManufacturerIDCrosswalk[LegacyManufacturerID],tblManufacturerIDCrosswalk[MappingStatus],"No Crosswalk")</f>
        <v/>
      </c>
      <c r="N259" s="35">
        <f>XLOOKUP([@DeviceFamilyID],tblDeviceFamilyIDCrosswalk[LegacyDeviceFamilyID],tblDeviceFamilyIDCrosswalk[MappingStatus],"No Crosswalk")</f>
        <v/>
      </c>
      <c r="O259" s="35">
        <f>XLOOKUP([@DeviceTypeID],tblDeviceTypeIDCrosswalk[LegacyDeviceTypeID],tblDeviceTypeIDCrosswalk[MappingStatus],"No Crosswalk")</f>
        <v/>
      </c>
      <c r="P259">
        <f>IF(OR([@ManufacturerMappingStatus]&lt;&gt;"Approved",[@DeviceFamilyMappingStatus]&lt;&gt;"Approved",[@DeviceTypeMappingStatus]&lt;&gt;"Approved"),"Manual Review Required","Approved Crosswalk Available")</f>
        <v/>
      </c>
      <c r="Q259" t="inlineStr">
        <is>
          <t>Pending Review</t>
        </is>
      </c>
    </row>
    <row r="260" ht="21.5" customHeight="1" s="42">
      <c r="A260" s="36" t="n"/>
      <c r="B260" s="35" t="n"/>
      <c r="C260" s="35" t="n"/>
      <c r="D260" s="35" t="n"/>
      <c r="E260" s="39" t="n"/>
      <c r="F260" s="39" t="n"/>
      <c r="G260" s="10" t="inlineStr">
        <is>
          <t>MOD000257</t>
        </is>
      </c>
      <c r="H260" s="14" t="inlineStr">
        <is>
          <t>MFG002</t>
        </is>
      </c>
      <c r="I260" s="14" t="inlineStr">
        <is>
          <t>DF024</t>
        </is>
      </c>
      <c r="J260" s="14">
        <f>XLOOKUP([@ManufacturerID],tblManufacturerIDCrosswalk[LegacyManufacturerID],tblManufacturerIDCrosswalk[CanonicalManufacturerID],"")</f>
        <v/>
      </c>
      <c r="K260" s="7">
        <f>XLOOKUP([@DeviceFamilyID],tblDeviceFamilyIDCrosswalk[LegacyDeviceFamilyID],tblDeviceFamilyIDCrosswalk[CanonicalDeviceFamilyID],"")</f>
        <v/>
      </c>
      <c r="L260" s="7">
        <f>XLOOKUP([@DeviceTypeID],tblDeviceTypeIDCrosswalk[LegacyDeviceTypeID],tblDeviceTypeIDCrosswalk[CanonicalDeviceTypeID],"")</f>
        <v/>
      </c>
      <c r="M260" s="14">
        <f>XLOOKUP([@ManufacturerID],tblManufacturerIDCrosswalk[LegacyManufacturerID],tblManufacturerIDCrosswalk[MappingStatus],"No Crosswalk")</f>
        <v/>
      </c>
      <c r="N260" s="35">
        <f>XLOOKUP([@DeviceFamilyID],tblDeviceFamilyIDCrosswalk[LegacyDeviceFamilyID],tblDeviceFamilyIDCrosswalk[MappingStatus],"No Crosswalk")</f>
        <v/>
      </c>
      <c r="O260" s="35">
        <f>XLOOKUP([@DeviceTypeID],tblDeviceTypeIDCrosswalk[LegacyDeviceTypeID],tblDeviceTypeIDCrosswalk[MappingStatus],"No Crosswalk")</f>
        <v/>
      </c>
      <c r="P260">
        <f>IF(OR([@ManufacturerMappingStatus]&lt;&gt;"Approved",[@DeviceFamilyMappingStatus]&lt;&gt;"Approved",[@DeviceTypeMappingStatus]&lt;&gt;"Approved"),"Manual Review Required","Approved Crosswalk Available")</f>
        <v/>
      </c>
      <c r="Q260" t="inlineStr">
        <is>
          <t>Pending Review</t>
        </is>
      </c>
    </row>
    <row r="261" ht="21.5" customHeight="1" s="42">
      <c r="A261" s="36" t="n"/>
      <c r="B261" s="35" t="n"/>
      <c r="C261" s="35" t="n"/>
      <c r="D261" s="35" t="n"/>
      <c r="E261" s="39" t="n"/>
      <c r="F261" s="39" t="n"/>
      <c r="G261" s="10" t="inlineStr">
        <is>
          <t>MOD000258</t>
        </is>
      </c>
      <c r="H261" s="14" t="inlineStr">
        <is>
          <t>MFG002</t>
        </is>
      </c>
      <c r="I261" s="14" t="inlineStr">
        <is>
          <t>DF024</t>
        </is>
      </c>
      <c r="J261" s="14">
        <f>XLOOKUP([@ManufacturerID],tblManufacturerIDCrosswalk[LegacyManufacturerID],tblManufacturerIDCrosswalk[CanonicalManufacturerID],"")</f>
        <v/>
      </c>
      <c r="K261" s="7">
        <f>XLOOKUP([@DeviceFamilyID],tblDeviceFamilyIDCrosswalk[LegacyDeviceFamilyID],tblDeviceFamilyIDCrosswalk[CanonicalDeviceFamilyID],"")</f>
        <v/>
      </c>
      <c r="L261" s="7">
        <f>XLOOKUP([@DeviceTypeID],tblDeviceTypeIDCrosswalk[LegacyDeviceTypeID],tblDeviceTypeIDCrosswalk[CanonicalDeviceTypeID],"")</f>
        <v/>
      </c>
      <c r="M261" s="14">
        <f>XLOOKUP([@ManufacturerID],tblManufacturerIDCrosswalk[LegacyManufacturerID],tblManufacturerIDCrosswalk[MappingStatus],"No Crosswalk")</f>
        <v/>
      </c>
      <c r="N261" s="35">
        <f>XLOOKUP([@DeviceFamilyID],tblDeviceFamilyIDCrosswalk[LegacyDeviceFamilyID],tblDeviceFamilyIDCrosswalk[MappingStatus],"No Crosswalk")</f>
        <v/>
      </c>
      <c r="O261" s="35">
        <f>XLOOKUP([@DeviceTypeID],tblDeviceTypeIDCrosswalk[LegacyDeviceTypeID],tblDeviceTypeIDCrosswalk[MappingStatus],"No Crosswalk")</f>
        <v/>
      </c>
      <c r="P261">
        <f>IF(OR([@ManufacturerMappingStatus]&lt;&gt;"Approved",[@DeviceFamilyMappingStatus]&lt;&gt;"Approved",[@DeviceTypeMappingStatus]&lt;&gt;"Approved"),"Manual Review Required","Approved Crosswalk Available")</f>
        <v/>
      </c>
      <c r="Q261" t="inlineStr">
        <is>
          <t>Pending Review</t>
        </is>
      </c>
    </row>
    <row r="262" ht="21.5" customHeight="1" s="42">
      <c r="A262" s="36" t="n"/>
      <c r="B262" s="35" t="n"/>
      <c r="C262" s="35" t="n"/>
      <c r="D262" s="35" t="n"/>
      <c r="E262" s="39" t="n"/>
      <c r="F262" s="39" t="n"/>
      <c r="G262" s="10" t="inlineStr">
        <is>
          <t>MOD000259</t>
        </is>
      </c>
      <c r="H262" s="14" t="inlineStr">
        <is>
          <t>MFG002</t>
        </is>
      </c>
      <c r="I262" s="14" t="inlineStr">
        <is>
          <t>DF024</t>
        </is>
      </c>
      <c r="J262" s="14">
        <f>XLOOKUP([@ManufacturerID],tblManufacturerIDCrosswalk[LegacyManufacturerID],tblManufacturerIDCrosswalk[CanonicalManufacturerID],"")</f>
        <v/>
      </c>
      <c r="K262" s="7">
        <f>XLOOKUP([@DeviceFamilyID],tblDeviceFamilyIDCrosswalk[LegacyDeviceFamilyID],tblDeviceFamilyIDCrosswalk[CanonicalDeviceFamilyID],"")</f>
        <v/>
      </c>
      <c r="L262" s="7">
        <f>XLOOKUP([@DeviceTypeID],tblDeviceTypeIDCrosswalk[LegacyDeviceTypeID],tblDeviceTypeIDCrosswalk[CanonicalDeviceTypeID],"")</f>
        <v/>
      </c>
      <c r="M262" s="14">
        <f>XLOOKUP([@ManufacturerID],tblManufacturerIDCrosswalk[LegacyManufacturerID],tblManufacturerIDCrosswalk[MappingStatus],"No Crosswalk")</f>
        <v/>
      </c>
      <c r="N262" s="35">
        <f>XLOOKUP([@DeviceFamilyID],tblDeviceFamilyIDCrosswalk[LegacyDeviceFamilyID],tblDeviceFamilyIDCrosswalk[MappingStatus],"No Crosswalk")</f>
        <v/>
      </c>
      <c r="O262" s="35">
        <f>XLOOKUP([@DeviceTypeID],tblDeviceTypeIDCrosswalk[LegacyDeviceTypeID],tblDeviceTypeIDCrosswalk[MappingStatus],"No Crosswalk")</f>
        <v/>
      </c>
      <c r="P262">
        <f>IF(OR([@ManufacturerMappingStatus]&lt;&gt;"Approved",[@DeviceFamilyMappingStatus]&lt;&gt;"Approved",[@DeviceTypeMappingStatus]&lt;&gt;"Approved"),"Manual Review Required","Approved Crosswalk Available")</f>
        <v/>
      </c>
      <c r="Q262" t="inlineStr">
        <is>
          <t>Pending Review</t>
        </is>
      </c>
    </row>
    <row r="263" ht="21.5" customHeight="1" s="42">
      <c r="A263" s="36" t="n"/>
      <c r="B263" s="35" t="n"/>
      <c r="C263" s="35" t="n"/>
      <c r="D263" s="35" t="n"/>
      <c r="E263" s="39" t="n"/>
      <c r="F263" s="39" t="n"/>
      <c r="G263" s="10" t="inlineStr">
        <is>
          <t>MOD000260</t>
        </is>
      </c>
      <c r="H263" s="14" t="inlineStr">
        <is>
          <t>MFG002</t>
        </is>
      </c>
      <c r="I263" s="14" t="inlineStr">
        <is>
          <t>DF024</t>
        </is>
      </c>
      <c r="J263" s="14">
        <f>XLOOKUP([@ManufacturerID],tblManufacturerIDCrosswalk[LegacyManufacturerID],tblManufacturerIDCrosswalk[CanonicalManufacturerID],"")</f>
        <v/>
      </c>
      <c r="K263" s="7">
        <f>XLOOKUP([@DeviceFamilyID],tblDeviceFamilyIDCrosswalk[LegacyDeviceFamilyID],tblDeviceFamilyIDCrosswalk[CanonicalDeviceFamilyID],"")</f>
        <v/>
      </c>
      <c r="L263" s="7">
        <f>XLOOKUP([@DeviceTypeID],tblDeviceTypeIDCrosswalk[LegacyDeviceTypeID],tblDeviceTypeIDCrosswalk[CanonicalDeviceTypeID],"")</f>
        <v/>
      </c>
      <c r="M263" s="14">
        <f>XLOOKUP([@ManufacturerID],tblManufacturerIDCrosswalk[LegacyManufacturerID],tblManufacturerIDCrosswalk[MappingStatus],"No Crosswalk")</f>
        <v/>
      </c>
      <c r="N263" s="35">
        <f>XLOOKUP([@DeviceFamilyID],tblDeviceFamilyIDCrosswalk[LegacyDeviceFamilyID],tblDeviceFamilyIDCrosswalk[MappingStatus],"No Crosswalk")</f>
        <v/>
      </c>
      <c r="O263" s="35">
        <f>XLOOKUP([@DeviceTypeID],tblDeviceTypeIDCrosswalk[LegacyDeviceTypeID],tblDeviceTypeIDCrosswalk[MappingStatus],"No Crosswalk")</f>
        <v/>
      </c>
      <c r="P263">
        <f>IF(OR([@ManufacturerMappingStatus]&lt;&gt;"Approved",[@DeviceFamilyMappingStatus]&lt;&gt;"Approved",[@DeviceTypeMappingStatus]&lt;&gt;"Approved"),"Manual Review Required","Approved Crosswalk Available")</f>
        <v/>
      </c>
      <c r="Q263" t="inlineStr">
        <is>
          <t>Pending Review</t>
        </is>
      </c>
    </row>
    <row r="264" ht="21.5" customHeight="1" s="42">
      <c r="A264" s="36" t="n"/>
      <c r="B264" s="35" t="n"/>
      <c r="C264" s="35" t="n"/>
      <c r="D264" s="35" t="n"/>
      <c r="E264" s="39" t="n"/>
      <c r="F264" s="39" t="n"/>
      <c r="G264" s="10" t="inlineStr">
        <is>
          <t>MOD000261</t>
        </is>
      </c>
      <c r="H264" s="14" t="inlineStr">
        <is>
          <t>MFG002</t>
        </is>
      </c>
      <c r="I264" s="14" t="inlineStr">
        <is>
          <t>DF024</t>
        </is>
      </c>
      <c r="J264" s="14">
        <f>XLOOKUP([@ManufacturerID],tblManufacturerIDCrosswalk[LegacyManufacturerID],tblManufacturerIDCrosswalk[CanonicalManufacturerID],"")</f>
        <v/>
      </c>
      <c r="K264" s="7">
        <f>XLOOKUP([@DeviceFamilyID],tblDeviceFamilyIDCrosswalk[LegacyDeviceFamilyID],tblDeviceFamilyIDCrosswalk[CanonicalDeviceFamilyID],"")</f>
        <v/>
      </c>
      <c r="L264" s="7">
        <f>XLOOKUP([@DeviceTypeID],tblDeviceTypeIDCrosswalk[LegacyDeviceTypeID],tblDeviceTypeIDCrosswalk[CanonicalDeviceTypeID],"")</f>
        <v/>
      </c>
      <c r="M264" s="14">
        <f>XLOOKUP([@ManufacturerID],tblManufacturerIDCrosswalk[LegacyManufacturerID],tblManufacturerIDCrosswalk[MappingStatus],"No Crosswalk")</f>
        <v/>
      </c>
      <c r="N264" s="35">
        <f>XLOOKUP([@DeviceFamilyID],tblDeviceFamilyIDCrosswalk[LegacyDeviceFamilyID],tblDeviceFamilyIDCrosswalk[MappingStatus],"No Crosswalk")</f>
        <v/>
      </c>
      <c r="O264" s="35">
        <f>XLOOKUP([@DeviceTypeID],tblDeviceTypeIDCrosswalk[LegacyDeviceTypeID],tblDeviceTypeIDCrosswalk[MappingStatus],"No Crosswalk")</f>
        <v/>
      </c>
      <c r="P264">
        <f>IF(OR([@ManufacturerMappingStatus]&lt;&gt;"Approved",[@DeviceFamilyMappingStatus]&lt;&gt;"Approved",[@DeviceTypeMappingStatus]&lt;&gt;"Approved"),"Manual Review Required","Approved Crosswalk Available")</f>
        <v/>
      </c>
      <c r="Q264" t="inlineStr">
        <is>
          <t>Pending Review</t>
        </is>
      </c>
    </row>
    <row r="265" ht="21.5" customHeight="1" s="42">
      <c r="A265" s="36" t="n"/>
      <c r="B265" s="35" t="n"/>
      <c r="C265" s="35" t="n"/>
      <c r="D265" s="35" t="n"/>
      <c r="E265" s="39" t="n"/>
      <c r="F265" s="39" t="n"/>
      <c r="G265" s="10" t="inlineStr">
        <is>
          <t>MOD000262</t>
        </is>
      </c>
      <c r="H265" s="14" t="inlineStr">
        <is>
          <t>MFG002</t>
        </is>
      </c>
      <c r="I265" s="14" t="inlineStr">
        <is>
          <t>DF024</t>
        </is>
      </c>
      <c r="J265" s="14">
        <f>XLOOKUP([@ManufacturerID],tblManufacturerIDCrosswalk[LegacyManufacturerID],tblManufacturerIDCrosswalk[CanonicalManufacturerID],"")</f>
        <v/>
      </c>
      <c r="K265" s="7">
        <f>XLOOKUP([@DeviceFamilyID],tblDeviceFamilyIDCrosswalk[LegacyDeviceFamilyID],tblDeviceFamilyIDCrosswalk[CanonicalDeviceFamilyID],"")</f>
        <v/>
      </c>
      <c r="L265" s="7">
        <f>XLOOKUP([@DeviceTypeID],tblDeviceTypeIDCrosswalk[LegacyDeviceTypeID],tblDeviceTypeIDCrosswalk[CanonicalDeviceTypeID],"")</f>
        <v/>
      </c>
      <c r="M265" s="14">
        <f>XLOOKUP([@ManufacturerID],tblManufacturerIDCrosswalk[LegacyManufacturerID],tblManufacturerIDCrosswalk[MappingStatus],"No Crosswalk")</f>
        <v/>
      </c>
      <c r="N265" s="35">
        <f>XLOOKUP([@DeviceFamilyID],tblDeviceFamilyIDCrosswalk[LegacyDeviceFamilyID],tblDeviceFamilyIDCrosswalk[MappingStatus],"No Crosswalk")</f>
        <v/>
      </c>
      <c r="O265" s="35">
        <f>XLOOKUP([@DeviceTypeID],tblDeviceTypeIDCrosswalk[LegacyDeviceTypeID],tblDeviceTypeIDCrosswalk[MappingStatus],"No Crosswalk")</f>
        <v/>
      </c>
      <c r="P265">
        <f>IF(OR([@ManufacturerMappingStatus]&lt;&gt;"Approved",[@DeviceFamilyMappingStatus]&lt;&gt;"Approved",[@DeviceTypeMappingStatus]&lt;&gt;"Approved"),"Manual Review Required","Approved Crosswalk Available")</f>
        <v/>
      </c>
      <c r="Q265" t="inlineStr">
        <is>
          <t>Pending Review</t>
        </is>
      </c>
    </row>
    <row r="266" ht="21.5" customHeight="1" s="42">
      <c r="A266" s="36" t="n"/>
      <c r="B266" s="35" t="n"/>
      <c r="C266" s="35" t="n"/>
      <c r="D266" s="35" t="n"/>
      <c r="E266" s="39" t="n"/>
      <c r="F266" s="39" t="n"/>
      <c r="G266" s="10" t="inlineStr">
        <is>
          <t>MOD000263</t>
        </is>
      </c>
      <c r="H266" s="14" t="inlineStr">
        <is>
          <t>MFG002</t>
        </is>
      </c>
      <c r="I266" s="14" t="inlineStr">
        <is>
          <t>DF024</t>
        </is>
      </c>
      <c r="J266" s="14">
        <f>XLOOKUP([@ManufacturerID],tblManufacturerIDCrosswalk[LegacyManufacturerID],tblManufacturerIDCrosswalk[CanonicalManufacturerID],"")</f>
        <v/>
      </c>
      <c r="K266" s="7">
        <f>XLOOKUP([@DeviceFamilyID],tblDeviceFamilyIDCrosswalk[LegacyDeviceFamilyID],tblDeviceFamilyIDCrosswalk[CanonicalDeviceFamilyID],"")</f>
        <v/>
      </c>
      <c r="L266" s="7">
        <f>XLOOKUP([@DeviceTypeID],tblDeviceTypeIDCrosswalk[LegacyDeviceTypeID],tblDeviceTypeIDCrosswalk[CanonicalDeviceTypeID],"")</f>
        <v/>
      </c>
      <c r="M266" s="14">
        <f>XLOOKUP([@ManufacturerID],tblManufacturerIDCrosswalk[LegacyManufacturerID],tblManufacturerIDCrosswalk[MappingStatus],"No Crosswalk")</f>
        <v/>
      </c>
      <c r="N266" s="35">
        <f>XLOOKUP([@DeviceFamilyID],tblDeviceFamilyIDCrosswalk[LegacyDeviceFamilyID],tblDeviceFamilyIDCrosswalk[MappingStatus],"No Crosswalk")</f>
        <v/>
      </c>
      <c r="O266" s="35">
        <f>XLOOKUP([@DeviceTypeID],tblDeviceTypeIDCrosswalk[LegacyDeviceTypeID],tblDeviceTypeIDCrosswalk[MappingStatus],"No Crosswalk")</f>
        <v/>
      </c>
      <c r="P266">
        <f>IF(OR([@ManufacturerMappingStatus]&lt;&gt;"Approved",[@DeviceFamilyMappingStatus]&lt;&gt;"Approved",[@DeviceTypeMappingStatus]&lt;&gt;"Approved"),"Manual Review Required","Approved Crosswalk Available")</f>
        <v/>
      </c>
      <c r="Q266" t="inlineStr">
        <is>
          <t>Pending Review</t>
        </is>
      </c>
    </row>
    <row r="267" ht="21.5" customHeight="1" s="42">
      <c r="A267" s="36" t="n"/>
      <c r="B267" s="35" t="n"/>
      <c r="C267" s="35" t="n"/>
      <c r="D267" s="35" t="n"/>
      <c r="E267" s="39" t="n"/>
      <c r="F267" s="39" t="n"/>
      <c r="G267" s="10" t="inlineStr">
        <is>
          <t>MOD000264</t>
        </is>
      </c>
      <c r="H267" s="14" t="inlineStr">
        <is>
          <t>MFG002</t>
        </is>
      </c>
      <c r="I267" s="14" t="inlineStr">
        <is>
          <t>DF024</t>
        </is>
      </c>
      <c r="J267" s="14">
        <f>XLOOKUP([@ManufacturerID],tblManufacturerIDCrosswalk[LegacyManufacturerID],tblManufacturerIDCrosswalk[CanonicalManufacturerID],"")</f>
        <v/>
      </c>
      <c r="K267" s="7">
        <f>XLOOKUP([@DeviceFamilyID],tblDeviceFamilyIDCrosswalk[LegacyDeviceFamilyID],tblDeviceFamilyIDCrosswalk[CanonicalDeviceFamilyID],"")</f>
        <v/>
      </c>
      <c r="L267" s="7">
        <f>XLOOKUP([@DeviceTypeID],tblDeviceTypeIDCrosswalk[LegacyDeviceTypeID],tblDeviceTypeIDCrosswalk[CanonicalDeviceTypeID],"")</f>
        <v/>
      </c>
      <c r="M267" s="14">
        <f>XLOOKUP([@ManufacturerID],tblManufacturerIDCrosswalk[LegacyManufacturerID],tblManufacturerIDCrosswalk[MappingStatus],"No Crosswalk")</f>
        <v/>
      </c>
      <c r="N267" s="35">
        <f>XLOOKUP([@DeviceFamilyID],tblDeviceFamilyIDCrosswalk[LegacyDeviceFamilyID],tblDeviceFamilyIDCrosswalk[MappingStatus],"No Crosswalk")</f>
        <v/>
      </c>
      <c r="O267" s="35">
        <f>XLOOKUP([@DeviceTypeID],tblDeviceTypeIDCrosswalk[LegacyDeviceTypeID],tblDeviceTypeIDCrosswalk[MappingStatus],"No Crosswalk")</f>
        <v/>
      </c>
      <c r="P267">
        <f>IF(OR([@ManufacturerMappingStatus]&lt;&gt;"Approved",[@DeviceFamilyMappingStatus]&lt;&gt;"Approved",[@DeviceTypeMappingStatus]&lt;&gt;"Approved"),"Manual Review Required","Approved Crosswalk Available")</f>
        <v/>
      </c>
      <c r="Q267" t="inlineStr">
        <is>
          <t>Pending Review</t>
        </is>
      </c>
    </row>
    <row r="268" ht="21.5" customHeight="1" s="42">
      <c r="A268" s="36" t="n"/>
      <c r="B268" s="35" t="n"/>
      <c r="C268" s="35" t="n"/>
      <c r="D268" s="35" t="n"/>
      <c r="E268" s="39" t="n"/>
      <c r="F268" s="39" t="n"/>
      <c r="G268" s="10" t="inlineStr">
        <is>
          <t>MOD000265</t>
        </is>
      </c>
      <c r="H268" s="14" t="inlineStr">
        <is>
          <t>MFG002</t>
        </is>
      </c>
      <c r="I268" s="14" t="inlineStr">
        <is>
          <t>DF024</t>
        </is>
      </c>
      <c r="J268" s="14">
        <f>XLOOKUP([@ManufacturerID],tblManufacturerIDCrosswalk[LegacyManufacturerID],tblManufacturerIDCrosswalk[CanonicalManufacturerID],"")</f>
        <v/>
      </c>
      <c r="K268" s="7">
        <f>XLOOKUP([@DeviceFamilyID],tblDeviceFamilyIDCrosswalk[LegacyDeviceFamilyID],tblDeviceFamilyIDCrosswalk[CanonicalDeviceFamilyID],"")</f>
        <v/>
      </c>
      <c r="L268" s="7">
        <f>XLOOKUP([@DeviceTypeID],tblDeviceTypeIDCrosswalk[LegacyDeviceTypeID],tblDeviceTypeIDCrosswalk[CanonicalDeviceTypeID],"")</f>
        <v/>
      </c>
      <c r="M268" s="14">
        <f>XLOOKUP([@ManufacturerID],tblManufacturerIDCrosswalk[LegacyManufacturerID],tblManufacturerIDCrosswalk[MappingStatus],"No Crosswalk")</f>
        <v/>
      </c>
      <c r="N268" s="35">
        <f>XLOOKUP([@DeviceFamilyID],tblDeviceFamilyIDCrosswalk[LegacyDeviceFamilyID],tblDeviceFamilyIDCrosswalk[MappingStatus],"No Crosswalk")</f>
        <v/>
      </c>
      <c r="O268" s="35">
        <f>XLOOKUP([@DeviceTypeID],tblDeviceTypeIDCrosswalk[LegacyDeviceTypeID],tblDeviceTypeIDCrosswalk[MappingStatus],"No Crosswalk")</f>
        <v/>
      </c>
      <c r="P268">
        <f>IF(OR([@ManufacturerMappingStatus]&lt;&gt;"Approved",[@DeviceFamilyMappingStatus]&lt;&gt;"Approved",[@DeviceTypeMappingStatus]&lt;&gt;"Approved"),"Manual Review Required","Approved Crosswalk Available")</f>
        <v/>
      </c>
      <c r="Q268" t="inlineStr">
        <is>
          <t>Pending Review</t>
        </is>
      </c>
    </row>
    <row r="269" ht="21.5" customHeight="1" s="42">
      <c r="A269" s="36" t="n"/>
      <c r="B269" s="35" t="n"/>
      <c r="C269" s="35" t="n"/>
      <c r="D269" s="35" t="n"/>
      <c r="E269" s="39" t="n"/>
      <c r="F269" s="39" t="n"/>
      <c r="G269" s="10" t="inlineStr">
        <is>
          <t>MOD000266</t>
        </is>
      </c>
      <c r="H269" s="14" t="inlineStr">
        <is>
          <t>MFG002</t>
        </is>
      </c>
      <c r="I269" s="14" t="inlineStr">
        <is>
          <t>DF024</t>
        </is>
      </c>
      <c r="J269" s="14">
        <f>XLOOKUP([@ManufacturerID],tblManufacturerIDCrosswalk[LegacyManufacturerID],tblManufacturerIDCrosswalk[CanonicalManufacturerID],"")</f>
        <v/>
      </c>
      <c r="K269" s="7">
        <f>XLOOKUP([@DeviceFamilyID],tblDeviceFamilyIDCrosswalk[LegacyDeviceFamilyID],tblDeviceFamilyIDCrosswalk[CanonicalDeviceFamilyID],"")</f>
        <v/>
      </c>
      <c r="L269" s="7">
        <f>XLOOKUP([@DeviceTypeID],tblDeviceTypeIDCrosswalk[LegacyDeviceTypeID],tblDeviceTypeIDCrosswalk[CanonicalDeviceTypeID],"")</f>
        <v/>
      </c>
      <c r="M269" s="14">
        <f>XLOOKUP([@ManufacturerID],tblManufacturerIDCrosswalk[LegacyManufacturerID],tblManufacturerIDCrosswalk[MappingStatus],"No Crosswalk")</f>
        <v/>
      </c>
      <c r="N269" s="35">
        <f>XLOOKUP([@DeviceFamilyID],tblDeviceFamilyIDCrosswalk[LegacyDeviceFamilyID],tblDeviceFamilyIDCrosswalk[MappingStatus],"No Crosswalk")</f>
        <v/>
      </c>
      <c r="O269" s="35">
        <f>XLOOKUP([@DeviceTypeID],tblDeviceTypeIDCrosswalk[LegacyDeviceTypeID],tblDeviceTypeIDCrosswalk[MappingStatus],"No Crosswalk")</f>
        <v/>
      </c>
      <c r="P269">
        <f>IF(OR([@ManufacturerMappingStatus]&lt;&gt;"Approved",[@DeviceFamilyMappingStatus]&lt;&gt;"Approved",[@DeviceTypeMappingStatus]&lt;&gt;"Approved"),"Manual Review Required","Approved Crosswalk Available")</f>
        <v/>
      </c>
      <c r="Q269" t="inlineStr">
        <is>
          <t>Pending Review</t>
        </is>
      </c>
    </row>
    <row r="270" ht="21.5" customHeight="1" s="42">
      <c r="A270" s="36" t="n"/>
      <c r="B270" s="35" t="n"/>
      <c r="C270" s="35" t="n"/>
      <c r="D270" s="35" t="n"/>
      <c r="E270" s="39" t="n"/>
      <c r="F270" s="39" t="n"/>
      <c r="G270" s="10" t="inlineStr">
        <is>
          <t>MOD000267</t>
        </is>
      </c>
      <c r="H270" s="14" t="inlineStr">
        <is>
          <t>MFG002</t>
        </is>
      </c>
      <c r="I270" s="14" t="inlineStr">
        <is>
          <t>DF024</t>
        </is>
      </c>
      <c r="J270" s="14">
        <f>XLOOKUP([@ManufacturerID],tblManufacturerIDCrosswalk[LegacyManufacturerID],tblManufacturerIDCrosswalk[CanonicalManufacturerID],"")</f>
        <v/>
      </c>
      <c r="K270" s="7">
        <f>XLOOKUP([@DeviceFamilyID],tblDeviceFamilyIDCrosswalk[LegacyDeviceFamilyID],tblDeviceFamilyIDCrosswalk[CanonicalDeviceFamilyID],"")</f>
        <v/>
      </c>
      <c r="L270" s="7">
        <f>XLOOKUP([@DeviceTypeID],tblDeviceTypeIDCrosswalk[LegacyDeviceTypeID],tblDeviceTypeIDCrosswalk[CanonicalDeviceTypeID],"")</f>
        <v/>
      </c>
      <c r="M270" s="14">
        <f>XLOOKUP([@ManufacturerID],tblManufacturerIDCrosswalk[LegacyManufacturerID],tblManufacturerIDCrosswalk[MappingStatus],"No Crosswalk")</f>
        <v/>
      </c>
      <c r="N270" s="35">
        <f>XLOOKUP([@DeviceFamilyID],tblDeviceFamilyIDCrosswalk[LegacyDeviceFamilyID],tblDeviceFamilyIDCrosswalk[MappingStatus],"No Crosswalk")</f>
        <v/>
      </c>
      <c r="O270" s="35">
        <f>XLOOKUP([@DeviceTypeID],tblDeviceTypeIDCrosswalk[LegacyDeviceTypeID],tblDeviceTypeIDCrosswalk[MappingStatus],"No Crosswalk")</f>
        <v/>
      </c>
      <c r="P270">
        <f>IF(OR([@ManufacturerMappingStatus]&lt;&gt;"Approved",[@DeviceFamilyMappingStatus]&lt;&gt;"Approved",[@DeviceTypeMappingStatus]&lt;&gt;"Approved"),"Manual Review Required","Approved Crosswalk Available")</f>
        <v/>
      </c>
      <c r="Q270" t="inlineStr">
        <is>
          <t>Pending Review</t>
        </is>
      </c>
    </row>
    <row r="271" ht="21.5" customHeight="1" s="42">
      <c r="A271" s="36" t="n"/>
      <c r="B271" s="35" t="n"/>
      <c r="C271" s="35" t="n"/>
      <c r="D271" s="35" t="n"/>
      <c r="E271" s="39" t="n"/>
      <c r="F271" s="39" t="n"/>
      <c r="G271" s="10" t="inlineStr">
        <is>
          <t>MOD000268</t>
        </is>
      </c>
      <c r="H271" s="14" t="inlineStr">
        <is>
          <t>MFG002</t>
        </is>
      </c>
      <c r="I271" s="14" t="inlineStr">
        <is>
          <t>DF024</t>
        </is>
      </c>
      <c r="J271" s="14">
        <f>XLOOKUP([@ManufacturerID],tblManufacturerIDCrosswalk[LegacyManufacturerID],tblManufacturerIDCrosswalk[CanonicalManufacturerID],"")</f>
        <v/>
      </c>
      <c r="K271" s="7">
        <f>XLOOKUP([@DeviceFamilyID],tblDeviceFamilyIDCrosswalk[LegacyDeviceFamilyID],tblDeviceFamilyIDCrosswalk[CanonicalDeviceFamilyID],"")</f>
        <v/>
      </c>
      <c r="L271" s="7">
        <f>XLOOKUP([@DeviceTypeID],tblDeviceTypeIDCrosswalk[LegacyDeviceTypeID],tblDeviceTypeIDCrosswalk[CanonicalDeviceTypeID],"")</f>
        <v/>
      </c>
      <c r="M271" s="14">
        <f>XLOOKUP([@ManufacturerID],tblManufacturerIDCrosswalk[LegacyManufacturerID],tblManufacturerIDCrosswalk[MappingStatus],"No Crosswalk")</f>
        <v/>
      </c>
      <c r="N271" s="35">
        <f>XLOOKUP([@DeviceFamilyID],tblDeviceFamilyIDCrosswalk[LegacyDeviceFamilyID],tblDeviceFamilyIDCrosswalk[MappingStatus],"No Crosswalk")</f>
        <v/>
      </c>
      <c r="O271" s="35">
        <f>XLOOKUP([@DeviceTypeID],tblDeviceTypeIDCrosswalk[LegacyDeviceTypeID],tblDeviceTypeIDCrosswalk[MappingStatus],"No Crosswalk")</f>
        <v/>
      </c>
      <c r="P271">
        <f>IF(OR([@ManufacturerMappingStatus]&lt;&gt;"Approved",[@DeviceFamilyMappingStatus]&lt;&gt;"Approved",[@DeviceTypeMappingStatus]&lt;&gt;"Approved"),"Manual Review Required","Approved Crosswalk Available")</f>
        <v/>
      </c>
      <c r="Q271" t="inlineStr">
        <is>
          <t>Pending Review</t>
        </is>
      </c>
    </row>
    <row r="272" ht="21.5" customHeight="1" s="42">
      <c r="A272" s="36" t="n"/>
      <c r="B272" s="35" t="n"/>
      <c r="C272" s="35" t="n"/>
      <c r="D272" s="35" t="n"/>
      <c r="E272" s="39" t="n"/>
      <c r="F272" s="39" t="n"/>
      <c r="G272" s="10" t="inlineStr">
        <is>
          <t>MOD000269</t>
        </is>
      </c>
      <c r="H272" s="14" t="inlineStr">
        <is>
          <t>MFG002</t>
        </is>
      </c>
      <c r="I272" s="14" t="inlineStr">
        <is>
          <t>DF024</t>
        </is>
      </c>
      <c r="J272" s="14">
        <f>XLOOKUP([@ManufacturerID],tblManufacturerIDCrosswalk[LegacyManufacturerID],tblManufacturerIDCrosswalk[CanonicalManufacturerID],"")</f>
        <v/>
      </c>
      <c r="K272" s="7">
        <f>XLOOKUP([@DeviceFamilyID],tblDeviceFamilyIDCrosswalk[LegacyDeviceFamilyID],tblDeviceFamilyIDCrosswalk[CanonicalDeviceFamilyID],"")</f>
        <v/>
      </c>
      <c r="L272" s="7">
        <f>XLOOKUP([@DeviceTypeID],tblDeviceTypeIDCrosswalk[LegacyDeviceTypeID],tblDeviceTypeIDCrosswalk[CanonicalDeviceTypeID],"")</f>
        <v/>
      </c>
      <c r="M272" s="14">
        <f>XLOOKUP([@ManufacturerID],tblManufacturerIDCrosswalk[LegacyManufacturerID],tblManufacturerIDCrosswalk[MappingStatus],"No Crosswalk")</f>
        <v/>
      </c>
      <c r="N272" s="35">
        <f>XLOOKUP([@DeviceFamilyID],tblDeviceFamilyIDCrosswalk[LegacyDeviceFamilyID],tblDeviceFamilyIDCrosswalk[MappingStatus],"No Crosswalk")</f>
        <v/>
      </c>
      <c r="O272" s="35">
        <f>XLOOKUP([@DeviceTypeID],tblDeviceTypeIDCrosswalk[LegacyDeviceTypeID],tblDeviceTypeIDCrosswalk[MappingStatus],"No Crosswalk")</f>
        <v/>
      </c>
      <c r="P272">
        <f>IF(OR([@ManufacturerMappingStatus]&lt;&gt;"Approved",[@DeviceFamilyMappingStatus]&lt;&gt;"Approved",[@DeviceTypeMappingStatus]&lt;&gt;"Approved"),"Manual Review Required","Approved Crosswalk Available")</f>
        <v/>
      </c>
      <c r="Q272" t="inlineStr">
        <is>
          <t>Pending Review</t>
        </is>
      </c>
    </row>
    <row r="273" ht="21.5" customHeight="1" s="42">
      <c r="A273" s="36" t="n"/>
      <c r="B273" s="35" t="n"/>
      <c r="C273" s="35" t="n"/>
      <c r="D273" s="35" t="n"/>
      <c r="E273" s="39" t="n"/>
      <c r="F273" s="39" t="n"/>
      <c r="G273" s="10" t="inlineStr">
        <is>
          <t>MOD000270</t>
        </is>
      </c>
      <c r="H273" s="14" t="inlineStr">
        <is>
          <t>MFG002</t>
        </is>
      </c>
      <c r="I273" s="14" t="inlineStr">
        <is>
          <t>DF024</t>
        </is>
      </c>
      <c r="J273" s="14">
        <f>XLOOKUP([@ManufacturerID],tblManufacturerIDCrosswalk[LegacyManufacturerID],tblManufacturerIDCrosswalk[CanonicalManufacturerID],"")</f>
        <v/>
      </c>
      <c r="K273" s="7">
        <f>XLOOKUP([@DeviceFamilyID],tblDeviceFamilyIDCrosswalk[LegacyDeviceFamilyID],tblDeviceFamilyIDCrosswalk[CanonicalDeviceFamilyID],"")</f>
        <v/>
      </c>
      <c r="L273" s="7">
        <f>XLOOKUP([@DeviceTypeID],tblDeviceTypeIDCrosswalk[LegacyDeviceTypeID],tblDeviceTypeIDCrosswalk[CanonicalDeviceTypeID],"")</f>
        <v/>
      </c>
      <c r="M273" s="14">
        <f>XLOOKUP([@ManufacturerID],tblManufacturerIDCrosswalk[LegacyManufacturerID],tblManufacturerIDCrosswalk[MappingStatus],"No Crosswalk")</f>
        <v/>
      </c>
      <c r="N273" s="35">
        <f>XLOOKUP([@DeviceFamilyID],tblDeviceFamilyIDCrosswalk[LegacyDeviceFamilyID],tblDeviceFamilyIDCrosswalk[MappingStatus],"No Crosswalk")</f>
        <v/>
      </c>
      <c r="O273" s="35">
        <f>XLOOKUP([@DeviceTypeID],tblDeviceTypeIDCrosswalk[LegacyDeviceTypeID],tblDeviceTypeIDCrosswalk[MappingStatus],"No Crosswalk")</f>
        <v/>
      </c>
      <c r="P273">
        <f>IF(OR([@ManufacturerMappingStatus]&lt;&gt;"Approved",[@DeviceFamilyMappingStatus]&lt;&gt;"Approved",[@DeviceTypeMappingStatus]&lt;&gt;"Approved"),"Manual Review Required","Approved Crosswalk Available")</f>
        <v/>
      </c>
      <c r="Q273" t="inlineStr">
        <is>
          <t>Pending Review</t>
        </is>
      </c>
    </row>
    <row r="274" ht="21.5" customHeight="1" s="42">
      <c r="A274" s="36" t="n"/>
      <c r="B274" s="35" t="n"/>
      <c r="C274" s="35" t="n"/>
      <c r="D274" s="35" t="n"/>
      <c r="E274" s="39" t="n"/>
      <c r="F274" s="39" t="n"/>
      <c r="G274" s="10" t="inlineStr">
        <is>
          <t>MOD000271</t>
        </is>
      </c>
      <c r="H274" s="14" t="inlineStr">
        <is>
          <t>MFG002</t>
        </is>
      </c>
      <c r="I274" s="14" t="inlineStr">
        <is>
          <t>DF025</t>
        </is>
      </c>
      <c r="J274" s="14">
        <f>XLOOKUP([@ManufacturerID],tblManufacturerIDCrosswalk[LegacyManufacturerID],tblManufacturerIDCrosswalk[CanonicalManufacturerID],"")</f>
        <v/>
      </c>
      <c r="K274" s="7">
        <f>XLOOKUP([@DeviceFamilyID],tblDeviceFamilyIDCrosswalk[LegacyDeviceFamilyID],tblDeviceFamilyIDCrosswalk[CanonicalDeviceFamilyID],"")</f>
        <v/>
      </c>
      <c r="L274" s="7">
        <f>XLOOKUP([@DeviceTypeID],tblDeviceTypeIDCrosswalk[LegacyDeviceTypeID],tblDeviceTypeIDCrosswalk[CanonicalDeviceTypeID],"")</f>
        <v/>
      </c>
      <c r="M274" s="14">
        <f>XLOOKUP([@ManufacturerID],tblManufacturerIDCrosswalk[LegacyManufacturerID],tblManufacturerIDCrosswalk[MappingStatus],"No Crosswalk")</f>
        <v/>
      </c>
      <c r="N274" s="35">
        <f>XLOOKUP([@DeviceFamilyID],tblDeviceFamilyIDCrosswalk[LegacyDeviceFamilyID],tblDeviceFamilyIDCrosswalk[MappingStatus],"No Crosswalk")</f>
        <v/>
      </c>
      <c r="O274" s="35">
        <f>XLOOKUP([@DeviceTypeID],tblDeviceTypeIDCrosswalk[LegacyDeviceTypeID],tblDeviceTypeIDCrosswalk[MappingStatus],"No Crosswalk")</f>
        <v/>
      </c>
      <c r="P274">
        <f>IF(OR([@ManufacturerMappingStatus]&lt;&gt;"Approved",[@DeviceFamilyMappingStatus]&lt;&gt;"Approved",[@DeviceTypeMappingStatus]&lt;&gt;"Approved"),"Manual Review Required","Approved Crosswalk Available")</f>
        <v/>
      </c>
      <c r="Q274" t="inlineStr">
        <is>
          <t>Pending Review</t>
        </is>
      </c>
    </row>
    <row r="275" ht="21.5" customHeight="1" s="42">
      <c r="A275" s="36" t="n"/>
      <c r="B275" s="35" t="n"/>
      <c r="C275" s="35" t="n"/>
      <c r="D275" s="35" t="n"/>
      <c r="E275" s="39" t="n"/>
      <c r="F275" s="39" t="n"/>
      <c r="G275" s="10" t="inlineStr">
        <is>
          <t>MOD000272</t>
        </is>
      </c>
      <c r="H275" s="14" t="inlineStr">
        <is>
          <t>MFG002</t>
        </is>
      </c>
      <c r="I275" s="14" t="inlineStr">
        <is>
          <t>DF025</t>
        </is>
      </c>
      <c r="J275" s="14">
        <f>XLOOKUP([@ManufacturerID],tblManufacturerIDCrosswalk[LegacyManufacturerID],tblManufacturerIDCrosswalk[CanonicalManufacturerID],"")</f>
        <v/>
      </c>
      <c r="K275" s="7">
        <f>XLOOKUP([@DeviceFamilyID],tblDeviceFamilyIDCrosswalk[LegacyDeviceFamilyID],tblDeviceFamilyIDCrosswalk[CanonicalDeviceFamilyID],"")</f>
        <v/>
      </c>
      <c r="L275" s="7">
        <f>XLOOKUP([@DeviceTypeID],tblDeviceTypeIDCrosswalk[LegacyDeviceTypeID],tblDeviceTypeIDCrosswalk[CanonicalDeviceTypeID],"")</f>
        <v/>
      </c>
      <c r="M275" s="14">
        <f>XLOOKUP([@ManufacturerID],tblManufacturerIDCrosswalk[LegacyManufacturerID],tblManufacturerIDCrosswalk[MappingStatus],"No Crosswalk")</f>
        <v/>
      </c>
      <c r="N275" s="35">
        <f>XLOOKUP([@DeviceFamilyID],tblDeviceFamilyIDCrosswalk[LegacyDeviceFamilyID],tblDeviceFamilyIDCrosswalk[MappingStatus],"No Crosswalk")</f>
        <v/>
      </c>
      <c r="O275" s="35">
        <f>XLOOKUP([@DeviceTypeID],tblDeviceTypeIDCrosswalk[LegacyDeviceTypeID],tblDeviceTypeIDCrosswalk[MappingStatus],"No Crosswalk")</f>
        <v/>
      </c>
      <c r="P275">
        <f>IF(OR([@ManufacturerMappingStatus]&lt;&gt;"Approved",[@DeviceFamilyMappingStatus]&lt;&gt;"Approved",[@DeviceTypeMappingStatus]&lt;&gt;"Approved"),"Manual Review Required","Approved Crosswalk Available")</f>
        <v/>
      </c>
      <c r="Q275" t="inlineStr">
        <is>
          <t>Pending Review</t>
        </is>
      </c>
    </row>
    <row r="276" ht="21.5" customHeight="1" s="42">
      <c r="A276" s="36" t="n"/>
      <c r="B276" s="35" t="n"/>
      <c r="C276" s="35" t="n"/>
      <c r="D276" s="35" t="n"/>
      <c r="E276" s="39" t="n"/>
      <c r="F276" s="39" t="n"/>
      <c r="G276" s="10" t="inlineStr">
        <is>
          <t>MOD000273</t>
        </is>
      </c>
      <c r="H276" s="14" t="inlineStr">
        <is>
          <t>MFG002</t>
        </is>
      </c>
      <c r="I276" s="14" t="inlineStr">
        <is>
          <t>DF025</t>
        </is>
      </c>
      <c r="J276" s="14">
        <f>XLOOKUP([@ManufacturerID],tblManufacturerIDCrosswalk[LegacyManufacturerID],tblManufacturerIDCrosswalk[CanonicalManufacturerID],"")</f>
        <v/>
      </c>
      <c r="K276" s="7">
        <f>XLOOKUP([@DeviceFamilyID],tblDeviceFamilyIDCrosswalk[LegacyDeviceFamilyID],tblDeviceFamilyIDCrosswalk[CanonicalDeviceFamilyID],"")</f>
        <v/>
      </c>
      <c r="L276" s="7">
        <f>XLOOKUP([@DeviceTypeID],tblDeviceTypeIDCrosswalk[LegacyDeviceTypeID],tblDeviceTypeIDCrosswalk[CanonicalDeviceTypeID],"")</f>
        <v/>
      </c>
      <c r="M276" s="14">
        <f>XLOOKUP([@ManufacturerID],tblManufacturerIDCrosswalk[LegacyManufacturerID],tblManufacturerIDCrosswalk[MappingStatus],"No Crosswalk")</f>
        <v/>
      </c>
      <c r="N276" s="35">
        <f>XLOOKUP([@DeviceFamilyID],tblDeviceFamilyIDCrosswalk[LegacyDeviceFamilyID],tblDeviceFamilyIDCrosswalk[MappingStatus],"No Crosswalk")</f>
        <v/>
      </c>
      <c r="O276" s="35">
        <f>XLOOKUP([@DeviceTypeID],tblDeviceTypeIDCrosswalk[LegacyDeviceTypeID],tblDeviceTypeIDCrosswalk[MappingStatus],"No Crosswalk")</f>
        <v/>
      </c>
      <c r="P276">
        <f>IF(OR([@ManufacturerMappingStatus]&lt;&gt;"Approved",[@DeviceFamilyMappingStatus]&lt;&gt;"Approved",[@DeviceTypeMappingStatus]&lt;&gt;"Approved"),"Manual Review Required","Approved Crosswalk Available")</f>
        <v/>
      </c>
      <c r="Q276" t="inlineStr">
        <is>
          <t>Pending Review</t>
        </is>
      </c>
    </row>
    <row r="277" ht="21.5" customHeight="1" s="42">
      <c r="A277" s="36" t="n"/>
      <c r="B277" s="35" t="n"/>
      <c r="C277" s="35" t="n"/>
      <c r="D277" s="35" t="n"/>
      <c r="E277" s="39" t="n"/>
      <c r="F277" s="39" t="n"/>
      <c r="G277" s="10" t="inlineStr">
        <is>
          <t>MOD000274</t>
        </is>
      </c>
      <c r="H277" s="14" t="inlineStr">
        <is>
          <t>MFG002</t>
        </is>
      </c>
      <c r="I277" s="14" t="inlineStr">
        <is>
          <t>DF025</t>
        </is>
      </c>
      <c r="J277" s="14">
        <f>XLOOKUP([@ManufacturerID],tblManufacturerIDCrosswalk[LegacyManufacturerID],tblManufacturerIDCrosswalk[CanonicalManufacturerID],"")</f>
        <v/>
      </c>
      <c r="K277" s="7">
        <f>XLOOKUP([@DeviceFamilyID],tblDeviceFamilyIDCrosswalk[LegacyDeviceFamilyID],tblDeviceFamilyIDCrosswalk[CanonicalDeviceFamilyID],"")</f>
        <v/>
      </c>
      <c r="L277" s="7">
        <f>XLOOKUP([@DeviceTypeID],tblDeviceTypeIDCrosswalk[LegacyDeviceTypeID],tblDeviceTypeIDCrosswalk[CanonicalDeviceTypeID],"")</f>
        <v/>
      </c>
      <c r="M277" s="14">
        <f>XLOOKUP([@ManufacturerID],tblManufacturerIDCrosswalk[LegacyManufacturerID],tblManufacturerIDCrosswalk[MappingStatus],"No Crosswalk")</f>
        <v/>
      </c>
      <c r="N277" s="35">
        <f>XLOOKUP([@DeviceFamilyID],tblDeviceFamilyIDCrosswalk[LegacyDeviceFamilyID],tblDeviceFamilyIDCrosswalk[MappingStatus],"No Crosswalk")</f>
        <v/>
      </c>
      <c r="O277" s="35">
        <f>XLOOKUP([@DeviceTypeID],tblDeviceTypeIDCrosswalk[LegacyDeviceTypeID],tblDeviceTypeIDCrosswalk[MappingStatus],"No Crosswalk")</f>
        <v/>
      </c>
      <c r="P277">
        <f>IF(OR([@ManufacturerMappingStatus]&lt;&gt;"Approved",[@DeviceFamilyMappingStatus]&lt;&gt;"Approved",[@DeviceTypeMappingStatus]&lt;&gt;"Approved"),"Manual Review Required","Approved Crosswalk Available")</f>
        <v/>
      </c>
      <c r="Q277" t="inlineStr">
        <is>
          <t>Pending Review</t>
        </is>
      </c>
    </row>
    <row r="278" ht="21.5" customHeight="1" s="42">
      <c r="A278" s="36" t="n"/>
      <c r="B278" s="35" t="n"/>
      <c r="C278" s="35" t="n"/>
      <c r="D278" s="35" t="n"/>
      <c r="E278" s="39" t="n"/>
      <c r="F278" s="39" t="n"/>
      <c r="G278" s="10" t="inlineStr">
        <is>
          <t>MOD000275</t>
        </is>
      </c>
      <c r="H278" s="14" t="inlineStr">
        <is>
          <t>MFG002</t>
        </is>
      </c>
      <c r="I278" s="14" t="inlineStr">
        <is>
          <t>DF025</t>
        </is>
      </c>
      <c r="J278" s="14">
        <f>XLOOKUP([@ManufacturerID],tblManufacturerIDCrosswalk[LegacyManufacturerID],tblManufacturerIDCrosswalk[CanonicalManufacturerID],"")</f>
        <v/>
      </c>
      <c r="K278" s="7">
        <f>XLOOKUP([@DeviceFamilyID],tblDeviceFamilyIDCrosswalk[LegacyDeviceFamilyID],tblDeviceFamilyIDCrosswalk[CanonicalDeviceFamilyID],"")</f>
        <v/>
      </c>
      <c r="L278" s="7">
        <f>XLOOKUP([@DeviceTypeID],tblDeviceTypeIDCrosswalk[LegacyDeviceTypeID],tblDeviceTypeIDCrosswalk[CanonicalDeviceTypeID],"")</f>
        <v/>
      </c>
      <c r="M278" s="14">
        <f>XLOOKUP([@ManufacturerID],tblManufacturerIDCrosswalk[LegacyManufacturerID],tblManufacturerIDCrosswalk[MappingStatus],"No Crosswalk")</f>
        <v/>
      </c>
      <c r="N278" s="35">
        <f>XLOOKUP([@DeviceFamilyID],tblDeviceFamilyIDCrosswalk[LegacyDeviceFamilyID],tblDeviceFamilyIDCrosswalk[MappingStatus],"No Crosswalk")</f>
        <v/>
      </c>
      <c r="O278" s="35">
        <f>XLOOKUP([@DeviceTypeID],tblDeviceTypeIDCrosswalk[LegacyDeviceTypeID],tblDeviceTypeIDCrosswalk[MappingStatus],"No Crosswalk")</f>
        <v/>
      </c>
      <c r="P278">
        <f>IF(OR([@ManufacturerMappingStatus]&lt;&gt;"Approved",[@DeviceFamilyMappingStatus]&lt;&gt;"Approved",[@DeviceTypeMappingStatus]&lt;&gt;"Approved"),"Manual Review Required","Approved Crosswalk Available")</f>
        <v/>
      </c>
      <c r="Q278" t="inlineStr">
        <is>
          <t>Pending Review</t>
        </is>
      </c>
    </row>
    <row r="279" ht="21.5" customHeight="1" s="42">
      <c r="A279" s="36" t="n"/>
      <c r="B279" s="35" t="n"/>
      <c r="C279" s="35" t="n"/>
      <c r="D279" s="35" t="n"/>
      <c r="E279" s="39" t="n"/>
      <c r="F279" s="39" t="n"/>
      <c r="G279" s="10" t="inlineStr">
        <is>
          <t>MOD000276</t>
        </is>
      </c>
      <c r="H279" s="14" t="inlineStr">
        <is>
          <t>MFG002</t>
        </is>
      </c>
      <c r="I279" s="14" t="inlineStr">
        <is>
          <t>DF025</t>
        </is>
      </c>
      <c r="J279" s="14">
        <f>XLOOKUP([@ManufacturerID],tblManufacturerIDCrosswalk[LegacyManufacturerID],tblManufacturerIDCrosswalk[CanonicalManufacturerID],"")</f>
        <v/>
      </c>
      <c r="K279" s="7">
        <f>XLOOKUP([@DeviceFamilyID],tblDeviceFamilyIDCrosswalk[LegacyDeviceFamilyID],tblDeviceFamilyIDCrosswalk[CanonicalDeviceFamilyID],"")</f>
        <v/>
      </c>
      <c r="L279" s="7">
        <f>XLOOKUP([@DeviceTypeID],tblDeviceTypeIDCrosswalk[LegacyDeviceTypeID],tblDeviceTypeIDCrosswalk[CanonicalDeviceTypeID],"")</f>
        <v/>
      </c>
      <c r="M279" s="14">
        <f>XLOOKUP([@ManufacturerID],tblManufacturerIDCrosswalk[LegacyManufacturerID],tblManufacturerIDCrosswalk[MappingStatus],"No Crosswalk")</f>
        <v/>
      </c>
      <c r="N279" s="35">
        <f>XLOOKUP([@DeviceFamilyID],tblDeviceFamilyIDCrosswalk[LegacyDeviceFamilyID],tblDeviceFamilyIDCrosswalk[MappingStatus],"No Crosswalk")</f>
        <v/>
      </c>
      <c r="O279" s="35">
        <f>XLOOKUP([@DeviceTypeID],tblDeviceTypeIDCrosswalk[LegacyDeviceTypeID],tblDeviceTypeIDCrosswalk[MappingStatus],"No Crosswalk")</f>
        <v/>
      </c>
      <c r="P279">
        <f>IF(OR([@ManufacturerMappingStatus]&lt;&gt;"Approved",[@DeviceFamilyMappingStatus]&lt;&gt;"Approved",[@DeviceTypeMappingStatus]&lt;&gt;"Approved"),"Manual Review Required","Approved Crosswalk Available")</f>
        <v/>
      </c>
      <c r="Q279" t="inlineStr">
        <is>
          <t>Pending Review</t>
        </is>
      </c>
    </row>
    <row r="280" ht="21.5" customHeight="1" s="42">
      <c r="A280" s="36" t="n"/>
      <c r="B280" s="35" t="n"/>
      <c r="C280" s="35" t="n"/>
      <c r="D280" s="35" t="n"/>
      <c r="E280" s="39" t="n"/>
      <c r="F280" s="39" t="n"/>
      <c r="G280" s="10" t="inlineStr">
        <is>
          <t>MOD000277</t>
        </is>
      </c>
      <c r="H280" s="14" t="inlineStr">
        <is>
          <t>MFG002</t>
        </is>
      </c>
      <c r="I280" s="14" t="inlineStr">
        <is>
          <t>DF025</t>
        </is>
      </c>
      <c r="J280" s="14">
        <f>XLOOKUP([@ManufacturerID],tblManufacturerIDCrosswalk[LegacyManufacturerID],tblManufacturerIDCrosswalk[CanonicalManufacturerID],"")</f>
        <v/>
      </c>
      <c r="K280" s="7">
        <f>XLOOKUP([@DeviceFamilyID],tblDeviceFamilyIDCrosswalk[LegacyDeviceFamilyID],tblDeviceFamilyIDCrosswalk[CanonicalDeviceFamilyID],"")</f>
        <v/>
      </c>
      <c r="L280" s="7">
        <f>XLOOKUP([@DeviceTypeID],tblDeviceTypeIDCrosswalk[LegacyDeviceTypeID],tblDeviceTypeIDCrosswalk[CanonicalDeviceTypeID],"")</f>
        <v/>
      </c>
      <c r="M280" s="14">
        <f>XLOOKUP([@ManufacturerID],tblManufacturerIDCrosswalk[LegacyManufacturerID],tblManufacturerIDCrosswalk[MappingStatus],"No Crosswalk")</f>
        <v/>
      </c>
      <c r="N280" s="35">
        <f>XLOOKUP([@DeviceFamilyID],tblDeviceFamilyIDCrosswalk[LegacyDeviceFamilyID],tblDeviceFamilyIDCrosswalk[MappingStatus],"No Crosswalk")</f>
        <v/>
      </c>
      <c r="O280" s="35">
        <f>XLOOKUP([@DeviceTypeID],tblDeviceTypeIDCrosswalk[LegacyDeviceTypeID],tblDeviceTypeIDCrosswalk[MappingStatus],"No Crosswalk")</f>
        <v/>
      </c>
      <c r="P280">
        <f>IF(OR([@ManufacturerMappingStatus]&lt;&gt;"Approved",[@DeviceFamilyMappingStatus]&lt;&gt;"Approved",[@DeviceTypeMappingStatus]&lt;&gt;"Approved"),"Manual Review Required","Approved Crosswalk Available")</f>
        <v/>
      </c>
      <c r="Q280" t="inlineStr">
        <is>
          <t>Pending Review</t>
        </is>
      </c>
    </row>
    <row r="281" ht="21.5" customHeight="1" s="42">
      <c r="A281" s="36" t="n"/>
      <c r="B281" s="35" t="n"/>
      <c r="C281" s="35" t="n"/>
      <c r="D281" s="35" t="n"/>
      <c r="E281" s="39" t="n"/>
      <c r="F281" s="39" t="n"/>
      <c r="G281" s="10" t="inlineStr">
        <is>
          <t>MOD000278</t>
        </is>
      </c>
      <c r="H281" s="14" t="inlineStr">
        <is>
          <t>MFG002</t>
        </is>
      </c>
      <c r="I281" s="14" t="inlineStr">
        <is>
          <t>DF025</t>
        </is>
      </c>
      <c r="J281" s="14">
        <f>XLOOKUP([@ManufacturerID],tblManufacturerIDCrosswalk[LegacyManufacturerID],tblManufacturerIDCrosswalk[CanonicalManufacturerID],"")</f>
        <v/>
      </c>
      <c r="K281" s="7">
        <f>XLOOKUP([@DeviceFamilyID],tblDeviceFamilyIDCrosswalk[LegacyDeviceFamilyID],tblDeviceFamilyIDCrosswalk[CanonicalDeviceFamilyID],"")</f>
        <v/>
      </c>
      <c r="L281" s="7">
        <f>XLOOKUP([@DeviceTypeID],tblDeviceTypeIDCrosswalk[LegacyDeviceTypeID],tblDeviceTypeIDCrosswalk[CanonicalDeviceTypeID],"")</f>
        <v/>
      </c>
      <c r="M281" s="14">
        <f>XLOOKUP([@ManufacturerID],tblManufacturerIDCrosswalk[LegacyManufacturerID],tblManufacturerIDCrosswalk[MappingStatus],"No Crosswalk")</f>
        <v/>
      </c>
      <c r="N281" s="35">
        <f>XLOOKUP([@DeviceFamilyID],tblDeviceFamilyIDCrosswalk[LegacyDeviceFamilyID],tblDeviceFamilyIDCrosswalk[MappingStatus],"No Crosswalk")</f>
        <v/>
      </c>
      <c r="O281" s="35">
        <f>XLOOKUP([@DeviceTypeID],tblDeviceTypeIDCrosswalk[LegacyDeviceTypeID],tblDeviceTypeIDCrosswalk[MappingStatus],"No Crosswalk")</f>
        <v/>
      </c>
      <c r="P281">
        <f>IF(OR([@ManufacturerMappingStatus]&lt;&gt;"Approved",[@DeviceFamilyMappingStatus]&lt;&gt;"Approved",[@DeviceTypeMappingStatus]&lt;&gt;"Approved"),"Manual Review Required","Approved Crosswalk Available")</f>
        <v/>
      </c>
      <c r="Q281" t="inlineStr">
        <is>
          <t>Pending Review</t>
        </is>
      </c>
    </row>
    <row r="282" ht="21.5" customHeight="1" s="42">
      <c r="A282" s="36" t="n"/>
      <c r="B282" s="35" t="n"/>
      <c r="C282" s="35" t="n"/>
      <c r="D282" s="35" t="n"/>
      <c r="E282" s="39" t="n"/>
      <c r="F282" s="39" t="n"/>
      <c r="G282" s="10" t="inlineStr">
        <is>
          <t>MOD000279</t>
        </is>
      </c>
      <c r="H282" s="14" t="inlineStr">
        <is>
          <t>MFG002</t>
        </is>
      </c>
      <c r="I282" s="14" t="inlineStr">
        <is>
          <t>DF025</t>
        </is>
      </c>
      <c r="J282" s="14">
        <f>XLOOKUP([@ManufacturerID],tblManufacturerIDCrosswalk[LegacyManufacturerID],tblManufacturerIDCrosswalk[CanonicalManufacturerID],"")</f>
        <v/>
      </c>
      <c r="K282" s="7">
        <f>XLOOKUP([@DeviceFamilyID],tblDeviceFamilyIDCrosswalk[LegacyDeviceFamilyID],tblDeviceFamilyIDCrosswalk[CanonicalDeviceFamilyID],"")</f>
        <v/>
      </c>
      <c r="L282" s="7">
        <f>XLOOKUP([@DeviceTypeID],tblDeviceTypeIDCrosswalk[LegacyDeviceTypeID],tblDeviceTypeIDCrosswalk[CanonicalDeviceTypeID],"")</f>
        <v/>
      </c>
      <c r="M282" s="14">
        <f>XLOOKUP([@ManufacturerID],tblManufacturerIDCrosswalk[LegacyManufacturerID],tblManufacturerIDCrosswalk[MappingStatus],"No Crosswalk")</f>
        <v/>
      </c>
      <c r="N282" s="35">
        <f>XLOOKUP([@DeviceFamilyID],tblDeviceFamilyIDCrosswalk[LegacyDeviceFamilyID],tblDeviceFamilyIDCrosswalk[MappingStatus],"No Crosswalk")</f>
        <v/>
      </c>
      <c r="O282" s="35">
        <f>XLOOKUP([@DeviceTypeID],tblDeviceTypeIDCrosswalk[LegacyDeviceTypeID],tblDeviceTypeIDCrosswalk[MappingStatus],"No Crosswalk")</f>
        <v/>
      </c>
      <c r="P282">
        <f>IF(OR([@ManufacturerMappingStatus]&lt;&gt;"Approved",[@DeviceFamilyMappingStatus]&lt;&gt;"Approved",[@DeviceTypeMappingStatus]&lt;&gt;"Approved"),"Manual Review Required","Approved Crosswalk Available")</f>
        <v/>
      </c>
      <c r="Q282" t="inlineStr">
        <is>
          <t>Pending Review</t>
        </is>
      </c>
    </row>
    <row r="283" ht="21.5" customHeight="1" s="42">
      <c r="A283" s="36" t="n"/>
      <c r="B283" s="35" t="n"/>
      <c r="C283" s="35" t="n"/>
      <c r="D283" s="35" t="n"/>
      <c r="E283" s="39" t="n"/>
      <c r="F283" s="39" t="n"/>
      <c r="G283" s="10" t="inlineStr">
        <is>
          <t>MOD000280</t>
        </is>
      </c>
      <c r="H283" s="14" t="inlineStr">
        <is>
          <t>MFG002</t>
        </is>
      </c>
      <c r="I283" s="14" t="inlineStr">
        <is>
          <t>DF025</t>
        </is>
      </c>
      <c r="J283" s="14">
        <f>XLOOKUP([@ManufacturerID],tblManufacturerIDCrosswalk[LegacyManufacturerID],tblManufacturerIDCrosswalk[CanonicalManufacturerID],"")</f>
        <v/>
      </c>
      <c r="K283" s="7">
        <f>XLOOKUP([@DeviceFamilyID],tblDeviceFamilyIDCrosswalk[LegacyDeviceFamilyID],tblDeviceFamilyIDCrosswalk[CanonicalDeviceFamilyID],"")</f>
        <v/>
      </c>
      <c r="L283" s="7">
        <f>XLOOKUP([@DeviceTypeID],tblDeviceTypeIDCrosswalk[LegacyDeviceTypeID],tblDeviceTypeIDCrosswalk[CanonicalDeviceTypeID],"")</f>
        <v/>
      </c>
      <c r="M283" s="14">
        <f>XLOOKUP([@ManufacturerID],tblManufacturerIDCrosswalk[LegacyManufacturerID],tblManufacturerIDCrosswalk[MappingStatus],"No Crosswalk")</f>
        <v/>
      </c>
      <c r="N283" s="35">
        <f>XLOOKUP([@DeviceFamilyID],tblDeviceFamilyIDCrosswalk[LegacyDeviceFamilyID],tblDeviceFamilyIDCrosswalk[MappingStatus],"No Crosswalk")</f>
        <v/>
      </c>
      <c r="O283" s="35">
        <f>XLOOKUP([@DeviceTypeID],tblDeviceTypeIDCrosswalk[LegacyDeviceTypeID],tblDeviceTypeIDCrosswalk[MappingStatus],"No Crosswalk")</f>
        <v/>
      </c>
      <c r="P283">
        <f>IF(OR([@ManufacturerMappingStatus]&lt;&gt;"Approved",[@DeviceFamilyMappingStatus]&lt;&gt;"Approved",[@DeviceTypeMappingStatus]&lt;&gt;"Approved"),"Manual Review Required","Approved Crosswalk Available")</f>
        <v/>
      </c>
      <c r="Q283" t="inlineStr">
        <is>
          <t>Pending Review</t>
        </is>
      </c>
    </row>
    <row r="284" ht="21.5" customHeight="1" s="42">
      <c r="A284" s="36" t="n"/>
      <c r="B284" s="35" t="n"/>
      <c r="C284" s="35" t="n"/>
      <c r="D284" s="35" t="n"/>
      <c r="E284" s="39" t="n"/>
      <c r="F284" s="39" t="n"/>
      <c r="G284" s="10" t="inlineStr">
        <is>
          <t>MOD000281</t>
        </is>
      </c>
      <c r="H284" s="14" t="inlineStr">
        <is>
          <t>MFG002</t>
        </is>
      </c>
      <c r="I284" s="14" t="inlineStr">
        <is>
          <t>DF025</t>
        </is>
      </c>
      <c r="J284" s="14">
        <f>XLOOKUP([@ManufacturerID],tblManufacturerIDCrosswalk[LegacyManufacturerID],tblManufacturerIDCrosswalk[CanonicalManufacturerID],"")</f>
        <v/>
      </c>
      <c r="K284" s="7">
        <f>XLOOKUP([@DeviceFamilyID],tblDeviceFamilyIDCrosswalk[LegacyDeviceFamilyID],tblDeviceFamilyIDCrosswalk[CanonicalDeviceFamilyID],"")</f>
        <v/>
      </c>
      <c r="L284" s="7">
        <f>XLOOKUP([@DeviceTypeID],tblDeviceTypeIDCrosswalk[LegacyDeviceTypeID],tblDeviceTypeIDCrosswalk[CanonicalDeviceTypeID],"")</f>
        <v/>
      </c>
      <c r="M284" s="14">
        <f>XLOOKUP([@ManufacturerID],tblManufacturerIDCrosswalk[LegacyManufacturerID],tblManufacturerIDCrosswalk[MappingStatus],"No Crosswalk")</f>
        <v/>
      </c>
      <c r="N284" s="35">
        <f>XLOOKUP([@DeviceFamilyID],tblDeviceFamilyIDCrosswalk[LegacyDeviceFamilyID],tblDeviceFamilyIDCrosswalk[MappingStatus],"No Crosswalk")</f>
        <v/>
      </c>
      <c r="O284" s="35">
        <f>XLOOKUP([@DeviceTypeID],tblDeviceTypeIDCrosswalk[LegacyDeviceTypeID],tblDeviceTypeIDCrosswalk[MappingStatus],"No Crosswalk")</f>
        <v/>
      </c>
      <c r="P284">
        <f>IF(OR([@ManufacturerMappingStatus]&lt;&gt;"Approved",[@DeviceFamilyMappingStatus]&lt;&gt;"Approved",[@DeviceTypeMappingStatus]&lt;&gt;"Approved"),"Manual Review Required","Approved Crosswalk Available")</f>
        <v/>
      </c>
      <c r="Q284" t="inlineStr">
        <is>
          <t>Pending Review</t>
        </is>
      </c>
    </row>
    <row r="285" ht="21.5" customHeight="1" s="42">
      <c r="A285" s="36" t="n"/>
      <c r="B285" s="35" t="n"/>
      <c r="C285" s="35" t="n"/>
      <c r="D285" s="35" t="n"/>
      <c r="E285" s="39" t="n"/>
      <c r="F285" s="39" t="n"/>
      <c r="G285" s="10" t="inlineStr">
        <is>
          <t>MOD000282</t>
        </is>
      </c>
      <c r="H285" s="14" t="inlineStr">
        <is>
          <t>MFG002</t>
        </is>
      </c>
      <c r="I285" s="14" t="inlineStr">
        <is>
          <t>DF025</t>
        </is>
      </c>
      <c r="J285" s="14">
        <f>XLOOKUP([@ManufacturerID],tblManufacturerIDCrosswalk[LegacyManufacturerID],tblManufacturerIDCrosswalk[CanonicalManufacturerID],"")</f>
        <v/>
      </c>
      <c r="K285" s="7">
        <f>XLOOKUP([@DeviceFamilyID],tblDeviceFamilyIDCrosswalk[LegacyDeviceFamilyID],tblDeviceFamilyIDCrosswalk[CanonicalDeviceFamilyID],"")</f>
        <v/>
      </c>
      <c r="L285" s="7">
        <f>XLOOKUP([@DeviceTypeID],tblDeviceTypeIDCrosswalk[LegacyDeviceTypeID],tblDeviceTypeIDCrosswalk[CanonicalDeviceTypeID],"")</f>
        <v/>
      </c>
      <c r="M285" s="14">
        <f>XLOOKUP([@ManufacturerID],tblManufacturerIDCrosswalk[LegacyManufacturerID],tblManufacturerIDCrosswalk[MappingStatus],"No Crosswalk")</f>
        <v/>
      </c>
      <c r="N285" s="35">
        <f>XLOOKUP([@DeviceFamilyID],tblDeviceFamilyIDCrosswalk[LegacyDeviceFamilyID],tblDeviceFamilyIDCrosswalk[MappingStatus],"No Crosswalk")</f>
        <v/>
      </c>
      <c r="O285" s="35">
        <f>XLOOKUP([@DeviceTypeID],tblDeviceTypeIDCrosswalk[LegacyDeviceTypeID],tblDeviceTypeIDCrosswalk[MappingStatus],"No Crosswalk")</f>
        <v/>
      </c>
      <c r="P285">
        <f>IF(OR([@ManufacturerMappingStatus]&lt;&gt;"Approved",[@DeviceFamilyMappingStatus]&lt;&gt;"Approved",[@DeviceTypeMappingStatus]&lt;&gt;"Approved"),"Manual Review Required","Approved Crosswalk Available")</f>
        <v/>
      </c>
      <c r="Q285" t="inlineStr">
        <is>
          <t>Pending Review</t>
        </is>
      </c>
    </row>
    <row r="286" ht="21.5" customHeight="1" s="42">
      <c r="A286" s="36" t="n"/>
      <c r="B286" s="35" t="n"/>
      <c r="C286" s="35" t="n"/>
      <c r="D286" s="35" t="n"/>
      <c r="E286" s="39" t="n"/>
      <c r="F286" s="39" t="n"/>
      <c r="G286" s="10" t="inlineStr">
        <is>
          <t>MOD000283</t>
        </is>
      </c>
      <c r="H286" s="14" t="inlineStr">
        <is>
          <t>MFG002</t>
        </is>
      </c>
      <c r="I286" s="14" t="inlineStr">
        <is>
          <t>DF025</t>
        </is>
      </c>
      <c r="J286" s="14">
        <f>XLOOKUP([@ManufacturerID],tblManufacturerIDCrosswalk[LegacyManufacturerID],tblManufacturerIDCrosswalk[CanonicalManufacturerID],"")</f>
        <v/>
      </c>
      <c r="K286" s="7">
        <f>XLOOKUP([@DeviceFamilyID],tblDeviceFamilyIDCrosswalk[LegacyDeviceFamilyID],tblDeviceFamilyIDCrosswalk[CanonicalDeviceFamilyID],"")</f>
        <v/>
      </c>
      <c r="L286" s="7">
        <f>XLOOKUP([@DeviceTypeID],tblDeviceTypeIDCrosswalk[LegacyDeviceTypeID],tblDeviceTypeIDCrosswalk[CanonicalDeviceTypeID],"")</f>
        <v/>
      </c>
      <c r="M286" s="14">
        <f>XLOOKUP([@ManufacturerID],tblManufacturerIDCrosswalk[LegacyManufacturerID],tblManufacturerIDCrosswalk[MappingStatus],"No Crosswalk")</f>
        <v/>
      </c>
      <c r="N286" s="35">
        <f>XLOOKUP([@DeviceFamilyID],tblDeviceFamilyIDCrosswalk[LegacyDeviceFamilyID],tblDeviceFamilyIDCrosswalk[MappingStatus],"No Crosswalk")</f>
        <v/>
      </c>
      <c r="O286" s="35">
        <f>XLOOKUP([@DeviceTypeID],tblDeviceTypeIDCrosswalk[LegacyDeviceTypeID],tblDeviceTypeIDCrosswalk[MappingStatus],"No Crosswalk")</f>
        <v/>
      </c>
      <c r="P286">
        <f>IF(OR([@ManufacturerMappingStatus]&lt;&gt;"Approved",[@DeviceFamilyMappingStatus]&lt;&gt;"Approved",[@DeviceTypeMappingStatus]&lt;&gt;"Approved"),"Manual Review Required","Approved Crosswalk Available")</f>
        <v/>
      </c>
      <c r="Q286" t="inlineStr">
        <is>
          <t>Pending Review</t>
        </is>
      </c>
    </row>
    <row r="287" ht="21.5" customHeight="1" s="42">
      <c r="A287" s="36" t="n"/>
      <c r="B287" s="35" t="n"/>
      <c r="C287" s="35" t="n"/>
      <c r="D287" s="35" t="n"/>
      <c r="E287" s="39" t="n"/>
      <c r="F287" s="39" t="n"/>
      <c r="G287" s="10" t="inlineStr">
        <is>
          <t>MOD000284</t>
        </is>
      </c>
      <c r="H287" s="14" t="inlineStr">
        <is>
          <t>MFG002</t>
        </is>
      </c>
      <c r="I287" s="14" t="inlineStr">
        <is>
          <t>DF026</t>
        </is>
      </c>
      <c r="J287" s="14">
        <f>XLOOKUP([@ManufacturerID],tblManufacturerIDCrosswalk[LegacyManufacturerID],tblManufacturerIDCrosswalk[CanonicalManufacturerID],"")</f>
        <v/>
      </c>
      <c r="K287" s="7">
        <f>XLOOKUP([@DeviceFamilyID],tblDeviceFamilyIDCrosswalk[LegacyDeviceFamilyID],tblDeviceFamilyIDCrosswalk[CanonicalDeviceFamilyID],"")</f>
        <v/>
      </c>
      <c r="L287" s="7">
        <f>XLOOKUP([@DeviceTypeID],tblDeviceTypeIDCrosswalk[LegacyDeviceTypeID],tblDeviceTypeIDCrosswalk[CanonicalDeviceTypeID],"")</f>
        <v/>
      </c>
      <c r="M287" s="14">
        <f>XLOOKUP([@ManufacturerID],tblManufacturerIDCrosswalk[LegacyManufacturerID],tblManufacturerIDCrosswalk[MappingStatus],"No Crosswalk")</f>
        <v/>
      </c>
      <c r="N287" s="35">
        <f>XLOOKUP([@DeviceFamilyID],tblDeviceFamilyIDCrosswalk[LegacyDeviceFamilyID],tblDeviceFamilyIDCrosswalk[MappingStatus],"No Crosswalk")</f>
        <v/>
      </c>
      <c r="O287" s="35">
        <f>XLOOKUP([@DeviceTypeID],tblDeviceTypeIDCrosswalk[LegacyDeviceTypeID],tblDeviceTypeIDCrosswalk[MappingStatus],"No Crosswalk")</f>
        <v/>
      </c>
      <c r="P287">
        <f>IF(OR([@ManufacturerMappingStatus]&lt;&gt;"Approved",[@DeviceFamilyMappingStatus]&lt;&gt;"Approved",[@DeviceTypeMappingStatus]&lt;&gt;"Approved"),"Manual Review Required","Approved Crosswalk Available")</f>
        <v/>
      </c>
      <c r="Q287" t="inlineStr">
        <is>
          <t>Pending Review</t>
        </is>
      </c>
    </row>
    <row r="288" ht="21.5" customHeight="1" s="42">
      <c r="A288" s="36" t="n"/>
      <c r="B288" s="35" t="n"/>
      <c r="C288" s="35" t="n"/>
      <c r="D288" s="35" t="n"/>
      <c r="E288" s="39" t="n"/>
      <c r="F288" s="39" t="n"/>
      <c r="G288" s="10" t="inlineStr">
        <is>
          <t>MOD000285</t>
        </is>
      </c>
      <c r="H288" s="14" t="inlineStr">
        <is>
          <t>MFG002</t>
        </is>
      </c>
      <c r="I288" s="14" t="inlineStr">
        <is>
          <t>DF026</t>
        </is>
      </c>
      <c r="J288" s="14">
        <f>XLOOKUP([@ManufacturerID],tblManufacturerIDCrosswalk[LegacyManufacturerID],tblManufacturerIDCrosswalk[CanonicalManufacturerID],"")</f>
        <v/>
      </c>
      <c r="K288" s="7">
        <f>XLOOKUP([@DeviceFamilyID],tblDeviceFamilyIDCrosswalk[LegacyDeviceFamilyID],tblDeviceFamilyIDCrosswalk[CanonicalDeviceFamilyID],"")</f>
        <v/>
      </c>
      <c r="L288" s="7">
        <f>XLOOKUP([@DeviceTypeID],tblDeviceTypeIDCrosswalk[LegacyDeviceTypeID],tblDeviceTypeIDCrosswalk[CanonicalDeviceTypeID],"")</f>
        <v/>
      </c>
      <c r="M288" s="14">
        <f>XLOOKUP([@ManufacturerID],tblManufacturerIDCrosswalk[LegacyManufacturerID],tblManufacturerIDCrosswalk[MappingStatus],"No Crosswalk")</f>
        <v/>
      </c>
      <c r="N288" s="35">
        <f>XLOOKUP([@DeviceFamilyID],tblDeviceFamilyIDCrosswalk[LegacyDeviceFamilyID],tblDeviceFamilyIDCrosswalk[MappingStatus],"No Crosswalk")</f>
        <v/>
      </c>
      <c r="O288" s="35">
        <f>XLOOKUP([@DeviceTypeID],tblDeviceTypeIDCrosswalk[LegacyDeviceTypeID],tblDeviceTypeIDCrosswalk[MappingStatus],"No Crosswalk")</f>
        <v/>
      </c>
      <c r="P288">
        <f>IF(OR([@ManufacturerMappingStatus]&lt;&gt;"Approved",[@DeviceFamilyMappingStatus]&lt;&gt;"Approved",[@DeviceTypeMappingStatus]&lt;&gt;"Approved"),"Manual Review Required","Approved Crosswalk Available")</f>
        <v/>
      </c>
      <c r="Q288" t="inlineStr">
        <is>
          <t>Pending Review</t>
        </is>
      </c>
    </row>
    <row r="289" ht="21.5" customHeight="1" s="42">
      <c r="A289" s="36" t="n"/>
      <c r="B289" s="35" t="n"/>
      <c r="C289" s="35" t="n"/>
      <c r="D289" s="35" t="n"/>
      <c r="E289" s="39" t="n"/>
      <c r="F289" s="39" t="n"/>
      <c r="G289" s="10" t="inlineStr">
        <is>
          <t>MOD000286</t>
        </is>
      </c>
      <c r="H289" s="14" t="inlineStr">
        <is>
          <t>MFG002</t>
        </is>
      </c>
      <c r="I289" s="14" t="inlineStr">
        <is>
          <t>DF026</t>
        </is>
      </c>
      <c r="J289" s="14">
        <f>XLOOKUP([@ManufacturerID],tblManufacturerIDCrosswalk[LegacyManufacturerID],tblManufacturerIDCrosswalk[CanonicalManufacturerID],"")</f>
        <v/>
      </c>
      <c r="K289" s="7">
        <f>XLOOKUP([@DeviceFamilyID],tblDeviceFamilyIDCrosswalk[LegacyDeviceFamilyID],tblDeviceFamilyIDCrosswalk[CanonicalDeviceFamilyID],"")</f>
        <v/>
      </c>
      <c r="L289" s="7">
        <f>XLOOKUP([@DeviceTypeID],tblDeviceTypeIDCrosswalk[LegacyDeviceTypeID],tblDeviceTypeIDCrosswalk[CanonicalDeviceTypeID],"")</f>
        <v/>
      </c>
      <c r="M289" s="14">
        <f>XLOOKUP([@ManufacturerID],tblManufacturerIDCrosswalk[LegacyManufacturerID],tblManufacturerIDCrosswalk[MappingStatus],"No Crosswalk")</f>
        <v/>
      </c>
      <c r="N289" s="35">
        <f>XLOOKUP([@DeviceFamilyID],tblDeviceFamilyIDCrosswalk[LegacyDeviceFamilyID],tblDeviceFamilyIDCrosswalk[MappingStatus],"No Crosswalk")</f>
        <v/>
      </c>
      <c r="O289" s="35">
        <f>XLOOKUP([@DeviceTypeID],tblDeviceTypeIDCrosswalk[LegacyDeviceTypeID],tblDeviceTypeIDCrosswalk[MappingStatus],"No Crosswalk")</f>
        <v/>
      </c>
      <c r="P289">
        <f>IF(OR([@ManufacturerMappingStatus]&lt;&gt;"Approved",[@DeviceFamilyMappingStatus]&lt;&gt;"Approved",[@DeviceTypeMappingStatus]&lt;&gt;"Approved"),"Manual Review Required","Approved Crosswalk Available")</f>
        <v/>
      </c>
      <c r="Q289" t="inlineStr">
        <is>
          <t>Pending Review</t>
        </is>
      </c>
    </row>
    <row r="290" ht="21.5" customHeight="1" s="42">
      <c r="A290" s="36" t="n"/>
      <c r="B290" s="35" t="n"/>
      <c r="C290" s="35" t="n"/>
      <c r="D290" s="35" t="n"/>
      <c r="E290" s="39" t="n"/>
      <c r="F290" s="39" t="n"/>
      <c r="G290" s="10" t="inlineStr">
        <is>
          <t>MOD000287</t>
        </is>
      </c>
      <c r="H290" s="14" t="inlineStr">
        <is>
          <t>MFG002</t>
        </is>
      </c>
      <c r="I290" s="14" t="inlineStr">
        <is>
          <t>DF026</t>
        </is>
      </c>
      <c r="J290" s="14">
        <f>XLOOKUP([@ManufacturerID],tblManufacturerIDCrosswalk[LegacyManufacturerID],tblManufacturerIDCrosswalk[CanonicalManufacturerID],"")</f>
        <v/>
      </c>
      <c r="K290" s="7">
        <f>XLOOKUP([@DeviceFamilyID],tblDeviceFamilyIDCrosswalk[LegacyDeviceFamilyID],tblDeviceFamilyIDCrosswalk[CanonicalDeviceFamilyID],"")</f>
        <v/>
      </c>
      <c r="L290" s="7">
        <f>XLOOKUP([@DeviceTypeID],tblDeviceTypeIDCrosswalk[LegacyDeviceTypeID],tblDeviceTypeIDCrosswalk[CanonicalDeviceTypeID],"")</f>
        <v/>
      </c>
      <c r="M290" s="14">
        <f>XLOOKUP([@ManufacturerID],tblManufacturerIDCrosswalk[LegacyManufacturerID],tblManufacturerIDCrosswalk[MappingStatus],"No Crosswalk")</f>
        <v/>
      </c>
      <c r="N290" s="35">
        <f>XLOOKUP([@DeviceFamilyID],tblDeviceFamilyIDCrosswalk[LegacyDeviceFamilyID],tblDeviceFamilyIDCrosswalk[MappingStatus],"No Crosswalk")</f>
        <v/>
      </c>
      <c r="O290" s="35">
        <f>XLOOKUP([@DeviceTypeID],tblDeviceTypeIDCrosswalk[LegacyDeviceTypeID],tblDeviceTypeIDCrosswalk[MappingStatus],"No Crosswalk")</f>
        <v/>
      </c>
      <c r="P290">
        <f>IF(OR([@ManufacturerMappingStatus]&lt;&gt;"Approved",[@DeviceFamilyMappingStatus]&lt;&gt;"Approved",[@DeviceTypeMappingStatus]&lt;&gt;"Approved"),"Manual Review Required","Approved Crosswalk Available")</f>
        <v/>
      </c>
      <c r="Q290" t="inlineStr">
        <is>
          <t>Pending Review</t>
        </is>
      </c>
    </row>
    <row r="291" ht="21.5" customHeight="1" s="42">
      <c r="A291" s="36" t="n"/>
      <c r="B291" s="35" t="n"/>
      <c r="C291" s="35" t="n"/>
      <c r="D291" s="35" t="n"/>
      <c r="E291" s="39" t="n"/>
      <c r="F291" s="39" t="n"/>
      <c r="G291" s="10" t="inlineStr">
        <is>
          <t>MOD000288</t>
        </is>
      </c>
      <c r="H291" s="14" t="inlineStr">
        <is>
          <t>MFG002</t>
        </is>
      </c>
      <c r="I291" s="14" t="inlineStr">
        <is>
          <t>DF026</t>
        </is>
      </c>
      <c r="J291" s="14">
        <f>XLOOKUP([@ManufacturerID],tblManufacturerIDCrosswalk[LegacyManufacturerID],tblManufacturerIDCrosswalk[CanonicalManufacturerID],"")</f>
        <v/>
      </c>
      <c r="K291" s="7">
        <f>XLOOKUP([@DeviceFamilyID],tblDeviceFamilyIDCrosswalk[LegacyDeviceFamilyID],tblDeviceFamilyIDCrosswalk[CanonicalDeviceFamilyID],"")</f>
        <v/>
      </c>
      <c r="L291" s="7">
        <f>XLOOKUP([@DeviceTypeID],tblDeviceTypeIDCrosswalk[LegacyDeviceTypeID],tblDeviceTypeIDCrosswalk[CanonicalDeviceTypeID],"")</f>
        <v/>
      </c>
      <c r="M291" s="14">
        <f>XLOOKUP([@ManufacturerID],tblManufacturerIDCrosswalk[LegacyManufacturerID],tblManufacturerIDCrosswalk[MappingStatus],"No Crosswalk")</f>
        <v/>
      </c>
      <c r="N291" s="35">
        <f>XLOOKUP([@DeviceFamilyID],tblDeviceFamilyIDCrosswalk[LegacyDeviceFamilyID],tblDeviceFamilyIDCrosswalk[MappingStatus],"No Crosswalk")</f>
        <v/>
      </c>
      <c r="O291" s="35">
        <f>XLOOKUP([@DeviceTypeID],tblDeviceTypeIDCrosswalk[LegacyDeviceTypeID],tblDeviceTypeIDCrosswalk[MappingStatus],"No Crosswalk")</f>
        <v/>
      </c>
      <c r="P291">
        <f>IF(OR([@ManufacturerMappingStatus]&lt;&gt;"Approved",[@DeviceFamilyMappingStatus]&lt;&gt;"Approved",[@DeviceTypeMappingStatus]&lt;&gt;"Approved"),"Manual Review Required","Approved Crosswalk Available")</f>
        <v/>
      </c>
      <c r="Q291" t="inlineStr">
        <is>
          <t>Pending Review</t>
        </is>
      </c>
    </row>
    <row r="292" ht="21.5" customHeight="1" s="42">
      <c r="A292" s="36" t="n"/>
      <c r="B292" s="35" t="n"/>
      <c r="C292" s="35" t="n"/>
      <c r="D292" s="35" t="n"/>
      <c r="E292" s="39" t="n"/>
      <c r="F292" s="39" t="n"/>
      <c r="G292" s="10" t="inlineStr">
        <is>
          <t>MOD000289</t>
        </is>
      </c>
      <c r="H292" s="14" t="inlineStr">
        <is>
          <t>MFG002</t>
        </is>
      </c>
      <c r="I292" s="14" t="inlineStr">
        <is>
          <t>DF026</t>
        </is>
      </c>
      <c r="J292" s="14">
        <f>XLOOKUP([@ManufacturerID],tblManufacturerIDCrosswalk[LegacyManufacturerID],tblManufacturerIDCrosswalk[CanonicalManufacturerID],"")</f>
        <v/>
      </c>
      <c r="K292" s="7">
        <f>XLOOKUP([@DeviceFamilyID],tblDeviceFamilyIDCrosswalk[LegacyDeviceFamilyID],tblDeviceFamilyIDCrosswalk[CanonicalDeviceFamilyID],"")</f>
        <v/>
      </c>
      <c r="L292" s="7">
        <f>XLOOKUP([@DeviceTypeID],tblDeviceTypeIDCrosswalk[LegacyDeviceTypeID],tblDeviceTypeIDCrosswalk[CanonicalDeviceTypeID],"")</f>
        <v/>
      </c>
      <c r="M292" s="14">
        <f>XLOOKUP([@ManufacturerID],tblManufacturerIDCrosswalk[LegacyManufacturerID],tblManufacturerIDCrosswalk[MappingStatus],"No Crosswalk")</f>
        <v/>
      </c>
      <c r="N292" s="35">
        <f>XLOOKUP([@DeviceFamilyID],tblDeviceFamilyIDCrosswalk[LegacyDeviceFamilyID],tblDeviceFamilyIDCrosswalk[MappingStatus],"No Crosswalk")</f>
        <v/>
      </c>
      <c r="O292" s="35">
        <f>XLOOKUP([@DeviceTypeID],tblDeviceTypeIDCrosswalk[LegacyDeviceTypeID],tblDeviceTypeIDCrosswalk[MappingStatus],"No Crosswalk")</f>
        <v/>
      </c>
      <c r="P292">
        <f>IF(OR([@ManufacturerMappingStatus]&lt;&gt;"Approved",[@DeviceFamilyMappingStatus]&lt;&gt;"Approved",[@DeviceTypeMappingStatus]&lt;&gt;"Approved"),"Manual Review Required","Approved Crosswalk Available")</f>
        <v/>
      </c>
      <c r="Q292" t="inlineStr">
        <is>
          <t>Pending Review</t>
        </is>
      </c>
    </row>
    <row r="293" ht="21.5" customHeight="1" s="42">
      <c r="A293" s="36" t="n"/>
      <c r="B293" s="35" t="n"/>
      <c r="C293" s="35" t="n"/>
      <c r="D293" s="35" t="n"/>
      <c r="E293" s="39" t="n"/>
      <c r="F293" s="39" t="n"/>
      <c r="G293" s="10" t="inlineStr">
        <is>
          <t>MOD000290</t>
        </is>
      </c>
      <c r="H293" s="14" t="inlineStr">
        <is>
          <t>MFG002</t>
        </is>
      </c>
      <c r="I293" s="14" t="inlineStr">
        <is>
          <t>DF026</t>
        </is>
      </c>
      <c r="J293" s="14">
        <f>XLOOKUP([@ManufacturerID],tblManufacturerIDCrosswalk[LegacyManufacturerID],tblManufacturerIDCrosswalk[CanonicalManufacturerID],"")</f>
        <v/>
      </c>
      <c r="K293" s="7">
        <f>XLOOKUP([@DeviceFamilyID],tblDeviceFamilyIDCrosswalk[LegacyDeviceFamilyID],tblDeviceFamilyIDCrosswalk[CanonicalDeviceFamilyID],"")</f>
        <v/>
      </c>
      <c r="L293" s="7">
        <f>XLOOKUP([@DeviceTypeID],tblDeviceTypeIDCrosswalk[LegacyDeviceTypeID],tblDeviceTypeIDCrosswalk[CanonicalDeviceTypeID],"")</f>
        <v/>
      </c>
      <c r="M293" s="14">
        <f>XLOOKUP([@ManufacturerID],tblManufacturerIDCrosswalk[LegacyManufacturerID],tblManufacturerIDCrosswalk[MappingStatus],"No Crosswalk")</f>
        <v/>
      </c>
      <c r="N293" s="35">
        <f>XLOOKUP([@DeviceFamilyID],tblDeviceFamilyIDCrosswalk[LegacyDeviceFamilyID],tblDeviceFamilyIDCrosswalk[MappingStatus],"No Crosswalk")</f>
        <v/>
      </c>
      <c r="O293" s="35">
        <f>XLOOKUP([@DeviceTypeID],tblDeviceTypeIDCrosswalk[LegacyDeviceTypeID],tblDeviceTypeIDCrosswalk[MappingStatus],"No Crosswalk")</f>
        <v/>
      </c>
      <c r="P293">
        <f>IF(OR([@ManufacturerMappingStatus]&lt;&gt;"Approved",[@DeviceFamilyMappingStatus]&lt;&gt;"Approved",[@DeviceTypeMappingStatus]&lt;&gt;"Approved"),"Manual Review Required","Approved Crosswalk Available")</f>
        <v/>
      </c>
      <c r="Q293" t="inlineStr">
        <is>
          <t>Pending Review</t>
        </is>
      </c>
    </row>
    <row r="294" ht="21.5" customHeight="1" s="42">
      <c r="A294" s="36" t="n"/>
      <c r="B294" s="35" t="n"/>
      <c r="C294" s="35" t="n"/>
      <c r="D294" s="35" t="n"/>
      <c r="E294" s="39" t="n"/>
      <c r="F294" s="39" t="n"/>
      <c r="G294" s="10" t="inlineStr">
        <is>
          <t>MOD000291</t>
        </is>
      </c>
      <c r="H294" s="14" t="inlineStr">
        <is>
          <t>MFG002</t>
        </is>
      </c>
      <c r="I294" s="14" t="inlineStr">
        <is>
          <t>DF026</t>
        </is>
      </c>
      <c r="J294" s="14">
        <f>XLOOKUP([@ManufacturerID],tblManufacturerIDCrosswalk[LegacyManufacturerID],tblManufacturerIDCrosswalk[CanonicalManufacturerID],"")</f>
        <v/>
      </c>
      <c r="K294" s="7">
        <f>XLOOKUP([@DeviceFamilyID],tblDeviceFamilyIDCrosswalk[LegacyDeviceFamilyID],tblDeviceFamilyIDCrosswalk[CanonicalDeviceFamilyID],"")</f>
        <v/>
      </c>
      <c r="L294" s="7">
        <f>XLOOKUP([@DeviceTypeID],tblDeviceTypeIDCrosswalk[LegacyDeviceTypeID],tblDeviceTypeIDCrosswalk[CanonicalDeviceTypeID],"")</f>
        <v/>
      </c>
      <c r="M294" s="14">
        <f>XLOOKUP([@ManufacturerID],tblManufacturerIDCrosswalk[LegacyManufacturerID],tblManufacturerIDCrosswalk[MappingStatus],"No Crosswalk")</f>
        <v/>
      </c>
      <c r="N294" s="35">
        <f>XLOOKUP([@DeviceFamilyID],tblDeviceFamilyIDCrosswalk[LegacyDeviceFamilyID],tblDeviceFamilyIDCrosswalk[MappingStatus],"No Crosswalk")</f>
        <v/>
      </c>
      <c r="O294" s="35">
        <f>XLOOKUP([@DeviceTypeID],tblDeviceTypeIDCrosswalk[LegacyDeviceTypeID],tblDeviceTypeIDCrosswalk[MappingStatus],"No Crosswalk")</f>
        <v/>
      </c>
      <c r="P294">
        <f>IF(OR([@ManufacturerMappingStatus]&lt;&gt;"Approved",[@DeviceFamilyMappingStatus]&lt;&gt;"Approved",[@DeviceTypeMappingStatus]&lt;&gt;"Approved"),"Manual Review Required","Approved Crosswalk Available")</f>
        <v/>
      </c>
      <c r="Q294" t="inlineStr">
        <is>
          <t>Pending Review</t>
        </is>
      </c>
    </row>
    <row r="295" ht="21.5" customHeight="1" s="42">
      <c r="A295" s="36" t="n"/>
      <c r="B295" s="35" t="n"/>
      <c r="C295" s="35" t="n"/>
      <c r="D295" s="35" t="n"/>
      <c r="E295" s="39" t="n"/>
      <c r="F295" s="39" t="n"/>
      <c r="G295" s="10" t="inlineStr">
        <is>
          <t>MOD000292</t>
        </is>
      </c>
      <c r="H295" s="14" t="inlineStr">
        <is>
          <t>MFG002</t>
        </is>
      </c>
      <c r="I295" s="14" t="inlineStr">
        <is>
          <t>DF026</t>
        </is>
      </c>
      <c r="J295" s="14">
        <f>XLOOKUP([@ManufacturerID],tblManufacturerIDCrosswalk[LegacyManufacturerID],tblManufacturerIDCrosswalk[CanonicalManufacturerID],"")</f>
        <v/>
      </c>
      <c r="K295" s="7">
        <f>XLOOKUP([@DeviceFamilyID],tblDeviceFamilyIDCrosswalk[LegacyDeviceFamilyID],tblDeviceFamilyIDCrosswalk[CanonicalDeviceFamilyID],"")</f>
        <v/>
      </c>
      <c r="L295" s="7">
        <f>XLOOKUP([@DeviceTypeID],tblDeviceTypeIDCrosswalk[LegacyDeviceTypeID],tblDeviceTypeIDCrosswalk[CanonicalDeviceTypeID],"")</f>
        <v/>
      </c>
      <c r="M295" s="14">
        <f>XLOOKUP([@ManufacturerID],tblManufacturerIDCrosswalk[LegacyManufacturerID],tblManufacturerIDCrosswalk[MappingStatus],"No Crosswalk")</f>
        <v/>
      </c>
      <c r="N295" s="35">
        <f>XLOOKUP([@DeviceFamilyID],tblDeviceFamilyIDCrosswalk[LegacyDeviceFamilyID],tblDeviceFamilyIDCrosswalk[MappingStatus],"No Crosswalk")</f>
        <v/>
      </c>
      <c r="O295" s="35">
        <f>XLOOKUP([@DeviceTypeID],tblDeviceTypeIDCrosswalk[LegacyDeviceTypeID],tblDeviceTypeIDCrosswalk[MappingStatus],"No Crosswalk")</f>
        <v/>
      </c>
      <c r="P295">
        <f>IF(OR([@ManufacturerMappingStatus]&lt;&gt;"Approved",[@DeviceFamilyMappingStatus]&lt;&gt;"Approved",[@DeviceTypeMappingStatus]&lt;&gt;"Approved"),"Manual Review Required","Approved Crosswalk Available")</f>
        <v/>
      </c>
      <c r="Q295" t="inlineStr">
        <is>
          <t>Pending Review</t>
        </is>
      </c>
    </row>
    <row r="296" ht="21.5" customHeight="1" s="42">
      <c r="A296" s="36" t="n"/>
      <c r="B296" s="35" t="n"/>
      <c r="C296" s="35" t="n"/>
      <c r="D296" s="35" t="n"/>
      <c r="E296" s="39" t="n"/>
      <c r="F296" s="39" t="n"/>
      <c r="G296" s="10" t="inlineStr">
        <is>
          <t>MOD000293</t>
        </is>
      </c>
      <c r="H296" s="14" t="inlineStr">
        <is>
          <t>MFG002</t>
        </is>
      </c>
      <c r="I296" s="14" t="inlineStr">
        <is>
          <t>DF026</t>
        </is>
      </c>
      <c r="J296" s="14">
        <f>XLOOKUP([@ManufacturerID],tblManufacturerIDCrosswalk[LegacyManufacturerID],tblManufacturerIDCrosswalk[CanonicalManufacturerID],"")</f>
        <v/>
      </c>
      <c r="K296" s="7">
        <f>XLOOKUP([@DeviceFamilyID],tblDeviceFamilyIDCrosswalk[LegacyDeviceFamilyID],tblDeviceFamilyIDCrosswalk[CanonicalDeviceFamilyID],"")</f>
        <v/>
      </c>
      <c r="L296" s="7">
        <f>XLOOKUP([@DeviceTypeID],tblDeviceTypeIDCrosswalk[LegacyDeviceTypeID],tblDeviceTypeIDCrosswalk[CanonicalDeviceTypeID],"")</f>
        <v/>
      </c>
      <c r="M296" s="14">
        <f>XLOOKUP([@ManufacturerID],tblManufacturerIDCrosswalk[LegacyManufacturerID],tblManufacturerIDCrosswalk[MappingStatus],"No Crosswalk")</f>
        <v/>
      </c>
      <c r="N296" s="35">
        <f>XLOOKUP([@DeviceFamilyID],tblDeviceFamilyIDCrosswalk[LegacyDeviceFamilyID],tblDeviceFamilyIDCrosswalk[MappingStatus],"No Crosswalk")</f>
        <v/>
      </c>
      <c r="O296" s="35">
        <f>XLOOKUP([@DeviceTypeID],tblDeviceTypeIDCrosswalk[LegacyDeviceTypeID],tblDeviceTypeIDCrosswalk[MappingStatus],"No Crosswalk")</f>
        <v/>
      </c>
      <c r="P296">
        <f>IF(OR([@ManufacturerMappingStatus]&lt;&gt;"Approved",[@DeviceFamilyMappingStatus]&lt;&gt;"Approved",[@DeviceTypeMappingStatus]&lt;&gt;"Approved"),"Manual Review Required","Approved Crosswalk Available")</f>
        <v/>
      </c>
      <c r="Q296" t="inlineStr">
        <is>
          <t>Pending Review</t>
        </is>
      </c>
    </row>
    <row r="297" ht="21.5" customHeight="1" s="42">
      <c r="A297" s="36" t="n"/>
      <c r="B297" s="35" t="n"/>
      <c r="C297" s="35" t="n"/>
      <c r="D297" s="35" t="n"/>
      <c r="E297" s="39" t="n"/>
      <c r="F297" s="39" t="n"/>
      <c r="G297" s="10" t="inlineStr">
        <is>
          <t>MOD000294</t>
        </is>
      </c>
      <c r="H297" s="14" t="inlineStr">
        <is>
          <t>MFG002</t>
        </is>
      </c>
      <c r="I297" s="14" t="inlineStr">
        <is>
          <t>DF026</t>
        </is>
      </c>
      <c r="J297" s="14">
        <f>XLOOKUP([@ManufacturerID],tblManufacturerIDCrosswalk[LegacyManufacturerID],tblManufacturerIDCrosswalk[CanonicalManufacturerID],"")</f>
        <v/>
      </c>
      <c r="K297" s="7">
        <f>XLOOKUP([@DeviceFamilyID],tblDeviceFamilyIDCrosswalk[LegacyDeviceFamilyID],tblDeviceFamilyIDCrosswalk[CanonicalDeviceFamilyID],"")</f>
        <v/>
      </c>
      <c r="L297" s="7">
        <f>XLOOKUP([@DeviceTypeID],tblDeviceTypeIDCrosswalk[LegacyDeviceTypeID],tblDeviceTypeIDCrosswalk[CanonicalDeviceTypeID],"")</f>
        <v/>
      </c>
      <c r="M297" s="14">
        <f>XLOOKUP([@ManufacturerID],tblManufacturerIDCrosswalk[LegacyManufacturerID],tblManufacturerIDCrosswalk[MappingStatus],"No Crosswalk")</f>
        <v/>
      </c>
      <c r="N297" s="35">
        <f>XLOOKUP([@DeviceFamilyID],tblDeviceFamilyIDCrosswalk[LegacyDeviceFamilyID],tblDeviceFamilyIDCrosswalk[MappingStatus],"No Crosswalk")</f>
        <v/>
      </c>
      <c r="O297" s="35">
        <f>XLOOKUP([@DeviceTypeID],tblDeviceTypeIDCrosswalk[LegacyDeviceTypeID],tblDeviceTypeIDCrosswalk[MappingStatus],"No Crosswalk")</f>
        <v/>
      </c>
      <c r="P297">
        <f>IF(OR([@ManufacturerMappingStatus]&lt;&gt;"Approved",[@DeviceFamilyMappingStatus]&lt;&gt;"Approved",[@DeviceTypeMappingStatus]&lt;&gt;"Approved"),"Manual Review Required","Approved Crosswalk Available")</f>
        <v/>
      </c>
      <c r="Q297" t="inlineStr">
        <is>
          <t>Pending Review</t>
        </is>
      </c>
    </row>
    <row r="298" ht="21.5" customHeight="1" s="42">
      <c r="A298" s="36" t="n"/>
      <c r="B298" s="35" t="n"/>
      <c r="C298" s="35" t="n"/>
      <c r="D298" s="35" t="n"/>
      <c r="E298" s="39" t="n"/>
      <c r="F298" s="39" t="n"/>
      <c r="G298" s="10" t="inlineStr">
        <is>
          <t>MOD000295</t>
        </is>
      </c>
      <c r="H298" s="14" t="inlineStr">
        <is>
          <t>MFG002</t>
        </is>
      </c>
      <c r="I298" s="14" t="inlineStr">
        <is>
          <t>DF026</t>
        </is>
      </c>
      <c r="J298" s="14">
        <f>XLOOKUP([@ManufacturerID],tblManufacturerIDCrosswalk[LegacyManufacturerID],tblManufacturerIDCrosswalk[CanonicalManufacturerID],"")</f>
        <v/>
      </c>
      <c r="K298" s="7">
        <f>XLOOKUP([@DeviceFamilyID],tblDeviceFamilyIDCrosswalk[LegacyDeviceFamilyID],tblDeviceFamilyIDCrosswalk[CanonicalDeviceFamilyID],"")</f>
        <v/>
      </c>
      <c r="L298" s="7">
        <f>XLOOKUP([@DeviceTypeID],tblDeviceTypeIDCrosswalk[LegacyDeviceTypeID],tblDeviceTypeIDCrosswalk[CanonicalDeviceTypeID],"")</f>
        <v/>
      </c>
      <c r="M298" s="14">
        <f>XLOOKUP([@ManufacturerID],tblManufacturerIDCrosswalk[LegacyManufacturerID],tblManufacturerIDCrosswalk[MappingStatus],"No Crosswalk")</f>
        <v/>
      </c>
      <c r="N298" s="35">
        <f>XLOOKUP([@DeviceFamilyID],tblDeviceFamilyIDCrosswalk[LegacyDeviceFamilyID],tblDeviceFamilyIDCrosswalk[MappingStatus],"No Crosswalk")</f>
        <v/>
      </c>
      <c r="O298" s="35">
        <f>XLOOKUP([@DeviceTypeID],tblDeviceTypeIDCrosswalk[LegacyDeviceTypeID],tblDeviceTypeIDCrosswalk[MappingStatus],"No Crosswalk")</f>
        <v/>
      </c>
      <c r="P298">
        <f>IF(OR([@ManufacturerMappingStatus]&lt;&gt;"Approved",[@DeviceFamilyMappingStatus]&lt;&gt;"Approved",[@DeviceTypeMappingStatus]&lt;&gt;"Approved"),"Manual Review Required","Approved Crosswalk Available")</f>
        <v/>
      </c>
      <c r="Q298" t="inlineStr">
        <is>
          <t>Pending Review</t>
        </is>
      </c>
    </row>
    <row r="299" ht="21.5" customHeight="1" s="42">
      <c r="A299" s="36" t="n"/>
      <c r="B299" s="35" t="n"/>
      <c r="C299" s="35" t="n"/>
      <c r="D299" s="35" t="n"/>
      <c r="E299" s="39" t="n"/>
      <c r="F299" s="39" t="n"/>
      <c r="G299" s="10" t="inlineStr">
        <is>
          <t>MOD000296</t>
        </is>
      </c>
      <c r="H299" s="14" t="inlineStr">
        <is>
          <t>MFG002</t>
        </is>
      </c>
      <c r="I299" s="14" t="inlineStr">
        <is>
          <t>DF027</t>
        </is>
      </c>
      <c r="J299" s="14">
        <f>XLOOKUP([@ManufacturerID],tblManufacturerIDCrosswalk[LegacyManufacturerID],tblManufacturerIDCrosswalk[CanonicalManufacturerID],"")</f>
        <v/>
      </c>
      <c r="K299" s="7">
        <f>XLOOKUP([@DeviceFamilyID],tblDeviceFamilyIDCrosswalk[LegacyDeviceFamilyID],tblDeviceFamilyIDCrosswalk[CanonicalDeviceFamilyID],"")</f>
        <v/>
      </c>
      <c r="L299" s="7">
        <f>XLOOKUP([@DeviceTypeID],tblDeviceTypeIDCrosswalk[LegacyDeviceTypeID],tblDeviceTypeIDCrosswalk[CanonicalDeviceTypeID],"")</f>
        <v/>
      </c>
      <c r="M299" s="14">
        <f>XLOOKUP([@ManufacturerID],tblManufacturerIDCrosswalk[LegacyManufacturerID],tblManufacturerIDCrosswalk[MappingStatus],"No Crosswalk")</f>
        <v/>
      </c>
      <c r="N299" s="35">
        <f>XLOOKUP([@DeviceFamilyID],tblDeviceFamilyIDCrosswalk[LegacyDeviceFamilyID],tblDeviceFamilyIDCrosswalk[MappingStatus],"No Crosswalk")</f>
        <v/>
      </c>
      <c r="O299" s="35">
        <f>XLOOKUP([@DeviceTypeID],tblDeviceTypeIDCrosswalk[LegacyDeviceTypeID],tblDeviceTypeIDCrosswalk[MappingStatus],"No Crosswalk")</f>
        <v/>
      </c>
      <c r="P299">
        <f>IF(OR([@ManufacturerMappingStatus]&lt;&gt;"Approved",[@DeviceFamilyMappingStatus]&lt;&gt;"Approved",[@DeviceTypeMappingStatus]&lt;&gt;"Approved"),"Manual Review Required","Approved Crosswalk Available")</f>
        <v/>
      </c>
      <c r="Q299" t="inlineStr">
        <is>
          <t>Pending Review</t>
        </is>
      </c>
    </row>
    <row r="300" ht="21.5" customHeight="1" s="42">
      <c r="A300" s="36" t="n"/>
      <c r="B300" s="35" t="n"/>
      <c r="C300" s="35" t="n"/>
      <c r="D300" s="35" t="n"/>
      <c r="E300" s="39" t="n"/>
      <c r="F300" s="39" t="n"/>
      <c r="G300" s="10" t="inlineStr">
        <is>
          <t>MOD000297</t>
        </is>
      </c>
      <c r="H300" s="14" t="inlineStr">
        <is>
          <t>MFG002</t>
        </is>
      </c>
      <c r="I300" s="14" t="inlineStr">
        <is>
          <t>DF027</t>
        </is>
      </c>
      <c r="J300" s="14">
        <f>XLOOKUP([@ManufacturerID],tblManufacturerIDCrosswalk[LegacyManufacturerID],tblManufacturerIDCrosswalk[CanonicalManufacturerID],"")</f>
        <v/>
      </c>
      <c r="K300" s="7">
        <f>XLOOKUP([@DeviceFamilyID],tblDeviceFamilyIDCrosswalk[LegacyDeviceFamilyID],tblDeviceFamilyIDCrosswalk[CanonicalDeviceFamilyID],"")</f>
        <v/>
      </c>
      <c r="L300" s="7">
        <f>XLOOKUP([@DeviceTypeID],tblDeviceTypeIDCrosswalk[LegacyDeviceTypeID],tblDeviceTypeIDCrosswalk[CanonicalDeviceTypeID],"")</f>
        <v/>
      </c>
      <c r="M300" s="14">
        <f>XLOOKUP([@ManufacturerID],tblManufacturerIDCrosswalk[LegacyManufacturerID],tblManufacturerIDCrosswalk[MappingStatus],"No Crosswalk")</f>
        <v/>
      </c>
      <c r="N300" s="35">
        <f>XLOOKUP([@DeviceFamilyID],tblDeviceFamilyIDCrosswalk[LegacyDeviceFamilyID],tblDeviceFamilyIDCrosswalk[MappingStatus],"No Crosswalk")</f>
        <v/>
      </c>
      <c r="O300" s="35">
        <f>XLOOKUP([@DeviceTypeID],tblDeviceTypeIDCrosswalk[LegacyDeviceTypeID],tblDeviceTypeIDCrosswalk[MappingStatus],"No Crosswalk")</f>
        <v/>
      </c>
      <c r="P300">
        <f>IF(OR([@ManufacturerMappingStatus]&lt;&gt;"Approved",[@DeviceFamilyMappingStatus]&lt;&gt;"Approved",[@DeviceTypeMappingStatus]&lt;&gt;"Approved"),"Manual Review Required","Approved Crosswalk Available")</f>
        <v/>
      </c>
      <c r="Q300" t="inlineStr">
        <is>
          <t>Pending Review</t>
        </is>
      </c>
    </row>
    <row r="301" ht="21.5" customHeight="1" s="42">
      <c r="A301" s="36" t="n"/>
      <c r="B301" s="35" t="n"/>
      <c r="C301" s="35" t="n"/>
      <c r="D301" s="35" t="n"/>
      <c r="E301" s="39" t="n"/>
      <c r="F301" s="39" t="n"/>
      <c r="G301" s="10" t="inlineStr">
        <is>
          <t>MOD000298</t>
        </is>
      </c>
      <c r="H301" s="14" t="inlineStr">
        <is>
          <t>MFG002</t>
        </is>
      </c>
      <c r="I301" s="14" t="inlineStr">
        <is>
          <t>DF027</t>
        </is>
      </c>
      <c r="J301" s="14">
        <f>XLOOKUP([@ManufacturerID],tblManufacturerIDCrosswalk[LegacyManufacturerID],tblManufacturerIDCrosswalk[CanonicalManufacturerID],"")</f>
        <v/>
      </c>
      <c r="K301" s="7">
        <f>XLOOKUP([@DeviceFamilyID],tblDeviceFamilyIDCrosswalk[LegacyDeviceFamilyID],tblDeviceFamilyIDCrosswalk[CanonicalDeviceFamilyID],"")</f>
        <v/>
      </c>
      <c r="L301" s="7">
        <f>XLOOKUP([@DeviceTypeID],tblDeviceTypeIDCrosswalk[LegacyDeviceTypeID],tblDeviceTypeIDCrosswalk[CanonicalDeviceTypeID],"")</f>
        <v/>
      </c>
      <c r="M301" s="14">
        <f>XLOOKUP([@ManufacturerID],tblManufacturerIDCrosswalk[LegacyManufacturerID],tblManufacturerIDCrosswalk[MappingStatus],"No Crosswalk")</f>
        <v/>
      </c>
      <c r="N301" s="35">
        <f>XLOOKUP([@DeviceFamilyID],tblDeviceFamilyIDCrosswalk[LegacyDeviceFamilyID],tblDeviceFamilyIDCrosswalk[MappingStatus],"No Crosswalk")</f>
        <v/>
      </c>
      <c r="O301" s="35">
        <f>XLOOKUP([@DeviceTypeID],tblDeviceTypeIDCrosswalk[LegacyDeviceTypeID],tblDeviceTypeIDCrosswalk[MappingStatus],"No Crosswalk")</f>
        <v/>
      </c>
      <c r="P301">
        <f>IF(OR([@ManufacturerMappingStatus]&lt;&gt;"Approved",[@DeviceFamilyMappingStatus]&lt;&gt;"Approved",[@DeviceTypeMappingStatus]&lt;&gt;"Approved"),"Manual Review Required","Approved Crosswalk Available")</f>
        <v/>
      </c>
      <c r="Q301" t="inlineStr">
        <is>
          <t>Pending Review</t>
        </is>
      </c>
    </row>
    <row r="302" ht="21.5" customHeight="1" s="42">
      <c r="A302" s="36" t="n"/>
      <c r="B302" s="35" t="n"/>
      <c r="C302" s="35" t="n"/>
      <c r="D302" s="35" t="n"/>
      <c r="E302" s="39" t="n"/>
      <c r="F302" s="39" t="n"/>
      <c r="G302" s="10" t="inlineStr">
        <is>
          <t>MOD000299</t>
        </is>
      </c>
      <c r="H302" s="14" t="inlineStr">
        <is>
          <t>MFG002</t>
        </is>
      </c>
      <c r="I302" s="14" t="inlineStr">
        <is>
          <t>DF027</t>
        </is>
      </c>
      <c r="J302" s="14">
        <f>XLOOKUP([@ManufacturerID],tblManufacturerIDCrosswalk[LegacyManufacturerID],tblManufacturerIDCrosswalk[CanonicalManufacturerID],"")</f>
        <v/>
      </c>
      <c r="K302" s="7">
        <f>XLOOKUP([@DeviceFamilyID],tblDeviceFamilyIDCrosswalk[LegacyDeviceFamilyID],tblDeviceFamilyIDCrosswalk[CanonicalDeviceFamilyID],"")</f>
        <v/>
      </c>
      <c r="L302" s="7">
        <f>XLOOKUP([@DeviceTypeID],tblDeviceTypeIDCrosswalk[LegacyDeviceTypeID],tblDeviceTypeIDCrosswalk[CanonicalDeviceTypeID],"")</f>
        <v/>
      </c>
      <c r="M302" s="14">
        <f>XLOOKUP([@ManufacturerID],tblManufacturerIDCrosswalk[LegacyManufacturerID],tblManufacturerIDCrosswalk[MappingStatus],"No Crosswalk")</f>
        <v/>
      </c>
      <c r="N302" s="35">
        <f>XLOOKUP([@DeviceFamilyID],tblDeviceFamilyIDCrosswalk[LegacyDeviceFamilyID],tblDeviceFamilyIDCrosswalk[MappingStatus],"No Crosswalk")</f>
        <v/>
      </c>
      <c r="O302" s="35">
        <f>XLOOKUP([@DeviceTypeID],tblDeviceTypeIDCrosswalk[LegacyDeviceTypeID],tblDeviceTypeIDCrosswalk[MappingStatus],"No Crosswalk")</f>
        <v/>
      </c>
      <c r="P302">
        <f>IF(OR([@ManufacturerMappingStatus]&lt;&gt;"Approved",[@DeviceFamilyMappingStatus]&lt;&gt;"Approved",[@DeviceTypeMappingStatus]&lt;&gt;"Approved"),"Manual Review Required","Approved Crosswalk Available")</f>
        <v/>
      </c>
      <c r="Q302" t="inlineStr">
        <is>
          <t>Pending Review</t>
        </is>
      </c>
    </row>
    <row r="303" ht="21.5" customHeight="1" s="42">
      <c r="A303" s="36" t="n"/>
      <c r="B303" s="35" t="n"/>
      <c r="C303" s="35" t="n"/>
      <c r="D303" s="35" t="n"/>
      <c r="E303" s="39" t="n"/>
      <c r="F303" s="39" t="n"/>
      <c r="G303" s="10" t="inlineStr">
        <is>
          <t>MOD000300</t>
        </is>
      </c>
      <c r="H303" s="14" t="inlineStr">
        <is>
          <t>MFG002</t>
        </is>
      </c>
      <c r="I303" s="14" t="inlineStr">
        <is>
          <t>DF027</t>
        </is>
      </c>
      <c r="J303" s="14">
        <f>XLOOKUP([@ManufacturerID],tblManufacturerIDCrosswalk[LegacyManufacturerID],tblManufacturerIDCrosswalk[CanonicalManufacturerID],"")</f>
        <v/>
      </c>
      <c r="K303" s="7">
        <f>XLOOKUP([@DeviceFamilyID],tblDeviceFamilyIDCrosswalk[LegacyDeviceFamilyID],tblDeviceFamilyIDCrosswalk[CanonicalDeviceFamilyID],"")</f>
        <v/>
      </c>
      <c r="L303" s="7">
        <f>XLOOKUP([@DeviceTypeID],tblDeviceTypeIDCrosswalk[LegacyDeviceTypeID],tblDeviceTypeIDCrosswalk[CanonicalDeviceTypeID],"")</f>
        <v/>
      </c>
      <c r="M303" s="14">
        <f>XLOOKUP([@ManufacturerID],tblManufacturerIDCrosswalk[LegacyManufacturerID],tblManufacturerIDCrosswalk[MappingStatus],"No Crosswalk")</f>
        <v/>
      </c>
      <c r="N303" s="35">
        <f>XLOOKUP([@DeviceFamilyID],tblDeviceFamilyIDCrosswalk[LegacyDeviceFamilyID],tblDeviceFamilyIDCrosswalk[MappingStatus],"No Crosswalk")</f>
        <v/>
      </c>
      <c r="O303" s="35">
        <f>XLOOKUP([@DeviceTypeID],tblDeviceTypeIDCrosswalk[LegacyDeviceTypeID],tblDeviceTypeIDCrosswalk[MappingStatus],"No Crosswalk")</f>
        <v/>
      </c>
      <c r="P303">
        <f>IF(OR([@ManufacturerMappingStatus]&lt;&gt;"Approved",[@DeviceFamilyMappingStatus]&lt;&gt;"Approved",[@DeviceTypeMappingStatus]&lt;&gt;"Approved"),"Manual Review Required","Approved Crosswalk Available")</f>
        <v/>
      </c>
      <c r="Q303" t="inlineStr">
        <is>
          <t>Pending Review</t>
        </is>
      </c>
    </row>
    <row r="304" ht="21.5" customHeight="1" s="42">
      <c r="A304" s="36" t="n"/>
      <c r="B304" s="35" t="n"/>
      <c r="C304" s="35" t="n"/>
      <c r="D304" s="35" t="n"/>
      <c r="E304" s="39" t="n"/>
      <c r="F304" s="39" t="n"/>
      <c r="G304" s="10" t="inlineStr">
        <is>
          <t>MOD000301</t>
        </is>
      </c>
      <c r="H304" s="14" t="inlineStr">
        <is>
          <t>MFG002</t>
        </is>
      </c>
      <c r="I304" s="14" t="inlineStr">
        <is>
          <t>DF027</t>
        </is>
      </c>
      <c r="J304" s="14">
        <f>XLOOKUP([@ManufacturerID],tblManufacturerIDCrosswalk[LegacyManufacturerID],tblManufacturerIDCrosswalk[CanonicalManufacturerID],"")</f>
        <v/>
      </c>
      <c r="K304" s="7">
        <f>XLOOKUP([@DeviceFamilyID],tblDeviceFamilyIDCrosswalk[LegacyDeviceFamilyID],tblDeviceFamilyIDCrosswalk[CanonicalDeviceFamilyID],"")</f>
        <v/>
      </c>
      <c r="L304" s="7">
        <f>XLOOKUP([@DeviceTypeID],tblDeviceTypeIDCrosswalk[LegacyDeviceTypeID],tblDeviceTypeIDCrosswalk[CanonicalDeviceTypeID],"")</f>
        <v/>
      </c>
      <c r="M304" s="14">
        <f>XLOOKUP([@ManufacturerID],tblManufacturerIDCrosswalk[LegacyManufacturerID],tblManufacturerIDCrosswalk[MappingStatus],"No Crosswalk")</f>
        <v/>
      </c>
      <c r="N304" s="35">
        <f>XLOOKUP([@DeviceFamilyID],tblDeviceFamilyIDCrosswalk[LegacyDeviceFamilyID],tblDeviceFamilyIDCrosswalk[MappingStatus],"No Crosswalk")</f>
        <v/>
      </c>
      <c r="O304" s="35">
        <f>XLOOKUP([@DeviceTypeID],tblDeviceTypeIDCrosswalk[LegacyDeviceTypeID],tblDeviceTypeIDCrosswalk[MappingStatus],"No Crosswalk")</f>
        <v/>
      </c>
      <c r="P304">
        <f>IF(OR([@ManufacturerMappingStatus]&lt;&gt;"Approved",[@DeviceFamilyMappingStatus]&lt;&gt;"Approved",[@DeviceTypeMappingStatus]&lt;&gt;"Approved"),"Manual Review Required","Approved Crosswalk Available")</f>
        <v/>
      </c>
      <c r="Q304" t="inlineStr">
        <is>
          <t>Pending Review</t>
        </is>
      </c>
    </row>
    <row r="305" ht="21.5" customHeight="1" s="42">
      <c r="A305" s="36" t="n"/>
      <c r="B305" s="35" t="n"/>
      <c r="C305" s="35" t="n"/>
      <c r="D305" s="35" t="n"/>
      <c r="E305" s="39" t="n"/>
      <c r="F305" s="39" t="n"/>
      <c r="G305" s="10" t="inlineStr">
        <is>
          <t>MOD000302</t>
        </is>
      </c>
      <c r="H305" s="14" t="inlineStr">
        <is>
          <t>MFG002</t>
        </is>
      </c>
      <c r="I305" s="14" t="inlineStr">
        <is>
          <t>DF027</t>
        </is>
      </c>
      <c r="J305" s="14">
        <f>XLOOKUP([@ManufacturerID],tblManufacturerIDCrosswalk[LegacyManufacturerID],tblManufacturerIDCrosswalk[CanonicalManufacturerID],"")</f>
        <v/>
      </c>
      <c r="K305" s="7">
        <f>XLOOKUP([@DeviceFamilyID],tblDeviceFamilyIDCrosswalk[LegacyDeviceFamilyID],tblDeviceFamilyIDCrosswalk[CanonicalDeviceFamilyID],"")</f>
        <v/>
      </c>
      <c r="L305" s="7">
        <f>XLOOKUP([@DeviceTypeID],tblDeviceTypeIDCrosswalk[LegacyDeviceTypeID],tblDeviceTypeIDCrosswalk[CanonicalDeviceTypeID],"")</f>
        <v/>
      </c>
      <c r="M305" s="14">
        <f>XLOOKUP([@ManufacturerID],tblManufacturerIDCrosswalk[LegacyManufacturerID],tblManufacturerIDCrosswalk[MappingStatus],"No Crosswalk")</f>
        <v/>
      </c>
      <c r="N305" s="35">
        <f>XLOOKUP([@DeviceFamilyID],tblDeviceFamilyIDCrosswalk[LegacyDeviceFamilyID],tblDeviceFamilyIDCrosswalk[MappingStatus],"No Crosswalk")</f>
        <v/>
      </c>
      <c r="O305" s="35">
        <f>XLOOKUP([@DeviceTypeID],tblDeviceTypeIDCrosswalk[LegacyDeviceTypeID],tblDeviceTypeIDCrosswalk[MappingStatus],"No Crosswalk")</f>
        <v/>
      </c>
      <c r="P305">
        <f>IF(OR([@ManufacturerMappingStatus]&lt;&gt;"Approved",[@DeviceFamilyMappingStatus]&lt;&gt;"Approved",[@DeviceTypeMappingStatus]&lt;&gt;"Approved"),"Manual Review Required","Approved Crosswalk Available")</f>
        <v/>
      </c>
      <c r="Q305" t="inlineStr">
        <is>
          <t>Pending Review</t>
        </is>
      </c>
    </row>
    <row r="306" ht="21.5" customHeight="1" s="42">
      <c r="A306" s="36" t="n"/>
      <c r="B306" s="35" t="n"/>
      <c r="C306" s="35" t="n"/>
      <c r="D306" s="35" t="n"/>
      <c r="E306" s="39" t="n"/>
      <c r="F306" s="39" t="n"/>
      <c r="G306" s="10" t="inlineStr">
        <is>
          <t>MOD000303</t>
        </is>
      </c>
      <c r="H306" s="14" t="inlineStr">
        <is>
          <t>MFG002</t>
        </is>
      </c>
      <c r="I306" s="14" t="inlineStr">
        <is>
          <t>DF027</t>
        </is>
      </c>
      <c r="J306" s="14">
        <f>XLOOKUP([@ManufacturerID],tblManufacturerIDCrosswalk[LegacyManufacturerID],tblManufacturerIDCrosswalk[CanonicalManufacturerID],"")</f>
        <v/>
      </c>
      <c r="K306" s="7">
        <f>XLOOKUP([@DeviceFamilyID],tblDeviceFamilyIDCrosswalk[LegacyDeviceFamilyID],tblDeviceFamilyIDCrosswalk[CanonicalDeviceFamilyID],"")</f>
        <v/>
      </c>
      <c r="L306" s="7">
        <f>XLOOKUP([@DeviceTypeID],tblDeviceTypeIDCrosswalk[LegacyDeviceTypeID],tblDeviceTypeIDCrosswalk[CanonicalDeviceTypeID],"")</f>
        <v/>
      </c>
      <c r="M306" s="14">
        <f>XLOOKUP([@ManufacturerID],tblManufacturerIDCrosswalk[LegacyManufacturerID],tblManufacturerIDCrosswalk[MappingStatus],"No Crosswalk")</f>
        <v/>
      </c>
      <c r="N306" s="35">
        <f>XLOOKUP([@DeviceFamilyID],tblDeviceFamilyIDCrosswalk[LegacyDeviceFamilyID],tblDeviceFamilyIDCrosswalk[MappingStatus],"No Crosswalk")</f>
        <v/>
      </c>
      <c r="O306" s="35">
        <f>XLOOKUP([@DeviceTypeID],tblDeviceTypeIDCrosswalk[LegacyDeviceTypeID],tblDeviceTypeIDCrosswalk[MappingStatus],"No Crosswalk")</f>
        <v/>
      </c>
      <c r="P306">
        <f>IF(OR([@ManufacturerMappingStatus]&lt;&gt;"Approved",[@DeviceFamilyMappingStatus]&lt;&gt;"Approved",[@DeviceTypeMappingStatus]&lt;&gt;"Approved"),"Manual Review Required","Approved Crosswalk Available")</f>
        <v/>
      </c>
      <c r="Q306" t="inlineStr">
        <is>
          <t>Pending Review</t>
        </is>
      </c>
    </row>
    <row r="307" ht="21.5" customHeight="1" s="42">
      <c r="A307" s="36" t="n"/>
      <c r="B307" s="35" t="n"/>
      <c r="C307" s="35" t="n"/>
      <c r="D307" s="35" t="n"/>
      <c r="E307" s="39" t="n"/>
      <c r="F307" s="39" t="n"/>
      <c r="G307" s="10" t="inlineStr">
        <is>
          <t>MOD000304</t>
        </is>
      </c>
      <c r="H307" s="14" t="inlineStr">
        <is>
          <t>MFG002</t>
        </is>
      </c>
      <c r="I307" s="14" t="inlineStr">
        <is>
          <t>DF027</t>
        </is>
      </c>
      <c r="J307" s="14">
        <f>XLOOKUP([@ManufacturerID],tblManufacturerIDCrosswalk[LegacyManufacturerID],tblManufacturerIDCrosswalk[CanonicalManufacturerID],"")</f>
        <v/>
      </c>
      <c r="K307" s="7">
        <f>XLOOKUP([@DeviceFamilyID],tblDeviceFamilyIDCrosswalk[LegacyDeviceFamilyID],tblDeviceFamilyIDCrosswalk[CanonicalDeviceFamilyID],"")</f>
        <v/>
      </c>
      <c r="L307" s="7">
        <f>XLOOKUP([@DeviceTypeID],tblDeviceTypeIDCrosswalk[LegacyDeviceTypeID],tblDeviceTypeIDCrosswalk[CanonicalDeviceTypeID],"")</f>
        <v/>
      </c>
      <c r="M307" s="14">
        <f>XLOOKUP([@ManufacturerID],tblManufacturerIDCrosswalk[LegacyManufacturerID],tblManufacturerIDCrosswalk[MappingStatus],"No Crosswalk")</f>
        <v/>
      </c>
      <c r="N307" s="35">
        <f>XLOOKUP([@DeviceFamilyID],tblDeviceFamilyIDCrosswalk[LegacyDeviceFamilyID],tblDeviceFamilyIDCrosswalk[MappingStatus],"No Crosswalk")</f>
        <v/>
      </c>
      <c r="O307" s="35">
        <f>XLOOKUP([@DeviceTypeID],tblDeviceTypeIDCrosswalk[LegacyDeviceTypeID],tblDeviceTypeIDCrosswalk[MappingStatus],"No Crosswalk")</f>
        <v/>
      </c>
      <c r="P307">
        <f>IF(OR([@ManufacturerMappingStatus]&lt;&gt;"Approved",[@DeviceFamilyMappingStatus]&lt;&gt;"Approved",[@DeviceTypeMappingStatus]&lt;&gt;"Approved"),"Manual Review Required","Approved Crosswalk Available")</f>
        <v/>
      </c>
      <c r="Q307" t="inlineStr">
        <is>
          <t>Pending Review</t>
        </is>
      </c>
    </row>
    <row r="308" ht="21.5" customHeight="1" s="42">
      <c r="A308" s="36" t="n"/>
      <c r="B308" s="35" t="n"/>
      <c r="C308" s="35" t="n"/>
      <c r="D308" s="35" t="n"/>
      <c r="E308" s="39" t="n"/>
      <c r="F308" s="39" t="n"/>
      <c r="G308" s="10" t="inlineStr">
        <is>
          <t>MOD000305</t>
        </is>
      </c>
      <c r="H308" s="14" t="inlineStr">
        <is>
          <t>MFG002</t>
        </is>
      </c>
      <c r="I308" s="14" t="inlineStr">
        <is>
          <t>DF027</t>
        </is>
      </c>
      <c r="J308" s="14">
        <f>XLOOKUP([@ManufacturerID],tblManufacturerIDCrosswalk[LegacyManufacturerID],tblManufacturerIDCrosswalk[CanonicalManufacturerID],"")</f>
        <v/>
      </c>
      <c r="K308" s="7">
        <f>XLOOKUP([@DeviceFamilyID],tblDeviceFamilyIDCrosswalk[LegacyDeviceFamilyID],tblDeviceFamilyIDCrosswalk[CanonicalDeviceFamilyID],"")</f>
        <v/>
      </c>
      <c r="L308" s="7">
        <f>XLOOKUP([@DeviceTypeID],tblDeviceTypeIDCrosswalk[LegacyDeviceTypeID],tblDeviceTypeIDCrosswalk[CanonicalDeviceTypeID],"")</f>
        <v/>
      </c>
      <c r="M308" s="14">
        <f>XLOOKUP([@ManufacturerID],tblManufacturerIDCrosswalk[LegacyManufacturerID],tblManufacturerIDCrosswalk[MappingStatus],"No Crosswalk")</f>
        <v/>
      </c>
      <c r="N308" s="35">
        <f>XLOOKUP([@DeviceFamilyID],tblDeviceFamilyIDCrosswalk[LegacyDeviceFamilyID],tblDeviceFamilyIDCrosswalk[MappingStatus],"No Crosswalk")</f>
        <v/>
      </c>
      <c r="O308" s="35">
        <f>XLOOKUP([@DeviceTypeID],tblDeviceTypeIDCrosswalk[LegacyDeviceTypeID],tblDeviceTypeIDCrosswalk[MappingStatus],"No Crosswalk")</f>
        <v/>
      </c>
      <c r="P308">
        <f>IF(OR([@ManufacturerMappingStatus]&lt;&gt;"Approved",[@DeviceFamilyMappingStatus]&lt;&gt;"Approved",[@DeviceTypeMappingStatus]&lt;&gt;"Approved"),"Manual Review Required","Approved Crosswalk Available")</f>
        <v/>
      </c>
      <c r="Q308" t="inlineStr">
        <is>
          <t>Pending Review</t>
        </is>
      </c>
    </row>
    <row r="309" ht="21.5" customHeight="1" s="42">
      <c r="A309" s="36" t="n"/>
      <c r="B309" s="35" t="n"/>
      <c r="C309" s="35" t="n"/>
      <c r="D309" s="35" t="n"/>
      <c r="E309" s="39" t="n"/>
      <c r="F309" s="39" t="n"/>
      <c r="G309" s="10" t="inlineStr">
        <is>
          <t>MOD000306</t>
        </is>
      </c>
      <c r="H309" s="14" t="inlineStr">
        <is>
          <t>MFG002</t>
        </is>
      </c>
      <c r="I309" s="14" t="inlineStr">
        <is>
          <t>DF028</t>
        </is>
      </c>
      <c r="J309" s="14">
        <f>XLOOKUP([@ManufacturerID],tblManufacturerIDCrosswalk[LegacyManufacturerID],tblManufacturerIDCrosswalk[CanonicalManufacturerID],"")</f>
        <v/>
      </c>
      <c r="K309" s="7">
        <f>XLOOKUP([@DeviceFamilyID],tblDeviceFamilyIDCrosswalk[LegacyDeviceFamilyID],tblDeviceFamilyIDCrosswalk[CanonicalDeviceFamilyID],"")</f>
        <v/>
      </c>
      <c r="L309" s="7">
        <f>XLOOKUP([@DeviceTypeID],tblDeviceTypeIDCrosswalk[LegacyDeviceTypeID],tblDeviceTypeIDCrosswalk[CanonicalDeviceTypeID],"")</f>
        <v/>
      </c>
      <c r="M309" s="14">
        <f>XLOOKUP([@ManufacturerID],tblManufacturerIDCrosswalk[LegacyManufacturerID],tblManufacturerIDCrosswalk[MappingStatus],"No Crosswalk")</f>
        <v/>
      </c>
      <c r="N309" s="35">
        <f>XLOOKUP([@DeviceFamilyID],tblDeviceFamilyIDCrosswalk[LegacyDeviceFamilyID],tblDeviceFamilyIDCrosswalk[MappingStatus],"No Crosswalk")</f>
        <v/>
      </c>
      <c r="O309" s="35">
        <f>XLOOKUP([@DeviceTypeID],tblDeviceTypeIDCrosswalk[LegacyDeviceTypeID],tblDeviceTypeIDCrosswalk[MappingStatus],"No Crosswalk")</f>
        <v/>
      </c>
      <c r="P309">
        <f>IF(OR([@ManufacturerMappingStatus]&lt;&gt;"Approved",[@DeviceFamilyMappingStatus]&lt;&gt;"Approved",[@DeviceTypeMappingStatus]&lt;&gt;"Approved"),"Manual Review Required","Approved Crosswalk Available")</f>
        <v/>
      </c>
      <c r="Q309" t="inlineStr">
        <is>
          <t>Pending Review</t>
        </is>
      </c>
    </row>
    <row r="310" ht="21.5" customHeight="1" s="42">
      <c r="A310" s="36" t="n"/>
      <c r="B310" s="35" t="n"/>
      <c r="C310" s="35" t="n"/>
      <c r="D310" s="35" t="n"/>
      <c r="E310" s="39" t="n"/>
      <c r="F310" s="39" t="n"/>
      <c r="G310" s="10" t="inlineStr">
        <is>
          <t>MOD000307</t>
        </is>
      </c>
      <c r="H310" s="14" t="inlineStr">
        <is>
          <t>MFG002</t>
        </is>
      </c>
      <c r="I310" s="14" t="inlineStr">
        <is>
          <t>DF028</t>
        </is>
      </c>
      <c r="J310" s="14">
        <f>XLOOKUP([@ManufacturerID],tblManufacturerIDCrosswalk[LegacyManufacturerID],tblManufacturerIDCrosswalk[CanonicalManufacturerID],"")</f>
        <v/>
      </c>
      <c r="K310" s="7">
        <f>XLOOKUP([@DeviceFamilyID],tblDeviceFamilyIDCrosswalk[LegacyDeviceFamilyID],tblDeviceFamilyIDCrosswalk[CanonicalDeviceFamilyID],"")</f>
        <v/>
      </c>
      <c r="L310" s="7">
        <f>XLOOKUP([@DeviceTypeID],tblDeviceTypeIDCrosswalk[LegacyDeviceTypeID],tblDeviceTypeIDCrosswalk[CanonicalDeviceTypeID],"")</f>
        <v/>
      </c>
      <c r="M310" s="14">
        <f>XLOOKUP([@ManufacturerID],tblManufacturerIDCrosswalk[LegacyManufacturerID],tblManufacturerIDCrosswalk[MappingStatus],"No Crosswalk")</f>
        <v/>
      </c>
      <c r="N310" s="35">
        <f>XLOOKUP([@DeviceFamilyID],tblDeviceFamilyIDCrosswalk[LegacyDeviceFamilyID],tblDeviceFamilyIDCrosswalk[MappingStatus],"No Crosswalk")</f>
        <v/>
      </c>
      <c r="O310" s="35">
        <f>XLOOKUP([@DeviceTypeID],tblDeviceTypeIDCrosswalk[LegacyDeviceTypeID],tblDeviceTypeIDCrosswalk[MappingStatus],"No Crosswalk")</f>
        <v/>
      </c>
      <c r="P310">
        <f>IF(OR([@ManufacturerMappingStatus]&lt;&gt;"Approved",[@DeviceFamilyMappingStatus]&lt;&gt;"Approved",[@DeviceTypeMappingStatus]&lt;&gt;"Approved"),"Manual Review Required","Approved Crosswalk Available")</f>
        <v/>
      </c>
      <c r="Q310" t="inlineStr">
        <is>
          <t>Pending Review</t>
        </is>
      </c>
    </row>
    <row r="311" ht="21.5" customHeight="1" s="42">
      <c r="A311" s="36" t="n"/>
      <c r="B311" s="35" t="n"/>
      <c r="C311" s="35" t="n"/>
      <c r="D311" s="35" t="n"/>
      <c r="E311" s="39" t="n"/>
      <c r="F311" s="39" t="n"/>
      <c r="G311" s="10" t="inlineStr">
        <is>
          <t>MOD000308</t>
        </is>
      </c>
      <c r="H311" s="14" t="inlineStr">
        <is>
          <t>MFG002</t>
        </is>
      </c>
      <c r="I311" s="14" t="inlineStr">
        <is>
          <t>DF028</t>
        </is>
      </c>
      <c r="J311" s="14">
        <f>XLOOKUP([@ManufacturerID],tblManufacturerIDCrosswalk[LegacyManufacturerID],tblManufacturerIDCrosswalk[CanonicalManufacturerID],"")</f>
        <v/>
      </c>
      <c r="K311" s="7">
        <f>XLOOKUP([@DeviceFamilyID],tblDeviceFamilyIDCrosswalk[LegacyDeviceFamilyID],tblDeviceFamilyIDCrosswalk[CanonicalDeviceFamilyID],"")</f>
        <v/>
      </c>
      <c r="L311" s="7">
        <f>XLOOKUP([@DeviceTypeID],tblDeviceTypeIDCrosswalk[LegacyDeviceTypeID],tblDeviceTypeIDCrosswalk[CanonicalDeviceTypeID],"")</f>
        <v/>
      </c>
      <c r="M311" s="14">
        <f>XLOOKUP([@ManufacturerID],tblManufacturerIDCrosswalk[LegacyManufacturerID],tblManufacturerIDCrosswalk[MappingStatus],"No Crosswalk")</f>
        <v/>
      </c>
      <c r="N311" s="35">
        <f>XLOOKUP([@DeviceFamilyID],tblDeviceFamilyIDCrosswalk[LegacyDeviceFamilyID],tblDeviceFamilyIDCrosswalk[MappingStatus],"No Crosswalk")</f>
        <v/>
      </c>
      <c r="O311" s="35">
        <f>XLOOKUP([@DeviceTypeID],tblDeviceTypeIDCrosswalk[LegacyDeviceTypeID],tblDeviceTypeIDCrosswalk[MappingStatus],"No Crosswalk")</f>
        <v/>
      </c>
      <c r="P311">
        <f>IF(OR([@ManufacturerMappingStatus]&lt;&gt;"Approved",[@DeviceFamilyMappingStatus]&lt;&gt;"Approved",[@DeviceTypeMappingStatus]&lt;&gt;"Approved"),"Manual Review Required","Approved Crosswalk Available")</f>
        <v/>
      </c>
      <c r="Q311" t="inlineStr">
        <is>
          <t>Pending Review</t>
        </is>
      </c>
    </row>
    <row r="312" ht="21.5" customHeight="1" s="42">
      <c r="A312" s="36" t="n"/>
      <c r="B312" s="35" t="n"/>
      <c r="C312" s="35" t="n"/>
      <c r="D312" s="35" t="n"/>
      <c r="E312" s="39" t="n"/>
      <c r="F312" s="39" t="n"/>
      <c r="G312" s="10" t="inlineStr">
        <is>
          <t>MOD000309</t>
        </is>
      </c>
      <c r="H312" s="14" t="inlineStr">
        <is>
          <t>MFG002</t>
        </is>
      </c>
      <c r="I312" s="14" t="inlineStr">
        <is>
          <t>DF028</t>
        </is>
      </c>
      <c r="J312" s="14">
        <f>XLOOKUP([@ManufacturerID],tblManufacturerIDCrosswalk[LegacyManufacturerID],tblManufacturerIDCrosswalk[CanonicalManufacturerID],"")</f>
        <v/>
      </c>
      <c r="K312" s="7">
        <f>XLOOKUP([@DeviceFamilyID],tblDeviceFamilyIDCrosswalk[LegacyDeviceFamilyID],tblDeviceFamilyIDCrosswalk[CanonicalDeviceFamilyID],"")</f>
        <v/>
      </c>
      <c r="L312" s="7">
        <f>XLOOKUP([@DeviceTypeID],tblDeviceTypeIDCrosswalk[LegacyDeviceTypeID],tblDeviceTypeIDCrosswalk[CanonicalDeviceTypeID],"")</f>
        <v/>
      </c>
      <c r="M312" s="14">
        <f>XLOOKUP([@ManufacturerID],tblManufacturerIDCrosswalk[LegacyManufacturerID],tblManufacturerIDCrosswalk[MappingStatus],"No Crosswalk")</f>
        <v/>
      </c>
      <c r="N312" s="35">
        <f>XLOOKUP([@DeviceFamilyID],tblDeviceFamilyIDCrosswalk[LegacyDeviceFamilyID],tblDeviceFamilyIDCrosswalk[MappingStatus],"No Crosswalk")</f>
        <v/>
      </c>
      <c r="O312" s="35">
        <f>XLOOKUP([@DeviceTypeID],tblDeviceTypeIDCrosswalk[LegacyDeviceTypeID],tblDeviceTypeIDCrosswalk[MappingStatus],"No Crosswalk")</f>
        <v/>
      </c>
      <c r="P312">
        <f>IF(OR([@ManufacturerMappingStatus]&lt;&gt;"Approved",[@DeviceFamilyMappingStatus]&lt;&gt;"Approved",[@DeviceTypeMappingStatus]&lt;&gt;"Approved"),"Manual Review Required","Approved Crosswalk Available")</f>
        <v/>
      </c>
      <c r="Q312" t="inlineStr">
        <is>
          <t>Pending Review</t>
        </is>
      </c>
    </row>
    <row r="313" ht="21.5" customHeight="1" s="42">
      <c r="A313" s="36" t="n"/>
      <c r="B313" s="35" t="n"/>
      <c r="C313" s="35" t="n"/>
      <c r="D313" s="35" t="n"/>
      <c r="E313" s="39" t="n"/>
      <c r="F313" s="39" t="n"/>
      <c r="G313" s="10" t="inlineStr">
        <is>
          <t>MOD000310</t>
        </is>
      </c>
      <c r="H313" s="14" t="inlineStr">
        <is>
          <t>MFG002</t>
        </is>
      </c>
      <c r="I313" s="14" t="inlineStr">
        <is>
          <t>DF028</t>
        </is>
      </c>
      <c r="J313" s="14">
        <f>XLOOKUP([@ManufacturerID],tblManufacturerIDCrosswalk[LegacyManufacturerID],tblManufacturerIDCrosswalk[CanonicalManufacturerID],"")</f>
        <v/>
      </c>
      <c r="K313" s="7">
        <f>XLOOKUP([@DeviceFamilyID],tblDeviceFamilyIDCrosswalk[LegacyDeviceFamilyID],tblDeviceFamilyIDCrosswalk[CanonicalDeviceFamilyID],"")</f>
        <v/>
      </c>
      <c r="L313" s="7">
        <f>XLOOKUP([@DeviceTypeID],tblDeviceTypeIDCrosswalk[LegacyDeviceTypeID],tblDeviceTypeIDCrosswalk[CanonicalDeviceTypeID],"")</f>
        <v/>
      </c>
      <c r="M313" s="14">
        <f>XLOOKUP([@ManufacturerID],tblManufacturerIDCrosswalk[LegacyManufacturerID],tblManufacturerIDCrosswalk[MappingStatus],"No Crosswalk")</f>
        <v/>
      </c>
      <c r="N313" s="35">
        <f>XLOOKUP([@DeviceFamilyID],tblDeviceFamilyIDCrosswalk[LegacyDeviceFamilyID],tblDeviceFamilyIDCrosswalk[MappingStatus],"No Crosswalk")</f>
        <v/>
      </c>
      <c r="O313" s="35">
        <f>XLOOKUP([@DeviceTypeID],tblDeviceTypeIDCrosswalk[LegacyDeviceTypeID],tblDeviceTypeIDCrosswalk[MappingStatus],"No Crosswalk")</f>
        <v/>
      </c>
      <c r="P313">
        <f>IF(OR([@ManufacturerMappingStatus]&lt;&gt;"Approved",[@DeviceFamilyMappingStatus]&lt;&gt;"Approved",[@DeviceTypeMappingStatus]&lt;&gt;"Approved"),"Manual Review Required","Approved Crosswalk Available")</f>
        <v/>
      </c>
      <c r="Q313" t="inlineStr">
        <is>
          <t>Pending Review</t>
        </is>
      </c>
    </row>
    <row r="314" ht="21.5" customHeight="1" s="42">
      <c r="A314" s="36" t="n"/>
      <c r="B314" s="35" t="n"/>
      <c r="C314" s="35" t="n"/>
      <c r="D314" s="35" t="n"/>
      <c r="E314" s="39" t="n"/>
      <c r="F314" s="39" t="n"/>
      <c r="G314" s="10" t="inlineStr">
        <is>
          <t>MOD000311</t>
        </is>
      </c>
      <c r="H314" s="14" t="inlineStr">
        <is>
          <t>MFG002</t>
        </is>
      </c>
      <c r="I314" s="14" t="inlineStr">
        <is>
          <t>DF028</t>
        </is>
      </c>
      <c r="J314" s="14">
        <f>XLOOKUP([@ManufacturerID],tblManufacturerIDCrosswalk[LegacyManufacturerID],tblManufacturerIDCrosswalk[CanonicalManufacturerID],"")</f>
        <v/>
      </c>
      <c r="K314" s="7">
        <f>XLOOKUP([@DeviceFamilyID],tblDeviceFamilyIDCrosswalk[LegacyDeviceFamilyID],tblDeviceFamilyIDCrosswalk[CanonicalDeviceFamilyID],"")</f>
        <v/>
      </c>
      <c r="L314" s="7">
        <f>XLOOKUP([@DeviceTypeID],tblDeviceTypeIDCrosswalk[LegacyDeviceTypeID],tblDeviceTypeIDCrosswalk[CanonicalDeviceTypeID],"")</f>
        <v/>
      </c>
      <c r="M314" s="14">
        <f>XLOOKUP([@ManufacturerID],tblManufacturerIDCrosswalk[LegacyManufacturerID],tblManufacturerIDCrosswalk[MappingStatus],"No Crosswalk")</f>
        <v/>
      </c>
      <c r="N314" s="35">
        <f>XLOOKUP([@DeviceFamilyID],tblDeviceFamilyIDCrosswalk[LegacyDeviceFamilyID],tblDeviceFamilyIDCrosswalk[MappingStatus],"No Crosswalk")</f>
        <v/>
      </c>
      <c r="O314" s="35">
        <f>XLOOKUP([@DeviceTypeID],tblDeviceTypeIDCrosswalk[LegacyDeviceTypeID],tblDeviceTypeIDCrosswalk[MappingStatus],"No Crosswalk")</f>
        <v/>
      </c>
      <c r="P314">
        <f>IF(OR([@ManufacturerMappingStatus]&lt;&gt;"Approved",[@DeviceFamilyMappingStatus]&lt;&gt;"Approved",[@DeviceTypeMappingStatus]&lt;&gt;"Approved"),"Manual Review Required","Approved Crosswalk Available")</f>
        <v/>
      </c>
      <c r="Q314" t="inlineStr">
        <is>
          <t>Pending Review</t>
        </is>
      </c>
    </row>
    <row r="315" ht="21.5" customHeight="1" s="42">
      <c r="A315" s="36" t="n"/>
      <c r="B315" s="35" t="n"/>
      <c r="C315" s="35" t="n"/>
      <c r="D315" s="35" t="n"/>
      <c r="E315" s="39" t="n"/>
      <c r="F315" s="39" t="n"/>
      <c r="G315" s="10" t="inlineStr">
        <is>
          <t>MOD000312</t>
        </is>
      </c>
      <c r="H315" s="14" t="inlineStr">
        <is>
          <t>MFG002</t>
        </is>
      </c>
      <c r="I315" s="14" t="inlineStr">
        <is>
          <t>DF028</t>
        </is>
      </c>
      <c r="J315" s="14">
        <f>XLOOKUP([@ManufacturerID],tblManufacturerIDCrosswalk[LegacyManufacturerID],tblManufacturerIDCrosswalk[CanonicalManufacturerID],"")</f>
        <v/>
      </c>
      <c r="K315" s="7">
        <f>XLOOKUP([@DeviceFamilyID],tblDeviceFamilyIDCrosswalk[LegacyDeviceFamilyID],tblDeviceFamilyIDCrosswalk[CanonicalDeviceFamilyID],"")</f>
        <v/>
      </c>
      <c r="L315" s="7">
        <f>XLOOKUP([@DeviceTypeID],tblDeviceTypeIDCrosswalk[LegacyDeviceTypeID],tblDeviceTypeIDCrosswalk[CanonicalDeviceTypeID],"")</f>
        <v/>
      </c>
      <c r="M315" s="14">
        <f>XLOOKUP([@ManufacturerID],tblManufacturerIDCrosswalk[LegacyManufacturerID],tblManufacturerIDCrosswalk[MappingStatus],"No Crosswalk")</f>
        <v/>
      </c>
      <c r="N315" s="35">
        <f>XLOOKUP([@DeviceFamilyID],tblDeviceFamilyIDCrosswalk[LegacyDeviceFamilyID],tblDeviceFamilyIDCrosswalk[MappingStatus],"No Crosswalk")</f>
        <v/>
      </c>
      <c r="O315" s="35">
        <f>XLOOKUP([@DeviceTypeID],tblDeviceTypeIDCrosswalk[LegacyDeviceTypeID],tblDeviceTypeIDCrosswalk[MappingStatus],"No Crosswalk")</f>
        <v/>
      </c>
      <c r="P315">
        <f>IF(OR([@ManufacturerMappingStatus]&lt;&gt;"Approved",[@DeviceFamilyMappingStatus]&lt;&gt;"Approved",[@DeviceTypeMappingStatus]&lt;&gt;"Approved"),"Manual Review Required","Approved Crosswalk Available")</f>
        <v/>
      </c>
      <c r="Q315" t="inlineStr">
        <is>
          <t>Pending Review</t>
        </is>
      </c>
    </row>
    <row r="316" ht="21.5" customHeight="1" s="42">
      <c r="A316" s="36" t="n"/>
      <c r="B316" s="35" t="n"/>
      <c r="C316" s="35" t="n"/>
      <c r="D316" s="35" t="n"/>
      <c r="E316" s="39" t="n"/>
      <c r="F316" s="39" t="n"/>
      <c r="G316" s="10" t="inlineStr">
        <is>
          <t>MOD000313</t>
        </is>
      </c>
      <c r="H316" s="14" t="inlineStr">
        <is>
          <t>MFG002</t>
        </is>
      </c>
      <c r="I316" s="14" t="inlineStr">
        <is>
          <t>DF028</t>
        </is>
      </c>
      <c r="J316" s="14">
        <f>XLOOKUP([@ManufacturerID],tblManufacturerIDCrosswalk[LegacyManufacturerID],tblManufacturerIDCrosswalk[CanonicalManufacturerID],"")</f>
        <v/>
      </c>
      <c r="K316" s="7">
        <f>XLOOKUP([@DeviceFamilyID],tblDeviceFamilyIDCrosswalk[LegacyDeviceFamilyID],tblDeviceFamilyIDCrosswalk[CanonicalDeviceFamilyID],"")</f>
        <v/>
      </c>
      <c r="L316" s="7">
        <f>XLOOKUP([@DeviceTypeID],tblDeviceTypeIDCrosswalk[LegacyDeviceTypeID],tblDeviceTypeIDCrosswalk[CanonicalDeviceTypeID],"")</f>
        <v/>
      </c>
      <c r="M316" s="14">
        <f>XLOOKUP([@ManufacturerID],tblManufacturerIDCrosswalk[LegacyManufacturerID],tblManufacturerIDCrosswalk[MappingStatus],"No Crosswalk")</f>
        <v/>
      </c>
      <c r="N316" s="35">
        <f>XLOOKUP([@DeviceFamilyID],tblDeviceFamilyIDCrosswalk[LegacyDeviceFamilyID],tblDeviceFamilyIDCrosswalk[MappingStatus],"No Crosswalk")</f>
        <v/>
      </c>
      <c r="O316" s="35">
        <f>XLOOKUP([@DeviceTypeID],tblDeviceTypeIDCrosswalk[LegacyDeviceTypeID],tblDeviceTypeIDCrosswalk[MappingStatus],"No Crosswalk")</f>
        <v/>
      </c>
      <c r="P316">
        <f>IF(OR([@ManufacturerMappingStatus]&lt;&gt;"Approved",[@DeviceFamilyMappingStatus]&lt;&gt;"Approved",[@DeviceTypeMappingStatus]&lt;&gt;"Approved"),"Manual Review Required","Approved Crosswalk Available")</f>
        <v/>
      </c>
      <c r="Q316" t="inlineStr">
        <is>
          <t>Pending Review</t>
        </is>
      </c>
    </row>
    <row r="317" ht="21.5" customHeight="1" s="42">
      <c r="A317" s="36" t="n"/>
      <c r="B317" s="35" t="n"/>
      <c r="C317" s="35" t="n"/>
      <c r="D317" s="35" t="n"/>
      <c r="E317" s="39" t="n"/>
      <c r="F317" s="39" t="n"/>
      <c r="G317" s="10" t="inlineStr">
        <is>
          <t>MOD000314</t>
        </is>
      </c>
      <c r="H317" s="14" t="inlineStr">
        <is>
          <t>MFG002</t>
        </is>
      </c>
      <c r="I317" s="14" t="inlineStr">
        <is>
          <t>DF028</t>
        </is>
      </c>
      <c r="J317" s="14">
        <f>XLOOKUP([@ManufacturerID],tblManufacturerIDCrosswalk[LegacyManufacturerID],tblManufacturerIDCrosswalk[CanonicalManufacturerID],"")</f>
        <v/>
      </c>
      <c r="K317" s="7">
        <f>XLOOKUP([@DeviceFamilyID],tblDeviceFamilyIDCrosswalk[LegacyDeviceFamilyID],tblDeviceFamilyIDCrosswalk[CanonicalDeviceFamilyID],"")</f>
        <v/>
      </c>
      <c r="L317" s="7">
        <f>XLOOKUP([@DeviceTypeID],tblDeviceTypeIDCrosswalk[LegacyDeviceTypeID],tblDeviceTypeIDCrosswalk[CanonicalDeviceTypeID],"")</f>
        <v/>
      </c>
      <c r="M317" s="14">
        <f>XLOOKUP([@ManufacturerID],tblManufacturerIDCrosswalk[LegacyManufacturerID],tblManufacturerIDCrosswalk[MappingStatus],"No Crosswalk")</f>
        <v/>
      </c>
      <c r="N317" s="35">
        <f>XLOOKUP([@DeviceFamilyID],tblDeviceFamilyIDCrosswalk[LegacyDeviceFamilyID],tblDeviceFamilyIDCrosswalk[MappingStatus],"No Crosswalk")</f>
        <v/>
      </c>
      <c r="O317" s="35">
        <f>XLOOKUP([@DeviceTypeID],tblDeviceTypeIDCrosswalk[LegacyDeviceTypeID],tblDeviceTypeIDCrosswalk[MappingStatus],"No Crosswalk")</f>
        <v/>
      </c>
      <c r="P317">
        <f>IF(OR([@ManufacturerMappingStatus]&lt;&gt;"Approved",[@DeviceFamilyMappingStatus]&lt;&gt;"Approved",[@DeviceTypeMappingStatus]&lt;&gt;"Approved"),"Manual Review Required","Approved Crosswalk Available")</f>
        <v/>
      </c>
      <c r="Q317" t="inlineStr">
        <is>
          <t>Pending Review</t>
        </is>
      </c>
    </row>
    <row r="318" ht="21.5" customHeight="1" s="42">
      <c r="A318" s="36" t="n"/>
      <c r="B318" s="35" t="n"/>
      <c r="C318" s="35" t="n"/>
      <c r="D318" s="35" t="n"/>
      <c r="E318" s="39" t="n"/>
      <c r="F318" s="39" t="n"/>
      <c r="G318" s="10" t="inlineStr">
        <is>
          <t>MOD000315</t>
        </is>
      </c>
      <c r="H318" s="14" t="inlineStr">
        <is>
          <t>MFG002</t>
        </is>
      </c>
      <c r="I318" s="14" t="inlineStr">
        <is>
          <t>DF028</t>
        </is>
      </c>
      <c r="J318" s="14">
        <f>XLOOKUP([@ManufacturerID],tblManufacturerIDCrosswalk[LegacyManufacturerID],tblManufacturerIDCrosswalk[CanonicalManufacturerID],"")</f>
        <v/>
      </c>
      <c r="K318" s="7">
        <f>XLOOKUP([@DeviceFamilyID],tblDeviceFamilyIDCrosswalk[LegacyDeviceFamilyID],tblDeviceFamilyIDCrosswalk[CanonicalDeviceFamilyID],"")</f>
        <v/>
      </c>
      <c r="L318" s="7">
        <f>XLOOKUP([@DeviceTypeID],tblDeviceTypeIDCrosswalk[LegacyDeviceTypeID],tblDeviceTypeIDCrosswalk[CanonicalDeviceTypeID],"")</f>
        <v/>
      </c>
      <c r="M318" s="14">
        <f>XLOOKUP([@ManufacturerID],tblManufacturerIDCrosswalk[LegacyManufacturerID],tblManufacturerIDCrosswalk[MappingStatus],"No Crosswalk")</f>
        <v/>
      </c>
      <c r="N318" s="35">
        <f>XLOOKUP([@DeviceFamilyID],tblDeviceFamilyIDCrosswalk[LegacyDeviceFamilyID],tblDeviceFamilyIDCrosswalk[MappingStatus],"No Crosswalk")</f>
        <v/>
      </c>
      <c r="O318" s="35">
        <f>XLOOKUP([@DeviceTypeID],tblDeviceTypeIDCrosswalk[LegacyDeviceTypeID],tblDeviceTypeIDCrosswalk[MappingStatus],"No Crosswalk")</f>
        <v/>
      </c>
      <c r="P318">
        <f>IF(OR([@ManufacturerMappingStatus]&lt;&gt;"Approved",[@DeviceFamilyMappingStatus]&lt;&gt;"Approved",[@DeviceTypeMappingStatus]&lt;&gt;"Approved"),"Manual Review Required","Approved Crosswalk Available")</f>
        <v/>
      </c>
      <c r="Q318" t="inlineStr">
        <is>
          <t>Pending Review</t>
        </is>
      </c>
    </row>
    <row r="319" ht="21.5" customHeight="1" s="42">
      <c r="A319" s="36" t="n"/>
      <c r="B319" s="35" t="n"/>
      <c r="C319" s="35" t="n"/>
      <c r="D319" s="35" t="n"/>
      <c r="E319" s="39" t="n"/>
      <c r="F319" s="39" t="n"/>
      <c r="G319" s="10" t="inlineStr">
        <is>
          <t>MOD000316</t>
        </is>
      </c>
      <c r="H319" s="14" t="inlineStr">
        <is>
          <t>MFG002</t>
        </is>
      </c>
      <c r="I319" s="14" t="inlineStr">
        <is>
          <t>DF028</t>
        </is>
      </c>
      <c r="J319" s="14">
        <f>XLOOKUP([@ManufacturerID],tblManufacturerIDCrosswalk[LegacyManufacturerID],tblManufacturerIDCrosswalk[CanonicalManufacturerID],"")</f>
        <v/>
      </c>
      <c r="K319" s="7">
        <f>XLOOKUP([@DeviceFamilyID],tblDeviceFamilyIDCrosswalk[LegacyDeviceFamilyID],tblDeviceFamilyIDCrosswalk[CanonicalDeviceFamilyID],"")</f>
        <v/>
      </c>
      <c r="L319" s="7">
        <f>XLOOKUP([@DeviceTypeID],tblDeviceTypeIDCrosswalk[LegacyDeviceTypeID],tblDeviceTypeIDCrosswalk[CanonicalDeviceTypeID],"")</f>
        <v/>
      </c>
      <c r="M319" s="14">
        <f>XLOOKUP([@ManufacturerID],tblManufacturerIDCrosswalk[LegacyManufacturerID],tblManufacturerIDCrosswalk[MappingStatus],"No Crosswalk")</f>
        <v/>
      </c>
      <c r="N319" s="35">
        <f>XLOOKUP([@DeviceFamilyID],tblDeviceFamilyIDCrosswalk[LegacyDeviceFamilyID],tblDeviceFamilyIDCrosswalk[MappingStatus],"No Crosswalk")</f>
        <v/>
      </c>
      <c r="O319" s="35">
        <f>XLOOKUP([@DeviceTypeID],tblDeviceTypeIDCrosswalk[LegacyDeviceTypeID],tblDeviceTypeIDCrosswalk[MappingStatus],"No Crosswalk")</f>
        <v/>
      </c>
      <c r="P319">
        <f>IF(OR([@ManufacturerMappingStatus]&lt;&gt;"Approved",[@DeviceFamilyMappingStatus]&lt;&gt;"Approved",[@DeviceTypeMappingStatus]&lt;&gt;"Approved"),"Manual Review Required","Approved Crosswalk Available")</f>
        <v/>
      </c>
      <c r="Q319" t="inlineStr">
        <is>
          <t>Pending Review</t>
        </is>
      </c>
    </row>
    <row r="320" ht="21.5" customHeight="1" s="42">
      <c r="A320" s="36" t="n"/>
      <c r="B320" s="35" t="n"/>
      <c r="C320" s="35" t="n"/>
      <c r="D320" s="35" t="n"/>
      <c r="E320" s="39" t="n"/>
      <c r="F320" s="39" t="n"/>
      <c r="G320" s="10" t="inlineStr">
        <is>
          <t>MOD000317</t>
        </is>
      </c>
      <c r="H320" s="14" t="inlineStr">
        <is>
          <t>MFG002</t>
        </is>
      </c>
      <c r="I320" s="14" t="inlineStr">
        <is>
          <t>DF028</t>
        </is>
      </c>
      <c r="J320" s="14">
        <f>XLOOKUP([@ManufacturerID],tblManufacturerIDCrosswalk[LegacyManufacturerID],tblManufacturerIDCrosswalk[CanonicalManufacturerID],"")</f>
        <v/>
      </c>
      <c r="K320" s="7">
        <f>XLOOKUP([@DeviceFamilyID],tblDeviceFamilyIDCrosswalk[LegacyDeviceFamilyID],tblDeviceFamilyIDCrosswalk[CanonicalDeviceFamilyID],"")</f>
        <v/>
      </c>
      <c r="L320" s="7">
        <f>XLOOKUP([@DeviceTypeID],tblDeviceTypeIDCrosswalk[LegacyDeviceTypeID],tblDeviceTypeIDCrosswalk[CanonicalDeviceTypeID],"")</f>
        <v/>
      </c>
      <c r="M320" s="14">
        <f>XLOOKUP([@ManufacturerID],tblManufacturerIDCrosswalk[LegacyManufacturerID],tblManufacturerIDCrosswalk[MappingStatus],"No Crosswalk")</f>
        <v/>
      </c>
      <c r="N320" s="35">
        <f>XLOOKUP([@DeviceFamilyID],tblDeviceFamilyIDCrosswalk[LegacyDeviceFamilyID],tblDeviceFamilyIDCrosswalk[MappingStatus],"No Crosswalk")</f>
        <v/>
      </c>
      <c r="O320" s="35">
        <f>XLOOKUP([@DeviceTypeID],tblDeviceTypeIDCrosswalk[LegacyDeviceTypeID],tblDeviceTypeIDCrosswalk[MappingStatus],"No Crosswalk")</f>
        <v/>
      </c>
      <c r="P320">
        <f>IF(OR([@ManufacturerMappingStatus]&lt;&gt;"Approved",[@DeviceFamilyMappingStatus]&lt;&gt;"Approved",[@DeviceTypeMappingStatus]&lt;&gt;"Approved"),"Manual Review Required","Approved Crosswalk Available")</f>
        <v/>
      </c>
      <c r="Q320" t="inlineStr">
        <is>
          <t>Pending Review</t>
        </is>
      </c>
    </row>
    <row r="321" ht="21.5" customHeight="1" s="42">
      <c r="A321" s="36" t="n"/>
      <c r="B321" s="35" t="n"/>
      <c r="C321" s="35" t="n"/>
      <c r="D321" s="35" t="n"/>
      <c r="E321" s="39" t="n"/>
      <c r="F321" s="39" t="n"/>
      <c r="G321" s="10" t="inlineStr">
        <is>
          <t>MOD000318</t>
        </is>
      </c>
      <c r="H321" s="14" t="inlineStr">
        <is>
          <t>MFG002</t>
        </is>
      </c>
      <c r="I321" s="14" t="inlineStr">
        <is>
          <t>DF028</t>
        </is>
      </c>
      <c r="J321" s="14">
        <f>XLOOKUP([@ManufacturerID],tblManufacturerIDCrosswalk[LegacyManufacturerID],tblManufacturerIDCrosswalk[CanonicalManufacturerID],"")</f>
        <v/>
      </c>
      <c r="K321" s="7">
        <f>XLOOKUP([@DeviceFamilyID],tblDeviceFamilyIDCrosswalk[LegacyDeviceFamilyID],tblDeviceFamilyIDCrosswalk[CanonicalDeviceFamilyID],"")</f>
        <v/>
      </c>
      <c r="L321" s="7">
        <f>XLOOKUP([@DeviceTypeID],tblDeviceTypeIDCrosswalk[LegacyDeviceTypeID],tblDeviceTypeIDCrosswalk[CanonicalDeviceTypeID],"")</f>
        <v/>
      </c>
      <c r="M321" s="14">
        <f>XLOOKUP([@ManufacturerID],tblManufacturerIDCrosswalk[LegacyManufacturerID],tblManufacturerIDCrosswalk[MappingStatus],"No Crosswalk")</f>
        <v/>
      </c>
      <c r="N321" s="35">
        <f>XLOOKUP([@DeviceFamilyID],tblDeviceFamilyIDCrosswalk[LegacyDeviceFamilyID],tblDeviceFamilyIDCrosswalk[MappingStatus],"No Crosswalk")</f>
        <v/>
      </c>
      <c r="O321" s="35">
        <f>XLOOKUP([@DeviceTypeID],tblDeviceTypeIDCrosswalk[LegacyDeviceTypeID],tblDeviceTypeIDCrosswalk[MappingStatus],"No Crosswalk")</f>
        <v/>
      </c>
      <c r="P321">
        <f>IF(OR([@ManufacturerMappingStatus]&lt;&gt;"Approved",[@DeviceFamilyMappingStatus]&lt;&gt;"Approved",[@DeviceTypeMappingStatus]&lt;&gt;"Approved"),"Manual Review Required","Approved Crosswalk Available")</f>
        <v/>
      </c>
      <c r="Q321" t="inlineStr">
        <is>
          <t>Pending Review</t>
        </is>
      </c>
    </row>
    <row r="322" ht="21.5" customHeight="1" s="42">
      <c r="A322" s="36" t="n"/>
      <c r="B322" s="35" t="n"/>
      <c r="C322" s="35" t="n"/>
      <c r="D322" s="35" t="n"/>
      <c r="E322" s="39" t="n"/>
      <c r="F322" s="39" t="n"/>
      <c r="G322" s="10" t="inlineStr">
        <is>
          <t>MOD000319</t>
        </is>
      </c>
      <c r="H322" s="14" t="inlineStr">
        <is>
          <t>MFG002</t>
        </is>
      </c>
      <c r="I322" s="14" t="inlineStr">
        <is>
          <t>DF028</t>
        </is>
      </c>
      <c r="J322" s="14">
        <f>XLOOKUP([@ManufacturerID],tblManufacturerIDCrosswalk[LegacyManufacturerID],tblManufacturerIDCrosswalk[CanonicalManufacturerID],"")</f>
        <v/>
      </c>
      <c r="K322" s="7">
        <f>XLOOKUP([@DeviceFamilyID],tblDeviceFamilyIDCrosswalk[LegacyDeviceFamilyID],tblDeviceFamilyIDCrosswalk[CanonicalDeviceFamilyID],"")</f>
        <v/>
      </c>
      <c r="L322" s="7">
        <f>XLOOKUP([@DeviceTypeID],tblDeviceTypeIDCrosswalk[LegacyDeviceTypeID],tblDeviceTypeIDCrosswalk[CanonicalDeviceTypeID],"")</f>
        <v/>
      </c>
      <c r="M322" s="14">
        <f>XLOOKUP([@ManufacturerID],tblManufacturerIDCrosswalk[LegacyManufacturerID],tblManufacturerIDCrosswalk[MappingStatus],"No Crosswalk")</f>
        <v/>
      </c>
      <c r="N322" s="35">
        <f>XLOOKUP([@DeviceFamilyID],tblDeviceFamilyIDCrosswalk[LegacyDeviceFamilyID],tblDeviceFamilyIDCrosswalk[MappingStatus],"No Crosswalk")</f>
        <v/>
      </c>
      <c r="O322" s="35">
        <f>XLOOKUP([@DeviceTypeID],tblDeviceTypeIDCrosswalk[LegacyDeviceTypeID],tblDeviceTypeIDCrosswalk[MappingStatus],"No Crosswalk")</f>
        <v/>
      </c>
      <c r="P322">
        <f>IF(OR([@ManufacturerMappingStatus]&lt;&gt;"Approved",[@DeviceFamilyMappingStatus]&lt;&gt;"Approved",[@DeviceTypeMappingStatus]&lt;&gt;"Approved"),"Manual Review Required","Approved Crosswalk Available")</f>
        <v/>
      </c>
      <c r="Q322" t="inlineStr">
        <is>
          <t>Pending Review</t>
        </is>
      </c>
    </row>
    <row r="323" ht="21.5" customHeight="1" s="42">
      <c r="A323" s="36" t="n"/>
      <c r="B323" s="35" t="n"/>
      <c r="C323" s="35" t="n"/>
      <c r="D323" s="35" t="n"/>
      <c r="E323" s="39" t="n"/>
      <c r="F323" s="39" t="n"/>
      <c r="G323" s="10" t="inlineStr">
        <is>
          <t>MOD000320</t>
        </is>
      </c>
      <c r="H323" s="14" t="inlineStr">
        <is>
          <t>MFG002</t>
        </is>
      </c>
      <c r="I323" s="14" t="inlineStr">
        <is>
          <t>DF028</t>
        </is>
      </c>
      <c r="J323" s="14">
        <f>XLOOKUP([@ManufacturerID],tblManufacturerIDCrosswalk[LegacyManufacturerID],tblManufacturerIDCrosswalk[CanonicalManufacturerID],"")</f>
        <v/>
      </c>
      <c r="K323" s="7">
        <f>XLOOKUP([@DeviceFamilyID],tblDeviceFamilyIDCrosswalk[LegacyDeviceFamilyID],tblDeviceFamilyIDCrosswalk[CanonicalDeviceFamilyID],"")</f>
        <v/>
      </c>
      <c r="L323" s="7">
        <f>XLOOKUP([@DeviceTypeID],tblDeviceTypeIDCrosswalk[LegacyDeviceTypeID],tblDeviceTypeIDCrosswalk[CanonicalDeviceTypeID],"")</f>
        <v/>
      </c>
      <c r="M323" s="14">
        <f>XLOOKUP([@ManufacturerID],tblManufacturerIDCrosswalk[LegacyManufacturerID],tblManufacturerIDCrosswalk[MappingStatus],"No Crosswalk")</f>
        <v/>
      </c>
      <c r="N323" s="35">
        <f>XLOOKUP([@DeviceFamilyID],tblDeviceFamilyIDCrosswalk[LegacyDeviceFamilyID],tblDeviceFamilyIDCrosswalk[MappingStatus],"No Crosswalk")</f>
        <v/>
      </c>
      <c r="O323" s="35">
        <f>XLOOKUP([@DeviceTypeID],tblDeviceTypeIDCrosswalk[LegacyDeviceTypeID],tblDeviceTypeIDCrosswalk[MappingStatus],"No Crosswalk")</f>
        <v/>
      </c>
      <c r="P323">
        <f>IF(OR([@ManufacturerMappingStatus]&lt;&gt;"Approved",[@DeviceFamilyMappingStatus]&lt;&gt;"Approved",[@DeviceTypeMappingStatus]&lt;&gt;"Approved"),"Manual Review Required","Approved Crosswalk Available")</f>
        <v/>
      </c>
      <c r="Q323" t="inlineStr">
        <is>
          <t>Pending Review</t>
        </is>
      </c>
    </row>
    <row r="324" ht="21.5" customHeight="1" s="42">
      <c r="A324" s="36" t="n"/>
      <c r="B324" s="35" t="n"/>
      <c r="C324" s="35" t="n"/>
      <c r="D324" s="35" t="n"/>
      <c r="E324" s="39" t="n"/>
      <c r="F324" s="39" t="n"/>
      <c r="G324" s="10" t="inlineStr">
        <is>
          <t>MOD000321</t>
        </is>
      </c>
      <c r="H324" s="14" t="inlineStr">
        <is>
          <t>MFG002</t>
        </is>
      </c>
      <c r="I324" s="14" t="inlineStr">
        <is>
          <t>DF028</t>
        </is>
      </c>
      <c r="J324" s="14">
        <f>XLOOKUP([@ManufacturerID],tblManufacturerIDCrosswalk[LegacyManufacturerID],tblManufacturerIDCrosswalk[CanonicalManufacturerID],"")</f>
        <v/>
      </c>
      <c r="K324" s="7">
        <f>XLOOKUP([@DeviceFamilyID],tblDeviceFamilyIDCrosswalk[LegacyDeviceFamilyID],tblDeviceFamilyIDCrosswalk[CanonicalDeviceFamilyID],"")</f>
        <v/>
      </c>
      <c r="L324" s="7">
        <f>XLOOKUP([@DeviceTypeID],tblDeviceTypeIDCrosswalk[LegacyDeviceTypeID],tblDeviceTypeIDCrosswalk[CanonicalDeviceTypeID],"")</f>
        <v/>
      </c>
      <c r="M324" s="14">
        <f>XLOOKUP([@ManufacturerID],tblManufacturerIDCrosswalk[LegacyManufacturerID],tblManufacturerIDCrosswalk[MappingStatus],"No Crosswalk")</f>
        <v/>
      </c>
      <c r="N324" s="35">
        <f>XLOOKUP([@DeviceFamilyID],tblDeviceFamilyIDCrosswalk[LegacyDeviceFamilyID],tblDeviceFamilyIDCrosswalk[MappingStatus],"No Crosswalk")</f>
        <v/>
      </c>
      <c r="O324" s="35">
        <f>XLOOKUP([@DeviceTypeID],tblDeviceTypeIDCrosswalk[LegacyDeviceTypeID],tblDeviceTypeIDCrosswalk[MappingStatus],"No Crosswalk")</f>
        <v/>
      </c>
      <c r="P324">
        <f>IF(OR([@ManufacturerMappingStatus]&lt;&gt;"Approved",[@DeviceFamilyMappingStatus]&lt;&gt;"Approved",[@DeviceTypeMappingStatus]&lt;&gt;"Approved"),"Manual Review Required","Approved Crosswalk Available")</f>
        <v/>
      </c>
      <c r="Q324" t="inlineStr">
        <is>
          <t>Pending Review</t>
        </is>
      </c>
    </row>
    <row r="325" ht="21.5" customHeight="1" s="42">
      <c r="A325" s="36" t="n"/>
      <c r="B325" s="35" t="n"/>
      <c r="C325" s="35" t="n"/>
      <c r="D325" s="35" t="n"/>
      <c r="E325" s="39" t="n"/>
      <c r="F325" s="39" t="n"/>
      <c r="G325" s="10" t="inlineStr">
        <is>
          <t>MOD000322</t>
        </is>
      </c>
      <c r="H325" s="14" t="inlineStr">
        <is>
          <t>MFG002</t>
        </is>
      </c>
      <c r="I325" s="14" t="inlineStr">
        <is>
          <t>DF028</t>
        </is>
      </c>
      <c r="J325" s="14">
        <f>XLOOKUP([@ManufacturerID],tblManufacturerIDCrosswalk[LegacyManufacturerID],tblManufacturerIDCrosswalk[CanonicalManufacturerID],"")</f>
        <v/>
      </c>
      <c r="K325" s="7">
        <f>XLOOKUP([@DeviceFamilyID],tblDeviceFamilyIDCrosswalk[LegacyDeviceFamilyID],tblDeviceFamilyIDCrosswalk[CanonicalDeviceFamilyID],"")</f>
        <v/>
      </c>
      <c r="L325" s="7">
        <f>XLOOKUP([@DeviceTypeID],tblDeviceTypeIDCrosswalk[LegacyDeviceTypeID],tblDeviceTypeIDCrosswalk[CanonicalDeviceTypeID],"")</f>
        <v/>
      </c>
      <c r="M325" s="14">
        <f>XLOOKUP([@ManufacturerID],tblManufacturerIDCrosswalk[LegacyManufacturerID],tblManufacturerIDCrosswalk[MappingStatus],"No Crosswalk")</f>
        <v/>
      </c>
      <c r="N325" s="35">
        <f>XLOOKUP([@DeviceFamilyID],tblDeviceFamilyIDCrosswalk[LegacyDeviceFamilyID],tblDeviceFamilyIDCrosswalk[MappingStatus],"No Crosswalk")</f>
        <v/>
      </c>
      <c r="O325" s="35">
        <f>XLOOKUP([@DeviceTypeID],tblDeviceTypeIDCrosswalk[LegacyDeviceTypeID],tblDeviceTypeIDCrosswalk[MappingStatus],"No Crosswalk")</f>
        <v/>
      </c>
      <c r="P325">
        <f>IF(OR([@ManufacturerMappingStatus]&lt;&gt;"Approved",[@DeviceFamilyMappingStatus]&lt;&gt;"Approved",[@DeviceTypeMappingStatus]&lt;&gt;"Approved"),"Manual Review Required","Approved Crosswalk Available")</f>
        <v/>
      </c>
      <c r="Q325" t="inlineStr">
        <is>
          <t>Pending Review</t>
        </is>
      </c>
    </row>
    <row r="326" ht="21.5" customHeight="1" s="42">
      <c r="A326" s="36" t="n"/>
      <c r="B326" s="35" t="n"/>
      <c r="C326" s="35" t="n"/>
      <c r="D326" s="35" t="n"/>
      <c r="E326" s="39" t="n"/>
      <c r="F326" s="39" t="n"/>
      <c r="G326" s="10" t="inlineStr">
        <is>
          <t>MOD000323</t>
        </is>
      </c>
      <c r="H326" s="14" t="inlineStr">
        <is>
          <t>MFG002</t>
        </is>
      </c>
      <c r="I326" s="14" t="inlineStr">
        <is>
          <t>DF028</t>
        </is>
      </c>
      <c r="J326" s="14">
        <f>XLOOKUP([@ManufacturerID],tblManufacturerIDCrosswalk[LegacyManufacturerID],tblManufacturerIDCrosswalk[CanonicalManufacturerID],"")</f>
        <v/>
      </c>
      <c r="K326" s="7">
        <f>XLOOKUP([@DeviceFamilyID],tblDeviceFamilyIDCrosswalk[LegacyDeviceFamilyID],tblDeviceFamilyIDCrosswalk[CanonicalDeviceFamilyID],"")</f>
        <v/>
      </c>
      <c r="L326" s="7">
        <f>XLOOKUP([@DeviceTypeID],tblDeviceTypeIDCrosswalk[LegacyDeviceTypeID],tblDeviceTypeIDCrosswalk[CanonicalDeviceTypeID],"")</f>
        <v/>
      </c>
      <c r="M326" s="14">
        <f>XLOOKUP([@ManufacturerID],tblManufacturerIDCrosswalk[LegacyManufacturerID],tblManufacturerIDCrosswalk[MappingStatus],"No Crosswalk")</f>
        <v/>
      </c>
      <c r="N326" s="35">
        <f>XLOOKUP([@DeviceFamilyID],tblDeviceFamilyIDCrosswalk[LegacyDeviceFamilyID],tblDeviceFamilyIDCrosswalk[MappingStatus],"No Crosswalk")</f>
        <v/>
      </c>
      <c r="O326" s="35">
        <f>XLOOKUP([@DeviceTypeID],tblDeviceTypeIDCrosswalk[LegacyDeviceTypeID],tblDeviceTypeIDCrosswalk[MappingStatus],"No Crosswalk")</f>
        <v/>
      </c>
      <c r="P326">
        <f>IF(OR([@ManufacturerMappingStatus]&lt;&gt;"Approved",[@DeviceFamilyMappingStatus]&lt;&gt;"Approved",[@DeviceTypeMappingStatus]&lt;&gt;"Approved"),"Manual Review Required","Approved Crosswalk Available")</f>
        <v/>
      </c>
      <c r="Q326" t="inlineStr">
        <is>
          <t>Pending Review</t>
        </is>
      </c>
    </row>
    <row r="327" ht="21.5" customHeight="1" s="42">
      <c r="A327" s="36" t="n"/>
      <c r="B327" s="35" t="n"/>
      <c r="C327" s="35" t="n"/>
      <c r="D327" s="35" t="n"/>
      <c r="E327" s="39" t="n"/>
      <c r="F327" s="39" t="n"/>
      <c r="G327" s="10" t="inlineStr">
        <is>
          <t>MOD000324</t>
        </is>
      </c>
      <c r="H327" s="14" t="inlineStr">
        <is>
          <t>MFG002</t>
        </is>
      </c>
      <c r="I327" s="14" t="inlineStr">
        <is>
          <t>DF028</t>
        </is>
      </c>
      <c r="J327" s="14">
        <f>XLOOKUP([@ManufacturerID],tblManufacturerIDCrosswalk[LegacyManufacturerID],tblManufacturerIDCrosswalk[CanonicalManufacturerID],"")</f>
        <v/>
      </c>
      <c r="K327" s="7">
        <f>XLOOKUP([@DeviceFamilyID],tblDeviceFamilyIDCrosswalk[LegacyDeviceFamilyID],tblDeviceFamilyIDCrosswalk[CanonicalDeviceFamilyID],"")</f>
        <v/>
      </c>
      <c r="L327" s="7">
        <f>XLOOKUP([@DeviceTypeID],tblDeviceTypeIDCrosswalk[LegacyDeviceTypeID],tblDeviceTypeIDCrosswalk[CanonicalDeviceTypeID],"")</f>
        <v/>
      </c>
      <c r="M327" s="14">
        <f>XLOOKUP([@ManufacturerID],tblManufacturerIDCrosswalk[LegacyManufacturerID],tblManufacturerIDCrosswalk[MappingStatus],"No Crosswalk")</f>
        <v/>
      </c>
      <c r="N327" s="35">
        <f>XLOOKUP([@DeviceFamilyID],tblDeviceFamilyIDCrosswalk[LegacyDeviceFamilyID],tblDeviceFamilyIDCrosswalk[MappingStatus],"No Crosswalk")</f>
        <v/>
      </c>
      <c r="O327" s="35">
        <f>XLOOKUP([@DeviceTypeID],tblDeviceTypeIDCrosswalk[LegacyDeviceTypeID],tblDeviceTypeIDCrosswalk[MappingStatus],"No Crosswalk")</f>
        <v/>
      </c>
      <c r="P327">
        <f>IF(OR([@ManufacturerMappingStatus]&lt;&gt;"Approved",[@DeviceFamilyMappingStatus]&lt;&gt;"Approved",[@DeviceTypeMappingStatus]&lt;&gt;"Approved"),"Manual Review Required","Approved Crosswalk Available")</f>
        <v/>
      </c>
      <c r="Q327" t="inlineStr">
        <is>
          <t>Pending Review</t>
        </is>
      </c>
    </row>
    <row r="328" ht="21.5" customHeight="1" s="42">
      <c r="A328" s="36" t="n"/>
      <c r="B328" s="35" t="n"/>
      <c r="C328" s="35" t="n"/>
      <c r="D328" s="35" t="n"/>
      <c r="E328" s="39" t="n"/>
      <c r="F328" s="39" t="n"/>
      <c r="G328" s="10" t="inlineStr">
        <is>
          <t>MOD000325</t>
        </is>
      </c>
      <c r="H328" s="14" t="inlineStr">
        <is>
          <t>MFG002</t>
        </is>
      </c>
      <c r="I328" s="14" t="inlineStr">
        <is>
          <t>DF028</t>
        </is>
      </c>
      <c r="J328" s="14">
        <f>XLOOKUP([@ManufacturerID],tblManufacturerIDCrosswalk[LegacyManufacturerID],tblManufacturerIDCrosswalk[CanonicalManufacturerID],"")</f>
        <v/>
      </c>
      <c r="K328" s="7">
        <f>XLOOKUP([@DeviceFamilyID],tblDeviceFamilyIDCrosswalk[LegacyDeviceFamilyID],tblDeviceFamilyIDCrosswalk[CanonicalDeviceFamilyID],"")</f>
        <v/>
      </c>
      <c r="L328" s="7">
        <f>XLOOKUP([@DeviceTypeID],tblDeviceTypeIDCrosswalk[LegacyDeviceTypeID],tblDeviceTypeIDCrosswalk[CanonicalDeviceTypeID],"")</f>
        <v/>
      </c>
      <c r="M328" s="14">
        <f>XLOOKUP([@ManufacturerID],tblManufacturerIDCrosswalk[LegacyManufacturerID],tblManufacturerIDCrosswalk[MappingStatus],"No Crosswalk")</f>
        <v/>
      </c>
      <c r="N328" s="35">
        <f>XLOOKUP([@DeviceFamilyID],tblDeviceFamilyIDCrosswalk[LegacyDeviceFamilyID],tblDeviceFamilyIDCrosswalk[MappingStatus],"No Crosswalk")</f>
        <v/>
      </c>
      <c r="O328" s="35">
        <f>XLOOKUP([@DeviceTypeID],tblDeviceTypeIDCrosswalk[LegacyDeviceTypeID],tblDeviceTypeIDCrosswalk[MappingStatus],"No Crosswalk")</f>
        <v/>
      </c>
      <c r="P328">
        <f>IF(OR([@ManufacturerMappingStatus]&lt;&gt;"Approved",[@DeviceFamilyMappingStatus]&lt;&gt;"Approved",[@DeviceTypeMappingStatus]&lt;&gt;"Approved"),"Manual Review Required","Approved Crosswalk Available")</f>
        <v/>
      </c>
      <c r="Q328" t="inlineStr">
        <is>
          <t>Pending Review</t>
        </is>
      </c>
    </row>
    <row r="329" ht="21.5" customHeight="1" s="42">
      <c r="A329" s="36" t="n"/>
      <c r="B329" s="35" t="n"/>
      <c r="C329" s="35" t="n"/>
      <c r="D329" s="35" t="n"/>
      <c r="E329" s="39" t="n"/>
      <c r="F329" s="39" t="n"/>
      <c r="G329" s="10" t="inlineStr">
        <is>
          <t>MOD000326</t>
        </is>
      </c>
      <c r="H329" s="14" t="inlineStr">
        <is>
          <t>MFG002</t>
        </is>
      </c>
      <c r="I329" s="14" t="inlineStr">
        <is>
          <t>DF029</t>
        </is>
      </c>
      <c r="J329" s="14">
        <f>XLOOKUP([@ManufacturerID],tblManufacturerIDCrosswalk[LegacyManufacturerID],tblManufacturerIDCrosswalk[CanonicalManufacturerID],"")</f>
        <v/>
      </c>
      <c r="K329" s="7">
        <f>XLOOKUP([@DeviceFamilyID],tblDeviceFamilyIDCrosswalk[LegacyDeviceFamilyID],tblDeviceFamilyIDCrosswalk[CanonicalDeviceFamilyID],"")</f>
        <v/>
      </c>
      <c r="L329" s="7">
        <f>XLOOKUP([@DeviceTypeID],tblDeviceTypeIDCrosswalk[LegacyDeviceTypeID],tblDeviceTypeIDCrosswalk[CanonicalDeviceTypeID],"")</f>
        <v/>
      </c>
      <c r="M329" s="14">
        <f>XLOOKUP([@ManufacturerID],tblManufacturerIDCrosswalk[LegacyManufacturerID],tblManufacturerIDCrosswalk[MappingStatus],"No Crosswalk")</f>
        <v/>
      </c>
      <c r="N329" s="35">
        <f>XLOOKUP([@DeviceFamilyID],tblDeviceFamilyIDCrosswalk[LegacyDeviceFamilyID],tblDeviceFamilyIDCrosswalk[MappingStatus],"No Crosswalk")</f>
        <v/>
      </c>
      <c r="O329" s="35">
        <f>XLOOKUP([@DeviceTypeID],tblDeviceTypeIDCrosswalk[LegacyDeviceTypeID],tblDeviceTypeIDCrosswalk[MappingStatus],"No Crosswalk")</f>
        <v/>
      </c>
      <c r="P329">
        <f>IF(OR([@ManufacturerMappingStatus]&lt;&gt;"Approved",[@DeviceFamilyMappingStatus]&lt;&gt;"Approved",[@DeviceTypeMappingStatus]&lt;&gt;"Approved"),"Manual Review Required","Approved Crosswalk Available")</f>
        <v/>
      </c>
      <c r="Q329" t="inlineStr">
        <is>
          <t>Pending Review</t>
        </is>
      </c>
    </row>
    <row r="330" ht="21.5" customHeight="1" s="42">
      <c r="A330" s="36" t="n"/>
      <c r="B330" s="35" t="n"/>
      <c r="C330" s="35" t="n"/>
      <c r="D330" s="35" t="n"/>
      <c r="E330" s="39" t="n"/>
      <c r="F330" s="39" t="n"/>
      <c r="G330" s="10" t="inlineStr">
        <is>
          <t>MOD000327</t>
        </is>
      </c>
      <c r="H330" s="14" t="inlineStr">
        <is>
          <t>MFG002</t>
        </is>
      </c>
      <c r="I330" s="14" t="inlineStr">
        <is>
          <t>DF029</t>
        </is>
      </c>
      <c r="J330" s="14">
        <f>XLOOKUP([@ManufacturerID],tblManufacturerIDCrosswalk[LegacyManufacturerID],tblManufacturerIDCrosswalk[CanonicalManufacturerID],"")</f>
        <v/>
      </c>
      <c r="K330" s="7">
        <f>XLOOKUP([@DeviceFamilyID],tblDeviceFamilyIDCrosswalk[LegacyDeviceFamilyID],tblDeviceFamilyIDCrosswalk[CanonicalDeviceFamilyID],"")</f>
        <v/>
      </c>
      <c r="L330" s="7">
        <f>XLOOKUP([@DeviceTypeID],tblDeviceTypeIDCrosswalk[LegacyDeviceTypeID],tblDeviceTypeIDCrosswalk[CanonicalDeviceTypeID],"")</f>
        <v/>
      </c>
      <c r="M330" s="14">
        <f>XLOOKUP([@ManufacturerID],tblManufacturerIDCrosswalk[LegacyManufacturerID],tblManufacturerIDCrosswalk[MappingStatus],"No Crosswalk")</f>
        <v/>
      </c>
      <c r="N330" s="35">
        <f>XLOOKUP([@DeviceFamilyID],tblDeviceFamilyIDCrosswalk[LegacyDeviceFamilyID],tblDeviceFamilyIDCrosswalk[MappingStatus],"No Crosswalk")</f>
        <v/>
      </c>
      <c r="O330" s="35">
        <f>XLOOKUP([@DeviceTypeID],tblDeviceTypeIDCrosswalk[LegacyDeviceTypeID],tblDeviceTypeIDCrosswalk[MappingStatus],"No Crosswalk")</f>
        <v/>
      </c>
      <c r="P330">
        <f>IF(OR([@ManufacturerMappingStatus]&lt;&gt;"Approved",[@DeviceFamilyMappingStatus]&lt;&gt;"Approved",[@DeviceTypeMappingStatus]&lt;&gt;"Approved"),"Manual Review Required","Approved Crosswalk Available")</f>
        <v/>
      </c>
      <c r="Q330" t="inlineStr">
        <is>
          <t>Pending Review</t>
        </is>
      </c>
    </row>
    <row r="331" ht="21.5" customHeight="1" s="42">
      <c r="A331" s="36" t="n"/>
      <c r="B331" s="35" t="n"/>
      <c r="C331" s="35" t="n"/>
      <c r="D331" s="35" t="n"/>
      <c r="E331" s="39" t="n"/>
      <c r="F331" s="39" t="n"/>
      <c r="G331" s="10" t="inlineStr">
        <is>
          <t>MOD000328</t>
        </is>
      </c>
      <c r="H331" s="14" t="inlineStr">
        <is>
          <t>MFG002</t>
        </is>
      </c>
      <c r="I331" s="14" t="inlineStr">
        <is>
          <t>DF029</t>
        </is>
      </c>
      <c r="J331" s="14">
        <f>XLOOKUP([@ManufacturerID],tblManufacturerIDCrosswalk[LegacyManufacturerID],tblManufacturerIDCrosswalk[CanonicalManufacturerID],"")</f>
        <v/>
      </c>
      <c r="K331" s="7">
        <f>XLOOKUP([@DeviceFamilyID],tblDeviceFamilyIDCrosswalk[LegacyDeviceFamilyID],tblDeviceFamilyIDCrosswalk[CanonicalDeviceFamilyID],"")</f>
        <v/>
      </c>
      <c r="L331" s="7">
        <f>XLOOKUP([@DeviceTypeID],tblDeviceTypeIDCrosswalk[LegacyDeviceTypeID],tblDeviceTypeIDCrosswalk[CanonicalDeviceTypeID],"")</f>
        <v/>
      </c>
      <c r="M331" s="14">
        <f>XLOOKUP([@ManufacturerID],tblManufacturerIDCrosswalk[LegacyManufacturerID],tblManufacturerIDCrosswalk[MappingStatus],"No Crosswalk")</f>
        <v/>
      </c>
      <c r="N331" s="35">
        <f>XLOOKUP([@DeviceFamilyID],tblDeviceFamilyIDCrosswalk[LegacyDeviceFamilyID],tblDeviceFamilyIDCrosswalk[MappingStatus],"No Crosswalk")</f>
        <v/>
      </c>
      <c r="O331" s="35">
        <f>XLOOKUP([@DeviceTypeID],tblDeviceTypeIDCrosswalk[LegacyDeviceTypeID],tblDeviceTypeIDCrosswalk[MappingStatus],"No Crosswalk")</f>
        <v/>
      </c>
      <c r="P331">
        <f>IF(OR([@ManufacturerMappingStatus]&lt;&gt;"Approved",[@DeviceFamilyMappingStatus]&lt;&gt;"Approved",[@DeviceTypeMappingStatus]&lt;&gt;"Approved"),"Manual Review Required","Approved Crosswalk Available")</f>
        <v/>
      </c>
      <c r="Q331" t="inlineStr">
        <is>
          <t>Pending Review</t>
        </is>
      </c>
    </row>
    <row r="332" ht="21.5" customHeight="1" s="42">
      <c r="A332" s="36" t="n"/>
      <c r="B332" s="35" t="n"/>
      <c r="C332" s="35" t="n"/>
      <c r="D332" s="35" t="n"/>
      <c r="E332" s="39" t="n"/>
      <c r="F332" s="39" t="n"/>
      <c r="G332" s="10" t="inlineStr">
        <is>
          <t>MOD000329</t>
        </is>
      </c>
      <c r="H332" s="14" t="inlineStr">
        <is>
          <t>MFG002</t>
        </is>
      </c>
      <c r="I332" s="14" t="inlineStr">
        <is>
          <t>DF029</t>
        </is>
      </c>
      <c r="J332" s="14">
        <f>XLOOKUP([@ManufacturerID],tblManufacturerIDCrosswalk[LegacyManufacturerID],tblManufacturerIDCrosswalk[CanonicalManufacturerID],"")</f>
        <v/>
      </c>
      <c r="K332" s="7">
        <f>XLOOKUP([@DeviceFamilyID],tblDeviceFamilyIDCrosswalk[LegacyDeviceFamilyID],tblDeviceFamilyIDCrosswalk[CanonicalDeviceFamilyID],"")</f>
        <v/>
      </c>
      <c r="L332" s="7">
        <f>XLOOKUP([@DeviceTypeID],tblDeviceTypeIDCrosswalk[LegacyDeviceTypeID],tblDeviceTypeIDCrosswalk[CanonicalDeviceTypeID],"")</f>
        <v/>
      </c>
      <c r="M332" s="14">
        <f>XLOOKUP([@ManufacturerID],tblManufacturerIDCrosswalk[LegacyManufacturerID],tblManufacturerIDCrosswalk[MappingStatus],"No Crosswalk")</f>
        <v/>
      </c>
      <c r="N332" s="35">
        <f>XLOOKUP([@DeviceFamilyID],tblDeviceFamilyIDCrosswalk[LegacyDeviceFamilyID],tblDeviceFamilyIDCrosswalk[MappingStatus],"No Crosswalk")</f>
        <v/>
      </c>
      <c r="O332" s="35">
        <f>XLOOKUP([@DeviceTypeID],tblDeviceTypeIDCrosswalk[LegacyDeviceTypeID],tblDeviceTypeIDCrosswalk[MappingStatus],"No Crosswalk")</f>
        <v/>
      </c>
      <c r="P332">
        <f>IF(OR([@ManufacturerMappingStatus]&lt;&gt;"Approved",[@DeviceFamilyMappingStatus]&lt;&gt;"Approved",[@DeviceTypeMappingStatus]&lt;&gt;"Approved"),"Manual Review Required","Approved Crosswalk Available")</f>
        <v/>
      </c>
      <c r="Q332" t="inlineStr">
        <is>
          <t>Pending Review</t>
        </is>
      </c>
    </row>
    <row r="333" ht="21.5" customHeight="1" s="42">
      <c r="A333" s="36" t="n"/>
      <c r="B333" s="35" t="n"/>
      <c r="C333" s="35" t="n"/>
      <c r="D333" s="35" t="n"/>
      <c r="E333" s="39" t="n"/>
      <c r="F333" s="39" t="n"/>
      <c r="G333" s="10" t="inlineStr">
        <is>
          <t>MOD000330</t>
        </is>
      </c>
      <c r="H333" s="14" t="inlineStr">
        <is>
          <t>MFG002</t>
        </is>
      </c>
      <c r="I333" s="14" t="inlineStr">
        <is>
          <t>DF029</t>
        </is>
      </c>
      <c r="J333" s="14">
        <f>XLOOKUP([@ManufacturerID],tblManufacturerIDCrosswalk[LegacyManufacturerID],tblManufacturerIDCrosswalk[CanonicalManufacturerID],"")</f>
        <v/>
      </c>
      <c r="K333" s="7">
        <f>XLOOKUP([@DeviceFamilyID],tblDeviceFamilyIDCrosswalk[LegacyDeviceFamilyID],tblDeviceFamilyIDCrosswalk[CanonicalDeviceFamilyID],"")</f>
        <v/>
      </c>
      <c r="L333" s="7">
        <f>XLOOKUP([@DeviceTypeID],tblDeviceTypeIDCrosswalk[LegacyDeviceTypeID],tblDeviceTypeIDCrosswalk[CanonicalDeviceTypeID],"")</f>
        <v/>
      </c>
      <c r="M333" s="14">
        <f>XLOOKUP([@ManufacturerID],tblManufacturerIDCrosswalk[LegacyManufacturerID],tblManufacturerIDCrosswalk[MappingStatus],"No Crosswalk")</f>
        <v/>
      </c>
      <c r="N333" s="35">
        <f>XLOOKUP([@DeviceFamilyID],tblDeviceFamilyIDCrosswalk[LegacyDeviceFamilyID],tblDeviceFamilyIDCrosswalk[MappingStatus],"No Crosswalk")</f>
        <v/>
      </c>
      <c r="O333" s="35">
        <f>XLOOKUP([@DeviceTypeID],tblDeviceTypeIDCrosswalk[LegacyDeviceTypeID],tblDeviceTypeIDCrosswalk[MappingStatus],"No Crosswalk")</f>
        <v/>
      </c>
      <c r="P333">
        <f>IF(OR([@ManufacturerMappingStatus]&lt;&gt;"Approved",[@DeviceFamilyMappingStatus]&lt;&gt;"Approved",[@DeviceTypeMappingStatus]&lt;&gt;"Approved"),"Manual Review Required","Approved Crosswalk Available")</f>
        <v/>
      </c>
      <c r="Q333" t="inlineStr">
        <is>
          <t>Pending Review</t>
        </is>
      </c>
    </row>
    <row r="334" ht="21.5" customHeight="1" s="42">
      <c r="A334" s="36" t="n"/>
      <c r="B334" s="35" t="n"/>
      <c r="C334" s="35" t="n"/>
      <c r="D334" s="35" t="n"/>
      <c r="E334" s="39" t="n"/>
      <c r="F334" s="39" t="n"/>
      <c r="G334" s="10" t="inlineStr">
        <is>
          <t>MOD000331</t>
        </is>
      </c>
      <c r="H334" s="14" t="inlineStr">
        <is>
          <t>MFG002</t>
        </is>
      </c>
      <c r="I334" s="14" t="inlineStr">
        <is>
          <t>DF029</t>
        </is>
      </c>
      <c r="J334" s="14">
        <f>XLOOKUP([@ManufacturerID],tblManufacturerIDCrosswalk[LegacyManufacturerID],tblManufacturerIDCrosswalk[CanonicalManufacturerID],"")</f>
        <v/>
      </c>
      <c r="K334" s="7">
        <f>XLOOKUP([@DeviceFamilyID],tblDeviceFamilyIDCrosswalk[LegacyDeviceFamilyID],tblDeviceFamilyIDCrosswalk[CanonicalDeviceFamilyID],"")</f>
        <v/>
      </c>
      <c r="L334" s="7">
        <f>XLOOKUP([@DeviceTypeID],tblDeviceTypeIDCrosswalk[LegacyDeviceTypeID],tblDeviceTypeIDCrosswalk[CanonicalDeviceTypeID],"")</f>
        <v/>
      </c>
      <c r="M334" s="14">
        <f>XLOOKUP([@ManufacturerID],tblManufacturerIDCrosswalk[LegacyManufacturerID],tblManufacturerIDCrosswalk[MappingStatus],"No Crosswalk")</f>
        <v/>
      </c>
      <c r="N334" s="35">
        <f>XLOOKUP([@DeviceFamilyID],tblDeviceFamilyIDCrosswalk[LegacyDeviceFamilyID],tblDeviceFamilyIDCrosswalk[MappingStatus],"No Crosswalk")</f>
        <v/>
      </c>
      <c r="O334" s="35">
        <f>XLOOKUP([@DeviceTypeID],tblDeviceTypeIDCrosswalk[LegacyDeviceTypeID],tblDeviceTypeIDCrosswalk[MappingStatus],"No Crosswalk")</f>
        <v/>
      </c>
      <c r="P334">
        <f>IF(OR([@ManufacturerMappingStatus]&lt;&gt;"Approved",[@DeviceFamilyMappingStatus]&lt;&gt;"Approved",[@DeviceTypeMappingStatus]&lt;&gt;"Approved"),"Manual Review Required","Approved Crosswalk Available")</f>
        <v/>
      </c>
      <c r="Q334" t="inlineStr">
        <is>
          <t>Pending Review</t>
        </is>
      </c>
    </row>
    <row r="335" ht="21.5" customHeight="1" s="42">
      <c r="A335" s="36" t="n"/>
      <c r="B335" s="35" t="n"/>
      <c r="C335" s="35" t="n"/>
      <c r="D335" s="35" t="n"/>
      <c r="E335" s="39" t="n"/>
      <c r="F335" s="39" t="n"/>
      <c r="G335" s="10" t="inlineStr">
        <is>
          <t>MOD000332</t>
        </is>
      </c>
      <c r="H335" s="14" t="inlineStr">
        <is>
          <t>MFG002</t>
        </is>
      </c>
      <c r="I335" s="14" t="inlineStr">
        <is>
          <t>DF029</t>
        </is>
      </c>
      <c r="J335" s="14">
        <f>XLOOKUP([@ManufacturerID],tblManufacturerIDCrosswalk[LegacyManufacturerID],tblManufacturerIDCrosswalk[CanonicalManufacturerID],"")</f>
        <v/>
      </c>
      <c r="K335" s="7">
        <f>XLOOKUP([@DeviceFamilyID],tblDeviceFamilyIDCrosswalk[LegacyDeviceFamilyID],tblDeviceFamilyIDCrosswalk[CanonicalDeviceFamilyID],"")</f>
        <v/>
      </c>
      <c r="L335" s="7">
        <f>XLOOKUP([@DeviceTypeID],tblDeviceTypeIDCrosswalk[LegacyDeviceTypeID],tblDeviceTypeIDCrosswalk[CanonicalDeviceTypeID],"")</f>
        <v/>
      </c>
      <c r="M335" s="14">
        <f>XLOOKUP([@ManufacturerID],tblManufacturerIDCrosswalk[LegacyManufacturerID],tblManufacturerIDCrosswalk[MappingStatus],"No Crosswalk")</f>
        <v/>
      </c>
      <c r="N335" s="35">
        <f>XLOOKUP([@DeviceFamilyID],tblDeviceFamilyIDCrosswalk[LegacyDeviceFamilyID],tblDeviceFamilyIDCrosswalk[MappingStatus],"No Crosswalk")</f>
        <v/>
      </c>
      <c r="O335" s="35">
        <f>XLOOKUP([@DeviceTypeID],tblDeviceTypeIDCrosswalk[LegacyDeviceTypeID],tblDeviceTypeIDCrosswalk[MappingStatus],"No Crosswalk")</f>
        <v/>
      </c>
      <c r="P335">
        <f>IF(OR([@ManufacturerMappingStatus]&lt;&gt;"Approved",[@DeviceFamilyMappingStatus]&lt;&gt;"Approved",[@DeviceTypeMappingStatus]&lt;&gt;"Approved"),"Manual Review Required","Approved Crosswalk Available")</f>
        <v/>
      </c>
      <c r="Q335" t="inlineStr">
        <is>
          <t>Pending Review</t>
        </is>
      </c>
    </row>
    <row r="336" ht="21.5" customHeight="1" s="42">
      <c r="A336" s="36" t="n"/>
      <c r="B336" s="35" t="n"/>
      <c r="C336" s="35" t="n"/>
      <c r="D336" s="35" t="n"/>
      <c r="E336" s="39" t="n"/>
      <c r="F336" s="39" t="n"/>
      <c r="G336" s="10" t="inlineStr">
        <is>
          <t>MOD000333</t>
        </is>
      </c>
      <c r="H336" s="14" t="inlineStr">
        <is>
          <t>MFG002</t>
        </is>
      </c>
      <c r="I336" s="14" t="inlineStr">
        <is>
          <t>DF029</t>
        </is>
      </c>
      <c r="J336" s="14">
        <f>XLOOKUP([@ManufacturerID],tblManufacturerIDCrosswalk[LegacyManufacturerID],tblManufacturerIDCrosswalk[CanonicalManufacturerID],"")</f>
        <v/>
      </c>
      <c r="K336" s="7">
        <f>XLOOKUP([@DeviceFamilyID],tblDeviceFamilyIDCrosswalk[LegacyDeviceFamilyID],tblDeviceFamilyIDCrosswalk[CanonicalDeviceFamilyID],"")</f>
        <v/>
      </c>
      <c r="L336" s="7">
        <f>XLOOKUP([@DeviceTypeID],tblDeviceTypeIDCrosswalk[LegacyDeviceTypeID],tblDeviceTypeIDCrosswalk[CanonicalDeviceTypeID],"")</f>
        <v/>
      </c>
      <c r="M336" s="14">
        <f>XLOOKUP([@ManufacturerID],tblManufacturerIDCrosswalk[LegacyManufacturerID],tblManufacturerIDCrosswalk[MappingStatus],"No Crosswalk")</f>
        <v/>
      </c>
      <c r="N336" s="35">
        <f>XLOOKUP([@DeviceFamilyID],tblDeviceFamilyIDCrosswalk[LegacyDeviceFamilyID],tblDeviceFamilyIDCrosswalk[MappingStatus],"No Crosswalk")</f>
        <v/>
      </c>
      <c r="O336" s="35">
        <f>XLOOKUP([@DeviceTypeID],tblDeviceTypeIDCrosswalk[LegacyDeviceTypeID],tblDeviceTypeIDCrosswalk[MappingStatus],"No Crosswalk")</f>
        <v/>
      </c>
      <c r="P336">
        <f>IF(OR([@ManufacturerMappingStatus]&lt;&gt;"Approved",[@DeviceFamilyMappingStatus]&lt;&gt;"Approved",[@DeviceTypeMappingStatus]&lt;&gt;"Approved"),"Manual Review Required","Approved Crosswalk Available")</f>
        <v/>
      </c>
      <c r="Q336" t="inlineStr">
        <is>
          <t>Pending Review</t>
        </is>
      </c>
    </row>
    <row r="337" ht="21.5" customHeight="1" s="42">
      <c r="A337" s="36" t="n"/>
      <c r="B337" s="35" t="n"/>
      <c r="C337" s="35" t="n"/>
      <c r="D337" s="35" t="n"/>
      <c r="E337" s="39" t="n"/>
      <c r="F337" s="39" t="n"/>
      <c r="G337" s="10" t="inlineStr">
        <is>
          <t>MOD000334</t>
        </is>
      </c>
      <c r="H337" s="14" t="inlineStr">
        <is>
          <t>MFG002</t>
        </is>
      </c>
      <c r="I337" s="14" t="inlineStr">
        <is>
          <t>DF029</t>
        </is>
      </c>
      <c r="J337" s="14">
        <f>XLOOKUP([@ManufacturerID],tblManufacturerIDCrosswalk[LegacyManufacturerID],tblManufacturerIDCrosswalk[CanonicalManufacturerID],"")</f>
        <v/>
      </c>
      <c r="K337" s="7">
        <f>XLOOKUP([@DeviceFamilyID],tblDeviceFamilyIDCrosswalk[LegacyDeviceFamilyID],tblDeviceFamilyIDCrosswalk[CanonicalDeviceFamilyID],"")</f>
        <v/>
      </c>
      <c r="L337" s="7">
        <f>XLOOKUP([@DeviceTypeID],tblDeviceTypeIDCrosswalk[LegacyDeviceTypeID],tblDeviceTypeIDCrosswalk[CanonicalDeviceTypeID],"")</f>
        <v/>
      </c>
      <c r="M337" s="14">
        <f>XLOOKUP([@ManufacturerID],tblManufacturerIDCrosswalk[LegacyManufacturerID],tblManufacturerIDCrosswalk[MappingStatus],"No Crosswalk")</f>
        <v/>
      </c>
      <c r="N337" s="35">
        <f>XLOOKUP([@DeviceFamilyID],tblDeviceFamilyIDCrosswalk[LegacyDeviceFamilyID],tblDeviceFamilyIDCrosswalk[MappingStatus],"No Crosswalk")</f>
        <v/>
      </c>
      <c r="O337" s="35">
        <f>XLOOKUP([@DeviceTypeID],tblDeviceTypeIDCrosswalk[LegacyDeviceTypeID],tblDeviceTypeIDCrosswalk[MappingStatus],"No Crosswalk")</f>
        <v/>
      </c>
      <c r="P337">
        <f>IF(OR([@ManufacturerMappingStatus]&lt;&gt;"Approved",[@DeviceFamilyMappingStatus]&lt;&gt;"Approved",[@DeviceTypeMappingStatus]&lt;&gt;"Approved"),"Manual Review Required","Approved Crosswalk Available")</f>
        <v/>
      </c>
      <c r="Q337" t="inlineStr">
        <is>
          <t>Pending Review</t>
        </is>
      </c>
    </row>
    <row r="338" ht="21.5" customHeight="1" s="42">
      <c r="A338" s="36" t="n"/>
      <c r="B338" s="35" t="n"/>
      <c r="C338" s="35" t="n"/>
      <c r="D338" s="35" t="n"/>
      <c r="E338" s="39" t="n"/>
      <c r="F338" s="39" t="n"/>
      <c r="G338" s="10" t="inlineStr">
        <is>
          <t>MOD000335</t>
        </is>
      </c>
      <c r="H338" s="14" t="inlineStr">
        <is>
          <t>MFG002</t>
        </is>
      </c>
      <c r="I338" s="14" t="inlineStr">
        <is>
          <t>DF029</t>
        </is>
      </c>
      <c r="J338" s="14">
        <f>XLOOKUP([@ManufacturerID],tblManufacturerIDCrosswalk[LegacyManufacturerID],tblManufacturerIDCrosswalk[CanonicalManufacturerID],"")</f>
        <v/>
      </c>
      <c r="K338" s="7">
        <f>XLOOKUP([@DeviceFamilyID],tblDeviceFamilyIDCrosswalk[LegacyDeviceFamilyID],tblDeviceFamilyIDCrosswalk[CanonicalDeviceFamilyID],"")</f>
        <v/>
      </c>
      <c r="L338" s="7">
        <f>XLOOKUP([@DeviceTypeID],tblDeviceTypeIDCrosswalk[LegacyDeviceTypeID],tblDeviceTypeIDCrosswalk[CanonicalDeviceTypeID],"")</f>
        <v/>
      </c>
      <c r="M338" s="14">
        <f>XLOOKUP([@ManufacturerID],tblManufacturerIDCrosswalk[LegacyManufacturerID],tblManufacturerIDCrosswalk[MappingStatus],"No Crosswalk")</f>
        <v/>
      </c>
      <c r="N338" s="35">
        <f>XLOOKUP([@DeviceFamilyID],tblDeviceFamilyIDCrosswalk[LegacyDeviceFamilyID],tblDeviceFamilyIDCrosswalk[MappingStatus],"No Crosswalk")</f>
        <v/>
      </c>
      <c r="O338" s="35">
        <f>XLOOKUP([@DeviceTypeID],tblDeviceTypeIDCrosswalk[LegacyDeviceTypeID],tblDeviceTypeIDCrosswalk[MappingStatus],"No Crosswalk")</f>
        <v/>
      </c>
      <c r="P338">
        <f>IF(OR([@ManufacturerMappingStatus]&lt;&gt;"Approved",[@DeviceFamilyMappingStatus]&lt;&gt;"Approved",[@DeviceTypeMappingStatus]&lt;&gt;"Approved"),"Manual Review Required","Approved Crosswalk Available")</f>
        <v/>
      </c>
      <c r="Q338" t="inlineStr">
        <is>
          <t>Pending Review</t>
        </is>
      </c>
    </row>
    <row r="339" ht="21.5" customHeight="1" s="42">
      <c r="A339" s="36" t="n"/>
      <c r="B339" s="35" t="n"/>
      <c r="C339" s="35" t="n"/>
      <c r="D339" s="35" t="n"/>
      <c r="E339" s="39" t="n"/>
      <c r="F339" s="39" t="n"/>
      <c r="G339" s="10" t="inlineStr">
        <is>
          <t>MOD000336</t>
        </is>
      </c>
      <c r="H339" s="14" t="inlineStr">
        <is>
          <t>MFG002</t>
        </is>
      </c>
      <c r="I339" s="14" t="inlineStr">
        <is>
          <t>DF030</t>
        </is>
      </c>
      <c r="J339" s="14">
        <f>XLOOKUP([@ManufacturerID],tblManufacturerIDCrosswalk[LegacyManufacturerID],tblManufacturerIDCrosswalk[CanonicalManufacturerID],"")</f>
        <v/>
      </c>
      <c r="K339" s="7">
        <f>XLOOKUP([@DeviceFamilyID],tblDeviceFamilyIDCrosswalk[LegacyDeviceFamilyID],tblDeviceFamilyIDCrosswalk[CanonicalDeviceFamilyID],"")</f>
        <v/>
      </c>
      <c r="L339" s="7">
        <f>XLOOKUP([@DeviceTypeID],tblDeviceTypeIDCrosswalk[LegacyDeviceTypeID],tblDeviceTypeIDCrosswalk[CanonicalDeviceTypeID],"")</f>
        <v/>
      </c>
      <c r="M339" s="14">
        <f>XLOOKUP([@ManufacturerID],tblManufacturerIDCrosswalk[LegacyManufacturerID],tblManufacturerIDCrosswalk[MappingStatus],"No Crosswalk")</f>
        <v/>
      </c>
      <c r="N339" s="35">
        <f>XLOOKUP([@DeviceFamilyID],tblDeviceFamilyIDCrosswalk[LegacyDeviceFamilyID],tblDeviceFamilyIDCrosswalk[MappingStatus],"No Crosswalk")</f>
        <v/>
      </c>
      <c r="O339" s="35">
        <f>XLOOKUP([@DeviceTypeID],tblDeviceTypeIDCrosswalk[LegacyDeviceTypeID],tblDeviceTypeIDCrosswalk[MappingStatus],"No Crosswalk")</f>
        <v/>
      </c>
      <c r="P339">
        <f>IF(OR([@ManufacturerMappingStatus]&lt;&gt;"Approved",[@DeviceFamilyMappingStatus]&lt;&gt;"Approved",[@DeviceTypeMappingStatus]&lt;&gt;"Approved"),"Manual Review Required","Approved Crosswalk Available")</f>
        <v/>
      </c>
      <c r="Q339" t="inlineStr">
        <is>
          <t>Pending Review</t>
        </is>
      </c>
    </row>
    <row r="340" ht="21.5" customHeight="1" s="42">
      <c r="A340" s="36" t="n"/>
      <c r="B340" s="35" t="n"/>
      <c r="C340" s="35" t="n"/>
      <c r="D340" s="35" t="n"/>
      <c r="E340" s="39" t="n"/>
      <c r="F340" s="39" t="n"/>
      <c r="G340" s="10" t="inlineStr">
        <is>
          <t>MOD000337</t>
        </is>
      </c>
      <c r="H340" s="14" t="inlineStr">
        <is>
          <t>MFG002</t>
        </is>
      </c>
      <c r="I340" s="14" t="inlineStr">
        <is>
          <t>DF030</t>
        </is>
      </c>
      <c r="J340" s="14">
        <f>XLOOKUP([@ManufacturerID],tblManufacturerIDCrosswalk[LegacyManufacturerID],tblManufacturerIDCrosswalk[CanonicalManufacturerID],"")</f>
        <v/>
      </c>
      <c r="K340" s="7">
        <f>XLOOKUP([@DeviceFamilyID],tblDeviceFamilyIDCrosswalk[LegacyDeviceFamilyID],tblDeviceFamilyIDCrosswalk[CanonicalDeviceFamilyID],"")</f>
        <v/>
      </c>
      <c r="L340" s="7">
        <f>XLOOKUP([@DeviceTypeID],tblDeviceTypeIDCrosswalk[LegacyDeviceTypeID],tblDeviceTypeIDCrosswalk[CanonicalDeviceTypeID],"")</f>
        <v/>
      </c>
      <c r="M340" s="14">
        <f>XLOOKUP([@ManufacturerID],tblManufacturerIDCrosswalk[LegacyManufacturerID],tblManufacturerIDCrosswalk[MappingStatus],"No Crosswalk")</f>
        <v/>
      </c>
      <c r="N340" s="35">
        <f>XLOOKUP([@DeviceFamilyID],tblDeviceFamilyIDCrosswalk[LegacyDeviceFamilyID],tblDeviceFamilyIDCrosswalk[MappingStatus],"No Crosswalk")</f>
        <v/>
      </c>
      <c r="O340" s="35">
        <f>XLOOKUP([@DeviceTypeID],tblDeviceTypeIDCrosswalk[LegacyDeviceTypeID],tblDeviceTypeIDCrosswalk[MappingStatus],"No Crosswalk")</f>
        <v/>
      </c>
      <c r="P340">
        <f>IF(OR([@ManufacturerMappingStatus]&lt;&gt;"Approved",[@DeviceFamilyMappingStatus]&lt;&gt;"Approved",[@DeviceTypeMappingStatus]&lt;&gt;"Approved"),"Manual Review Required","Approved Crosswalk Available")</f>
        <v/>
      </c>
      <c r="Q340" t="inlineStr">
        <is>
          <t>Pending Review</t>
        </is>
      </c>
    </row>
    <row r="341" ht="21.5" customHeight="1" s="42">
      <c r="A341" s="36" t="n"/>
      <c r="B341" s="35" t="n"/>
      <c r="C341" s="35" t="n"/>
      <c r="D341" s="35" t="n"/>
      <c r="E341" s="39" t="n"/>
      <c r="F341" s="39" t="n"/>
      <c r="G341" s="10" t="inlineStr">
        <is>
          <t>MOD000338</t>
        </is>
      </c>
      <c r="H341" s="14" t="inlineStr">
        <is>
          <t>MFG002</t>
        </is>
      </c>
      <c r="I341" s="14" t="inlineStr">
        <is>
          <t>DF030</t>
        </is>
      </c>
      <c r="J341" s="14">
        <f>XLOOKUP([@ManufacturerID],tblManufacturerIDCrosswalk[LegacyManufacturerID],tblManufacturerIDCrosswalk[CanonicalManufacturerID],"")</f>
        <v/>
      </c>
      <c r="K341" s="7">
        <f>XLOOKUP([@DeviceFamilyID],tblDeviceFamilyIDCrosswalk[LegacyDeviceFamilyID],tblDeviceFamilyIDCrosswalk[CanonicalDeviceFamilyID],"")</f>
        <v/>
      </c>
      <c r="L341" s="7">
        <f>XLOOKUP([@DeviceTypeID],tblDeviceTypeIDCrosswalk[LegacyDeviceTypeID],tblDeviceTypeIDCrosswalk[CanonicalDeviceTypeID],"")</f>
        <v/>
      </c>
      <c r="M341" s="14">
        <f>XLOOKUP([@ManufacturerID],tblManufacturerIDCrosswalk[LegacyManufacturerID],tblManufacturerIDCrosswalk[MappingStatus],"No Crosswalk")</f>
        <v/>
      </c>
      <c r="N341" s="35">
        <f>XLOOKUP([@DeviceFamilyID],tblDeviceFamilyIDCrosswalk[LegacyDeviceFamilyID],tblDeviceFamilyIDCrosswalk[MappingStatus],"No Crosswalk")</f>
        <v/>
      </c>
      <c r="O341" s="35">
        <f>XLOOKUP([@DeviceTypeID],tblDeviceTypeIDCrosswalk[LegacyDeviceTypeID],tblDeviceTypeIDCrosswalk[MappingStatus],"No Crosswalk")</f>
        <v/>
      </c>
      <c r="P341">
        <f>IF(OR([@ManufacturerMappingStatus]&lt;&gt;"Approved",[@DeviceFamilyMappingStatus]&lt;&gt;"Approved",[@DeviceTypeMappingStatus]&lt;&gt;"Approved"),"Manual Review Required","Approved Crosswalk Available")</f>
        <v/>
      </c>
      <c r="Q341" t="inlineStr">
        <is>
          <t>Pending Review</t>
        </is>
      </c>
    </row>
    <row r="342" ht="21.5" customHeight="1" s="42">
      <c r="A342" s="36" t="n"/>
      <c r="B342" s="35" t="n"/>
      <c r="C342" s="35" t="n"/>
      <c r="D342" s="35" t="n"/>
      <c r="E342" s="39" t="n"/>
      <c r="F342" s="39" t="n"/>
      <c r="G342" s="10" t="inlineStr">
        <is>
          <t>MOD000339</t>
        </is>
      </c>
      <c r="H342" s="14" t="inlineStr">
        <is>
          <t>MFG002</t>
        </is>
      </c>
      <c r="I342" s="14" t="inlineStr">
        <is>
          <t>DF030</t>
        </is>
      </c>
      <c r="J342" s="14">
        <f>XLOOKUP([@ManufacturerID],tblManufacturerIDCrosswalk[LegacyManufacturerID],tblManufacturerIDCrosswalk[CanonicalManufacturerID],"")</f>
        <v/>
      </c>
      <c r="K342" s="7">
        <f>XLOOKUP([@DeviceFamilyID],tblDeviceFamilyIDCrosswalk[LegacyDeviceFamilyID],tblDeviceFamilyIDCrosswalk[CanonicalDeviceFamilyID],"")</f>
        <v/>
      </c>
      <c r="L342" s="7">
        <f>XLOOKUP([@DeviceTypeID],tblDeviceTypeIDCrosswalk[LegacyDeviceTypeID],tblDeviceTypeIDCrosswalk[CanonicalDeviceTypeID],"")</f>
        <v/>
      </c>
      <c r="M342" s="14">
        <f>XLOOKUP([@ManufacturerID],tblManufacturerIDCrosswalk[LegacyManufacturerID],tblManufacturerIDCrosswalk[MappingStatus],"No Crosswalk")</f>
        <v/>
      </c>
      <c r="N342" s="35">
        <f>XLOOKUP([@DeviceFamilyID],tblDeviceFamilyIDCrosswalk[LegacyDeviceFamilyID],tblDeviceFamilyIDCrosswalk[MappingStatus],"No Crosswalk")</f>
        <v/>
      </c>
      <c r="O342" s="35">
        <f>XLOOKUP([@DeviceTypeID],tblDeviceTypeIDCrosswalk[LegacyDeviceTypeID],tblDeviceTypeIDCrosswalk[MappingStatus],"No Crosswalk")</f>
        <v/>
      </c>
      <c r="P342">
        <f>IF(OR([@ManufacturerMappingStatus]&lt;&gt;"Approved",[@DeviceFamilyMappingStatus]&lt;&gt;"Approved",[@DeviceTypeMappingStatus]&lt;&gt;"Approved"),"Manual Review Required","Approved Crosswalk Available")</f>
        <v/>
      </c>
      <c r="Q342" t="inlineStr">
        <is>
          <t>Pending Review</t>
        </is>
      </c>
    </row>
    <row r="343" ht="21.5" customHeight="1" s="42">
      <c r="A343" s="36" t="n"/>
      <c r="B343" s="35" t="n"/>
      <c r="C343" s="35" t="n"/>
      <c r="D343" s="35" t="n"/>
      <c r="E343" s="39" t="n"/>
      <c r="F343" s="39" t="n"/>
      <c r="G343" s="10" t="inlineStr">
        <is>
          <t>MOD000340</t>
        </is>
      </c>
      <c r="H343" s="14" t="inlineStr">
        <is>
          <t>MFG002</t>
        </is>
      </c>
      <c r="I343" s="14" t="inlineStr">
        <is>
          <t>DF030</t>
        </is>
      </c>
      <c r="J343" s="14">
        <f>XLOOKUP([@ManufacturerID],tblManufacturerIDCrosswalk[LegacyManufacturerID],tblManufacturerIDCrosswalk[CanonicalManufacturerID],"")</f>
        <v/>
      </c>
      <c r="K343" s="7">
        <f>XLOOKUP([@DeviceFamilyID],tblDeviceFamilyIDCrosswalk[LegacyDeviceFamilyID],tblDeviceFamilyIDCrosswalk[CanonicalDeviceFamilyID],"")</f>
        <v/>
      </c>
      <c r="L343" s="7">
        <f>XLOOKUP([@DeviceTypeID],tblDeviceTypeIDCrosswalk[LegacyDeviceTypeID],tblDeviceTypeIDCrosswalk[CanonicalDeviceTypeID],"")</f>
        <v/>
      </c>
      <c r="M343" s="14">
        <f>XLOOKUP([@ManufacturerID],tblManufacturerIDCrosswalk[LegacyManufacturerID],tblManufacturerIDCrosswalk[MappingStatus],"No Crosswalk")</f>
        <v/>
      </c>
      <c r="N343" s="35">
        <f>XLOOKUP([@DeviceFamilyID],tblDeviceFamilyIDCrosswalk[LegacyDeviceFamilyID],tblDeviceFamilyIDCrosswalk[MappingStatus],"No Crosswalk")</f>
        <v/>
      </c>
      <c r="O343" s="35">
        <f>XLOOKUP([@DeviceTypeID],tblDeviceTypeIDCrosswalk[LegacyDeviceTypeID],tblDeviceTypeIDCrosswalk[MappingStatus],"No Crosswalk")</f>
        <v/>
      </c>
      <c r="P343">
        <f>IF(OR([@ManufacturerMappingStatus]&lt;&gt;"Approved",[@DeviceFamilyMappingStatus]&lt;&gt;"Approved",[@DeviceTypeMappingStatus]&lt;&gt;"Approved"),"Manual Review Required","Approved Crosswalk Available")</f>
        <v/>
      </c>
      <c r="Q343" t="inlineStr">
        <is>
          <t>Pending Review</t>
        </is>
      </c>
    </row>
    <row r="344" ht="21.5" customHeight="1" s="42">
      <c r="A344" s="36" t="n"/>
      <c r="B344" s="35" t="n"/>
      <c r="C344" s="35" t="n"/>
      <c r="D344" s="35" t="n"/>
      <c r="E344" s="39" t="n"/>
      <c r="F344" s="39" t="n"/>
      <c r="G344" s="10" t="inlineStr">
        <is>
          <t>MOD000341</t>
        </is>
      </c>
      <c r="H344" s="14" t="inlineStr">
        <is>
          <t>MFG002</t>
        </is>
      </c>
      <c r="I344" s="14" t="inlineStr">
        <is>
          <t>DF030</t>
        </is>
      </c>
      <c r="J344" s="14">
        <f>XLOOKUP([@ManufacturerID],tblManufacturerIDCrosswalk[LegacyManufacturerID],tblManufacturerIDCrosswalk[CanonicalManufacturerID],"")</f>
        <v/>
      </c>
      <c r="K344" s="7">
        <f>XLOOKUP([@DeviceFamilyID],tblDeviceFamilyIDCrosswalk[LegacyDeviceFamilyID],tblDeviceFamilyIDCrosswalk[CanonicalDeviceFamilyID],"")</f>
        <v/>
      </c>
      <c r="L344" s="7">
        <f>XLOOKUP([@DeviceTypeID],tblDeviceTypeIDCrosswalk[LegacyDeviceTypeID],tblDeviceTypeIDCrosswalk[CanonicalDeviceTypeID],"")</f>
        <v/>
      </c>
      <c r="M344" s="14">
        <f>XLOOKUP([@ManufacturerID],tblManufacturerIDCrosswalk[LegacyManufacturerID],tblManufacturerIDCrosswalk[MappingStatus],"No Crosswalk")</f>
        <v/>
      </c>
      <c r="N344" s="35">
        <f>XLOOKUP([@DeviceFamilyID],tblDeviceFamilyIDCrosswalk[LegacyDeviceFamilyID],tblDeviceFamilyIDCrosswalk[MappingStatus],"No Crosswalk")</f>
        <v/>
      </c>
      <c r="O344" s="35">
        <f>XLOOKUP([@DeviceTypeID],tblDeviceTypeIDCrosswalk[LegacyDeviceTypeID],tblDeviceTypeIDCrosswalk[MappingStatus],"No Crosswalk")</f>
        <v/>
      </c>
      <c r="P344">
        <f>IF(OR([@ManufacturerMappingStatus]&lt;&gt;"Approved",[@DeviceFamilyMappingStatus]&lt;&gt;"Approved",[@DeviceTypeMappingStatus]&lt;&gt;"Approved"),"Manual Review Required","Approved Crosswalk Available")</f>
        <v/>
      </c>
      <c r="Q344" t="inlineStr">
        <is>
          <t>Pending Review</t>
        </is>
      </c>
    </row>
    <row r="345" ht="21.5" customHeight="1" s="42">
      <c r="A345" s="36" t="n"/>
      <c r="B345" s="35" t="n"/>
      <c r="C345" s="35" t="n"/>
      <c r="D345" s="35" t="n"/>
      <c r="E345" s="39" t="n"/>
      <c r="F345" s="39" t="n"/>
      <c r="G345" s="10" t="inlineStr">
        <is>
          <t>MOD000342</t>
        </is>
      </c>
      <c r="H345" s="14" t="inlineStr">
        <is>
          <t>MFG002</t>
        </is>
      </c>
      <c r="I345" s="14" t="inlineStr">
        <is>
          <t>DF030</t>
        </is>
      </c>
      <c r="J345" s="14">
        <f>XLOOKUP([@ManufacturerID],tblManufacturerIDCrosswalk[LegacyManufacturerID],tblManufacturerIDCrosswalk[CanonicalManufacturerID],"")</f>
        <v/>
      </c>
      <c r="K345" s="7">
        <f>XLOOKUP([@DeviceFamilyID],tblDeviceFamilyIDCrosswalk[LegacyDeviceFamilyID],tblDeviceFamilyIDCrosswalk[CanonicalDeviceFamilyID],"")</f>
        <v/>
      </c>
      <c r="L345" s="7">
        <f>XLOOKUP([@DeviceTypeID],tblDeviceTypeIDCrosswalk[LegacyDeviceTypeID],tblDeviceTypeIDCrosswalk[CanonicalDeviceTypeID],"")</f>
        <v/>
      </c>
      <c r="M345" s="14">
        <f>XLOOKUP([@ManufacturerID],tblManufacturerIDCrosswalk[LegacyManufacturerID],tblManufacturerIDCrosswalk[MappingStatus],"No Crosswalk")</f>
        <v/>
      </c>
      <c r="N345" s="35">
        <f>XLOOKUP([@DeviceFamilyID],tblDeviceFamilyIDCrosswalk[LegacyDeviceFamilyID],tblDeviceFamilyIDCrosswalk[MappingStatus],"No Crosswalk")</f>
        <v/>
      </c>
      <c r="O345" s="35">
        <f>XLOOKUP([@DeviceTypeID],tblDeviceTypeIDCrosswalk[LegacyDeviceTypeID],tblDeviceTypeIDCrosswalk[MappingStatus],"No Crosswalk")</f>
        <v/>
      </c>
      <c r="P345">
        <f>IF(OR([@ManufacturerMappingStatus]&lt;&gt;"Approved",[@DeviceFamilyMappingStatus]&lt;&gt;"Approved",[@DeviceTypeMappingStatus]&lt;&gt;"Approved"),"Manual Review Required","Approved Crosswalk Available")</f>
        <v/>
      </c>
      <c r="Q345" t="inlineStr">
        <is>
          <t>Pending Review</t>
        </is>
      </c>
    </row>
    <row r="346" ht="21.5" customHeight="1" s="42">
      <c r="A346" s="36" t="n"/>
      <c r="B346" s="35" t="n"/>
      <c r="C346" s="35" t="n"/>
      <c r="D346" s="35" t="n"/>
      <c r="E346" s="39" t="n"/>
      <c r="F346" s="39" t="n"/>
      <c r="G346" s="10" t="inlineStr">
        <is>
          <t>MOD000343</t>
        </is>
      </c>
      <c r="H346" s="14" t="inlineStr">
        <is>
          <t>MFG002</t>
        </is>
      </c>
      <c r="I346" s="14" t="inlineStr">
        <is>
          <t>DF030</t>
        </is>
      </c>
      <c r="J346" s="14">
        <f>XLOOKUP([@ManufacturerID],tblManufacturerIDCrosswalk[LegacyManufacturerID],tblManufacturerIDCrosswalk[CanonicalManufacturerID],"")</f>
        <v/>
      </c>
      <c r="K346" s="7">
        <f>XLOOKUP([@DeviceFamilyID],tblDeviceFamilyIDCrosswalk[LegacyDeviceFamilyID],tblDeviceFamilyIDCrosswalk[CanonicalDeviceFamilyID],"")</f>
        <v/>
      </c>
      <c r="L346" s="7">
        <f>XLOOKUP([@DeviceTypeID],tblDeviceTypeIDCrosswalk[LegacyDeviceTypeID],tblDeviceTypeIDCrosswalk[CanonicalDeviceTypeID],"")</f>
        <v/>
      </c>
      <c r="M346" s="14">
        <f>XLOOKUP([@ManufacturerID],tblManufacturerIDCrosswalk[LegacyManufacturerID],tblManufacturerIDCrosswalk[MappingStatus],"No Crosswalk")</f>
        <v/>
      </c>
      <c r="N346" s="35">
        <f>XLOOKUP([@DeviceFamilyID],tblDeviceFamilyIDCrosswalk[LegacyDeviceFamilyID],tblDeviceFamilyIDCrosswalk[MappingStatus],"No Crosswalk")</f>
        <v/>
      </c>
      <c r="O346" s="35">
        <f>XLOOKUP([@DeviceTypeID],tblDeviceTypeIDCrosswalk[LegacyDeviceTypeID],tblDeviceTypeIDCrosswalk[MappingStatus],"No Crosswalk")</f>
        <v/>
      </c>
      <c r="P346">
        <f>IF(OR([@ManufacturerMappingStatus]&lt;&gt;"Approved",[@DeviceFamilyMappingStatus]&lt;&gt;"Approved",[@DeviceTypeMappingStatus]&lt;&gt;"Approved"),"Manual Review Required","Approved Crosswalk Available")</f>
        <v/>
      </c>
      <c r="Q346" t="inlineStr">
        <is>
          <t>Pending Review</t>
        </is>
      </c>
    </row>
    <row r="347" ht="21.5" customHeight="1" s="42">
      <c r="A347" s="36" t="n"/>
      <c r="B347" s="35" t="n"/>
      <c r="C347" s="35" t="n"/>
      <c r="D347" s="35" t="n"/>
      <c r="E347" s="39" t="n"/>
      <c r="F347" s="39" t="n"/>
      <c r="G347" s="10" t="inlineStr">
        <is>
          <t>MOD000344</t>
        </is>
      </c>
      <c r="H347" s="14" t="inlineStr">
        <is>
          <t>MFG002</t>
        </is>
      </c>
      <c r="I347" s="14" t="inlineStr">
        <is>
          <t>DF030</t>
        </is>
      </c>
      <c r="J347" s="14">
        <f>XLOOKUP([@ManufacturerID],tblManufacturerIDCrosswalk[LegacyManufacturerID],tblManufacturerIDCrosswalk[CanonicalManufacturerID],"")</f>
        <v/>
      </c>
      <c r="K347" s="7">
        <f>XLOOKUP([@DeviceFamilyID],tblDeviceFamilyIDCrosswalk[LegacyDeviceFamilyID],tblDeviceFamilyIDCrosswalk[CanonicalDeviceFamilyID],"")</f>
        <v/>
      </c>
      <c r="L347" s="7">
        <f>XLOOKUP([@DeviceTypeID],tblDeviceTypeIDCrosswalk[LegacyDeviceTypeID],tblDeviceTypeIDCrosswalk[CanonicalDeviceTypeID],"")</f>
        <v/>
      </c>
      <c r="M347" s="14">
        <f>XLOOKUP([@ManufacturerID],tblManufacturerIDCrosswalk[LegacyManufacturerID],tblManufacturerIDCrosswalk[MappingStatus],"No Crosswalk")</f>
        <v/>
      </c>
      <c r="N347" s="35">
        <f>XLOOKUP([@DeviceFamilyID],tblDeviceFamilyIDCrosswalk[LegacyDeviceFamilyID],tblDeviceFamilyIDCrosswalk[MappingStatus],"No Crosswalk")</f>
        <v/>
      </c>
      <c r="O347" s="35">
        <f>XLOOKUP([@DeviceTypeID],tblDeviceTypeIDCrosswalk[LegacyDeviceTypeID],tblDeviceTypeIDCrosswalk[MappingStatus],"No Crosswalk")</f>
        <v/>
      </c>
      <c r="P347">
        <f>IF(OR([@ManufacturerMappingStatus]&lt;&gt;"Approved",[@DeviceFamilyMappingStatus]&lt;&gt;"Approved",[@DeviceTypeMappingStatus]&lt;&gt;"Approved"),"Manual Review Required","Approved Crosswalk Available")</f>
        <v/>
      </c>
      <c r="Q347" t="inlineStr">
        <is>
          <t>Pending Review</t>
        </is>
      </c>
    </row>
    <row r="348" ht="21.5" customHeight="1" s="42">
      <c r="A348" s="36" t="n"/>
      <c r="B348" s="35" t="n"/>
      <c r="C348" s="35" t="n"/>
      <c r="D348" s="35" t="n"/>
      <c r="E348" s="39" t="n"/>
      <c r="F348" s="39" t="n"/>
      <c r="G348" s="10" t="inlineStr">
        <is>
          <t>MOD000345</t>
        </is>
      </c>
      <c r="H348" s="14" t="inlineStr">
        <is>
          <t>MFG002</t>
        </is>
      </c>
      <c r="I348" s="14" t="inlineStr">
        <is>
          <t>DF030</t>
        </is>
      </c>
      <c r="J348" s="14">
        <f>XLOOKUP([@ManufacturerID],tblManufacturerIDCrosswalk[LegacyManufacturerID],tblManufacturerIDCrosswalk[CanonicalManufacturerID],"")</f>
        <v/>
      </c>
      <c r="K348" s="7">
        <f>XLOOKUP([@DeviceFamilyID],tblDeviceFamilyIDCrosswalk[LegacyDeviceFamilyID],tblDeviceFamilyIDCrosswalk[CanonicalDeviceFamilyID],"")</f>
        <v/>
      </c>
      <c r="L348" s="7">
        <f>XLOOKUP([@DeviceTypeID],tblDeviceTypeIDCrosswalk[LegacyDeviceTypeID],tblDeviceTypeIDCrosswalk[CanonicalDeviceTypeID],"")</f>
        <v/>
      </c>
      <c r="M348" s="14">
        <f>XLOOKUP([@ManufacturerID],tblManufacturerIDCrosswalk[LegacyManufacturerID],tblManufacturerIDCrosswalk[MappingStatus],"No Crosswalk")</f>
        <v/>
      </c>
      <c r="N348" s="35">
        <f>XLOOKUP([@DeviceFamilyID],tblDeviceFamilyIDCrosswalk[LegacyDeviceFamilyID],tblDeviceFamilyIDCrosswalk[MappingStatus],"No Crosswalk")</f>
        <v/>
      </c>
      <c r="O348" s="35">
        <f>XLOOKUP([@DeviceTypeID],tblDeviceTypeIDCrosswalk[LegacyDeviceTypeID],tblDeviceTypeIDCrosswalk[MappingStatus],"No Crosswalk")</f>
        <v/>
      </c>
      <c r="P348">
        <f>IF(OR([@ManufacturerMappingStatus]&lt;&gt;"Approved",[@DeviceFamilyMappingStatus]&lt;&gt;"Approved",[@DeviceTypeMappingStatus]&lt;&gt;"Approved"),"Manual Review Required","Approved Crosswalk Available")</f>
        <v/>
      </c>
      <c r="Q348" t="inlineStr">
        <is>
          <t>Pending Review</t>
        </is>
      </c>
    </row>
    <row r="349" ht="21.5" customHeight="1" s="42">
      <c r="A349" s="36" t="n"/>
      <c r="B349" s="35" t="n"/>
      <c r="C349" s="35" t="n"/>
      <c r="D349" s="35" t="n"/>
      <c r="E349" s="39" t="n"/>
      <c r="F349" s="39" t="n"/>
      <c r="G349" s="10" t="inlineStr">
        <is>
          <t>MOD000346</t>
        </is>
      </c>
      <c r="H349" s="14" t="inlineStr">
        <is>
          <t>MFG002</t>
        </is>
      </c>
      <c r="I349" s="14" t="inlineStr">
        <is>
          <t>DF031</t>
        </is>
      </c>
      <c r="J349" s="14">
        <f>XLOOKUP([@ManufacturerID],tblManufacturerIDCrosswalk[LegacyManufacturerID],tblManufacturerIDCrosswalk[CanonicalManufacturerID],"")</f>
        <v/>
      </c>
      <c r="K349" s="7">
        <f>XLOOKUP([@DeviceFamilyID],tblDeviceFamilyIDCrosswalk[LegacyDeviceFamilyID],tblDeviceFamilyIDCrosswalk[CanonicalDeviceFamilyID],"")</f>
        <v/>
      </c>
      <c r="L349" s="7">
        <f>XLOOKUP([@DeviceTypeID],tblDeviceTypeIDCrosswalk[LegacyDeviceTypeID],tblDeviceTypeIDCrosswalk[CanonicalDeviceTypeID],"")</f>
        <v/>
      </c>
      <c r="M349" s="14">
        <f>XLOOKUP([@ManufacturerID],tblManufacturerIDCrosswalk[LegacyManufacturerID],tblManufacturerIDCrosswalk[MappingStatus],"No Crosswalk")</f>
        <v/>
      </c>
      <c r="N349" s="35">
        <f>XLOOKUP([@DeviceFamilyID],tblDeviceFamilyIDCrosswalk[LegacyDeviceFamilyID],tblDeviceFamilyIDCrosswalk[MappingStatus],"No Crosswalk")</f>
        <v/>
      </c>
      <c r="O349" s="35">
        <f>XLOOKUP([@DeviceTypeID],tblDeviceTypeIDCrosswalk[LegacyDeviceTypeID],tblDeviceTypeIDCrosswalk[MappingStatus],"No Crosswalk")</f>
        <v/>
      </c>
      <c r="P349">
        <f>IF(OR([@ManufacturerMappingStatus]&lt;&gt;"Approved",[@DeviceFamilyMappingStatus]&lt;&gt;"Approved",[@DeviceTypeMappingStatus]&lt;&gt;"Approved"),"Manual Review Required","Approved Crosswalk Available")</f>
        <v/>
      </c>
      <c r="Q349" t="inlineStr">
        <is>
          <t>Pending Review</t>
        </is>
      </c>
    </row>
    <row r="350" ht="21.5" customHeight="1" s="42">
      <c r="A350" s="36" t="n"/>
      <c r="B350" s="35" t="n"/>
      <c r="C350" s="35" t="n"/>
      <c r="D350" s="35" t="n"/>
      <c r="E350" s="39" t="n"/>
      <c r="F350" s="39" t="n"/>
      <c r="G350" s="10" t="inlineStr">
        <is>
          <t>MOD000347</t>
        </is>
      </c>
      <c r="H350" s="14" t="inlineStr">
        <is>
          <t>MFG002</t>
        </is>
      </c>
      <c r="I350" s="14" t="inlineStr">
        <is>
          <t>DF031</t>
        </is>
      </c>
      <c r="J350" s="14">
        <f>XLOOKUP([@ManufacturerID],tblManufacturerIDCrosswalk[LegacyManufacturerID],tblManufacturerIDCrosswalk[CanonicalManufacturerID],"")</f>
        <v/>
      </c>
      <c r="K350" s="7">
        <f>XLOOKUP([@DeviceFamilyID],tblDeviceFamilyIDCrosswalk[LegacyDeviceFamilyID],tblDeviceFamilyIDCrosswalk[CanonicalDeviceFamilyID],"")</f>
        <v/>
      </c>
      <c r="L350" s="7">
        <f>XLOOKUP([@DeviceTypeID],tblDeviceTypeIDCrosswalk[LegacyDeviceTypeID],tblDeviceTypeIDCrosswalk[CanonicalDeviceTypeID],"")</f>
        <v/>
      </c>
      <c r="M350" s="14">
        <f>XLOOKUP([@ManufacturerID],tblManufacturerIDCrosswalk[LegacyManufacturerID],tblManufacturerIDCrosswalk[MappingStatus],"No Crosswalk")</f>
        <v/>
      </c>
      <c r="N350" s="35">
        <f>XLOOKUP([@DeviceFamilyID],tblDeviceFamilyIDCrosswalk[LegacyDeviceFamilyID],tblDeviceFamilyIDCrosswalk[MappingStatus],"No Crosswalk")</f>
        <v/>
      </c>
      <c r="O350" s="35">
        <f>XLOOKUP([@DeviceTypeID],tblDeviceTypeIDCrosswalk[LegacyDeviceTypeID],tblDeviceTypeIDCrosswalk[MappingStatus],"No Crosswalk")</f>
        <v/>
      </c>
      <c r="P350">
        <f>IF(OR([@ManufacturerMappingStatus]&lt;&gt;"Approved",[@DeviceFamilyMappingStatus]&lt;&gt;"Approved",[@DeviceTypeMappingStatus]&lt;&gt;"Approved"),"Manual Review Required","Approved Crosswalk Available")</f>
        <v/>
      </c>
      <c r="Q350" t="inlineStr">
        <is>
          <t>Pending Review</t>
        </is>
      </c>
    </row>
    <row r="351" ht="21.5" customHeight="1" s="42">
      <c r="A351" s="36" t="n"/>
      <c r="B351" s="35" t="n"/>
      <c r="C351" s="35" t="n"/>
      <c r="D351" s="35" t="n"/>
      <c r="E351" s="39" t="n"/>
      <c r="F351" s="39" t="n"/>
      <c r="G351" s="10" t="inlineStr">
        <is>
          <t>MOD000348</t>
        </is>
      </c>
      <c r="H351" s="14" t="inlineStr">
        <is>
          <t>MFG002</t>
        </is>
      </c>
      <c r="I351" s="14" t="inlineStr">
        <is>
          <t>DF031</t>
        </is>
      </c>
      <c r="J351" s="14">
        <f>XLOOKUP([@ManufacturerID],tblManufacturerIDCrosswalk[LegacyManufacturerID],tblManufacturerIDCrosswalk[CanonicalManufacturerID],"")</f>
        <v/>
      </c>
      <c r="K351" s="7">
        <f>XLOOKUP([@DeviceFamilyID],tblDeviceFamilyIDCrosswalk[LegacyDeviceFamilyID],tblDeviceFamilyIDCrosswalk[CanonicalDeviceFamilyID],"")</f>
        <v/>
      </c>
      <c r="L351" s="7">
        <f>XLOOKUP([@DeviceTypeID],tblDeviceTypeIDCrosswalk[LegacyDeviceTypeID],tblDeviceTypeIDCrosswalk[CanonicalDeviceTypeID],"")</f>
        <v/>
      </c>
      <c r="M351" s="14">
        <f>XLOOKUP([@ManufacturerID],tblManufacturerIDCrosswalk[LegacyManufacturerID],tblManufacturerIDCrosswalk[MappingStatus],"No Crosswalk")</f>
        <v/>
      </c>
      <c r="N351" s="35">
        <f>XLOOKUP([@DeviceFamilyID],tblDeviceFamilyIDCrosswalk[LegacyDeviceFamilyID],tblDeviceFamilyIDCrosswalk[MappingStatus],"No Crosswalk")</f>
        <v/>
      </c>
      <c r="O351" s="35">
        <f>XLOOKUP([@DeviceTypeID],tblDeviceTypeIDCrosswalk[LegacyDeviceTypeID],tblDeviceTypeIDCrosswalk[MappingStatus],"No Crosswalk")</f>
        <v/>
      </c>
      <c r="P351">
        <f>IF(OR([@ManufacturerMappingStatus]&lt;&gt;"Approved",[@DeviceFamilyMappingStatus]&lt;&gt;"Approved",[@DeviceTypeMappingStatus]&lt;&gt;"Approved"),"Manual Review Required","Approved Crosswalk Available")</f>
        <v/>
      </c>
      <c r="Q351" t="inlineStr">
        <is>
          <t>Pending Review</t>
        </is>
      </c>
    </row>
    <row r="352" ht="21.5" customHeight="1" s="42">
      <c r="A352" s="36" t="n"/>
      <c r="B352" s="35" t="n"/>
      <c r="C352" s="35" t="n"/>
      <c r="D352" s="35" t="n"/>
      <c r="E352" s="39" t="n"/>
      <c r="F352" s="39" t="n"/>
      <c r="G352" s="10" t="inlineStr">
        <is>
          <t>MOD000349</t>
        </is>
      </c>
      <c r="H352" s="14" t="inlineStr">
        <is>
          <t>MFG002</t>
        </is>
      </c>
      <c r="I352" s="14" t="inlineStr">
        <is>
          <t>DF031</t>
        </is>
      </c>
      <c r="J352" s="14">
        <f>XLOOKUP([@ManufacturerID],tblManufacturerIDCrosswalk[LegacyManufacturerID],tblManufacturerIDCrosswalk[CanonicalManufacturerID],"")</f>
        <v/>
      </c>
      <c r="K352" s="7">
        <f>XLOOKUP([@DeviceFamilyID],tblDeviceFamilyIDCrosswalk[LegacyDeviceFamilyID],tblDeviceFamilyIDCrosswalk[CanonicalDeviceFamilyID],"")</f>
        <v/>
      </c>
      <c r="L352" s="7">
        <f>XLOOKUP([@DeviceTypeID],tblDeviceTypeIDCrosswalk[LegacyDeviceTypeID],tblDeviceTypeIDCrosswalk[CanonicalDeviceTypeID],"")</f>
        <v/>
      </c>
      <c r="M352" s="14">
        <f>XLOOKUP([@ManufacturerID],tblManufacturerIDCrosswalk[LegacyManufacturerID],tblManufacturerIDCrosswalk[MappingStatus],"No Crosswalk")</f>
        <v/>
      </c>
      <c r="N352" s="35">
        <f>XLOOKUP([@DeviceFamilyID],tblDeviceFamilyIDCrosswalk[LegacyDeviceFamilyID],tblDeviceFamilyIDCrosswalk[MappingStatus],"No Crosswalk")</f>
        <v/>
      </c>
      <c r="O352" s="35">
        <f>XLOOKUP([@DeviceTypeID],tblDeviceTypeIDCrosswalk[LegacyDeviceTypeID],tblDeviceTypeIDCrosswalk[MappingStatus],"No Crosswalk")</f>
        <v/>
      </c>
      <c r="P352">
        <f>IF(OR([@ManufacturerMappingStatus]&lt;&gt;"Approved",[@DeviceFamilyMappingStatus]&lt;&gt;"Approved",[@DeviceTypeMappingStatus]&lt;&gt;"Approved"),"Manual Review Required","Approved Crosswalk Available")</f>
        <v/>
      </c>
      <c r="Q352" t="inlineStr">
        <is>
          <t>Pending Review</t>
        </is>
      </c>
    </row>
    <row r="353" ht="21.5" customHeight="1" s="42">
      <c r="A353" s="36" t="n"/>
      <c r="B353" s="35" t="n"/>
      <c r="C353" s="35" t="n"/>
      <c r="D353" s="35" t="n"/>
      <c r="E353" s="39" t="n"/>
      <c r="F353" s="39" t="n"/>
      <c r="G353" s="10" t="inlineStr">
        <is>
          <t>MOD000350</t>
        </is>
      </c>
      <c r="H353" s="14" t="inlineStr">
        <is>
          <t>MFG002</t>
        </is>
      </c>
      <c r="I353" s="14" t="inlineStr">
        <is>
          <t>DF031</t>
        </is>
      </c>
      <c r="J353" s="14">
        <f>XLOOKUP([@ManufacturerID],tblManufacturerIDCrosswalk[LegacyManufacturerID],tblManufacturerIDCrosswalk[CanonicalManufacturerID],"")</f>
        <v/>
      </c>
      <c r="K353" s="7">
        <f>XLOOKUP([@DeviceFamilyID],tblDeviceFamilyIDCrosswalk[LegacyDeviceFamilyID],tblDeviceFamilyIDCrosswalk[CanonicalDeviceFamilyID],"")</f>
        <v/>
      </c>
      <c r="L353" s="7">
        <f>XLOOKUP([@DeviceTypeID],tblDeviceTypeIDCrosswalk[LegacyDeviceTypeID],tblDeviceTypeIDCrosswalk[CanonicalDeviceTypeID],"")</f>
        <v/>
      </c>
      <c r="M353" s="14">
        <f>XLOOKUP([@ManufacturerID],tblManufacturerIDCrosswalk[LegacyManufacturerID],tblManufacturerIDCrosswalk[MappingStatus],"No Crosswalk")</f>
        <v/>
      </c>
      <c r="N353" s="35">
        <f>XLOOKUP([@DeviceFamilyID],tblDeviceFamilyIDCrosswalk[LegacyDeviceFamilyID],tblDeviceFamilyIDCrosswalk[MappingStatus],"No Crosswalk")</f>
        <v/>
      </c>
      <c r="O353" s="35">
        <f>XLOOKUP([@DeviceTypeID],tblDeviceTypeIDCrosswalk[LegacyDeviceTypeID],tblDeviceTypeIDCrosswalk[MappingStatus],"No Crosswalk")</f>
        <v/>
      </c>
      <c r="P353">
        <f>IF(OR([@ManufacturerMappingStatus]&lt;&gt;"Approved",[@DeviceFamilyMappingStatus]&lt;&gt;"Approved",[@DeviceTypeMappingStatus]&lt;&gt;"Approved"),"Manual Review Required","Approved Crosswalk Available")</f>
        <v/>
      </c>
      <c r="Q353" t="inlineStr">
        <is>
          <t>Pending Review</t>
        </is>
      </c>
    </row>
    <row r="354" ht="21.5" customHeight="1" s="42">
      <c r="A354" s="36" t="n"/>
      <c r="B354" s="35" t="n"/>
      <c r="C354" s="35" t="n"/>
      <c r="D354" s="35" t="n"/>
      <c r="E354" s="39" t="n"/>
      <c r="F354" s="39" t="n"/>
      <c r="G354" s="10" t="inlineStr">
        <is>
          <t>MOD000351</t>
        </is>
      </c>
      <c r="H354" s="14" t="inlineStr">
        <is>
          <t>MFG002</t>
        </is>
      </c>
      <c r="I354" s="14" t="inlineStr">
        <is>
          <t>DF031</t>
        </is>
      </c>
      <c r="J354" s="14">
        <f>XLOOKUP([@ManufacturerID],tblManufacturerIDCrosswalk[LegacyManufacturerID],tblManufacturerIDCrosswalk[CanonicalManufacturerID],"")</f>
        <v/>
      </c>
      <c r="K354" s="7">
        <f>XLOOKUP([@DeviceFamilyID],tblDeviceFamilyIDCrosswalk[LegacyDeviceFamilyID],tblDeviceFamilyIDCrosswalk[CanonicalDeviceFamilyID],"")</f>
        <v/>
      </c>
      <c r="L354" s="7">
        <f>XLOOKUP([@DeviceTypeID],tblDeviceTypeIDCrosswalk[LegacyDeviceTypeID],tblDeviceTypeIDCrosswalk[CanonicalDeviceTypeID],"")</f>
        <v/>
      </c>
      <c r="M354" s="14">
        <f>XLOOKUP([@ManufacturerID],tblManufacturerIDCrosswalk[LegacyManufacturerID],tblManufacturerIDCrosswalk[MappingStatus],"No Crosswalk")</f>
        <v/>
      </c>
      <c r="N354" s="35">
        <f>XLOOKUP([@DeviceFamilyID],tblDeviceFamilyIDCrosswalk[LegacyDeviceFamilyID],tblDeviceFamilyIDCrosswalk[MappingStatus],"No Crosswalk")</f>
        <v/>
      </c>
      <c r="O354" s="35">
        <f>XLOOKUP([@DeviceTypeID],tblDeviceTypeIDCrosswalk[LegacyDeviceTypeID],tblDeviceTypeIDCrosswalk[MappingStatus],"No Crosswalk")</f>
        <v/>
      </c>
      <c r="P354">
        <f>IF(OR([@ManufacturerMappingStatus]&lt;&gt;"Approved",[@DeviceFamilyMappingStatus]&lt;&gt;"Approved",[@DeviceTypeMappingStatus]&lt;&gt;"Approved"),"Manual Review Required","Approved Crosswalk Available")</f>
        <v/>
      </c>
      <c r="Q354" t="inlineStr">
        <is>
          <t>Pending Review</t>
        </is>
      </c>
    </row>
    <row r="355" ht="21.5" customHeight="1" s="42">
      <c r="A355" s="36" t="n"/>
      <c r="B355" s="35" t="n"/>
      <c r="C355" s="35" t="n"/>
      <c r="D355" s="35" t="n"/>
      <c r="E355" s="39" t="n"/>
      <c r="F355" s="39" t="n"/>
      <c r="G355" s="10" t="inlineStr">
        <is>
          <t>MOD000352</t>
        </is>
      </c>
      <c r="H355" s="14" t="inlineStr">
        <is>
          <t>MFG002</t>
        </is>
      </c>
      <c r="I355" s="14" t="inlineStr">
        <is>
          <t>DF031</t>
        </is>
      </c>
      <c r="J355" s="14">
        <f>XLOOKUP([@ManufacturerID],tblManufacturerIDCrosswalk[LegacyManufacturerID],tblManufacturerIDCrosswalk[CanonicalManufacturerID],"")</f>
        <v/>
      </c>
      <c r="K355" s="7">
        <f>XLOOKUP([@DeviceFamilyID],tblDeviceFamilyIDCrosswalk[LegacyDeviceFamilyID],tblDeviceFamilyIDCrosswalk[CanonicalDeviceFamilyID],"")</f>
        <v/>
      </c>
      <c r="L355" s="7">
        <f>XLOOKUP([@DeviceTypeID],tblDeviceTypeIDCrosswalk[LegacyDeviceTypeID],tblDeviceTypeIDCrosswalk[CanonicalDeviceTypeID],"")</f>
        <v/>
      </c>
      <c r="M355" s="14">
        <f>XLOOKUP([@ManufacturerID],tblManufacturerIDCrosswalk[LegacyManufacturerID],tblManufacturerIDCrosswalk[MappingStatus],"No Crosswalk")</f>
        <v/>
      </c>
      <c r="N355" s="35">
        <f>XLOOKUP([@DeviceFamilyID],tblDeviceFamilyIDCrosswalk[LegacyDeviceFamilyID],tblDeviceFamilyIDCrosswalk[MappingStatus],"No Crosswalk")</f>
        <v/>
      </c>
      <c r="O355" s="35">
        <f>XLOOKUP([@DeviceTypeID],tblDeviceTypeIDCrosswalk[LegacyDeviceTypeID],tblDeviceTypeIDCrosswalk[MappingStatus],"No Crosswalk")</f>
        <v/>
      </c>
      <c r="P355">
        <f>IF(OR([@ManufacturerMappingStatus]&lt;&gt;"Approved",[@DeviceFamilyMappingStatus]&lt;&gt;"Approved",[@DeviceTypeMappingStatus]&lt;&gt;"Approved"),"Manual Review Required","Approved Crosswalk Available")</f>
        <v/>
      </c>
      <c r="Q355" t="inlineStr">
        <is>
          <t>Pending Review</t>
        </is>
      </c>
    </row>
    <row r="356" ht="21.5" customHeight="1" s="42">
      <c r="A356" s="36" t="n"/>
      <c r="B356" s="35" t="n"/>
      <c r="C356" s="35" t="n"/>
      <c r="D356" s="35" t="n"/>
      <c r="E356" s="39" t="n"/>
      <c r="F356" s="39" t="n"/>
      <c r="G356" s="10" t="inlineStr">
        <is>
          <t>MOD000353</t>
        </is>
      </c>
      <c r="H356" s="14" t="inlineStr">
        <is>
          <t>MFG002</t>
        </is>
      </c>
      <c r="I356" s="14" t="inlineStr">
        <is>
          <t>DF031</t>
        </is>
      </c>
      <c r="J356" s="14">
        <f>XLOOKUP([@ManufacturerID],tblManufacturerIDCrosswalk[LegacyManufacturerID],tblManufacturerIDCrosswalk[CanonicalManufacturerID],"")</f>
        <v/>
      </c>
      <c r="K356" s="7">
        <f>XLOOKUP([@DeviceFamilyID],tblDeviceFamilyIDCrosswalk[LegacyDeviceFamilyID],tblDeviceFamilyIDCrosswalk[CanonicalDeviceFamilyID],"")</f>
        <v/>
      </c>
      <c r="L356" s="7">
        <f>XLOOKUP([@DeviceTypeID],tblDeviceTypeIDCrosswalk[LegacyDeviceTypeID],tblDeviceTypeIDCrosswalk[CanonicalDeviceTypeID],"")</f>
        <v/>
      </c>
      <c r="M356" s="14">
        <f>XLOOKUP([@ManufacturerID],tblManufacturerIDCrosswalk[LegacyManufacturerID],tblManufacturerIDCrosswalk[MappingStatus],"No Crosswalk")</f>
        <v/>
      </c>
      <c r="N356" s="35">
        <f>XLOOKUP([@DeviceFamilyID],tblDeviceFamilyIDCrosswalk[LegacyDeviceFamilyID],tblDeviceFamilyIDCrosswalk[MappingStatus],"No Crosswalk")</f>
        <v/>
      </c>
      <c r="O356" s="35">
        <f>XLOOKUP([@DeviceTypeID],tblDeviceTypeIDCrosswalk[LegacyDeviceTypeID],tblDeviceTypeIDCrosswalk[MappingStatus],"No Crosswalk")</f>
        <v/>
      </c>
      <c r="P356">
        <f>IF(OR([@ManufacturerMappingStatus]&lt;&gt;"Approved",[@DeviceFamilyMappingStatus]&lt;&gt;"Approved",[@DeviceTypeMappingStatus]&lt;&gt;"Approved"),"Manual Review Required","Approved Crosswalk Available")</f>
        <v/>
      </c>
      <c r="Q356" t="inlineStr">
        <is>
          <t>Pending Review</t>
        </is>
      </c>
    </row>
    <row r="357" ht="21.5" customHeight="1" s="42">
      <c r="A357" s="36" t="n"/>
      <c r="B357" s="35" t="n"/>
      <c r="C357" s="35" t="n"/>
      <c r="D357" s="35" t="n"/>
      <c r="E357" s="39" t="n"/>
      <c r="F357" s="39" t="n"/>
      <c r="G357" s="10" t="inlineStr">
        <is>
          <t>MOD000354</t>
        </is>
      </c>
      <c r="H357" s="14" t="inlineStr">
        <is>
          <t>MFG002</t>
        </is>
      </c>
      <c r="I357" s="14" t="inlineStr">
        <is>
          <t>DF031</t>
        </is>
      </c>
      <c r="J357" s="14">
        <f>XLOOKUP([@ManufacturerID],tblManufacturerIDCrosswalk[LegacyManufacturerID],tblManufacturerIDCrosswalk[CanonicalManufacturerID],"")</f>
        <v/>
      </c>
      <c r="K357" s="7">
        <f>XLOOKUP([@DeviceFamilyID],tblDeviceFamilyIDCrosswalk[LegacyDeviceFamilyID],tblDeviceFamilyIDCrosswalk[CanonicalDeviceFamilyID],"")</f>
        <v/>
      </c>
      <c r="L357" s="7">
        <f>XLOOKUP([@DeviceTypeID],tblDeviceTypeIDCrosswalk[LegacyDeviceTypeID],tblDeviceTypeIDCrosswalk[CanonicalDeviceTypeID],"")</f>
        <v/>
      </c>
      <c r="M357" s="14">
        <f>XLOOKUP([@ManufacturerID],tblManufacturerIDCrosswalk[LegacyManufacturerID],tblManufacturerIDCrosswalk[MappingStatus],"No Crosswalk")</f>
        <v/>
      </c>
      <c r="N357" s="35">
        <f>XLOOKUP([@DeviceFamilyID],tblDeviceFamilyIDCrosswalk[LegacyDeviceFamilyID],tblDeviceFamilyIDCrosswalk[MappingStatus],"No Crosswalk")</f>
        <v/>
      </c>
      <c r="O357" s="35">
        <f>XLOOKUP([@DeviceTypeID],tblDeviceTypeIDCrosswalk[LegacyDeviceTypeID],tblDeviceTypeIDCrosswalk[MappingStatus],"No Crosswalk")</f>
        <v/>
      </c>
      <c r="P357">
        <f>IF(OR([@ManufacturerMappingStatus]&lt;&gt;"Approved",[@DeviceFamilyMappingStatus]&lt;&gt;"Approved",[@DeviceTypeMappingStatus]&lt;&gt;"Approved"),"Manual Review Required","Approved Crosswalk Available")</f>
        <v/>
      </c>
      <c r="Q357" t="inlineStr">
        <is>
          <t>Pending Review</t>
        </is>
      </c>
    </row>
    <row r="358" ht="21.5" customHeight="1" s="42">
      <c r="A358" s="36" t="n"/>
      <c r="B358" s="46" t="n"/>
      <c r="C358" s="46" t="n"/>
      <c r="D358" s="46" t="n"/>
      <c r="E358" s="41" t="n"/>
      <c r="F358" s="41" t="n"/>
      <c r="G358" s="10" t="inlineStr">
        <is>
          <t>MOD000355</t>
        </is>
      </c>
      <c r="H358" s="15" t="inlineStr">
        <is>
          <t>MFG003</t>
        </is>
      </c>
      <c r="I358" s="15" t="inlineStr">
        <is>
          <t>DF032</t>
        </is>
      </c>
      <c r="J358" s="15">
        <f>XLOOKUP([@ManufacturerID],tblManufacturerIDCrosswalk[LegacyManufacturerID],tblManufacturerIDCrosswalk[CanonicalManufacturerID],"")</f>
        <v/>
      </c>
      <c r="K358" s="8">
        <f>XLOOKUP([@DeviceFamilyID],tblDeviceFamilyIDCrosswalk[LegacyDeviceFamilyID],tblDeviceFamilyIDCrosswalk[CanonicalDeviceFamilyID],"")</f>
        <v/>
      </c>
      <c r="L358" s="8">
        <f>XLOOKUP([@DeviceTypeID],tblDeviceTypeIDCrosswalk[LegacyDeviceTypeID],tblDeviceTypeIDCrosswalk[CanonicalDeviceTypeID],"")</f>
        <v/>
      </c>
      <c r="M358" s="15">
        <f>XLOOKUP([@ManufacturerID],tblManufacturerIDCrosswalk[LegacyManufacturerID],tblManufacturerIDCrosswalk[MappingStatus],"No Crosswalk")</f>
        <v/>
      </c>
      <c r="N358" s="35">
        <f>XLOOKUP([@DeviceFamilyID],tblDeviceFamilyIDCrosswalk[LegacyDeviceFamilyID],tblDeviceFamilyIDCrosswalk[MappingStatus],"No Crosswalk")</f>
        <v/>
      </c>
      <c r="O358" s="35">
        <f>XLOOKUP([@DeviceTypeID],tblDeviceTypeIDCrosswalk[LegacyDeviceTypeID],tblDeviceTypeIDCrosswalk[MappingStatus],"No Crosswalk")</f>
        <v/>
      </c>
      <c r="P358">
        <f>IF(OR([@ManufacturerMappingStatus]&lt;&gt;"Approved",[@DeviceFamilyMappingStatus]&lt;&gt;"Approved",[@DeviceTypeMappingStatus]&lt;&gt;"Approved"),"Manual Review Required","Approved Crosswalk Available")</f>
        <v/>
      </c>
      <c r="Q358" t="inlineStr">
        <is>
          <t>Pending Review</t>
        </is>
      </c>
    </row>
    <row r="359" ht="21.5" customHeight="1" s="42">
      <c r="A359" s="36" t="n"/>
      <c r="B359" s="46" t="n"/>
      <c r="C359" s="46" t="n"/>
      <c r="D359" s="46" t="n"/>
      <c r="E359" s="41" t="n"/>
      <c r="F359" s="41" t="n"/>
      <c r="G359" s="10" t="inlineStr">
        <is>
          <t>MOD000356</t>
        </is>
      </c>
      <c r="H359" s="15" t="inlineStr">
        <is>
          <t>MFG003</t>
        </is>
      </c>
      <c r="I359" s="15" t="inlineStr">
        <is>
          <t>DF032</t>
        </is>
      </c>
      <c r="J359" s="15">
        <f>XLOOKUP([@ManufacturerID],tblManufacturerIDCrosswalk[LegacyManufacturerID],tblManufacturerIDCrosswalk[CanonicalManufacturerID],"")</f>
        <v/>
      </c>
      <c r="K359" s="8">
        <f>XLOOKUP([@DeviceFamilyID],tblDeviceFamilyIDCrosswalk[LegacyDeviceFamilyID],tblDeviceFamilyIDCrosswalk[CanonicalDeviceFamilyID],"")</f>
        <v/>
      </c>
      <c r="L359" s="8">
        <f>XLOOKUP([@DeviceTypeID],tblDeviceTypeIDCrosswalk[LegacyDeviceTypeID],tblDeviceTypeIDCrosswalk[CanonicalDeviceTypeID],"")</f>
        <v/>
      </c>
      <c r="M359" s="15">
        <f>XLOOKUP([@ManufacturerID],tblManufacturerIDCrosswalk[LegacyManufacturerID],tblManufacturerIDCrosswalk[MappingStatus],"No Crosswalk")</f>
        <v/>
      </c>
      <c r="N359" s="35">
        <f>XLOOKUP([@DeviceFamilyID],tblDeviceFamilyIDCrosswalk[LegacyDeviceFamilyID],tblDeviceFamilyIDCrosswalk[MappingStatus],"No Crosswalk")</f>
        <v/>
      </c>
      <c r="O359" s="35">
        <f>XLOOKUP([@DeviceTypeID],tblDeviceTypeIDCrosswalk[LegacyDeviceTypeID],tblDeviceTypeIDCrosswalk[MappingStatus],"No Crosswalk")</f>
        <v/>
      </c>
      <c r="P359">
        <f>IF(OR([@ManufacturerMappingStatus]&lt;&gt;"Approved",[@DeviceFamilyMappingStatus]&lt;&gt;"Approved",[@DeviceTypeMappingStatus]&lt;&gt;"Approved"),"Manual Review Required","Approved Crosswalk Available")</f>
        <v/>
      </c>
      <c r="Q359" t="inlineStr">
        <is>
          <t>Pending Review</t>
        </is>
      </c>
    </row>
    <row r="360" ht="21.5" customHeight="1" s="42">
      <c r="A360" s="36" t="n"/>
      <c r="B360" s="46" t="n"/>
      <c r="C360" s="46" t="n"/>
      <c r="D360" s="46" t="n"/>
      <c r="E360" s="41" t="n"/>
      <c r="F360" s="41" t="n"/>
      <c r="G360" s="10" t="inlineStr">
        <is>
          <t>MOD000357</t>
        </is>
      </c>
      <c r="H360" s="15" t="inlineStr">
        <is>
          <t>MFG003</t>
        </is>
      </c>
      <c r="I360" s="15" t="inlineStr">
        <is>
          <t>DF032</t>
        </is>
      </c>
      <c r="J360" s="15">
        <f>XLOOKUP([@ManufacturerID],tblManufacturerIDCrosswalk[LegacyManufacturerID],tblManufacturerIDCrosswalk[CanonicalManufacturerID],"")</f>
        <v/>
      </c>
      <c r="K360" s="8">
        <f>XLOOKUP([@DeviceFamilyID],tblDeviceFamilyIDCrosswalk[LegacyDeviceFamilyID],tblDeviceFamilyIDCrosswalk[CanonicalDeviceFamilyID],"")</f>
        <v/>
      </c>
      <c r="L360" s="8">
        <f>XLOOKUP([@DeviceTypeID],tblDeviceTypeIDCrosswalk[LegacyDeviceTypeID],tblDeviceTypeIDCrosswalk[CanonicalDeviceTypeID],"")</f>
        <v/>
      </c>
      <c r="M360" s="15">
        <f>XLOOKUP([@ManufacturerID],tblManufacturerIDCrosswalk[LegacyManufacturerID],tblManufacturerIDCrosswalk[MappingStatus],"No Crosswalk")</f>
        <v/>
      </c>
      <c r="N360" s="35">
        <f>XLOOKUP([@DeviceFamilyID],tblDeviceFamilyIDCrosswalk[LegacyDeviceFamilyID],tblDeviceFamilyIDCrosswalk[MappingStatus],"No Crosswalk")</f>
        <v/>
      </c>
      <c r="O360" s="35">
        <f>XLOOKUP([@DeviceTypeID],tblDeviceTypeIDCrosswalk[LegacyDeviceTypeID],tblDeviceTypeIDCrosswalk[MappingStatus],"No Crosswalk")</f>
        <v/>
      </c>
      <c r="P360">
        <f>IF(OR([@ManufacturerMappingStatus]&lt;&gt;"Approved",[@DeviceFamilyMappingStatus]&lt;&gt;"Approved",[@DeviceTypeMappingStatus]&lt;&gt;"Approved"),"Manual Review Required","Approved Crosswalk Available")</f>
        <v/>
      </c>
      <c r="Q360" t="inlineStr">
        <is>
          <t>Pending Review</t>
        </is>
      </c>
    </row>
    <row r="361" ht="21.5" customHeight="1" s="42">
      <c r="A361" s="36" t="n"/>
      <c r="B361" s="46" t="n"/>
      <c r="C361" s="46" t="n"/>
      <c r="D361" s="46" t="n"/>
      <c r="E361" s="41" t="n"/>
      <c r="F361" s="41" t="n"/>
      <c r="G361" s="10" t="inlineStr">
        <is>
          <t>MOD000358</t>
        </is>
      </c>
      <c r="H361" s="15" t="inlineStr">
        <is>
          <t>MFG003</t>
        </is>
      </c>
      <c r="I361" s="15" t="inlineStr">
        <is>
          <t>DF032</t>
        </is>
      </c>
      <c r="J361" s="15">
        <f>XLOOKUP([@ManufacturerID],tblManufacturerIDCrosswalk[LegacyManufacturerID],tblManufacturerIDCrosswalk[CanonicalManufacturerID],"")</f>
        <v/>
      </c>
      <c r="K361" s="8">
        <f>XLOOKUP([@DeviceFamilyID],tblDeviceFamilyIDCrosswalk[LegacyDeviceFamilyID],tblDeviceFamilyIDCrosswalk[CanonicalDeviceFamilyID],"")</f>
        <v/>
      </c>
      <c r="L361" s="8">
        <f>XLOOKUP([@DeviceTypeID],tblDeviceTypeIDCrosswalk[LegacyDeviceTypeID],tblDeviceTypeIDCrosswalk[CanonicalDeviceTypeID],"")</f>
        <v/>
      </c>
      <c r="M361" s="15">
        <f>XLOOKUP([@ManufacturerID],tblManufacturerIDCrosswalk[LegacyManufacturerID],tblManufacturerIDCrosswalk[MappingStatus],"No Crosswalk")</f>
        <v/>
      </c>
      <c r="N361" s="35">
        <f>XLOOKUP([@DeviceFamilyID],tblDeviceFamilyIDCrosswalk[LegacyDeviceFamilyID],tblDeviceFamilyIDCrosswalk[MappingStatus],"No Crosswalk")</f>
        <v/>
      </c>
      <c r="O361" s="35">
        <f>XLOOKUP([@DeviceTypeID],tblDeviceTypeIDCrosswalk[LegacyDeviceTypeID],tblDeviceTypeIDCrosswalk[MappingStatus],"No Crosswalk")</f>
        <v/>
      </c>
      <c r="P361">
        <f>IF(OR([@ManufacturerMappingStatus]&lt;&gt;"Approved",[@DeviceFamilyMappingStatus]&lt;&gt;"Approved",[@DeviceTypeMappingStatus]&lt;&gt;"Approved"),"Manual Review Required","Approved Crosswalk Available")</f>
        <v/>
      </c>
      <c r="Q361" t="inlineStr">
        <is>
          <t>Pending Review</t>
        </is>
      </c>
    </row>
    <row r="362" ht="21.5" customHeight="1" s="42">
      <c r="A362" s="36" t="n"/>
      <c r="B362" s="46" t="n"/>
      <c r="C362" s="46" t="n"/>
      <c r="D362" s="46" t="n"/>
      <c r="E362" s="41" t="n"/>
      <c r="F362" s="41" t="n"/>
      <c r="G362" s="10" t="inlineStr">
        <is>
          <t>MOD000359</t>
        </is>
      </c>
      <c r="H362" s="15" t="inlineStr">
        <is>
          <t>MFG003</t>
        </is>
      </c>
      <c r="I362" s="15" t="inlineStr">
        <is>
          <t>DF032</t>
        </is>
      </c>
      <c r="J362" s="15">
        <f>XLOOKUP([@ManufacturerID],tblManufacturerIDCrosswalk[LegacyManufacturerID],tblManufacturerIDCrosswalk[CanonicalManufacturerID],"")</f>
        <v/>
      </c>
      <c r="K362" s="8">
        <f>XLOOKUP([@DeviceFamilyID],tblDeviceFamilyIDCrosswalk[LegacyDeviceFamilyID],tblDeviceFamilyIDCrosswalk[CanonicalDeviceFamilyID],"")</f>
        <v/>
      </c>
      <c r="L362" s="8">
        <f>XLOOKUP([@DeviceTypeID],tblDeviceTypeIDCrosswalk[LegacyDeviceTypeID],tblDeviceTypeIDCrosswalk[CanonicalDeviceTypeID],"")</f>
        <v/>
      </c>
      <c r="M362" s="15">
        <f>XLOOKUP([@ManufacturerID],tblManufacturerIDCrosswalk[LegacyManufacturerID],tblManufacturerIDCrosswalk[MappingStatus],"No Crosswalk")</f>
        <v/>
      </c>
      <c r="N362" s="35">
        <f>XLOOKUP([@DeviceFamilyID],tblDeviceFamilyIDCrosswalk[LegacyDeviceFamilyID],tblDeviceFamilyIDCrosswalk[MappingStatus],"No Crosswalk")</f>
        <v/>
      </c>
      <c r="O362" s="35">
        <f>XLOOKUP([@DeviceTypeID],tblDeviceTypeIDCrosswalk[LegacyDeviceTypeID],tblDeviceTypeIDCrosswalk[MappingStatus],"No Crosswalk")</f>
        <v/>
      </c>
      <c r="P362">
        <f>IF(OR([@ManufacturerMappingStatus]&lt;&gt;"Approved",[@DeviceFamilyMappingStatus]&lt;&gt;"Approved",[@DeviceTypeMappingStatus]&lt;&gt;"Approved"),"Manual Review Required","Approved Crosswalk Available")</f>
        <v/>
      </c>
      <c r="Q362" t="inlineStr">
        <is>
          <t>Pending Review</t>
        </is>
      </c>
    </row>
    <row r="363" ht="21.5" customHeight="1" s="42">
      <c r="A363" s="36" t="n"/>
      <c r="B363" s="46" t="n"/>
      <c r="C363" s="46" t="n"/>
      <c r="D363" s="46" t="n"/>
      <c r="E363" s="41" t="n"/>
      <c r="F363" s="41" t="n"/>
      <c r="G363" s="10" t="inlineStr">
        <is>
          <t>MOD000360</t>
        </is>
      </c>
      <c r="H363" s="15" t="inlineStr">
        <is>
          <t>MFG003</t>
        </is>
      </c>
      <c r="I363" s="15" t="inlineStr">
        <is>
          <t>DF032</t>
        </is>
      </c>
      <c r="J363" s="15">
        <f>XLOOKUP([@ManufacturerID],tblManufacturerIDCrosswalk[LegacyManufacturerID],tblManufacturerIDCrosswalk[CanonicalManufacturerID],"")</f>
        <v/>
      </c>
      <c r="K363" s="8">
        <f>XLOOKUP([@DeviceFamilyID],tblDeviceFamilyIDCrosswalk[LegacyDeviceFamilyID],tblDeviceFamilyIDCrosswalk[CanonicalDeviceFamilyID],"")</f>
        <v/>
      </c>
      <c r="L363" s="8">
        <f>XLOOKUP([@DeviceTypeID],tblDeviceTypeIDCrosswalk[LegacyDeviceTypeID],tblDeviceTypeIDCrosswalk[CanonicalDeviceTypeID],"")</f>
        <v/>
      </c>
      <c r="M363" s="15">
        <f>XLOOKUP([@ManufacturerID],tblManufacturerIDCrosswalk[LegacyManufacturerID],tblManufacturerIDCrosswalk[MappingStatus],"No Crosswalk")</f>
        <v/>
      </c>
      <c r="N363" s="35">
        <f>XLOOKUP([@DeviceFamilyID],tblDeviceFamilyIDCrosswalk[LegacyDeviceFamilyID],tblDeviceFamilyIDCrosswalk[MappingStatus],"No Crosswalk")</f>
        <v/>
      </c>
      <c r="O363" s="35">
        <f>XLOOKUP([@DeviceTypeID],tblDeviceTypeIDCrosswalk[LegacyDeviceTypeID],tblDeviceTypeIDCrosswalk[MappingStatus],"No Crosswalk")</f>
        <v/>
      </c>
      <c r="P363">
        <f>IF(OR([@ManufacturerMappingStatus]&lt;&gt;"Approved",[@DeviceFamilyMappingStatus]&lt;&gt;"Approved",[@DeviceTypeMappingStatus]&lt;&gt;"Approved"),"Manual Review Required","Approved Crosswalk Available")</f>
        <v/>
      </c>
      <c r="Q363" t="inlineStr">
        <is>
          <t>Pending Review</t>
        </is>
      </c>
    </row>
    <row r="364" ht="21.5" customHeight="1" s="42">
      <c r="A364" s="36" t="n"/>
      <c r="B364" s="46" t="n"/>
      <c r="C364" s="46" t="n"/>
      <c r="D364" s="46" t="n"/>
      <c r="E364" s="41" t="n"/>
      <c r="F364" s="41" t="n"/>
      <c r="G364" s="10" t="inlineStr">
        <is>
          <t>MOD000361</t>
        </is>
      </c>
      <c r="H364" s="15" t="inlineStr">
        <is>
          <t>MFG003</t>
        </is>
      </c>
      <c r="I364" s="15" t="inlineStr">
        <is>
          <t>DF032</t>
        </is>
      </c>
      <c r="J364" s="15">
        <f>XLOOKUP([@ManufacturerID],tblManufacturerIDCrosswalk[LegacyManufacturerID],tblManufacturerIDCrosswalk[CanonicalManufacturerID],"")</f>
        <v/>
      </c>
      <c r="K364" s="8">
        <f>XLOOKUP([@DeviceFamilyID],tblDeviceFamilyIDCrosswalk[LegacyDeviceFamilyID],tblDeviceFamilyIDCrosswalk[CanonicalDeviceFamilyID],"")</f>
        <v/>
      </c>
      <c r="L364" s="8">
        <f>XLOOKUP([@DeviceTypeID],tblDeviceTypeIDCrosswalk[LegacyDeviceTypeID],tblDeviceTypeIDCrosswalk[CanonicalDeviceTypeID],"")</f>
        <v/>
      </c>
      <c r="M364" s="15">
        <f>XLOOKUP([@ManufacturerID],tblManufacturerIDCrosswalk[LegacyManufacturerID],tblManufacturerIDCrosswalk[MappingStatus],"No Crosswalk")</f>
        <v/>
      </c>
      <c r="N364" s="35">
        <f>XLOOKUP([@DeviceFamilyID],tblDeviceFamilyIDCrosswalk[LegacyDeviceFamilyID],tblDeviceFamilyIDCrosswalk[MappingStatus],"No Crosswalk")</f>
        <v/>
      </c>
      <c r="O364" s="35">
        <f>XLOOKUP([@DeviceTypeID],tblDeviceTypeIDCrosswalk[LegacyDeviceTypeID],tblDeviceTypeIDCrosswalk[MappingStatus],"No Crosswalk")</f>
        <v/>
      </c>
      <c r="P364">
        <f>IF(OR([@ManufacturerMappingStatus]&lt;&gt;"Approved",[@DeviceFamilyMappingStatus]&lt;&gt;"Approved",[@DeviceTypeMappingStatus]&lt;&gt;"Approved"),"Manual Review Required","Approved Crosswalk Available")</f>
        <v/>
      </c>
      <c r="Q364" t="inlineStr">
        <is>
          <t>Pending Review</t>
        </is>
      </c>
    </row>
    <row r="365" ht="21.5" customHeight="1" s="42">
      <c r="A365" s="36" t="n"/>
      <c r="B365" s="46" t="n"/>
      <c r="C365" s="46" t="n"/>
      <c r="D365" s="46" t="n"/>
      <c r="E365" s="41" t="n"/>
      <c r="F365" s="41" t="n"/>
      <c r="G365" s="10" t="inlineStr">
        <is>
          <t>MOD000362</t>
        </is>
      </c>
      <c r="H365" s="15" t="inlineStr">
        <is>
          <t>MFG003</t>
        </is>
      </c>
      <c r="I365" s="15" t="inlineStr">
        <is>
          <t>DF032</t>
        </is>
      </c>
      <c r="J365" s="15">
        <f>XLOOKUP([@ManufacturerID],tblManufacturerIDCrosswalk[LegacyManufacturerID],tblManufacturerIDCrosswalk[CanonicalManufacturerID],"")</f>
        <v/>
      </c>
      <c r="K365" s="8">
        <f>XLOOKUP([@DeviceFamilyID],tblDeviceFamilyIDCrosswalk[LegacyDeviceFamilyID],tblDeviceFamilyIDCrosswalk[CanonicalDeviceFamilyID],"")</f>
        <v/>
      </c>
      <c r="L365" s="8">
        <f>XLOOKUP([@DeviceTypeID],tblDeviceTypeIDCrosswalk[LegacyDeviceTypeID],tblDeviceTypeIDCrosswalk[CanonicalDeviceTypeID],"")</f>
        <v/>
      </c>
      <c r="M365" s="15">
        <f>XLOOKUP([@ManufacturerID],tblManufacturerIDCrosswalk[LegacyManufacturerID],tblManufacturerIDCrosswalk[MappingStatus],"No Crosswalk")</f>
        <v/>
      </c>
      <c r="N365" s="35">
        <f>XLOOKUP([@DeviceFamilyID],tblDeviceFamilyIDCrosswalk[LegacyDeviceFamilyID],tblDeviceFamilyIDCrosswalk[MappingStatus],"No Crosswalk")</f>
        <v/>
      </c>
      <c r="O365" s="35">
        <f>XLOOKUP([@DeviceTypeID],tblDeviceTypeIDCrosswalk[LegacyDeviceTypeID],tblDeviceTypeIDCrosswalk[MappingStatus],"No Crosswalk")</f>
        <v/>
      </c>
      <c r="P365">
        <f>IF(OR([@ManufacturerMappingStatus]&lt;&gt;"Approved",[@DeviceFamilyMappingStatus]&lt;&gt;"Approved",[@DeviceTypeMappingStatus]&lt;&gt;"Approved"),"Manual Review Required","Approved Crosswalk Available")</f>
        <v/>
      </c>
      <c r="Q365" t="inlineStr">
        <is>
          <t>Pending Review</t>
        </is>
      </c>
    </row>
    <row r="366" ht="21.5" customHeight="1" s="42">
      <c r="A366" s="36" t="n"/>
      <c r="B366" s="46" t="n"/>
      <c r="C366" s="46" t="n"/>
      <c r="D366" s="46" t="n"/>
      <c r="E366" s="41" t="n"/>
      <c r="F366" s="41" t="n"/>
      <c r="G366" s="10" t="inlineStr">
        <is>
          <t>MOD000363</t>
        </is>
      </c>
      <c r="H366" s="15" t="inlineStr">
        <is>
          <t>MFG003</t>
        </is>
      </c>
      <c r="I366" s="15" t="inlineStr">
        <is>
          <t>DF032</t>
        </is>
      </c>
      <c r="J366" s="15">
        <f>XLOOKUP([@ManufacturerID],tblManufacturerIDCrosswalk[LegacyManufacturerID],tblManufacturerIDCrosswalk[CanonicalManufacturerID],"")</f>
        <v/>
      </c>
      <c r="K366" s="8">
        <f>XLOOKUP([@DeviceFamilyID],tblDeviceFamilyIDCrosswalk[LegacyDeviceFamilyID],tblDeviceFamilyIDCrosswalk[CanonicalDeviceFamilyID],"")</f>
        <v/>
      </c>
      <c r="L366" s="8">
        <f>XLOOKUP([@DeviceTypeID],tblDeviceTypeIDCrosswalk[LegacyDeviceTypeID],tblDeviceTypeIDCrosswalk[CanonicalDeviceTypeID],"")</f>
        <v/>
      </c>
      <c r="M366" s="15">
        <f>XLOOKUP([@ManufacturerID],tblManufacturerIDCrosswalk[LegacyManufacturerID],tblManufacturerIDCrosswalk[MappingStatus],"No Crosswalk")</f>
        <v/>
      </c>
      <c r="N366" s="35">
        <f>XLOOKUP([@DeviceFamilyID],tblDeviceFamilyIDCrosswalk[LegacyDeviceFamilyID],tblDeviceFamilyIDCrosswalk[MappingStatus],"No Crosswalk")</f>
        <v/>
      </c>
      <c r="O366" s="35">
        <f>XLOOKUP([@DeviceTypeID],tblDeviceTypeIDCrosswalk[LegacyDeviceTypeID],tblDeviceTypeIDCrosswalk[MappingStatus],"No Crosswalk")</f>
        <v/>
      </c>
      <c r="P366">
        <f>IF(OR([@ManufacturerMappingStatus]&lt;&gt;"Approved",[@DeviceFamilyMappingStatus]&lt;&gt;"Approved",[@DeviceTypeMappingStatus]&lt;&gt;"Approved"),"Manual Review Required","Approved Crosswalk Available")</f>
        <v/>
      </c>
      <c r="Q366" t="inlineStr">
        <is>
          <t>Pending Review</t>
        </is>
      </c>
    </row>
    <row r="367" ht="21.5" customHeight="1" s="42">
      <c r="A367" s="36" t="n"/>
      <c r="B367" s="46" t="n"/>
      <c r="C367" s="46" t="n"/>
      <c r="D367" s="46" t="n"/>
      <c r="E367" s="41" t="n"/>
      <c r="F367" s="41" t="n"/>
      <c r="G367" s="10" t="inlineStr">
        <is>
          <t>MOD000364</t>
        </is>
      </c>
      <c r="H367" s="15" t="inlineStr">
        <is>
          <t>MFG003</t>
        </is>
      </c>
      <c r="I367" s="15" t="inlineStr">
        <is>
          <t>DF032</t>
        </is>
      </c>
      <c r="J367" s="15">
        <f>XLOOKUP([@ManufacturerID],tblManufacturerIDCrosswalk[LegacyManufacturerID],tblManufacturerIDCrosswalk[CanonicalManufacturerID],"")</f>
        <v/>
      </c>
      <c r="K367" s="8">
        <f>XLOOKUP([@DeviceFamilyID],tblDeviceFamilyIDCrosswalk[LegacyDeviceFamilyID],tblDeviceFamilyIDCrosswalk[CanonicalDeviceFamilyID],"")</f>
        <v/>
      </c>
      <c r="L367" s="8">
        <f>XLOOKUP([@DeviceTypeID],tblDeviceTypeIDCrosswalk[LegacyDeviceTypeID],tblDeviceTypeIDCrosswalk[CanonicalDeviceTypeID],"")</f>
        <v/>
      </c>
      <c r="M367" s="15">
        <f>XLOOKUP([@ManufacturerID],tblManufacturerIDCrosswalk[LegacyManufacturerID],tblManufacturerIDCrosswalk[MappingStatus],"No Crosswalk")</f>
        <v/>
      </c>
      <c r="N367" s="35">
        <f>XLOOKUP([@DeviceFamilyID],tblDeviceFamilyIDCrosswalk[LegacyDeviceFamilyID],tblDeviceFamilyIDCrosswalk[MappingStatus],"No Crosswalk")</f>
        <v/>
      </c>
      <c r="O367" s="35">
        <f>XLOOKUP([@DeviceTypeID],tblDeviceTypeIDCrosswalk[LegacyDeviceTypeID],tblDeviceTypeIDCrosswalk[MappingStatus],"No Crosswalk")</f>
        <v/>
      </c>
      <c r="P367">
        <f>IF(OR([@ManufacturerMappingStatus]&lt;&gt;"Approved",[@DeviceFamilyMappingStatus]&lt;&gt;"Approved",[@DeviceTypeMappingStatus]&lt;&gt;"Approved"),"Manual Review Required","Approved Crosswalk Available")</f>
        <v/>
      </c>
      <c r="Q367" t="inlineStr">
        <is>
          <t>Pending Review</t>
        </is>
      </c>
    </row>
    <row r="368" ht="21.5" customHeight="1" s="42">
      <c r="A368" s="36" t="n"/>
      <c r="B368" s="35" t="n"/>
      <c r="C368" s="35" t="n"/>
      <c r="D368" s="35" t="n"/>
      <c r="E368" s="39" t="n"/>
      <c r="F368" s="39" t="n"/>
      <c r="G368" s="10" t="inlineStr">
        <is>
          <t>MOD000365</t>
        </is>
      </c>
      <c r="H368" s="14" t="inlineStr">
        <is>
          <t>MFG003</t>
        </is>
      </c>
      <c r="I368" s="14" t="inlineStr">
        <is>
          <t>DF032</t>
        </is>
      </c>
      <c r="J368" s="14">
        <f>XLOOKUP([@ManufacturerID],tblManufacturerIDCrosswalk[LegacyManufacturerID],tblManufacturerIDCrosswalk[CanonicalManufacturerID],"")</f>
        <v/>
      </c>
      <c r="K368" s="7">
        <f>XLOOKUP([@DeviceFamilyID],tblDeviceFamilyIDCrosswalk[LegacyDeviceFamilyID],tblDeviceFamilyIDCrosswalk[CanonicalDeviceFamilyID],"")</f>
        <v/>
      </c>
      <c r="L368" s="7">
        <f>XLOOKUP([@DeviceTypeID],tblDeviceTypeIDCrosswalk[LegacyDeviceTypeID],tblDeviceTypeIDCrosswalk[CanonicalDeviceTypeID],"")</f>
        <v/>
      </c>
      <c r="M368" s="14">
        <f>XLOOKUP([@ManufacturerID],tblManufacturerIDCrosswalk[LegacyManufacturerID],tblManufacturerIDCrosswalk[MappingStatus],"No Crosswalk")</f>
        <v/>
      </c>
      <c r="N368" s="35">
        <f>XLOOKUP([@DeviceFamilyID],tblDeviceFamilyIDCrosswalk[LegacyDeviceFamilyID],tblDeviceFamilyIDCrosswalk[MappingStatus],"No Crosswalk")</f>
        <v/>
      </c>
      <c r="O368" s="35">
        <f>XLOOKUP([@DeviceTypeID],tblDeviceTypeIDCrosswalk[LegacyDeviceTypeID],tblDeviceTypeIDCrosswalk[MappingStatus],"No Crosswalk")</f>
        <v/>
      </c>
      <c r="P368">
        <f>IF(OR([@ManufacturerMappingStatus]&lt;&gt;"Approved",[@DeviceFamilyMappingStatus]&lt;&gt;"Approved",[@DeviceTypeMappingStatus]&lt;&gt;"Approved"),"Manual Review Required","Approved Crosswalk Available")</f>
        <v/>
      </c>
      <c r="Q368" t="inlineStr">
        <is>
          <t>Pending Review</t>
        </is>
      </c>
    </row>
    <row r="369" ht="21.5" customHeight="1" s="42">
      <c r="A369" s="36" t="n"/>
      <c r="B369" s="35" t="n"/>
      <c r="C369" s="35" t="n"/>
      <c r="D369" s="35" t="n"/>
      <c r="E369" s="39" t="n"/>
      <c r="F369" s="39" t="n"/>
      <c r="G369" s="10" t="inlineStr">
        <is>
          <t>MOD000366</t>
        </is>
      </c>
      <c r="H369" s="14" t="inlineStr">
        <is>
          <t>MFG003</t>
        </is>
      </c>
      <c r="I369" s="14" t="inlineStr">
        <is>
          <t>DF032</t>
        </is>
      </c>
      <c r="J369" s="14">
        <f>XLOOKUP([@ManufacturerID],tblManufacturerIDCrosswalk[LegacyManufacturerID],tblManufacturerIDCrosswalk[CanonicalManufacturerID],"")</f>
        <v/>
      </c>
      <c r="K369" s="7">
        <f>XLOOKUP([@DeviceFamilyID],tblDeviceFamilyIDCrosswalk[LegacyDeviceFamilyID],tblDeviceFamilyIDCrosswalk[CanonicalDeviceFamilyID],"")</f>
        <v/>
      </c>
      <c r="L369" s="7">
        <f>XLOOKUP([@DeviceTypeID],tblDeviceTypeIDCrosswalk[LegacyDeviceTypeID],tblDeviceTypeIDCrosswalk[CanonicalDeviceTypeID],"")</f>
        <v/>
      </c>
      <c r="M369" s="14">
        <f>XLOOKUP([@ManufacturerID],tblManufacturerIDCrosswalk[LegacyManufacturerID],tblManufacturerIDCrosswalk[MappingStatus],"No Crosswalk")</f>
        <v/>
      </c>
      <c r="N369" s="35">
        <f>XLOOKUP([@DeviceFamilyID],tblDeviceFamilyIDCrosswalk[LegacyDeviceFamilyID],tblDeviceFamilyIDCrosswalk[MappingStatus],"No Crosswalk")</f>
        <v/>
      </c>
      <c r="O369" s="35">
        <f>XLOOKUP([@DeviceTypeID],tblDeviceTypeIDCrosswalk[LegacyDeviceTypeID],tblDeviceTypeIDCrosswalk[MappingStatus],"No Crosswalk")</f>
        <v/>
      </c>
      <c r="P369">
        <f>IF(OR([@ManufacturerMappingStatus]&lt;&gt;"Approved",[@DeviceFamilyMappingStatus]&lt;&gt;"Approved",[@DeviceTypeMappingStatus]&lt;&gt;"Approved"),"Manual Review Required","Approved Crosswalk Available")</f>
        <v/>
      </c>
      <c r="Q369" t="inlineStr">
        <is>
          <t>Pending Review</t>
        </is>
      </c>
    </row>
    <row r="370" ht="21.5" customHeight="1" s="42">
      <c r="A370" s="36" t="n"/>
      <c r="B370" s="35" t="n"/>
      <c r="C370" s="35" t="n"/>
      <c r="D370" s="35" t="n"/>
      <c r="E370" s="39" t="n"/>
      <c r="F370" s="39" t="n"/>
      <c r="G370" s="10" t="inlineStr">
        <is>
          <t>MOD000367</t>
        </is>
      </c>
      <c r="H370" s="14" t="inlineStr">
        <is>
          <t>MFG003</t>
        </is>
      </c>
      <c r="I370" s="14" t="inlineStr">
        <is>
          <t>DF032</t>
        </is>
      </c>
      <c r="J370" s="14">
        <f>XLOOKUP([@ManufacturerID],tblManufacturerIDCrosswalk[LegacyManufacturerID],tblManufacturerIDCrosswalk[CanonicalManufacturerID],"")</f>
        <v/>
      </c>
      <c r="K370" s="7">
        <f>XLOOKUP([@DeviceFamilyID],tblDeviceFamilyIDCrosswalk[LegacyDeviceFamilyID],tblDeviceFamilyIDCrosswalk[CanonicalDeviceFamilyID],"")</f>
        <v/>
      </c>
      <c r="L370" s="7">
        <f>XLOOKUP([@DeviceTypeID],tblDeviceTypeIDCrosswalk[LegacyDeviceTypeID],tblDeviceTypeIDCrosswalk[CanonicalDeviceTypeID],"")</f>
        <v/>
      </c>
      <c r="M370" s="14">
        <f>XLOOKUP([@ManufacturerID],tblManufacturerIDCrosswalk[LegacyManufacturerID],tblManufacturerIDCrosswalk[MappingStatus],"No Crosswalk")</f>
        <v/>
      </c>
      <c r="N370" s="35">
        <f>XLOOKUP([@DeviceFamilyID],tblDeviceFamilyIDCrosswalk[LegacyDeviceFamilyID],tblDeviceFamilyIDCrosswalk[MappingStatus],"No Crosswalk")</f>
        <v/>
      </c>
      <c r="O370" s="35">
        <f>XLOOKUP([@DeviceTypeID],tblDeviceTypeIDCrosswalk[LegacyDeviceTypeID],tblDeviceTypeIDCrosswalk[MappingStatus],"No Crosswalk")</f>
        <v/>
      </c>
      <c r="P370">
        <f>IF(OR([@ManufacturerMappingStatus]&lt;&gt;"Approved",[@DeviceFamilyMappingStatus]&lt;&gt;"Approved",[@DeviceTypeMappingStatus]&lt;&gt;"Approved"),"Manual Review Required","Approved Crosswalk Available")</f>
        <v/>
      </c>
      <c r="Q370" t="inlineStr">
        <is>
          <t>Pending Review</t>
        </is>
      </c>
    </row>
    <row r="371" ht="21.5" customHeight="1" s="42">
      <c r="A371" s="36" t="n"/>
      <c r="B371" s="35" t="n"/>
      <c r="C371" s="35" t="n"/>
      <c r="D371" s="35" t="n"/>
      <c r="E371" s="39" t="n"/>
      <c r="F371" s="39" t="n"/>
      <c r="G371" s="10" t="inlineStr">
        <is>
          <t>MOD000368</t>
        </is>
      </c>
      <c r="H371" s="14" t="inlineStr">
        <is>
          <t>MFG003</t>
        </is>
      </c>
      <c r="I371" s="14" t="inlineStr">
        <is>
          <t>DF032</t>
        </is>
      </c>
      <c r="J371" s="14">
        <f>XLOOKUP([@ManufacturerID],tblManufacturerIDCrosswalk[LegacyManufacturerID],tblManufacturerIDCrosswalk[CanonicalManufacturerID],"")</f>
        <v/>
      </c>
      <c r="K371" s="7">
        <f>XLOOKUP([@DeviceFamilyID],tblDeviceFamilyIDCrosswalk[LegacyDeviceFamilyID],tblDeviceFamilyIDCrosswalk[CanonicalDeviceFamilyID],"")</f>
        <v/>
      </c>
      <c r="L371" s="7">
        <f>XLOOKUP([@DeviceTypeID],tblDeviceTypeIDCrosswalk[LegacyDeviceTypeID],tblDeviceTypeIDCrosswalk[CanonicalDeviceTypeID],"")</f>
        <v/>
      </c>
      <c r="M371" s="14">
        <f>XLOOKUP([@ManufacturerID],tblManufacturerIDCrosswalk[LegacyManufacturerID],tblManufacturerIDCrosswalk[MappingStatus],"No Crosswalk")</f>
        <v/>
      </c>
      <c r="N371" s="35">
        <f>XLOOKUP([@DeviceFamilyID],tblDeviceFamilyIDCrosswalk[LegacyDeviceFamilyID],tblDeviceFamilyIDCrosswalk[MappingStatus],"No Crosswalk")</f>
        <v/>
      </c>
      <c r="O371" s="35">
        <f>XLOOKUP([@DeviceTypeID],tblDeviceTypeIDCrosswalk[LegacyDeviceTypeID],tblDeviceTypeIDCrosswalk[MappingStatus],"No Crosswalk")</f>
        <v/>
      </c>
      <c r="P371">
        <f>IF(OR([@ManufacturerMappingStatus]&lt;&gt;"Approved",[@DeviceFamilyMappingStatus]&lt;&gt;"Approved",[@DeviceTypeMappingStatus]&lt;&gt;"Approved"),"Manual Review Required","Approved Crosswalk Available")</f>
        <v/>
      </c>
      <c r="Q371" t="inlineStr">
        <is>
          <t>Pending Review</t>
        </is>
      </c>
    </row>
    <row r="372" ht="21.5" customHeight="1" s="42">
      <c r="A372" s="36" t="n"/>
      <c r="B372" s="35" t="n"/>
      <c r="C372" s="35" t="n"/>
      <c r="D372" s="35" t="n"/>
      <c r="E372" s="39" t="n"/>
      <c r="F372" s="39" t="n"/>
      <c r="G372" s="10" t="inlineStr">
        <is>
          <t>MOD000369</t>
        </is>
      </c>
      <c r="H372" s="14" t="inlineStr">
        <is>
          <t>MFG003</t>
        </is>
      </c>
      <c r="I372" s="14" t="inlineStr">
        <is>
          <t>DF032</t>
        </is>
      </c>
      <c r="J372" s="14">
        <f>XLOOKUP([@ManufacturerID],tblManufacturerIDCrosswalk[LegacyManufacturerID],tblManufacturerIDCrosswalk[CanonicalManufacturerID],"")</f>
        <v/>
      </c>
      <c r="K372" s="7">
        <f>XLOOKUP([@DeviceFamilyID],tblDeviceFamilyIDCrosswalk[LegacyDeviceFamilyID],tblDeviceFamilyIDCrosswalk[CanonicalDeviceFamilyID],"")</f>
        <v/>
      </c>
      <c r="L372" s="7">
        <f>XLOOKUP([@DeviceTypeID],tblDeviceTypeIDCrosswalk[LegacyDeviceTypeID],tblDeviceTypeIDCrosswalk[CanonicalDeviceTypeID],"")</f>
        <v/>
      </c>
      <c r="M372" s="14">
        <f>XLOOKUP([@ManufacturerID],tblManufacturerIDCrosswalk[LegacyManufacturerID],tblManufacturerIDCrosswalk[MappingStatus],"No Crosswalk")</f>
        <v/>
      </c>
      <c r="N372" s="35">
        <f>XLOOKUP([@DeviceFamilyID],tblDeviceFamilyIDCrosswalk[LegacyDeviceFamilyID],tblDeviceFamilyIDCrosswalk[MappingStatus],"No Crosswalk")</f>
        <v/>
      </c>
      <c r="O372" s="35">
        <f>XLOOKUP([@DeviceTypeID],tblDeviceTypeIDCrosswalk[LegacyDeviceTypeID],tblDeviceTypeIDCrosswalk[MappingStatus],"No Crosswalk")</f>
        <v/>
      </c>
      <c r="P372">
        <f>IF(OR([@ManufacturerMappingStatus]&lt;&gt;"Approved",[@DeviceFamilyMappingStatus]&lt;&gt;"Approved",[@DeviceTypeMappingStatus]&lt;&gt;"Approved"),"Manual Review Required","Approved Crosswalk Available")</f>
        <v/>
      </c>
      <c r="Q372" t="inlineStr">
        <is>
          <t>Pending Review</t>
        </is>
      </c>
    </row>
    <row r="373" ht="21.5" customHeight="1" s="42">
      <c r="A373" s="36" t="n"/>
      <c r="B373" s="35" t="n"/>
      <c r="C373" s="35" t="n"/>
      <c r="D373" s="35" t="n"/>
      <c r="E373" s="39" t="n"/>
      <c r="F373" s="39" t="n"/>
      <c r="G373" s="10" t="inlineStr">
        <is>
          <t>MOD000370</t>
        </is>
      </c>
      <c r="H373" s="14" t="inlineStr">
        <is>
          <t>MFG003</t>
        </is>
      </c>
      <c r="I373" s="14" t="inlineStr">
        <is>
          <t>DF032</t>
        </is>
      </c>
      <c r="J373" s="14">
        <f>XLOOKUP([@ManufacturerID],tblManufacturerIDCrosswalk[LegacyManufacturerID],tblManufacturerIDCrosswalk[CanonicalManufacturerID],"")</f>
        <v/>
      </c>
      <c r="K373" s="7">
        <f>XLOOKUP([@DeviceFamilyID],tblDeviceFamilyIDCrosswalk[LegacyDeviceFamilyID],tblDeviceFamilyIDCrosswalk[CanonicalDeviceFamilyID],"")</f>
        <v/>
      </c>
      <c r="L373" s="7">
        <f>XLOOKUP([@DeviceTypeID],tblDeviceTypeIDCrosswalk[LegacyDeviceTypeID],tblDeviceTypeIDCrosswalk[CanonicalDeviceTypeID],"")</f>
        <v/>
      </c>
      <c r="M373" s="14">
        <f>XLOOKUP([@ManufacturerID],tblManufacturerIDCrosswalk[LegacyManufacturerID],tblManufacturerIDCrosswalk[MappingStatus],"No Crosswalk")</f>
        <v/>
      </c>
      <c r="N373" s="35">
        <f>XLOOKUP([@DeviceFamilyID],tblDeviceFamilyIDCrosswalk[LegacyDeviceFamilyID],tblDeviceFamilyIDCrosswalk[MappingStatus],"No Crosswalk")</f>
        <v/>
      </c>
      <c r="O373" s="35">
        <f>XLOOKUP([@DeviceTypeID],tblDeviceTypeIDCrosswalk[LegacyDeviceTypeID],tblDeviceTypeIDCrosswalk[MappingStatus],"No Crosswalk")</f>
        <v/>
      </c>
      <c r="P373">
        <f>IF(OR([@ManufacturerMappingStatus]&lt;&gt;"Approved",[@DeviceFamilyMappingStatus]&lt;&gt;"Approved",[@DeviceTypeMappingStatus]&lt;&gt;"Approved"),"Manual Review Required","Approved Crosswalk Available")</f>
        <v/>
      </c>
      <c r="Q373" t="inlineStr">
        <is>
          <t>Pending Review</t>
        </is>
      </c>
    </row>
    <row r="374" ht="21.5" customHeight="1" s="42">
      <c r="A374" s="36" t="n"/>
      <c r="B374" s="35" t="n"/>
      <c r="C374" s="35" t="n"/>
      <c r="D374" s="35" t="n"/>
      <c r="E374" s="39" t="n"/>
      <c r="F374" s="39" t="n"/>
      <c r="G374" s="10" t="inlineStr">
        <is>
          <t>MOD000371</t>
        </is>
      </c>
      <c r="H374" s="14" t="inlineStr">
        <is>
          <t>MFG003</t>
        </is>
      </c>
      <c r="I374" s="14" t="inlineStr">
        <is>
          <t>DF032</t>
        </is>
      </c>
      <c r="J374" s="14">
        <f>XLOOKUP([@ManufacturerID],tblManufacturerIDCrosswalk[LegacyManufacturerID],tblManufacturerIDCrosswalk[CanonicalManufacturerID],"")</f>
        <v/>
      </c>
      <c r="K374" s="7">
        <f>XLOOKUP([@DeviceFamilyID],tblDeviceFamilyIDCrosswalk[LegacyDeviceFamilyID],tblDeviceFamilyIDCrosswalk[CanonicalDeviceFamilyID],"")</f>
        <v/>
      </c>
      <c r="L374" s="7">
        <f>XLOOKUP([@DeviceTypeID],tblDeviceTypeIDCrosswalk[LegacyDeviceTypeID],tblDeviceTypeIDCrosswalk[CanonicalDeviceTypeID],"")</f>
        <v/>
      </c>
      <c r="M374" s="14">
        <f>XLOOKUP([@ManufacturerID],tblManufacturerIDCrosswalk[LegacyManufacturerID],tblManufacturerIDCrosswalk[MappingStatus],"No Crosswalk")</f>
        <v/>
      </c>
      <c r="N374" s="35">
        <f>XLOOKUP([@DeviceFamilyID],tblDeviceFamilyIDCrosswalk[LegacyDeviceFamilyID],tblDeviceFamilyIDCrosswalk[MappingStatus],"No Crosswalk")</f>
        <v/>
      </c>
      <c r="O374" s="35">
        <f>XLOOKUP([@DeviceTypeID],tblDeviceTypeIDCrosswalk[LegacyDeviceTypeID],tblDeviceTypeIDCrosswalk[MappingStatus],"No Crosswalk")</f>
        <v/>
      </c>
      <c r="P374">
        <f>IF(OR([@ManufacturerMappingStatus]&lt;&gt;"Approved",[@DeviceFamilyMappingStatus]&lt;&gt;"Approved",[@DeviceTypeMappingStatus]&lt;&gt;"Approved"),"Manual Review Required","Approved Crosswalk Available")</f>
        <v/>
      </c>
      <c r="Q374" t="inlineStr">
        <is>
          <t>Pending Review</t>
        </is>
      </c>
    </row>
    <row r="375" ht="21.5" customHeight="1" s="42">
      <c r="A375" s="36" t="n"/>
      <c r="B375" s="35" t="n"/>
      <c r="C375" s="35" t="n"/>
      <c r="D375" s="35" t="n"/>
      <c r="E375" s="39" t="n"/>
      <c r="F375" s="39" t="n"/>
      <c r="G375" s="10" t="inlineStr">
        <is>
          <t>MOD000372</t>
        </is>
      </c>
      <c r="H375" s="14" t="inlineStr">
        <is>
          <t>MFG003</t>
        </is>
      </c>
      <c r="I375" s="14" t="inlineStr">
        <is>
          <t>DF032</t>
        </is>
      </c>
      <c r="J375" s="14">
        <f>XLOOKUP([@ManufacturerID],tblManufacturerIDCrosswalk[LegacyManufacturerID],tblManufacturerIDCrosswalk[CanonicalManufacturerID],"")</f>
        <v/>
      </c>
      <c r="K375" s="7">
        <f>XLOOKUP([@DeviceFamilyID],tblDeviceFamilyIDCrosswalk[LegacyDeviceFamilyID],tblDeviceFamilyIDCrosswalk[CanonicalDeviceFamilyID],"")</f>
        <v/>
      </c>
      <c r="L375" s="7">
        <f>XLOOKUP([@DeviceTypeID],tblDeviceTypeIDCrosswalk[LegacyDeviceTypeID],tblDeviceTypeIDCrosswalk[CanonicalDeviceTypeID],"")</f>
        <v/>
      </c>
      <c r="M375" s="14">
        <f>XLOOKUP([@ManufacturerID],tblManufacturerIDCrosswalk[LegacyManufacturerID],tblManufacturerIDCrosswalk[MappingStatus],"No Crosswalk")</f>
        <v/>
      </c>
      <c r="N375" s="35">
        <f>XLOOKUP([@DeviceFamilyID],tblDeviceFamilyIDCrosswalk[LegacyDeviceFamilyID],tblDeviceFamilyIDCrosswalk[MappingStatus],"No Crosswalk")</f>
        <v/>
      </c>
      <c r="O375" s="35">
        <f>XLOOKUP([@DeviceTypeID],tblDeviceTypeIDCrosswalk[LegacyDeviceTypeID],tblDeviceTypeIDCrosswalk[MappingStatus],"No Crosswalk")</f>
        <v/>
      </c>
      <c r="P375">
        <f>IF(OR([@ManufacturerMappingStatus]&lt;&gt;"Approved",[@DeviceFamilyMappingStatus]&lt;&gt;"Approved",[@DeviceTypeMappingStatus]&lt;&gt;"Approved"),"Manual Review Required","Approved Crosswalk Available")</f>
        <v/>
      </c>
      <c r="Q375" t="inlineStr">
        <is>
          <t>Pending Review</t>
        </is>
      </c>
    </row>
    <row r="376" ht="21.5" customHeight="1" s="42">
      <c r="A376" s="36" t="n"/>
      <c r="B376" s="35" t="n"/>
      <c r="C376" s="35" t="n"/>
      <c r="D376" s="35" t="n"/>
      <c r="E376" s="39" t="n"/>
      <c r="F376" s="39" t="n"/>
      <c r="G376" s="10" t="inlineStr">
        <is>
          <t>MOD000373</t>
        </is>
      </c>
      <c r="H376" s="14" t="inlineStr">
        <is>
          <t>MFG003</t>
        </is>
      </c>
      <c r="I376" s="14" t="inlineStr">
        <is>
          <t>DF032</t>
        </is>
      </c>
      <c r="J376" s="14">
        <f>XLOOKUP([@ManufacturerID],tblManufacturerIDCrosswalk[LegacyManufacturerID],tblManufacturerIDCrosswalk[CanonicalManufacturerID],"")</f>
        <v/>
      </c>
      <c r="K376" s="7">
        <f>XLOOKUP([@DeviceFamilyID],tblDeviceFamilyIDCrosswalk[LegacyDeviceFamilyID],tblDeviceFamilyIDCrosswalk[CanonicalDeviceFamilyID],"")</f>
        <v/>
      </c>
      <c r="L376" s="7">
        <f>XLOOKUP([@DeviceTypeID],tblDeviceTypeIDCrosswalk[LegacyDeviceTypeID],tblDeviceTypeIDCrosswalk[CanonicalDeviceTypeID],"")</f>
        <v/>
      </c>
      <c r="M376" s="14">
        <f>XLOOKUP([@ManufacturerID],tblManufacturerIDCrosswalk[LegacyManufacturerID],tblManufacturerIDCrosswalk[MappingStatus],"No Crosswalk")</f>
        <v/>
      </c>
      <c r="N376" s="35">
        <f>XLOOKUP([@DeviceFamilyID],tblDeviceFamilyIDCrosswalk[LegacyDeviceFamilyID],tblDeviceFamilyIDCrosswalk[MappingStatus],"No Crosswalk")</f>
        <v/>
      </c>
      <c r="O376" s="35">
        <f>XLOOKUP([@DeviceTypeID],tblDeviceTypeIDCrosswalk[LegacyDeviceTypeID],tblDeviceTypeIDCrosswalk[MappingStatus],"No Crosswalk")</f>
        <v/>
      </c>
      <c r="P376">
        <f>IF(OR([@ManufacturerMappingStatus]&lt;&gt;"Approved",[@DeviceFamilyMappingStatus]&lt;&gt;"Approved",[@DeviceTypeMappingStatus]&lt;&gt;"Approved"),"Manual Review Required","Approved Crosswalk Available")</f>
        <v/>
      </c>
      <c r="Q376" t="inlineStr">
        <is>
          <t>Pending Review</t>
        </is>
      </c>
    </row>
    <row r="377" ht="21.5" customHeight="1" s="42">
      <c r="A377" s="36" t="n"/>
      <c r="B377" s="35" t="n"/>
      <c r="C377" s="35" t="n"/>
      <c r="D377" s="35" t="n"/>
      <c r="E377" s="39" t="n"/>
      <c r="F377" s="39" t="n"/>
      <c r="G377" s="10" t="inlineStr">
        <is>
          <t>MOD000374</t>
        </is>
      </c>
      <c r="H377" s="14" t="inlineStr">
        <is>
          <t>MFG003</t>
        </is>
      </c>
      <c r="I377" s="14" t="inlineStr">
        <is>
          <t>DF032</t>
        </is>
      </c>
      <c r="J377" s="14">
        <f>XLOOKUP([@ManufacturerID],tblManufacturerIDCrosswalk[LegacyManufacturerID],tblManufacturerIDCrosswalk[CanonicalManufacturerID],"")</f>
        <v/>
      </c>
      <c r="K377" s="7">
        <f>XLOOKUP([@DeviceFamilyID],tblDeviceFamilyIDCrosswalk[LegacyDeviceFamilyID],tblDeviceFamilyIDCrosswalk[CanonicalDeviceFamilyID],"")</f>
        <v/>
      </c>
      <c r="L377" s="7">
        <f>XLOOKUP([@DeviceTypeID],tblDeviceTypeIDCrosswalk[LegacyDeviceTypeID],tblDeviceTypeIDCrosswalk[CanonicalDeviceTypeID],"")</f>
        <v/>
      </c>
      <c r="M377" s="14">
        <f>XLOOKUP([@ManufacturerID],tblManufacturerIDCrosswalk[LegacyManufacturerID],tblManufacturerIDCrosswalk[MappingStatus],"No Crosswalk")</f>
        <v/>
      </c>
      <c r="N377" s="35">
        <f>XLOOKUP([@DeviceFamilyID],tblDeviceFamilyIDCrosswalk[LegacyDeviceFamilyID],tblDeviceFamilyIDCrosswalk[MappingStatus],"No Crosswalk")</f>
        <v/>
      </c>
      <c r="O377" s="35">
        <f>XLOOKUP([@DeviceTypeID],tblDeviceTypeIDCrosswalk[LegacyDeviceTypeID],tblDeviceTypeIDCrosswalk[MappingStatus],"No Crosswalk")</f>
        <v/>
      </c>
      <c r="P377">
        <f>IF(OR([@ManufacturerMappingStatus]&lt;&gt;"Approved",[@DeviceFamilyMappingStatus]&lt;&gt;"Approved",[@DeviceTypeMappingStatus]&lt;&gt;"Approved"),"Manual Review Required","Approved Crosswalk Available")</f>
        <v/>
      </c>
      <c r="Q377" t="inlineStr">
        <is>
          <t>Pending Review</t>
        </is>
      </c>
    </row>
    <row r="378" ht="21.5" customHeight="1" s="42">
      <c r="A378" s="36" t="n"/>
      <c r="B378" s="35" t="n"/>
      <c r="C378" s="35" t="n"/>
      <c r="D378" s="35" t="n"/>
      <c r="E378" s="39" t="n"/>
      <c r="F378" s="39" t="n"/>
      <c r="G378" s="10" t="inlineStr">
        <is>
          <t>MOD000375</t>
        </is>
      </c>
      <c r="H378" s="14" t="inlineStr">
        <is>
          <t>MFG003</t>
        </is>
      </c>
      <c r="I378" s="14" t="inlineStr">
        <is>
          <t>DF032</t>
        </is>
      </c>
      <c r="J378" s="14">
        <f>XLOOKUP([@ManufacturerID],tblManufacturerIDCrosswalk[LegacyManufacturerID],tblManufacturerIDCrosswalk[CanonicalManufacturerID],"")</f>
        <v/>
      </c>
      <c r="K378" s="7">
        <f>XLOOKUP([@DeviceFamilyID],tblDeviceFamilyIDCrosswalk[LegacyDeviceFamilyID],tblDeviceFamilyIDCrosswalk[CanonicalDeviceFamilyID],"")</f>
        <v/>
      </c>
      <c r="L378" s="7">
        <f>XLOOKUP([@DeviceTypeID],tblDeviceTypeIDCrosswalk[LegacyDeviceTypeID],tblDeviceTypeIDCrosswalk[CanonicalDeviceTypeID],"")</f>
        <v/>
      </c>
      <c r="M378" s="14">
        <f>XLOOKUP([@ManufacturerID],tblManufacturerIDCrosswalk[LegacyManufacturerID],tblManufacturerIDCrosswalk[MappingStatus],"No Crosswalk")</f>
        <v/>
      </c>
      <c r="N378" s="35">
        <f>XLOOKUP([@DeviceFamilyID],tblDeviceFamilyIDCrosswalk[LegacyDeviceFamilyID],tblDeviceFamilyIDCrosswalk[MappingStatus],"No Crosswalk")</f>
        <v/>
      </c>
      <c r="O378" s="35">
        <f>XLOOKUP([@DeviceTypeID],tblDeviceTypeIDCrosswalk[LegacyDeviceTypeID],tblDeviceTypeIDCrosswalk[MappingStatus],"No Crosswalk")</f>
        <v/>
      </c>
      <c r="P378">
        <f>IF(OR([@ManufacturerMappingStatus]&lt;&gt;"Approved",[@DeviceFamilyMappingStatus]&lt;&gt;"Approved",[@DeviceTypeMappingStatus]&lt;&gt;"Approved"),"Manual Review Required","Approved Crosswalk Available")</f>
        <v/>
      </c>
      <c r="Q378" t="inlineStr">
        <is>
          <t>Pending Review</t>
        </is>
      </c>
    </row>
    <row r="379" ht="21.5" customHeight="1" s="42">
      <c r="A379" s="36" t="n"/>
      <c r="B379" s="35" t="n"/>
      <c r="C379" s="35" t="n"/>
      <c r="D379" s="35" t="n"/>
      <c r="E379" s="39" t="n"/>
      <c r="F379" s="39" t="n"/>
      <c r="G379" s="10" t="inlineStr">
        <is>
          <t>MOD000376</t>
        </is>
      </c>
      <c r="H379" s="14" t="inlineStr">
        <is>
          <t>MFG003</t>
        </is>
      </c>
      <c r="I379" s="14" t="inlineStr">
        <is>
          <t>DF033</t>
        </is>
      </c>
      <c r="J379" s="14">
        <f>XLOOKUP([@ManufacturerID],tblManufacturerIDCrosswalk[LegacyManufacturerID],tblManufacturerIDCrosswalk[CanonicalManufacturerID],"")</f>
        <v/>
      </c>
      <c r="K379" s="7">
        <f>XLOOKUP([@DeviceFamilyID],tblDeviceFamilyIDCrosswalk[LegacyDeviceFamilyID],tblDeviceFamilyIDCrosswalk[CanonicalDeviceFamilyID],"")</f>
        <v/>
      </c>
      <c r="L379" s="7">
        <f>XLOOKUP([@DeviceTypeID],tblDeviceTypeIDCrosswalk[LegacyDeviceTypeID],tblDeviceTypeIDCrosswalk[CanonicalDeviceTypeID],"")</f>
        <v/>
      </c>
      <c r="M379" s="14">
        <f>XLOOKUP([@ManufacturerID],tblManufacturerIDCrosswalk[LegacyManufacturerID],tblManufacturerIDCrosswalk[MappingStatus],"No Crosswalk")</f>
        <v/>
      </c>
      <c r="N379" s="35">
        <f>XLOOKUP([@DeviceFamilyID],tblDeviceFamilyIDCrosswalk[LegacyDeviceFamilyID],tblDeviceFamilyIDCrosswalk[MappingStatus],"No Crosswalk")</f>
        <v/>
      </c>
      <c r="O379" s="35">
        <f>XLOOKUP([@DeviceTypeID],tblDeviceTypeIDCrosswalk[LegacyDeviceTypeID],tblDeviceTypeIDCrosswalk[MappingStatus],"No Crosswalk")</f>
        <v/>
      </c>
      <c r="P379">
        <f>IF(OR([@ManufacturerMappingStatus]&lt;&gt;"Approved",[@DeviceFamilyMappingStatus]&lt;&gt;"Approved",[@DeviceTypeMappingStatus]&lt;&gt;"Approved"),"Manual Review Required","Approved Crosswalk Available")</f>
        <v/>
      </c>
      <c r="Q379" t="inlineStr">
        <is>
          <t>Pending Review</t>
        </is>
      </c>
    </row>
    <row r="380" ht="21.5" customHeight="1" s="42">
      <c r="A380" s="36" t="n"/>
      <c r="B380" s="35" t="n"/>
      <c r="C380" s="35" t="n"/>
      <c r="D380" s="35" t="n"/>
      <c r="E380" s="39" t="n"/>
      <c r="F380" s="39" t="n"/>
      <c r="G380" s="10" t="inlineStr">
        <is>
          <t>MOD000377</t>
        </is>
      </c>
      <c r="H380" s="14" t="inlineStr">
        <is>
          <t>MFG003</t>
        </is>
      </c>
      <c r="I380" s="14" t="inlineStr">
        <is>
          <t>DF032</t>
        </is>
      </c>
      <c r="J380" s="14">
        <f>XLOOKUP([@ManufacturerID],tblManufacturerIDCrosswalk[LegacyManufacturerID],tblManufacturerIDCrosswalk[CanonicalManufacturerID],"")</f>
        <v/>
      </c>
      <c r="K380" s="7">
        <f>XLOOKUP([@DeviceFamilyID],tblDeviceFamilyIDCrosswalk[LegacyDeviceFamilyID],tblDeviceFamilyIDCrosswalk[CanonicalDeviceFamilyID],"")</f>
        <v/>
      </c>
      <c r="L380" s="7">
        <f>XLOOKUP([@DeviceTypeID],tblDeviceTypeIDCrosswalk[LegacyDeviceTypeID],tblDeviceTypeIDCrosswalk[CanonicalDeviceTypeID],"")</f>
        <v/>
      </c>
      <c r="M380" s="14">
        <f>XLOOKUP([@ManufacturerID],tblManufacturerIDCrosswalk[LegacyManufacturerID],tblManufacturerIDCrosswalk[MappingStatus],"No Crosswalk")</f>
        <v/>
      </c>
      <c r="N380" s="35">
        <f>XLOOKUP([@DeviceFamilyID],tblDeviceFamilyIDCrosswalk[LegacyDeviceFamilyID],tblDeviceFamilyIDCrosswalk[MappingStatus],"No Crosswalk")</f>
        <v/>
      </c>
      <c r="O380" s="35">
        <f>XLOOKUP([@DeviceTypeID],tblDeviceTypeIDCrosswalk[LegacyDeviceTypeID],tblDeviceTypeIDCrosswalk[MappingStatus],"No Crosswalk")</f>
        <v/>
      </c>
      <c r="P380">
        <f>IF(OR([@ManufacturerMappingStatus]&lt;&gt;"Approved",[@DeviceFamilyMappingStatus]&lt;&gt;"Approved",[@DeviceTypeMappingStatus]&lt;&gt;"Approved"),"Manual Review Required","Approved Crosswalk Available")</f>
        <v/>
      </c>
      <c r="Q380" t="inlineStr">
        <is>
          <t>Pending Review</t>
        </is>
      </c>
    </row>
    <row r="381" ht="21.5" customHeight="1" s="42">
      <c r="A381" s="36" t="n"/>
      <c r="B381" s="35" t="n"/>
      <c r="C381" s="35" t="n"/>
      <c r="D381" s="35" t="n"/>
      <c r="E381" s="39" t="n"/>
      <c r="F381" s="39" t="n"/>
      <c r="G381" s="10" t="inlineStr">
        <is>
          <t>MOD000378</t>
        </is>
      </c>
      <c r="H381" s="14" t="inlineStr">
        <is>
          <t>MFG003</t>
        </is>
      </c>
      <c r="I381" s="14" t="inlineStr">
        <is>
          <t>DF032</t>
        </is>
      </c>
      <c r="J381" s="14">
        <f>XLOOKUP([@ManufacturerID],tblManufacturerIDCrosswalk[LegacyManufacturerID],tblManufacturerIDCrosswalk[CanonicalManufacturerID],"")</f>
        <v/>
      </c>
      <c r="K381" s="7">
        <f>XLOOKUP([@DeviceFamilyID],tblDeviceFamilyIDCrosswalk[LegacyDeviceFamilyID],tblDeviceFamilyIDCrosswalk[CanonicalDeviceFamilyID],"")</f>
        <v/>
      </c>
      <c r="L381" s="7">
        <f>XLOOKUP([@DeviceTypeID],tblDeviceTypeIDCrosswalk[LegacyDeviceTypeID],tblDeviceTypeIDCrosswalk[CanonicalDeviceTypeID],"")</f>
        <v/>
      </c>
      <c r="M381" s="14">
        <f>XLOOKUP([@ManufacturerID],tblManufacturerIDCrosswalk[LegacyManufacturerID],tblManufacturerIDCrosswalk[MappingStatus],"No Crosswalk")</f>
        <v/>
      </c>
      <c r="N381" s="35">
        <f>XLOOKUP([@DeviceFamilyID],tblDeviceFamilyIDCrosswalk[LegacyDeviceFamilyID],tblDeviceFamilyIDCrosswalk[MappingStatus],"No Crosswalk")</f>
        <v/>
      </c>
      <c r="O381" s="35">
        <f>XLOOKUP([@DeviceTypeID],tblDeviceTypeIDCrosswalk[LegacyDeviceTypeID],tblDeviceTypeIDCrosswalk[MappingStatus],"No Crosswalk")</f>
        <v/>
      </c>
      <c r="P381">
        <f>IF(OR([@ManufacturerMappingStatus]&lt;&gt;"Approved",[@DeviceFamilyMappingStatus]&lt;&gt;"Approved",[@DeviceTypeMappingStatus]&lt;&gt;"Approved"),"Manual Review Required","Approved Crosswalk Available")</f>
        <v/>
      </c>
      <c r="Q381" t="inlineStr">
        <is>
          <t>Pending Review</t>
        </is>
      </c>
    </row>
    <row r="382" ht="21.5" customHeight="1" s="42">
      <c r="A382" s="36" t="n"/>
      <c r="B382" s="35" t="n"/>
      <c r="C382" s="35" t="n"/>
      <c r="D382" s="35" t="n"/>
      <c r="E382" s="39" t="n"/>
      <c r="F382" s="39" t="n"/>
      <c r="G382" s="10" t="inlineStr">
        <is>
          <t>MOD000379</t>
        </is>
      </c>
      <c r="H382" s="14" t="inlineStr">
        <is>
          <t>MFG003</t>
        </is>
      </c>
      <c r="I382" s="14" t="inlineStr">
        <is>
          <t>DF032</t>
        </is>
      </c>
      <c r="J382" s="14">
        <f>XLOOKUP([@ManufacturerID],tblManufacturerIDCrosswalk[LegacyManufacturerID],tblManufacturerIDCrosswalk[CanonicalManufacturerID],"")</f>
        <v/>
      </c>
      <c r="K382" s="7">
        <f>XLOOKUP([@DeviceFamilyID],tblDeviceFamilyIDCrosswalk[LegacyDeviceFamilyID],tblDeviceFamilyIDCrosswalk[CanonicalDeviceFamilyID],"")</f>
        <v/>
      </c>
      <c r="L382" s="7">
        <f>XLOOKUP([@DeviceTypeID],tblDeviceTypeIDCrosswalk[LegacyDeviceTypeID],tblDeviceTypeIDCrosswalk[CanonicalDeviceTypeID],"")</f>
        <v/>
      </c>
      <c r="M382" s="14">
        <f>XLOOKUP([@ManufacturerID],tblManufacturerIDCrosswalk[LegacyManufacturerID],tblManufacturerIDCrosswalk[MappingStatus],"No Crosswalk")</f>
        <v/>
      </c>
      <c r="N382" s="35">
        <f>XLOOKUP([@DeviceFamilyID],tblDeviceFamilyIDCrosswalk[LegacyDeviceFamilyID],tblDeviceFamilyIDCrosswalk[MappingStatus],"No Crosswalk")</f>
        <v/>
      </c>
      <c r="O382" s="35">
        <f>XLOOKUP([@DeviceTypeID],tblDeviceTypeIDCrosswalk[LegacyDeviceTypeID],tblDeviceTypeIDCrosswalk[MappingStatus],"No Crosswalk")</f>
        <v/>
      </c>
      <c r="P382">
        <f>IF(OR([@ManufacturerMappingStatus]&lt;&gt;"Approved",[@DeviceFamilyMappingStatus]&lt;&gt;"Approved",[@DeviceTypeMappingStatus]&lt;&gt;"Approved"),"Manual Review Required","Approved Crosswalk Available")</f>
        <v/>
      </c>
      <c r="Q382" t="inlineStr">
        <is>
          <t>Pending Review</t>
        </is>
      </c>
    </row>
    <row r="383" ht="21.5" customHeight="1" s="42">
      <c r="A383" s="36" t="n"/>
      <c r="B383" s="35" t="n"/>
      <c r="C383" s="35" t="n"/>
      <c r="D383" s="35" t="n"/>
      <c r="E383" s="39" t="n"/>
      <c r="F383" s="39" t="n"/>
      <c r="G383" s="10" t="inlineStr">
        <is>
          <t>MOD000380</t>
        </is>
      </c>
      <c r="H383" s="14" t="inlineStr">
        <is>
          <t>MFG003</t>
        </is>
      </c>
      <c r="I383" s="14" t="inlineStr">
        <is>
          <t>DF032</t>
        </is>
      </c>
      <c r="J383" s="14">
        <f>XLOOKUP([@ManufacturerID],tblManufacturerIDCrosswalk[LegacyManufacturerID],tblManufacturerIDCrosswalk[CanonicalManufacturerID],"")</f>
        <v/>
      </c>
      <c r="K383" s="7">
        <f>XLOOKUP([@DeviceFamilyID],tblDeviceFamilyIDCrosswalk[LegacyDeviceFamilyID],tblDeviceFamilyIDCrosswalk[CanonicalDeviceFamilyID],"")</f>
        <v/>
      </c>
      <c r="L383" s="7">
        <f>XLOOKUP([@DeviceTypeID],tblDeviceTypeIDCrosswalk[LegacyDeviceTypeID],tblDeviceTypeIDCrosswalk[CanonicalDeviceTypeID],"")</f>
        <v/>
      </c>
      <c r="M383" s="14">
        <f>XLOOKUP([@ManufacturerID],tblManufacturerIDCrosswalk[LegacyManufacturerID],tblManufacturerIDCrosswalk[MappingStatus],"No Crosswalk")</f>
        <v/>
      </c>
      <c r="N383" s="35">
        <f>XLOOKUP([@DeviceFamilyID],tblDeviceFamilyIDCrosswalk[LegacyDeviceFamilyID],tblDeviceFamilyIDCrosswalk[MappingStatus],"No Crosswalk")</f>
        <v/>
      </c>
      <c r="O383" s="35">
        <f>XLOOKUP([@DeviceTypeID],tblDeviceTypeIDCrosswalk[LegacyDeviceTypeID],tblDeviceTypeIDCrosswalk[MappingStatus],"No Crosswalk")</f>
        <v/>
      </c>
      <c r="P383">
        <f>IF(OR([@ManufacturerMappingStatus]&lt;&gt;"Approved",[@DeviceFamilyMappingStatus]&lt;&gt;"Approved",[@DeviceTypeMappingStatus]&lt;&gt;"Approved"),"Manual Review Required","Approved Crosswalk Available")</f>
        <v/>
      </c>
      <c r="Q383" t="inlineStr">
        <is>
          <t>Pending Review</t>
        </is>
      </c>
    </row>
    <row r="384" ht="21.5" customHeight="1" s="42">
      <c r="A384" s="36" t="n"/>
      <c r="B384" s="35" t="n"/>
      <c r="C384" s="35" t="n"/>
      <c r="D384" s="35" t="n"/>
      <c r="E384" s="39" t="n"/>
      <c r="F384" s="39" t="n"/>
      <c r="G384" s="10" t="inlineStr">
        <is>
          <t>MOD000381</t>
        </is>
      </c>
      <c r="H384" s="14" t="inlineStr">
        <is>
          <t>MFG003</t>
        </is>
      </c>
      <c r="I384" s="14" t="inlineStr">
        <is>
          <t>DF032</t>
        </is>
      </c>
      <c r="J384" s="14">
        <f>XLOOKUP([@ManufacturerID],tblManufacturerIDCrosswalk[LegacyManufacturerID],tblManufacturerIDCrosswalk[CanonicalManufacturerID],"")</f>
        <v/>
      </c>
      <c r="K384" s="7">
        <f>XLOOKUP([@DeviceFamilyID],tblDeviceFamilyIDCrosswalk[LegacyDeviceFamilyID],tblDeviceFamilyIDCrosswalk[CanonicalDeviceFamilyID],"")</f>
        <v/>
      </c>
      <c r="L384" s="7">
        <f>XLOOKUP([@DeviceTypeID],tblDeviceTypeIDCrosswalk[LegacyDeviceTypeID],tblDeviceTypeIDCrosswalk[CanonicalDeviceTypeID],"")</f>
        <v/>
      </c>
      <c r="M384" s="14">
        <f>XLOOKUP([@ManufacturerID],tblManufacturerIDCrosswalk[LegacyManufacturerID],tblManufacturerIDCrosswalk[MappingStatus],"No Crosswalk")</f>
        <v/>
      </c>
      <c r="N384" s="35">
        <f>XLOOKUP([@DeviceFamilyID],tblDeviceFamilyIDCrosswalk[LegacyDeviceFamilyID],tblDeviceFamilyIDCrosswalk[MappingStatus],"No Crosswalk")</f>
        <v/>
      </c>
      <c r="O384" s="35">
        <f>XLOOKUP([@DeviceTypeID],tblDeviceTypeIDCrosswalk[LegacyDeviceTypeID],tblDeviceTypeIDCrosswalk[MappingStatus],"No Crosswalk")</f>
        <v/>
      </c>
      <c r="P384">
        <f>IF(OR([@ManufacturerMappingStatus]&lt;&gt;"Approved",[@DeviceFamilyMappingStatus]&lt;&gt;"Approved",[@DeviceTypeMappingStatus]&lt;&gt;"Approved"),"Manual Review Required","Approved Crosswalk Available")</f>
        <v/>
      </c>
      <c r="Q384" t="inlineStr">
        <is>
          <t>Pending Review</t>
        </is>
      </c>
    </row>
    <row r="385" ht="21.5" customHeight="1" s="42">
      <c r="A385" s="36" t="n"/>
      <c r="B385" s="35" t="n"/>
      <c r="C385" s="35" t="n"/>
      <c r="D385" s="35" t="n"/>
      <c r="E385" s="39" t="n"/>
      <c r="F385" s="39" t="n"/>
      <c r="G385" s="10" t="inlineStr">
        <is>
          <t>MOD000382</t>
        </is>
      </c>
      <c r="H385" s="14" t="inlineStr">
        <is>
          <t>MFG003</t>
        </is>
      </c>
      <c r="I385" s="14" t="inlineStr">
        <is>
          <t>DF032</t>
        </is>
      </c>
      <c r="J385" s="14">
        <f>XLOOKUP([@ManufacturerID],tblManufacturerIDCrosswalk[LegacyManufacturerID],tblManufacturerIDCrosswalk[CanonicalManufacturerID],"")</f>
        <v/>
      </c>
      <c r="K385" s="7">
        <f>XLOOKUP([@DeviceFamilyID],tblDeviceFamilyIDCrosswalk[LegacyDeviceFamilyID],tblDeviceFamilyIDCrosswalk[CanonicalDeviceFamilyID],"")</f>
        <v/>
      </c>
      <c r="L385" s="7">
        <f>XLOOKUP([@DeviceTypeID],tblDeviceTypeIDCrosswalk[LegacyDeviceTypeID],tblDeviceTypeIDCrosswalk[CanonicalDeviceTypeID],"")</f>
        <v/>
      </c>
      <c r="M385" s="14">
        <f>XLOOKUP([@ManufacturerID],tblManufacturerIDCrosswalk[LegacyManufacturerID],tblManufacturerIDCrosswalk[MappingStatus],"No Crosswalk")</f>
        <v/>
      </c>
      <c r="N385" s="35">
        <f>XLOOKUP([@DeviceFamilyID],tblDeviceFamilyIDCrosswalk[LegacyDeviceFamilyID],tblDeviceFamilyIDCrosswalk[MappingStatus],"No Crosswalk")</f>
        <v/>
      </c>
      <c r="O385" s="35">
        <f>XLOOKUP([@DeviceTypeID],tblDeviceTypeIDCrosswalk[LegacyDeviceTypeID],tblDeviceTypeIDCrosswalk[MappingStatus],"No Crosswalk")</f>
        <v/>
      </c>
      <c r="P385">
        <f>IF(OR([@ManufacturerMappingStatus]&lt;&gt;"Approved",[@DeviceFamilyMappingStatus]&lt;&gt;"Approved",[@DeviceTypeMappingStatus]&lt;&gt;"Approved"),"Manual Review Required","Approved Crosswalk Available")</f>
        <v/>
      </c>
      <c r="Q385" t="inlineStr">
        <is>
          <t>Pending Review</t>
        </is>
      </c>
    </row>
    <row r="386" ht="21.5" customHeight="1" s="42">
      <c r="A386" s="36" t="n"/>
      <c r="B386" s="35" t="n"/>
      <c r="C386" s="35" t="n"/>
      <c r="D386" s="35" t="n"/>
      <c r="E386" s="39" t="n"/>
      <c r="F386" s="39" t="n"/>
      <c r="G386" s="10" t="inlineStr">
        <is>
          <t>MOD000383</t>
        </is>
      </c>
      <c r="H386" s="14" t="inlineStr">
        <is>
          <t>MFG003</t>
        </is>
      </c>
      <c r="I386" s="14" t="inlineStr">
        <is>
          <t>DF032</t>
        </is>
      </c>
      <c r="J386" s="14">
        <f>XLOOKUP([@ManufacturerID],tblManufacturerIDCrosswalk[LegacyManufacturerID],tblManufacturerIDCrosswalk[CanonicalManufacturerID],"")</f>
        <v/>
      </c>
      <c r="K386" s="7">
        <f>XLOOKUP([@DeviceFamilyID],tblDeviceFamilyIDCrosswalk[LegacyDeviceFamilyID],tblDeviceFamilyIDCrosswalk[CanonicalDeviceFamilyID],"")</f>
        <v/>
      </c>
      <c r="L386" s="7">
        <f>XLOOKUP([@DeviceTypeID],tblDeviceTypeIDCrosswalk[LegacyDeviceTypeID],tblDeviceTypeIDCrosswalk[CanonicalDeviceTypeID],"")</f>
        <v/>
      </c>
      <c r="M386" s="14">
        <f>XLOOKUP([@ManufacturerID],tblManufacturerIDCrosswalk[LegacyManufacturerID],tblManufacturerIDCrosswalk[MappingStatus],"No Crosswalk")</f>
        <v/>
      </c>
      <c r="N386" s="35">
        <f>XLOOKUP([@DeviceFamilyID],tblDeviceFamilyIDCrosswalk[LegacyDeviceFamilyID],tblDeviceFamilyIDCrosswalk[MappingStatus],"No Crosswalk")</f>
        <v/>
      </c>
      <c r="O386" s="35">
        <f>XLOOKUP([@DeviceTypeID],tblDeviceTypeIDCrosswalk[LegacyDeviceTypeID],tblDeviceTypeIDCrosswalk[MappingStatus],"No Crosswalk")</f>
        <v/>
      </c>
      <c r="P386">
        <f>IF(OR([@ManufacturerMappingStatus]&lt;&gt;"Approved",[@DeviceFamilyMappingStatus]&lt;&gt;"Approved",[@DeviceTypeMappingStatus]&lt;&gt;"Approved"),"Manual Review Required","Approved Crosswalk Available")</f>
        <v/>
      </c>
      <c r="Q386" t="inlineStr">
        <is>
          <t>Pending Review</t>
        </is>
      </c>
    </row>
    <row r="387" ht="21.5" customHeight="1" s="42">
      <c r="A387" s="36" t="n"/>
      <c r="B387" s="35" t="n"/>
      <c r="C387" s="35" t="n"/>
      <c r="D387" s="35" t="n"/>
      <c r="E387" s="39" t="n"/>
      <c r="F387" s="39" t="n"/>
      <c r="G387" s="10" t="inlineStr">
        <is>
          <t>MOD000384</t>
        </is>
      </c>
      <c r="H387" s="14" t="inlineStr">
        <is>
          <t>MFG003</t>
        </is>
      </c>
      <c r="I387" s="14" t="inlineStr">
        <is>
          <t>DF032</t>
        </is>
      </c>
      <c r="J387" s="14">
        <f>XLOOKUP([@ManufacturerID],tblManufacturerIDCrosswalk[LegacyManufacturerID],tblManufacturerIDCrosswalk[CanonicalManufacturerID],"")</f>
        <v/>
      </c>
      <c r="K387" s="7">
        <f>XLOOKUP([@DeviceFamilyID],tblDeviceFamilyIDCrosswalk[LegacyDeviceFamilyID],tblDeviceFamilyIDCrosswalk[CanonicalDeviceFamilyID],"")</f>
        <v/>
      </c>
      <c r="L387" s="7">
        <f>XLOOKUP([@DeviceTypeID],tblDeviceTypeIDCrosswalk[LegacyDeviceTypeID],tblDeviceTypeIDCrosswalk[CanonicalDeviceTypeID],"")</f>
        <v/>
      </c>
      <c r="M387" s="14">
        <f>XLOOKUP([@ManufacturerID],tblManufacturerIDCrosswalk[LegacyManufacturerID],tblManufacturerIDCrosswalk[MappingStatus],"No Crosswalk")</f>
        <v/>
      </c>
      <c r="N387" s="35">
        <f>XLOOKUP([@DeviceFamilyID],tblDeviceFamilyIDCrosswalk[LegacyDeviceFamilyID],tblDeviceFamilyIDCrosswalk[MappingStatus],"No Crosswalk")</f>
        <v/>
      </c>
      <c r="O387" s="35">
        <f>XLOOKUP([@DeviceTypeID],tblDeviceTypeIDCrosswalk[LegacyDeviceTypeID],tblDeviceTypeIDCrosswalk[MappingStatus],"No Crosswalk")</f>
        <v/>
      </c>
      <c r="P387">
        <f>IF(OR([@ManufacturerMappingStatus]&lt;&gt;"Approved",[@DeviceFamilyMappingStatus]&lt;&gt;"Approved",[@DeviceTypeMappingStatus]&lt;&gt;"Approved"),"Manual Review Required","Approved Crosswalk Available")</f>
        <v/>
      </c>
      <c r="Q387" t="inlineStr">
        <is>
          <t>Pending Review</t>
        </is>
      </c>
    </row>
    <row r="388" ht="21.5" customHeight="1" s="42">
      <c r="A388" s="36" t="n"/>
      <c r="B388" s="35" t="n"/>
      <c r="C388" s="35" t="n"/>
      <c r="D388" s="35" t="n"/>
      <c r="E388" s="39" t="n"/>
      <c r="F388" s="39" t="n"/>
      <c r="G388" s="10" t="inlineStr">
        <is>
          <t>MOD000385</t>
        </is>
      </c>
      <c r="H388" s="14" t="inlineStr">
        <is>
          <t>MFG004</t>
        </is>
      </c>
      <c r="I388" s="14" t="inlineStr">
        <is>
          <t>DF040</t>
        </is>
      </c>
      <c r="J388" s="14">
        <f>XLOOKUP([@ManufacturerID],tblManufacturerIDCrosswalk[LegacyManufacturerID],tblManufacturerIDCrosswalk[CanonicalManufacturerID],"")</f>
        <v/>
      </c>
      <c r="K388" s="7">
        <f>XLOOKUP([@DeviceFamilyID],tblDeviceFamilyIDCrosswalk[LegacyDeviceFamilyID],tblDeviceFamilyIDCrosswalk[CanonicalDeviceFamilyID],"")</f>
        <v/>
      </c>
      <c r="L388" s="7">
        <f>XLOOKUP([@DeviceTypeID],tblDeviceTypeIDCrosswalk[LegacyDeviceTypeID],tblDeviceTypeIDCrosswalk[CanonicalDeviceTypeID],"")</f>
        <v/>
      </c>
      <c r="M388" s="14">
        <f>XLOOKUP([@ManufacturerID],tblManufacturerIDCrosswalk[LegacyManufacturerID],tblManufacturerIDCrosswalk[MappingStatus],"No Crosswalk")</f>
        <v/>
      </c>
      <c r="N388" s="35">
        <f>XLOOKUP([@DeviceFamilyID],tblDeviceFamilyIDCrosswalk[LegacyDeviceFamilyID],tblDeviceFamilyIDCrosswalk[MappingStatus],"No Crosswalk")</f>
        <v/>
      </c>
      <c r="O388" s="35">
        <f>XLOOKUP([@DeviceTypeID],tblDeviceTypeIDCrosswalk[LegacyDeviceTypeID],tblDeviceTypeIDCrosswalk[MappingStatus],"No Crosswalk")</f>
        <v/>
      </c>
      <c r="P388">
        <f>IF(OR([@ManufacturerMappingStatus]&lt;&gt;"Approved",[@DeviceFamilyMappingStatus]&lt;&gt;"Approved",[@DeviceTypeMappingStatus]&lt;&gt;"Approved"),"Manual Review Required","Approved Crosswalk Available")</f>
        <v/>
      </c>
      <c r="Q388" t="inlineStr">
        <is>
          <t>Pending Review</t>
        </is>
      </c>
    </row>
    <row r="389" ht="21.5" customHeight="1" s="42">
      <c r="A389" s="36" t="n"/>
      <c r="B389" s="35" t="n"/>
      <c r="C389" s="35" t="n"/>
      <c r="D389" s="35" t="n"/>
      <c r="E389" s="39" t="n"/>
      <c r="F389" s="39" t="n"/>
      <c r="G389" s="10" t="inlineStr">
        <is>
          <t>MOD000386</t>
        </is>
      </c>
      <c r="H389" s="14" t="inlineStr">
        <is>
          <t>MFG004</t>
        </is>
      </c>
      <c r="I389" s="14" t="inlineStr">
        <is>
          <t>DF040</t>
        </is>
      </c>
      <c r="J389" s="14">
        <f>XLOOKUP([@ManufacturerID],tblManufacturerIDCrosswalk[LegacyManufacturerID],tblManufacturerIDCrosswalk[CanonicalManufacturerID],"")</f>
        <v/>
      </c>
      <c r="K389" s="7">
        <f>XLOOKUP([@DeviceFamilyID],tblDeviceFamilyIDCrosswalk[LegacyDeviceFamilyID],tblDeviceFamilyIDCrosswalk[CanonicalDeviceFamilyID],"")</f>
        <v/>
      </c>
      <c r="L389" s="7">
        <f>XLOOKUP([@DeviceTypeID],tblDeviceTypeIDCrosswalk[LegacyDeviceTypeID],tblDeviceTypeIDCrosswalk[CanonicalDeviceTypeID],"")</f>
        <v/>
      </c>
      <c r="M389" s="14">
        <f>XLOOKUP([@ManufacturerID],tblManufacturerIDCrosswalk[LegacyManufacturerID],tblManufacturerIDCrosswalk[MappingStatus],"No Crosswalk")</f>
        <v/>
      </c>
      <c r="N389" s="35">
        <f>XLOOKUP([@DeviceFamilyID],tblDeviceFamilyIDCrosswalk[LegacyDeviceFamilyID],tblDeviceFamilyIDCrosswalk[MappingStatus],"No Crosswalk")</f>
        <v/>
      </c>
      <c r="O389" s="35">
        <f>XLOOKUP([@DeviceTypeID],tblDeviceTypeIDCrosswalk[LegacyDeviceTypeID],tblDeviceTypeIDCrosswalk[MappingStatus],"No Crosswalk")</f>
        <v/>
      </c>
      <c r="P389">
        <f>IF(OR([@ManufacturerMappingStatus]&lt;&gt;"Approved",[@DeviceFamilyMappingStatus]&lt;&gt;"Approved",[@DeviceTypeMappingStatus]&lt;&gt;"Approved"),"Manual Review Required","Approved Crosswalk Available")</f>
        <v/>
      </c>
      <c r="Q389" t="inlineStr">
        <is>
          <t>Pending Review</t>
        </is>
      </c>
    </row>
    <row r="390" ht="21.5" customHeight="1" s="42">
      <c r="A390" s="36" t="n"/>
      <c r="B390" s="35" t="n"/>
      <c r="C390" s="35" t="n"/>
      <c r="D390" s="35" t="n"/>
      <c r="E390" s="39" t="n"/>
      <c r="F390" s="39" t="n"/>
      <c r="G390" s="10" t="inlineStr">
        <is>
          <t>MOD000387</t>
        </is>
      </c>
      <c r="H390" s="14" t="inlineStr">
        <is>
          <t>MFG004</t>
        </is>
      </c>
      <c r="I390" s="14" t="inlineStr">
        <is>
          <t>DF040</t>
        </is>
      </c>
      <c r="J390" s="14">
        <f>XLOOKUP([@ManufacturerID],tblManufacturerIDCrosswalk[LegacyManufacturerID],tblManufacturerIDCrosswalk[CanonicalManufacturerID],"")</f>
        <v/>
      </c>
      <c r="K390" s="7">
        <f>XLOOKUP([@DeviceFamilyID],tblDeviceFamilyIDCrosswalk[LegacyDeviceFamilyID],tblDeviceFamilyIDCrosswalk[CanonicalDeviceFamilyID],"")</f>
        <v/>
      </c>
      <c r="L390" s="7">
        <f>XLOOKUP([@DeviceTypeID],tblDeviceTypeIDCrosswalk[LegacyDeviceTypeID],tblDeviceTypeIDCrosswalk[CanonicalDeviceTypeID],"")</f>
        <v/>
      </c>
      <c r="M390" s="14">
        <f>XLOOKUP([@ManufacturerID],tblManufacturerIDCrosswalk[LegacyManufacturerID],tblManufacturerIDCrosswalk[MappingStatus],"No Crosswalk")</f>
        <v/>
      </c>
      <c r="N390" s="35">
        <f>XLOOKUP([@DeviceFamilyID],tblDeviceFamilyIDCrosswalk[LegacyDeviceFamilyID],tblDeviceFamilyIDCrosswalk[MappingStatus],"No Crosswalk")</f>
        <v/>
      </c>
      <c r="O390" s="35">
        <f>XLOOKUP([@DeviceTypeID],tblDeviceTypeIDCrosswalk[LegacyDeviceTypeID],tblDeviceTypeIDCrosswalk[MappingStatus],"No Crosswalk")</f>
        <v/>
      </c>
      <c r="P390">
        <f>IF(OR([@ManufacturerMappingStatus]&lt;&gt;"Approved",[@DeviceFamilyMappingStatus]&lt;&gt;"Approved",[@DeviceTypeMappingStatus]&lt;&gt;"Approved"),"Manual Review Required","Approved Crosswalk Available")</f>
        <v/>
      </c>
      <c r="Q390" t="inlineStr">
        <is>
          <t>Pending Review</t>
        </is>
      </c>
    </row>
    <row r="391" ht="21.5" customHeight="1" s="42">
      <c r="A391" s="36" t="n"/>
      <c r="B391" s="35" t="n"/>
      <c r="C391" s="35" t="n"/>
      <c r="D391" s="35" t="n"/>
      <c r="E391" s="39" t="n"/>
      <c r="F391" s="39" t="n"/>
      <c r="G391" s="10" t="inlineStr">
        <is>
          <t>MOD000388</t>
        </is>
      </c>
      <c r="H391" s="14" t="inlineStr">
        <is>
          <t>MFG004</t>
        </is>
      </c>
      <c r="I391" s="14" t="inlineStr">
        <is>
          <t>DF040</t>
        </is>
      </c>
      <c r="J391" s="14">
        <f>XLOOKUP([@ManufacturerID],tblManufacturerIDCrosswalk[LegacyManufacturerID],tblManufacturerIDCrosswalk[CanonicalManufacturerID],"")</f>
        <v/>
      </c>
      <c r="K391" s="7">
        <f>XLOOKUP([@DeviceFamilyID],tblDeviceFamilyIDCrosswalk[LegacyDeviceFamilyID],tblDeviceFamilyIDCrosswalk[CanonicalDeviceFamilyID],"")</f>
        <v/>
      </c>
      <c r="L391" s="7">
        <f>XLOOKUP([@DeviceTypeID],tblDeviceTypeIDCrosswalk[LegacyDeviceTypeID],tblDeviceTypeIDCrosswalk[CanonicalDeviceTypeID],"")</f>
        <v/>
      </c>
      <c r="M391" s="14">
        <f>XLOOKUP([@ManufacturerID],tblManufacturerIDCrosswalk[LegacyManufacturerID],tblManufacturerIDCrosswalk[MappingStatus],"No Crosswalk")</f>
        <v/>
      </c>
      <c r="N391" s="35">
        <f>XLOOKUP([@DeviceFamilyID],tblDeviceFamilyIDCrosswalk[LegacyDeviceFamilyID],tblDeviceFamilyIDCrosswalk[MappingStatus],"No Crosswalk")</f>
        <v/>
      </c>
      <c r="O391" s="35">
        <f>XLOOKUP([@DeviceTypeID],tblDeviceTypeIDCrosswalk[LegacyDeviceTypeID],tblDeviceTypeIDCrosswalk[MappingStatus],"No Crosswalk")</f>
        <v/>
      </c>
      <c r="P391">
        <f>IF(OR([@ManufacturerMappingStatus]&lt;&gt;"Approved",[@DeviceFamilyMappingStatus]&lt;&gt;"Approved",[@DeviceTypeMappingStatus]&lt;&gt;"Approved"),"Manual Review Required","Approved Crosswalk Available")</f>
        <v/>
      </c>
      <c r="Q391" t="inlineStr">
        <is>
          <t>Pending Review</t>
        </is>
      </c>
    </row>
    <row r="392" ht="21.5" customHeight="1" s="42">
      <c r="A392" s="36" t="n"/>
      <c r="B392" s="35" t="n"/>
      <c r="C392" s="35" t="n"/>
      <c r="D392" s="35" t="n"/>
      <c r="E392" s="39" t="n"/>
      <c r="F392" s="39" t="n"/>
      <c r="G392" s="10" t="inlineStr">
        <is>
          <t>MOD000389</t>
        </is>
      </c>
      <c r="H392" s="14" t="inlineStr">
        <is>
          <t>MFG004</t>
        </is>
      </c>
      <c r="I392" s="14" t="inlineStr">
        <is>
          <t>DF040</t>
        </is>
      </c>
      <c r="J392" s="14">
        <f>XLOOKUP([@ManufacturerID],tblManufacturerIDCrosswalk[LegacyManufacturerID],tblManufacturerIDCrosswalk[CanonicalManufacturerID],"")</f>
        <v/>
      </c>
      <c r="K392" s="7">
        <f>XLOOKUP([@DeviceFamilyID],tblDeviceFamilyIDCrosswalk[LegacyDeviceFamilyID],tblDeviceFamilyIDCrosswalk[CanonicalDeviceFamilyID],"")</f>
        <v/>
      </c>
      <c r="L392" s="7">
        <f>XLOOKUP([@DeviceTypeID],tblDeviceTypeIDCrosswalk[LegacyDeviceTypeID],tblDeviceTypeIDCrosswalk[CanonicalDeviceTypeID],"")</f>
        <v/>
      </c>
      <c r="M392" s="14">
        <f>XLOOKUP([@ManufacturerID],tblManufacturerIDCrosswalk[LegacyManufacturerID],tblManufacturerIDCrosswalk[MappingStatus],"No Crosswalk")</f>
        <v/>
      </c>
      <c r="N392" s="35">
        <f>XLOOKUP([@DeviceFamilyID],tblDeviceFamilyIDCrosswalk[LegacyDeviceFamilyID],tblDeviceFamilyIDCrosswalk[MappingStatus],"No Crosswalk")</f>
        <v/>
      </c>
      <c r="O392" s="35">
        <f>XLOOKUP([@DeviceTypeID],tblDeviceTypeIDCrosswalk[LegacyDeviceTypeID],tblDeviceTypeIDCrosswalk[MappingStatus],"No Crosswalk")</f>
        <v/>
      </c>
      <c r="P392">
        <f>IF(OR([@ManufacturerMappingStatus]&lt;&gt;"Approved",[@DeviceFamilyMappingStatus]&lt;&gt;"Approved",[@DeviceTypeMappingStatus]&lt;&gt;"Approved"),"Manual Review Required","Approved Crosswalk Available")</f>
        <v/>
      </c>
      <c r="Q392" t="inlineStr">
        <is>
          <t>Pending Review</t>
        </is>
      </c>
    </row>
    <row r="393" ht="21.5" customHeight="1" s="42">
      <c r="A393" s="36" t="n"/>
      <c r="B393" s="35" t="n"/>
      <c r="C393" s="35" t="n"/>
      <c r="D393" s="35" t="n"/>
      <c r="E393" s="39" t="n"/>
      <c r="F393" s="39" t="n"/>
      <c r="G393" s="10" t="inlineStr">
        <is>
          <t>MOD000390</t>
        </is>
      </c>
      <c r="H393" s="14" t="inlineStr">
        <is>
          <t>MFG004</t>
        </is>
      </c>
      <c r="I393" s="14" t="inlineStr">
        <is>
          <t>DF040</t>
        </is>
      </c>
      <c r="J393" s="14">
        <f>XLOOKUP([@ManufacturerID],tblManufacturerIDCrosswalk[LegacyManufacturerID],tblManufacturerIDCrosswalk[CanonicalManufacturerID],"")</f>
        <v/>
      </c>
      <c r="K393" s="7">
        <f>XLOOKUP([@DeviceFamilyID],tblDeviceFamilyIDCrosswalk[LegacyDeviceFamilyID],tblDeviceFamilyIDCrosswalk[CanonicalDeviceFamilyID],"")</f>
        <v/>
      </c>
      <c r="L393" s="7">
        <f>XLOOKUP([@DeviceTypeID],tblDeviceTypeIDCrosswalk[LegacyDeviceTypeID],tblDeviceTypeIDCrosswalk[CanonicalDeviceTypeID],"")</f>
        <v/>
      </c>
      <c r="M393" s="14">
        <f>XLOOKUP([@ManufacturerID],tblManufacturerIDCrosswalk[LegacyManufacturerID],tblManufacturerIDCrosswalk[MappingStatus],"No Crosswalk")</f>
        <v/>
      </c>
      <c r="N393" s="35">
        <f>XLOOKUP([@DeviceFamilyID],tblDeviceFamilyIDCrosswalk[LegacyDeviceFamilyID],tblDeviceFamilyIDCrosswalk[MappingStatus],"No Crosswalk")</f>
        <v/>
      </c>
      <c r="O393" s="35">
        <f>XLOOKUP([@DeviceTypeID],tblDeviceTypeIDCrosswalk[LegacyDeviceTypeID],tblDeviceTypeIDCrosswalk[MappingStatus],"No Crosswalk")</f>
        <v/>
      </c>
      <c r="P393">
        <f>IF(OR([@ManufacturerMappingStatus]&lt;&gt;"Approved",[@DeviceFamilyMappingStatus]&lt;&gt;"Approved",[@DeviceTypeMappingStatus]&lt;&gt;"Approved"),"Manual Review Required","Approved Crosswalk Available")</f>
        <v/>
      </c>
      <c r="Q393" t="inlineStr">
        <is>
          <t>Pending Review</t>
        </is>
      </c>
    </row>
    <row r="394" ht="21.5" customHeight="1" s="42">
      <c r="A394" s="36" t="n"/>
      <c r="B394" s="35" t="n"/>
      <c r="C394" s="35" t="n"/>
      <c r="D394" s="35" t="n"/>
      <c r="E394" s="39" t="n"/>
      <c r="F394" s="39" t="n"/>
      <c r="G394" s="10" t="inlineStr">
        <is>
          <t>MOD000391</t>
        </is>
      </c>
      <c r="H394" s="14" t="inlineStr">
        <is>
          <t>MFG004</t>
        </is>
      </c>
      <c r="I394" s="14" t="inlineStr">
        <is>
          <t>DF040</t>
        </is>
      </c>
      <c r="J394" s="14">
        <f>XLOOKUP([@ManufacturerID],tblManufacturerIDCrosswalk[LegacyManufacturerID],tblManufacturerIDCrosswalk[CanonicalManufacturerID],"")</f>
        <v/>
      </c>
      <c r="K394" s="7">
        <f>XLOOKUP([@DeviceFamilyID],tblDeviceFamilyIDCrosswalk[LegacyDeviceFamilyID],tblDeviceFamilyIDCrosswalk[CanonicalDeviceFamilyID],"")</f>
        <v/>
      </c>
      <c r="L394" s="7">
        <f>XLOOKUP([@DeviceTypeID],tblDeviceTypeIDCrosswalk[LegacyDeviceTypeID],tblDeviceTypeIDCrosswalk[CanonicalDeviceTypeID],"")</f>
        <v/>
      </c>
      <c r="M394" s="14">
        <f>XLOOKUP([@ManufacturerID],tblManufacturerIDCrosswalk[LegacyManufacturerID],tblManufacturerIDCrosswalk[MappingStatus],"No Crosswalk")</f>
        <v/>
      </c>
      <c r="N394" s="35">
        <f>XLOOKUP([@DeviceFamilyID],tblDeviceFamilyIDCrosswalk[LegacyDeviceFamilyID],tblDeviceFamilyIDCrosswalk[MappingStatus],"No Crosswalk")</f>
        <v/>
      </c>
      <c r="O394" s="35">
        <f>XLOOKUP([@DeviceTypeID],tblDeviceTypeIDCrosswalk[LegacyDeviceTypeID],tblDeviceTypeIDCrosswalk[MappingStatus],"No Crosswalk")</f>
        <v/>
      </c>
      <c r="P394">
        <f>IF(OR([@ManufacturerMappingStatus]&lt;&gt;"Approved",[@DeviceFamilyMappingStatus]&lt;&gt;"Approved",[@DeviceTypeMappingStatus]&lt;&gt;"Approved"),"Manual Review Required","Approved Crosswalk Available")</f>
        <v/>
      </c>
      <c r="Q394" t="inlineStr">
        <is>
          <t>Pending Review</t>
        </is>
      </c>
    </row>
    <row r="395" ht="21.5" customHeight="1" s="42">
      <c r="A395" s="36" t="n"/>
      <c r="B395" s="35" t="n"/>
      <c r="C395" s="35" t="n"/>
      <c r="D395" s="35" t="n"/>
      <c r="E395" s="39" t="n"/>
      <c r="F395" s="39" t="n"/>
      <c r="G395" s="10" t="inlineStr">
        <is>
          <t>MOD000392</t>
        </is>
      </c>
      <c r="H395" s="14" t="inlineStr">
        <is>
          <t>MFG004</t>
        </is>
      </c>
      <c r="I395" s="14" t="inlineStr">
        <is>
          <t>DF040</t>
        </is>
      </c>
      <c r="J395" s="14">
        <f>XLOOKUP([@ManufacturerID],tblManufacturerIDCrosswalk[LegacyManufacturerID],tblManufacturerIDCrosswalk[CanonicalManufacturerID],"")</f>
        <v/>
      </c>
      <c r="K395" s="7">
        <f>XLOOKUP([@DeviceFamilyID],tblDeviceFamilyIDCrosswalk[LegacyDeviceFamilyID],tblDeviceFamilyIDCrosswalk[CanonicalDeviceFamilyID],"")</f>
        <v/>
      </c>
      <c r="L395" s="7">
        <f>XLOOKUP([@DeviceTypeID],tblDeviceTypeIDCrosswalk[LegacyDeviceTypeID],tblDeviceTypeIDCrosswalk[CanonicalDeviceTypeID],"")</f>
        <v/>
      </c>
      <c r="M395" s="14">
        <f>XLOOKUP([@ManufacturerID],tblManufacturerIDCrosswalk[LegacyManufacturerID],tblManufacturerIDCrosswalk[MappingStatus],"No Crosswalk")</f>
        <v/>
      </c>
      <c r="N395" s="35">
        <f>XLOOKUP([@DeviceFamilyID],tblDeviceFamilyIDCrosswalk[LegacyDeviceFamilyID],tblDeviceFamilyIDCrosswalk[MappingStatus],"No Crosswalk")</f>
        <v/>
      </c>
      <c r="O395" s="35">
        <f>XLOOKUP([@DeviceTypeID],tblDeviceTypeIDCrosswalk[LegacyDeviceTypeID],tblDeviceTypeIDCrosswalk[MappingStatus],"No Crosswalk")</f>
        <v/>
      </c>
      <c r="P395">
        <f>IF(OR([@ManufacturerMappingStatus]&lt;&gt;"Approved",[@DeviceFamilyMappingStatus]&lt;&gt;"Approved",[@DeviceTypeMappingStatus]&lt;&gt;"Approved"),"Manual Review Required","Approved Crosswalk Available")</f>
        <v/>
      </c>
      <c r="Q395" t="inlineStr">
        <is>
          <t>Pending Review</t>
        </is>
      </c>
    </row>
    <row r="396" ht="21.5" customHeight="1" s="42">
      <c r="A396" s="36" t="n"/>
      <c r="B396" s="35" t="n"/>
      <c r="C396" s="35" t="n"/>
      <c r="D396" s="35" t="n"/>
      <c r="E396" s="39" t="n"/>
      <c r="F396" s="39" t="n"/>
      <c r="G396" s="10" t="inlineStr">
        <is>
          <t>MOD000393</t>
        </is>
      </c>
      <c r="H396" s="14" t="inlineStr">
        <is>
          <t>MFG004</t>
        </is>
      </c>
      <c r="I396" s="14" t="inlineStr">
        <is>
          <t>DF040</t>
        </is>
      </c>
      <c r="J396" s="14">
        <f>XLOOKUP([@ManufacturerID],tblManufacturerIDCrosswalk[LegacyManufacturerID],tblManufacturerIDCrosswalk[CanonicalManufacturerID],"")</f>
        <v/>
      </c>
      <c r="K396" s="7">
        <f>XLOOKUP([@DeviceFamilyID],tblDeviceFamilyIDCrosswalk[LegacyDeviceFamilyID],tblDeviceFamilyIDCrosswalk[CanonicalDeviceFamilyID],"")</f>
        <v/>
      </c>
      <c r="L396" s="7">
        <f>XLOOKUP([@DeviceTypeID],tblDeviceTypeIDCrosswalk[LegacyDeviceTypeID],tblDeviceTypeIDCrosswalk[CanonicalDeviceTypeID],"")</f>
        <v/>
      </c>
      <c r="M396" s="14">
        <f>XLOOKUP([@ManufacturerID],tblManufacturerIDCrosswalk[LegacyManufacturerID],tblManufacturerIDCrosswalk[MappingStatus],"No Crosswalk")</f>
        <v/>
      </c>
      <c r="N396" s="35">
        <f>XLOOKUP([@DeviceFamilyID],tblDeviceFamilyIDCrosswalk[LegacyDeviceFamilyID],tblDeviceFamilyIDCrosswalk[MappingStatus],"No Crosswalk")</f>
        <v/>
      </c>
      <c r="O396" s="35">
        <f>XLOOKUP([@DeviceTypeID],tblDeviceTypeIDCrosswalk[LegacyDeviceTypeID],tblDeviceTypeIDCrosswalk[MappingStatus],"No Crosswalk")</f>
        <v/>
      </c>
      <c r="P396">
        <f>IF(OR([@ManufacturerMappingStatus]&lt;&gt;"Approved",[@DeviceFamilyMappingStatus]&lt;&gt;"Approved",[@DeviceTypeMappingStatus]&lt;&gt;"Approved"),"Manual Review Required","Approved Crosswalk Available")</f>
        <v/>
      </c>
      <c r="Q396" t="inlineStr">
        <is>
          <t>Pending Review</t>
        </is>
      </c>
    </row>
    <row r="397" ht="21.5" customHeight="1" s="42">
      <c r="A397" s="36" t="n"/>
      <c r="B397" s="35" t="n"/>
      <c r="C397" s="35" t="n"/>
      <c r="D397" s="35" t="n"/>
      <c r="E397" s="39" t="n"/>
      <c r="F397" s="39" t="n"/>
      <c r="G397" s="10" t="inlineStr">
        <is>
          <t>MOD000394</t>
        </is>
      </c>
      <c r="H397" s="14" t="inlineStr">
        <is>
          <t>MFG004</t>
        </is>
      </c>
      <c r="I397" s="14" t="inlineStr">
        <is>
          <t>DF040</t>
        </is>
      </c>
      <c r="J397" s="14">
        <f>XLOOKUP([@ManufacturerID],tblManufacturerIDCrosswalk[LegacyManufacturerID],tblManufacturerIDCrosswalk[CanonicalManufacturerID],"")</f>
        <v/>
      </c>
      <c r="K397" s="7">
        <f>XLOOKUP([@DeviceFamilyID],tblDeviceFamilyIDCrosswalk[LegacyDeviceFamilyID],tblDeviceFamilyIDCrosswalk[CanonicalDeviceFamilyID],"")</f>
        <v/>
      </c>
      <c r="L397" s="7">
        <f>XLOOKUP([@DeviceTypeID],tblDeviceTypeIDCrosswalk[LegacyDeviceTypeID],tblDeviceTypeIDCrosswalk[CanonicalDeviceTypeID],"")</f>
        <v/>
      </c>
      <c r="M397" s="14">
        <f>XLOOKUP([@ManufacturerID],tblManufacturerIDCrosswalk[LegacyManufacturerID],tblManufacturerIDCrosswalk[MappingStatus],"No Crosswalk")</f>
        <v/>
      </c>
      <c r="N397" s="35">
        <f>XLOOKUP([@DeviceFamilyID],tblDeviceFamilyIDCrosswalk[LegacyDeviceFamilyID],tblDeviceFamilyIDCrosswalk[MappingStatus],"No Crosswalk")</f>
        <v/>
      </c>
      <c r="O397" s="35">
        <f>XLOOKUP([@DeviceTypeID],tblDeviceTypeIDCrosswalk[LegacyDeviceTypeID],tblDeviceTypeIDCrosswalk[MappingStatus],"No Crosswalk")</f>
        <v/>
      </c>
      <c r="P397">
        <f>IF(OR([@ManufacturerMappingStatus]&lt;&gt;"Approved",[@DeviceFamilyMappingStatus]&lt;&gt;"Approved",[@DeviceTypeMappingStatus]&lt;&gt;"Approved"),"Manual Review Required","Approved Crosswalk Available")</f>
        <v/>
      </c>
      <c r="Q397" t="inlineStr">
        <is>
          <t>Pending Review</t>
        </is>
      </c>
    </row>
    <row r="398" ht="21.5" customHeight="1" s="42">
      <c r="A398" s="36" t="n"/>
      <c r="B398" s="35" t="n"/>
      <c r="C398" s="35" t="n"/>
      <c r="D398" s="35" t="n"/>
      <c r="E398" s="39" t="n"/>
      <c r="F398" s="39" t="n"/>
      <c r="G398" s="10" t="inlineStr">
        <is>
          <t>MOD000395</t>
        </is>
      </c>
      <c r="H398" s="14" t="inlineStr">
        <is>
          <t>MFG004</t>
        </is>
      </c>
      <c r="I398" s="14" t="inlineStr">
        <is>
          <t>DF040</t>
        </is>
      </c>
      <c r="J398" s="14">
        <f>XLOOKUP([@ManufacturerID],tblManufacturerIDCrosswalk[LegacyManufacturerID],tblManufacturerIDCrosswalk[CanonicalManufacturerID],"")</f>
        <v/>
      </c>
      <c r="K398" s="7">
        <f>XLOOKUP([@DeviceFamilyID],tblDeviceFamilyIDCrosswalk[LegacyDeviceFamilyID],tblDeviceFamilyIDCrosswalk[CanonicalDeviceFamilyID],"")</f>
        <v/>
      </c>
      <c r="L398" s="7">
        <f>XLOOKUP([@DeviceTypeID],tblDeviceTypeIDCrosswalk[LegacyDeviceTypeID],tblDeviceTypeIDCrosswalk[CanonicalDeviceTypeID],"")</f>
        <v/>
      </c>
      <c r="M398" s="14">
        <f>XLOOKUP([@ManufacturerID],tblManufacturerIDCrosswalk[LegacyManufacturerID],tblManufacturerIDCrosswalk[MappingStatus],"No Crosswalk")</f>
        <v/>
      </c>
      <c r="N398" s="35">
        <f>XLOOKUP([@DeviceFamilyID],tblDeviceFamilyIDCrosswalk[LegacyDeviceFamilyID],tblDeviceFamilyIDCrosswalk[MappingStatus],"No Crosswalk")</f>
        <v/>
      </c>
      <c r="O398" s="35">
        <f>XLOOKUP([@DeviceTypeID],tblDeviceTypeIDCrosswalk[LegacyDeviceTypeID],tblDeviceTypeIDCrosswalk[MappingStatus],"No Crosswalk")</f>
        <v/>
      </c>
      <c r="P398">
        <f>IF(OR([@ManufacturerMappingStatus]&lt;&gt;"Approved",[@DeviceFamilyMappingStatus]&lt;&gt;"Approved",[@DeviceTypeMappingStatus]&lt;&gt;"Approved"),"Manual Review Required","Approved Crosswalk Available")</f>
        <v/>
      </c>
      <c r="Q398" t="inlineStr">
        <is>
          <t>Pending Review</t>
        </is>
      </c>
    </row>
    <row r="399" ht="21.5" customHeight="1" s="42">
      <c r="A399" s="36" t="n"/>
      <c r="B399" s="35" t="n"/>
      <c r="C399" s="35" t="n"/>
      <c r="D399" s="35" t="n"/>
      <c r="E399" s="39" t="n"/>
      <c r="F399" s="39" t="n"/>
      <c r="G399" s="10" t="inlineStr">
        <is>
          <t>MOD000396</t>
        </is>
      </c>
      <c r="H399" s="14" t="inlineStr">
        <is>
          <t>MFG004</t>
        </is>
      </c>
      <c r="I399" s="14" t="inlineStr">
        <is>
          <t>DF040</t>
        </is>
      </c>
      <c r="J399" s="14">
        <f>XLOOKUP([@ManufacturerID],tblManufacturerIDCrosswalk[LegacyManufacturerID],tblManufacturerIDCrosswalk[CanonicalManufacturerID],"")</f>
        <v/>
      </c>
      <c r="K399" s="7">
        <f>XLOOKUP([@DeviceFamilyID],tblDeviceFamilyIDCrosswalk[LegacyDeviceFamilyID],tblDeviceFamilyIDCrosswalk[CanonicalDeviceFamilyID],"")</f>
        <v/>
      </c>
      <c r="L399" s="7">
        <f>XLOOKUP([@DeviceTypeID],tblDeviceTypeIDCrosswalk[LegacyDeviceTypeID],tblDeviceTypeIDCrosswalk[CanonicalDeviceTypeID],"")</f>
        <v/>
      </c>
      <c r="M399" s="14">
        <f>XLOOKUP([@ManufacturerID],tblManufacturerIDCrosswalk[LegacyManufacturerID],tblManufacturerIDCrosswalk[MappingStatus],"No Crosswalk")</f>
        <v/>
      </c>
      <c r="N399" s="35">
        <f>XLOOKUP([@DeviceFamilyID],tblDeviceFamilyIDCrosswalk[LegacyDeviceFamilyID],tblDeviceFamilyIDCrosswalk[MappingStatus],"No Crosswalk")</f>
        <v/>
      </c>
      <c r="O399" s="35">
        <f>XLOOKUP([@DeviceTypeID],tblDeviceTypeIDCrosswalk[LegacyDeviceTypeID],tblDeviceTypeIDCrosswalk[MappingStatus],"No Crosswalk")</f>
        <v/>
      </c>
      <c r="P399">
        <f>IF(OR([@ManufacturerMappingStatus]&lt;&gt;"Approved",[@DeviceFamilyMappingStatus]&lt;&gt;"Approved",[@DeviceTypeMappingStatus]&lt;&gt;"Approved"),"Manual Review Required","Approved Crosswalk Available")</f>
        <v/>
      </c>
      <c r="Q399" t="inlineStr">
        <is>
          <t>Pending Review</t>
        </is>
      </c>
    </row>
    <row r="400" ht="21.5" customHeight="1" s="42">
      <c r="A400" s="36" t="n"/>
      <c r="B400" s="35" t="n"/>
      <c r="C400" s="35" t="n"/>
      <c r="D400" s="35" t="n"/>
      <c r="E400" s="39" t="n"/>
      <c r="F400" s="39" t="n"/>
      <c r="G400" s="10" t="inlineStr">
        <is>
          <t>MOD000397</t>
        </is>
      </c>
      <c r="H400" s="14" t="inlineStr">
        <is>
          <t>MFG004</t>
        </is>
      </c>
      <c r="I400" s="14" t="inlineStr">
        <is>
          <t>DF041</t>
        </is>
      </c>
      <c r="J400" s="14">
        <f>XLOOKUP([@ManufacturerID],tblManufacturerIDCrosswalk[LegacyManufacturerID],tblManufacturerIDCrosswalk[CanonicalManufacturerID],"")</f>
        <v/>
      </c>
      <c r="K400" s="7">
        <f>XLOOKUP([@DeviceFamilyID],tblDeviceFamilyIDCrosswalk[LegacyDeviceFamilyID],tblDeviceFamilyIDCrosswalk[CanonicalDeviceFamilyID],"")</f>
        <v/>
      </c>
      <c r="L400" s="7">
        <f>XLOOKUP([@DeviceTypeID],tblDeviceTypeIDCrosswalk[LegacyDeviceTypeID],tblDeviceTypeIDCrosswalk[CanonicalDeviceTypeID],"")</f>
        <v/>
      </c>
      <c r="M400" s="14">
        <f>XLOOKUP([@ManufacturerID],tblManufacturerIDCrosswalk[LegacyManufacturerID],tblManufacturerIDCrosswalk[MappingStatus],"No Crosswalk")</f>
        <v/>
      </c>
      <c r="N400" s="35">
        <f>XLOOKUP([@DeviceFamilyID],tblDeviceFamilyIDCrosswalk[LegacyDeviceFamilyID],tblDeviceFamilyIDCrosswalk[MappingStatus],"No Crosswalk")</f>
        <v/>
      </c>
      <c r="O400" s="35">
        <f>XLOOKUP([@DeviceTypeID],tblDeviceTypeIDCrosswalk[LegacyDeviceTypeID],tblDeviceTypeIDCrosswalk[MappingStatus],"No Crosswalk")</f>
        <v/>
      </c>
      <c r="P400">
        <f>IF(OR([@ManufacturerMappingStatus]&lt;&gt;"Approved",[@DeviceFamilyMappingStatus]&lt;&gt;"Approved",[@DeviceTypeMappingStatus]&lt;&gt;"Approved"),"Manual Review Required","Approved Crosswalk Available")</f>
        <v/>
      </c>
      <c r="Q400" t="inlineStr">
        <is>
          <t>Pending Review</t>
        </is>
      </c>
    </row>
    <row r="401" ht="21.5" customHeight="1" s="42">
      <c r="A401" s="36" t="n"/>
      <c r="B401" s="35" t="n"/>
      <c r="C401" s="35" t="n"/>
      <c r="D401" s="35" t="n"/>
      <c r="E401" s="39" t="n"/>
      <c r="F401" s="39" t="n"/>
      <c r="G401" s="10" t="inlineStr">
        <is>
          <t>MOD000398</t>
        </is>
      </c>
      <c r="H401" s="14" t="inlineStr">
        <is>
          <t>MFG004</t>
        </is>
      </c>
      <c r="I401" s="14" t="inlineStr">
        <is>
          <t>DF041</t>
        </is>
      </c>
      <c r="J401" s="14">
        <f>XLOOKUP([@ManufacturerID],tblManufacturerIDCrosswalk[LegacyManufacturerID],tblManufacturerIDCrosswalk[CanonicalManufacturerID],"")</f>
        <v/>
      </c>
      <c r="K401" s="7">
        <f>XLOOKUP([@DeviceFamilyID],tblDeviceFamilyIDCrosswalk[LegacyDeviceFamilyID],tblDeviceFamilyIDCrosswalk[CanonicalDeviceFamilyID],"")</f>
        <v/>
      </c>
      <c r="L401" s="7">
        <f>XLOOKUP([@DeviceTypeID],tblDeviceTypeIDCrosswalk[LegacyDeviceTypeID],tblDeviceTypeIDCrosswalk[CanonicalDeviceTypeID],"")</f>
        <v/>
      </c>
      <c r="M401" s="14">
        <f>XLOOKUP([@ManufacturerID],tblManufacturerIDCrosswalk[LegacyManufacturerID],tblManufacturerIDCrosswalk[MappingStatus],"No Crosswalk")</f>
        <v/>
      </c>
      <c r="N401" s="35">
        <f>XLOOKUP([@DeviceFamilyID],tblDeviceFamilyIDCrosswalk[LegacyDeviceFamilyID],tblDeviceFamilyIDCrosswalk[MappingStatus],"No Crosswalk")</f>
        <v/>
      </c>
      <c r="O401" s="35">
        <f>XLOOKUP([@DeviceTypeID],tblDeviceTypeIDCrosswalk[LegacyDeviceTypeID],tblDeviceTypeIDCrosswalk[MappingStatus],"No Crosswalk")</f>
        <v/>
      </c>
      <c r="P401">
        <f>IF(OR([@ManufacturerMappingStatus]&lt;&gt;"Approved",[@DeviceFamilyMappingStatus]&lt;&gt;"Approved",[@DeviceTypeMappingStatus]&lt;&gt;"Approved"),"Manual Review Required","Approved Crosswalk Available")</f>
        <v/>
      </c>
      <c r="Q401" t="inlineStr">
        <is>
          <t>Pending Review</t>
        </is>
      </c>
    </row>
    <row r="402" ht="21.5" customHeight="1" s="42">
      <c r="A402" s="36" t="n"/>
      <c r="B402" s="35" t="n"/>
      <c r="C402" s="35" t="n"/>
      <c r="D402" s="35" t="n"/>
      <c r="E402" s="39" t="n"/>
      <c r="F402" s="39" t="n"/>
      <c r="G402" s="10" t="inlineStr">
        <is>
          <t>MOD000399</t>
        </is>
      </c>
      <c r="H402" s="14" t="inlineStr">
        <is>
          <t>MFG004</t>
        </is>
      </c>
      <c r="I402" s="14" t="inlineStr">
        <is>
          <t>DF042</t>
        </is>
      </c>
      <c r="J402" s="14">
        <f>XLOOKUP([@ManufacturerID],tblManufacturerIDCrosswalk[LegacyManufacturerID],tblManufacturerIDCrosswalk[CanonicalManufacturerID],"")</f>
        <v/>
      </c>
      <c r="K402" s="7">
        <f>XLOOKUP([@DeviceFamilyID],tblDeviceFamilyIDCrosswalk[LegacyDeviceFamilyID],tblDeviceFamilyIDCrosswalk[CanonicalDeviceFamilyID],"")</f>
        <v/>
      </c>
      <c r="L402" s="7">
        <f>XLOOKUP([@DeviceTypeID],tblDeviceTypeIDCrosswalk[LegacyDeviceTypeID],tblDeviceTypeIDCrosswalk[CanonicalDeviceTypeID],"")</f>
        <v/>
      </c>
      <c r="M402" s="14">
        <f>XLOOKUP([@ManufacturerID],tblManufacturerIDCrosswalk[LegacyManufacturerID],tblManufacturerIDCrosswalk[MappingStatus],"No Crosswalk")</f>
        <v/>
      </c>
      <c r="N402" s="35">
        <f>XLOOKUP([@DeviceFamilyID],tblDeviceFamilyIDCrosswalk[LegacyDeviceFamilyID],tblDeviceFamilyIDCrosswalk[MappingStatus],"No Crosswalk")</f>
        <v/>
      </c>
      <c r="O402" s="35">
        <f>XLOOKUP([@DeviceTypeID],tblDeviceTypeIDCrosswalk[LegacyDeviceTypeID],tblDeviceTypeIDCrosswalk[MappingStatus],"No Crosswalk")</f>
        <v/>
      </c>
      <c r="P402">
        <f>IF(OR([@ManufacturerMappingStatus]&lt;&gt;"Approved",[@DeviceFamilyMappingStatus]&lt;&gt;"Approved",[@DeviceTypeMappingStatus]&lt;&gt;"Approved"),"Manual Review Required","Approved Crosswalk Available")</f>
        <v/>
      </c>
      <c r="Q402" t="inlineStr">
        <is>
          <t>Pending Review</t>
        </is>
      </c>
    </row>
    <row r="403" ht="21.5" customHeight="1" s="42">
      <c r="A403" s="36" t="n"/>
      <c r="B403" s="35" t="n"/>
      <c r="C403" s="35" t="n"/>
      <c r="D403" s="35" t="n"/>
      <c r="E403" s="39" t="n"/>
      <c r="F403" s="39" t="n"/>
      <c r="G403" s="10" t="inlineStr">
        <is>
          <t>MOD000400</t>
        </is>
      </c>
      <c r="H403" s="14" t="inlineStr">
        <is>
          <t>MFG004</t>
        </is>
      </c>
      <c r="I403" s="14" t="inlineStr">
        <is>
          <t>DF043</t>
        </is>
      </c>
      <c r="J403" s="14">
        <f>XLOOKUP([@ManufacturerID],tblManufacturerIDCrosswalk[LegacyManufacturerID],tblManufacturerIDCrosswalk[CanonicalManufacturerID],"")</f>
        <v/>
      </c>
      <c r="K403" s="7">
        <f>XLOOKUP([@DeviceFamilyID],tblDeviceFamilyIDCrosswalk[LegacyDeviceFamilyID],tblDeviceFamilyIDCrosswalk[CanonicalDeviceFamilyID],"")</f>
        <v/>
      </c>
      <c r="L403" s="7">
        <f>XLOOKUP([@DeviceTypeID],tblDeviceTypeIDCrosswalk[LegacyDeviceTypeID],tblDeviceTypeIDCrosswalk[CanonicalDeviceTypeID],"")</f>
        <v/>
      </c>
      <c r="M403" s="14">
        <f>XLOOKUP([@ManufacturerID],tblManufacturerIDCrosswalk[LegacyManufacturerID],tblManufacturerIDCrosswalk[MappingStatus],"No Crosswalk")</f>
        <v/>
      </c>
      <c r="N403" s="35">
        <f>XLOOKUP([@DeviceFamilyID],tblDeviceFamilyIDCrosswalk[LegacyDeviceFamilyID],tblDeviceFamilyIDCrosswalk[MappingStatus],"No Crosswalk")</f>
        <v/>
      </c>
      <c r="O403" s="35">
        <f>XLOOKUP([@DeviceTypeID],tblDeviceTypeIDCrosswalk[LegacyDeviceTypeID],tblDeviceTypeIDCrosswalk[MappingStatus],"No Crosswalk")</f>
        <v/>
      </c>
      <c r="P403">
        <f>IF(OR([@ManufacturerMappingStatus]&lt;&gt;"Approved",[@DeviceFamilyMappingStatus]&lt;&gt;"Approved",[@DeviceTypeMappingStatus]&lt;&gt;"Approved"),"Manual Review Required","Approved Crosswalk Available")</f>
        <v/>
      </c>
      <c r="Q403" t="inlineStr">
        <is>
          <t>Pending Review</t>
        </is>
      </c>
    </row>
    <row r="404" ht="21.5" customHeight="1" s="42">
      <c r="A404" s="36" t="n"/>
      <c r="B404" s="35" t="n"/>
      <c r="C404" s="35" t="n"/>
      <c r="D404" s="35" t="n"/>
      <c r="E404" s="39" t="n"/>
      <c r="F404" s="39" t="n"/>
      <c r="G404" s="10" t="inlineStr">
        <is>
          <t>MOD000401</t>
        </is>
      </c>
      <c r="H404" s="14" t="inlineStr">
        <is>
          <t>MFG004</t>
        </is>
      </c>
      <c r="I404" s="14" t="inlineStr">
        <is>
          <t>DF043</t>
        </is>
      </c>
      <c r="J404" s="14">
        <f>XLOOKUP([@ManufacturerID],tblManufacturerIDCrosswalk[LegacyManufacturerID],tblManufacturerIDCrosswalk[CanonicalManufacturerID],"")</f>
        <v/>
      </c>
      <c r="K404" s="7">
        <f>XLOOKUP([@DeviceFamilyID],tblDeviceFamilyIDCrosswalk[LegacyDeviceFamilyID],tblDeviceFamilyIDCrosswalk[CanonicalDeviceFamilyID],"")</f>
        <v/>
      </c>
      <c r="L404" s="7">
        <f>XLOOKUP([@DeviceTypeID],tblDeviceTypeIDCrosswalk[LegacyDeviceTypeID],tblDeviceTypeIDCrosswalk[CanonicalDeviceTypeID],"")</f>
        <v/>
      </c>
      <c r="M404" s="14">
        <f>XLOOKUP([@ManufacturerID],tblManufacturerIDCrosswalk[LegacyManufacturerID],tblManufacturerIDCrosswalk[MappingStatus],"No Crosswalk")</f>
        <v/>
      </c>
      <c r="N404" s="35">
        <f>XLOOKUP([@DeviceFamilyID],tblDeviceFamilyIDCrosswalk[LegacyDeviceFamilyID],tblDeviceFamilyIDCrosswalk[MappingStatus],"No Crosswalk")</f>
        <v/>
      </c>
      <c r="O404" s="35">
        <f>XLOOKUP([@DeviceTypeID],tblDeviceTypeIDCrosswalk[LegacyDeviceTypeID],tblDeviceTypeIDCrosswalk[MappingStatus],"No Crosswalk")</f>
        <v/>
      </c>
      <c r="P404">
        <f>IF(OR([@ManufacturerMappingStatus]&lt;&gt;"Approved",[@DeviceFamilyMappingStatus]&lt;&gt;"Approved",[@DeviceTypeMappingStatus]&lt;&gt;"Approved"),"Manual Review Required","Approved Crosswalk Available")</f>
        <v/>
      </c>
      <c r="Q404" t="inlineStr">
        <is>
          <t>Pending Review</t>
        </is>
      </c>
    </row>
    <row r="405" ht="21.5" customHeight="1" s="42">
      <c r="A405" s="36" t="n"/>
      <c r="B405" s="35" t="n"/>
      <c r="C405" s="35" t="n"/>
      <c r="D405" s="35" t="n"/>
      <c r="E405" s="39" t="n"/>
      <c r="F405" s="39" t="n"/>
      <c r="G405" s="10" t="inlineStr">
        <is>
          <t>MOD000402</t>
        </is>
      </c>
      <c r="H405" s="14" t="inlineStr">
        <is>
          <t>MFG004</t>
        </is>
      </c>
      <c r="I405" s="14" t="inlineStr">
        <is>
          <t>DF044</t>
        </is>
      </c>
      <c r="J405" s="14">
        <f>XLOOKUP([@ManufacturerID],tblManufacturerIDCrosswalk[LegacyManufacturerID],tblManufacturerIDCrosswalk[CanonicalManufacturerID],"")</f>
        <v/>
      </c>
      <c r="K405" s="7">
        <f>XLOOKUP([@DeviceFamilyID],tblDeviceFamilyIDCrosswalk[LegacyDeviceFamilyID],tblDeviceFamilyIDCrosswalk[CanonicalDeviceFamilyID],"")</f>
        <v/>
      </c>
      <c r="L405" s="7">
        <f>XLOOKUP([@DeviceTypeID],tblDeviceTypeIDCrosswalk[LegacyDeviceTypeID],tblDeviceTypeIDCrosswalk[CanonicalDeviceTypeID],"")</f>
        <v/>
      </c>
      <c r="M405" s="14">
        <f>XLOOKUP([@ManufacturerID],tblManufacturerIDCrosswalk[LegacyManufacturerID],tblManufacturerIDCrosswalk[MappingStatus],"No Crosswalk")</f>
        <v/>
      </c>
      <c r="N405" s="35">
        <f>XLOOKUP([@DeviceFamilyID],tblDeviceFamilyIDCrosswalk[LegacyDeviceFamilyID],tblDeviceFamilyIDCrosswalk[MappingStatus],"No Crosswalk")</f>
        <v/>
      </c>
      <c r="O405" s="35">
        <f>XLOOKUP([@DeviceTypeID],tblDeviceTypeIDCrosswalk[LegacyDeviceTypeID],tblDeviceTypeIDCrosswalk[MappingStatus],"No Crosswalk")</f>
        <v/>
      </c>
      <c r="P405">
        <f>IF(OR([@ManufacturerMappingStatus]&lt;&gt;"Approved",[@DeviceFamilyMappingStatus]&lt;&gt;"Approved",[@DeviceTypeMappingStatus]&lt;&gt;"Approved"),"Manual Review Required","Approved Crosswalk Available")</f>
        <v/>
      </c>
      <c r="Q405" t="inlineStr">
        <is>
          <t>Pending Review</t>
        </is>
      </c>
    </row>
    <row r="406" ht="21.5" customHeight="1" s="42">
      <c r="A406" s="36" t="n"/>
      <c r="B406" s="35" t="n"/>
      <c r="C406" s="35" t="n"/>
      <c r="D406" s="35" t="n"/>
      <c r="E406" s="39" t="n"/>
      <c r="F406" s="39" t="n"/>
      <c r="G406" s="10" t="inlineStr">
        <is>
          <t>MOD000403</t>
        </is>
      </c>
      <c r="H406" s="14" t="inlineStr">
        <is>
          <t>MFG004</t>
        </is>
      </c>
      <c r="I406" s="14" t="inlineStr">
        <is>
          <t>DF044</t>
        </is>
      </c>
      <c r="J406" s="14">
        <f>XLOOKUP([@ManufacturerID],tblManufacturerIDCrosswalk[LegacyManufacturerID],tblManufacturerIDCrosswalk[CanonicalManufacturerID],"")</f>
        <v/>
      </c>
      <c r="K406" s="7">
        <f>XLOOKUP([@DeviceFamilyID],tblDeviceFamilyIDCrosswalk[LegacyDeviceFamilyID],tblDeviceFamilyIDCrosswalk[CanonicalDeviceFamilyID],"")</f>
        <v/>
      </c>
      <c r="L406" s="7">
        <f>XLOOKUP([@DeviceTypeID],tblDeviceTypeIDCrosswalk[LegacyDeviceTypeID],tblDeviceTypeIDCrosswalk[CanonicalDeviceTypeID],"")</f>
        <v/>
      </c>
      <c r="M406" s="14">
        <f>XLOOKUP([@ManufacturerID],tblManufacturerIDCrosswalk[LegacyManufacturerID],tblManufacturerIDCrosswalk[MappingStatus],"No Crosswalk")</f>
        <v/>
      </c>
      <c r="N406" s="35">
        <f>XLOOKUP([@DeviceFamilyID],tblDeviceFamilyIDCrosswalk[LegacyDeviceFamilyID],tblDeviceFamilyIDCrosswalk[MappingStatus],"No Crosswalk")</f>
        <v/>
      </c>
      <c r="O406" s="35">
        <f>XLOOKUP([@DeviceTypeID],tblDeviceTypeIDCrosswalk[LegacyDeviceTypeID],tblDeviceTypeIDCrosswalk[MappingStatus],"No Crosswalk")</f>
        <v/>
      </c>
      <c r="P406">
        <f>IF(OR([@ManufacturerMappingStatus]&lt;&gt;"Approved",[@DeviceFamilyMappingStatus]&lt;&gt;"Approved",[@DeviceTypeMappingStatus]&lt;&gt;"Approved"),"Manual Review Required","Approved Crosswalk Available")</f>
        <v/>
      </c>
      <c r="Q406" t="inlineStr">
        <is>
          <t>Pending Review</t>
        </is>
      </c>
    </row>
    <row r="407" ht="21.5" customHeight="1" s="42">
      <c r="A407" s="36" t="n"/>
      <c r="B407" s="35" t="n"/>
      <c r="C407" s="35" t="n"/>
      <c r="D407" s="35" t="n"/>
      <c r="E407" s="39" t="n"/>
      <c r="F407" s="39" t="n"/>
      <c r="G407" s="10" t="inlineStr">
        <is>
          <t>MOD000404</t>
        </is>
      </c>
      <c r="H407" s="14" t="inlineStr">
        <is>
          <t>MFG004</t>
        </is>
      </c>
      <c r="I407" s="14" t="inlineStr">
        <is>
          <t>DF040</t>
        </is>
      </c>
      <c r="J407" s="14">
        <f>XLOOKUP([@ManufacturerID],tblManufacturerIDCrosswalk[LegacyManufacturerID],tblManufacturerIDCrosswalk[CanonicalManufacturerID],"")</f>
        <v/>
      </c>
      <c r="K407" s="7">
        <f>XLOOKUP([@DeviceFamilyID],tblDeviceFamilyIDCrosswalk[LegacyDeviceFamilyID],tblDeviceFamilyIDCrosswalk[CanonicalDeviceFamilyID],"")</f>
        <v/>
      </c>
      <c r="L407" s="7">
        <f>XLOOKUP([@DeviceTypeID],tblDeviceTypeIDCrosswalk[LegacyDeviceTypeID],tblDeviceTypeIDCrosswalk[CanonicalDeviceTypeID],"")</f>
        <v/>
      </c>
      <c r="M407" s="14">
        <f>XLOOKUP([@ManufacturerID],tblManufacturerIDCrosswalk[LegacyManufacturerID],tblManufacturerIDCrosswalk[MappingStatus],"No Crosswalk")</f>
        <v/>
      </c>
      <c r="N407" s="35">
        <f>XLOOKUP([@DeviceFamilyID],tblDeviceFamilyIDCrosswalk[LegacyDeviceFamilyID],tblDeviceFamilyIDCrosswalk[MappingStatus],"No Crosswalk")</f>
        <v/>
      </c>
      <c r="O407" s="35">
        <f>XLOOKUP([@DeviceTypeID],tblDeviceTypeIDCrosswalk[LegacyDeviceTypeID],tblDeviceTypeIDCrosswalk[MappingStatus],"No Crosswalk")</f>
        <v/>
      </c>
      <c r="P407">
        <f>IF(OR([@ManufacturerMappingStatus]&lt;&gt;"Approved",[@DeviceFamilyMappingStatus]&lt;&gt;"Approved",[@DeviceTypeMappingStatus]&lt;&gt;"Approved"),"Manual Review Required","Approved Crosswalk Available")</f>
        <v/>
      </c>
      <c r="Q407" t="inlineStr">
        <is>
          <t>Pending Review</t>
        </is>
      </c>
    </row>
    <row r="408" ht="21.5" customHeight="1" s="42">
      <c r="A408" s="36" t="n"/>
      <c r="B408" s="35" t="n"/>
      <c r="C408" s="35" t="n"/>
      <c r="D408" s="35" t="n"/>
      <c r="E408" s="39" t="n"/>
      <c r="F408" s="39" t="n"/>
      <c r="G408" s="10" t="inlineStr">
        <is>
          <t>MOD000405</t>
        </is>
      </c>
      <c r="H408" s="14" t="inlineStr">
        <is>
          <t>MFG004</t>
        </is>
      </c>
      <c r="I408" s="14" t="inlineStr">
        <is>
          <t>DF040</t>
        </is>
      </c>
      <c r="J408" s="14">
        <f>XLOOKUP([@ManufacturerID],tblManufacturerIDCrosswalk[LegacyManufacturerID],tblManufacturerIDCrosswalk[CanonicalManufacturerID],"")</f>
        <v/>
      </c>
      <c r="K408" s="7">
        <f>XLOOKUP([@DeviceFamilyID],tblDeviceFamilyIDCrosswalk[LegacyDeviceFamilyID],tblDeviceFamilyIDCrosswalk[CanonicalDeviceFamilyID],"")</f>
        <v/>
      </c>
      <c r="L408" s="7">
        <f>XLOOKUP([@DeviceTypeID],tblDeviceTypeIDCrosswalk[LegacyDeviceTypeID],tblDeviceTypeIDCrosswalk[CanonicalDeviceTypeID],"")</f>
        <v/>
      </c>
      <c r="M408" s="14">
        <f>XLOOKUP([@ManufacturerID],tblManufacturerIDCrosswalk[LegacyManufacturerID],tblManufacturerIDCrosswalk[MappingStatus],"No Crosswalk")</f>
        <v/>
      </c>
      <c r="N408" s="35">
        <f>XLOOKUP([@DeviceFamilyID],tblDeviceFamilyIDCrosswalk[LegacyDeviceFamilyID],tblDeviceFamilyIDCrosswalk[MappingStatus],"No Crosswalk")</f>
        <v/>
      </c>
      <c r="O408" s="35">
        <f>XLOOKUP([@DeviceTypeID],tblDeviceTypeIDCrosswalk[LegacyDeviceTypeID],tblDeviceTypeIDCrosswalk[MappingStatus],"No Crosswalk")</f>
        <v/>
      </c>
      <c r="P408">
        <f>IF(OR([@ManufacturerMappingStatus]&lt;&gt;"Approved",[@DeviceFamilyMappingStatus]&lt;&gt;"Approved",[@DeviceTypeMappingStatus]&lt;&gt;"Approved"),"Manual Review Required","Approved Crosswalk Available")</f>
        <v/>
      </c>
      <c r="Q408" t="inlineStr">
        <is>
          <t>Pending Review</t>
        </is>
      </c>
    </row>
    <row r="409" ht="21.5" customHeight="1" s="42">
      <c r="A409" s="36" t="n"/>
      <c r="B409" s="35" t="n"/>
      <c r="C409" s="35" t="n"/>
      <c r="D409" s="35" t="n"/>
      <c r="E409" s="39" t="n"/>
      <c r="F409" s="39" t="n"/>
      <c r="G409" s="10" t="inlineStr">
        <is>
          <t>MOD000406</t>
        </is>
      </c>
      <c r="H409" s="14" t="inlineStr">
        <is>
          <t>MFG004</t>
        </is>
      </c>
      <c r="I409" s="14" t="inlineStr">
        <is>
          <t>DF040</t>
        </is>
      </c>
      <c r="J409" s="14">
        <f>XLOOKUP([@ManufacturerID],tblManufacturerIDCrosswalk[LegacyManufacturerID],tblManufacturerIDCrosswalk[CanonicalManufacturerID],"")</f>
        <v/>
      </c>
      <c r="K409" s="7">
        <f>XLOOKUP([@DeviceFamilyID],tblDeviceFamilyIDCrosswalk[LegacyDeviceFamilyID],tblDeviceFamilyIDCrosswalk[CanonicalDeviceFamilyID],"")</f>
        <v/>
      </c>
      <c r="L409" s="7">
        <f>XLOOKUP([@DeviceTypeID],tblDeviceTypeIDCrosswalk[LegacyDeviceTypeID],tblDeviceTypeIDCrosswalk[CanonicalDeviceTypeID],"")</f>
        <v/>
      </c>
      <c r="M409" s="14">
        <f>XLOOKUP([@ManufacturerID],tblManufacturerIDCrosswalk[LegacyManufacturerID],tblManufacturerIDCrosswalk[MappingStatus],"No Crosswalk")</f>
        <v/>
      </c>
      <c r="N409" s="35">
        <f>XLOOKUP([@DeviceFamilyID],tblDeviceFamilyIDCrosswalk[LegacyDeviceFamilyID],tblDeviceFamilyIDCrosswalk[MappingStatus],"No Crosswalk")</f>
        <v/>
      </c>
      <c r="O409" s="35">
        <f>XLOOKUP([@DeviceTypeID],tblDeviceTypeIDCrosswalk[LegacyDeviceTypeID],tblDeviceTypeIDCrosswalk[MappingStatus],"No Crosswalk")</f>
        <v/>
      </c>
      <c r="P409">
        <f>IF(OR([@ManufacturerMappingStatus]&lt;&gt;"Approved",[@DeviceFamilyMappingStatus]&lt;&gt;"Approved",[@DeviceTypeMappingStatus]&lt;&gt;"Approved"),"Manual Review Required","Approved Crosswalk Available")</f>
        <v/>
      </c>
      <c r="Q409" t="inlineStr">
        <is>
          <t>Pending Review</t>
        </is>
      </c>
    </row>
    <row r="410" ht="21.5" customHeight="1" s="42">
      <c r="A410" s="36" t="n"/>
      <c r="B410" s="35" t="n"/>
      <c r="C410" s="35" t="n"/>
      <c r="D410" s="35" t="n"/>
      <c r="E410" s="39" t="n"/>
      <c r="F410" s="39" t="n"/>
      <c r="G410" s="10" t="inlineStr">
        <is>
          <t>MOD000407</t>
        </is>
      </c>
      <c r="H410" s="14" t="inlineStr">
        <is>
          <t>MFG004</t>
        </is>
      </c>
      <c r="I410" s="14" t="inlineStr">
        <is>
          <t>DF043</t>
        </is>
      </c>
      <c r="J410" s="14">
        <f>XLOOKUP([@ManufacturerID],tblManufacturerIDCrosswalk[LegacyManufacturerID],tblManufacturerIDCrosswalk[CanonicalManufacturerID],"")</f>
        <v/>
      </c>
      <c r="K410" s="7">
        <f>XLOOKUP([@DeviceFamilyID],tblDeviceFamilyIDCrosswalk[LegacyDeviceFamilyID],tblDeviceFamilyIDCrosswalk[CanonicalDeviceFamilyID],"")</f>
        <v/>
      </c>
      <c r="L410" s="7">
        <f>XLOOKUP([@DeviceTypeID],tblDeviceTypeIDCrosswalk[LegacyDeviceTypeID],tblDeviceTypeIDCrosswalk[CanonicalDeviceTypeID],"")</f>
        <v/>
      </c>
      <c r="M410" s="14">
        <f>XLOOKUP([@ManufacturerID],tblManufacturerIDCrosswalk[LegacyManufacturerID],tblManufacturerIDCrosswalk[MappingStatus],"No Crosswalk")</f>
        <v/>
      </c>
      <c r="N410" s="35">
        <f>XLOOKUP([@DeviceFamilyID],tblDeviceFamilyIDCrosswalk[LegacyDeviceFamilyID],tblDeviceFamilyIDCrosswalk[MappingStatus],"No Crosswalk")</f>
        <v/>
      </c>
      <c r="O410" s="35">
        <f>XLOOKUP([@DeviceTypeID],tblDeviceTypeIDCrosswalk[LegacyDeviceTypeID],tblDeviceTypeIDCrosswalk[MappingStatus],"No Crosswalk")</f>
        <v/>
      </c>
      <c r="P410">
        <f>IF(OR([@ManufacturerMappingStatus]&lt;&gt;"Approved",[@DeviceFamilyMappingStatus]&lt;&gt;"Approved",[@DeviceTypeMappingStatus]&lt;&gt;"Approved"),"Manual Review Required","Approved Crosswalk Available")</f>
        <v/>
      </c>
      <c r="Q410" t="inlineStr">
        <is>
          <t>Pending Review</t>
        </is>
      </c>
    </row>
    <row r="411" ht="21.5" customHeight="1" s="42">
      <c r="A411" s="36" t="n"/>
      <c r="B411" s="35" t="n"/>
      <c r="C411" s="35" t="n"/>
      <c r="D411" s="35" t="n"/>
      <c r="E411" s="39" t="n"/>
      <c r="F411" s="39" t="n"/>
      <c r="G411" s="10" t="inlineStr">
        <is>
          <t>MOD000408</t>
        </is>
      </c>
      <c r="H411" s="14" t="inlineStr">
        <is>
          <t>MFG004</t>
        </is>
      </c>
      <c r="I411" s="14" t="inlineStr">
        <is>
          <t>DF043</t>
        </is>
      </c>
      <c r="J411" s="14">
        <f>XLOOKUP([@ManufacturerID],tblManufacturerIDCrosswalk[LegacyManufacturerID],tblManufacturerIDCrosswalk[CanonicalManufacturerID],"")</f>
        <v/>
      </c>
      <c r="K411" s="7">
        <f>XLOOKUP([@DeviceFamilyID],tblDeviceFamilyIDCrosswalk[LegacyDeviceFamilyID],tblDeviceFamilyIDCrosswalk[CanonicalDeviceFamilyID],"")</f>
        <v/>
      </c>
      <c r="L411" s="7">
        <f>XLOOKUP([@DeviceTypeID],tblDeviceTypeIDCrosswalk[LegacyDeviceTypeID],tblDeviceTypeIDCrosswalk[CanonicalDeviceTypeID],"")</f>
        <v/>
      </c>
      <c r="M411" s="14">
        <f>XLOOKUP([@ManufacturerID],tblManufacturerIDCrosswalk[LegacyManufacturerID],tblManufacturerIDCrosswalk[MappingStatus],"No Crosswalk")</f>
        <v/>
      </c>
      <c r="N411" s="35">
        <f>XLOOKUP([@DeviceFamilyID],tblDeviceFamilyIDCrosswalk[LegacyDeviceFamilyID],tblDeviceFamilyIDCrosswalk[MappingStatus],"No Crosswalk")</f>
        <v/>
      </c>
      <c r="O411" s="35">
        <f>XLOOKUP([@DeviceTypeID],tblDeviceTypeIDCrosswalk[LegacyDeviceTypeID],tblDeviceTypeIDCrosswalk[MappingStatus],"No Crosswalk")</f>
        <v/>
      </c>
      <c r="P411">
        <f>IF(OR([@ManufacturerMappingStatus]&lt;&gt;"Approved",[@DeviceFamilyMappingStatus]&lt;&gt;"Approved",[@DeviceTypeMappingStatus]&lt;&gt;"Approved"),"Manual Review Required","Approved Crosswalk Available")</f>
        <v/>
      </c>
      <c r="Q411" t="inlineStr">
        <is>
          <t>Pending Review</t>
        </is>
      </c>
    </row>
    <row r="412" ht="21.5" customHeight="1" s="42">
      <c r="A412" s="36" t="n"/>
      <c r="B412" s="35" t="n"/>
      <c r="C412" s="35" t="n"/>
      <c r="D412" s="35" t="n"/>
      <c r="E412" s="39" t="n"/>
      <c r="F412" s="39" t="n"/>
      <c r="G412" s="10" t="inlineStr">
        <is>
          <t>MOD000409</t>
        </is>
      </c>
      <c r="H412" s="14" t="inlineStr">
        <is>
          <t>MFG004</t>
        </is>
      </c>
      <c r="I412" s="14" t="inlineStr">
        <is>
          <t>DF043</t>
        </is>
      </c>
      <c r="J412" s="14">
        <f>XLOOKUP([@ManufacturerID],tblManufacturerIDCrosswalk[LegacyManufacturerID],tblManufacturerIDCrosswalk[CanonicalManufacturerID],"")</f>
        <v/>
      </c>
      <c r="K412" s="7">
        <f>XLOOKUP([@DeviceFamilyID],tblDeviceFamilyIDCrosswalk[LegacyDeviceFamilyID],tblDeviceFamilyIDCrosswalk[CanonicalDeviceFamilyID],"")</f>
        <v/>
      </c>
      <c r="L412" s="7">
        <f>XLOOKUP([@DeviceTypeID],tblDeviceTypeIDCrosswalk[LegacyDeviceTypeID],tblDeviceTypeIDCrosswalk[CanonicalDeviceTypeID],"")</f>
        <v/>
      </c>
      <c r="M412" s="14">
        <f>XLOOKUP([@ManufacturerID],tblManufacturerIDCrosswalk[LegacyManufacturerID],tblManufacturerIDCrosswalk[MappingStatus],"No Crosswalk")</f>
        <v/>
      </c>
      <c r="N412" s="35">
        <f>XLOOKUP([@DeviceFamilyID],tblDeviceFamilyIDCrosswalk[LegacyDeviceFamilyID],tblDeviceFamilyIDCrosswalk[MappingStatus],"No Crosswalk")</f>
        <v/>
      </c>
      <c r="O412" s="35">
        <f>XLOOKUP([@DeviceTypeID],tblDeviceTypeIDCrosswalk[LegacyDeviceTypeID],tblDeviceTypeIDCrosswalk[MappingStatus],"No Crosswalk")</f>
        <v/>
      </c>
      <c r="P412">
        <f>IF(OR([@ManufacturerMappingStatus]&lt;&gt;"Approved",[@DeviceFamilyMappingStatus]&lt;&gt;"Approved",[@DeviceTypeMappingStatus]&lt;&gt;"Approved"),"Manual Review Required","Approved Crosswalk Available")</f>
        <v/>
      </c>
      <c r="Q412" t="inlineStr">
        <is>
          <t>Pending Review</t>
        </is>
      </c>
    </row>
    <row r="413" ht="21.5" customHeight="1" s="42">
      <c r="A413" s="36" t="n"/>
      <c r="B413" s="35" t="n"/>
      <c r="C413" s="35" t="n"/>
      <c r="D413" s="35" t="n"/>
      <c r="E413" s="39" t="n"/>
      <c r="F413" s="39" t="n"/>
      <c r="G413" s="10" t="inlineStr">
        <is>
          <t>MOD000410</t>
        </is>
      </c>
      <c r="H413" s="14" t="inlineStr">
        <is>
          <t>MFG004</t>
        </is>
      </c>
      <c r="I413" s="14" t="inlineStr">
        <is>
          <t>DF043</t>
        </is>
      </c>
      <c r="J413" s="14">
        <f>XLOOKUP([@ManufacturerID],tblManufacturerIDCrosswalk[LegacyManufacturerID],tblManufacturerIDCrosswalk[CanonicalManufacturerID],"")</f>
        <v/>
      </c>
      <c r="K413" s="7">
        <f>XLOOKUP([@DeviceFamilyID],tblDeviceFamilyIDCrosswalk[LegacyDeviceFamilyID],tblDeviceFamilyIDCrosswalk[CanonicalDeviceFamilyID],"")</f>
        <v/>
      </c>
      <c r="L413" s="7">
        <f>XLOOKUP([@DeviceTypeID],tblDeviceTypeIDCrosswalk[LegacyDeviceTypeID],tblDeviceTypeIDCrosswalk[CanonicalDeviceTypeID],"")</f>
        <v/>
      </c>
      <c r="M413" s="14">
        <f>XLOOKUP([@ManufacturerID],tblManufacturerIDCrosswalk[LegacyManufacturerID],tblManufacturerIDCrosswalk[MappingStatus],"No Crosswalk")</f>
        <v/>
      </c>
      <c r="N413" s="35">
        <f>XLOOKUP([@DeviceFamilyID],tblDeviceFamilyIDCrosswalk[LegacyDeviceFamilyID],tblDeviceFamilyIDCrosswalk[MappingStatus],"No Crosswalk")</f>
        <v/>
      </c>
      <c r="O413" s="35">
        <f>XLOOKUP([@DeviceTypeID],tblDeviceTypeIDCrosswalk[LegacyDeviceTypeID],tblDeviceTypeIDCrosswalk[MappingStatus],"No Crosswalk")</f>
        <v/>
      </c>
      <c r="P413">
        <f>IF(OR([@ManufacturerMappingStatus]&lt;&gt;"Approved",[@DeviceFamilyMappingStatus]&lt;&gt;"Approved",[@DeviceTypeMappingStatus]&lt;&gt;"Approved"),"Manual Review Required","Approved Crosswalk Available")</f>
        <v/>
      </c>
      <c r="Q413" t="inlineStr">
        <is>
          <t>Pending Review</t>
        </is>
      </c>
    </row>
    <row r="414" ht="21.5" customHeight="1" s="42">
      <c r="A414" s="36" t="n"/>
      <c r="B414" s="35" t="n"/>
      <c r="C414" s="35" t="n"/>
      <c r="D414" s="35" t="n"/>
      <c r="E414" s="39" t="n"/>
      <c r="F414" s="39" t="n"/>
      <c r="G414" s="10" t="inlineStr">
        <is>
          <t>MOD000411</t>
        </is>
      </c>
      <c r="H414" s="14" t="inlineStr">
        <is>
          <t>MFG004</t>
        </is>
      </c>
      <c r="I414" s="14" t="inlineStr">
        <is>
          <t>DF044</t>
        </is>
      </c>
      <c r="J414" s="14">
        <f>XLOOKUP([@ManufacturerID],tblManufacturerIDCrosswalk[LegacyManufacturerID],tblManufacturerIDCrosswalk[CanonicalManufacturerID],"")</f>
        <v/>
      </c>
      <c r="K414" s="7">
        <f>XLOOKUP([@DeviceFamilyID],tblDeviceFamilyIDCrosswalk[LegacyDeviceFamilyID],tblDeviceFamilyIDCrosswalk[CanonicalDeviceFamilyID],"")</f>
        <v/>
      </c>
      <c r="L414" s="7">
        <f>XLOOKUP([@DeviceTypeID],tblDeviceTypeIDCrosswalk[LegacyDeviceTypeID],tblDeviceTypeIDCrosswalk[CanonicalDeviceTypeID],"")</f>
        <v/>
      </c>
      <c r="M414" s="14">
        <f>XLOOKUP([@ManufacturerID],tblManufacturerIDCrosswalk[LegacyManufacturerID],tblManufacturerIDCrosswalk[MappingStatus],"No Crosswalk")</f>
        <v/>
      </c>
      <c r="N414" s="35">
        <f>XLOOKUP([@DeviceFamilyID],tblDeviceFamilyIDCrosswalk[LegacyDeviceFamilyID],tblDeviceFamilyIDCrosswalk[MappingStatus],"No Crosswalk")</f>
        <v/>
      </c>
      <c r="O414" s="35">
        <f>XLOOKUP([@DeviceTypeID],tblDeviceTypeIDCrosswalk[LegacyDeviceTypeID],tblDeviceTypeIDCrosswalk[MappingStatus],"No Crosswalk")</f>
        <v/>
      </c>
      <c r="P414">
        <f>IF(OR([@ManufacturerMappingStatus]&lt;&gt;"Approved",[@DeviceFamilyMappingStatus]&lt;&gt;"Approved",[@DeviceTypeMappingStatus]&lt;&gt;"Approved"),"Manual Review Required","Approved Crosswalk Available")</f>
        <v/>
      </c>
      <c r="Q414" t="inlineStr">
        <is>
          <t>Pending Review</t>
        </is>
      </c>
    </row>
    <row r="415" ht="21.5" customHeight="1" s="42">
      <c r="A415" s="36" t="n"/>
      <c r="B415" s="35" t="n"/>
      <c r="C415" s="35" t="n"/>
      <c r="D415" s="35" t="n"/>
      <c r="E415" s="39" t="n"/>
      <c r="F415" s="39" t="n"/>
      <c r="G415" s="10" t="inlineStr">
        <is>
          <t>MOD000412</t>
        </is>
      </c>
      <c r="H415" s="14" t="inlineStr">
        <is>
          <t>MFG004</t>
        </is>
      </c>
      <c r="I415" s="14" t="inlineStr">
        <is>
          <t>DF045</t>
        </is>
      </c>
      <c r="J415" s="14">
        <f>XLOOKUP([@ManufacturerID],tblManufacturerIDCrosswalk[LegacyManufacturerID],tblManufacturerIDCrosswalk[CanonicalManufacturerID],"")</f>
        <v/>
      </c>
      <c r="K415" s="7">
        <f>XLOOKUP([@DeviceFamilyID],tblDeviceFamilyIDCrosswalk[LegacyDeviceFamilyID],tblDeviceFamilyIDCrosswalk[CanonicalDeviceFamilyID],"")</f>
        <v/>
      </c>
      <c r="L415" s="7">
        <f>XLOOKUP([@DeviceTypeID],tblDeviceTypeIDCrosswalk[LegacyDeviceTypeID],tblDeviceTypeIDCrosswalk[CanonicalDeviceTypeID],"")</f>
        <v/>
      </c>
      <c r="M415" s="14">
        <f>XLOOKUP([@ManufacturerID],tblManufacturerIDCrosswalk[LegacyManufacturerID],tblManufacturerIDCrosswalk[MappingStatus],"No Crosswalk")</f>
        <v/>
      </c>
      <c r="N415" s="35">
        <f>XLOOKUP([@DeviceFamilyID],tblDeviceFamilyIDCrosswalk[LegacyDeviceFamilyID],tblDeviceFamilyIDCrosswalk[MappingStatus],"No Crosswalk")</f>
        <v/>
      </c>
      <c r="O415" s="35">
        <f>XLOOKUP([@DeviceTypeID],tblDeviceTypeIDCrosswalk[LegacyDeviceTypeID],tblDeviceTypeIDCrosswalk[MappingStatus],"No Crosswalk")</f>
        <v/>
      </c>
      <c r="P415">
        <f>IF(OR([@ManufacturerMappingStatus]&lt;&gt;"Approved",[@DeviceFamilyMappingStatus]&lt;&gt;"Approved",[@DeviceTypeMappingStatus]&lt;&gt;"Approved"),"Manual Review Required","Approved Crosswalk Available")</f>
        <v/>
      </c>
      <c r="Q415" t="inlineStr">
        <is>
          <t>Pending Review</t>
        </is>
      </c>
    </row>
    <row r="416" ht="21.5" customHeight="1" s="42">
      <c r="A416" s="36" t="n"/>
      <c r="B416" s="35" t="n"/>
      <c r="C416" s="35" t="n"/>
      <c r="D416" s="35" t="n"/>
      <c r="E416" s="39" t="n"/>
      <c r="F416" s="39" t="n"/>
      <c r="G416" s="10" t="inlineStr">
        <is>
          <t>MOD000413</t>
        </is>
      </c>
      <c r="H416" s="14" t="inlineStr">
        <is>
          <t>MFG004</t>
        </is>
      </c>
      <c r="I416" s="14" t="inlineStr">
        <is>
          <t>DF045</t>
        </is>
      </c>
      <c r="J416" s="14">
        <f>XLOOKUP([@ManufacturerID],tblManufacturerIDCrosswalk[LegacyManufacturerID],tblManufacturerIDCrosswalk[CanonicalManufacturerID],"")</f>
        <v/>
      </c>
      <c r="K416" s="7">
        <f>XLOOKUP([@DeviceFamilyID],tblDeviceFamilyIDCrosswalk[LegacyDeviceFamilyID],tblDeviceFamilyIDCrosswalk[CanonicalDeviceFamilyID],"")</f>
        <v/>
      </c>
      <c r="L416" s="7">
        <f>XLOOKUP([@DeviceTypeID],tblDeviceTypeIDCrosswalk[LegacyDeviceTypeID],tblDeviceTypeIDCrosswalk[CanonicalDeviceTypeID],"")</f>
        <v/>
      </c>
      <c r="M416" s="14">
        <f>XLOOKUP([@ManufacturerID],tblManufacturerIDCrosswalk[LegacyManufacturerID],tblManufacturerIDCrosswalk[MappingStatus],"No Crosswalk")</f>
        <v/>
      </c>
      <c r="N416" s="35">
        <f>XLOOKUP([@DeviceFamilyID],tblDeviceFamilyIDCrosswalk[LegacyDeviceFamilyID],tblDeviceFamilyIDCrosswalk[MappingStatus],"No Crosswalk")</f>
        <v/>
      </c>
      <c r="O416" s="35">
        <f>XLOOKUP([@DeviceTypeID],tblDeviceTypeIDCrosswalk[LegacyDeviceTypeID],tblDeviceTypeIDCrosswalk[MappingStatus],"No Crosswalk")</f>
        <v/>
      </c>
      <c r="P416">
        <f>IF(OR([@ManufacturerMappingStatus]&lt;&gt;"Approved",[@DeviceFamilyMappingStatus]&lt;&gt;"Approved",[@DeviceTypeMappingStatus]&lt;&gt;"Approved"),"Manual Review Required","Approved Crosswalk Available")</f>
        <v/>
      </c>
      <c r="Q416" t="inlineStr">
        <is>
          <t>Pending Review</t>
        </is>
      </c>
    </row>
    <row r="417" ht="21.5" customHeight="1" s="42">
      <c r="A417" s="36" t="n"/>
      <c r="B417" s="35" t="n"/>
      <c r="C417" s="35" t="n"/>
      <c r="D417" s="35" t="n"/>
      <c r="E417" s="39" t="n"/>
      <c r="F417" s="39" t="n"/>
      <c r="G417" s="10" t="inlineStr">
        <is>
          <t>MOD000414</t>
        </is>
      </c>
      <c r="H417" s="14" t="inlineStr">
        <is>
          <t>MFG005</t>
        </is>
      </c>
      <c r="I417" s="14" t="inlineStr">
        <is>
          <t>DF050</t>
        </is>
      </c>
      <c r="J417" s="14">
        <f>XLOOKUP([@ManufacturerID],tblManufacturerIDCrosswalk[LegacyManufacturerID],tblManufacturerIDCrosswalk[CanonicalManufacturerID],"")</f>
        <v/>
      </c>
      <c r="K417" s="7">
        <f>XLOOKUP([@DeviceFamilyID],tblDeviceFamilyIDCrosswalk[LegacyDeviceFamilyID],tblDeviceFamilyIDCrosswalk[CanonicalDeviceFamilyID],"")</f>
        <v/>
      </c>
      <c r="L417" s="7">
        <f>XLOOKUP([@DeviceTypeID],tblDeviceTypeIDCrosswalk[LegacyDeviceTypeID],tblDeviceTypeIDCrosswalk[CanonicalDeviceTypeID],"")</f>
        <v/>
      </c>
      <c r="M417" s="14">
        <f>XLOOKUP([@ManufacturerID],tblManufacturerIDCrosswalk[LegacyManufacturerID],tblManufacturerIDCrosswalk[MappingStatus],"No Crosswalk")</f>
        <v/>
      </c>
      <c r="N417" s="35">
        <f>XLOOKUP([@DeviceFamilyID],tblDeviceFamilyIDCrosswalk[LegacyDeviceFamilyID],tblDeviceFamilyIDCrosswalk[MappingStatus],"No Crosswalk")</f>
        <v/>
      </c>
      <c r="O417" s="35">
        <f>XLOOKUP([@DeviceTypeID],tblDeviceTypeIDCrosswalk[LegacyDeviceTypeID],tblDeviceTypeIDCrosswalk[MappingStatus],"No Crosswalk")</f>
        <v/>
      </c>
      <c r="P417">
        <f>IF(OR([@ManufacturerMappingStatus]&lt;&gt;"Approved",[@DeviceFamilyMappingStatus]&lt;&gt;"Approved",[@DeviceTypeMappingStatus]&lt;&gt;"Approved"),"Manual Review Required","Approved Crosswalk Available")</f>
        <v/>
      </c>
      <c r="Q417" t="inlineStr">
        <is>
          <t>Pending Review</t>
        </is>
      </c>
    </row>
    <row r="418" ht="21.5" customHeight="1" s="42">
      <c r="A418" s="36" t="n"/>
      <c r="B418" s="35" t="n"/>
      <c r="C418" s="35" t="n"/>
      <c r="D418" s="35" t="n"/>
      <c r="E418" s="39" t="n"/>
      <c r="F418" s="39" t="n"/>
      <c r="G418" s="10" t="inlineStr">
        <is>
          <t>MOD000415</t>
        </is>
      </c>
      <c r="H418" s="14" t="inlineStr">
        <is>
          <t>MFG005</t>
        </is>
      </c>
      <c r="I418" s="14" t="inlineStr">
        <is>
          <t>DF050</t>
        </is>
      </c>
      <c r="J418" s="14">
        <f>XLOOKUP([@ManufacturerID],tblManufacturerIDCrosswalk[LegacyManufacturerID],tblManufacturerIDCrosswalk[CanonicalManufacturerID],"")</f>
        <v/>
      </c>
      <c r="K418" s="7">
        <f>XLOOKUP([@DeviceFamilyID],tblDeviceFamilyIDCrosswalk[LegacyDeviceFamilyID],tblDeviceFamilyIDCrosswalk[CanonicalDeviceFamilyID],"")</f>
        <v/>
      </c>
      <c r="L418" s="7">
        <f>XLOOKUP([@DeviceTypeID],tblDeviceTypeIDCrosswalk[LegacyDeviceTypeID],tblDeviceTypeIDCrosswalk[CanonicalDeviceTypeID],"")</f>
        <v/>
      </c>
      <c r="M418" s="14">
        <f>XLOOKUP([@ManufacturerID],tblManufacturerIDCrosswalk[LegacyManufacturerID],tblManufacturerIDCrosswalk[MappingStatus],"No Crosswalk")</f>
        <v/>
      </c>
      <c r="N418" s="35">
        <f>XLOOKUP([@DeviceFamilyID],tblDeviceFamilyIDCrosswalk[LegacyDeviceFamilyID],tblDeviceFamilyIDCrosswalk[MappingStatus],"No Crosswalk")</f>
        <v/>
      </c>
      <c r="O418" s="35">
        <f>XLOOKUP([@DeviceTypeID],tblDeviceTypeIDCrosswalk[LegacyDeviceTypeID],tblDeviceTypeIDCrosswalk[MappingStatus],"No Crosswalk")</f>
        <v/>
      </c>
      <c r="P418">
        <f>IF(OR([@ManufacturerMappingStatus]&lt;&gt;"Approved",[@DeviceFamilyMappingStatus]&lt;&gt;"Approved",[@DeviceTypeMappingStatus]&lt;&gt;"Approved"),"Manual Review Required","Approved Crosswalk Available")</f>
        <v/>
      </c>
      <c r="Q418" t="inlineStr">
        <is>
          <t>Pending Review</t>
        </is>
      </c>
    </row>
    <row r="419" ht="21.5" customHeight="1" s="42">
      <c r="A419" s="36" t="n"/>
      <c r="B419" s="35" t="n"/>
      <c r="C419" s="35" t="n"/>
      <c r="D419" s="35" t="n"/>
      <c r="E419" s="39" t="n"/>
      <c r="F419" s="39" t="n"/>
      <c r="G419" s="10" t="inlineStr">
        <is>
          <t>MOD000416</t>
        </is>
      </c>
      <c r="H419" s="14" t="inlineStr">
        <is>
          <t>MFG005</t>
        </is>
      </c>
      <c r="I419" s="14" t="inlineStr">
        <is>
          <t>DF050</t>
        </is>
      </c>
      <c r="J419" s="14">
        <f>XLOOKUP([@ManufacturerID],tblManufacturerIDCrosswalk[LegacyManufacturerID],tblManufacturerIDCrosswalk[CanonicalManufacturerID],"")</f>
        <v/>
      </c>
      <c r="K419" s="7">
        <f>XLOOKUP([@DeviceFamilyID],tblDeviceFamilyIDCrosswalk[LegacyDeviceFamilyID],tblDeviceFamilyIDCrosswalk[CanonicalDeviceFamilyID],"")</f>
        <v/>
      </c>
      <c r="L419" s="7">
        <f>XLOOKUP([@DeviceTypeID],tblDeviceTypeIDCrosswalk[LegacyDeviceTypeID],tblDeviceTypeIDCrosswalk[CanonicalDeviceTypeID],"")</f>
        <v/>
      </c>
      <c r="M419" s="14">
        <f>XLOOKUP([@ManufacturerID],tblManufacturerIDCrosswalk[LegacyManufacturerID],tblManufacturerIDCrosswalk[MappingStatus],"No Crosswalk")</f>
        <v/>
      </c>
      <c r="N419" s="35">
        <f>XLOOKUP([@DeviceFamilyID],tblDeviceFamilyIDCrosswalk[LegacyDeviceFamilyID],tblDeviceFamilyIDCrosswalk[MappingStatus],"No Crosswalk")</f>
        <v/>
      </c>
      <c r="O419" s="35">
        <f>XLOOKUP([@DeviceTypeID],tblDeviceTypeIDCrosswalk[LegacyDeviceTypeID],tblDeviceTypeIDCrosswalk[MappingStatus],"No Crosswalk")</f>
        <v/>
      </c>
      <c r="P419">
        <f>IF(OR([@ManufacturerMappingStatus]&lt;&gt;"Approved",[@DeviceFamilyMappingStatus]&lt;&gt;"Approved",[@DeviceTypeMappingStatus]&lt;&gt;"Approved"),"Manual Review Required","Approved Crosswalk Available")</f>
        <v/>
      </c>
      <c r="Q419" t="inlineStr">
        <is>
          <t>Pending Review</t>
        </is>
      </c>
    </row>
    <row r="420" ht="21.5" customHeight="1" s="42">
      <c r="A420" s="36" t="n"/>
      <c r="B420" s="35" t="n"/>
      <c r="C420" s="35" t="n"/>
      <c r="D420" s="35" t="n"/>
      <c r="E420" s="39" t="n"/>
      <c r="F420" s="39" t="n"/>
      <c r="G420" s="10" t="inlineStr">
        <is>
          <t>MOD000417</t>
        </is>
      </c>
      <c r="H420" s="14" t="inlineStr">
        <is>
          <t>MFG005</t>
        </is>
      </c>
      <c r="I420" s="14" t="inlineStr">
        <is>
          <t>DF050</t>
        </is>
      </c>
      <c r="J420" s="14">
        <f>XLOOKUP([@ManufacturerID],tblManufacturerIDCrosswalk[LegacyManufacturerID],tblManufacturerIDCrosswalk[CanonicalManufacturerID],"")</f>
        <v/>
      </c>
      <c r="K420" s="7">
        <f>XLOOKUP([@DeviceFamilyID],tblDeviceFamilyIDCrosswalk[LegacyDeviceFamilyID],tblDeviceFamilyIDCrosswalk[CanonicalDeviceFamilyID],"")</f>
        <v/>
      </c>
      <c r="L420" s="7">
        <f>XLOOKUP([@DeviceTypeID],tblDeviceTypeIDCrosswalk[LegacyDeviceTypeID],tblDeviceTypeIDCrosswalk[CanonicalDeviceTypeID],"")</f>
        <v/>
      </c>
      <c r="M420" s="14">
        <f>XLOOKUP([@ManufacturerID],tblManufacturerIDCrosswalk[LegacyManufacturerID],tblManufacturerIDCrosswalk[MappingStatus],"No Crosswalk")</f>
        <v/>
      </c>
      <c r="N420" s="35">
        <f>XLOOKUP([@DeviceFamilyID],tblDeviceFamilyIDCrosswalk[LegacyDeviceFamilyID],tblDeviceFamilyIDCrosswalk[MappingStatus],"No Crosswalk")</f>
        <v/>
      </c>
      <c r="O420" s="35">
        <f>XLOOKUP([@DeviceTypeID],tblDeviceTypeIDCrosswalk[LegacyDeviceTypeID],tblDeviceTypeIDCrosswalk[MappingStatus],"No Crosswalk")</f>
        <v/>
      </c>
      <c r="P420">
        <f>IF(OR([@ManufacturerMappingStatus]&lt;&gt;"Approved",[@DeviceFamilyMappingStatus]&lt;&gt;"Approved",[@DeviceTypeMappingStatus]&lt;&gt;"Approved"),"Manual Review Required","Approved Crosswalk Available")</f>
        <v/>
      </c>
      <c r="Q420" t="inlineStr">
        <is>
          <t>Pending Review</t>
        </is>
      </c>
    </row>
    <row r="421" ht="21.5" customHeight="1" s="42">
      <c r="A421" s="36" t="n"/>
      <c r="B421" s="35" t="n"/>
      <c r="C421" s="35" t="n"/>
      <c r="D421" s="35" t="n"/>
      <c r="E421" s="39" t="n"/>
      <c r="F421" s="39" t="n"/>
      <c r="G421" s="10" t="inlineStr">
        <is>
          <t>MOD000418</t>
        </is>
      </c>
      <c r="H421" s="14" t="inlineStr">
        <is>
          <t>MFG005</t>
        </is>
      </c>
      <c r="I421" s="14" t="inlineStr">
        <is>
          <t>DF050</t>
        </is>
      </c>
      <c r="J421" s="14">
        <f>XLOOKUP([@ManufacturerID],tblManufacturerIDCrosswalk[LegacyManufacturerID],tblManufacturerIDCrosswalk[CanonicalManufacturerID],"")</f>
        <v/>
      </c>
      <c r="K421" s="7">
        <f>XLOOKUP([@DeviceFamilyID],tblDeviceFamilyIDCrosswalk[LegacyDeviceFamilyID],tblDeviceFamilyIDCrosswalk[CanonicalDeviceFamilyID],"")</f>
        <v/>
      </c>
      <c r="L421" s="7">
        <f>XLOOKUP([@DeviceTypeID],tblDeviceTypeIDCrosswalk[LegacyDeviceTypeID],tblDeviceTypeIDCrosswalk[CanonicalDeviceTypeID],"")</f>
        <v/>
      </c>
      <c r="M421" s="14">
        <f>XLOOKUP([@ManufacturerID],tblManufacturerIDCrosswalk[LegacyManufacturerID],tblManufacturerIDCrosswalk[MappingStatus],"No Crosswalk")</f>
        <v/>
      </c>
      <c r="N421" s="35">
        <f>XLOOKUP([@DeviceFamilyID],tblDeviceFamilyIDCrosswalk[LegacyDeviceFamilyID],tblDeviceFamilyIDCrosswalk[MappingStatus],"No Crosswalk")</f>
        <v/>
      </c>
      <c r="O421" s="35">
        <f>XLOOKUP([@DeviceTypeID],tblDeviceTypeIDCrosswalk[LegacyDeviceTypeID],tblDeviceTypeIDCrosswalk[MappingStatus],"No Crosswalk")</f>
        <v/>
      </c>
      <c r="P421">
        <f>IF(OR([@ManufacturerMappingStatus]&lt;&gt;"Approved",[@DeviceFamilyMappingStatus]&lt;&gt;"Approved",[@DeviceTypeMappingStatus]&lt;&gt;"Approved"),"Manual Review Required","Approved Crosswalk Available")</f>
        <v/>
      </c>
      <c r="Q421" t="inlineStr">
        <is>
          <t>Pending Review</t>
        </is>
      </c>
    </row>
    <row r="422" ht="21.5" customHeight="1" s="42">
      <c r="A422" s="36" t="n"/>
      <c r="B422" s="35" t="n"/>
      <c r="C422" s="35" t="n"/>
      <c r="D422" s="35" t="n"/>
      <c r="E422" s="39" t="n"/>
      <c r="F422" s="39" t="n"/>
      <c r="G422" s="10" t="inlineStr">
        <is>
          <t>MOD000419</t>
        </is>
      </c>
      <c r="H422" s="14" t="inlineStr">
        <is>
          <t>MFG005</t>
        </is>
      </c>
      <c r="I422" s="14" t="inlineStr">
        <is>
          <t>DF050</t>
        </is>
      </c>
      <c r="J422" s="14">
        <f>XLOOKUP([@ManufacturerID],tblManufacturerIDCrosswalk[LegacyManufacturerID],tblManufacturerIDCrosswalk[CanonicalManufacturerID],"")</f>
        <v/>
      </c>
      <c r="K422" s="7">
        <f>XLOOKUP([@DeviceFamilyID],tblDeviceFamilyIDCrosswalk[LegacyDeviceFamilyID],tblDeviceFamilyIDCrosswalk[CanonicalDeviceFamilyID],"")</f>
        <v/>
      </c>
      <c r="L422" s="7">
        <f>XLOOKUP([@DeviceTypeID],tblDeviceTypeIDCrosswalk[LegacyDeviceTypeID],tblDeviceTypeIDCrosswalk[CanonicalDeviceTypeID],"")</f>
        <v/>
      </c>
      <c r="M422" s="14">
        <f>XLOOKUP([@ManufacturerID],tblManufacturerIDCrosswalk[LegacyManufacturerID],tblManufacturerIDCrosswalk[MappingStatus],"No Crosswalk")</f>
        <v/>
      </c>
      <c r="N422" s="35">
        <f>XLOOKUP([@DeviceFamilyID],tblDeviceFamilyIDCrosswalk[LegacyDeviceFamilyID],tblDeviceFamilyIDCrosswalk[MappingStatus],"No Crosswalk")</f>
        <v/>
      </c>
      <c r="O422" s="35">
        <f>XLOOKUP([@DeviceTypeID],tblDeviceTypeIDCrosswalk[LegacyDeviceTypeID],tblDeviceTypeIDCrosswalk[MappingStatus],"No Crosswalk")</f>
        <v/>
      </c>
      <c r="P422">
        <f>IF(OR([@ManufacturerMappingStatus]&lt;&gt;"Approved",[@DeviceFamilyMappingStatus]&lt;&gt;"Approved",[@DeviceTypeMappingStatus]&lt;&gt;"Approved"),"Manual Review Required","Approved Crosswalk Available")</f>
        <v/>
      </c>
      <c r="Q422" t="inlineStr">
        <is>
          <t>Pending Review</t>
        </is>
      </c>
    </row>
    <row r="423" ht="21.5" customHeight="1" s="42">
      <c r="A423" s="36" t="n"/>
      <c r="B423" s="35" t="n"/>
      <c r="C423" s="35" t="n"/>
      <c r="D423" s="35" t="n"/>
      <c r="E423" s="39" t="n"/>
      <c r="F423" s="39" t="n"/>
      <c r="G423" s="10" t="inlineStr">
        <is>
          <t>MOD000420</t>
        </is>
      </c>
      <c r="H423" s="14" t="inlineStr">
        <is>
          <t>MFG005</t>
        </is>
      </c>
      <c r="I423" s="14" t="inlineStr">
        <is>
          <t>DF050</t>
        </is>
      </c>
      <c r="J423" s="14">
        <f>XLOOKUP([@ManufacturerID],tblManufacturerIDCrosswalk[LegacyManufacturerID],tblManufacturerIDCrosswalk[CanonicalManufacturerID],"")</f>
        <v/>
      </c>
      <c r="K423" s="7">
        <f>XLOOKUP([@DeviceFamilyID],tblDeviceFamilyIDCrosswalk[LegacyDeviceFamilyID],tblDeviceFamilyIDCrosswalk[CanonicalDeviceFamilyID],"")</f>
        <v/>
      </c>
      <c r="L423" s="7">
        <f>XLOOKUP([@DeviceTypeID],tblDeviceTypeIDCrosswalk[LegacyDeviceTypeID],tblDeviceTypeIDCrosswalk[CanonicalDeviceTypeID],"")</f>
        <v/>
      </c>
      <c r="M423" s="14">
        <f>XLOOKUP([@ManufacturerID],tblManufacturerIDCrosswalk[LegacyManufacturerID],tblManufacturerIDCrosswalk[MappingStatus],"No Crosswalk")</f>
        <v/>
      </c>
      <c r="N423" s="35">
        <f>XLOOKUP([@DeviceFamilyID],tblDeviceFamilyIDCrosswalk[LegacyDeviceFamilyID],tblDeviceFamilyIDCrosswalk[MappingStatus],"No Crosswalk")</f>
        <v/>
      </c>
      <c r="O423" s="35">
        <f>XLOOKUP([@DeviceTypeID],tblDeviceTypeIDCrosswalk[LegacyDeviceTypeID],tblDeviceTypeIDCrosswalk[MappingStatus],"No Crosswalk")</f>
        <v/>
      </c>
      <c r="P423">
        <f>IF(OR([@ManufacturerMappingStatus]&lt;&gt;"Approved",[@DeviceFamilyMappingStatus]&lt;&gt;"Approved",[@DeviceTypeMappingStatus]&lt;&gt;"Approved"),"Manual Review Required","Approved Crosswalk Available")</f>
        <v/>
      </c>
      <c r="Q423" t="inlineStr">
        <is>
          <t>Pending Review</t>
        </is>
      </c>
    </row>
    <row r="424" ht="21.5" customHeight="1" s="42">
      <c r="A424" s="36" t="n"/>
      <c r="B424" s="35" t="n"/>
      <c r="C424" s="35" t="n"/>
      <c r="D424" s="35" t="n"/>
      <c r="E424" s="39" t="n"/>
      <c r="F424" s="39" t="n"/>
      <c r="G424" s="10" t="inlineStr">
        <is>
          <t>MOD000421</t>
        </is>
      </c>
      <c r="H424" s="14" t="inlineStr">
        <is>
          <t>MFG005</t>
        </is>
      </c>
      <c r="I424" s="14" t="inlineStr">
        <is>
          <t>DF051</t>
        </is>
      </c>
      <c r="J424" s="14">
        <f>XLOOKUP([@ManufacturerID],tblManufacturerIDCrosswalk[LegacyManufacturerID],tblManufacturerIDCrosswalk[CanonicalManufacturerID],"")</f>
        <v/>
      </c>
      <c r="K424" s="7">
        <f>XLOOKUP([@DeviceFamilyID],tblDeviceFamilyIDCrosswalk[LegacyDeviceFamilyID],tblDeviceFamilyIDCrosswalk[CanonicalDeviceFamilyID],"")</f>
        <v/>
      </c>
      <c r="L424" s="7">
        <f>XLOOKUP([@DeviceTypeID],tblDeviceTypeIDCrosswalk[LegacyDeviceTypeID],tblDeviceTypeIDCrosswalk[CanonicalDeviceTypeID],"")</f>
        <v/>
      </c>
      <c r="M424" s="14">
        <f>XLOOKUP([@ManufacturerID],tblManufacturerIDCrosswalk[LegacyManufacturerID],tblManufacturerIDCrosswalk[MappingStatus],"No Crosswalk")</f>
        <v/>
      </c>
      <c r="N424" s="35">
        <f>XLOOKUP([@DeviceFamilyID],tblDeviceFamilyIDCrosswalk[LegacyDeviceFamilyID],tblDeviceFamilyIDCrosswalk[MappingStatus],"No Crosswalk")</f>
        <v/>
      </c>
      <c r="O424" s="35">
        <f>XLOOKUP([@DeviceTypeID],tblDeviceTypeIDCrosswalk[LegacyDeviceTypeID],tblDeviceTypeIDCrosswalk[MappingStatus],"No Crosswalk")</f>
        <v/>
      </c>
      <c r="P424">
        <f>IF(OR([@ManufacturerMappingStatus]&lt;&gt;"Approved",[@DeviceFamilyMappingStatus]&lt;&gt;"Approved",[@DeviceTypeMappingStatus]&lt;&gt;"Approved"),"Manual Review Required","Approved Crosswalk Available")</f>
        <v/>
      </c>
      <c r="Q424" t="inlineStr">
        <is>
          <t>Pending Review</t>
        </is>
      </c>
    </row>
    <row r="425" ht="21.5" customHeight="1" s="42">
      <c r="A425" s="36" t="n"/>
      <c r="B425" s="35" t="n"/>
      <c r="C425" s="35" t="n"/>
      <c r="D425" s="35" t="n"/>
      <c r="E425" s="39" t="n"/>
      <c r="F425" s="39" t="n"/>
      <c r="G425" s="10" t="inlineStr">
        <is>
          <t>MOD000422</t>
        </is>
      </c>
      <c r="H425" s="14" t="inlineStr">
        <is>
          <t>MFG005</t>
        </is>
      </c>
      <c r="I425" s="14" t="inlineStr">
        <is>
          <t>DF051</t>
        </is>
      </c>
      <c r="J425" s="14">
        <f>XLOOKUP([@ManufacturerID],tblManufacturerIDCrosswalk[LegacyManufacturerID],tblManufacturerIDCrosswalk[CanonicalManufacturerID],"")</f>
        <v/>
      </c>
      <c r="K425" s="7">
        <f>XLOOKUP([@DeviceFamilyID],tblDeviceFamilyIDCrosswalk[LegacyDeviceFamilyID],tblDeviceFamilyIDCrosswalk[CanonicalDeviceFamilyID],"")</f>
        <v/>
      </c>
      <c r="L425" s="7">
        <f>XLOOKUP([@DeviceTypeID],tblDeviceTypeIDCrosswalk[LegacyDeviceTypeID],tblDeviceTypeIDCrosswalk[CanonicalDeviceTypeID],"")</f>
        <v/>
      </c>
      <c r="M425" s="14">
        <f>XLOOKUP([@ManufacturerID],tblManufacturerIDCrosswalk[LegacyManufacturerID],tblManufacturerIDCrosswalk[MappingStatus],"No Crosswalk")</f>
        <v/>
      </c>
      <c r="N425" s="35">
        <f>XLOOKUP([@DeviceFamilyID],tblDeviceFamilyIDCrosswalk[LegacyDeviceFamilyID],tblDeviceFamilyIDCrosswalk[MappingStatus],"No Crosswalk")</f>
        <v/>
      </c>
      <c r="O425" s="35">
        <f>XLOOKUP([@DeviceTypeID],tblDeviceTypeIDCrosswalk[LegacyDeviceTypeID],tblDeviceTypeIDCrosswalk[MappingStatus],"No Crosswalk")</f>
        <v/>
      </c>
      <c r="P425">
        <f>IF(OR([@ManufacturerMappingStatus]&lt;&gt;"Approved",[@DeviceFamilyMappingStatus]&lt;&gt;"Approved",[@DeviceTypeMappingStatus]&lt;&gt;"Approved"),"Manual Review Required","Approved Crosswalk Available")</f>
        <v/>
      </c>
      <c r="Q425" t="inlineStr">
        <is>
          <t>Pending Review</t>
        </is>
      </c>
    </row>
    <row r="426" ht="21.5" customHeight="1" s="42">
      <c r="A426" s="36" t="n"/>
      <c r="B426" s="35" t="n"/>
      <c r="C426" s="35" t="n"/>
      <c r="D426" s="35" t="n"/>
      <c r="E426" s="39" t="n"/>
      <c r="F426" s="39" t="n"/>
      <c r="G426" s="10" t="inlineStr">
        <is>
          <t>MOD000423</t>
        </is>
      </c>
      <c r="H426" s="14" t="inlineStr">
        <is>
          <t>MFG005</t>
        </is>
      </c>
      <c r="I426" s="14" t="inlineStr">
        <is>
          <t>DF051</t>
        </is>
      </c>
      <c r="J426" s="14">
        <f>XLOOKUP([@ManufacturerID],tblManufacturerIDCrosswalk[LegacyManufacturerID],tblManufacturerIDCrosswalk[CanonicalManufacturerID],"")</f>
        <v/>
      </c>
      <c r="K426" s="7">
        <f>XLOOKUP([@DeviceFamilyID],tblDeviceFamilyIDCrosswalk[LegacyDeviceFamilyID],tblDeviceFamilyIDCrosswalk[CanonicalDeviceFamilyID],"")</f>
        <v/>
      </c>
      <c r="L426" s="7">
        <f>XLOOKUP([@DeviceTypeID],tblDeviceTypeIDCrosswalk[LegacyDeviceTypeID],tblDeviceTypeIDCrosswalk[CanonicalDeviceTypeID],"")</f>
        <v/>
      </c>
      <c r="M426" s="14">
        <f>XLOOKUP([@ManufacturerID],tblManufacturerIDCrosswalk[LegacyManufacturerID],tblManufacturerIDCrosswalk[MappingStatus],"No Crosswalk")</f>
        <v/>
      </c>
      <c r="N426" s="35">
        <f>XLOOKUP([@DeviceFamilyID],tblDeviceFamilyIDCrosswalk[LegacyDeviceFamilyID],tblDeviceFamilyIDCrosswalk[MappingStatus],"No Crosswalk")</f>
        <v/>
      </c>
      <c r="O426" s="35">
        <f>XLOOKUP([@DeviceTypeID],tblDeviceTypeIDCrosswalk[LegacyDeviceTypeID],tblDeviceTypeIDCrosswalk[MappingStatus],"No Crosswalk")</f>
        <v/>
      </c>
      <c r="P426">
        <f>IF(OR([@ManufacturerMappingStatus]&lt;&gt;"Approved",[@DeviceFamilyMappingStatus]&lt;&gt;"Approved",[@DeviceTypeMappingStatus]&lt;&gt;"Approved"),"Manual Review Required","Approved Crosswalk Available")</f>
        <v/>
      </c>
      <c r="Q426" t="inlineStr">
        <is>
          <t>Pending Review</t>
        </is>
      </c>
    </row>
    <row r="427" ht="21.5" customHeight="1" s="42">
      <c r="A427" s="36" t="n"/>
      <c r="B427" s="35" t="n"/>
      <c r="C427" s="35" t="n"/>
      <c r="D427" s="35" t="n"/>
      <c r="E427" s="39" t="n"/>
      <c r="F427" s="39" t="n"/>
      <c r="G427" s="10" t="inlineStr">
        <is>
          <t>MOD000424</t>
        </is>
      </c>
      <c r="H427" s="14" t="inlineStr">
        <is>
          <t>MFG005</t>
        </is>
      </c>
      <c r="I427" s="14" t="inlineStr">
        <is>
          <t>DF052</t>
        </is>
      </c>
      <c r="J427" s="14">
        <f>XLOOKUP([@ManufacturerID],tblManufacturerIDCrosswalk[LegacyManufacturerID],tblManufacturerIDCrosswalk[CanonicalManufacturerID],"")</f>
        <v/>
      </c>
      <c r="K427" s="7">
        <f>XLOOKUP([@DeviceFamilyID],tblDeviceFamilyIDCrosswalk[LegacyDeviceFamilyID],tblDeviceFamilyIDCrosswalk[CanonicalDeviceFamilyID],"")</f>
        <v/>
      </c>
      <c r="L427" s="7">
        <f>XLOOKUP([@DeviceTypeID],tblDeviceTypeIDCrosswalk[LegacyDeviceTypeID],tblDeviceTypeIDCrosswalk[CanonicalDeviceTypeID],"")</f>
        <v/>
      </c>
      <c r="M427" s="14">
        <f>XLOOKUP([@ManufacturerID],tblManufacturerIDCrosswalk[LegacyManufacturerID],tblManufacturerIDCrosswalk[MappingStatus],"No Crosswalk")</f>
        <v/>
      </c>
      <c r="N427" s="35">
        <f>XLOOKUP([@DeviceFamilyID],tblDeviceFamilyIDCrosswalk[LegacyDeviceFamilyID],tblDeviceFamilyIDCrosswalk[MappingStatus],"No Crosswalk")</f>
        <v/>
      </c>
      <c r="O427" s="35">
        <f>XLOOKUP([@DeviceTypeID],tblDeviceTypeIDCrosswalk[LegacyDeviceTypeID],tblDeviceTypeIDCrosswalk[MappingStatus],"No Crosswalk")</f>
        <v/>
      </c>
      <c r="P427">
        <f>IF(OR([@ManufacturerMappingStatus]&lt;&gt;"Approved",[@DeviceFamilyMappingStatus]&lt;&gt;"Approved",[@DeviceTypeMappingStatus]&lt;&gt;"Approved"),"Manual Review Required","Approved Crosswalk Available")</f>
        <v/>
      </c>
      <c r="Q427" t="inlineStr">
        <is>
          <t>Pending Review</t>
        </is>
      </c>
    </row>
    <row r="428" ht="21.5" customHeight="1" s="42">
      <c r="A428" s="36" t="n"/>
      <c r="B428" s="35" t="n"/>
      <c r="C428" s="35" t="n"/>
      <c r="D428" s="35" t="n"/>
      <c r="E428" s="39" t="n"/>
      <c r="F428" s="39" t="n"/>
      <c r="G428" s="10" t="inlineStr">
        <is>
          <t>MOD000425</t>
        </is>
      </c>
      <c r="H428" s="14" t="inlineStr">
        <is>
          <t>MFG005</t>
        </is>
      </c>
      <c r="I428" s="14" t="inlineStr">
        <is>
          <t>DF053</t>
        </is>
      </c>
      <c r="J428" s="14">
        <f>XLOOKUP([@ManufacturerID],tblManufacturerIDCrosswalk[LegacyManufacturerID],tblManufacturerIDCrosswalk[CanonicalManufacturerID],"")</f>
        <v/>
      </c>
      <c r="K428" s="7">
        <f>XLOOKUP([@DeviceFamilyID],tblDeviceFamilyIDCrosswalk[LegacyDeviceFamilyID],tblDeviceFamilyIDCrosswalk[CanonicalDeviceFamilyID],"")</f>
        <v/>
      </c>
      <c r="L428" s="7">
        <f>XLOOKUP([@DeviceTypeID],tblDeviceTypeIDCrosswalk[LegacyDeviceTypeID],tblDeviceTypeIDCrosswalk[CanonicalDeviceTypeID],"")</f>
        <v/>
      </c>
      <c r="M428" s="14">
        <f>XLOOKUP([@ManufacturerID],tblManufacturerIDCrosswalk[LegacyManufacturerID],tblManufacturerIDCrosswalk[MappingStatus],"No Crosswalk")</f>
        <v/>
      </c>
      <c r="N428" s="35">
        <f>XLOOKUP([@DeviceFamilyID],tblDeviceFamilyIDCrosswalk[LegacyDeviceFamilyID],tblDeviceFamilyIDCrosswalk[MappingStatus],"No Crosswalk")</f>
        <v/>
      </c>
      <c r="O428" s="35">
        <f>XLOOKUP([@DeviceTypeID],tblDeviceTypeIDCrosswalk[LegacyDeviceTypeID],tblDeviceTypeIDCrosswalk[MappingStatus],"No Crosswalk")</f>
        <v/>
      </c>
      <c r="P428">
        <f>IF(OR([@ManufacturerMappingStatus]&lt;&gt;"Approved",[@DeviceFamilyMappingStatus]&lt;&gt;"Approved",[@DeviceTypeMappingStatus]&lt;&gt;"Approved"),"Manual Review Required","Approved Crosswalk Available")</f>
        <v/>
      </c>
      <c r="Q428" t="inlineStr">
        <is>
          <t>Pending Review</t>
        </is>
      </c>
    </row>
    <row r="429" ht="21.5" customHeight="1" s="42">
      <c r="A429" s="36" t="n"/>
      <c r="B429" s="35" t="n"/>
      <c r="C429" s="35" t="n"/>
      <c r="D429" s="35" t="n"/>
      <c r="E429" s="39" t="n"/>
      <c r="F429" s="39" t="n"/>
      <c r="G429" s="10" t="inlineStr">
        <is>
          <t>MOD000426</t>
        </is>
      </c>
      <c r="H429" s="14" t="inlineStr">
        <is>
          <t>MFG005</t>
        </is>
      </c>
      <c r="I429" s="14" t="inlineStr">
        <is>
          <t>DF054</t>
        </is>
      </c>
      <c r="J429" s="14">
        <f>XLOOKUP([@ManufacturerID],tblManufacturerIDCrosswalk[LegacyManufacturerID],tblManufacturerIDCrosswalk[CanonicalManufacturerID],"")</f>
        <v/>
      </c>
      <c r="K429" s="7">
        <f>XLOOKUP([@DeviceFamilyID],tblDeviceFamilyIDCrosswalk[LegacyDeviceFamilyID],tblDeviceFamilyIDCrosswalk[CanonicalDeviceFamilyID],"")</f>
        <v/>
      </c>
      <c r="L429" s="7">
        <f>XLOOKUP([@DeviceTypeID],tblDeviceTypeIDCrosswalk[LegacyDeviceTypeID],tblDeviceTypeIDCrosswalk[CanonicalDeviceTypeID],"")</f>
        <v/>
      </c>
      <c r="M429" s="14">
        <f>XLOOKUP([@ManufacturerID],tblManufacturerIDCrosswalk[LegacyManufacturerID],tblManufacturerIDCrosswalk[MappingStatus],"No Crosswalk")</f>
        <v/>
      </c>
      <c r="N429" s="35">
        <f>XLOOKUP([@DeviceFamilyID],tblDeviceFamilyIDCrosswalk[LegacyDeviceFamilyID],tblDeviceFamilyIDCrosswalk[MappingStatus],"No Crosswalk")</f>
        <v/>
      </c>
      <c r="O429" s="35">
        <f>XLOOKUP([@DeviceTypeID],tblDeviceTypeIDCrosswalk[LegacyDeviceTypeID],tblDeviceTypeIDCrosswalk[MappingStatus],"No Crosswalk")</f>
        <v/>
      </c>
      <c r="P429">
        <f>IF(OR([@ManufacturerMappingStatus]&lt;&gt;"Approved",[@DeviceFamilyMappingStatus]&lt;&gt;"Approved",[@DeviceTypeMappingStatus]&lt;&gt;"Approved"),"Manual Review Required","Approved Crosswalk Available")</f>
        <v/>
      </c>
      <c r="Q429" t="inlineStr">
        <is>
          <t>Pending Review</t>
        </is>
      </c>
    </row>
    <row r="430" ht="21.5" customHeight="1" s="42">
      <c r="A430" s="36" t="n"/>
      <c r="B430" s="35" t="n"/>
      <c r="C430" s="35" t="n"/>
      <c r="D430" s="35" t="n"/>
      <c r="E430" s="39" t="n"/>
      <c r="F430" s="39" t="n"/>
      <c r="G430" s="10" t="inlineStr">
        <is>
          <t>MOD000427</t>
        </is>
      </c>
      <c r="H430" s="14" t="inlineStr">
        <is>
          <t>MFG005</t>
        </is>
      </c>
      <c r="I430" s="14" t="inlineStr">
        <is>
          <t>DF054</t>
        </is>
      </c>
      <c r="J430" s="14">
        <f>XLOOKUP([@ManufacturerID],tblManufacturerIDCrosswalk[LegacyManufacturerID],tblManufacturerIDCrosswalk[CanonicalManufacturerID],"")</f>
        <v/>
      </c>
      <c r="K430" s="7">
        <f>XLOOKUP([@DeviceFamilyID],tblDeviceFamilyIDCrosswalk[LegacyDeviceFamilyID],tblDeviceFamilyIDCrosswalk[CanonicalDeviceFamilyID],"")</f>
        <v/>
      </c>
      <c r="L430" s="7">
        <f>XLOOKUP([@DeviceTypeID],tblDeviceTypeIDCrosswalk[LegacyDeviceTypeID],tblDeviceTypeIDCrosswalk[CanonicalDeviceTypeID],"")</f>
        <v/>
      </c>
      <c r="M430" s="14">
        <f>XLOOKUP([@ManufacturerID],tblManufacturerIDCrosswalk[LegacyManufacturerID],tblManufacturerIDCrosswalk[MappingStatus],"No Crosswalk")</f>
        <v/>
      </c>
      <c r="N430" s="35">
        <f>XLOOKUP([@DeviceFamilyID],tblDeviceFamilyIDCrosswalk[LegacyDeviceFamilyID],tblDeviceFamilyIDCrosswalk[MappingStatus],"No Crosswalk")</f>
        <v/>
      </c>
      <c r="O430" s="35">
        <f>XLOOKUP([@DeviceTypeID],tblDeviceTypeIDCrosswalk[LegacyDeviceTypeID],tblDeviceTypeIDCrosswalk[MappingStatus],"No Crosswalk")</f>
        <v/>
      </c>
      <c r="P430">
        <f>IF(OR([@ManufacturerMappingStatus]&lt;&gt;"Approved",[@DeviceFamilyMappingStatus]&lt;&gt;"Approved",[@DeviceTypeMappingStatus]&lt;&gt;"Approved"),"Manual Review Required","Approved Crosswalk Available")</f>
        <v/>
      </c>
      <c r="Q430" t="inlineStr">
        <is>
          <t>Pending Review</t>
        </is>
      </c>
    </row>
    <row r="431" ht="21.5" customHeight="1" s="42">
      <c r="A431" s="36" t="n"/>
      <c r="B431" s="35" t="n"/>
      <c r="C431" s="35" t="n"/>
      <c r="D431" s="35" t="n"/>
      <c r="E431" s="39" t="n"/>
      <c r="F431" s="39" t="n"/>
      <c r="G431" s="10" t="inlineStr">
        <is>
          <t>MOD000428</t>
        </is>
      </c>
      <c r="H431" s="14" t="inlineStr">
        <is>
          <t>MFG005</t>
        </is>
      </c>
      <c r="I431" s="14" t="inlineStr">
        <is>
          <t>DF054</t>
        </is>
      </c>
      <c r="J431" s="14">
        <f>XLOOKUP([@ManufacturerID],tblManufacturerIDCrosswalk[LegacyManufacturerID],tblManufacturerIDCrosswalk[CanonicalManufacturerID],"")</f>
        <v/>
      </c>
      <c r="K431" s="7">
        <f>XLOOKUP([@DeviceFamilyID],tblDeviceFamilyIDCrosswalk[LegacyDeviceFamilyID],tblDeviceFamilyIDCrosswalk[CanonicalDeviceFamilyID],"")</f>
        <v/>
      </c>
      <c r="L431" s="7">
        <f>XLOOKUP([@DeviceTypeID],tblDeviceTypeIDCrosswalk[LegacyDeviceTypeID],tblDeviceTypeIDCrosswalk[CanonicalDeviceTypeID],"")</f>
        <v/>
      </c>
      <c r="M431" s="14">
        <f>XLOOKUP([@ManufacturerID],tblManufacturerIDCrosswalk[LegacyManufacturerID],tblManufacturerIDCrosswalk[MappingStatus],"No Crosswalk")</f>
        <v/>
      </c>
      <c r="N431" s="35">
        <f>XLOOKUP([@DeviceFamilyID],tblDeviceFamilyIDCrosswalk[LegacyDeviceFamilyID],tblDeviceFamilyIDCrosswalk[MappingStatus],"No Crosswalk")</f>
        <v/>
      </c>
      <c r="O431" s="35">
        <f>XLOOKUP([@DeviceTypeID],tblDeviceTypeIDCrosswalk[LegacyDeviceTypeID],tblDeviceTypeIDCrosswalk[MappingStatus],"No Crosswalk")</f>
        <v/>
      </c>
      <c r="P431">
        <f>IF(OR([@ManufacturerMappingStatus]&lt;&gt;"Approved",[@DeviceFamilyMappingStatus]&lt;&gt;"Approved",[@DeviceTypeMappingStatus]&lt;&gt;"Approved"),"Manual Review Required","Approved Crosswalk Available")</f>
        <v/>
      </c>
      <c r="Q431" t="inlineStr">
        <is>
          <t>Pending Review</t>
        </is>
      </c>
    </row>
    <row r="432" ht="21.5" customHeight="1" s="42">
      <c r="A432" s="36" t="n"/>
      <c r="B432" s="35" t="n"/>
      <c r="C432" s="35" t="n"/>
      <c r="D432" s="35" t="n"/>
      <c r="E432" s="39" t="n"/>
      <c r="F432" s="39" t="n"/>
      <c r="G432" s="10" t="inlineStr">
        <is>
          <t>MOD000429</t>
        </is>
      </c>
      <c r="H432" s="14" t="inlineStr">
        <is>
          <t>MFG005</t>
        </is>
      </c>
      <c r="I432" s="14" t="inlineStr">
        <is>
          <t>DF055</t>
        </is>
      </c>
      <c r="J432" s="14">
        <f>XLOOKUP([@ManufacturerID],tblManufacturerIDCrosswalk[LegacyManufacturerID],tblManufacturerIDCrosswalk[CanonicalManufacturerID],"")</f>
        <v/>
      </c>
      <c r="K432" s="7">
        <f>XLOOKUP([@DeviceFamilyID],tblDeviceFamilyIDCrosswalk[LegacyDeviceFamilyID],tblDeviceFamilyIDCrosswalk[CanonicalDeviceFamilyID],"")</f>
        <v/>
      </c>
      <c r="L432" s="7">
        <f>XLOOKUP([@DeviceTypeID],tblDeviceTypeIDCrosswalk[LegacyDeviceTypeID],tblDeviceTypeIDCrosswalk[CanonicalDeviceTypeID],"")</f>
        <v/>
      </c>
      <c r="M432" s="14">
        <f>XLOOKUP([@ManufacturerID],tblManufacturerIDCrosswalk[LegacyManufacturerID],tblManufacturerIDCrosswalk[MappingStatus],"No Crosswalk")</f>
        <v/>
      </c>
      <c r="N432" s="35">
        <f>XLOOKUP([@DeviceFamilyID],tblDeviceFamilyIDCrosswalk[LegacyDeviceFamilyID],tblDeviceFamilyIDCrosswalk[MappingStatus],"No Crosswalk")</f>
        <v/>
      </c>
      <c r="O432" s="35">
        <f>XLOOKUP([@DeviceTypeID],tblDeviceTypeIDCrosswalk[LegacyDeviceTypeID],tblDeviceTypeIDCrosswalk[MappingStatus],"No Crosswalk")</f>
        <v/>
      </c>
      <c r="P432">
        <f>IF(OR([@ManufacturerMappingStatus]&lt;&gt;"Approved",[@DeviceFamilyMappingStatus]&lt;&gt;"Approved",[@DeviceTypeMappingStatus]&lt;&gt;"Approved"),"Manual Review Required","Approved Crosswalk Available")</f>
        <v/>
      </c>
      <c r="Q432" t="inlineStr">
        <is>
          <t>Pending Review</t>
        </is>
      </c>
    </row>
    <row r="433" ht="21.5" customHeight="1" s="42">
      <c r="A433" s="36" t="n"/>
      <c r="B433" s="35" t="n"/>
      <c r="C433" s="35" t="n"/>
      <c r="D433" s="35" t="n"/>
      <c r="E433" s="39" t="n"/>
      <c r="F433" s="39" t="n"/>
      <c r="G433" s="10" t="inlineStr">
        <is>
          <t>MOD000430</t>
        </is>
      </c>
      <c r="H433" s="14" t="inlineStr">
        <is>
          <t>MFG005</t>
        </is>
      </c>
      <c r="I433" s="14" t="inlineStr">
        <is>
          <t>DF055</t>
        </is>
      </c>
      <c r="J433" s="14">
        <f>XLOOKUP([@ManufacturerID],tblManufacturerIDCrosswalk[LegacyManufacturerID],tblManufacturerIDCrosswalk[CanonicalManufacturerID],"")</f>
        <v/>
      </c>
      <c r="K433" s="7">
        <f>XLOOKUP([@DeviceFamilyID],tblDeviceFamilyIDCrosswalk[LegacyDeviceFamilyID],tblDeviceFamilyIDCrosswalk[CanonicalDeviceFamilyID],"")</f>
        <v/>
      </c>
      <c r="L433" s="7">
        <f>XLOOKUP([@DeviceTypeID],tblDeviceTypeIDCrosswalk[LegacyDeviceTypeID],tblDeviceTypeIDCrosswalk[CanonicalDeviceTypeID],"")</f>
        <v/>
      </c>
      <c r="M433" s="14">
        <f>XLOOKUP([@ManufacturerID],tblManufacturerIDCrosswalk[LegacyManufacturerID],tblManufacturerIDCrosswalk[MappingStatus],"No Crosswalk")</f>
        <v/>
      </c>
      <c r="N433" s="35">
        <f>XLOOKUP([@DeviceFamilyID],tblDeviceFamilyIDCrosswalk[LegacyDeviceFamilyID],tblDeviceFamilyIDCrosswalk[MappingStatus],"No Crosswalk")</f>
        <v/>
      </c>
      <c r="O433" s="35">
        <f>XLOOKUP([@DeviceTypeID],tblDeviceTypeIDCrosswalk[LegacyDeviceTypeID],tblDeviceTypeIDCrosswalk[MappingStatus],"No Crosswalk")</f>
        <v/>
      </c>
      <c r="P433">
        <f>IF(OR([@ManufacturerMappingStatus]&lt;&gt;"Approved",[@DeviceFamilyMappingStatus]&lt;&gt;"Approved",[@DeviceTypeMappingStatus]&lt;&gt;"Approved"),"Manual Review Required","Approved Crosswalk Available")</f>
        <v/>
      </c>
      <c r="Q433" t="inlineStr">
        <is>
          <t>Pending Review</t>
        </is>
      </c>
    </row>
    <row r="434" ht="21.5" customHeight="1" s="42">
      <c r="A434" s="36" t="n"/>
      <c r="B434" s="35" t="n"/>
      <c r="C434" s="35" t="n"/>
      <c r="D434" s="35" t="n"/>
      <c r="E434" s="39" t="n"/>
      <c r="F434" s="39" t="n"/>
      <c r="G434" s="10" t="inlineStr">
        <is>
          <t>MOD000431</t>
        </is>
      </c>
      <c r="H434" s="14" t="inlineStr">
        <is>
          <t>MFG005</t>
        </is>
      </c>
      <c r="I434" s="14" t="inlineStr">
        <is>
          <t>DF056</t>
        </is>
      </c>
      <c r="J434" s="14">
        <f>XLOOKUP([@ManufacturerID],tblManufacturerIDCrosswalk[LegacyManufacturerID],tblManufacturerIDCrosswalk[CanonicalManufacturerID],"")</f>
        <v/>
      </c>
      <c r="K434" s="7">
        <f>XLOOKUP([@DeviceFamilyID],tblDeviceFamilyIDCrosswalk[LegacyDeviceFamilyID],tblDeviceFamilyIDCrosswalk[CanonicalDeviceFamilyID],"")</f>
        <v/>
      </c>
      <c r="L434" s="7">
        <f>XLOOKUP([@DeviceTypeID],tblDeviceTypeIDCrosswalk[LegacyDeviceTypeID],tblDeviceTypeIDCrosswalk[CanonicalDeviceTypeID],"")</f>
        <v/>
      </c>
      <c r="M434" s="14">
        <f>XLOOKUP([@ManufacturerID],tblManufacturerIDCrosswalk[LegacyManufacturerID],tblManufacturerIDCrosswalk[MappingStatus],"No Crosswalk")</f>
        <v/>
      </c>
      <c r="N434" s="35">
        <f>XLOOKUP([@DeviceFamilyID],tblDeviceFamilyIDCrosswalk[LegacyDeviceFamilyID],tblDeviceFamilyIDCrosswalk[MappingStatus],"No Crosswalk")</f>
        <v/>
      </c>
      <c r="O434" s="35">
        <f>XLOOKUP([@DeviceTypeID],tblDeviceTypeIDCrosswalk[LegacyDeviceTypeID],tblDeviceTypeIDCrosswalk[MappingStatus],"No Crosswalk")</f>
        <v/>
      </c>
      <c r="P434">
        <f>IF(OR([@ManufacturerMappingStatus]&lt;&gt;"Approved",[@DeviceFamilyMappingStatus]&lt;&gt;"Approved",[@DeviceTypeMappingStatus]&lt;&gt;"Approved"),"Manual Review Required","Approved Crosswalk Available")</f>
        <v/>
      </c>
      <c r="Q434" t="inlineStr">
        <is>
          <t>Pending Review</t>
        </is>
      </c>
    </row>
    <row r="435" ht="21.5" customHeight="1" s="42">
      <c r="A435" s="36" t="n"/>
      <c r="B435" s="35" t="n"/>
      <c r="C435" s="35" t="n"/>
      <c r="D435" s="35" t="n"/>
      <c r="E435" s="39" t="n"/>
      <c r="F435" s="39" t="n"/>
      <c r="G435" s="10" t="inlineStr">
        <is>
          <t>MOD000432</t>
        </is>
      </c>
      <c r="H435" s="14" t="inlineStr">
        <is>
          <t>MFG005</t>
        </is>
      </c>
      <c r="I435" s="14" t="inlineStr">
        <is>
          <t>DF056</t>
        </is>
      </c>
      <c r="J435" s="14">
        <f>XLOOKUP([@ManufacturerID],tblManufacturerIDCrosswalk[LegacyManufacturerID],tblManufacturerIDCrosswalk[CanonicalManufacturerID],"")</f>
        <v/>
      </c>
      <c r="K435" s="7">
        <f>XLOOKUP([@DeviceFamilyID],tblDeviceFamilyIDCrosswalk[LegacyDeviceFamilyID],tblDeviceFamilyIDCrosswalk[CanonicalDeviceFamilyID],"")</f>
        <v/>
      </c>
      <c r="L435" s="7">
        <f>XLOOKUP([@DeviceTypeID],tblDeviceTypeIDCrosswalk[LegacyDeviceTypeID],tblDeviceTypeIDCrosswalk[CanonicalDeviceTypeID],"")</f>
        <v/>
      </c>
      <c r="M435" s="14">
        <f>XLOOKUP([@ManufacturerID],tblManufacturerIDCrosswalk[LegacyManufacturerID],tblManufacturerIDCrosswalk[MappingStatus],"No Crosswalk")</f>
        <v/>
      </c>
      <c r="N435" s="35">
        <f>XLOOKUP([@DeviceFamilyID],tblDeviceFamilyIDCrosswalk[LegacyDeviceFamilyID],tblDeviceFamilyIDCrosswalk[MappingStatus],"No Crosswalk")</f>
        <v/>
      </c>
      <c r="O435" s="35">
        <f>XLOOKUP([@DeviceTypeID],tblDeviceTypeIDCrosswalk[LegacyDeviceTypeID],tblDeviceTypeIDCrosswalk[MappingStatus],"No Crosswalk")</f>
        <v/>
      </c>
      <c r="P435">
        <f>IF(OR([@ManufacturerMappingStatus]&lt;&gt;"Approved",[@DeviceFamilyMappingStatus]&lt;&gt;"Approved",[@DeviceTypeMappingStatus]&lt;&gt;"Approved"),"Manual Review Required","Approved Crosswalk Available")</f>
        <v/>
      </c>
      <c r="Q435" t="inlineStr">
        <is>
          <t>Pending Review</t>
        </is>
      </c>
    </row>
    <row r="436" ht="21.5" customHeight="1" s="42">
      <c r="A436" s="36" t="n"/>
      <c r="B436" s="35" t="n"/>
      <c r="C436" s="35" t="n"/>
      <c r="D436" s="35" t="n"/>
      <c r="E436" s="39" t="n"/>
      <c r="F436" s="39" t="n"/>
      <c r="G436" s="10" t="inlineStr">
        <is>
          <t>MOD000433</t>
        </is>
      </c>
      <c r="H436" s="14" t="inlineStr">
        <is>
          <t>MFG005</t>
        </is>
      </c>
      <c r="I436" s="14" t="inlineStr">
        <is>
          <t>DF056</t>
        </is>
      </c>
      <c r="J436" s="14">
        <f>XLOOKUP([@ManufacturerID],tblManufacturerIDCrosswalk[LegacyManufacturerID],tblManufacturerIDCrosswalk[CanonicalManufacturerID],"")</f>
        <v/>
      </c>
      <c r="K436" s="7">
        <f>XLOOKUP([@DeviceFamilyID],tblDeviceFamilyIDCrosswalk[LegacyDeviceFamilyID],tblDeviceFamilyIDCrosswalk[CanonicalDeviceFamilyID],"")</f>
        <v/>
      </c>
      <c r="L436" s="7">
        <f>XLOOKUP([@DeviceTypeID],tblDeviceTypeIDCrosswalk[LegacyDeviceTypeID],tblDeviceTypeIDCrosswalk[CanonicalDeviceTypeID],"")</f>
        <v/>
      </c>
      <c r="M436" s="14">
        <f>XLOOKUP([@ManufacturerID],tblManufacturerIDCrosswalk[LegacyManufacturerID],tblManufacturerIDCrosswalk[MappingStatus],"No Crosswalk")</f>
        <v/>
      </c>
      <c r="N436" s="35">
        <f>XLOOKUP([@DeviceFamilyID],tblDeviceFamilyIDCrosswalk[LegacyDeviceFamilyID],tblDeviceFamilyIDCrosswalk[MappingStatus],"No Crosswalk")</f>
        <v/>
      </c>
      <c r="O436" s="35">
        <f>XLOOKUP([@DeviceTypeID],tblDeviceTypeIDCrosswalk[LegacyDeviceTypeID],tblDeviceTypeIDCrosswalk[MappingStatus],"No Crosswalk")</f>
        <v/>
      </c>
      <c r="P436">
        <f>IF(OR([@ManufacturerMappingStatus]&lt;&gt;"Approved",[@DeviceFamilyMappingStatus]&lt;&gt;"Approved",[@DeviceTypeMappingStatus]&lt;&gt;"Approved"),"Manual Review Required","Approved Crosswalk Available")</f>
        <v/>
      </c>
      <c r="Q436" t="inlineStr">
        <is>
          <t>Pending Review</t>
        </is>
      </c>
    </row>
    <row r="437" ht="21.5" customHeight="1" s="42">
      <c r="A437" s="36" t="n"/>
      <c r="B437" s="35" t="n"/>
      <c r="C437" s="35" t="n"/>
      <c r="D437" s="35" t="n"/>
      <c r="E437" s="39" t="n"/>
      <c r="F437" s="39" t="n"/>
      <c r="G437" s="10" t="inlineStr">
        <is>
          <t>MOD000434</t>
        </is>
      </c>
      <c r="H437" s="14" t="inlineStr">
        <is>
          <t>MFG006</t>
        </is>
      </c>
      <c r="I437" s="14" t="inlineStr">
        <is>
          <t>DF060</t>
        </is>
      </c>
      <c r="J437" s="14">
        <f>XLOOKUP([@ManufacturerID],tblManufacturerIDCrosswalk[LegacyManufacturerID],tblManufacturerIDCrosswalk[CanonicalManufacturerID],"")</f>
        <v/>
      </c>
      <c r="K437" s="7">
        <f>XLOOKUP([@DeviceFamilyID],tblDeviceFamilyIDCrosswalk[LegacyDeviceFamilyID],tblDeviceFamilyIDCrosswalk[CanonicalDeviceFamilyID],"")</f>
        <v/>
      </c>
      <c r="L437" s="7">
        <f>XLOOKUP([@DeviceTypeID],tblDeviceTypeIDCrosswalk[LegacyDeviceTypeID],tblDeviceTypeIDCrosswalk[CanonicalDeviceTypeID],"")</f>
        <v/>
      </c>
      <c r="M437" s="14">
        <f>XLOOKUP([@ManufacturerID],tblManufacturerIDCrosswalk[LegacyManufacturerID],tblManufacturerIDCrosswalk[MappingStatus],"No Crosswalk")</f>
        <v/>
      </c>
      <c r="N437" s="35">
        <f>XLOOKUP([@DeviceFamilyID],tblDeviceFamilyIDCrosswalk[LegacyDeviceFamilyID],tblDeviceFamilyIDCrosswalk[MappingStatus],"No Crosswalk")</f>
        <v/>
      </c>
      <c r="O437" s="35">
        <f>XLOOKUP([@DeviceTypeID],tblDeviceTypeIDCrosswalk[LegacyDeviceTypeID],tblDeviceTypeIDCrosswalk[MappingStatus],"No Crosswalk")</f>
        <v/>
      </c>
      <c r="P437">
        <f>IF(OR([@ManufacturerMappingStatus]&lt;&gt;"Approved",[@DeviceFamilyMappingStatus]&lt;&gt;"Approved",[@DeviceTypeMappingStatus]&lt;&gt;"Approved"),"Manual Review Required","Approved Crosswalk Available")</f>
        <v/>
      </c>
      <c r="Q437" t="inlineStr">
        <is>
          <t>Pending Review</t>
        </is>
      </c>
    </row>
    <row r="438" ht="21.5" customHeight="1" s="42">
      <c r="A438" s="36" t="n"/>
      <c r="B438" s="35" t="n"/>
      <c r="C438" s="35" t="n"/>
      <c r="D438" s="35" t="n"/>
      <c r="E438" s="39" t="n"/>
      <c r="F438" s="39" t="n"/>
      <c r="G438" s="10" t="inlineStr">
        <is>
          <t>MOD000435</t>
        </is>
      </c>
      <c r="H438" s="14" t="inlineStr">
        <is>
          <t>MFG006</t>
        </is>
      </c>
      <c r="I438" s="14" t="inlineStr">
        <is>
          <t>DF060</t>
        </is>
      </c>
      <c r="J438" s="14">
        <f>XLOOKUP([@ManufacturerID],tblManufacturerIDCrosswalk[LegacyManufacturerID],tblManufacturerIDCrosswalk[CanonicalManufacturerID],"")</f>
        <v/>
      </c>
      <c r="K438" s="7">
        <f>XLOOKUP([@DeviceFamilyID],tblDeviceFamilyIDCrosswalk[LegacyDeviceFamilyID],tblDeviceFamilyIDCrosswalk[CanonicalDeviceFamilyID],"")</f>
        <v/>
      </c>
      <c r="L438" s="7">
        <f>XLOOKUP([@DeviceTypeID],tblDeviceTypeIDCrosswalk[LegacyDeviceTypeID],tblDeviceTypeIDCrosswalk[CanonicalDeviceTypeID],"")</f>
        <v/>
      </c>
      <c r="M438" s="14">
        <f>XLOOKUP([@ManufacturerID],tblManufacturerIDCrosswalk[LegacyManufacturerID],tblManufacturerIDCrosswalk[MappingStatus],"No Crosswalk")</f>
        <v/>
      </c>
      <c r="N438" s="35">
        <f>XLOOKUP([@DeviceFamilyID],tblDeviceFamilyIDCrosswalk[LegacyDeviceFamilyID],tblDeviceFamilyIDCrosswalk[MappingStatus],"No Crosswalk")</f>
        <v/>
      </c>
      <c r="O438" s="35">
        <f>XLOOKUP([@DeviceTypeID],tblDeviceTypeIDCrosswalk[LegacyDeviceTypeID],tblDeviceTypeIDCrosswalk[MappingStatus],"No Crosswalk")</f>
        <v/>
      </c>
      <c r="P438">
        <f>IF(OR([@ManufacturerMappingStatus]&lt;&gt;"Approved",[@DeviceFamilyMappingStatus]&lt;&gt;"Approved",[@DeviceTypeMappingStatus]&lt;&gt;"Approved"),"Manual Review Required","Approved Crosswalk Available")</f>
        <v/>
      </c>
      <c r="Q438" t="inlineStr">
        <is>
          <t>Pending Review</t>
        </is>
      </c>
    </row>
    <row r="439" ht="21.5" customHeight="1" s="42">
      <c r="A439" s="36" t="n"/>
      <c r="B439" s="35" t="n"/>
      <c r="C439" s="35" t="n"/>
      <c r="D439" s="35" t="n"/>
      <c r="E439" s="39" t="n"/>
      <c r="F439" s="39" t="n"/>
      <c r="G439" s="10" t="inlineStr">
        <is>
          <t>MOD000436</t>
        </is>
      </c>
      <c r="H439" s="14" t="inlineStr">
        <is>
          <t>MFG006</t>
        </is>
      </c>
      <c r="I439" s="14" t="inlineStr">
        <is>
          <t>DF060</t>
        </is>
      </c>
      <c r="J439" s="14">
        <f>XLOOKUP([@ManufacturerID],tblManufacturerIDCrosswalk[LegacyManufacturerID],tblManufacturerIDCrosswalk[CanonicalManufacturerID],"")</f>
        <v/>
      </c>
      <c r="K439" s="7">
        <f>XLOOKUP([@DeviceFamilyID],tblDeviceFamilyIDCrosswalk[LegacyDeviceFamilyID],tblDeviceFamilyIDCrosswalk[CanonicalDeviceFamilyID],"")</f>
        <v/>
      </c>
      <c r="L439" s="7">
        <f>XLOOKUP([@DeviceTypeID],tblDeviceTypeIDCrosswalk[LegacyDeviceTypeID],tblDeviceTypeIDCrosswalk[CanonicalDeviceTypeID],"")</f>
        <v/>
      </c>
      <c r="M439" s="14">
        <f>XLOOKUP([@ManufacturerID],tblManufacturerIDCrosswalk[LegacyManufacturerID],tblManufacturerIDCrosswalk[MappingStatus],"No Crosswalk")</f>
        <v/>
      </c>
      <c r="N439" s="35">
        <f>XLOOKUP([@DeviceFamilyID],tblDeviceFamilyIDCrosswalk[LegacyDeviceFamilyID],tblDeviceFamilyIDCrosswalk[MappingStatus],"No Crosswalk")</f>
        <v/>
      </c>
      <c r="O439" s="35">
        <f>XLOOKUP([@DeviceTypeID],tblDeviceTypeIDCrosswalk[LegacyDeviceTypeID],tblDeviceTypeIDCrosswalk[MappingStatus],"No Crosswalk")</f>
        <v/>
      </c>
      <c r="P439">
        <f>IF(OR([@ManufacturerMappingStatus]&lt;&gt;"Approved",[@DeviceFamilyMappingStatus]&lt;&gt;"Approved",[@DeviceTypeMappingStatus]&lt;&gt;"Approved"),"Manual Review Required","Approved Crosswalk Available")</f>
        <v/>
      </c>
      <c r="Q439" t="inlineStr">
        <is>
          <t>Pending Review</t>
        </is>
      </c>
    </row>
    <row r="440" ht="21.5" customHeight="1" s="42">
      <c r="A440" s="36" t="n"/>
      <c r="B440" s="35" t="n"/>
      <c r="C440" s="35" t="n"/>
      <c r="D440" s="35" t="n"/>
      <c r="E440" s="39" t="n"/>
      <c r="F440" s="39" t="n"/>
      <c r="G440" s="10" t="inlineStr">
        <is>
          <t>MOD000437</t>
        </is>
      </c>
      <c r="H440" s="14" t="inlineStr">
        <is>
          <t>MFG006</t>
        </is>
      </c>
      <c r="I440" s="14" t="inlineStr">
        <is>
          <t>DF060</t>
        </is>
      </c>
      <c r="J440" s="14">
        <f>XLOOKUP([@ManufacturerID],tblManufacturerIDCrosswalk[LegacyManufacturerID],tblManufacturerIDCrosswalk[CanonicalManufacturerID],"")</f>
        <v/>
      </c>
      <c r="K440" s="7">
        <f>XLOOKUP([@DeviceFamilyID],tblDeviceFamilyIDCrosswalk[LegacyDeviceFamilyID],tblDeviceFamilyIDCrosswalk[CanonicalDeviceFamilyID],"")</f>
        <v/>
      </c>
      <c r="L440" s="7">
        <f>XLOOKUP([@DeviceTypeID],tblDeviceTypeIDCrosswalk[LegacyDeviceTypeID],tblDeviceTypeIDCrosswalk[CanonicalDeviceTypeID],"")</f>
        <v/>
      </c>
      <c r="M440" s="14">
        <f>XLOOKUP([@ManufacturerID],tblManufacturerIDCrosswalk[LegacyManufacturerID],tblManufacturerIDCrosswalk[MappingStatus],"No Crosswalk")</f>
        <v/>
      </c>
      <c r="N440" s="35">
        <f>XLOOKUP([@DeviceFamilyID],tblDeviceFamilyIDCrosswalk[LegacyDeviceFamilyID],tblDeviceFamilyIDCrosswalk[MappingStatus],"No Crosswalk")</f>
        <v/>
      </c>
      <c r="O440" s="35">
        <f>XLOOKUP([@DeviceTypeID],tblDeviceTypeIDCrosswalk[LegacyDeviceTypeID],tblDeviceTypeIDCrosswalk[MappingStatus],"No Crosswalk")</f>
        <v/>
      </c>
      <c r="P440">
        <f>IF(OR([@ManufacturerMappingStatus]&lt;&gt;"Approved",[@DeviceFamilyMappingStatus]&lt;&gt;"Approved",[@DeviceTypeMappingStatus]&lt;&gt;"Approved"),"Manual Review Required","Approved Crosswalk Available")</f>
        <v/>
      </c>
      <c r="Q440" t="inlineStr">
        <is>
          <t>Pending Review</t>
        </is>
      </c>
    </row>
    <row r="441" ht="21.5" customHeight="1" s="42">
      <c r="A441" s="36" t="n"/>
      <c r="B441" s="35" t="n"/>
      <c r="C441" s="35" t="n"/>
      <c r="D441" s="35" t="n"/>
      <c r="E441" s="39" t="n"/>
      <c r="F441" s="39" t="n"/>
      <c r="G441" s="10" t="inlineStr">
        <is>
          <t>MOD000438</t>
        </is>
      </c>
      <c r="H441" s="14" t="inlineStr">
        <is>
          <t>MFG006</t>
        </is>
      </c>
      <c r="I441" s="14" t="inlineStr">
        <is>
          <t>DF060</t>
        </is>
      </c>
      <c r="J441" s="14">
        <f>XLOOKUP([@ManufacturerID],tblManufacturerIDCrosswalk[LegacyManufacturerID],tblManufacturerIDCrosswalk[CanonicalManufacturerID],"")</f>
        <v/>
      </c>
      <c r="K441" s="7">
        <f>XLOOKUP([@DeviceFamilyID],tblDeviceFamilyIDCrosswalk[LegacyDeviceFamilyID],tblDeviceFamilyIDCrosswalk[CanonicalDeviceFamilyID],"")</f>
        <v/>
      </c>
      <c r="L441" s="7">
        <f>XLOOKUP([@DeviceTypeID],tblDeviceTypeIDCrosswalk[LegacyDeviceTypeID],tblDeviceTypeIDCrosswalk[CanonicalDeviceTypeID],"")</f>
        <v/>
      </c>
      <c r="M441" s="14">
        <f>XLOOKUP([@ManufacturerID],tblManufacturerIDCrosswalk[LegacyManufacturerID],tblManufacturerIDCrosswalk[MappingStatus],"No Crosswalk")</f>
        <v/>
      </c>
      <c r="N441" s="35">
        <f>XLOOKUP([@DeviceFamilyID],tblDeviceFamilyIDCrosswalk[LegacyDeviceFamilyID],tblDeviceFamilyIDCrosswalk[MappingStatus],"No Crosswalk")</f>
        <v/>
      </c>
      <c r="O441" s="35">
        <f>XLOOKUP([@DeviceTypeID],tblDeviceTypeIDCrosswalk[LegacyDeviceTypeID],tblDeviceTypeIDCrosswalk[MappingStatus],"No Crosswalk")</f>
        <v/>
      </c>
      <c r="P441">
        <f>IF(OR([@ManufacturerMappingStatus]&lt;&gt;"Approved",[@DeviceFamilyMappingStatus]&lt;&gt;"Approved",[@DeviceTypeMappingStatus]&lt;&gt;"Approved"),"Manual Review Required","Approved Crosswalk Available")</f>
        <v/>
      </c>
      <c r="Q441" t="inlineStr">
        <is>
          <t>Pending Review</t>
        </is>
      </c>
    </row>
    <row r="442" ht="21.5" customHeight="1" s="42">
      <c r="A442" s="36" t="n"/>
      <c r="B442" s="35" t="n"/>
      <c r="C442" s="35" t="n"/>
      <c r="D442" s="35" t="n"/>
      <c r="E442" s="39" t="n"/>
      <c r="F442" s="39" t="n"/>
      <c r="G442" s="10" t="inlineStr">
        <is>
          <t>MOD000439</t>
        </is>
      </c>
      <c r="H442" s="14" t="inlineStr">
        <is>
          <t>MFG006</t>
        </is>
      </c>
      <c r="I442" s="14" t="inlineStr">
        <is>
          <t>DF061</t>
        </is>
      </c>
      <c r="J442" s="14">
        <f>XLOOKUP([@ManufacturerID],tblManufacturerIDCrosswalk[LegacyManufacturerID],tblManufacturerIDCrosswalk[CanonicalManufacturerID],"")</f>
        <v/>
      </c>
      <c r="K442" s="7">
        <f>XLOOKUP([@DeviceFamilyID],tblDeviceFamilyIDCrosswalk[LegacyDeviceFamilyID],tblDeviceFamilyIDCrosswalk[CanonicalDeviceFamilyID],"")</f>
        <v/>
      </c>
      <c r="L442" s="7">
        <f>XLOOKUP([@DeviceTypeID],tblDeviceTypeIDCrosswalk[LegacyDeviceTypeID],tblDeviceTypeIDCrosswalk[CanonicalDeviceTypeID],"")</f>
        <v/>
      </c>
      <c r="M442" s="14">
        <f>XLOOKUP([@ManufacturerID],tblManufacturerIDCrosswalk[LegacyManufacturerID],tblManufacturerIDCrosswalk[MappingStatus],"No Crosswalk")</f>
        <v/>
      </c>
      <c r="N442" s="35">
        <f>XLOOKUP([@DeviceFamilyID],tblDeviceFamilyIDCrosswalk[LegacyDeviceFamilyID],tblDeviceFamilyIDCrosswalk[MappingStatus],"No Crosswalk")</f>
        <v/>
      </c>
      <c r="O442" s="35">
        <f>XLOOKUP([@DeviceTypeID],tblDeviceTypeIDCrosswalk[LegacyDeviceTypeID],tblDeviceTypeIDCrosswalk[MappingStatus],"No Crosswalk")</f>
        <v/>
      </c>
      <c r="P442">
        <f>IF(OR([@ManufacturerMappingStatus]&lt;&gt;"Approved",[@DeviceFamilyMappingStatus]&lt;&gt;"Approved",[@DeviceTypeMappingStatus]&lt;&gt;"Approved"),"Manual Review Required","Approved Crosswalk Available")</f>
        <v/>
      </c>
      <c r="Q442" t="inlineStr">
        <is>
          <t>Pending Review</t>
        </is>
      </c>
    </row>
    <row r="443" ht="21.5" customHeight="1" s="42">
      <c r="A443" s="36" t="n"/>
      <c r="B443" s="35" t="n"/>
      <c r="C443" s="35" t="n"/>
      <c r="D443" s="35" t="n"/>
      <c r="E443" s="39" t="n"/>
      <c r="F443" s="39" t="n"/>
      <c r="G443" s="10" t="inlineStr">
        <is>
          <t>MOD000440</t>
        </is>
      </c>
      <c r="H443" s="14" t="inlineStr">
        <is>
          <t>MFG006</t>
        </is>
      </c>
      <c r="I443" s="14" t="inlineStr">
        <is>
          <t>DF061</t>
        </is>
      </c>
      <c r="J443" s="14">
        <f>XLOOKUP([@ManufacturerID],tblManufacturerIDCrosswalk[LegacyManufacturerID],tblManufacturerIDCrosswalk[CanonicalManufacturerID],"")</f>
        <v/>
      </c>
      <c r="K443" s="7">
        <f>XLOOKUP([@DeviceFamilyID],tblDeviceFamilyIDCrosswalk[LegacyDeviceFamilyID],tblDeviceFamilyIDCrosswalk[CanonicalDeviceFamilyID],"")</f>
        <v/>
      </c>
      <c r="L443" s="7">
        <f>XLOOKUP([@DeviceTypeID],tblDeviceTypeIDCrosswalk[LegacyDeviceTypeID],tblDeviceTypeIDCrosswalk[CanonicalDeviceTypeID],"")</f>
        <v/>
      </c>
      <c r="M443" s="14">
        <f>XLOOKUP([@ManufacturerID],tblManufacturerIDCrosswalk[LegacyManufacturerID],tblManufacturerIDCrosswalk[MappingStatus],"No Crosswalk")</f>
        <v/>
      </c>
      <c r="N443" s="35">
        <f>XLOOKUP([@DeviceFamilyID],tblDeviceFamilyIDCrosswalk[LegacyDeviceFamilyID],tblDeviceFamilyIDCrosswalk[MappingStatus],"No Crosswalk")</f>
        <v/>
      </c>
      <c r="O443" s="35">
        <f>XLOOKUP([@DeviceTypeID],tblDeviceTypeIDCrosswalk[LegacyDeviceTypeID],tblDeviceTypeIDCrosswalk[MappingStatus],"No Crosswalk")</f>
        <v/>
      </c>
      <c r="P443">
        <f>IF(OR([@ManufacturerMappingStatus]&lt;&gt;"Approved",[@DeviceFamilyMappingStatus]&lt;&gt;"Approved",[@DeviceTypeMappingStatus]&lt;&gt;"Approved"),"Manual Review Required","Approved Crosswalk Available")</f>
        <v/>
      </c>
      <c r="Q443" t="inlineStr">
        <is>
          <t>Pending Review</t>
        </is>
      </c>
    </row>
    <row r="444" ht="21.5" customHeight="1" s="42">
      <c r="A444" s="36" t="n"/>
      <c r="B444" s="35" t="n"/>
      <c r="C444" s="35" t="n"/>
      <c r="D444" s="35" t="n"/>
      <c r="E444" s="39" t="n"/>
      <c r="F444" s="39" t="n"/>
      <c r="G444" s="10" t="inlineStr">
        <is>
          <t>MOD000441</t>
        </is>
      </c>
      <c r="H444" s="14" t="inlineStr">
        <is>
          <t>MFG006</t>
        </is>
      </c>
      <c r="I444" s="14" t="inlineStr">
        <is>
          <t>DF061</t>
        </is>
      </c>
      <c r="J444" s="14">
        <f>XLOOKUP([@ManufacturerID],tblManufacturerIDCrosswalk[LegacyManufacturerID],tblManufacturerIDCrosswalk[CanonicalManufacturerID],"")</f>
        <v/>
      </c>
      <c r="K444" s="7">
        <f>XLOOKUP([@DeviceFamilyID],tblDeviceFamilyIDCrosswalk[LegacyDeviceFamilyID],tblDeviceFamilyIDCrosswalk[CanonicalDeviceFamilyID],"")</f>
        <v/>
      </c>
      <c r="L444" s="7">
        <f>XLOOKUP([@DeviceTypeID],tblDeviceTypeIDCrosswalk[LegacyDeviceTypeID],tblDeviceTypeIDCrosswalk[CanonicalDeviceTypeID],"")</f>
        <v/>
      </c>
      <c r="M444" s="14">
        <f>XLOOKUP([@ManufacturerID],tblManufacturerIDCrosswalk[LegacyManufacturerID],tblManufacturerIDCrosswalk[MappingStatus],"No Crosswalk")</f>
        <v/>
      </c>
      <c r="N444" s="35">
        <f>XLOOKUP([@DeviceFamilyID],tblDeviceFamilyIDCrosswalk[LegacyDeviceFamilyID],tblDeviceFamilyIDCrosswalk[MappingStatus],"No Crosswalk")</f>
        <v/>
      </c>
      <c r="O444" s="35">
        <f>XLOOKUP([@DeviceTypeID],tblDeviceTypeIDCrosswalk[LegacyDeviceTypeID],tblDeviceTypeIDCrosswalk[MappingStatus],"No Crosswalk")</f>
        <v/>
      </c>
      <c r="P444">
        <f>IF(OR([@ManufacturerMappingStatus]&lt;&gt;"Approved",[@DeviceFamilyMappingStatus]&lt;&gt;"Approved",[@DeviceTypeMappingStatus]&lt;&gt;"Approved"),"Manual Review Required","Approved Crosswalk Available")</f>
        <v/>
      </c>
      <c r="Q444" t="inlineStr">
        <is>
          <t>Pending Review</t>
        </is>
      </c>
    </row>
    <row r="445" ht="21.5" customHeight="1" s="42">
      <c r="A445" s="36" t="n"/>
      <c r="B445" s="35" t="n"/>
      <c r="C445" s="35" t="n"/>
      <c r="D445" s="35" t="n"/>
      <c r="E445" s="39" t="n"/>
      <c r="F445" s="39" t="n"/>
      <c r="G445" s="10" t="inlineStr">
        <is>
          <t>MOD000442</t>
        </is>
      </c>
      <c r="H445" s="14" t="inlineStr">
        <is>
          <t>MFG006</t>
        </is>
      </c>
      <c r="I445" s="14" t="inlineStr">
        <is>
          <t>DF061</t>
        </is>
      </c>
      <c r="J445" s="14">
        <f>XLOOKUP([@ManufacturerID],tblManufacturerIDCrosswalk[LegacyManufacturerID],tblManufacturerIDCrosswalk[CanonicalManufacturerID],"")</f>
        <v/>
      </c>
      <c r="K445" s="7">
        <f>XLOOKUP([@DeviceFamilyID],tblDeviceFamilyIDCrosswalk[LegacyDeviceFamilyID],tblDeviceFamilyIDCrosswalk[CanonicalDeviceFamilyID],"")</f>
        <v/>
      </c>
      <c r="L445" s="7">
        <f>XLOOKUP([@DeviceTypeID],tblDeviceTypeIDCrosswalk[LegacyDeviceTypeID],tblDeviceTypeIDCrosswalk[CanonicalDeviceTypeID],"")</f>
        <v/>
      </c>
      <c r="M445" s="14">
        <f>XLOOKUP([@ManufacturerID],tblManufacturerIDCrosswalk[LegacyManufacturerID],tblManufacturerIDCrosswalk[MappingStatus],"No Crosswalk")</f>
        <v/>
      </c>
      <c r="N445" s="35">
        <f>XLOOKUP([@DeviceFamilyID],tblDeviceFamilyIDCrosswalk[LegacyDeviceFamilyID],tblDeviceFamilyIDCrosswalk[MappingStatus],"No Crosswalk")</f>
        <v/>
      </c>
      <c r="O445" s="35">
        <f>XLOOKUP([@DeviceTypeID],tblDeviceTypeIDCrosswalk[LegacyDeviceTypeID],tblDeviceTypeIDCrosswalk[MappingStatus],"No Crosswalk")</f>
        <v/>
      </c>
      <c r="P445">
        <f>IF(OR([@ManufacturerMappingStatus]&lt;&gt;"Approved",[@DeviceFamilyMappingStatus]&lt;&gt;"Approved",[@DeviceTypeMappingStatus]&lt;&gt;"Approved"),"Manual Review Required","Approved Crosswalk Available")</f>
        <v/>
      </c>
      <c r="Q445" t="inlineStr">
        <is>
          <t>Pending Review</t>
        </is>
      </c>
    </row>
    <row r="446" ht="21.5" customHeight="1" s="42">
      <c r="A446" s="36" t="n"/>
      <c r="B446" s="35" t="n"/>
      <c r="C446" s="35" t="n"/>
      <c r="D446" s="35" t="n"/>
      <c r="E446" s="39" t="n"/>
      <c r="F446" s="39" t="n"/>
      <c r="G446" s="10" t="inlineStr">
        <is>
          <t>MOD000443</t>
        </is>
      </c>
      <c r="H446" s="14" t="inlineStr">
        <is>
          <t>MFG006</t>
        </is>
      </c>
      <c r="I446" s="14" t="inlineStr">
        <is>
          <t>DF062</t>
        </is>
      </c>
      <c r="J446" s="14">
        <f>XLOOKUP([@ManufacturerID],tblManufacturerIDCrosswalk[LegacyManufacturerID],tblManufacturerIDCrosswalk[CanonicalManufacturerID],"")</f>
        <v/>
      </c>
      <c r="K446" s="7">
        <f>XLOOKUP([@DeviceFamilyID],tblDeviceFamilyIDCrosswalk[LegacyDeviceFamilyID],tblDeviceFamilyIDCrosswalk[CanonicalDeviceFamilyID],"")</f>
        <v/>
      </c>
      <c r="L446" s="7">
        <f>XLOOKUP([@DeviceTypeID],tblDeviceTypeIDCrosswalk[LegacyDeviceTypeID],tblDeviceTypeIDCrosswalk[CanonicalDeviceTypeID],"")</f>
        <v/>
      </c>
      <c r="M446" s="14">
        <f>XLOOKUP([@ManufacturerID],tblManufacturerIDCrosswalk[LegacyManufacturerID],tblManufacturerIDCrosswalk[MappingStatus],"No Crosswalk")</f>
        <v/>
      </c>
      <c r="N446" s="35">
        <f>XLOOKUP([@DeviceFamilyID],tblDeviceFamilyIDCrosswalk[LegacyDeviceFamilyID],tblDeviceFamilyIDCrosswalk[MappingStatus],"No Crosswalk")</f>
        <v/>
      </c>
      <c r="O446" s="35">
        <f>XLOOKUP([@DeviceTypeID],tblDeviceTypeIDCrosswalk[LegacyDeviceTypeID],tblDeviceTypeIDCrosswalk[MappingStatus],"No Crosswalk")</f>
        <v/>
      </c>
      <c r="P446">
        <f>IF(OR([@ManufacturerMappingStatus]&lt;&gt;"Approved",[@DeviceFamilyMappingStatus]&lt;&gt;"Approved",[@DeviceTypeMappingStatus]&lt;&gt;"Approved"),"Manual Review Required","Approved Crosswalk Available")</f>
        <v/>
      </c>
      <c r="Q446" t="inlineStr">
        <is>
          <t>Pending Review</t>
        </is>
      </c>
    </row>
    <row r="447" ht="21.5" customHeight="1" s="42">
      <c r="A447" s="36" t="n"/>
      <c r="B447" s="35" t="n"/>
      <c r="C447" s="35" t="n"/>
      <c r="D447" s="35" t="n"/>
      <c r="E447" s="39" t="n"/>
      <c r="F447" s="39" t="n"/>
      <c r="G447" s="10" t="inlineStr">
        <is>
          <t>MOD000444</t>
        </is>
      </c>
      <c r="H447" s="14" t="inlineStr">
        <is>
          <t>MFG006</t>
        </is>
      </c>
      <c r="I447" s="14" t="inlineStr">
        <is>
          <t>DF062</t>
        </is>
      </c>
      <c r="J447" s="14">
        <f>XLOOKUP([@ManufacturerID],tblManufacturerIDCrosswalk[LegacyManufacturerID],tblManufacturerIDCrosswalk[CanonicalManufacturerID],"")</f>
        <v/>
      </c>
      <c r="K447" s="7">
        <f>XLOOKUP([@DeviceFamilyID],tblDeviceFamilyIDCrosswalk[LegacyDeviceFamilyID],tblDeviceFamilyIDCrosswalk[CanonicalDeviceFamilyID],"")</f>
        <v/>
      </c>
      <c r="L447" s="7">
        <f>XLOOKUP([@DeviceTypeID],tblDeviceTypeIDCrosswalk[LegacyDeviceTypeID],tblDeviceTypeIDCrosswalk[CanonicalDeviceTypeID],"")</f>
        <v/>
      </c>
      <c r="M447" s="14">
        <f>XLOOKUP([@ManufacturerID],tblManufacturerIDCrosswalk[LegacyManufacturerID],tblManufacturerIDCrosswalk[MappingStatus],"No Crosswalk")</f>
        <v/>
      </c>
      <c r="N447" s="35">
        <f>XLOOKUP([@DeviceFamilyID],tblDeviceFamilyIDCrosswalk[LegacyDeviceFamilyID],tblDeviceFamilyIDCrosswalk[MappingStatus],"No Crosswalk")</f>
        <v/>
      </c>
      <c r="O447" s="35">
        <f>XLOOKUP([@DeviceTypeID],tblDeviceTypeIDCrosswalk[LegacyDeviceTypeID],tblDeviceTypeIDCrosswalk[MappingStatus],"No Crosswalk")</f>
        <v/>
      </c>
      <c r="P447">
        <f>IF(OR([@ManufacturerMappingStatus]&lt;&gt;"Approved",[@DeviceFamilyMappingStatus]&lt;&gt;"Approved",[@DeviceTypeMappingStatus]&lt;&gt;"Approved"),"Manual Review Required","Approved Crosswalk Available")</f>
        <v/>
      </c>
      <c r="Q447" t="inlineStr">
        <is>
          <t>Pending Review</t>
        </is>
      </c>
    </row>
    <row r="448" ht="21.5" customHeight="1" s="42">
      <c r="A448" s="36" t="n"/>
      <c r="B448" s="35" t="n"/>
      <c r="C448" s="35" t="n"/>
      <c r="D448" s="35" t="n"/>
      <c r="E448" s="39" t="n"/>
      <c r="F448" s="39" t="n"/>
      <c r="G448" s="10" t="inlineStr">
        <is>
          <t>MOD000445</t>
        </is>
      </c>
      <c r="H448" s="14" t="inlineStr">
        <is>
          <t>MFG006</t>
        </is>
      </c>
      <c r="I448" s="14" t="inlineStr">
        <is>
          <t>DF062</t>
        </is>
      </c>
      <c r="J448" s="14">
        <f>XLOOKUP([@ManufacturerID],tblManufacturerIDCrosswalk[LegacyManufacturerID],tblManufacturerIDCrosswalk[CanonicalManufacturerID],"")</f>
        <v/>
      </c>
      <c r="K448" s="7">
        <f>XLOOKUP([@DeviceFamilyID],tblDeviceFamilyIDCrosswalk[LegacyDeviceFamilyID],tblDeviceFamilyIDCrosswalk[CanonicalDeviceFamilyID],"")</f>
        <v/>
      </c>
      <c r="L448" s="7">
        <f>XLOOKUP([@DeviceTypeID],tblDeviceTypeIDCrosswalk[LegacyDeviceTypeID],tblDeviceTypeIDCrosswalk[CanonicalDeviceTypeID],"")</f>
        <v/>
      </c>
      <c r="M448" s="14">
        <f>XLOOKUP([@ManufacturerID],tblManufacturerIDCrosswalk[LegacyManufacturerID],tblManufacturerIDCrosswalk[MappingStatus],"No Crosswalk")</f>
        <v/>
      </c>
      <c r="N448" s="35">
        <f>XLOOKUP([@DeviceFamilyID],tblDeviceFamilyIDCrosswalk[LegacyDeviceFamilyID],tblDeviceFamilyIDCrosswalk[MappingStatus],"No Crosswalk")</f>
        <v/>
      </c>
      <c r="O448" s="35">
        <f>XLOOKUP([@DeviceTypeID],tblDeviceTypeIDCrosswalk[LegacyDeviceTypeID],tblDeviceTypeIDCrosswalk[MappingStatus],"No Crosswalk")</f>
        <v/>
      </c>
      <c r="P448">
        <f>IF(OR([@ManufacturerMappingStatus]&lt;&gt;"Approved",[@DeviceFamilyMappingStatus]&lt;&gt;"Approved",[@DeviceTypeMappingStatus]&lt;&gt;"Approved"),"Manual Review Required","Approved Crosswalk Available")</f>
        <v/>
      </c>
      <c r="Q448" t="inlineStr">
        <is>
          <t>Pending Review</t>
        </is>
      </c>
    </row>
    <row r="449" ht="21.5" customHeight="1" s="42">
      <c r="A449" s="36" t="n"/>
      <c r="B449" s="35" t="n"/>
      <c r="C449" s="35" t="n"/>
      <c r="D449" s="35" t="n"/>
      <c r="E449" s="39" t="n"/>
      <c r="F449" s="39" t="n"/>
      <c r="G449" s="10" t="inlineStr">
        <is>
          <t>MOD000446</t>
        </is>
      </c>
      <c r="H449" s="14" t="inlineStr">
        <is>
          <t>MFG006</t>
        </is>
      </c>
      <c r="I449" s="14" t="inlineStr">
        <is>
          <t>DF062</t>
        </is>
      </c>
      <c r="J449" s="14">
        <f>XLOOKUP([@ManufacturerID],tblManufacturerIDCrosswalk[LegacyManufacturerID],tblManufacturerIDCrosswalk[CanonicalManufacturerID],"")</f>
        <v/>
      </c>
      <c r="K449" s="7">
        <f>XLOOKUP([@DeviceFamilyID],tblDeviceFamilyIDCrosswalk[LegacyDeviceFamilyID],tblDeviceFamilyIDCrosswalk[CanonicalDeviceFamilyID],"")</f>
        <v/>
      </c>
      <c r="L449" s="7">
        <f>XLOOKUP([@DeviceTypeID],tblDeviceTypeIDCrosswalk[LegacyDeviceTypeID],tblDeviceTypeIDCrosswalk[CanonicalDeviceTypeID],"")</f>
        <v/>
      </c>
      <c r="M449" s="14">
        <f>XLOOKUP([@ManufacturerID],tblManufacturerIDCrosswalk[LegacyManufacturerID],tblManufacturerIDCrosswalk[MappingStatus],"No Crosswalk")</f>
        <v/>
      </c>
      <c r="N449" s="35">
        <f>XLOOKUP([@DeviceFamilyID],tblDeviceFamilyIDCrosswalk[LegacyDeviceFamilyID],tblDeviceFamilyIDCrosswalk[MappingStatus],"No Crosswalk")</f>
        <v/>
      </c>
      <c r="O449" s="35">
        <f>XLOOKUP([@DeviceTypeID],tblDeviceTypeIDCrosswalk[LegacyDeviceTypeID],tblDeviceTypeIDCrosswalk[MappingStatus],"No Crosswalk")</f>
        <v/>
      </c>
      <c r="P449">
        <f>IF(OR([@ManufacturerMappingStatus]&lt;&gt;"Approved",[@DeviceFamilyMappingStatus]&lt;&gt;"Approved",[@DeviceTypeMappingStatus]&lt;&gt;"Approved"),"Manual Review Required","Approved Crosswalk Available")</f>
        <v/>
      </c>
      <c r="Q449" t="inlineStr">
        <is>
          <t>Pending Review</t>
        </is>
      </c>
    </row>
    <row r="450" ht="21.5" customHeight="1" s="42">
      <c r="A450" s="36" t="n"/>
      <c r="B450" s="35" t="n"/>
      <c r="C450" s="35" t="n"/>
      <c r="D450" s="35" t="n"/>
      <c r="E450" s="39" t="n"/>
      <c r="F450" s="39" t="n"/>
      <c r="G450" s="10" t="inlineStr">
        <is>
          <t>MOD000447</t>
        </is>
      </c>
      <c r="H450" s="14" t="inlineStr">
        <is>
          <t>MFG006</t>
        </is>
      </c>
      <c r="I450" s="14" t="inlineStr">
        <is>
          <t>DF062</t>
        </is>
      </c>
      <c r="J450" s="14">
        <f>XLOOKUP([@ManufacturerID],tblManufacturerIDCrosswalk[LegacyManufacturerID],tblManufacturerIDCrosswalk[CanonicalManufacturerID],"")</f>
        <v/>
      </c>
      <c r="K450" s="7">
        <f>XLOOKUP([@DeviceFamilyID],tblDeviceFamilyIDCrosswalk[LegacyDeviceFamilyID],tblDeviceFamilyIDCrosswalk[CanonicalDeviceFamilyID],"")</f>
        <v/>
      </c>
      <c r="L450" s="7">
        <f>XLOOKUP([@DeviceTypeID],tblDeviceTypeIDCrosswalk[LegacyDeviceTypeID],tblDeviceTypeIDCrosswalk[CanonicalDeviceTypeID],"")</f>
        <v/>
      </c>
      <c r="M450" s="14">
        <f>XLOOKUP([@ManufacturerID],tblManufacturerIDCrosswalk[LegacyManufacturerID],tblManufacturerIDCrosswalk[MappingStatus],"No Crosswalk")</f>
        <v/>
      </c>
      <c r="N450" s="35">
        <f>XLOOKUP([@DeviceFamilyID],tblDeviceFamilyIDCrosswalk[LegacyDeviceFamilyID],tblDeviceFamilyIDCrosswalk[MappingStatus],"No Crosswalk")</f>
        <v/>
      </c>
      <c r="O450" s="35">
        <f>XLOOKUP([@DeviceTypeID],tblDeviceTypeIDCrosswalk[LegacyDeviceTypeID],tblDeviceTypeIDCrosswalk[MappingStatus],"No Crosswalk")</f>
        <v/>
      </c>
      <c r="P450">
        <f>IF(OR([@ManufacturerMappingStatus]&lt;&gt;"Approved",[@DeviceFamilyMappingStatus]&lt;&gt;"Approved",[@DeviceTypeMappingStatus]&lt;&gt;"Approved"),"Manual Review Required","Approved Crosswalk Available")</f>
        <v/>
      </c>
      <c r="Q450" t="inlineStr">
        <is>
          <t>Pending Review</t>
        </is>
      </c>
    </row>
    <row r="451" ht="21.5" customHeight="1" s="42">
      <c r="A451" s="36" t="n"/>
      <c r="B451" s="35" t="n"/>
      <c r="C451" s="35" t="n"/>
      <c r="D451" s="35" t="n"/>
      <c r="E451" s="39" t="n"/>
      <c r="F451" s="39" t="n"/>
      <c r="G451" s="10" t="inlineStr">
        <is>
          <t>MOD000448</t>
        </is>
      </c>
      <c r="H451" s="14" t="inlineStr">
        <is>
          <t>MFG006</t>
        </is>
      </c>
      <c r="I451" s="14" t="inlineStr">
        <is>
          <t>DF062</t>
        </is>
      </c>
      <c r="J451" s="14">
        <f>XLOOKUP([@ManufacturerID],tblManufacturerIDCrosswalk[LegacyManufacturerID],tblManufacturerIDCrosswalk[CanonicalManufacturerID],"")</f>
        <v/>
      </c>
      <c r="K451" s="7">
        <f>XLOOKUP([@DeviceFamilyID],tblDeviceFamilyIDCrosswalk[LegacyDeviceFamilyID],tblDeviceFamilyIDCrosswalk[CanonicalDeviceFamilyID],"")</f>
        <v/>
      </c>
      <c r="L451" s="7">
        <f>XLOOKUP([@DeviceTypeID],tblDeviceTypeIDCrosswalk[LegacyDeviceTypeID],tblDeviceTypeIDCrosswalk[CanonicalDeviceTypeID],"")</f>
        <v/>
      </c>
      <c r="M451" s="14">
        <f>XLOOKUP([@ManufacturerID],tblManufacturerIDCrosswalk[LegacyManufacturerID],tblManufacturerIDCrosswalk[MappingStatus],"No Crosswalk")</f>
        <v/>
      </c>
      <c r="N451" s="35">
        <f>XLOOKUP([@DeviceFamilyID],tblDeviceFamilyIDCrosswalk[LegacyDeviceFamilyID],tblDeviceFamilyIDCrosswalk[MappingStatus],"No Crosswalk")</f>
        <v/>
      </c>
      <c r="O451" s="35">
        <f>XLOOKUP([@DeviceTypeID],tblDeviceTypeIDCrosswalk[LegacyDeviceTypeID],tblDeviceTypeIDCrosswalk[MappingStatus],"No Crosswalk")</f>
        <v/>
      </c>
      <c r="P451">
        <f>IF(OR([@ManufacturerMappingStatus]&lt;&gt;"Approved",[@DeviceFamilyMappingStatus]&lt;&gt;"Approved",[@DeviceTypeMappingStatus]&lt;&gt;"Approved"),"Manual Review Required","Approved Crosswalk Available")</f>
        <v/>
      </c>
      <c r="Q451" t="inlineStr">
        <is>
          <t>Pending Review</t>
        </is>
      </c>
    </row>
    <row r="452" ht="21.5" customHeight="1" s="42">
      <c r="A452" s="36" t="n"/>
      <c r="B452" s="35" t="n"/>
      <c r="C452" s="35" t="n"/>
      <c r="D452" s="35" t="n"/>
      <c r="E452" s="39" t="n"/>
      <c r="F452" s="39" t="n"/>
      <c r="G452" s="10" t="inlineStr">
        <is>
          <t>MOD000449</t>
        </is>
      </c>
      <c r="H452" s="14" t="inlineStr">
        <is>
          <t>MFG006</t>
        </is>
      </c>
      <c r="I452" s="14" t="inlineStr">
        <is>
          <t>DF063</t>
        </is>
      </c>
      <c r="J452" s="14">
        <f>XLOOKUP([@ManufacturerID],tblManufacturerIDCrosswalk[LegacyManufacturerID],tblManufacturerIDCrosswalk[CanonicalManufacturerID],"")</f>
        <v/>
      </c>
      <c r="K452" s="7">
        <f>XLOOKUP([@DeviceFamilyID],tblDeviceFamilyIDCrosswalk[LegacyDeviceFamilyID],tblDeviceFamilyIDCrosswalk[CanonicalDeviceFamilyID],"")</f>
        <v/>
      </c>
      <c r="L452" s="7">
        <f>XLOOKUP([@DeviceTypeID],tblDeviceTypeIDCrosswalk[LegacyDeviceTypeID],tblDeviceTypeIDCrosswalk[CanonicalDeviceTypeID],"")</f>
        <v/>
      </c>
      <c r="M452" s="14">
        <f>XLOOKUP([@ManufacturerID],tblManufacturerIDCrosswalk[LegacyManufacturerID],tblManufacturerIDCrosswalk[MappingStatus],"No Crosswalk")</f>
        <v/>
      </c>
      <c r="N452" s="35">
        <f>XLOOKUP([@DeviceFamilyID],tblDeviceFamilyIDCrosswalk[LegacyDeviceFamilyID],tblDeviceFamilyIDCrosswalk[MappingStatus],"No Crosswalk")</f>
        <v/>
      </c>
      <c r="O452" s="35">
        <f>XLOOKUP([@DeviceTypeID],tblDeviceTypeIDCrosswalk[LegacyDeviceTypeID],tblDeviceTypeIDCrosswalk[MappingStatus],"No Crosswalk")</f>
        <v/>
      </c>
      <c r="P452">
        <f>IF(OR([@ManufacturerMappingStatus]&lt;&gt;"Approved",[@DeviceFamilyMappingStatus]&lt;&gt;"Approved",[@DeviceTypeMappingStatus]&lt;&gt;"Approved"),"Manual Review Required","Approved Crosswalk Available")</f>
        <v/>
      </c>
      <c r="Q452" t="inlineStr">
        <is>
          <t>Pending Review</t>
        </is>
      </c>
    </row>
    <row r="453" ht="21.5" customHeight="1" s="42">
      <c r="A453" s="36" t="n"/>
      <c r="B453" s="35" t="n"/>
      <c r="C453" s="35" t="n"/>
      <c r="D453" s="35" t="n"/>
      <c r="E453" s="39" t="n"/>
      <c r="F453" s="39" t="n"/>
      <c r="G453" s="10" t="inlineStr">
        <is>
          <t>MOD000450</t>
        </is>
      </c>
      <c r="H453" s="14" t="inlineStr">
        <is>
          <t>MFG006</t>
        </is>
      </c>
      <c r="I453" s="14" t="inlineStr">
        <is>
          <t>DF063</t>
        </is>
      </c>
      <c r="J453" s="14">
        <f>XLOOKUP([@ManufacturerID],tblManufacturerIDCrosswalk[LegacyManufacturerID],tblManufacturerIDCrosswalk[CanonicalManufacturerID],"")</f>
        <v/>
      </c>
      <c r="K453" s="7">
        <f>XLOOKUP([@DeviceFamilyID],tblDeviceFamilyIDCrosswalk[LegacyDeviceFamilyID],tblDeviceFamilyIDCrosswalk[CanonicalDeviceFamilyID],"")</f>
        <v/>
      </c>
      <c r="L453" s="7">
        <f>XLOOKUP([@DeviceTypeID],tblDeviceTypeIDCrosswalk[LegacyDeviceTypeID],tblDeviceTypeIDCrosswalk[CanonicalDeviceTypeID],"")</f>
        <v/>
      </c>
      <c r="M453" s="14">
        <f>XLOOKUP([@ManufacturerID],tblManufacturerIDCrosswalk[LegacyManufacturerID],tblManufacturerIDCrosswalk[MappingStatus],"No Crosswalk")</f>
        <v/>
      </c>
      <c r="N453" s="35">
        <f>XLOOKUP([@DeviceFamilyID],tblDeviceFamilyIDCrosswalk[LegacyDeviceFamilyID],tblDeviceFamilyIDCrosswalk[MappingStatus],"No Crosswalk")</f>
        <v/>
      </c>
      <c r="O453" s="35">
        <f>XLOOKUP([@DeviceTypeID],tblDeviceTypeIDCrosswalk[LegacyDeviceTypeID],tblDeviceTypeIDCrosswalk[MappingStatus],"No Crosswalk")</f>
        <v/>
      </c>
      <c r="P453">
        <f>IF(OR([@ManufacturerMappingStatus]&lt;&gt;"Approved",[@DeviceFamilyMappingStatus]&lt;&gt;"Approved",[@DeviceTypeMappingStatus]&lt;&gt;"Approved"),"Manual Review Required","Approved Crosswalk Available")</f>
        <v/>
      </c>
      <c r="Q453" t="inlineStr">
        <is>
          <t>Pending Review</t>
        </is>
      </c>
    </row>
    <row r="454" ht="21.5" customHeight="1" s="42">
      <c r="A454" s="36" t="n"/>
      <c r="B454" s="35" t="n"/>
      <c r="C454" s="35" t="n"/>
      <c r="D454" s="35" t="n"/>
      <c r="E454" s="39" t="n"/>
      <c r="F454" s="39" t="n"/>
      <c r="G454" s="10" t="inlineStr">
        <is>
          <t>MOD000451</t>
        </is>
      </c>
      <c r="H454" s="14" t="inlineStr">
        <is>
          <t>MFG006</t>
        </is>
      </c>
      <c r="I454" s="14" t="inlineStr">
        <is>
          <t>DF064</t>
        </is>
      </c>
      <c r="J454" s="14">
        <f>XLOOKUP([@ManufacturerID],tblManufacturerIDCrosswalk[LegacyManufacturerID],tblManufacturerIDCrosswalk[CanonicalManufacturerID],"")</f>
        <v/>
      </c>
      <c r="K454" s="7">
        <f>XLOOKUP([@DeviceFamilyID],tblDeviceFamilyIDCrosswalk[LegacyDeviceFamilyID],tblDeviceFamilyIDCrosswalk[CanonicalDeviceFamilyID],"")</f>
        <v/>
      </c>
      <c r="L454" s="7">
        <f>XLOOKUP([@DeviceTypeID],tblDeviceTypeIDCrosswalk[LegacyDeviceTypeID],tblDeviceTypeIDCrosswalk[CanonicalDeviceTypeID],"")</f>
        <v/>
      </c>
      <c r="M454" s="14">
        <f>XLOOKUP([@ManufacturerID],tblManufacturerIDCrosswalk[LegacyManufacturerID],tblManufacturerIDCrosswalk[MappingStatus],"No Crosswalk")</f>
        <v/>
      </c>
      <c r="N454" s="35">
        <f>XLOOKUP([@DeviceFamilyID],tblDeviceFamilyIDCrosswalk[LegacyDeviceFamilyID],tblDeviceFamilyIDCrosswalk[MappingStatus],"No Crosswalk")</f>
        <v/>
      </c>
      <c r="O454" s="35">
        <f>XLOOKUP([@DeviceTypeID],tblDeviceTypeIDCrosswalk[LegacyDeviceTypeID],tblDeviceTypeIDCrosswalk[MappingStatus],"No Crosswalk")</f>
        <v/>
      </c>
      <c r="P454">
        <f>IF(OR([@ManufacturerMappingStatus]&lt;&gt;"Approved",[@DeviceFamilyMappingStatus]&lt;&gt;"Approved",[@DeviceTypeMappingStatus]&lt;&gt;"Approved"),"Manual Review Required","Approved Crosswalk Available")</f>
        <v/>
      </c>
      <c r="Q454" t="inlineStr">
        <is>
          <t>Pending Review</t>
        </is>
      </c>
    </row>
    <row r="455" ht="21.5" customHeight="1" s="42">
      <c r="A455" s="36" t="n"/>
      <c r="B455" s="35" t="n"/>
      <c r="C455" s="35" t="n"/>
      <c r="D455" s="35" t="n"/>
      <c r="E455" s="39" t="n"/>
      <c r="F455" s="39" t="n"/>
      <c r="G455" s="10" t="inlineStr">
        <is>
          <t>MOD000452</t>
        </is>
      </c>
      <c r="H455" s="14" t="inlineStr">
        <is>
          <t>MFG006</t>
        </is>
      </c>
      <c r="I455" s="14" t="inlineStr">
        <is>
          <t>DF064</t>
        </is>
      </c>
      <c r="J455" s="14">
        <f>XLOOKUP([@ManufacturerID],tblManufacturerIDCrosswalk[LegacyManufacturerID],tblManufacturerIDCrosswalk[CanonicalManufacturerID],"")</f>
        <v/>
      </c>
      <c r="K455" s="7">
        <f>XLOOKUP([@DeviceFamilyID],tblDeviceFamilyIDCrosswalk[LegacyDeviceFamilyID],tblDeviceFamilyIDCrosswalk[CanonicalDeviceFamilyID],"")</f>
        <v/>
      </c>
      <c r="L455" s="7">
        <f>XLOOKUP([@DeviceTypeID],tblDeviceTypeIDCrosswalk[LegacyDeviceTypeID],tblDeviceTypeIDCrosswalk[CanonicalDeviceTypeID],"")</f>
        <v/>
      </c>
      <c r="M455" s="14">
        <f>XLOOKUP([@ManufacturerID],tblManufacturerIDCrosswalk[LegacyManufacturerID],tblManufacturerIDCrosswalk[MappingStatus],"No Crosswalk")</f>
        <v/>
      </c>
      <c r="N455" s="35">
        <f>XLOOKUP([@DeviceFamilyID],tblDeviceFamilyIDCrosswalk[LegacyDeviceFamilyID],tblDeviceFamilyIDCrosswalk[MappingStatus],"No Crosswalk")</f>
        <v/>
      </c>
      <c r="O455" s="35">
        <f>XLOOKUP([@DeviceTypeID],tblDeviceTypeIDCrosswalk[LegacyDeviceTypeID],tblDeviceTypeIDCrosswalk[MappingStatus],"No Crosswalk")</f>
        <v/>
      </c>
      <c r="P455">
        <f>IF(OR([@ManufacturerMappingStatus]&lt;&gt;"Approved",[@DeviceFamilyMappingStatus]&lt;&gt;"Approved",[@DeviceTypeMappingStatus]&lt;&gt;"Approved"),"Manual Review Required","Approved Crosswalk Available")</f>
        <v/>
      </c>
      <c r="Q455" t="inlineStr">
        <is>
          <t>Pending Review</t>
        </is>
      </c>
    </row>
    <row r="456" ht="21.5" customHeight="1" s="42">
      <c r="A456" s="36" t="n"/>
      <c r="B456" s="35" t="n"/>
      <c r="C456" s="35" t="n"/>
      <c r="D456" s="35" t="n"/>
      <c r="E456" s="39" t="n"/>
      <c r="F456" s="39" t="n"/>
      <c r="G456" s="10" t="inlineStr">
        <is>
          <t>MOD000453</t>
        </is>
      </c>
      <c r="H456" s="14" t="inlineStr">
        <is>
          <t>MFG006</t>
        </is>
      </c>
      <c r="I456" s="14" t="inlineStr">
        <is>
          <t>DF064</t>
        </is>
      </c>
      <c r="J456" s="14">
        <f>XLOOKUP([@ManufacturerID],tblManufacturerIDCrosswalk[LegacyManufacturerID],tblManufacturerIDCrosswalk[CanonicalManufacturerID],"")</f>
        <v/>
      </c>
      <c r="K456" s="7">
        <f>XLOOKUP([@DeviceFamilyID],tblDeviceFamilyIDCrosswalk[LegacyDeviceFamilyID],tblDeviceFamilyIDCrosswalk[CanonicalDeviceFamilyID],"")</f>
        <v/>
      </c>
      <c r="L456" s="7">
        <f>XLOOKUP([@DeviceTypeID],tblDeviceTypeIDCrosswalk[LegacyDeviceTypeID],tblDeviceTypeIDCrosswalk[CanonicalDeviceTypeID],"")</f>
        <v/>
      </c>
      <c r="M456" s="14">
        <f>XLOOKUP([@ManufacturerID],tblManufacturerIDCrosswalk[LegacyManufacturerID],tblManufacturerIDCrosswalk[MappingStatus],"No Crosswalk")</f>
        <v/>
      </c>
      <c r="N456" s="35">
        <f>XLOOKUP([@DeviceFamilyID],tblDeviceFamilyIDCrosswalk[LegacyDeviceFamilyID],tblDeviceFamilyIDCrosswalk[MappingStatus],"No Crosswalk")</f>
        <v/>
      </c>
      <c r="O456" s="35">
        <f>XLOOKUP([@DeviceTypeID],tblDeviceTypeIDCrosswalk[LegacyDeviceTypeID],tblDeviceTypeIDCrosswalk[MappingStatus],"No Crosswalk")</f>
        <v/>
      </c>
      <c r="P456">
        <f>IF(OR([@ManufacturerMappingStatus]&lt;&gt;"Approved",[@DeviceFamilyMappingStatus]&lt;&gt;"Approved",[@DeviceTypeMappingStatus]&lt;&gt;"Approved"),"Manual Review Required","Approved Crosswalk Available")</f>
        <v/>
      </c>
      <c r="Q456" t="inlineStr">
        <is>
          <t>Pending Review</t>
        </is>
      </c>
    </row>
    <row r="457" ht="21.5" customHeight="1" s="42">
      <c r="A457" s="36" t="n"/>
      <c r="B457" s="35" t="n"/>
      <c r="C457" s="35" t="n"/>
      <c r="D457" s="35" t="n"/>
      <c r="E457" s="39" t="n"/>
      <c r="F457" s="39" t="n"/>
      <c r="G457" s="10" t="inlineStr">
        <is>
          <t>MOD000454</t>
        </is>
      </c>
      <c r="H457" s="14" t="inlineStr">
        <is>
          <t>MFG007</t>
        </is>
      </c>
      <c r="I457" s="14" t="inlineStr">
        <is>
          <t>DF070</t>
        </is>
      </c>
      <c r="J457" s="14">
        <f>XLOOKUP([@ManufacturerID],tblManufacturerIDCrosswalk[LegacyManufacturerID],tblManufacturerIDCrosswalk[CanonicalManufacturerID],"")</f>
        <v/>
      </c>
      <c r="K457" s="7">
        <f>XLOOKUP([@DeviceFamilyID],tblDeviceFamilyIDCrosswalk[LegacyDeviceFamilyID],tblDeviceFamilyIDCrosswalk[CanonicalDeviceFamilyID],"")</f>
        <v/>
      </c>
      <c r="L457" s="7">
        <f>XLOOKUP([@DeviceTypeID],tblDeviceTypeIDCrosswalk[LegacyDeviceTypeID],tblDeviceTypeIDCrosswalk[CanonicalDeviceTypeID],"")</f>
        <v/>
      </c>
      <c r="M457" s="14">
        <f>XLOOKUP([@ManufacturerID],tblManufacturerIDCrosswalk[LegacyManufacturerID],tblManufacturerIDCrosswalk[MappingStatus],"No Crosswalk")</f>
        <v/>
      </c>
      <c r="N457" s="35">
        <f>XLOOKUP([@DeviceFamilyID],tblDeviceFamilyIDCrosswalk[LegacyDeviceFamilyID],tblDeviceFamilyIDCrosswalk[MappingStatus],"No Crosswalk")</f>
        <v/>
      </c>
      <c r="O457" s="35">
        <f>XLOOKUP([@DeviceTypeID],tblDeviceTypeIDCrosswalk[LegacyDeviceTypeID],tblDeviceTypeIDCrosswalk[MappingStatus],"No Crosswalk")</f>
        <v/>
      </c>
      <c r="P457">
        <f>IF(OR([@ManufacturerMappingStatus]&lt;&gt;"Approved",[@DeviceFamilyMappingStatus]&lt;&gt;"Approved",[@DeviceTypeMappingStatus]&lt;&gt;"Approved"),"Manual Review Required","Approved Crosswalk Available")</f>
        <v/>
      </c>
      <c r="Q457" t="inlineStr">
        <is>
          <t>Pending Review</t>
        </is>
      </c>
    </row>
    <row r="458" ht="21.5" customHeight="1" s="42">
      <c r="A458" s="36" t="n"/>
      <c r="B458" s="35" t="n"/>
      <c r="C458" s="35" t="n"/>
      <c r="D458" s="35" t="n"/>
      <c r="E458" s="39" t="n"/>
      <c r="F458" s="39" t="n"/>
      <c r="G458" s="10" t="inlineStr">
        <is>
          <t>MOD000455</t>
        </is>
      </c>
      <c r="H458" s="14" t="inlineStr">
        <is>
          <t>MFG007</t>
        </is>
      </c>
      <c r="I458" s="14" t="inlineStr">
        <is>
          <t>DF070</t>
        </is>
      </c>
      <c r="J458" s="14">
        <f>XLOOKUP([@ManufacturerID],tblManufacturerIDCrosswalk[LegacyManufacturerID],tblManufacturerIDCrosswalk[CanonicalManufacturerID],"")</f>
        <v/>
      </c>
      <c r="K458" s="7">
        <f>XLOOKUP([@DeviceFamilyID],tblDeviceFamilyIDCrosswalk[LegacyDeviceFamilyID],tblDeviceFamilyIDCrosswalk[CanonicalDeviceFamilyID],"")</f>
        <v/>
      </c>
      <c r="L458" s="7">
        <f>XLOOKUP([@DeviceTypeID],tblDeviceTypeIDCrosswalk[LegacyDeviceTypeID],tblDeviceTypeIDCrosswalk[CanonicalDeviceTypeID],"")</f>
        <v/>
      </c>
      <c r="M458" s="14">
        <f>XLOOKUP([@ManufacturerID],tblManufacturerIDCrosswalk[LegacyManufacturerID],tblManufacturerIDCrosswalk[MappingStatus],"No Crosswalk")</f>
        <v/>
      </c>
      <c r="N458" s="35">
        <f>XLOOKUP([@DeviceFamilyID],tblDeviceFamilyIDCrosswalk[LegacyDeviceFamilyID],tblDeviceFamilyIDCrosswalk[MappingStatus],"No Crosswalk")</f>
        <v/>
      </c>
      <c r="O458" s="35">
        <f>XLOOKUP([@DeviceTypeID],tblDeviceTypeIDCrosswalk[LegacyDeviceTypeID],tblDeviceTypeIDCrosswalk[MappingStatus],"No Crosswalk")</f>
        <v/>
      </c>
      <c r="P458">
        <f>IF(OR([@ManufacturerMappingStatus]&lt;&gt;"Approved",[@DeviceFamilyMappingStatus]&lt;&gt;"Approved",[@DeviceTypeMappingStatus]&lt;&gt;"Approved"),"Manual Review Required","Approved Crosswalk Available")</f>
        <v/>
      </c>
      <c r="Q458" t="inlineStr">
        <is>
          <t>Pending Review</t>
        </is>
      </c>
    </row>
    <row r="459" ht="21.5" customHeight="1" s="42">
      <c r="A459" s="36" t="n"/>
      <c r="B459" s="35" t="n"/>
      <c r="C459" s="35" t="n"/>
      <c r="D459" s="35" t="n"/>
      <c r="E459" s="39" t="n"/>
      <c r="F459" s="39" t="n"/>
      <c r="G459" s="10" t="inlineStr">
        <is>
          <t>MOD000456</t>
        </is>
      </c>
      <c r="H459" s="14" t="inlineStr">
        <is>
          <t>MFG007</t>
        </is>
      </c>
      <c r="I459" s="14" t="inlineStr">
        <is>
          <t>DF070</t>
        </is>
      </c>
      <c r="J459" s="14">
        <f>XLOOKUP([@ManufacturerID],tblManufacturerIDCrosswalk[LegacyManufacturerID],tblManufacturerIDCrosswalk[CanonicalManufacturerID],"")</f>
        <v/>
      </c>
      <c r="K459" s="7">
        <f>XLOOKUP([@DeviceFamilyID],tblDeviceFamilyIDCrosswalk[LegacyDeviceFamilyID],tblDeviceFamilyIDCrosswalk[CanonicalDeviceFamilyID],"")</f>
        <v/>
      </c>
      <c r="L459" s="7">
        <f>XLOOKUP([@DeviceTypeID],tblDeviceTypeIDCrosswalk[LegacyDeviceTypeID],tblDeviceTypeIDCrosswalk[CanonicalDeviceTypeID],"")</f>
        <v/>
      </c>
      <c r="M459" s="14">
        <f>XLOOKUP([@ManufacturerID],tblManufacturerIDCrosswalk[LegacyManufacturerID],tblManufacturerIDCrosswalk[MappingStatus],"No Crosswalk")</f>
        <v/>
      </c>
      <c r="N459" s="35">
        <f>XLOOKUP([@DeviceFamilyID],tblDeviceFamilyIDCrosswalk[LegacyDeviceFamilyID],tblDeviceFamilyIDCrosswalk[MappingStatus],"No Crosswalk")</f>
        <v/>
      </c>
      <c r="O459" s="35">
        <f>XLOOKUP([@DeviceTypeID],tblDeviceTypeIDCrosswalk[LegacyDeviceTypeID],tblDeviceTypeIDCrosswalk[MappingStatus],"No Crosswalk")</f>
        <v/>
      </c>
      <c r="P459">
        <f>IF(OR([@ManufacturerMappingStatus]&lt;&gt;"Approved",[@DeviceFamilyMappingStatus]&lt;&gt;"Approved",[@DeviceTypeMappingStatus]&lt;&gt;"Approved"),"Manual Review Required","Approved Crosswalk Available")</f>
        <v/>
      </c>
      <c r="Q459" t="inlineStr">
        <is>
          <t>Pending Review</t>
        </is>
      </c>
    </row>
    <row r="460" ht="21.5" customHeight="1" s="42">
      <c r="A460" s="36" t="n"/>
      <c r="B460" s="35" t="n"/>
      <c r="C460" s="35" t="n"/>
      <c r="D460" s="35" t="n"/>
      <c r="E460" s="39" t="n"/>
      <c r="F460" s="39" t="n"/>
      <c r="G460" s="10" t="inlineStr">
        <is>
          <t>MOD000457</t>
        </is>
      </c>
      <c r="H460" s="14" t="inlineStr">
        <is>
          <t>MFG007</t>
        </is>
      </c>
      <c r="I460" s="14" t="inlineStr">
        <is>
          <t>DF070</t>
        </is>
      </c>
      <c r="J460" s="14">
        <f>XLOOKUP([@ManufacturerID],tblManufacturerIDCrosswalk[LegacyManufacturerID],tblManufacturerIDCrosswalk[CanonicalManufacturerID],"")</f>
        <v/>
      </c>
      <c r="K460" s="7">
        <f>XLOOKUP([@DeviceFamilyID],tblDeviceFamilyIDCrosswalk[LegacyDeviceFamilyID],tblDeviceFamilyIDCrosswalk[CanonicalDeviceFamilyID],"")</f>
        <v/>
      </c>
      <c r="L460" s="7">
        <f>XLOOKUP([@DeviceTypeID],tblDeviceTypeIDCrosswalk[LegacyDeviceTypeID],tblDeviceTypeIDCrosswalk[CanonicalDeviceTypeID],"")</f>
        <v/>
      </c>
      <c r="M460" s="14">
        <f>XLOOKUP([@ManufacturerID],tblManufacturerIDCrosswalk[LegacyManufacturerID],tblManufacturerIDCrosswalk[MappingStatus],"No Crosswalk")</f>
        <v/>
      </c>
      <c r="N460" s="35">
        <f>XLOOKUP([@DeviceFamilyID],tblDeviceFamilyIDCrosswalk[LegacyDeviceFamilyID],tblDeviceFamilyIDCrosswalk[MappingStatus],"No Crosswalk")</f>
        <v/>
      </c>
      <c r="O460" s="35">
        <f>XLOOKUP([@DeviceTypeID],tblDeviceTypeIDCrosswalk[LegacyDeviceTypeID],tblDeviceTypeIDCrosswalk[MappingStatus],"No Crosswalk")</f>
        <v/>
      </c>
      <c r="P460">
        <f>IF(OR([@ManufacturerMappingStatus]&lt;&gt;"Approved",[@DeviceFamilyMappingStatus]&lt;&gt;"Approved",[@DeviceTypeMappingStatus]&lt;&gt;"Approved"),"Manual Review Required","Approved Crosswalk Available")</f>
        <v/>
      </c>
      <c r="Q460" t="inlineStr">
        <is>
          <t>Pending Review</t>
        </is>
      </c>
    </row>
    <row r="461" ht="21.5" customHeight="1" s="42">
      <c r="A461" s="36" t="n"/>
      <c r="B461" s="35" t="n"/>
      <c r="C461" s="35" t="n"/>
      <c r="D461" s="35" t="n"/>
      <c r="E461" s="39" t="n"/>
      <c r="F461" s="39" t="n"/>
      <c r="G461" s="10" t="inlineStr">
        <is>
          <t>MOD000458</t>
        </is>
      </c>
      <c r="H461" s="14" t="inlineStr">
        <is>
          <t>MFG007</t>
        </is>
      </c>
      <c r="I461" s="14" t="inlineStr">
        <is>
          <t>DF070</t>
        </is>
      </c>
      <c r="J461" s="14">
        <f>XLOOKUP([@ManufacturerID],tblManufacturerIDCrosswalk[LegacyManufacturerID],tblManufacturerIDCrosswalk[CanonicalManufacturerID],"")</f>
        <v/>
      </c>
      <c r="K461" s="7">
        <f>XLOOKUP([@DeviceFamilyID],tblDeviceFamilyIDCrosswalk[LegacyDeviceFamilyID],tblDeviceFamilyIDCrosswalk[CanonicalDeviceFamilyID],"")</f>
        <v/>
      </c>
      <c r="L461" s="7">
        <f>XLOOKUP([@DeviceTypeID],tblDeviceTypeIDCrosswalk[LegacyDeviceTypeID],tblDeviceTypeIDCrosswalk[CanonicalDeviceTypeID],"")</f>
        <v/>
      </c>
      <c r="M461" s="14">
        <f>XLOOKUP([@ManufacturerID],tblManufacturerIDCrosswalk[LegacyManufacturerID],tblManufacturerIDCrosswalk[MappingStatus],"No Crosswalk")</f>
        <v/>
      </c>
      <c r="N461" s="35">
        <f>XLOOKUP([@DeviceFamilyID],tblDeviceFamilyIDCrosswalk[LegacyDeviceFamilyID],tblDeviceFamilyIDCrosswalk[MappingStatus],"No Crosswalk")</f>
        <v/>
      </c>
      <c r="O461" s="35">
        <f>XLOOKUP([@DeviceTypeID],tblDeviceTypeIDCrosswalk[LegacyDeviceTypeID],tblDeviceTypeIDCrosswalk[MappingStatus],"No Crosswalk")</f>
        <v/>
      </c>
      <c r="P461">
        <f>IF(OR([@ManufacturerMappingStatus]&lt;&gt;"Approved",[@DeviceFamilyMappingStatus]&lt;&gt;"Approved",[@DeviceTypeMappingStatus]&lt;&gt;"Approved"),"Manual Review Required","Approved Crosswalk Available")</f>
        <v/>
      </c>
      <c r="Q461" t="inlineStr">
        <is>
          <t>Pending Review</t>
        </is>
      </c>
    </row>
    <row r="462" ht="21.5" customHeight="1" s="42">
      <c r="A462" s="36" t="n"/>
      <c r="B462" s="35" t="n"/>
      <c r="C462" s="35" t="n"/>
      <c r="D462" s="35" t="n"/>
      <c r="E462" s="39" t="n"/>
      <c r="F462" s="39" t="n"/>
      <c r="G462" s="10" t="inlineStr">
        <is>
          <t>MOD000459</t>
        </is>
      </c>
      <c r="H462" s="14" t="inlineStr">
        <is>
          <t>MFG007</t>
        </is>
      </c>
      <c r="I462" s="14" t="inlineStr">
        <is>
          <t>DF071</t>
        </is>
      </c>
      <c r="J462" s="14">
        <f>XLOOKUP([@ManufacturerID],tblManufacturerIDCrosswalk[LegacyManufacturerID],tblManufacturerIDCrosswalk[CanonicalManufacturerID],"")</f>
        <v/>
      </c>
      <c r="K462" s="7">
        <f>XLOOKUP([@DeviceFamilyID],tblDeviceFamilyIDCrosswalk[LegacyDeviceFamilyID],tblDeviceFamilyIDCrosswalk[CanonicalDeviceFamilyID],"")</f>
        <v/>
      </c>
      <c r="L462" s="7">
        <f>XLOOKUP([@DeviceTypeID],tblDeviceTypeIDCrosswalk[LegacyDeviceTypeID],tblDeviceTypeIDCrosswalk[CanonicalDeviceTypeID],"")</f>
        <v/>
      </c>
      <c r="M462" s="14">
        <f>XLOOKUP([@ManufacturerID],tblManufacturerIDCrosswalk[LegacyManufacturerID],tblManufacturerIDCrosswalk[MappingStatus],"No Crosswalk")</f>
        <v/>
      </c>
      <c r="N462" s="35">
        <f>XLOOKUP([@DeviceFamilyID],tblDeviceFamilyIDCrosswalk[LegacyDeviceFamilyID],tblDeviceFamilyIDCrosswalk[MappingStatus],"No Crosswalk")</f>
        <v/>
      </c>
      <c r="O462" s="35">
        <f>XLOOKUP([@DeviceTypeID],tblDeviceTypeIDCrosswalk[LegacyDeviceTypeID],tblDeviceTypeIDCrosswalk[MappingStatus],"No Crosswalk")</f>
        <v/>
      </c>
      <c r="P462">
        <f>IF(OR([@ManufacturerMappingStatus]&lt;&gt;"Approved",[@DeviceFamilyMappingStatus]&lt;&gt;"Approved",[@DeviceTypeMappingStatus]&lt;&gt;"Approved"),"Manual Review Required","Approved Crosswalk Available")</f>
        <v/>
      </c>
      <c r="Q462" t="inlineStr">
        <is>
          <t>Pending Review</t>
        </is>
      </c>
    </row>
    <row r="463" ht="21.5" customHeight="1" s="42">
      <c r="A463" s="36" t="n"/>
      <c r="B463" s="35" t="n"/>
      <c r="C463" s="35" t="n"/>
      <c r="D463" s="35" t="n"/>
      <c r="E463" s="39" t="n"/>
      <c r="F463" s="39" t="n"/>
      <c r="G463" s="10" t="inlineStr">
        <is>
          <t>MOD000460</t>
        </is>
      </c>
      <c r="H463" s="14" t="inlineStr">
        <is>
          <t>MFG007</t>
        </is>
      </c>
      <c r="I463" s="14" t="inlineStr">
        <is>
          <t>DF071</t>
        </is>
      </c>
      <c r="J463" s="14">
        <f>XLOOKUP([@ManufacturerID],tblManufacturerIDCrosswalk[LegacyManufacturerID],tblManufacturerIDCrosswalk[CanonicalManufacturerID],"")</f>
        <v/>
      </c>
      <c r="K463" s="7">
        <f>XLOOKUP([@DeviceFamilyID],tblDeviceFamilyIDCrosswalk[LegacyDeviceFamilyID],tblDeviceFamilyIDCrosswalk[CanonicalDeviceFamilyID],"")</f>
        <v/>
      </c>
      <c r="L463" s="7">
        <f>XLOOKUP([@DeviceTypeID],tblDeviceTypeIDCrosswalk[LegacyDeviceTypeID],tblDeviceTypeIDCrosswalk[CanonicalDeviceTypeID],"")</f>
        <v/>
      </c>
      <c r="M463" s="14">
        <f>XLOOKUP([@ManufacturerID],tblManufacturerIDCrosswalk[LegacyManufacturerID],tblManufacturerIDCrosswalk[MappingStatus],"No Crosswalk")</f>
        <v/>
      </c>
      <c r="N463" s="35">
        <f>XLOOKUP([@DeviceFamilyID],tblDeviceFamilyIDCrosswalk[LegacyDeviceFamilyID],tblDeviceFamilyIDCrosswalk[MappingStatus],"No Crosswalk")</f>
        <v/>
      </c>
      <c r="O463" s="35">
        <f>XLOOKUP([@DeviceTypeID],tblDeviceTypeIDCrosswalk[LegacyDeviceTypeID],tblDeviceTypeIDCrosswalk[MappingStatus],"No Crosswalk")</f>
        <v/>
      </c>
      <c r="P463">
        <f>IF(OR([@ManufacturerMappingStatus]&lt;&gt;"Approved",[@DeviceFamilyMappingStatus]&lt;&gt;"Approved",[@DeviceTypeMappingStatus]&lt;&gt;"Approved"),"Manual Review Required","Approved Crosswalk Available")</f>
        <v/>
      </c>
      <c r="Q463" t="inlineStr">
        <is>
          <t>Pending Review</t>
        </is>
      </c>
    </row>
    <row r="464" ht="21.5" customHeight="1" s="42">
      <c r="A464" s="36" t="n"/>
      <c r="B464" s="35" t="n"/>
      <c r="C464" s="35" t="n"/>
      <c r="D464" s="35" t="n"/>
      <c r="E464" s="39" t="n"/>
      <c r="F464" s="39" t="n"/>
      <c r="G464" s="10" t="inlineStr">
        <is>
          <t>MOD000461</t>
        </is>
      </c>
      <c r="H464" s="14" t="inlineStr">
        <is>
          <t>MFG007</t>
        </is>
      </c>
      <c r="I464" s="14" t="inlineStr">
        <is>
          <t>DF071</t>
        </is>
      </c>
      <c r="J464" s="14">
        <f>XLOOKUP([@ManufacturerID],tblManufacturerIDCrosswalk[LegacyManufacturerID],tblManufacturerIDCrosswalk[CanonicalManufacturerID],"")</f>
        <v/>
      </c>
      <c r="K464" s="7">
        <f>XLOOKUP([@DeviceFamilyID],tblDeviceFamilyIDCrosswalk[LegacyDeviceFamilyID],tblDeviceFamilyIDCrosswalk[CanonicalDeviceFamilyID],"")</f>
        <v/>
      </c>
      <c r="L464" s="7">
        <f>XLOOKUP([@DeviceTypeID],tblDeviceTypeIDCrosswalk[LegacyDeviceTypeID],tblDeviceTypeIDCrosswalk[CanonicalDeviceTypeID],"")</f>
        <v/>
      </c>
      <c r="M464" s="14">
        <f>XLOOKUP([@ManufacturerID],tblManufacturerIDCrosswalk[LegacyManufacturerID],tblManufacturerIDCrosswalk[MappingStatus],"No Crosswalk")</f>
        <v/>
      </c>
      <c r="N464" s="35">
        <f>XLOOKUP([@DeviceFamilyID],tblDeviceFamilyIDCrosswalk[LegacyDeviceFamilyID],tblDeviceFamilyIDCrosswalk[MappingStatus],"No Crosswalk")</f>
        <v/>
      </c>
      <c r="O464" s="35">
        <f>XLOOKUP([@DeviceTypeID],tblDeviceTypeIDCrosswalk[LegacyDeviceTypeID],tblDeviceTypeIDCrosswalk[MappingStatus],"No Crosswalk")</f>
        <v/>
      </c>
      <c r="P464">
        <f>IF(OR([@ManufacturerMappingStatus]&lt;&gt;"Approved",[@DeviceFamilyMappingStatus]&lt;&gt;"Approved",[@DeviceTypeMappingStatus]&lt;&gt;"Approved"),"Manual Review Required","Approved Crosswalk Available")</f>
        <v/>
      </c>
      <c r="Q464" t="inlineStr">
        <is>
          <t>Pending Review</t>
        </is>
      </c>
    </row>
    <row r="465" ht="21.5" customHeight="1" s="42">
      <c r="A465" s="36" t="n"/>
      <c r="B465" s="35" t="n"/>
      <c r="C465" s="35" t="n"/>
      <c r="D465" s="35" t="n"/>
      <c r="E465" s="39" t="n"/>
      <c r="F465" s="39" t="n"/>
      <c r="G465" s="10" t="inlineStr">
        <is>
          <t>MOD000462</t>
        </is>
      </c>
      <c r="H465" s="14" t="inlineStr">
        <is>
          <t>MFG007</t>
        </is>
      </c>
      <c r="I465" s="14" t="inlineStr">
        <is>
          <t>DF072</t>
        </is>
      </c>
      <c r="J465" s="14">
        <f>XLOOKUP([@ManufacturerID],tblManufacturerIDCrosswalk[LegacyManufacturerID],tblManufacturerIDCrosswalk[CanonicalManufacturerID],"")</f>
        <v/>
      </c>
      <c r="K465" s="7">
        <f>XLOOKUP([@DeviceFamilyID],tblDeviceFamilyIDCrosswalk[LegacyDeviceFamilyID],tblDeviceFamilyIDCrosswalk[CanonicalDeviceFamilyID],"")</f>
        <v/>
      </c>
      <c r="L465" s="7">
        <f>XLOOKUP([@DeviceTypeID],tblDeviceTypeIDCrosswalk[LegacyDeviceTypeID],tblDeviceTypeIDCrosswalk[CanonicalDeviceTypeID],"")</f>
        <v/>
      </c>
      <c r="M465" s="14">
        <f>XLOOKUP([@ManufacturerID],tblManufacturerIDCrosswalk[LegacyManufacturerID],tblManufacturerIDCrosswalk[MappingStatus],"No Crosswalk")</f>
        <v/>
      </c>
      <c r="N465" s="35">
        <f>XLOOKUP([@DeviceFamilyID],tblDeviceFamilyIDCrosswalk[LegacyDeviceFamilyID],tblDeviceFamilyIDCrosswalk[MappingStatus],"No Crosswalk")</f>
        <v/>
      </c>
      <c r="O465" s="35">
        <f>XLOOKUP([@DeviceTypeID],tblDeviceTypeIDCrosswalk[LegacyDeviceTypeID],tblDeviceTypeIDCrosswalk[MappingStatus],"No Crosswalk")</f>
        <v/>
      </c>
      <c r="P465">
        <f>IF(OR([@ManufacturerMappingStatus]&lt;&gt;"Approved",[@DeviceFamilyMappingStatus]&lt;&gt;"Approved",[@DeviceTypeMappingStatus]&lt;&gt;"Approved"),"Manual Review Required","Approved Crosswalk Available")</f>
        <v/>
      </c>
      <c r="Q465" t="inlineStr">
        <is>
          <t>Pending Review</t>
        </is>
      </c>
    </row>
    <row r="466" ht="21.5" customHeight="1" s="42">
      <c r="A466" s="36" t="n"/>
      <c r="B466" s="35" t="n"/>
      <c r="C466" s="35" t="n"/>
      <c r="D466" s="35" t="n"/>
      <c r="E466" s="39" t="n"/>
      <c r="F466" s="39" t="n"/>
      <c r="G466" s="10" t="inlineStr">
        <is>
          <t>MOD000463</t>
        </is>
      </c>
      <c r="H466" s="14" t="inlineStr">
        <is>
          <t>MFG007</t>
        </is>
      </c>
      <c r="I466" s="14" t="inlineStr">
        <is>
          <t>DF072</t>
        </is>
      </c>
      <c r="J466" s="14">
        <f>XLOOKUP([@ManufacturerID],tblManufacturerIDCrosswalk[LegacyManufacturerID],tblManufacturerIDCrosswalk[CanonicalManufacturerID],"")</f>
        <v/>
      </c>
      <c r="K466" s="7">
        <f>XLOOKUP([@DeviceFamilyID],tblDeviceFamilyIDCrosswalk[LegacyDeviceFamilyID],tblDeviceFamilyIDCrosswalk[CanonicalDeviceFamilyID],"")</f>
        <v/>
      </c>
      <c r="L466" s="7">
        <f>XLOOKUP([@DeviceTypeID],tblDeviceTypeIDCrosswalk[LegacyDeviceTypeID],tblDeviceTypeIDCrosswalk[CanonicalDeviceTypeID],"")</f>
        <v/>
      </c>
      <c r="M466" s="14">
        <f>XLOOKUP([@ManufacturerID],tblManufacturerIDCrosswalk[LegacyManufacturerID],tblManufacturerIDCrosswalk[MappingStatus],"No Crosswalk")</f>
        <v/>
      </c>
      <c r="N466" s="35">
        <f>XLOOKUP([@DeviceFamilyID],tblDeviceFamilyIDCrosswalk[LegacyDeviceFamilyID],tblDeviceFamilyIDCrosswalk[MappingStatus],"No Crosswalk")</f>
        <v/>
      </c>
      <c r="O466" s="35">
        <f>XLOOKUP([@DeviceTypeID],tblDeviceTypeIDCrosswalk[LegacyDeviceTypeID],tblDeviceTypeIDCrosswalk[MappingStatus],"No Crosswalk")</f>
        <v/>
      </c>
      <c r="P466">
        <f>IF(OR([@ManufacturerMappingStatus]&lt;&gt;"Approved",[@DeviceFamilyMappingStatus]&lt;&gt;"Approved",[@DeviceTypeMappingStatus]&lt;&gt;"Approved"),"Manual Review Required","Approved Crosswalk Available")</f>
        <v/>
      </c>
      <c r="Q466" t="inlineStr">
        <is>
          <t>Pending Review</t>
        </is>
      </c>
    </row>
    <row r="467" ht="21.5" customHeight="1" s="42">
      <c r="A467" s="36" t="n"/>
      <c r="B467" s="35" t="n"/>
      <c r="C467" s="35" t="n"/>
      <c r="D467" s="35" t="n"/>
      <c r="E467" s="39" t="n"/>
      <c r="F467" s="39" t="n"/>
      <c r="G467" s="10" t="inlineStr">
        <is>
          <t>MOD000464</t>
        </is>
      </c>
      <c r="H467" s="14" t="inlineStr">
        <is>
          <t>MFG007</t>
        </is>
      </c>
      <c r="I467" s="14" t="inlineStr">
        <is>
          <t>DF073</t>
        </is>
      </c>
      <c r="J467" s="14">
        <f>XLOOKUP([@ManufacturerID],tblManufacturerIDCrosswalk[LegacyManufacturerID],tblManufacturerIDCrosswalk[CanonicalManufacturerID],"")</f>
        <v/>
      </c>
      <c r="K467" s="7">
        <f>XLOOKUP([@DeviceFamilyID],tblDeviceFamilyIDCrosswalk[LegacyDeviceFamilyID],tblDeviceFamilyIDCrosswalk[CanonicalDeviceFamilyID],"")</f>
        <v/>
      </c>
      <c r="L467" s="7">
        <f>XLOOKUP([@DeviceTypeID],tblDeviceTypeIDCrosswalk[LegacyDeviceTypeID],tblDeviceTypeIDCrosswalk[CanonicalDeviceTypeID],"")</f>
        <v/>
      </c>
      <c r="M467" s="14">
        <f>XLOOKUP([@ManufacturerID],tblManufacturerIDCrosswalk[LegacyManufacturerID],tblManufacturerIDCrosswalk[MappingStatus],"No Crosswalk")</f>
        <v/>
      </c>
      <c r="N467" s="35">
        <f>XLOOKUP([@DeviceFamilyID],tblDeviceFamilyIDCrosswalk[LegacyDeviceFamilyID],tblDeviceFamilyIDCrosswalk[MappingStatus],"No Crosswalk")</f>
        <v/>
      </c>
      <c r="O467" s="35">
        <f>XLOOKUP([@DeviceTypeID],tblDeviceTypeIDCrosswalk[LegacyDeviceTypeID],tblDeviceTypeIDCrosswalk[MappingStatus],"No Crosswalk")</f>
        <v/>
      </c>
      <c r="P467">
        <f>IF(OR([@ManufacturerMappingStatus]&lt;&gt;"Approved",[@DeviceFamilyMappingStatus]&lt;&gt;"Approved",[@DeviceTypeMappingStatus]&lt;&gt;"Approved"),"Manual Review Required","Approved Crosswalk Available")</f>
        <v/>
      </c>
      <c r="Q467" t="inlineStr">
        <is>
          <t>Pending Review</t>
        </is>
      </c>
    </row>
    <row r="468" ht="21.5" customHeight="1" s="42">
      <c r="A468" s="36" t="n"/>
      <c r="B468" s="35" t="n"/>
      <c r="C468" s="35" t="n"/>
      <c r="D468" s="35" t="n"/>
      <c r="E468" s="39" t="n"/>
      <c r="F468" s="39" t="n"/>
      <c r="G468" s="10" t="inlineStr">
        <is>
          <t>MOD000465</t>
        </is>
      </c>
      <c r="H468" s="14" t="inlineStr">
        <is>
          <t>MFG007</t>
        </is>
      </c>
      <c r="I468" s="14" t="inlineStr">
        <is>
          <t>DF073</t>
        </is>
      </c>
      <c r="J468" s="14">
        <f>XLOOKUP([@ManufacturerID],tblManufacturerIDCrosswalk[LegacyManufacturerID],tblManufacturerIDCrosswalk[CanonicalManufacturerID],"")</f>
        <v/>
      </c>
      <c r="K468" s="7">
        <f>XLOOKUP([@DeviceFamilyID],tblDeviceFamilyIDCrosswalk[LegacyDeviceFamilyID],tblDeviceFamilyIDCrosswalk[CanonicalDeviceFamilyID],"")</f>
        <v/>
      </c>
      <c r="L468" s="7">
        <f>XLOOKUP([@DeviceTypeID],tblDeviceTypeIDCrosswalk[LegacyDeviceTypeID],tblDeviceTypeIDCrosswalk[CanonicalDeviceTypeID],"")</f>
        <v/>
      </c>
      <c r="M468" s="14">
        <f>XLOOKUP([@ManufacturerID],tblManufacturerIDCrosswalk[LegacyManufacturerID],tblManufacturerIDCrosswalk[MappingStatus],"No Crosswalk")</f>
        <v/>
      </c>
      <c r="N468" s="35">
        <f>XLOOKUP([@DeviceFamilyID],tblDeviceFamilyIDCrosswalk[LegacyDeviceFamilyID],tblDeviceFamilyIDCrosswalk[MappingStatus],"No Crosswalk")</f>
        <v/>
      </c>
      <c r="O468" s="35">
        <f>XLOOKUP([@DeviceTypeID],tblDeviceTypeIDCrosswalk[LegacyDeviceTypeID],tblDeviceTypeIDCrosswalk[MappingStatus],"No Crosswalk")</f>
        <v/>
      </c>
      <c r="P468">
        <f>IF(OR([@ManufacturerMappingStatus]&lt;&gt;"Approved",[@DeviceFamilyMappingStatus]&lt;&gt;"Approved",[@DeviceTypeMappingStatus]&lt;&gt;"Approved"),"Manual Review Required","Approved Crosswalk Available")</f>
        <v/>
      </c>
      <c r="Q468" t="inlineStr">
        <is>
          <t>Pending Review</t>
        </is>
      </c>
    </row>
    <row r="469" ht="21.5" customHeight="1" s="42">
      <c r="A469" s="36" t="n"/>
      <c r="B469" s="35" t="n"/>
      <c r="C469" s="35" t="n"/>
      <c r="D469" s="35" t="n"/>
      <c r="E469" s="39" t="n"/>
      <c r="F469" s="39" t="n"/>
      <c r="G469" s="10" t="inlineStr">
        <is>
          <t>MOD000466</t>
        </is>
      </c>
      <c r="H469" s="14" t="inlineStr">
        <is>
          <t>MFG007</t>
        </is>
      </c>
      <c r="I469" s="14" t="inlineStr">
        <is>
          <t>DF073</t>
        </is>
      </c>
      <c r="J469" s="14">
        <f>XLOOKUP([@ManufacturerID],tblManufacturerIDCrosswalk[LegacyManufacturerID],tblManufacturerIDCrosswalk[CanonicalManufacturerID],"")</f>
        <v/>
      </c>
      <c r="K469" s="7">
        <f>XLOOKUP([@DeviceFamilyID],tblDeviceFamilyIDCrosswalk[LegacyDeviceFamilyID],tblDeviceFamilyIDCrosswalk[CanonicalDeviceFamilyID],"")</f>
        <v/>
      </c>
      <c r="L469" s="7">
        <f>XLOOKUP([@DeviceTypeID],tblDeviceTypeIDCrosswalk[LegacyDeviceTypeID],tblDeviceTypeIDCrosswalk[CanonicalDeviceTypeID],"")</f>
        <v/>
      </c>
      <c r="M469" s="14">
        <f>XLOOKUP([@ManufacturerID],tblManufacturerIDCrosswalk[LegacyManufacturerID],tblManufacturerIDCrosswalk[MappingStatus],"No Crosswalk")</f>
        <v/>
      </c>
      <c r="N469" s="35">
        <f>XLOOKUP([@DeviceFamilyID],tblDeviceFamilyIDCrosswalk[LegacyDeviceFamilyID],tblDeviceFamilyIDCrosswalk[MappingStatus],"No Crosswalk")</f>
        <v/>
      </c>
      <c r="O469" s="35">
        <f>XLOOKUP([@DeviceTypeID],tblDeviceTypeIDCrosswalk[LegacyDeviceTypeID],tblDeviceTypeIDCrosswalk[MappingStatus],"No Crosswalk")</f>
        <v/>
      </c>
      <c r="P469">
        <f>IF(OR([@ManufacturerMappingStatus]&lt;&gt;"Approved",[@DeviceFamilyMappingStatus]&lt;&gt;"Approved",[@DeviceTypeMappingStatus]&lt;&gt;"Approved"),"Manual Review Required","Approved Crosswalk Available")</f>
        <v/>
      </c>
      <c r="Q469" t="inlineStr">
        <is>
          <t>Pending Review</t>
        </is>
      </c>
    </row>
    <row r="470" ht="21.5" customHeight="1" s="42">
      <c r="A470" s="36" t="n"/>
      <c r="B470" s="35" t="n"/>
      <c r="C470" s="35" t="n"/>
      <c r="D470" s="35" t="n"/>
      <c r="E470" s="39" t="n"/>
      <c r="F470" s="39" t="n"/>
      <c r="G470" s="10" t="inlineStr">
        <is>
          <t>MOD000467</t>
        </is>
      </c>
      <c r="H470" s="14" t="inlineStr">
        <is>
          <t>MFG007</t>
        </is>
      </c>
      <c r="I470" s="14" t="inlineStr">
        <is>
          <t>DF074</t>
        </is>
      </c>
      <c r="J470" s="14">
        <f>XLOOKUP([@ManufacturerID],tblManufacturerIDCrosswalk[LegacyManufacturerID],tblManufacturerIDCrosswalk[CanonicalManufacturerID],"")</f>
        <v/>
      </c>
      <c r="K470" s="7">
        <f>XLOOKUP([@DeviceFamilyID],tblDeviceFamilyIDCrosswalk[LegacyDeviceFamilyID],tblDeviceFamilyIDCrosswalk[CanonicalDeviceFamilyID],"")</f>
        <v/>
      </c>
      <c r="L470" s="7">
        <f>XLOOKUP([@DeviceTypeID],tblDeviceTypeIDCrosswalk[LegacyDeviceTypeID],tblDeviceTypeIDCrosswalk[CanonicalDeviceTypeID],"")</f>
        <v/>
      </c>
      <c r="M470" s="14">
        <f>XLOOKUP([@ManufacturerID],tblManufacturerIDCrosswalk[LegacyManufacturerID],tblManufacturerIDCrosswalk[MappingStatus],"No Crosswalk")</f>
        <v/>
      </c>
      <c r="N470" s="35">
        <f>XLOOKUP([@DeviceFamilyID],tblDeviceFamilyIDCrosswalk[LegacyDeviceFamilyID],tblDeviceFamilyIDCrosswalk[MappingStatus],"No Crosswalk")</f>
        <v/>
      </c>
      <c r="O470" s="35">
        <f>XLOOKUP([@DeviceTypeID],tblDeviceTypeIDCrosswalk[LegacyDeviceTypeID],tblDeviceTypeIDCrosswalk[MappingStatus],"No Crosswalk")</f>
        <v/>
      </c>
      <c r="P470">
        <f>IF(OR([@ManufacturerMappingStatus]&lt;&gt;"Approved",[@DeviceFamilyMappingStatus]&lt;&gt;"Approved",[@DeviceTypeMappingStatus]&lt;&gt;"Approved"),"Manual Review Required","Approved Crosswalk Available")</f>
        <v/>
      </c>
      <c r="Q470" t="inlineStr">
        <is>
          <t>Pending Review</t>
        </is>
      </c>
    </row>
    <row r="471" ht="21.5" customHeight="1" s="42">
      <c r="A471" s="36" t="n"/>
      <c r="B471" s="35" t="n"/>
      <c r="C471" s="35" t="n"/>
      <c r="D471" s="35" t="n"/>
      <c r="E471" s="39" t="n"/>
      <c r="F471" s="39" t="n"/>
      <c r="G471" s="10" t="inlineStr">
        <is>
          <t>MOD000468</t>
        </is>
      </c>
      <c r="H471" s="14" t="inlineStr">
        <is>
          <t>MFG007</t>
        </is>
      </c>
      <c r="I471" s="14" t="inlineStr">
        <is>
          <t>DF074</t>
        </is>
      </c>
      <c r="J471" s="14">
        <f>XLOOKUP([@ManufacturerID],tblManufacturerIDCrosswalk[LegacyManufacturerID],tblManufacturerIDCrosswalk[CanonicalManufacturerID],"")</f>
        <v/>
      </c>
      <c r="K471" s="7">
        <f>XLOOKUP([@DeviceFamilyID],tblDeviceFamilyIDCrosswalk[LegacyDeviceFamilyID],tblDeviceFamilyIDCrosswalk[CanonicalDeviceFamilyID],"")</f>
        <v/>
      </c>
      <c r="L471" s="7">
        <f>XLOOKUP([@DeviceTypeID],tblDeviceTypeIDCrosswalk[LegacyDeviceTypeID],tblDeviceTypeIDCrosswalk[CanonicalDeviceTypeID],"")</f>
        <v/>
      </c>
      <c r="M471" s="14">
        <f>XLOOKUP([@ManufacturerID],tblManufacturerIDCrosswalk[LegacyManufacturerID],tblManufacturerIDCrosswalk[MappingStatus],"No Crosswalk")</f>
        <v/>
      </c>
      <c r="N471" s="35">
        <f>XLOOKUP([@DeviceFamilyID],tblDeviceFamilyIDCrosswalk[LegacyDeviceFamilyID],tblDeviceFamilyIDCrosswalk[MappingStatus],"No Crosswalk")</f>
        <v/>
      </c>
      <c r="O471" s="35">
        <f>XLOOKUP([@DeviceTypeID],tblDeviceTypeIDCrosswalk[LegacyDeviceTypeID],tblDeviceTypeIDCrosswalk[MappingStatus],"No Crosswalk")</f>
        <v/>
      </c>
      <c r="P471">
        <f>IF(OR([@ManufacturerMappingStatus]&lt;&gt;"Approved",[@DeviceFamilyMappingStatus]&lt;&gt;"Approved",[@DeviceTypeMappingStatus]&lt;&gt;"Approved"),"Manual Review Required","Approved Crosswalk Available")</f>
        <v/>
      </c>
      <c r="Q471" t="inlineStr">
        <is>
          <t>Pending Review</t>
        </is>
      </c>
    </row>
    <row r="472" ht="21.5" customHeight="1" s="42">
      <c r="A472" s="36" t="n"/>
      <c r="B472" s="35" t="n"/>
      <c r="C472" s="35" t="n"/>
      <c r="D472" s="35" t="n"/>
      <c r="E472" s="39" t="n"/>
      <c r="F472" s="39" t="n"/>
      <c r="G472" s="10" t="inlineStr">
        <is>
          <t>MOD000469</t>
        </is>
      </c>
      <c r="H472" s="14" t="inlineStr">
        <is>
          <t>MFG007</t>
        </is>
      </c>
      <c r="I472" s="14" t="inlineStr">
        <is>
          <t>DF071</t>
        </is>
      </c>
      <c r="J472" s="14">
        <f>XLOOKUP([@ManufacturerID],tblManufacturerIDCrosswalk[LegacyManufacturerID],tblManufacturerIDCrosswalk[CanonicalManufacturerID],"")</f>
        <v/>
      </c>
      <c r="K472" s="7">
        <f>XLOOKUP([@DeviceFamilyID],tblDeviceFamilyIDCrosswalk[LegacyDeviceFamilyID],tblDeviceFamilyIDCrosswalk[CanonicalDeviceFamilyID],"")</f>
        <v/>
      </c>
      <c r="L472" s="7">
        <f>XLOOKUP([@DeviceTypeID],tblDeviceTypeIDCrosswalk[LegacyDeviceTypeID],tblDeviceTypeIDCrosswalk[CanonicalDeviceTypeID],"")</f>
        <v/>
      </c>
      <c r="M472" s="14">
        <f>XLOOKUP([@ManufacturerID],tblManufacturerIDCrosswalk[LegacyManufacturerID],tblManufacturerIDCrosswalk[MappingStatus],"No Crosswalk")</f>
        <v/>
      </c>
      <c r="N472" s="35">
        <f>XLOOKUP([@DeviceFamilyID],tblDeviceFamilyIDCrosswalk[LegacyDeviceFamilyID],tblDeviceFamilyIDCrosswalk[MappingStatus],"No Crosswalk")</f>
        <v/>
      </c>
      <c r="O472" s="35">
        <f>XLOOKUP([@DeviceTypeID],tblDeviceTypeIDCrosswalk[LegacyDeviceTypeID],tblDeviceTypeIDCrosswalk[MappingStatus],"No Crosswalk")</f>
        <v/>
      </c>
      <c r="P472">
        <f>IF(OR([@ManufacturerMappingStatus]&lt;&gt;"Approved",[@DeviceFamilyMappingStatus]&lt;&gt;"Approved",[@DeviceTypeMappingStatus]&lt;&gt;"Approved"),"Manual Review Required","Approved Crosswalk Available")</f>
        <v/>
      </c>
      <c r="Q472" t="inlineStr">
        <is>
          <t>Pending Review</t>
        </is>
      </c>
    </row>
    <row r="473" ht="21.5" customHeight="1" s="42">
      <c r="A473" s="36" t="n"/>
      <c r="B473" s="35" t="n"/>
      <c r="C473" s="35" t="n"/>
      <c r="D473" s="35" t="n"/>
      <c r="E473" s="39" t="n"/>
      <c r="F473" s="39" t="n"/>
      <c r="G473" s="10" t="inlineStr">
        <is>
          <t>MOD000470</t>
        </is>
      </c>
      <c r="H473" s="14" t="inlineStr">
        <is>
          <t>MFG007</t>
        </is>
      </c>
      <c r="I473" s="14" t="inlineStr">
        <is>
          <t>DF071</t>
        </is>
      </c>
      <c r="J473" s="14">
        <f>XLOOKUP([@ManufacturerID],tblManufacturerIDCrosswalk[LegacyManufacturerID],tblManufacturerIDCrosswalk[CanonicalManufacturerID],"")</f>
        <v/>
      </c>
      <c r="K473" s="7">
        <f>XLOOKUP([@DeviceFamilyID],tblDeviceFamilyIDCrosswalk[LegacyDeviceFamilyID],tblDeviceFamilyIDCrosswalk[CanonicalDeviceFamilyID],"")</f>
        <v/>
      </c>
      <c r="L473" s="7">
        <f>XLOOKUP([@DeviceTypeID],tblDeviceTypeIDCrosswalk[LegacyDeviceTypeID],tblDeviceTypeIDCrosswalk[CanonicalDeviceTypeID],"")</f>
        <v/>
      </c>
      <c r="M473" s="14">
        <f>XLOOKUP([@ManufacturerID],tblManufacturerIDCrosswalk[LegacyManufacturerID],tblManufacturerIDCrosswalk[MappingStatus],"No Crosswalk")</f>
        <v/>
      </c>
      <c r="N473" s="35">
        <f>XLOOKUP([@DeviceFamilyID],tblDeviceFamilyIDCrosswalk[LegacyDeviceFamilyID],tblDeviceFamilyIDCrosswalk[MappingStatus],"No Crosswalk")</f>
        <v/>
      </c>
      <c r="O473" s="35">
        <f>XLOOKUP([@DeviceTypeID],tblDeviceTypeIDCrosswalk[LegacyDeviceTypeID],tblDeviceTypeIDCrosswalk[MappingStatus],"No Crosswalk")</f>
        <v/>
      </c>
      <c r="P473">
        <f>IF(OR([@ManufacturerMappingStatus]&lt;&gt;"Approved",[@DeviceFamilyMappingStatus]&lt;&gt;"Approved",[@DeviceTypeMappingStatus]&lt;&gt;"Approved"),"Manual Review Required","Approved Crosswalk Available")</f>
        <v/>
      </c>
      <c r="Q473" t="inlineStr">
        <is>
          <t>Pending Review</t>
        </is>
      </c>
    </row>
    <row r="474" ht="21.5" customHeight="1" s="42">
      <c r="A474" s="36" t="n"/>
      <c r="B474" s="35" t="n"/>
      <c r="C474" s="35" t="n"/>
      <c r="D474" s="35" t="n"/>
      <c r="E474" s="39" t="n"/>
      <c r="F474" s="39" t="n"/>
      <c r="G474" s="10" t="inlineStr">
        <is>
          <t>MOD000471</t>
        </is>
      </c>
      <c r="H474" s="14" t="inlineStr">
        <is>
          <t>MFG007</t>
        </is>
      </c>
      <c r="I474" s="14" t="inlineStr">
        <is>
          <t>DF075</t>
        </is>
      </c>
      <c r="J474" s="14">
        <f>XLOOKUP([@ManufacturerID],tblManufacturerIDCrosswalk[LegacyManufacturerID],tblManufacturerIDCrosswalk[CanonicalManufacturerID],"")</f>
        <v/>
      </c>
      <c r="K474" s="7">
        <f>XLOOKUP([@DeviceFamilyID],tblDeviceFamilyIDCrosswalk[LegacyDeviceFamilyID],tblDeviceFamilyIDCrosswalk[CanonicalDeviceFamilyID],"")</f>
        <v/>
      </c>
      <c r="L474" s="7">
        <f>XLOOKUP([@DeviceTypeID],tblDeviceTypeIDCrosswalk[LegacyDeviceTypeID],tblDeviceTypeIDCrosswalk[CanonicalDeviceTypeID],"")</f>
        <v/>
      </c>
      <c r="M474" s="14">
        <f>XLOOKUP([@ManufacturerID],tblManufacturerIDCrosswalk[LegacyManufacturerID],tblManufacturerIDCrosswalk[MappingStatus],"No Crosswalk")</f>
        <v/>
      </c>
      <c r="N474" s="35">
        <f>XLOOKUP([@DeviceFamilyID],tblDeviceFamilyIDCrosswalk[LegacyDeviceFamilyID],tblDeviceFamilyIDCrosswalk[MappingStatus],"No Crosswalk")</f>
        <v/>
      </c>
      <c r="O474" s="35">
        <f>XLOOKUP([@DeviceTypeID],tblDeviceTypeIDCrosswalk[LegacyDeviceTypeID],tblDeviceTypeIDCrosswalk[MappingStatus],"No Crosswalk")</f>
        <v/>
      </c>
      <c r="P474">
        <f>IF(OR([@ManufacturerMappingStatus]&lt;&gt;"Approved",[@DeviceFamilyMappingStatus]&lt;&gt;"Approved",[@DeviceTypeMappingStatus]&lt;&gt;"Approved"),"Manual Review Required","Approved Crosswalk Available")</f>
        <v/>
      </c>
      <c r="Q474" t="inlineStr">
        <is>
          <t>Pending Review</t>
        </is>
      </c>
    </row>
    <row r="475" ht="21.5" customHeight="1" s="42">
      <c r="A475" s="36" t="n"/>
      <c r="B475" s="35" t="n"/>
      <c r="C475" s="35" t="n"/>
      <c r="D475" s="35" t="n"/>
      <c r="E475" s="39" t="n"/>
      <c r="F475" s="39" t="n"/>
      <c r="G475" s="10" t="inlineStr">
        <is>
          <t>MOD000472</t>
        </is>
      </c>
      <c r="H475" s="14" t="inlineStr">
        <is>
          <t>MFG007</t>
        </is>
      </c>
      <c r="I475" s="14" t="inlineStr">
        <is>
          <t>DF075</t>
        </is>
      </c>
      <c r="J475" s="14">
        <f>XLOOKUP([@ManufacturerID],tblManufacturerIDCrosswalk[LegacyManufacturerID],tblManufacturerIDCrosswalk[CanonicalManufacturerID],"")</f>
        <v/>
      </c>
      <c r="K475" s="7">
        <f>XLOOKUP([@DeviceFamilyID],tblDeviceFamilyIDCrosswalk[LegacyDeviceFamilyID],tblDeviceFamilyIDCrosswalk[CanonicalDeviceFamilyID],"")</f>
        <v/>
      </c>
      <c r="L475" s="7">
        <f>XLOOKUP([@DeviceTypeID],tblDeviceTypeIDCrosswalk[LegacyDeviceTypeID],tblDeviceTypeIDCrosswalk[CanonicalDeviceTypeID],"")</f>
        <v/>
      </c>
      <c r="M475" s="14">
        <f>XLOOKUP([@ManufacturerID],tblManufacturerIDCrosswalk[LegacyManufacturerID],tblManufacturerIDCrosswalk[MappingStatus],"No Crosswalk")</f>
        <v/>
      </c>
      <c r="N475" s="35">
        <f>XLOOKUP([@DeviceFamilyID],tblDeviceFamilyIDCrosswalk[LegacyDeviceFamilyID],tblDeviceFamilyIDCrosswalk[MappingStatus],"No Crosswalk")</f>
        <v/>
      </c>
      <c r="O475" s="35">
        <f>XLOOKUP([@DeviceTypeID],tblDeviceTypeIDCrosswalk[LegacyDeviceTypeID],tblDeviceTypeIDCrosswalk[MappingStatus],"No Crosswalk")</f>
        <v/>
      </c>
      <c r="P475">
        <f>IF(OR([@ManufacturerMappingStatus]&lt;&gt;"Approved",[@DeviceFamilyMappingStatus]&lt;&gt;"Approved",[@DeviceTypeMappingStatus]&lt;&gt;"Approved"),"Manual Review Required","Approved Crosswalk Available")</f>
        <v/>
      </c>
      <c r="Q475" t="inlineStr">
        <is>
          <t>Pending Review</t>
        </is>
      </c>
    </row>
    <row r="476" ht="21.5" customHeight="1" s="42">
      <c r="A476" s="36" t="n"/>
      <c r="B476" s="35" t="n"/>
      <c r="C476" s="35" t="n"/>
      <c r="D476" s="35" t="n"/>
      <c r="E476" s="39" t="n"/>
      <c r="F476" s="39" t="n"/>
      <c r="G476" s="10" t="inlineStr">
        <is>
          <t>MOD000473</t>
        </is>
      </c>
      <c r="H476" s="14" t="inlineStr">
        <is>
          <t>MFG007</t>
        </is>
      </c>
      <c r="I476" s="14" t="inlineStr">
        <is>
          <t>DF076</t>
        </is>
      </c>
      <c r="J476" s="14">
        <f>XLOOKUP([@ManufacturerID],tblManufacturerIDCrosswalk[LegacyManufacturerID],tblManufacturerIDCrosswalk[CanonicalManufacturerID],"")</f>
        <v/>
      </c>
      <c r="K476" s="7">
        <f>XLOOKUP([@DeviceFamilyID],tblDeviceFamilyIDCrosswalk[LegacyDeviceFamilyID],tblDeviceFamilyIDCrosswalk[CanonicalDeviceFamilyID],"")</f>
        <v/>
      </c>
      <c r="L476" s="7">
        <f>XLOOKUP([@DeviceTypeID],tblDeviceTypeIDCrosswalk[LegacyDeviceTypeID],tblDeviceTypeIDCrosswalk[CanonicalDeviceTypeID],"")</f>
        <v/>
      </c>
      <c r="M476" s="14">
        <f>XLOOKUP([@ManufacturerID],tblManufacturerIDCrosswalk[LegacyManufacturerID],tblManufacturerIDCrosswalk[MappingStatus],"No Crosswalk")</f>
        <v/>
      </c>
      <c r="N476" s="35">
        <f>XLOOKUP([@DeviceFamilyID],tblDeviceFamilyIDCrosswalk[LegacyDeviceFamilyID],tblDeviceFamilyIDCrosswalk[MappingStatus],"No Crosswalk")</f>
        <v/>
      </c>
      <c r="O476" s="35">
        <f>XLOOKUP([@DeviceTypeID],tblDeviceTypeIDCrosswalk[LegacyDeviceTypeID],tblDeviceTypeIDCrosswalk[MappingStatus],"No Crosswalk")</f>
        <v/>
      </c>
      <c r="P476">
        <f>IF(OR([@ManufacturerMappingStatus]&lt;&gt;"Approved",[@DeviceFamilyMappingStatus]&lt;&gt;"Approved",[@DeviceTypeMappingStatus]&lt;&gt;"Approved"),"Manual Review Required","Approved Crosswalk Available")</f>
        <v/>
      </c>
      <c r="Q476" t="inlineStr">
        <is>
          <t>Pending Review</t>
        </is>
      </c>
    </row>
    <row r="477" ht="21.5" customHeight="1" s="42">
      <c r="A477" s="36" t="n"/>
      <c r="B477" s="35" t="n"/>
      <c r="C477" s="35" t="n"/>
      <c r="D477" s="35" t="n"/>
      <c r="E477" s="39" t="n"/>
      <c r="F477" s="39" t="n"/>
      <c r="G477" s="10" t="inlineStr">
        <is>
          <t>MOD000474</t>
        </is>
      </c>
      <c r="H477" s="14" t="inlineStr">
        <is>
          <t>MFG008</t>
        </is>
      </c>
      <c r="I477" s="14" t="inlineStr">
        <is>
          <t>DF080</t>
        </is>
      </c>
      <c r="J477" s="14">
        <f>XLOOKUP([@ManufacturerID],tblManufacturerIDCrosswalk[LegacyManufacturerID],tblManufacturerIDCrosswalk[CanonicalManufacturerID],"")</f>
        <v/>
      </c>
      <c r="K477" s="7">
        <f>XLOOKUP([@DeviceFamilyID],tblDeviceFamilyIDCrosswalk[LegacyDeviceFamilyID],tblDeviceFamilyIDCrosswalk[CanonicalDeviceFamilyID],"")</f>
        <v/>
      </c>
      <c r="L477" s="7">
        <f>XLOOKUP([@DeviceTypeID],tblDeviceTypeIDCrosswalk[LegacyDeviceTypeID],tblDeviceTypeIDCrosswalk[CanonicalDeviceTypeID],"")</f>
        <v/>
      </c>
      <c r="M477" s="14">
        <f>XLOOKUP([@ManufacturerID],tblManufacturerIDCrosswalk[LegacyManufacturerID],tblManufacturerIDCrosswalk[MappingStatus],"No Crosswalk")</f>
        <v/>
      </c>
      <c r="N477" s="35">
        <f>XLOOKUP([@DeviceFamilyID],tblDeviceFamilyIDCrosswalk[LegacyDeviceFamilyID],tblDeviceFamilyIDCrosswalk[MappingStatus],"No Crosswalk")</f>
        <v/>
      </c>
      <c r="O477" s="35">
        <f>XLOOKUP([@DeviceTypeID],tblDeviceTypeIDCrosswalk[LegacyDeviceTypeID],tblDeviceTypeIDCrosswalk[MappingStatus],"No Crosswalk")</f>
        <v/>
      </c>
      <c r="P477">
        <f>IF(OR([@ManufacturerMappingStatus]&lt;&gt;"Approved",[@DeviceFamilyMappingStatus]&lt;&gt;"Approved",[@DeviceTypeMappingStatus]&lt;&gt;"Approved"),"Manual Review Required","Approved Crosswalk Available")</f>
        <v/>
      </c>
      <c r="Q477" t="inlineStr">
        <is>
          <t>Pending Review</t>
        </is>
      </c>
    </row>
    <row r="478" ht="21.5" customHeight="1" s="42">
      <c r="A478" s="36" t="n"/>
      <c r="B478" s="35" t="n"/>
      <c r="C478" s="35" t="n"/>
      <c r="D478" s="35" t="n"/>
      <c r="E478" s="39" t="n"/>
      <c r="F478" s="39" t="n"/>
      <c r="G478" s="10" t="inlineStr">
        <is>
          <t>MOD000475</t>
        </is>
      </c>
      <c r="H478" s="14" t="inlineStr">
        <is>
          <t>MFG008</t>
        </is>
      </c>
      <c r="I478" s="14" t="inlineStr">
        <is>
          <t>DF080</t>
        </is>
      </c>
      <c r="J478" s="14">
        <f>XLOOKUP([@ManufacturerID],tblManufacturerIDCrosswalk[LegacyManufacturerID],tblManufacturerIDCrosswalk[CanonicalManufacturerID],"")</f>
        <v/>
      </c>
      <c r="K478" s="7">
        <f>XLOOKUP([@DeviceFamilyID],tblDeviceFamilyIDCrosswalk[LegacyDeviceFamilyID],tblDeviceFamilyIDCrosswalk[CanonicalDeviceFamilyID],"")</f>
        <v/>
      </c>
      <c r="L478" s="7">
        <f>XLOOKUP([@DeviceTypeID],tblDeviceTypeIDCrosswalk[LegacyDeviceTypeID],tblDeviceTypeIDCrosswalk[CanonicalDeviceTypeID],"")</f>
        <v/>
      </c>
      <c r="M478" s="14">
        <f>XLOOKUP([@ManufacturerID],tblManufacturerIDCrosswalk[LegacyManufacturerID],tblManufacturerIDCrosswalk[MappingStatus],"No Crosswalk")</f>
        <v/>
      </c>
      <c r="N478" s="35">
        <f>XLOOKUP([@DeviceFamilyID],tblDeviceFamilyIDCrosswalk[LegacyDeviceFamilyID],tblDeviceFamilyIDCrosswalk[MappingStatus],"No Crosswalk")</f>
        <v/>
      </c>
      <c r="O478" s="35">
        <f>XLOOKUP([@DeviceTypeID],tblDeviceTypeIDCrosswalk[LegacyDeviceTypeID],tblDeviceTypeIDCrosswalk[MappingStatus],"No Crosswalk")</f>
        <v/>
      </c>
      <c r="P478">
        <f>IF(OR([@ManufacturerMappingStatus]&lt;&gt;"Approved",[@DeviceFamilyMappingStatus]&lt;&gt;"Approved",[@DeviceTypeMappingStatus]&lt;&gt;"Approved"),"Manual Review Required","Approved Crosswalk Available")</f>
        <v/>
      </c>
      <c r="Q478" t="inlineStr">
        <is>
          <t>Pending Review</t>
        </is>
      </c>
    </row>
    <row r="479" ht="21.5" customHeight="1" s="42">
      <c r="A479" s="36" t="n"/>
      <c r="B479" s="35" t="n"/>
      <c r="C479" s="35" t="n"/>
      <c r="D479" s="35" t="n"/>
      <c r="E479" s="39" t="n"/>
      <c r="F479" s="39" t="n"/>
      <c r="G479" s="10" t="inlineStr">
        <is>
          <t>MOD000476</t>
        </is>
      </c>
      <c r="H479" s="14" t="inlineStr">
        <is>
          <t>MFG008</t>
        </is>
      </c>
      <c r="I479" s="14" t="inlineStr">
        <is>
          <t>DF080</t>
        </is>
      </c>
      <c r="J479" s="14">
        <f>XLOOKUP([@ManufacturerID],tblManufacturerIDCrosswalk[LegacyManufacturerID],tblManufacturerIDCrosswalk[CanonicalManufacturerID],"")</f>
        <v/>
      </c>
      <c r="K479" s="7">
        <f>XLOOKUP([@DeviceFamilyID],tblDeviceFamilyIDCrosswalk[LegacyDeviceFamilyID],tblDeviceFamilyIDCrosswalk[CanonicalDeviceFamilyID],"")</f>
        <v/>
      </c>
      <c r="L479" s="7">
        <f>XLOOKUP([@DeviceTypeID],tblDeviceTypeIDCrosswalk[LegacyDeviceTypeID],tblDeviceTypeIDCrosswalk[CanonicalDeviceTypeID],"")</f>
        <v/>
      </c>
      <c r="M479" s="14">
        <f>XLOOKUP([@ManufacturerID],tblManufacturerIDCrosswalk[LegacyManufacturerID],tblManufacturerIDCrosswalk[MappingStatus],"No Crosswalk")</f>
        <v/>
      </c>
      <c r="N479" s="35">
        <f>XLOOKUP([@DeviceFamilyID],tblDeviceFamilyIDCrosswalk[LegacyDeviceFamilyID],tblDeviceFamilyIDCrosswalk[MappingStatus],"No Crosswalk")</f>
        <v/>
      </c>
      <c r="O479" s="35">
        <f>XLOOKUP([@DeviceTypeID],tblDeviceTypeIDCrosswalk[LegacyDeviceTypeID],tblDeviceTypeIDCrosswalk[MappingStatus],"No Crosswalk")</f>
        <v/>
      </c>
      <c r="P479">
        <f>IF(OR([@ManufacturerMappingStatus]&lt;&gt;"Approved",[@DeviceFamilyMappingStatus]&lt;&gt;"Approved",[@DeviceTypeMappingStatus]&lt;&gt;"Approved"),"Manual Review Required","Approved Crosswalk Available")</f>
        <v/>
      </c>
      <c r="Q479" t="inlineStr">
        <is>
          <t>Pending Review</t>
        </is>
      </c>
    </row>
    <row r="480" ht="21.5" customHeight="1" s="42">
      <c r="A480" s="36" t="n"/>
      <c r="B480" s="35" t="n"/>
      <c r="C480" s="35" t="n"/>
      <c r="D480" s="35" t="n"/>
      <c r="E480" s="39" t="n"/>
      <c r="F480" s="39" t="n"/>
      <c r="G480" s="10" t="inlineStr">
        <is>
          <t>MOD000477</t>
        </is>
      </c>
      <c r="H480" s="14" t="inlineStr">
        <is>
          <t>MFG008</t>
        </is>
      </c>
      <c r="I480" s="14" t="inlineStr">
        <is>
          <t>DF080</t>
        </is>
      </c>
      <c r="J480" s="14">
        <f>XLOOKUP([@ManufacturerID],tblManufacturerIDCrosswalk[LegacyManufacturerID],tblManufacturerIDCrosswalk[CanonicalManufacturerID],"")</f>
        <v/>
      </c>
      <c r="K480" s="7">
        <f>XLOOKUP([@DeviceFamilyID],tblDeviceFamilyIDCrosswalk[LegacyDeviceFamilyID],tblDeviceFamilyIDCrosswalk[CanonicalDeviceFamilyID],"")</f>
        <v/>
      </c>
      <c r="L480" s="7">
        <f>XLOOKUP([@DeviceTypeID],tblDeviceTypeIDCrosswalk[LegacyDeviceTypeID],tblDeviceTypeIDCrosswalk[CanonicalDeviceTypeID],"")</f>
        <v/>
      </c>
      <c r="M480" s="14">
        <f>XLOOKUP([@ManufacturerID],tblManufacturerIDCrosswalk[LegacyManufacturerID],tblManufacturerIDCrosswalk[MappingStatus],"No Crosswalk")</f>
        <v/>
      </c>
      <c r="N480" s="35">
        <f>XLOOKUP([@DeviceFamilyID],tblDeviceFamilyIDCrosswalk[LegacyDeviceFamilyID],tblDeviceFamilyIDCrosswalk[MappingStatus],"No Crosswalk")</f>
        <v/>
      </c>
      <c r="O480" s="35">
        <f>XLOOKUP([@DeviceTypeID],tblDeviceTypeIDCrosswalk[LegacyDeviceTypeID],tblDeviceTypeIDCrosswalk[MappingStatus],"No Crosswalk")</f>
        <v/>
      </c>
      <c r="P480">
        <f>IF(OR([@ManufacturerMappingStatus]&lt;&gt;"Approved",[@DeviceFamilyMappingStatus]&lt;&gt;"Approved",[@DeviceTypeMappingStatus]&lt;&gt;"Approved"),"Manual Review Required","Approved Crosswalk Available")</f>
        <v/>
      </c>
      <c r="Q480" t="inlineStr">
        <is>
          <t>Pending Review</t>
        </is>
      </c>
    </row>
    <row r="481" ht="21.5" customHeight="1" s="42">
      <c r="A481" s="36" t="n"/>
      <c r="B481" s="35" t="n"/>
      <c r="C481" s="35" t="n"/>
      <c r="D481" s="35" t="n"/>
      <c r="E481" s="39" t="n"/>
      <c r="F481" s="39" t="n"/>
      <c r="G481" s="10" t="inlineStr">
        <is>
          <t>MOD000478</t>
        </is>
      </c>
      <c r="H481" s="14" t="inlineStr">
        <is>
          <t>MFG008</t>
        </is>
      </c>
      <c r="I481" s="14" t="inlineStr">
        <is>
          <t>DF080</t>
        </is>
      </c>
      <c r="J481" s="14">
        <f>XLOOKUP([@ManufacturerID],tblManufacturerIDCrosswalk[LegacyManufacturerID],tblManufacturerIDCrosswalk[CanonicalManufacturerID],"")</f>
        <v/>
      </c>
      <c r="K481" s="7">
        <f>XLOOKUP([@DeviceFamilyID],tblDeviceFamilyIDCrosswalk[LegacyDeviceFamilyID],tblDeviceFamilyIDCrosswalk[CanonicalDeviceFamilyID],"")</f>
        <v/>
      </c>
      <c r="L481" s="7">
        <f>XLOOKUP([@DeviceTypeID],tblDeviceTypeIDCrosswalk[LegacyDeviceTypeID],tblDeviceTypeIDCrosswalk[CanonicalDeviceTypeID],"")</f>
        <v/>
      </c>
      <c r="M481" s="14">
        <f>XLOOKUP([@ManufacturerID],tblManufacturerIDCrosswalk[LegacyManufacturerID],tblManufacturerIDCrosswalk[MappingStatus],"No Crosswalk")</f>
        <v/>
      </c>
      <c r="N481" s="35">
        <f>XLOOKUP([@DeviceFamilyID],tblDeviceFamilyIDCrosswalk[LegacyDeviceFamilyID],tblDeviceFamilyIDCrosswalk[MappingStatus],"No Crosswalk")</f>
        <v/>
      </c>
      <c r="O481" s="35">
        <f>XLOOKUP([@DeviceTypeID],tblDeviceTypeIDCrosswalk[LegacyDeviceTypeID],tblDeviceTypeIDCrosswalk[MappingStatus],"No Crosswalk")</f>
        <v/>
      </c>
      <c r="P481">
        <f>IF(OR([@ManufacturerMappingStatus]&lt;&gt;"Approved",[@DeviceFamilyMappingStatus]&lt;&gt;"Approved",[@DeviceTypeMappingStatus]&lt;&gt;"Approved"),"Manual Review Required","Approved Crosswalk Available")</f>
        <v/>
      </c>
      <c r="Q481" t="inlineStr">
        <is>
          <t>Pending Review</t>
        </is>
      </c>
    </row>
    <row r="482" ht="21.5" customHeight="1" s="42">
      <c r="A482" s="36" t="n"/>
      <c r="B482" s="35" t="n"/>
      <c r="C482" s="35" t="n"/>
      <c r="D482" s="35" t="n"/>
      <c r="E482" s="39" t="n"/>
      <c r="F482" s="39" t="n"/>
      <c r="G482" s="10" t="inlineStr">
        <is>
          <t>MOD000479</t>
        </is>
      </c>
      <c r="H482" s="14" t="inlineStr">
        <is>
          <t>MFG008</t>
        </is>
      </c>
      <c r="I482" s="14" t="inlineStr">
        <is>
          <t>DF080</t>
        </is>
      </c>
      <c r="J482" s="14">
        <f>XLOOKUP([@ManufacturerID],tblManufacturerIDCrosswalk[LegacyManufacturerID],tblManufacturerIDCrosswalk[CanonicalManufacturerID],"")</f>
        <v/>
      </c>
      <c r="K482" s="7">
        <f>XLOOKUP([@DeviceFamilyID],tblDeviceFamilyIDCrosswalk[LegacyDeviceFamilyID],tblDeviceFamilyIDCrosswalk[CanonicalDeviceFamilyID],"")</f>
        <v/>
      </c>
      <c r="L482" s="7">
        <f>XLOOKUP([@DeviceTypeID],tblDeviceTypeIDCrosswalk[LegacyDeviceTypeID],tblDeviceTypeIDCrosswalk[CanonicalDeviceTypeID],"")</f>
        <v/>
      </c>
      <c r="M482" s="14">
        <f>XLOOKUP([@ManufacturerID],tblManufacturerIDCrosswalk[LegacyManufacturerID],tblManufacturerIDCrosswalk[MappingStatus],"No Crosswalk")</f>
        <v/>
      </c>
      <c r="N482" s="35">
        <f>XLOOKUP([@DeviceFamilyID],tblDeviceFamilyIDCrosswalk[LegacyDeviceFamilyID],tblDeviceFamilyIDCrosswalk[MappingStatus],"No Crosswalk")</f>
        <v/>
      </c>
      <c r="O482" s="35">
        <f>XLOOKUP([@DeviceTypeID],tblDeviceTypeIDCrosswalk[LegacyDeviceTypeID],tblDeviceTypeIDCrosswalk[MappingStatus],"No Crosswalk")</f>
        <v/>
      </c>
      <c r="P482">
        <f>IF(OR([@ManufacturerMappingStatus]&lt;&gt;"Approved",[@DeviceFamilyMappingStatus]&lt;&gt;"Approved",[@DeviceTypeMappingStatus]&lt;&gt;"Approved"),"Manual Review Required","Approved Crosswalk Available")</f>
        <v/>
      </c>
      <c r="Q482" t="inlineStr">
        <is>
          <t>Pending Review</t>
        </is>
      </c>
    </row>
    <row r="483" ht="21.5" customHeight="1" s="42">
      <c r="A483" s="36" t="n"/>
      <c r="B483" s="35" t="n"/>
      <c r="C483" s="35" t="n"/>
      <c r="D483" s="35" t="n"/>
      <c r="E483" s="39" t="n"/>
      <c r="F483" s="39" t="n"/>
      <c r="G483" s="10" t="inlineStr">
        <is>
          <t>MOD000480</t>
        </is>
      </c>
      <c r="H483" s="14" t="inlineStr">
        <is>
          <t>MFG008</t>
        </is>
      </c>
      <c r="I483" s="14" t="inlineStr">
        <is>
          <t>DF081</t>
        </is>
      </c>
      <c r="J483" s="14">
        <f>XLOOKUP([@ManufacturerID],tblManufacturerIDCrosswalk[LegacyManufacturerID],tblManufacturerIDCrosswalk[CanonicalManufacturerID],"")</f>
        <v/>
      </c>
      <c r="K483" s="7">
        <f>XLOOKUP([@DeviceFamilyID],tblDeviceFamilyIDCrosswalk[LegacyDeviceFamilyID],tblDeviceFamilyIDCrosswalk[CanonicalDeviceFamilyID],"")</f>
        <v/>
      </c>
      <c r="L483" s="7">
        <f>XLOOKUP([@DeviceTypeID],tblDeviceTypeIDCrosswalk[LegacyDeviceTypeID],tblDeviceTypeIDCrosswalk[CanonicalDeviceTypeID],"")</f>
        <v/>
      </c>
      <c r="M483" s="14">
        <f>XLOOKUP([@ManufacturerID],tblManufacturerIDCrosswalk[LegacyManufacturerID],tblManufacturerIDCrosswalk[MappingStatus],"No Crosswalk")</f>
        <v/>
      </c>
      <c r="N483" s="35">
        <f>XLOOKUP([@DeviceFamilyID],tblDeviceFamilyIDCrosswalk[LegacyDeviceFamilyID],tblDeviceFamilyIDCrosswalk[MappingStatus],"No Crosswalk")</f>
        <v/>
      </c>
      <c r="O483" s="35">
        <f>XLOOKUP([@DeviceTypeID],tblDeviceTypeIDCrosswalk[LegacyDeviceTypeID],tblDeviceTypeIDCrosswalk[MappingStatus],"No Crosswalk")</f>
        <v/>
      </c>
      <c r="P483">
        <f>IF(OR([@ManufacturerMappingStatus]&lt;&gt;"Approved",[@DeviceFamilyMappingStatus]&lt;&gt;"Approved",[@DeviceTypeMappingStatus]&lt;&gt;"Approved"),"Manual Review Required","Approved Crosswalk Available")</f>
        <v/>
      </c>
      <c r="Q483" t="inlineStr">
        <is>
          <t>Pending Review</t>
        </is>
      </c>
    </row>
    <row r="484" ht="21.5" customHeight="1" s="42">
      <c r="A484" s="36" t="n"/>
      <c r="B484" s="35" t="n"/>
      <c r="C484" s="35" t="n"/>
      <c r="D484" s="35" t="n"/>
      <c r="E484" s="39" t="n"/>
      <c r="F484" s="39" t="n"/>
      <c r="G484" s="10" t="inlineStr">
        <is>
          <t>MOD000481</t>
        </is>
      </c>
      <c r="H484" s="14" t="inlineStr">
        <is>
          <t>MFG008</t>
        </is>
      </c>
      <c r="I484" s="14" t="inlineStr">
        <is>
          <t>DF081</t>
        </is>
      </c>
      <c r="J484" s="14">
        <f>XLOOKUP([@ManufacturerID],tblManufacturerIDCrosswalk[LegacyManufacturerID],tblManufacturerIDCrosswalk[CanonicalManufacturerID],"")</f>
        <v/>
      </c>
      <c r="K484" s="7">
        <f>XLOOKUP([@DeviceFamilyID],tblDeviceFamilyIDCrosswalk[LegacyDeviceFamilyID],tblDeviceFamilyIDCrosswalk[CanonicalDeviceFamilyID],"")</f>
        <v/>
      </c>
      <c r="L484" s="7">
        <f>XLOOKUP([@DeviceTypeID],tblDeviceTypeIDCrosswalk[LegacyDeviceTypeID],tblDeviceTypeIDCrosswalk[CanonicalDeviceTypeID],"")</f>
        <v/>
      </c>
      <c r="M484" s="14">
        <f>XLOOKUP([@ManufacturerID],tblManufacturerIDCrosswalk[LegacyManufacturerID],tblManufacturerIDCrosswalk[MappingStatus],"No Crosswalk")</f>
        <v/>
      </c>
      <c r="N484" s="35">
        <f>XLOOKUP([@DeviceFamilyID],tblDeviceFamilyIDCrosswalk[LegacyDeviceFamilyID],tblDeviceFamilyIDCrosswalk[MappingStatus],"No Crosswalk")</f>
        <v/>
      </c>
      <c r="O484" s="35">
        <f>XLOOKUP([@DeviceTypeID],tblDeviceTypeIDCrosswalk[LegacyDeviceTypeID],tblDeviceTypeIDCrosswalk[MappingStatus],"No Crosswalk")</f>
        <v/>
      </c>
      <c r="P484">
        <f>IF(OR([@ManufacturerMappingStatus]&lt;&gt;"Approved",[@DeviceFamilyMappingStatus]&lt;&gt;"Approved",[@DeviceTypeMappingStatus]&lt;&gt;"Approved"),"Manual Review Required","Approved Crosswalk Available")</f>
        <v/>
      </c>
      <c r="Q484" t="inlineStr">
        <is>
          <t>Pending Review</t>
        </is>
      </c>
    </row>
    <row r="485" ht="21.5" customHeight="1" s="42">
      <c r="A485" s="36" t="n"/>
      <c r="B485" s="35" t="n"/>
      <c r="C485" s="35" t="n"/>
      <c r="D485" s="35" t="n"/>
      <c r="E485" s="39" t="n"/>
      <c r="F485" s="39" t="n"/>
      <c r="G485" s="10" t="inlineStr">
        <is>
          <t>MOD000482</t>
        </is>
      </c>
      <c r="H485" s="14" t="inlineStr">
        <is>
          <t>MFG008</t>
        </is>
      </c>
      <c r="I485" s="14" t="inlineStr">
        <is>
          <t>DF081</t>
        </is>
      </c>
      <c r="J485" s="14">
        <f>XLOOKUP([@ManufacturerID],tblManufacturerIDCrosswalk[LegacyManufacturerID],tblManufacturerIDCrosswalk[CanonicalManufacturerID],"")</f>
        <v/>
      </c>
      <c r="K485" s="7">
        <f>XLOOKUP([@DeviceFamilyID],tblDeviceFamilyIDCrosswalk[LegacyDeviceFamilyID],tblDeviceFamilyIDCrosswalk[CanonicalDeviceFamilyID],"")</f>
        <v/>
      </c>
      <c r="L485" s="7">
        <f>XLOOKUP([@DeviceTypeID],tblDeviceTypeIDCrosswalk[LegacyDeviceTypeID],tblDeviceTypeIDCrosswalk[CanonicalDeviceTypeID],"")</f>
        <v/>
      </c>
      <c r="M485" s="14">
        <f>XLOOKUP([@ManufacturerID],tblManufacturerIDCrosswalk[LegacyManufacturerID],tblManufacturerIDCrosswalk[MappingStatus],"No Crosswalk")</f>
        <v/>
      </c>
      <c r="N485" s="35">
        <f>XLOOKUP([@DeviceFamilyID],tblDeviceFamilyIDCrosswalk[LegacyDeviceFamilyID],tblDeviceFamilyIDCrosswalk[MappingStatus],"No Crosswalk")</f>
        <v/>
      </c>
      <c r="O485" s="35">
        <f>XLOOKUP([@DeviceTypeID],tblDeviceTypeIDCrosswalk[LegacyDeviceTypeID],tblDeviceTypeIDCrosswalk[MappingStatus],"No Crosswalk")</f>
        <v/>
      </c>
      <c r="P485">
        <f>IF(OR([@ManufacturerMappingStatus]&lt;&gt;"Approved",[@DeviceFamilyMappingStatus]&lt;&gt;"Approved",[@DeviceTypeMappingStatus]&lt;&gt;"Approved"),"Manual Review Required","Approved Crosswalk Available")</f>
        <v/>
      </c>
      <c r="Q485" t="inlineStr">
        <is>
          <t>Pending Review</t>
        </is>
      </c>
    </row>
    <row r="486" ht="21.5" customHeight="1" s="42">
      <c r="A486" s="36" t="n"/>
      <c r="B486" s="35" t="n"/>
      <c r="C486" s="35" t="n"/>
      <c r="D486" s="35" t="n"/>
      <c r="E486" s="39" t="n"/>
      <c r="F486" s="39" t="n"/>
      <c r="G486" s="10" t="inlineStr">
        <is>
          <t>MOD000483</t>
        </is>
      </c>
      <c r="H486" s="14" t="inlineStr">
        <is>
          <t>MFG008</t>
        </is>
      </c>
      <c r="I486" s="14" t="inlineStr">
        <is>
          <t>DF081</t>
        </is>
      </c>
      <c r="J486" s="14">
        <f>XLOOKUP([@ManufacturerID],tblManufacturerIDCrosswalk[LegacyManufacturerID],tblManufacturerIDCrosswalk[CanonicalManufacturerID],"")</f>
        <v/>
      </c>
      <c r="K486" s="7">
        <f>XLOOKUP([@DeviceFamilyID],tblDeviceFamilyIDCrosswalk[LegacyDeviceFamilyID],tblDeviceFamilyIDCrosswalk[CanonicalDeviceFamilyID],"")</f>
        <v/>
      </c>
      <c r="L486" s="7">
        <f>XLOOKUP([@DeviceTypeID],tblDeviceTypeIDCrosswalk[LegacyDeviceTypeID],tblDeviceTypeIDCrosswalk[CanonicalDeviceTypeID],"")</f>
        <v/>
      </c>
      <c r="M486" s="14">
        <f>XLOOKUP([@ManufacturerID],tblManufacturerIDCrosswalk[LegacyManufacturerID],tblManufacturerIDCrosswalk[MappingStatus],"No Crosswalk")</f>
        <v/>
      </c>
      <c r="N486" s="35">
        <f>XLOOKUP([@DeviceFamilyID],tblDeviceFamilyIDCrosswalk[LegacyDeviceFamilyID],tblDeviceFamilyIDCrosswalk[MappingStatus],"No Crosswalk")</f>
        <v/>
      </c>
      <c r="O486" s="35">
        <f>XLOOKUP([@DeviceTypeID],tblDeviceTypeIDCrosswalk[LegacyDeviceTypeID],tblDeviceTypeIDCrosswalk[MappingStatus],"No Crosswalk")</f>
        <v/>
      </c>
      <c r="P486">
        <f>IF(OR([@ManufacturerMappingStatus]&lt;&gt;"Approved",[@DeviceFamilyMappingStatus]&lt;&gt;"Approved",[@DeviceTypeMappingStatus]&lt;&gt;"Approved"),"Manual Review Required","Approved Crosswalk Available")</f>
        <v/>
      </c>
      <c r="Q486" t="inlineStr">
        <is>
          <t>Pending Review</t>
        </is>
      </c>
    </row>
    <row r="487" ht="21.5" customHeight="1" s="42">
      <c r="A487" s="36" t="n"/>
      <c r="B487" s="35" t="n"/>
      <c r="C487" s="35" t="n"/>
      <c r="D487" s="35" t="n"/>
      <c r="E487" s="39" t="n"/>
      <c r="F487" s="39" t="n"/>
      <c r="G487" s="10" t="inlineStr">
        <is>
          <t>MOD000484</t>
        </is>
      </c>
      <c r="H487" s="14" t="inlineStr">
        <is>
          <t>MFG008</t>
        </is>
      </c>
      <c r="I487" s="14" t="inlineStr">
        <is>
          <t>DF081</t>
        </is>
      </c>
      <c r="J487" s="14">
        <f>XLOOKUP([@ManufacturerID],tblManufacturerIDCrosswalk[LegacyManufacturerID],tblManufacturerIDCrosswalk[CanonicalManufacturerID],"")</f>
        <v/>
      </c>
      <c r="K487" s="7">
        <f>XLOOKUP([@DeviceFamilyID],tblDeviceFamilyIDCrosswalk[LegacyDeviceFamilyID],tblDeviceFamilyIDCrosswalk[CanonicalDeviceFamilyID],"")</f>
        <v/>
      </c>
      <c r="L487" s="7">
        <f>XLOOKUP([@DeviceTypeID],tblDeviceTypeIDCrosswalk[LegacyDeviceTypeID],tblDeviceTypeIDCrosswalk[CanonicalDeviceTypeID],"")</f>
        <v/>
      </c>
      <c r="M487" s="14">
        <f>XLOOKUP([@ManufacturerID],tblManufacturerIDCrosswalk[LegacyManufacturerID],tblManufacturerIDCrosswalk[MappingStatus],"No Crosswalk")</f>
        <v/>
      </c>
      <c r="N487" s="35">
        <f>XLOOKUP([@DeviceFamilyID],tblDeviceFamilyIDCrosswalk[LegacyDeviceFamilyID],tblDeviceFamilyIDCrosswalk[MappingStatus],"No Crosswalk")</f>
        <v/>
      </c>
      <c r="O487" s="35">
        <f>XLOOKUP([@DeviceTypeID],tblDeviceTypeIDCrosswalk[LegacyDeviceTypeID],tblDeviceTypeIDCrosswalk[MappingStatus],"No Crosswalk")</f>
        <v/>
      </c>
      <c r="P487">
        <f>IF(OR([@ManufacturerMappingStatus]&lt;&gt;"Approved",[@DeviceFamilyMappingStatus]&lt;&gt;"Approved",[@DeviceTypeMappingStatus]&lt;&gt;"Approved"),"Manual Review Required","Approved Crosswalk Available")</f>
        <v/>
      </c>
      <c r="Q487" t="inlineStr">
        <is>
          <t>Pending Review</t>
        </is>
      </c>
    </row>
    <row r="488" ht="21.5" customHeight="1" s="42">
      <c r="A488" s="36" t="n"/>
      <c r="B488" s="35" t="n"/>
      <c r="C488" s="35" t="n"/>
      <c r="D488" s="35" t="n"/>
      <c r="E488" s="39" t="n"/>
      <c r="F488" s="39" t="n"/>
      <c r="G488" s="10" t="inlineStr">
        <is>
          <t>MOD000485</t>
        </is>
      </c>
      <c r="H488" s="14" t="inlineStr">
        <is>
          <t>MFG008</t>
        </is>
      </c>
      <c r="I488" s="14" t="inlineStr">
        <is>
          <t>DF081</t>
        </is>
      </c>
      <c r="J488" s="14">
        <f>XLOOKUP([@ManufacturerID],tblManufacturerIDCrosswalk[LegacyManufacturerID],tblManufacturerIDCrosswalk[CanonicalManufacturerID],"")</f>
        <v/>
      </c>
      <c r="K488" s="7">
        <f>XLOOKUP([@DeviceFamilyID],tblDeviceFamilyIDCrosswalk[LegacyDeviceFamilyID],tblDeviceFamilyIDCrosswalk[CanonicalDeviceFamilyID],"")</f>
        <v/>
      </c>
      <c r="L488" s="7">
        <f>XLOOKUP([@DeviceTypeID],tblDeviceTypeIDCrosswalk[LegacyDeviceTypeID],tblDeviceTypeIDCrosswalk[CanonicalDeviceTypeID],"")</f>
        <v/>
      </c>
      <c r="M488" s="14">
        <f>XLOOKUP([@ManufacturerID],tblManufacturerIDCrosswalk[LegacyManufacturerID],tblManufacturerIDCrosswalk[MappingStatus],"No Crosswalk")</f>
        <v/>
      </c>
      <c r="N488" s="35">
        <f>XLOOKUP([@DeviceFamilyID],tblDeviceFamilyIDCrosswalk[LegacyDeviceFamilyID],tblDeviceFamilyIDCrosswalk[MappingStatus],"No Crosswalk")</f>
        <v/>
      </c>
      <c r="O488" s="35">
        <f>XLOOKUP([@DeviceTypeID],tblDeviceTypeIDCrosswalk[LegacyDeviceTypeID],tblDeviceTypeIDCrosswalk[MappingStatus],"No Crosswalk")</f>
        <v/>
      </c>
      <c r="P488">
        <f>IF(OR([@ManufacturerMappingStatus]&lt;&gt;"Approved",[@DeviceFamilyMappingStatus]&lt;&gt;"Approved",[@DeviceTypeMappingStatus]&lt;&gt;"Approved"),"Manual Review Required","Approved Crosswalk Available")</f>
        <v/>
      </c>
      <c r="Q488" t="inlineStr">
        <is>
          <t>Pending Review</t>
        </is>
      </c>
    </row>
    <row r="489" ht="21.5" customHeight="1" s="42">
      <c r="A489" s="36" t="n"/>
      <c r="B489" s="35" t="n"/>
      <c r="C489" s="35" t="n"/>
      <c r="D489" s="35" t="n"/>
      <c r="E489" s="39" t="n"/>
      <c r="F489" s="39" t="n"/>
      <c r="G489" s="10" t="inlineStr">
        <is>
          <t>MOD000486</t>
        </is>
      </c>
      <c r="H489" s="14" t="inlineStr">
        <is>
          <t>MFG008</t>
        </is>
      </c>
      <c r="I489" s="14" t="inlineStr">
        <is>
          <t>DF081</t>
        </is>
      </c>
      <c r="J489" s="14">
        <f>XLOOKUP([@ManufacturerID],tblManufacturerIDCrosswalk[LegacyManufacturerID],tblManufacturerIDCrosswalk[CanonicalManufacturerID],"")</f>
        <v/>
      </c>
      <c r="K489" s="7">
        <f>XLOOKUP([@DeviceFamilyID],tblDeviceFamilyIDCrosswalk[LegacyDeviceFamilyID],tblDeviceFamilyIDCrosswalk[CanonicalDeviceFamilyID],"")</f>
        <v/>
      </c>
      <c r="L489" s="7">
        <f>XLOOKUP([@DeviceTypeID],tblDeviceTypeIDCrosswalk[LegacyDeviceTypeID],tblDeviceTypeIDCrosswalk[CanonicalDeviceTypeID],"")</f>
        <v/>
      </c>
      <c r="M489" s="14">
        <f>XLOOKUP([@ManufacturerID],tblManufacturerIDCrosswalk[LegacyManufacturerID],tblManufacturerIDCrosswalk[MappingStatus],"No Crosswalk")</f>
        <v/>
      </c>
      <c r="N489" s="35">
        <f>XLOOKUP([@DeviceFamilyID],tblDeviceFamilyIDCrosswalk[LegacyDeviceFamilyID],tblDeviceFamilyIDCrosswalk[MappingStatus],"No Crosswalk")</f>
        <v/>
      </c>
      <c r="O489" s="35">
        <f>XLOOKUP([@DeviceTypeID],tblDeviceTypeIDCrosswalk[LegacyDeviceTypeID],tblDeviceTypeIDCrosswalk[MappingStatus],"No Crosswalk")</f>
        <v/>
      </c>
      <c r="P489">
        <f>IF(OR([@ManufacturerMappingStatus]&lt;&gt;"Approved",[@DeviceFamilyMappingStatus]&lt;&gt;"Approved",[@DeviceTypeMappingStatus]&lt;&gt;"Approved"),"Manual Review Required","Approved Crosswalk Available")</f>
        <v/>
      </c>
      <c r="Q489" t="inlineStr">
        <is>
          <t>Pending Review</t>
        </is>
      </c>
    </row>
    <row r="490" ht="21.5" customHeight="1" s="42">
      <c r="A490" s="36" t="n"/>
      <c r="B490" s="35" t="n"/>
      <c r="C490" s="35" t="n"/>
      <c r="D490" s="35" t="n"/>
      <c r="E490" s="39" t="n"/>
      <c r="F490" s="39" t="n"/>
      <c r="G490" s="10" t="inlineStr">
        <is>
          <t>MOD000487</t>
        </is>
      </c>
      <c r="H490" s="14" t="inlineStr">
        <is>
          <t>MFG008</t>
        </is>
      </c>
      <c r="I490" s="14" t="inlineStr">
        <is>
          <t>DF081</t>
        </is>
      </c>
      <c r="J490" s="14">
        <f>XLOOKUP([@ManufacturerID],tblManufacturerIDCrosswalk[LegacyManufacturerID],tblManufacturerIDCrosswalk[CanonicalManufacturerID],"")</f>
        <v/>
      </c>
      <c r="K490" s="7">
        <f>XLOOKUP([@DeviceFamilyID],tblDeviceFamilyIDCrosswalk[LegacyDeviceFamilyID],tblDeviceFamilyIDCrosswalk[CanonicalDeviceFamilyID],"")</f>
        <v/>
      </c>
      <c r="L490" s="7">
        <f>XLOOKUP([@DeviceTypeID],tblDeviceTypeIDCrosswalk[LegacyDeviceTypeID],tblDeviceTypeIDCrosswalk[CanonicalDeviceTypeID],"")</f>
        <v/>
      </c>
      <c r="M490" s="14">
        <f>XLOOKUP([@ManufacturerID],tblManufacturerIDCrosswalk[LegacyManufacturerID],tblManufacturerIDCrosswalk[MappingStatus],"No Crosswalk")</f>
        <v/>
      </c>
      <c r="N490" s="35">
        <f>XLOOKUP([@DeviceFamilyID],tblDeviceFamilyIDCrosswalk[LegacyDeviceFamilyID],tblDeviceFamilyIDCrosswalk[MappingStatus],"No Crosswalk")</f>
        <v/>
      </c>
      <c r="O490" s="35">
        <f>XLOOKUP([@DeviceTypeID],tblDeviceTypeIDCrosswalk[LegacyDeviceTypeID],tblDeviceTypeIDCrosswalk[MappingStatus],"No Crosswalk")</f>
        <v/>
      </c>
      <c r="P490">
        <f>IF(OR([@ManufacturerMappingStatus]&lt;&gt;"Approved",[@DeviceFamilyMappingStatus]&lt;&gt;"Approved",[@DeviceTypeMappingStatus]&lt;&gt;"Approved"),"Manual Review Required","Approved Crosswalk Available")</f>
        <v/>
      </c>
      <c r="Q490" t="inlineStr">
        <is>
          <t>Pending Review</t>
        </is>
      </c>
    </row>
    <row r="491" ht="21.5" customHeight="1" s="42">
      <c r="A491" s="36" t="n"/>
      <c r="B491" s="35" t="n"/>
      <c r="C491" s="35" t="n"/>
      <c r="D491" s="35" t="n"/>
      <c r="E491" s="39" t="n"/>
      <c r="F491" s="39" t="n"/>
      <c r="G491" s="10" t="inlineStr">
        <is>
          <t>MOD000488</t>
        </is>
      </c>
      <c r="H491" s="14" t="inlineStr">
        <is>
          <t>MFG008</t>
        </is>
      </c>
      <c r="I491" s="14" t="inlineStr">
        <is>
          <t>DF081</t>
        </is>
      </c>
      <c r="J491" s="14">
        <f>XLOOKUP([@ManufacturerID],tblManufacturerIDCrosswalk[LegacyManufacturerID],tblManufacturerIDCrosswalk[CanonicalManufacturerID],"")</f>
        <v/>
      </c>
      <c r="K491" s="7">
        <f>XLOOKUP([@DeviceFamilyID],tblDeviceFamilyIDCrosswalk[LegacyDeviceFamilyID],tblDeviceFamilyIDCrosswalk[CanonicalDeviceFamilyID],"")</f>
        <v/>
      </c>
      <c r="L491" s="7">
        <f>XLOOKUP([@DeviceTypeID],tblDeviceTypeIDCrosswalk[LegacyDeviceTypeID],tblDeviceTypeIDCrosswalk[CanonicalDeviceTypeID],"")</f>
        <v/>
      </c>
      <c r="M491" s="14">
        <f>XLOOKUP([@ManufacturerID],tblManufacturerIDCrosswalk[LegacyManufacturerID],tblManufacturerIDCrosswalk[MappingStatus],"No Crosswalk")</f>
        <v/>
      </c>
      <c r="N491" s="35">
        <f>XLOOKUP([@DeviceFamilyID],tblDeviceFamilyIDCrosswalk[LegacyDeviceFamilyID],tblDeviceFamilyIDCrosswalk[MappingStatus],"No Crosswalk")</f>
        <v/>
      </c>
      <c r="O491" s="35">
        <f>XLOOKUP([@DeviceTypeID],tblDeviceTypeIDCrosswalk[LegacyDeviceTypeID],tblDeviceTypeIDCrosswalk[MappingStatus],"No Crosswalk")</f>
        <v/>
      </c>
      <c r="P491">
        <f>IF(OR([@ManufacturerMappingStatus]&lt;&gt;"Approved",[@DeviceFamilyMappingStatus]&lt;&gt;"Approved",[@DeviceTypeMappingStatus]&lt;&gt;"Approved"),"Manual Review Required","Approved Crosswalk Available")</f>
        <v/>
      </c>
      <c r="Q491" t="inlineStr">
        <is>
          <t>Pending Review</t>
        </is>
      </c>
    </row>
    <row r="492" ht="21.5" customHeight="1" s="42">
      <c r="A492" s="36" t="n"/>
      <c r="B492" s="35" t="n"/>
      <c r="C492" s="35" t="n"/>
      <c r="D492" s="35" t="n"/>
      <c r="E492" s="39" t="n"/>
      <c r="F492" s="39" t="n"/>
      <c r="G492" s="10" t="inlineStr">
        <is>
          <t>MOD000489</t>
        </is>
      </c>
      <c r="H492" s="14" t="inlineStr">
        <is>
          <t>MFG008</t>
        </is>
      </c>
      <c r="I492" s="14" t="inlineStr">
        <is>
          <t>DF081</t>
        </is>
      </c>
      <c r="J492" s="14">
        <f>XLOOKUP([@ManufacturerID],tblManufacturerIDCrosswalk[LegacyManufacturerID],tblManufacturerIDCrosswalk[CanonicalManufacturerID],"")</f>
        <v/>
      </c>
      <c r="K492" s="7">
        <f>XLOOKUP([@DeviceFamilyID],tblDeviceFamilyIDCrosswalk[LegacyDeviceFamilyID],tblDeviceFamilyIDCrosswalk[CanonicalDeviceFamilyID],"")</f>
        <v/>
      </c>
      <c r="L492" s="7">
        <f>XLOOKUP([@DeviceTypeID],tblDeviceTypeIDCrosswalk[LegacyDeviceTypeID],tblDeviceTypeIDCrosswalk[CanonicalDeviceTypeID],"")</f>
        <v/>
      </c>
      <c r="M492" s="14">
        <f>XLOOKUP([@ManufacturerID],tblManufacturerIDCrosswalk[LegacyManufacturerID],tblManufacturerIDCrosswalk[MappingStatus],"No Crosswalk")</f>
        <v/>
      </c>
      <c r="N492" s="35">
        <f>XLOOKUP([@DeviceFamilyID],tblDeviceFamilyIDCrosswalk[LegacyDeviceFamilyID],tblDeviceFamilyIDCrosswalk[MappingStatus],"No Crosswalk")</f>
        <v/>
      </c>
      <c r="O492" s="35">
        <f>XLOOKUP([@DeviceTypeID],tblDeviceTypeIDCrosswalk[LegacyDeviceTypeID],tblDeviceTypeIDCrosswalk[MappingStatus],"No Crosswalk")</f>
        <v/>
      </c>
      <c r="P492">
        <f>IF(OR([@ManufacturerMappingStatus]&lt;&gt;"Approved",[@DeviceFamilyMappingStatus]&lt;&gt;"Approved",[@DeviceTypeMappingStatus]&lt;&gt;"Approved"),"Manual Review Required","Approved Crosswalk Available")</f>
        <v/>
      </c>
      <c r="Q492" t="inlineStr">
        <is>
          <t>Pending Review</t>
        </is>
      </c>
    </row>
    <row r="493" ht="21.5" customHeight="1" s="42">
      <c r="A493" s="36" t="n"/>
      <c r="B493" s="35" t="n"/>
      <c r="C493" s="35" t="n"/>
      <c r="D493" s="35" t="n"/>
      <c r="E493" s="39" t="n"/>
      <c r="F493" s="39" t="n"/>
      <c r="G493" s="10" t="inlineStr">
        <is>
          <t>MOD000490</t>
        </is>
      </c>
      <c r="H493" s="14" t="inlineStr">
        <is>
          <t>MFG008</t>
        </is>
      </c>
      <c r="I493" s="14" t="inlineStr">
        <is>
          <t>DF081</t>
        </is>
      </c>
      <c r="J493" s="14">
        <f>XLOOKUP([@ManufacturerID],tblManufacturerIDCrosswalk[LegacyManufacturerID],tblManufacturerIDCrosswalk[CanonicalManufacturerID],"")</f>
        <v/>
      </c>
      <c r="K493" s="7">
        <f>XLOOKUP([@DeviceFamilyID],tblDeviceFamilyIDCrosswalk[LegacyDeviceFamilyID],tblDeviceFamilyIDCrosswalk[CanonicalDeviceFamilyID],"")</f>
        <v/>
      </c>
      <c r="L493" s="7">
        <f>XLOOKUP([@DeviceTypeID],tblDeviceTypeIDCrosswalk[LegacyDeviceTypeID],tblDeviceTypeIDCrosswalk[CanonicalDeviceTypeID],"")</f>
        <v/>
      </c>
      <c r="M493" s="14">
        <f>XLOOKUP([@ManufacturerID],tblManufacturerIDCrosswalk[LegacyManufacturerID],tblManufacturerIDCrosswalk[MappingStatus],"No Crosswalk")</f>
        <v/>
      </c>
      <c r="N493" s="35">
        <f>XLOOKUP([@DeviceFamilyID],tblDeviceFamilyIDCrosswalk[LegacyDeviceFamilyID],tblDeviceFamilyIDCrosswalk[MappingStatus],"No Crosswalk")</f>
        <v/>
      </c>
      <c r="O493" s="35">
        <f>XLOOKUP([@DeviceTypeID],tblDeviceTypeIDCrosswalk[LegacyDeviceTypeID],tblDeviceTypeIDCrosswalk[MappingStatus],"No Crosswalk")</f>
        <v/>
      </c>
      <c r="P493">
        <f>IF(OR([@ManufacturerMappingStatus]&lt;&gt;"Approved",[@DeviceFamilyMappingStatus]&lt;&gt;"Approved",[@DeviceTypeMappingStatus]&lt;&gt;"Approved"),"Manual Review Required","Approved Crosswalk Available")</f>
        <v/>
      </c>
      <c r="Q493" t="inlineStr">
        <is>
          <t>Pending Review</t>
        </is>
      </c>
    </row>
    <row r="494" ht="21.5" customHeight="1" s="42">
      <c r="A494" s="36" t="n"/>
      <c r="B494" s="35" t="n"/>
      <c r="C494" s="35" t="n"/>
      <c r="D494" s="35" t="n"/>
      <c r="E494" s="39" t="n"/>
      <c r="F494" s="39" t="n"/>
      <c r="G494" s="10" t="inlineStr">
        <is>
          <t>MOD000491</t>
        </is>
      </c>
      <c r="H494" s="14" t="inlineStr">
        <is>
          <t>MFG008</t>
        </is>
      </c>
      <c r="I494" s="14" t="inlineStr">
        <is>
          <t>DF080</t>
        </is>
      </c>
      <c r="J494" s="14">
        <f>XLOOKUP([@ManufacturerID],tblManufacturerIDCrosswalk[LegacyManufacturerID],tblManufacturerIDCrosswalk[CanonicalManufacturerID],"")</f>
        <v/>
      </c>
      <c r="K494" s="7">
        <f>XLOOKUP([@DeviceFamilyID],tblDeviceFamilyIDCrosswalk[LegacyDeviceFamilyID],tblDeviceFamilyIDCrosswalk[CanonicalDeviceFamilyID],"")</f>
        <v/>
      </c>
      <c r="L494" s="7">
        <f>XLOOKUP([@DeviceTypeID],tblDeviceTypeIDCrosswalk[LegacyDeviceTypeID],tblDeviceTypeIDCrosswalk[CanonicalDeviceTypeID],"")</f>
        <v/>
      </c>
      <c r="M494" s="14">
        <f>XLOOKUP([@ManufacturerID],tblManufacturerIDCrosswalk[LegacyManufacturerID],tblManufacturerIDCrosswalk[MappingStatus],"No Crosswalk")</f>
        <v/>
      </c>
      <c r="N494" s="35">
        <f>XLOOKUP([@DeviceFamilyID],tblDeviceFamilyIDCrosswalk[LegacyDeviceFamilyID],tblDeviceFamilyIDCrosswalk[MappingStatus],"No Crosswalk")</f>
        <v/>
      </c>
      <c r="O494" s="35">
        <f>XLOOKUP([@DeviceTypeID],tblDeviceTypeIDCrosswalk[LegacyDeviceTypeID],tblDeviceTypeIDCrosswalk[MappingStatus],"No Crosswalk")</f>
        <v/>
      </c>
      <c r="P494">
        <f>IF(OR([@ManufacturerMappingStatus]&lt;&gt;"Approved",[@DeviceFamilyMappingStatus]&lt;&gt;"Approved",[@DeviceTypeMappingStatus]&lt;&gt;"Approved"),"Manual Review Required","Approved Crosswalk Available")</f>
        <v/>
      </c>
      <c r="Q494" t="inlineStr">
        <is>
          <t>Pending Review</t>
        </is>
      </c>
    </row>
    <row r="495" ht="21.5" customHeight="1" s="42">
      <c r="A495" s="36" t="n"/>
      <c r="B495" s="35" t="n"/>
      <c r="C495" s="35" t="n"/>
      <c r="D495" s="35" t="n"/>
      <c r="E495" s="39" t="n"/>
      <c r="F495" s="39" t="n"/>
      <c r="G495" s="10" t="inlineStr">
        <is>
          <t>MOD000492</t>
        </is>
      </c>
      <c r="H495" s="14" t="inlineStr">
        <is>
          <t>MFG008</t>
        </is>
      </c>
      <c r="I495" s="14" t="inlineStr">
        <is>
          <t>DF082</t>
        </is>
      </c>
      <c r="J495" s="14">
        <f>XLOOKUP([@ManufacturerID],tblManufacturerIDCrosswalk[LegacyManufacturerID],tblManufacturerIDCrosswalk[CanonicalManufacturerID],"")</f>
        <v/>
      </c>
      <c r="K495" s="7">
        <f>XLOOKUP([@DeviceFamilyID],tblDeviceFamilyIDCrosswalk[LegacyDeviceFamilyID],tblDeviceFamilyIDCrosswalk[CanonicalDeviceFamilyID],"")</f>
        <v/>
      </c>
      <c r="L495" s="7">
        <f>XLOOKUP([@DeviceTypeID],tblDeviceTypeIDCrosswalk[LegacyDeviceTypeID],tblDeviceTypeIDCrosswalk[CanonicalDeviceTypeID],"")</f>
        <v/>
      </c>
      <c r="M495" s="14">
        <f>XLOOKUP([@ManufacturerID],tblManufacturerIDCrosswalk[LegacyManufacturerID],tblManufacturerIDCrosswalk[MappingStatus],"No Crosswalk")</f>
        <v/>
      </c>
      <c r="N495" s="35">
        <f>XLOOKUP([@DeviceFamilyID],tblDeviceFamilyIDCrosswalk[LegacyDeviceFamilyID],tblDeviceFamilyIDCrosswalk[MappingStatus],"No Crosswalk")</f>
        <v/>
      </c>
      <c r="O495" s="35">
        <f>XLOOKUP([@DeviceTypeID],tblDeviceTypeIDCrosswalk[LegacyDeviceTypeID],tblDeviceTypeIDCrosswalk[MappingStatus],"No Crosswalk")</f>
        <v/>
      </c>
      <c r="P495">
        <f>IF(OR([@ManufacturerMappingStatus]&lt;&gt;"Approved",[@DeviceFamilyMappingStatus]&lt;&gt;"Approved",[@DeviceTypeMappingStatus]&lt;&gt;"Approved"),"Manual Review Required","Approved Crosswalk Available")</f>
        <v/>
      </c>
      <c r="Q495" t="inlineStr">
        <is>
          <t>Pending Review</t>
        </is>
      </c>
    </row>
    <row r="496" ht="21.5" customHeight="1" s="42">
      <c r="A496" s="36" t="n"/>
      <c r="B496" s="35" t="n"/>
      <c r="C496" s="35" t="n"/>
      <c r="D496" s="35" t="n"/>
      <c r="E496" s="39" t="n"/>
      <c r="F496" s="39" t="n"/>
      <c r="G496" s="10" t="inlineStr">
        <is>
          <t>MOD000493</t>
        </is>
      </c>
      <c r="H496" s="14" t="inlineStr">
        <is>
          <t>MFG008</t>
        </is>
      </c>
      <c r="I496" s="14" t="inlineStr">
        <is>
          <t>DF082</t>
        </is>
      </c>
      <c r="J496" s="14">
        <f>XLOOKUP([@ManufacturerID],tblManufacturerIDCrosswalk[LegacyManufacturerID],tblManufacturerIDCrosswalk[CanonicalManufacturerID],"")</f>
        <v/>
      </c>
      <c r="K496" s="7">
        <f>XLOOKUP([@DeviceFamilyID],tblDeviceFamilyIDCrosswalk[LegacyDeviceFamilyID],tblDeviceFamilyIDCrosswalk[CanonicalDeviceFamilyID],"")</f>
        <v/>
      </c>
      <c r="L496" s="7">
        <f>XLOOKUP([@DeviceTypeID],tblDeviceTypeIDCrosswalk[LegacyDeviceTypeID],tblDeviceTypeIDCrosswalk[CanonicalDeviceTypeID],"")</f>
        <v/>
      </c>
      <c r="M496" s="14">
        <f>XLOOKUP([@ManufacturerID],tblManufacturerIDCrosswalk[LegacyManufacturerID],tblManufacturerIDCrosswalk[MappingStatus],"No Crosswalk")</f>
        <v/>
      </c>
      <c r="N496" s="35">
        <f>XLOOKUP([@DeviceFamilyID],tblDeviceFamilyIDCrosswalk[LegacyDeviceFamilyID],tblDeviceFamilyIDCrosswalk[MappingStatus],"No Crosswalk")</f>
        <v/>
      </c>
      <c r="O496" s="35">
        <f>XLOOKUP([@DeviceTypeID],tblDeviceTypeIDCrosswalk[LegacyDeviceTypeID],tblDeviceTypeIDCrosswalk[MappingStatus],"No Crosswalk")</f>
        <v/>
      </c>
      <c r="P496">
        <f>IF(OR([@ManufacturerMappingStatus]&lt;&gt;"Approved",[@DeviceFamilyMappingStatus]&lt;&gt;"Approved",[@DeviceTypeMappingStatus]&lt;&gt;"Approved"),"Manual Review Required","Approved Crosswalk Available")</f>
        <v/>
      </c>
      <c r="Q496" t="inlineStr">
        <is>
          <t>Pending Review</t>
        </is>
      </c>
    </row>
    <row r="497" ht="21.5" customHeight="1" s="42">
      <c r="A497" s="36" t="n"/>
      <c r="B497" s="35" t="n"/>
      <c r="C497" s="35" t="n"/>
      <c r="D497" s="35" t="n"/>
      <c r="E497" s="39" t="n"/>
      <c r="F497" s="39" t="n"/>
      <c r="G497" s="10" t="inlineStr">
        <is>
          <t>MOD000494</t>
        </is>
      </c>
      <c r="H497" s="14" t="inlineStr">
        <is>
          <t>MFG009</t>
        </is>
      </c>
      <c r="I497" s="14" t="inlineStr">
        <is>
          <t>DF090</t>
        </is>
      </c>
      <c r="J497" s="14">
        <f>XLOOKUP([@ManufacturerID],tblManufacturerIDCrosswalk[LegacyManufacturerID],tblManufacturerIDCrosswalk[CanonicalManufacturerID],"")</f>
        <v/>
      </c>
      <c r="K497" s="7">
        <f>XLOOKUP([@DeviceFamilyID],tblDeviceFamilyIDCrosswalk[LegacyDeviceFamilyID],tblDeviceFamilyIDCrosswalk[CanonicalDeviceFamilyID],"")</f>
        <v/>
      </c>
      <c r="L497" s="7">
        <f>XLOOKUP([@DeviceTypeID],tblDeviceTypeIDCrosswalk[LegacyDeviceTypeID],tblDeviceTypeIDCrosswalk[CanonicalDeviceTypeID],"")</f>
        <v/>
      </c>
      <c r="M497" s="14">
        <f>XLOOKUP([@ManufacturerID],tblManufacturerIDCrosswalk[LegacyManufacturerID],tblManufacturerIDCrosswalk[MappingStatus],"No Crosswalk")</f>
        <v/>
      </c>
      <c r="N497" s="35">
        <f>XLOOKUP([@DeviceFamilyID],tblDeviceFamilyIDCrosswalk[LegacyDeviceFamilyID],tblDeviceFamilyIDCrosswalk[MappingStatus],"No Crosswalk")</f>
        <v/>
      </c>
      <c r="O497" s="35">
        <f>XLOOKUP([@DeviceTypeID],tblDeviceTypeIDCrosswalk[LegacyDeviceTypeID],tblDeviceTypeIDCrosswalk[MappingStatus],"No Crosswalk")</f>
        <v/>
      </c>
      <c r="P497">
        <f>IF(OR([@ManufacturerMappingStatus]&lt;&gt;"Approved",[@DeviceFamilyMappingStatus]&lt;&gt;"Approved",[@DeviceTypeMappingStatus]&lt;&gt;"Approved"),"Manual Review Required","Approved Crosswalk Available")</f>
        <v/>
      </c>
      <c r="Q497" t="inlineStr">
        <is>
          <t>Pending Review</t>
        </is>
      </c>
    </row>
    <row r="498" ht="21.5" customHeight="1" s="42">
      <c r="A498" s="36" t="n"/>
      <c r="B498" s="35" t="n"/>
      <c r="C498" s="35" t="n"/>
      <c r="D498" s="35" t="n"/>
      <c r="E498" s="39" t="n"/>
      <c r="F498" s="39" t="n"/>
      <c r="G498" s="10" t="inlineStr">
        <is>
          <t>MOD000495</t>
        </is>
      </c>
      <c r="H498" s="14" t="inlineStr">
        <is>
          <t>MFG009</t>
        </is>
      </c>
      <c r="I498" s="14" t="inlineStr">
        <is>
          <t>DF090</t>
        </is>
      </c>
      <c r="J498" s="14">
        <f>XLOOKUP([@ManufacturerID],tblManufacturerIDCrosswalk[LegacyManufacturerID],tblManufacturerIDCrosswalk[CanonicalManufacturerID],"")</f>
        <v/>
      </c>
      <c r="K498" s="7">
        <f>XLOOKUP([@DeviceFamilyID],tblDeviceFamilyIDCrosswalk[LegacyDeviceFamilyID],tblDeviceFamilyIDCrosswalk[CanonicalDeviceFamilyID],"")</f>
        <v/>
      </c>
      <c r="L498" s="7">
        <f>XLOOKUP([@DeviceTypeID],tblDeviceTypeIDCrosswalk[LegacyDeviceTypeID],tblDeviceTypeIDCrosswalk[CanonicalDeviceTypeID],"")</f>
        <v/>
      </c>
      <c r="M498" s="14">
        <f>XLOOKUP([@ManufacturerID],tblManufacturerIDCrosswalk[LegacyManufacturerID],tblManufacturerIDCrosswalk[MappingStatus],"No Crosswalk")</f>
        <v/>
      </c>
      <c r="N498" s="35">
        <f>XLOOKUP([@DeviceFamilyID],tblDeviceFamilyIDCrosswalk[LegacyDeviceFamilyID],tblDeviceFamilyIDCrosswalk[MappingStatus],"No Crosswalk")</f>
        <v/>
      </c>
      <c r="O498" s="35">
        <f>XLOOKUP([@DeviceTypeID],tblDeviceTypeIDCrosswalk[LegacyDeviceTypeID],tblDeviceTypeIDCrosswalk[MappingStatus],"No Crosswalk")</f>
        <v/>
      </c>
      <c r="P498">
        <f>IF(OR([@ManufacturerMappingStatus]&lt;&gt;"Approved",[@DeviceFamilyMappingStatus]&lt;&gt;"Approved",[@DeviceTypeMappingStatus]&lt;&gt;"Approved"),"Manual Review Required","Approved Crosswalk Available")</f>
        <v/>
      </c>
      <c r="Q498" t="inlineStr">
        <is>
          <t>Pending Review</t>
        </is>
      </c>
    </row>
    <row r="499" ht="21.5" customHeight="1" s="42">
      <c r="A499" s="36" t="n"/>
      <c r="B499" s="35" t="n"/>
      <c r="C499" s="35" t="n"/>
      <c r="D499" s="35" t="n"/>
      <c r="E499" s="39" t="n"/>
      <c r="F499" s="39" t="n"/>
      <c r="G499" s="10" t="inlineStr">
        <is>
          <t>MOD000496</t>
        </is>
      </c>
      <c r="H499" s="14" t="inlineStr">
        <is>
          <t>MFG009</t>
        </is>
      </c>
      <c r="I499" s="14" t="inlineStr">
        <is>
          <t>DF090</t>
        </is>
      </c>
      <c r="J499" s="14">
        <f>XLOOKUP([@ManufacturerID],tblManufacturerIDCrosswalk[LegacyManufacturerID],tblManufacturerIDCrosswalk[CanonicalManufacturerID],"")</f>
        <v/>
      </c>
      <c r="K499" s="7">
        <f>XLOOKUP([@DeviceFamilyID],tblDeviceFamilyIDCrosswalk[LegacyDeviceFamilyID],tblDeviceFamilyIDCrosswalk[CanonicalDeviceFamilyID],"")</f>
        <v/>
      </c>
      <c r="L499" s="7">
        <f>XLOOKUP([@DeviceTypeID],tblDeviceTypeIDCrosswalk[LegacyDeviceTypeID],tblDeviceTypeIDCrosswalk[CanonicalDeviceTypeID],"")</f>
        <v/>
      </c>
      <c r="M499" s="14">
        <f>XLOOKUP([@ManufacturerID],tblManufacturerIDCrosswalk[LegacyManufacturerID],tblManufacturerIDCrosswalk[MappingStatus],"No Crosswalk")</f>
        <v/>
      </c>
      <c r="N499" s="35">
        <f>XLOOKUP([@DeviceFamilyID],tblDeviceFamilyIDCrosswalk[LegacyDeviceFamilyID],tblDeviceFamilyIDCrosswalk[MappingStatus],"No Crosswalk")</f>
        <v/>
      </c>
      <c r="O499" s="35">
        <f>XLOOKUP([@DeviceTypeID],tblDeviceTypeIDCrosswalk[LegacyDeviceTypeID],tblDeviceTypeIDCrosswalk[MappingStatus],"No Crosswalk")</f>
        <v/>
      </c>
      <c r="P499">
        <f>IF(OR([@ManufacturerMappingStatus]&lt;&gt;"Approved",[@DeviceFamilyMappingStatus]&lt;&gt;"Approved",[@DeviceTypeMappingStatus]&lt;&gt;"Approved"),"Manual Review Required","Approved Crosswalk Available")</f>
        <v/>
      </c>
      <c r="Q499" t="inlineStr">
        <is>
          <t>Pending Review</t>
        </is>
      </c>
    </row>
    <row r="500" ht="21.5" customHeight="1" s="42">
      <c r="A500" s="36" t="n"/>
      <c r="B500" s="35" t="n"/>
      <c r="C500" s="35" t="n"/>
      <c r="D500" s="35" t="n"/>
      <c r="E500" s="39" t="n"/>
      <c r="F500" s="39" t="n"/>
      <c r="G500" s="10" t="inlineStr">
        <is>
          <t>MOD000497</t>
        </is>
      </c>
      <c r="H500" s="14" t="inlineStr">
        <is>
          <t>MFG009</t>
        </is>
      </c>
      <c r="I500" s="14" t="inlineStr">
        <is>
          <t>DF090</t>
        </is>
      </c>
      <c r="J500" s="14">
        <f>XLOOKUP([@ManufacturerID],tblManufacturerIDCrosswalk[LegacyManufacturerID],tblManufacturerIDCrosswalk[CanonicalManufacturerID],"")</f>
        <v/>
      </c>
      <c r="K500" s="7">
        <f>XLOOKUP([@DeviceFamilyID],tblDeviceFamilyIDCrosswalk[LegacyDeviceFamilyID],tblDeviceFamilyIDCrosswalk[CanonicalDeviceFamilyID],"")</f>
        <v/>
      </c>
      <c r="L500" s="7">
        <f>XLOOKUP([@DeviceTypeID],tblDeviceTypeIDCrosswalk[LegacyDeviceTypeID],tblDeviceTypeIDCrosswalk[CanonicalDeviceTypeID],"")</f>
        <v/>
      </c>
      <c r="M500" s="14">
        <f>XLOOKUP([@ManufacturerID],tblManufacturerIDCrosswalk[LegacyManufacturerID],tblManufacturerIDCrosswalk[MappingStatus],"No Crosswalk")</f>
        <v/>
      </c>
      <c r="N500" s="35">
        <f>XLOOKUP([@DeviceFamilyID],tblDeviceFamilyIDCrosswalk[LegacyDeviceFamilyID],tblDeviceFamilyIDCrosswalk[MappingStatus],"No Crosswalk")</f>
        <v/>
      </c>
      <c r="O500" s="35">
        <f>XLOOKUP([@DeviceTypeID],tblDeviceTypeIDCrosswalk[LegacyDeviceTypeID],tblDeviceTypeIDCrosswalk[MappingStatus],"No Crosswalk")</f>
        <v/>
      </c>
      <c r="P500">
        <f>IF(OR([@ManufacturerMappingStatus]&lt;&gt;"Approved",[@DeviceFamilyMappingStatus]&lt;&gt;"Approved",[@DeviceTypeMappingStatus]&lt;&gt;"Approved"),"Manual Review Required","Approved Crosswalk Available")</f>
        <v/>
      </c>
      <c r="Q500" t="inlineStr">
        <is>
          <t>Pending Review</t>
        </is>
      </c>
    </row>
    <row r="501" ht="21.5" customHeight="1" s="42">
      <c r="A501" s="36" t="n"/>
      <c r="B501" s="35" t="n"/>
      <c r="C501" s="35" t="n"/>
      <c r="D501" s="35" t="n"/>
      <c r="E501" s="39" t="n"/>
      <c r="F501" s="39" t="n"/>
      <c r="G501" s="10" t="inlineStr">
        <is>
          <t>MOD000498</t>
        </is>
      </c>
      <c r="H501" s="14" t="inlineStr">
        <is>
          <t>MFG009</t>
        </is>
      </c>
      <c r="I501" s="14" t="inlineStr">
        <is>
          <t>DF090</t>
        </is>
      </c>
      <c r="J501" s="14">
        <f>XLOOKUP([@ManufacturerID],tblManufacturerIDCrosswalk[LegacyManufacturerID],tblManufacturerIDCrosswalk[CanonicalManufacturerID],"")</f>
        <v/>
      </c>
      <c r="K501" s="7">
        <f>XLOOKUP([@DeviceFamilyID],tblDeviceFamilyIDCrosswalk[LegacyDeviceFamilyID],tblDeviceFamilyIDCrosswalk[CanonicalDeviceFamilyID],"")</f>
        <v/>
      </c>
      <c r="L501" s="7">
        <f>XLOOKUP([@DeviceTypeID],tblDeviceTypeIDCrosswalk[LegacyDeviceTypeID],tblDeviceTypeIDCrosswalk[CanonicalDeviceTypeID],"")</f>
        <v/>
      </c>
      <c r="M501" s="14">
        <f>XLOOKUP([@ManufacturerID],tblManufacturerIDCrosswalk[LegacyManufacturerID],tblManufacturerIDCrosswalk[MappingStatus],"No Crosswalk")</f>
        <v/>
      </c>
      <c r="N501" s="35">
        <f>XLOOKUP([@DeviceFamilyID],tblDeviceFamilyIDCrosswalk[LegacyDeviceFamilyID],tblDeviceFamilyIDCrosswalk[MappingStatus],"No Crosswalk")</f>
        <v/>
      </c>
      <c r="O501" s="35">
        <f>XLOOKUP([@DeviceTypeID],tblDeviceTypeIDCrosswalk[LegacyDeviceTypeID],tblDeviceTypeIDCrosswalk[MappingStatus],"No Crosswalk")</f>
        <v/>
      </c>
      <c r="P501">
        <f>IF(OR([@ManufacturerMappingStatus]&lt;&gt;"Approved",[@DeviceFamilyMappingStatus]&lt;&gt;"Approved",[@DeviceTypeMappingStatus]&lt;&gt;"Approved"),"Manual Review Required","Approved Crosswalk Available")</f>
        <v/>
      </c>
      <c r="Q501" t="inlineStr">
        <is>
          <t>Pending Review</t>
        </is>
      </c>
    </row>
    <row r="502" ht="21.5" customHeight="1" s="42">
      <c r="A502" s="36" t="n"/>
      <c r="B502" s="35" t="n"/>
      <c r="C502" s="35" t="n"/>
      <c r="D502" s="35" t="n"/>
      <c r="E502" s="39" t="n"/>
      <c r="F502" s="39" t="n"/>
      <c r="G502" s="10" t="inlineStr">
        <is>
          <t>MOD000499</t>
        </is>
      </c>
      <c r="H502" s="14" t="inlineStr">
        <is>
          <t>MFG009</t>
        </is>
      </c>
      <c r="I502" s="14" t="inlineStr">
        <is>
          <t>DF090</t>
        </is>
      </c>
      <c r="J502" s="14">
        <f>XLOOKUP([@ManufacturerID],tblManufacturerIDCrosswalk[LegacyManufacturerID],tblManufacturerIDCrosswalk[CanonicalManufacturerID],"")</f>
        <v/>
      </c>
      <c r="K502" s="7">
        <f>XLOOKUP([@DeviceFamilyID],tblDeviceFamilyIDCrosswalk[LegacyDeviceFamilyID],tblDeviceFamilyIDCrosswalk[CanonicalDeviceFamilyID],"")</f>
        <v/>
      </c>
      <c r="L502" s="7">
        <f>XLOOKUP([@DeviceTypeID],tblDeviceTypeIDCrosswalk[LegacyDeviceTypeID],tblDeviceTypeIDCrosswalk[CanonicalDeviceTypeID],"")</f>
        <v/>
      </c>
      <c r="M502" s="14">
        <f>XLOOKUP([@ManufacturerID],tblManufacturerIDCrosswalk[LegacyManufacturerID],tblManufacturerIDCrosswalk[MappingStatus],"No Crosswalk")</f>
        <v/>
      </c>
      <c r="N502" s="35">
        <f>XLOOKUP([@DeviceFamilyID],tblDeviceFamilyIDCrosswalk[LegacyDeviceFamilyID],tblDeviceFamilyIDCrosswalk[MappingStatus],"No Crosswalk")</f>
        <v/>
      </c>
      <c r="O502" s="35">
        <f>XLOOKUP([@DeviceTypeID],tblDeviceTypeIDCrosswalk[LegacyDeviceTypeID],tblDeviceTypeIDCrosswalk[MappingStatus],"No Crosswalk")</f>
        <v/>
      </c>
      <c r="P502">
        <f>IF(OR([@ManufacturerMappingStatus]&lt;&gt;"Approved",[@DeviceFamilyMappingStatus]&lt;&gt;"Approved",[@DeviceTypeMappingStatus]&lt;&gt;"Approved"),"Manual Review Required","Approved Crosswalk Available")</f>
        <v/>
      </c>
      <c r="Q502" t="inlineStr">
        <is>
          <t>Pending Review</t>
        </is>
      </c>
    </row>
    <row r="503" ht="21.5" customHeight="1" s="42">
      <c r="A503" s="36" t="n"/>
      <c r="B503" s="35" t="n"/>
      <c r="C503" s="35" t="n"/>
      <c r="D503" s="35" t="n"/>
      <c r="E503" s="39" t="n"/>
      <c r="F503" s="39" t="n"/>
      <c r="G503" s="10" t="inlineStr">
        <is>
          <t>MOD000500</t>
        </is>
      </c>
      <c r="H503" s="14" t="inlineStr">
        <is>
          <t>MFG009</t>
        </is>
      </c>
      <c r="I503" s="14" t="inlineStr">
        <is>
          <t>DF090</t>
        </is>
      </c>
      <c r="J503" s="14">
        <f>XLOOKUP([@ManufacturerID],tblManufacturerIDCrosswalk[LegacyManufacturerID],tblManufacturerIDCrosswalk[CanonicalManufacturerID],"")</f>
        <v/>
      </c>
      <c r="K503" s="7">
        <f>XLOOKUP([@DeviceFamilyID],tblDeviceFamilyIDCrosswalk[LegacyDeviceFamilyID],tblDeviceFamilyIDCrosswalk[CanonicalDeviceFamilyID],"")</f>
        <v/>
      </c>
      <c r="L503" s="7">
        <f>XLOOKUP([@DeviceTypeID],tblDeviceTypeIDCrosswalk[LegacyDeviceTypeID],tblDeviceTypeIDCrosswalk[CanonicalDeviceTypeID],"")</f>
        <v/>
      </c>
      <c r="M503" s="14">
        <f>XLOOKUP([@ManufacturerID],tblManufacturerIDCrosswalk[LegacyManufacturerID],tblManufacturerIDCrosswalk[MappingStatus],"No Crosswalk")</f>
        <v/>
      </c>
      <c r="N503" s="35">
        <f>XLOOKUP([@DeviceFamilyID],tblDeviceFamilyIDCrosswalk[LegacyDeviceFamilyID],tblDeviceFamilyIDCrosswalk[MappingStatus],"No Crosswalk")</f>
        <v/>
      </c>
      <c r="O503" s="35">
        <f>XLOOKUP([@DeviceTypeID],tblDeviceTypeIDCrosswalk[LegacyDeviceTypeID],tblDeviceTypeIDCrosswalk[MappingStatus],"No Crosswalk")</f>
        <v/>
      </c>
      <c r="P503">
        <f>IF(OR([@ManufacturerMappingStatus]&lt;&gt;"Approved",[@DeviceFamilyMappingStatus]&lt;&gt;"Approved",[@DeviceTypeMappingStatus]&lt;&gt;"Approved"),"Manual Review Required","Approved Crosswalk Available")</f>
        <v/>
      </c>
      <c r="Q503" t="inlineStr">
        <is>
          <t>Pending Review</t>
        </is>
      </c>
    </row>
    <row r="504" ht="21.5" customHeight="1" s="42">
      <c r="A504" s="36" t="n"/>
      <c r="B504" s="35" t="n"/>
      <c r="C504" s="35" t="n"/>
      <c r="D504" s="35" t="n"/>
      <c r="E504" s="39" t="n"/>
      <c r="F504" s="39" t="n"/>
      <c r="G504" s="10" t="inlineStr">
        <is>
          <t>MOD000501</t>
        </is>
      </c>
      <c r="H504" s="14" t="inlineStr">
        <is>
          <t>MFG009</t>
        </is>
      </c>
      <c r="I504" s="14" t="inlineStr">
        <is>
          <t>DF090</t>
        </is>
      </c>
      <c r="J504" s="14">
        <f>XLOOKUP([@ManufacturerID],tblManufacturerIDCrosswalk[LegacyManufacturerID],tblManufacturerIDCrosswalk[CanonicalManufacturerID],"")</f>
        <v/>
      </c>
      <c r="K504" s="7">
        <f>XLOOKUP([@DeviceFamilyID],tblDeviceFamilyIDCrosswalk[LegacyDeviceFamilyID],tblDeviceFamilyIDCrosswalk[CanonicalDeviceFamilyID],"")</f>
        <v/>
      </c>
      <c r="L504" s="7">
        <f>XLOOKUP([@DeviceTypeID],tblDeviceTypeIDCrosswalk[LegacyDeviceTypeID],tblDeviceTypeIDCrosswalk[CanonicalDeviceTypeID],"")</f>
        <v/>
      </c>
      <c r="M504" s="14">
        <f>XLOOKUP([@ManufacturerID],tblManufacturerIDCrosswalk[LegacyManufacturerID],tblManufacturerIDCrosswalk[MappingStatus],"No Crosswalk")</f>
        <v/>
      </c>
      <c r="N504" s="35">
        <f>XLOOKUP([@DeviceFamilyID],tblDeviceFamilyIDCrosswalk[LegacyDeviceFamilyID],tblDeviceFamilyIDCrosswalk[MappingStatus],"No Crosswalk")</f>
        <v/>
      </c>
      <c r="O504" s="35">
        <f>XLOOKUP([@DeviceTypeID],tblDeviceTypeIDCrosswalk[LegacyDeviceTypeID],tblDeviceTypeIDCrosswalk[MappingStatus],"No Crosswalk")</f>
        <v/>
      </c>
      <c r="P504">
        <f>IF(OR([@ManufacturerMappingStatus]&lt;&gt;"Approved",[@DeviceFamilyMappingStatus]&lt;&gt;"Approved",[@DeviceTypeMappingStatus]&lt;&gt;"Approved"),"Manual Review Required","Approved Crosswalk Available")</f>
        <v/>
      </c>
      <c r="Q504" t="inlineStr">
        <is>
          <t>Pending Review</t>
        </is>
      </c>
    </row>
    <row r="505" ht="21.5" customHeight="1" s="42">
      <c r="A505" s="36" t="n"/>
      <c r="B505" s="35" t="n"/>
      <c r="C505" s="35" t="n"/>
      <c r="D505" s="35" t="n"/>
      <c r="E505" s="39" t="n"/>
      <c r="F505" s="39" t="n"/>
      <c r="G505" s="10" t="inlineStr">
        <is>
          <t>MOD000502</t>
        </is>
      </c>
      <c r="H505" s="14" t="inlineStr">
        <is>
          <t>MFG009</t>
        </is>
      </c>
      <c r="I505" s="14" t="inlineStr">
        <is>
          <t>DF090</t>
        </is>
      </c>
      <c r="J505" s="14">
        <f>XLOOKUP([@ManufacturerID],tblManufacturerIDCrosswalk[LegacyManufacturerID],tblManufacturerIDCrosswalk[CanonicalManufacturerID],"")</f>
        <v/>
      </c>
      <c r="K505" s="7">
        <f>XLOOKUP([@DeviceFamilyID],tblDeviceFamilyIDCrosswalk[LegacyDeviceFamilyID],tblDeviceFamilyIDCrosswalk[CanonicalDeviceFamilyID],"")</f>
        <v/>
      </c>
      <c r="L505" s="7">
        <f>XLOOKUP([@DeviceTypeID],tblDeviceTypeIDCrosswalk[LegacyDeviceTypeID],tblDeviceTypeIDCrosswalk[CanonicalDeviceTypeID],"")</f>
        <v/>
      </c>
      <c r="M505" s="14">
        <f>XLOOKUP([@ManufacturerID],tblManufacturerIDCrosswalk[LegacyManufacturerID],tblManufacturerIDCrosswalk[MappingStatus],"No Crosswalk")</f>
        <v/>
      </c>
      <c r="N505" s="35">
        <f>XLOOKUP([@DeviceFamilyID],tblDeviceFamilyIDCrosswalk[LegacyDeviceFamilyID],tblDeviceFamilyIDCrosswalk[MappingStatus],"No Crosswalk")</f>
        <v/>
      </c>
      <c r="O505" s="35">
        <f>XLOOKUP([@DeviceTypeID],tblDeviceTypeIDCrosswalk[LegacyDeviceTypeID],tblDeviceTypeIDCrosswalk[MappingStatus],"No Crosswalk")</f>
        <v/>
      </c>
      <c r="P505">
        <f>IF(OR([@ManufacturerMappingStatus]&lt;&gt;"Approved",[@DeviceFamilyMappingStatus]&lt;&gt;"Approved",[@DeviceTypeMappingStatus]&lt;&gt;"Approved"),"Manual Review Required","Approved Crosswalk Available")</f>
        <v/>
      </c>
      <c r="Q505" t="inlineStr">
        <is>
          <t>Pending Review</t>
        </is>
      </c>
    </row>
    <row r="506" ht="21.5" customHeight="1" s="42">
      <c r="A506" s="36" t="n"/>
      <c r="B506" s="35" t="n"/>
      <c r="C506" s="35" t="n"/>
      <c r="D506" s="35" t="n"/>
      <c r="E506" s="39" t="n"/>
      <c r="F506" s="39" t="n"/>
      <c r="G506" s="10" t="inlineStr">
        <is>
          <t>MOD000503</t>
        </is>
      </c>
      <c r="H506" s="14" t="inlineStr">
        <is>
          <t>MFG009</t>
        </is>
      </c>
      <c r="I506" s="14" t="inlineStr">
        <is>
          <t>DF090</t>
        </is>
      </c>
      <c r="J506" s="14">
        <f>XLOOKUP([@ManufacturerID],tblManufacturerIDCrosswalk[LegacyManufacturerID],tblManufacturerIDCrosswalk[CanonicalManufacturerID],"")</f>
        <v/>
      </c>
      <c r="K506" s="7">
        <f>XLOOKUP([@DeviceFamilyID],tblDeviceFamilyIDCrosswalk[LegacyDeviceFamilyID],tblDeviceFamilyIDCrosswalk[CanonicalDeviceFamilyID],"")</f>
        <v/>
      </c>
      <c r="L506" s="7">
        <f>XLOOKUP([@DeviceTypeID],tblDeviceTypeIDCrosswalk[LegacyDeviceTypeID],tblDeviceTypeIDCrosswalk[CanonicalDeviceTypeID],"")</f>
        <v/>
      </c>
      <c r="M506" s="14">
        <f>XLOOKUP([@ManufacturerID],tblManufacturerIDCrosswalk[LegacyManufacturerID],tblManufacturerIDCrosswalk[MappingStatus],"No Crosswalk")</f>
        <v/>
      </c>
      <c r="N506" s="35">
        <f>XLOOKUP([@DeviceFamilyID],tblDeviceFamilyIDCrosswalk[LegacyDeviceFamilyID],tblDeviceFamilyIDCrosswalk[MappingStatus],"No Crosswalk")</f>
        <v/>
      </c>
      <c r="O506" s="35">
        <f>XLOOKUP([@DeviceTypeID],tblDeviceTypeIDCrosswalk[LegacyDeviceTypeID],tblDeviceTypeIDCrosswalk[MappingStatus],"No Crosswalk")</f>
        <v/>
      </c>
      <c r="P506">
        <f>IF(OR([@ManufacturerMappingStatus]&lt;&gt;"Approved",[@DeviceFamilyMappingStatus]&lt;&gt;"Approved",[@DeviceTypeMappingStatus]&lt;&gt;"Approved"),"Manual Review Required","Approved Crosswalk Available")</f>
        <v/>
      </c>
      <c r="Q506" t="inlineStr">
        <is>
          <t>Pending Review</t>
        </is>
      </c>
    </row>
    <row r="507" ht="21.5" customHeight="1" s="42">
      <c r="A507" s="36" t="n"/>
      <c r="B507" s="35" t="n"/>
      <c r="C507" s="35" t="n"/>
      <c r="D507" s="35" t="n"/>
      <c r="E507" s="39" t="n"/>
      <c r="F507" s="39" t="n"/>
      <c r="G507" s="10" t="inlineStr">
        <is>
          <t>MOD000504</t>
        </is>
      </c>
      <c r="H507" s="14" t="inlineStr">
        <is>
          <t>MFG009</t>
        </is>
      </c>
      <c r="I507" s="14" t="inlineStr">
        <is>
          <t>DF090</t>
        </is>
      </c>
      <c r="J507" s="14">
        <f>XLOOKUP([@ManufacturerID],tblManufacturerIDCrosswalk[LegacyManufacturerID],tblManufacturerIDCrosswalk[CanonicalManufacturerID],"")</f>
        <v/>
      </c>
      <c r="K507" s="7">
        <f>XLOOKUP([@DeviceFamilyID],tblDeviceFamilyIDCrosswalk[LegacyDeviceFamilyID],tblDeviceFamilyIDCrosswalk[CanonicalDeviceFamilyID],"")</f>
        <v/>
      </c>
      <c r="L507" s="7">
        <f>XLOOKUP([@DeviceTypeID],tblDeviceTypeIDCrosswalk[LegacyDeviceTypeID],tblDeviceTypeIDCrosswalk[CanonicalDeviceTypeID],"")</f>
        <v/>
      </c>
      <c r="M507" s="14">
        <f>XLOOKUP([@ManufacturerID],tblManufacturerIDCrosswalk[LegacyManufacturerID],tblManufacturerIDCrosswalk[MappingStatus],"No Crosswalk")</f>
        <v/>
      </c>
      <c r="N507" s="35">
        <f>XLOOKUP([@DeviceFamilyID],tblDeviceFamilyIDCrosswalk[LegacyDeviceFamilyID],tblDeviceFamilyIDCrosswalk[MappingStatus],"No Crosswalk")</f>
        <v/>
      </c>
      <c r="O507" s="35">
        <f>XLOOKUP([@DeviceTypeID],tblDeviceTypeIDCrosswalk[LegacyDeviceTypeID],tblDeviceTypeIDCrosswalk[MappingStatus],"No Crosswalk")</f>
        <v/>
      </c>
      <c r="P507">
        <f>IF(OR([@ManufacturerMappingStatus]&lt;&gt;"Approved",[@DeviceFamilyMappingStatus]&lt;&gt;"Approved",[@DeviceTypeMappingStatus]&lt;&gt;"Approved"),"Manual Review Required","Approved Crosswalk Available")</f>
        <v/>
      </c>
      <c r="Q507" t="inlineStr">
        <is>
          <t>Pending Review</t>
        </is>
      </c>
    </row>
    <row r="508" ht="21.5" customHeight="1" s="42">
      <c r="A508" s="36" t="n"/>
      <c r="B508" s="35" t="n"/>
      <c r="C508" s="35" t="n"/>
      <c r="D508" s="35" t="n"/>
      <c r="E508" s="39" t="n"/>
      <c r="F508" s="39" t="n"/>
      <c r="G508" s="10" t="inlineStr">
        <is>
          <t>MOD000505</t>
        </is>
      </c>
      <c r="H508" s="14" t="inlineStr">
        <is>
          <t>MFG009</t>
        </is>
      </c>
      <c r="I508" s="14" t="inlineStr">
        <is>
          <t>DF090</t>
        </is>
      </c>
      <c r="J508" s="14">
        <f>XLOOKUP([@ManufacturerID],tblManufacturerIDCrosswalk[LegacyManufacturerID],tblManufacturerIDCrosswalk[CanonicalManufacturerID],"")</f>
        <v/>
      </c>
      <c r="K508" s="7">
        <f>XLOOKUP([@DeviceFamilyID],tblDeviceFamilyIDCrosswalk[LegacyDeviceFamilyID],tblDeviceFamilyIDCrosswalk[CanonicalDeviceFamilyID],"")</f>
        <v/>
      </c>
      <c r="L508" s="7">
        <f>XLOOKUP([@DeviceTypeID],tblDeviceTypeIDCrosswalk[LegacyDeviceTypeID],tblDeviceTypeIDCrosswalk[CanonicalDeviceTypeID],"")</f>
        <v/>
      </c>
      <c r="M508" s="14">
        <f>XLOOKUP([@ManufacturerID],tblManufacturerIDCrosswalk[LegacyManufacturerID],tblManufacturerIDCrosswalk[MappingStatus],"No Crosswalk")</f>
        <v/>
      </c>
      <c r="N508" s="35">
        <f>XLOOKUP([@DeviceFamilyID],tblDeviceFamilyIDCrosswalk[LegacyDeviceFamilyID],tblDeviceFamilyIDCrosswalk[MappingStatus],"No Crosswalk")</f>
        <v/>
      </c>
      <c r="O508" s="35">
        <f>XLOOKUP([@DeviceTypeID],tblDeviceTypeIDCrosswalk[LegacyDeviceTypeID],tblDeviceTypeIDCrosswalk[MappingStatus],"No Crosswalk")</f>
        <v/>
      </c>
      <c r="P508">
        <f>IF(OR([@ManufacturerMappingStatus]&lt;&gt;"Approved",[@DeviceFamilyMappingStatus]&lt;&gt;"Approved",[@DeviceTypeMappingStatus]&lt;&gt;"Approved"),"Manual Review Required","Approved Crosswalk Available")</f>
        <v/>
      </c>
      <c r="Q508" t="inlineStr">
        <is>
          <t>Pending Review</t>
        </is>
      </c>
    </row>
    <row r="509" ht="21.5" customHeight="1" s="42">
      <c r="A509" s="36" t="n"/>
      <c r="B509" s="35" t="n"/>
      <c r="C509" s="35" t="n"/>
      <c r="D509" s="35" t="n"/>
      <c r="E509" s="39" t="n"/>
      <c r="F509" s="39" t="n"/>
      <c r="G509" s="10" t="inlineStr">
        <is>
          <t>MOD000506</t>
        </is>
      </c>
      <c r="H509" s="14" t="inlineStr">
        <is>
          <t>MFG009</t>
        </is>
      </c>
      <c r="I509" s="14" t="inlineStr">
        <is>
          <t>DF090</t>
        </is>
      </c>
      <c r="J509" s="14">
        <f>XLOOKUP([@ManufacturerID],tblManufacturerIDCrosswalk[LegacyManufacturerID],tblManufacturerIDCrosswalk[CanonicalManufacturerID],"")</f>
        <v/>
      </c>
      <c r="K509" s="7">
        <f>XLOOKUP([@DeviceFamilyID],tblDeviceFamilyIDCrosswalk[LegacyDeviceFamilyID],tblDeviceFamilyIDCrosswalk[CanonicalDeviceFamilyID],"")</f>
        <v/>
      </c>
      <c r="L509" s="7">
        <f>XLOOKUP([@DeviceTypeID],tblDeviceTypeIDCrosswalk[LegacyDeviceTypeID],tblDeviceTypeIDCrosswalk[CanonicalDeviceTypeID],"")</f>
        <v/>
      </c>
      <c r="M509" s="14">
        <f>XLOOKUP([@ManufacturerID],tblManufacturerIDCrosswalk[LegacyManufacturerID],tblManufacturerIDCrosswalk[MappingStatus],"No Crosswalk")</f>
        <v/>
      </c>
      <c r="N509" s="35">
        <f>XLOOKUP([@DeviceFamilyID],tblDeviceFamilyIDCrosswalk[LegacyDeviceFamilyID],tblDeviceFamilyIDCrosswalk[MappingStatus],"No Crosswalk")</f>
        <v/>
      </c>
      <c r="O509" s="35">
        <f>XLOOKUP([@DeviceTypeID],tblDeviceTypeIDCrosswalk[LegacyDeviceTypeID],tblDeviceTypeIDCrosswalk[MappingStatus],"No Crosswalk")</f>
        <v/>
      </c>
      <c r="P509">
        <f>IF(OR([@ManufacturerMappingStatus]&lt;&gt;"Approved",[@DeviceFamilyMappingStatus]&lt;&gt;"Approved",[@DeviceTypeMappingStatus]&lt;&gt;"Approved"),"Manual Review Required","Approved Crosswalk Available")</f>
        <v/>
      </c>
      <c r="Q509" t="inlineStr">
        <is>
          <t>Pending Review</t>
        </is>
      </c>
    </row>
    <row r="510" ht="21.5" customHeight="1" s="42">
      <c r="A510" s="36" t="n"/>
      <c r="B510" s="35" t="n"/>
      <c r="C510" s="35" t="n"/>
      <c r="D510" s="35" t="n"/>
      <c r="E510" s="39" t="n"/>
      <c r="F510" s="39" t="n"/>
      <c r="G510" s="10" t="inlineStr">
        <is>
          <t>MOD000507</t>
        </is>
      </c>
      <c r="H510" s="14" t="inlineStr">
        <is>
          <t>MFG009</t>
        </is>
      </c>
      <c r="I510" s="14" t="inlineStr">
        <is>
          <t>DF090</t>
        </is>
      </c>
      <c r="J510" s="14">
        <f>XLOOKUP([@ManufacturerID],tblManufacturerIDCrosswalk[LegacyManufacturerID],tblManufacturerIDCrosswalk[CanonicalManufacturerID],"")</f>
        <v/>
      </c>
      <c r="K510" s="7">
        <f>XLOOKUP([@DeviceFamilyID],tblDeviceFamilyIDCrosswalk[LegacyDeviceFamilyID],tblDeviceFamilyIDCrosswalk[CanonicalDeviceFamilyID],"")</f>
        <v/>
      </c>
      <c r="L510" s="7">
        <f>XLOOKUP([@DeviceTypeID],tblDeviceTypeIDCrosswalk[LegacyDeviceTypeID],tblDeviceTypeIDCrosswalk[CanonicalDeviceTypeID],"")</f>
        <v/>
      </c>
      <c r="M510" s="14">
        <f>XLOOKUP([@ManufacturerID],tblManufacturerIDCrosswalk[LegacyManufacturerID],tblManufacturerIDCrosswalk[MappingStatus],"No Crosswalk")</f>
        <v/>
      </c>
      <c r="N510" s="35">
        <f>XLOOKUP([@DeviceFamilyID],tblDeviceFamilyIDCrosswalk[LegacyDeviceFamilyID],tblDeviceFamilyIDCrosswalk[MappingStatus],"No Crosswalk")</f>
        <v/>
      </c>
      <c r="O510" s="35">
        <f>XLOOKUP([@DeviceTypeID],tblDeviceTypeIDCrosswalk[LegacyDeviceTypeID],tblDeviceTypeIDCrosswalk[MappingStatus],"No Crosswalk")</f>
        <v/>
      </c>
      <c r="P510">
        <f>IF(OR([@ManufacturerMappingStatus]&lt;&gt;"Approved",[@DeviceFamilyMappingStatus]&lt;&gt;"Approved",[@DeviceTypeMappingStatus]&lt;&gt;"Approved"),"Manual Review Required","Approved Crosswalk Available")</f>
        <v/>
      </c>
      <c r="Q510" t="inlineStr">
        <is>
          <t>Pending Review</t>
        </is>
      </c>
    </row>
    <row r="511" ht="21.5" customHeight="1" s="42">
      <c r="A511" s="36" t="n"/>
      <c r="B511" s="35" t="n"/>
      <c r="C511" s="35" t="n"/>
      <c r="D511" s="35" t="n"/>
      <c r="E511" s="39" t="n"/>
      <c r="F511" s="39" t="n"/>
      <c r="G511" s="10" t="inlineStr">
        <is>
          <t>MOD000508</t>
        </is>
      </c>
      <c r="H511" s="14" t="inlineStr">
        <is>
          <t>MFG009</t>
        </is>
      </c>
      <c r="I511" s="14" t="inlineStr">
        <is>
          <t>DF090</t>
        </is>
      </c>
      <c r="J511" s="14">
        <f>XLOOKUP([@ManufacturerID],tblManufacturerIDCrosswalk[LegacyManufacturerID],tblManufacturerIDCrosswalk[CanonicalManufacturerID],"")</f>
        <v/>
      </c>
      <c r="K511" s="7">
        <f>XLOOKUP([@DeviceFamilyID],tblDeviceFamilyIDCrosswalk[LegacyDeviceFamilyID],tblDeviceFamilyIDCrosswalk[CanonicalDeviceFamilyID],"")</f>
        <v/>
      </c>
      <c r="L511" s="7">
        <f>XLOOKUP([@DeviceTypeID],tblDeviceTypeIDCrosswalk[LegacyDeviceTypeID],tblDeviceTypeIDCrosswalk[CanonicalDeviceTypeID],"")</f>
        <v/>
      </c>
      <c r="M511" s="14">
        <f>XLOOKUP([@ManufacturerID],tblManufacturerIDCrosswalk[LegacyManufacturerID],tblManufacturerIDCrosswalk[MappingStatus],"No Crosswalk")</f>
        <v/>
      </c>
      <c r="N511" s="35">
        <f>XLOOKUP([@DeviceFamilyID],tblDeviceFamilyIDCrosswalk[LegacyDeviceFamilyID],tblDeviceFamilyIDCrosswalk[MappingStatus],"No Crosswalk")</f>
        <v/>
      </c>
      <c r="O511" s="35">
        <f>XLOOKUP([@DeviceTypeID],tblDeviceTypeIDCrosswalk[LegacyDeviceTypeID],tblDeviceTypeIDCrosswalk[MappingStatus],"No Crosswalk")</f>
        <v/>
      </c>
      <c r="P511">
        <f>IF(OR([@ManufacturerMappingStatus]&lt;&gt;"Approved",[@DeviceFamilyMappingStatus]&lt;&gt;"Approved",[@DeviceTypeMappingStatus]&lt;&gt;"Approved"),"Manual Review Required","Approved Crosswalk Available")</f>
        <v/>
      </c>
      <c r="Q511" t="inlineStr">
        <is>
          <t>Pending Review</t>
        </is>
      </c>
    </row>
    <row r="512" ht="21.5" customHeight="1" s="42">
      <c r="A512" s="36" t="n"/>
      <c r="B512" s="35" t="n"/>
      <c r="C512" s="35" t="n"/>
      <c r="D512" s="35" t="n"/>
      <c r="E512" s="39" t="n"/>
      <c r="F512" s="39" t="n"/>
      <c r="G512" s="10" t="inlineStr">
        <is>
          <t>MOD000509</t>
        </is>
      </c>
      <c r="H512" s="14" t="inlineStr">
        <is>
          <t>MFG009</t>
        </is>
      </c>
      <c r="I512" s="14" t="inlineStr">
        <is>
          <t>DF090</t>
        </is>
      </c>
      <c r="J512" s="14">
        <f>XLOOKUP([@ManufacturerID],tblManufacturerIDCrosswalk[LegacyManufacturerID],tblManufacturerIDCrosswalk[CanonicalManufacturerID],"")</f>
        <v/>
      </c>
      <c r="K512" s="7">
        <f>XLOOKUP([@DeviceFamilyID],tblDeviceFamilyIDCrosswalk[LegacyDeviceFamilyID],tblDeviceFamilyIDCrosswalk[CanonicalDeviceFamilyID],"")</f>
        <v/>
      </c>
      <c r="L512" s="7">
        <f>XLOOKUP([@DeviceTypeID],tblDeviceTypeIDCrosswalk[LegacyDeviceTypeID],tblDeviceTypeIDCrosswalk[CanonicalDeviceTypeID],"")</f>
        <v/>
      </c>
      <c r="M512" s="14">
        <f>XLOOKUP([@ManufacturerID],tblManufacturerIDCrosswalk[LegacyManufacturerID],tblManufacturerIDCrosswalk[MappingStatus],"No Crosswalk")</f>
        <v/>
      </c>
      <c r="N512" s="35">
        <f>XLOOKUP([@DeviceFamilyID],tblDeviceFamilyIDCrosswalk[LegacyDeviceFamilyID],tblDeviceFamilyIDCrosswalk[MappingStatus],"No Crosswalk")</f>
        <v/>
      </c>
      <c r="O512" s="35">
        <f>XLOOKUP([@DeviceTypeID],tblDeviceTypeIDCrosswalk[LegacyDeviceTypeID],tblDeviceTypeIDCrosswalk[MappingStatus],"No Crosswalk")</f>
        <v/>
      </c>
      <c r="P512">
        <f>IF(OR([@ManufacturerMappingStatus]&lt;&gt;"Approved",[@DeviceFamilyMappingStatus]&lt;&gt;"Approved",[@DeviceTypeMappingStatus]&lt;&gt;"Approved"),"Manual Review Required","Approved Crosswalk Available")</f>
        <v/>
      </c>
      <c r="Q512" t="inlineStr">
        <is>
          <t>Pending Review</t>
        </is>
      </c>
    </row>
    <row r="513" ht="21.5" customHeight="1" s="42">
      <c r="A513" s="36" t="n"/>
      <c r="B513" s="35" t="n"/>
      <c r="C513" s="35" t="n"/>
      <c r="D513" s="35" t="n"/>
      <c r="E513" s="39" t="n"/>
      <c r="F513" s="39" t="n"/>
      <c r="G513" s="10" t="inlineStr">
        <is>
          <t>MOD000510</t>
        </is>
      </c>
      <c r="H513" s="14" t="inlineStr">
        <is>
          <t>MFG009</t>
        </is>
      </c>
      <c r="I513" s="14" t="inlineStr">
        <is>
          <t>DF090</t>
        </is>
      </c>
      <c r="J513" s="14">
        <f>XLOOKUP([@ManufacturerID],tblManufacturerIDCrosswalk[LegacyManufacturerID],tblManufacturerIDCrosswalk[CanonicalManufacturerID],"")</f>
        <v/>
      </c>
      <c r="K513" s="7">
        <f>XLOOKUP([@DeviceFamilyID],tblDeviceFamilyIDCrosswalk[LegacyDeviceFamilyID],tblDeviceFamilyIDCrosswalk[CanonicalDeviceFamilyID],"")</f>
        <v/>
      </c>
      <c r="L513" s="7">
        <f>XLOOKUP([@DeviceTypeID],tblDeviceTypeIDCrosswalk[LegacyDeviceTypeID],tblDeviceTypeIDCrosswalk[CanonicalDeviceTypeID],"")</f>
        <v/>
      </c>
      <c r="M513" s="14">
        <f>XLOOKUP([@ManufacturerID],tblManufacturerIDCrosswalk[LegacyManufacturerID],tblManufacturerIDCrosswalk[MappingStatus],"No Crosswalk")</f>
        <v/>
      </c>
      <c r="N513" s="35">
        <f>XLOOKUP([@DeviceFamilyID],tblDeviceFamilyIDCrosswalk[LegacyDeviceFamilyID],tblDeviceFamilyIDCrosswalk[MappingStatus],"No Crosswalk")</f>
        <v/>
      </c>
      <c r="O513" s="35">
        <f>XLOOKUP([@DeviceTypeID],tblDeviceTypeIDCrosswalk[LegacyDeviceTypeID],tblDeviceTypeIDCrosswalk[MappingStatus],"No Crosswalk")</f>
        <v/>
      </c>
      <c r="P513">
        <f>IF(OR([@ManufacturerMappingStatus]&lt;&gt;"Approved",[@DeviceFamilyMappingStatus]&lt;&gt;"Approved",[@DeviceTypeMappingStatus]&lt;&gt;"Approved"),"Manual Review Required","Approved Crosswalk Available")</f>
        <v/>
      </c>
      <c r="Q513" t="inlineStr">
        <is>
          <t>Pending Review</t>
        </is>
      </c>
    </row>
    <row r="514" ht="21.5" customHeight="1" s="42">
      <c r="A514" s="36" t="n"/>
      <c r="B514" s="35" t="n"/>
      <c r="C514" s="35" t="n"/>
      <c r="D514" s="35" t="n"/>
      <c r="E514" s="39" t="n"/>
      <c r="F514" s="39" t="n"/>
      <c r="G514" s="10" t="inlineStr">
        <is>
          <t>MOD000511</t>
        </is>
      </c>
      <c r="H514" s="14" t="inlineStr">
        <is>
          <t>MFG009</t>
        </is>
      </c>
      <c r="I514" s="14" t="inlineStr">
        <is>
          <t>DF090</t>
        </is>
      </c>
      <c r="J514" s="14">
        <f>XLOOKUP([@ManufacturerID],tblManufacturerIDCrosswalk[LegacyManufacturerID],tblManufacturerIDCrosswalk[CanonicalManufacturerID],"")</f>
        <v/>
      </c>
      <c r="K514" s="7">
        <f>XLOOKUP([@DeviceFamilyID],tblDeviceFamilyIDCrosswalk[LegacyDeviceFamilyID],tblDeviceFamilyIDCrosswalk[CanonicalDeviceFamilyID],"")</f>
        <v/>
      </c>
      <c r="L514" s="7">
        <f>XLOOKUP([@DeviceTypeID],tblDeviceTypeIDCrosswalk[LegacyDeviceTypeID],tblDeviceTypeIDCrosswalk[CanonicalDeviceTypeID],"")</f>
        <v/>
      </c>
      <c r="M514" s="14">
        <f>XLOOKUP([@ManufacturerID],tblManufacturerIDCrosswalk[LegacyManufacturerID],tblManufacturerIDCrosswalk[MappingStatus],"No Crosswalk")</f>
        <v/>
      </c>
      <c r="N514" s="35">
        <f>XLOOKUP([@DeviceFamilyID],tblDeviceFamilyIDCrosswalk[LegacyDeviceFamilyID],tblDeviceFamilyIDCrosswalk[MappingStatus],"No Crosswalk")</f>
        <v/>
      </c>
      <c r="O514" s="35">
        <f>XLOOKUP([@DeviceTypeID],tblDeviceTypeIDCrosswalk[LegacyDeviceTypeID],tblDeviceTypeIDCrosswalk[MappingStatus],"No Crosswalk")</f>
        <v/>
      </c>
      <c r="P514">
        <f>IF(OR([@ManufacturerMappingStatus]&lt;&gt;"Approved",[@DeviceFamilyMappingStatus]&lt;&gt;"Approved",[@DeviceTypeMappingStatus]&lt;&gt;"Approved"),"Manual Review Required","Approved Crosswalk Available")</f>
        <v/>
      </c>
      <c r="Q514" t="inlineStr">
        <is>
          <t>Pending Review</t>
        </is>
      </c>
    </row>
    <row r="515" ht="21.5" customHeight="1" s="42">
      <c r="A515" s="36" t="n"/>
      <c r="B515" s="35" t="n"/>
      <c r="C515" s="35" t="n"/>
      <c r="D515" s="35" t="n"/>
      <c r="E515" s="39" t="n"/>
      <c r="F515" s="39" t="n"/>
      <c r="G515" s="10" t="inlineStr">
        <is>
          <t>MOD000512</t>
        </is>
      </c>
      <c r="H515" s="14" t="inlineStr">
        <is>
          <t>MFG009</t>
        </is>
      </c>
      <c r="I515" s="14" t="inlineStr">
        <is>
          <t>DF090</t>
        </is>
      </c>
      <c r="J515" s="14">
        <f>XLOOKUP([@ManufacturerID],tblManufacturerIDCrosswalk[LegacyManufacturerID],tblManufacturerIDCrosswalk[CanonicalManufacturerID],"")</f>
        <v/>
      </c>
      <c r="K515" s="7">
        <f>XLOOKUP([@DeviceFamilyID],tblDeviceFamilyIDCrosswalk[LegacyDeviceFamilyID],tblDeviceFamilyIDCrosswalk[CanonicalDeviceFamilyID],"")</f>
        <v/>
      </c>
      <c r="L515" s="7">
        <f>XLOOKUP([@DeviceTypeID],tblDeviceTypeIDCrosswalk[LegacyDeviceTypeID],tblDeviceTypeIDCrosswalk[CanonicalDeviceTypeID],"")</f>
        <v/>
      </c>
      <c r="M515" s="14">
        <f>XLOOKUP([@ManufacturerID],tblManufacturerIDCrosswalk[LegacyManufacturerID],tblManufacturerIDCrosswalk[MappingStatus],"No Crosswalk")</f>
        <v/>
      </c>
      <c r="N515" s="35">
        <f>XLOOKUP([@DeviceFamilyID],tblDeviceFamilyIDCrosswalk[LegacyDeviceFamilyID],tblDeviceFamilyIDCrosswalk[MappingStatus],"No Crosswalk")</f>
        <v/>
      </c>
      <c r="O515" s="35">
        <f>XLOOKUP([@DeviceTypeID],tblDeviceTypeIDCrosswalk[LegacyDeviceTypeID],tblDeviceTypeIDCrosswalk[MappingStatus],"No Crosswalk")</f>
        <v/>
      </c>
      <c r="P515">
        <f>IF(OR([@ManufacturerMappingStatus]&lt;&gt;"Approved",[@DeviceFamilyMappingStatus]&lt;&gt;"Approved",[@DeviceTypeMappingStatus]&lt;&gt;"Approved"),"Manual Review Required","Approved Crosswalk Available")</f>
        <v/>
      </c>
      <c r="Q515" t="inlineStr">
        <is>
          <t>Pending Review</t>
        </is>
      </c>
    </row>
    <row r="516" ht="21.5" customHeight="1" s="42">
      <c r="A516" s="36" t="n"/>
      <c r="B516" s="35" t="n"/>
      <c r="C516" s="35" t="n"/>
      <c r="D516" s="35" t="n"/>
      <c r="E516" s="39" t="n"/>
      <c r="F516" s="39" t="n"/>
      <c r="G516" s="10" t="inlineStr">
        <is>
          <t>MOD000513</t>
        </is>
      </c>
      <c r="H516" s="14" t="inlineStr">
        <is>
          <t>MFG009</t>
        </is>
      </c>
      <c r="I516" s="14" t="inlineStr">
        <is>
          <t>DF090</t>
        </is>
      </c>
      <c r="J516" s="14">
        <f>XLOOKUP([@ManufacturerID],tblManufacturerIDCrosswalk[LegacyManufacturerID],tblManufacturerIDCrosswalk[CanonicalManufacturerID],"")</f>
        <v/>
      </c>
      <c r="K516" s="7">
        <f>XLOOKUP([@DeviceFamilyID],tblDeviceFamilyIDCrosswalk[LegacyDeviceFamilyID],tblDeviceFamilyIDCrosswalk[CanonicalDeviceFamilyID],"")</f>
        <v/>
      </c>
      <c r="L516" s="7">
        <f>XLOOKUP([@DeviceTypeID],tblDeviceTypeIDCrosswalk[LegacyDeviceTypeID],tblDeviceTypeIDCrosswalk[CanonicalDeviceTypeID],"")</f>
        <v/>
      </c>
      <c r="M516" s="14">
        <f>XLOOKUP([@ManufacturerID],tblManufacturerIDCrosswalk[LegacyManufacturerID],tblManufacturerIDCrosswalk[MappingStatus],"No Crosswalk")</f>
        <v/>
      </c>
      <c r="N516" s="35">
        <f>XLOOKUP([@DeviceFamilyID],tblDeviceFamilyIDCrosswalk[LegacyDeviceFamilyID],tblDeviceFamilyIDCrosswalk[MappingStatus],"No Crosswalk")</f>
        <v/>
      </c>
      <c r="O516" s="35">
        <f>XLOOKUP([@DeviceTypeID],tblDeviceTypeIDCrosswalk[LegacyDeviceTypeID],tblDeviceTypeIDCrosswalk[MappingStatus],"No Crosswalk")</f>
        <v/>
      </c>
      <c r="P516">
        <f>IF(OR([@ManufacturerMappingStatus]&lt;&gt;"Approved",[@DeviceFamilyMappingStatus]&lt;&gt;"Approved",[@DeviceTypeMappingStatus]&lt;&gt;"Approved"),"Manual Review Required","Approved Crosswalk Available")</f>
        <v/>
      </c>
      <c r="Q516" t="inlineStr">
        <is>
          <t>Pending Review</t>
        </is>
      </c>
    </row>
    <row r="517" ht="21.5" customHeight="1" s="42">
      <c r="A517" s="36" t="n"/>
      <c r="B517" s="35" t="n"/>
      <c r="C517" s="35" t="n"/>
      <c r="D517" s="35" t="n"/>
      <c r="E517" s="39" t="n"/>
      <c r="F517" s="39" t="n"/>
      <c r="G517" s="10" t="inlineStr">
        <is>
          <t>MOD000514</t>
        </is>
      </c>
      <c r="H517" s="14" t="inlineStr">
        <is>
          <t>MFG009</t>
        </is>
      </c>
      <c r="I517" s="14" t="inlineStr">
        <is>
          <t>DF090</t>
        </is>
      </c>
      <c r="J517" s="14">
        <f>XLOOKUP([@ManufacturerID],tblManufacturerIDCrosswalk[LegacyManufacturerID],tblManufacturerIDCrosswalk[CanonicalManufacturerID],"")</f>
        <v/>
      </c>
      <c r="K517" s="7">
        <f>XLOOKUP([@DeviceFamilyID],tblDeviceFamilyIDCrosswalk[LegacyDeviceFamilyID],tblDeviceFamilyIDCrosswalk[CanonicalDeviceFamilyID],"")</f>
        <v/>
      </c>
      <c r="L517" s="7">
        <f>XLOOKUP([@DeviceTypeID],tblDeviceTypeIDCrosswalk[LegacyDeviceTypeID],tblDeviceTypeIDCrosswalk[CanonicalDeviceTypeID],"")</f>
        <v/>
      </c>
      <c r="M517" s="14">
        <f>XLOOKUP([@ManufacturerID],tblManufacturerIDCrosswalk[LegacyManufacturerID],tblManufacturerIDCrosswalk[MappingStatus],"No Crosswalk")</f>
        <v/>
      </c>
      <c r="N517" s="35">
        <f>XLOOKUP([@DeviceFamilyID],tblDeviceFamilyIDCrosswalk[LegacyDeviceFamilyID],tblDeviceFamilyIDCrosswalk[MappingStatus],"No Crosswalk")</f>
        <v/>
      </c>
      <c r="O517" s="35">
        <f>XLOOKUP([@DeviceTypeID],tblDeviceTypeIDCrosswalk[LegacyDeviceTypeID],tblDeviceTypeIDCrosswalk[MappingStatus],"No Crosswalk")</f>
        <v/>
      </c>
      <c r="P517">
        <f>IF(OR([@ManufacturerMappingStatus]&lt;&gt;"Approved",[@DeviceFamilyMappingStatus]&lt;&gt;"Approved",[@DeviceTypeMappingStatus]&lt;&gt;"Approved"),"Manual Review Required","Approved Crosswalk Available")</f>
        <v/>
      </c>
      <c r="Q517" t="inlineStr">
        <is>
          <t>Pending Review</t>
        </is>
      </c>
    </row>
    <row r="518" ht="21.5" customHeight="1" s="42">
      <c r="A518" s="36" t="n"/>
      <c r="B518" s="35" t="n"/>
      <c r="C518" s="35" t="n"/>
      <c r="D518" s="35" t="n"/>
      <c r="E518" s="39" t="n"/>
      <c r="F518" s="39" t="n"/>
      <c r="G518" s="10" t="inlineStr">
        <is>
          <t>MOD000515</t>
        </is>
      </c>
      <c r="H518" s="14" t="inlineStr">
        <is>
          <t>MFG009</t>
        </is>
      </c>
      <c r="I518" s="14" t="inlineStr">
        <is>
          <t>DF090</t>
        </is>
      </c>
      <c r="J518" s="14">
        <f>XLOOKUP([@ManufacturerID],tblManufacturerIDCrosswalk[LegacyManufacturerID],tblManufacturerIDCrosswalk[CanonicalManufacturerID],"")</f>
        <v/>
      </c>
      <c r="K518" s="7">
        <f>XLOOKUP([@DeviceFamilyID],tblDeviceFamilyIDCrosswalk[LegacyDeviceFamilyID],tblDeviceFamilyIDCrosswalk[CanonicalDeviceFamilyID],"")</f>
        <v/>
      </c>
      <c r="L518" s="7">
        <f>XLOOKUP([@DeviceTypeID],tblDeviceTypeIDCrosswalk[LegacyDeviceTypeID],tblDeviceTypeIDCrosswalk[CanonicalDeviceTypeID],"")</f>
        <v/>
      </c>
      <c r="M518" s="14">
        <f>XLOOKUP([@ManufacturerID],tblManufacturerIDCrosswalk[LegacyManufacturerID],tblManufacturerIDCrosswalk[MappingStatus],"No Crosswalk")</f>
        <v/>
      </c>
      <c r="N518" s="35">
        <f>XLOOKUP([@DeviceFamilyID],tblDeviceFamilyIDCrosswalk[LegacyDeviceFamilyID],tblDeviceFamilyIDCrosswalk[MappingStatus],"No Crosswalk")</f>
        <v/>
      </c>
      <c r="O518" s="35">
        <f>XLOOKUP([@DeviceTypeID],tblDeviceTypeIDCrosswalk[LegacyDeviceTypeID],tblDeviceTypeIDCrosswalk[MappingStatus],"No Crosswalk")</f>
        <v/>
      </c>
      <c r="P518">
        <f>IF(OR([@ManufacturerMappingStatus]&lt;&gt;"Approved",[@DeviceFamilyMappingStatus]&lt;&gt;"Approved",[@DeviceTypeMappingStatus]&lt;&gt;"Approved"),"Manual Review Required","Approved Crosswalk Available")</f>
        <v/>
      </c>
      <c r="Q518" t="inlineStr">
        <is>
          <t>Pending Review</t>
        </is>
      </c>
    </row>
    <row r="519" ht="21.5" customHeight="1" s="42">
      <c r="A519" s="36" t="n"/>
      <c r="B519" s="35" t="n"/>
      <c r="C519" s="35" t="n"/>
      <c r="D519" s="35" t="n"/>
      <c r="E519" s="39" t="n"/>
      <c r="F519" s="39" t="n"/>
      <c r="G519" s="10" t="inlineStr">
        <is>
          <t>MOD000516</t>
        </is>
      </c>
      <c r="H519" s="14" t="inlineStr">
        <is>
          <t>MFG009</t>
        </is>
      </c>
      <c r="I519" s="14" t="inlineStr">
        <is>
          <t>DF090</t>
        </is>
      </c>
      <c r="J519" s="14">
        <f>XLOOKUP([@ManufacturerID],tblManufacturerIDCrosswalk[LegacyManufacturerID],tblManufacturerIDCrosswalk[CanonicalManufacturerID],"")</f>
        <v/>
      </c>
      <c r="K519" s="7">
        <f>XLOOKUP([@DeviceFamilyID],tblDeviceFamilyIDCrosswalk[LegacyDeviceFamilyID],tblDeviceFamilyIDCrosswalk[CanonicalDeviceFamilyID],"")</f>
        <v/>
      </c>
      <c r="L519" s="7">
        <f>XLOOKUP([@DeviceTypeID],tblDeviceTypeIDCrosswalk[LegacyDeviceTypeID],tblDeviceTypeIDCrosswalk[CanonicalDeviceTypeID],"")</f>
        <v/>
      </c>
      <c r="M519" s="14">
        <f>XLOOKUP([@ManufacturerID],tblManufacturerIDCrosswalk[LegacyManufacturerID],tblManufacturerIDCrosswalk[MappingStatus],"No Crosswalk")</f>
        <v/>
      </c>
      <c r="N519" s="35">
        <f>XLOOKUP([@DeviceFamilyID],tblDeviceFamilyIDCrosswalk[LegacyDeviceFamilyID],tblDeviceFamilyIDCrosswalk[MappingStatus],"No Crosswalk")</f>
        <v/>
      </c>
      <c r="O519" s="35">
        <f>XLOOKUP([@DeviceTypeID],tblDeviceTypeIDCrosswalk[LegacyDeviceTypeID],tblDeviceTypeIDCrosswalk[MappingStatus],"No Crosswalk")</f>
        <v/>
      </c>
      <c r="P519">
        <f>IF(OR([@ManufacturerMappingStatus]&lt;&gt;"Approved",[@DeviceFamilyMappingStatus]&lt;&gt;"Approved",[@DeviceTypeMappingStatus]&lt;&gt;"Approved"),"Manual Review Required","Approved Crosswalk Available")</f>
        <v/>
      </c>
      <c r="Q519" t="inlineStr">
        <is>
          <t>Pending Review</t>
        </is>
      </c>
    </row>
    <row r="520" ht="21.5" customHeight="1" s="42">
      <c r="A520" s="36" t="n"/>
      <c r="B520" s="35" t="n"/>
      <c r="C520" s="35" t="n"/>
      <c r="D520" s="35" t="n"/>
      <c r="E520" s="39" t="n"/>
      <c r="F520" s="39" t="n"/>
      <c r="G520" s="10" t="inlineStr">
        <is>
          <t>MOD000517</t>
        </is>
      </c>
      <c r="H520" s="14" t="inlineStr">
        <is>
          <t>MFG009</t>
        </is>
      </c>
      <c r="I520" s="14" t="inlineStr">
        <is>
          <t>DF090</t>
        </is>
      </c>
      <c r="J520" s="14">
        <f>XLOOKUP([@ManufacturerID],tblManufacturerIDCrosswalk[LegacyManufacturerID],tblManufacturerIDCrosswalk[CanonicalManufacturerID],"")</f>
        <v/>
      </c>
      <c r="K520" s="7">
        <f>XLOOKUP([@DeviceFamilyID],tblDeviceFamilyIDCrosswalk[LegacyDeviceFamilyID],tblDeviceFamilyIDCrosswalk[CanonicalDeviceFamilyID],"")</f>
        <v/>
      </c>
      <c r="L520" s="7">
        <f>XLOOKUP([@DeviceTypeID],tblDeviceTypeIDCrosswalk[LegacyDeviceTypeID],tblDeviceTypeIDCrosswalk[CanonicalDeviceTypeID],"")</f>
        <v/>
      </c>
      <c r="M520" s="14">
        <f>XLOOKUP([@ManufacturerID],tblManufacturerIDCrosswalk[LegacyManufacturerID],tblManufacturerIDCrosswalk[MappingStatus],"No Crosswalk")</f>
        <v/>
      </c>
      <c r="N520" s="35">
        <f>XLOOKUP([@DeviceFamilyID],tblDeviceFamilyIDCrosswalk[LegacyDeviceFamilyID],tblDeviceFamilyIDCrosswalk[MappingStatus],"No Crosswalk")</f>
        <v/>
      </c>
      <c r="O520" s="35">
        <f>XLOOKUP([@DeviceTypeID],tblDeviceTypeIDCrosswalk[LegacyDeviceTypeID],tblDeviceTypeIDCrosswalk[MappingStatus],"No Crosswalk")</f>
        <v/>
      </c>
      <c r="P520">
        <f>IF(OR([@ManufacturerMappingStatus]&lt;&gt;"Approved",[@DeviceFamilyMappingStatus]&lt;&gt;"Approved",[@DeviceTypeMappingStatus]&lt;&gt;"Approved"),"Manual Review Required","Approved Crosswalk Available")</f>
        <v/>
      </c>
      <c r="Q520" t="inlineStr">
        <is>
          <t>Pending Review</t>
        </is>
      </c>
    </row>
    <row r="521" ht="21.5" customHeight="1" s="42">
      <c r="A521" s="36" t="n"/>
      <c r="B521" s="35" t="n"/>
      <c r="C521" s="35" t="n"/>
      <c r="D521" s="35" t="n"/>
      <c r="E521" s="39" t="n"/>
      <c r="F521" s="39" t="n"/>
      <c r="G521" s="10" t="inlineStr">
        <is>
          <t>MOD000518</t>
        </is>
      </c>
      <c r="H521" s="14" t="inlineStr">
        <is>
          <t>MFG009</t>
        </is>
      </c>
      <c r="I521" s="14" t="inlineStr">
        <is>
          <t>DF091</t>
        </is>
      </c>
      <c r="J521" s="14">
        <f>XLOOKUP([@ManufacturerID],tblManufacturerIDCrosswalk[LegacyManufacturerID],tblManufacturerIDCrosswalk[CanonicalManufacturerID],"")</f>
        <v/>
      </c>
      <c r="K521" s="7">
        <f>XLOOKUP([@DeviceFamilyID],tblDeviceFamilyIDCrosswalk[LegacyDeviceFamilyID],tblDeviceFamilyIDCrosswalk[CanonicalDeviceFamilyID],"")</f>
        <v/>
      </c>
      <c r="L521" s="7">
        <f>XLOOKUP([@DeviceTypeID],tblDeviceTypeIDCrosswalk[LegacyDeviceTypeID],tblDeviceTypeIDCrosswalk[CanonicalDeviceTypeID],"")</f>
        <v/>
      </c>
      <c r="M521" s="14">
        <f>XLOOKUP([@ManufacturerID],tblManufacturerIDCrosswalk[LegacyManufacturerID],tblManufacturerIDCrosswalk[MappingStatus],"No Crosswalk")</f>
        <v/>
      </c>
      <c r="N521" s="35">
        <f>XLOOKUP([@DeviceFamilyID],tblDeviceFamilyIDCrosswalk[LegacyDeviceFamilyID],tblDeviceFamilyIDCrosswalk[MappingStatus],"No Crosswalk")</f>
        <v/>
      </c>
      <c r="O521" s="35">
        <f>XLOOKUP([@DeviceTypeID],tblDeviceTypeIDCrosswalk[LegacyDeviceTypeID],tblDeviceTypeIDCrosswalk[MappingStatus],"No Crosswalk")</f>
        <v/>
      </c>
      <c r="P521">
        <f>IF(OR([@ManufacturerMappingStatus]&lt;&gt;"Approved",[@DeviceFamilyMappingStatus]&lt;&gt;"Approved",[@DeviceTypeMappingStatus]&lt;&gt;"Approved"),"Manual Review Required","Approved Crosswalk Available")</f>
        <v/>
      </c>
      <c r="Q521" t="inlineStr">
        <is>
          <t>Pending Review</t>
        </is>
      </c>
    </row>
    <row r="522" ht="21.5" customHeight="1" s="42">
      <c r="A522" s="36" t="n"/>
      <c r="B522" s="35" t="n"/>
      <c r="C522" s="35" t="n"/>
      <c r="D522" s="35" t="n"/>
      <c r="E522" s="39" t="n"/>
      <c r="F522" s="39" t="n"/>
      <c r="G522" s="10" t="inlineStr">
        <is>
          <t>MOD000519</t>
        </is>
      </c>
      <c r="H522" s="14" t="inlineStr">
        <is>
          <t>MFG009</t>
        </is>
      </c>
      <c r="I522" s="14" t="inlineStr">
        <is>
          <t>DF091</t>
        </is>
      </c>
      <c r="J522" s="14">
        <f>XLOOKUP([@ManufacturerID],tblManufacturerIDCrosswalk[LegacyManufacturerID],tblManufacturerIDCrosswalk[CanonicalManufacturerID],"")</f>
        <v/>
      </c>
      <c r="K522" s="7">
        <f>XLOOKUP([@DeviceFamilyID],tblDeviceFamilyIDCrosswalk[LegacyDeviceFamilyID],tblDeviceFamilyIDCrosswalk[CanonicalDeviceFamilyID],"")</f>
        <v/>
      </c>
      <c r="L522" s="7">
        <f>XLOOKUP([@DeviceTypeID],tblDeviceTypeIDCrosswalk[LegacyDeviceTypeID],tblDeviceTypeIDCrosswalk[CanonicalDeviceTypeID],"")</f>
        <v/>
      </c>
      <c r="M522" s="14">
        <f>XLOOKUP([@ManufacturerID],tblManufacturerIDCrosswalk[LegacyManufacturerID],tblManufacturerIDCrosswalk[MappingStatus],"No Crosswalk")</f>
        <v/>
      </c>
      <c r="N522" s="35">
        <f>XLOOKUP([@DeviceFamilyID],tblDeviceFamilyIDCrosswalk[LegacyDeviceFamilyID],tblDeviceFamilyIDCrosswalk[MappingStatus],"No Crosswalk")</f>
        <v/>
      </c>
      <c r="O522" s="35">
        <f>XLOOKUP([@DeviceTypeID],tblDeviceTypeIDCrosswalk[LegacyDeviceTypeID],tblDeviceTypeIDCrosswalk[MappingStatus],"No Crosswalk")</f>
        <v/>
      </c>
      <c r="P522">
        <f>IF(OR([@ManufacturerMappingStatus]&lt;&gt;"Approved",[@DeviceFamilyMappingStatus]&lt;&gt;"Approved",[@DeviceTypeMappingStatus]&lt;&gt;"Approved"),"Manual Review Required","Approved Crosswalk Available")</f>
        <v/>
      </c>
      <c r="Q522" t="inlineStr">
        <is>
          <t>Pending Review</t>
        </is>
      </c>
    </row>
    <row r="523" ht="21.5" customHeight="1" s="42">
      <c r="A523" s="36" t="n"/>
      <c r="B523" s="35" t="n"/>
      <c r="C523" s="35" t="n"/>
      <c r="D523" s="35" t="n"/>
      <c r="E523" s="39" t="n"/>
      <c r="F523" s="39" t="n"/>
      <c r="G523" s="10" t="inlineStr">
        <is>
          <t>MOD000520</t>
        </is>
      </c>
      <c r="H523" s="14" t="inlineStr">
        <is>
          <t>MFG009</t>
        </is>
      </c>
      <c r="I523" s="14" t="inlineStr">
        <is>
          <t>DF091</t>
        </is>
      </c>
      <c r="J523" s="14">
        <f>XLOOKUP([@ManufacturerID],tblManufacturerIDCrosswalk[LegacyManufacturerID],tblManufacturerIDCrosswalk[CanonicalManufacturerID],"")</f>
        <v/>
      </c>
      <c r="K523" s="7">
        <f>XLOOKUP([@DeviceFamilyID],tblDeviceFamilyIDCrosswalk[LegacyDeviceFamilyID],tblDeviceFamilyIDCrosswalk[CanonicalDeviceFamilyID],"")</f>
        <v/>
      </c>
      <c r="L523" s="7">
        <f>XLOOKUP([@DeviceTypeID],tblDeviceTypeIDCrosswalk[LegacyDeviceTypeID],tblDeviceTypeIDCrosswalk[CanonicalDeviceTypeID],"")</f>
        <v/>
      </c>
      <c r="M523" s="14">
        <f>XLOOKUP([@ManufacturerID],tblManufacturerIDCrosswalk[LegacyManufacturerID],tblManufacturerIDCrosswalk[MappingStatus],"No Crosswalk")</f>
        <v/>
      </c>
      <c r="N523" s="35">
        <f>XLOOKUP([@DeviceFamilyID],tblDeviceFamilyIDCrosswalk[LegacyDeviceFamilyID],tblDeviceFamilyIDCrosswalk[MappingStatus],"No Crosswalk")</f>
        <v/>
      </c>
      <c r="O523" s="35">
        <f>XLOOKUP([@DeviceTypeID],tblDeviceTypeIDCrosswalk[LegacyDeviceTypeID],tblDeviceTypeIDCrosswalk[MappingStatus],"No Crosswalk")</f>
        <v/>
      </c>
      <c r="P523">
        <f>IF(OR([@ManufacturerMappingStatus]&lt;&gt;"Approved",[@DeviceFamilyMappingStatus]&lt;&gt;"Approved",[@DeviceTypeMappingStatus]&lt;&gt;"Approved"),"Manual Review Required","Approved Crosswalk Available")</f>
        <v/>
      </c>
      <c r="Q523" t="inlineStr">
        <is>
          <t>Pending Review</t>
        </is>
      </c>
    </row>
    <row r="524" ht="21.5" customHeight="1" s="42">
      <c r="A524" s="36" t="n"/>
      <c r="B524" s="35" t="n"/>
      <c r="C524" s="35" t="n"/>
      <c r="D524" s="35" t="n"/>
      <c r="E524" s="39" t="n"/>
      <c r="F524" s="39" t="n"/>
      <c r="G524" s="10" t="inlineStr">
        <is>
          <t>MOD000521</t>
        </is>
      </c>
      <c r="H524" s="14" t="inlineStr">
        <is>
          <t>MFG009</t>
        </is>
      </c>
      <c r="I524" s="14" t="inlineStr">
        <is>
          <t>DF092</t>
        </is>
      </c>
      <c r="J524" s="14">
        <f>XLOOKUP([@ManufacturerID],tblManufacturerIDCrosswalk[LegacyManufacturerID],tblManufacturerIDCrosswalk[CanonicalManufacturerID],"")</f>
        <v/>
      </c>
      <c r="K524" s="7">
        <f>XLOOKUP([@DeviceFamilyID],tblDeviceFamilyIDCrosswalk[LegacyDeviceFamilyID],tblDeviceFamilyIDCrosswalk[CanonicalDeviceFamilyID],"")</f>
        <v/>
      </c>
      <c r="L524" s="7">
        <f>XLOOKUP([@DeviceTypeID],tblDeviceTypeIDCrosswalk[LegacyDeviceTypeID],tblDeviceTypeIDCrosswalk[CanonicalDeviceTypeID],"")</f>
        <v/>
      </c>
      <c r="M524" s="14">
        <f>XLOOKUP([@ManufacturerID],tblManufacturerIDCrosswalk[LegacyManufacturerID],tblManufacturerIDCrosswalk[MappingStatus],"No Crosswalk")</f>
        <v/>
      </c>
      <c r="N524" s="35">
        <f>XLOOKUP([@DeviceFamilyID],tblDeviceFamilyIDCrosswalk[LegacyDeviceFamilyID],tblDeviceFamilyIDCrosswalk[MappingStatus],"No Crosswalk")</f>
        <v/>
      </c>
      <c r="O524" s="35">
        <f>XLOOKUP([@DeviceTypeID],tblDeviceTypeIDCrosswalk[LegacyDeviceTypeID],tblDeviceTypeIDCrosswalk[MappingStatus],"No Crosswalk")</f>
        <v/>
      </c>
      <c r="P524">
        <f>IF(OR([@ManufacturerMappingStatus]&lt;&gt;"Approved",[@DeviceFamilyMappingStatus]&lt;&gt;"Approved",[@DeviceTypeMappingStatus]&lt;&gt;"Approved"),"Manual Review Required","Approved Crosswalk Available")</f>
        <v/>
      </c>
      <c r="Q524" t="inlineStr">
        <is>
          <t>Pending Review</t>
        </is>
      </c>
    </row>
    <row r="525" ht="21.5" customHeight="1" s="42">
      <c r="A525" s="36" t="n"/>
      <c r="B525" s="35" t="n"/>
      <c r="C525" s="35" t="n"/>
      <c r="D525" s="35" t="n"/>
      <c r="E525" s="39" t="n"/>
      <c r="F525" s="39" t="n"/>
      <c r="G525" s="10" t="inlineStr">
        <is>
          <t>MOD000522</t>
        </is>
      </c>
      <c r="H525" s="14" t="inlineStr">
        <is>
          <t>MFG009</t>
        </is>
      </c>
      <c r="I525" s="14" t="inlineStr">
        <is>
          <t>DF093</t>
        </is>
      </c>
      <c r="J525" s="14">
        <f>XLOOKUP([@ManufacturerID],tblManufacturerIDCrosswalk[LegacyManufacturerID],tblManufacturerIDCrosswalk[CanonicalManufacturerID],"")</f>
        <v/>
      </c>
      <c r="K525" s="7">
        <f>XLOOKUP([@DeviceFamilyID],tblDeviceFamilyIDCrosswalk[LegacyDeviceFamilyID],tblDeviceFamilyIDCrosswalk[CanonicalDeviceFamilyID],"")</f>
        <v/>
      </c>
      <c r="L525" s="7">
        <f>XLOOKUP([@DeviceTypeID],tblDeviceTypeIDCrosswalk[LegacyDeviceTypeID],tblDeviceTypeIDCrosswalk[CanonicalDeviceTypeID],"")</f>
        <v/>
      </c>
      <c r="M525" s="14">
        <f>XLOOKUP([@ManufacturerID],tblManufacturerIDCrosswalk[LegacyManufacturerID],tblManufacturerIDCrosswalk[MappingStatus],"No Crosswalk")</f>
        <v/>
      </c>
      <c r="N525" s="35">
        <f>XLOOKUP([@DeviceFamilyID],tblDeviceFamilyIDCrosswalk[LegacyDeviceFamilyID],tblDeviceFamilyIDCrosswalk[MappingStatus],"No Crosswalk")</f>
        <v/>
      </c>
      <c r="O525" s="35">
        <f>XLOOKUP([@DeviceTypeID],tblDeviceTypeIDCrosswalk[LegacyDeviceTypeID],tblDeviceTypeIDCrosswalk[MappingStatus],"No Crosswalk")</f>
        <v/>
      </c>
      <c r="P525">
        <f>IF(OR([@ManufacturerMappingStatus]&lt;&gt;"Approved",[@DeviceFamilyMappingStatus]&lt;&gt;"Approved",[@DeviceTypeMappingStatus]&lt;&gt;"Approved"),"Manual Review Required","Approved Crosswalk Available")</f>
        <v/>
      </c>
      <c r="Q525" t="inlineStr">
        <is>
          <t>Pending Review</t>
        </is>
      </c>
    </row>
    <row r="526" ht="21.5" customHeight="1" s="42">
      <c r="A526" s="36" t="n"/>
      <c r="B526" s="35" t="n"/>
      <c r="C526" s="35" t="n"/>
      <c r="D526" s="35" t="n"/>
      <c r="E526" s="39" t="n"/>
      <c r="F526" s="39" t="n"/>
      <c r="G526" s="10" t="inlineStr">
        <is>
          <t>MOD000523</t>
        </is>
      </c>
      <c r="H526" s="14" t="inlineStr">
        <is>
          <t>MFG009</t>
        </is>
      </c>
      <c r="I526" s="14" t="inlineStr">
        <is>
          <t>DF093</t>
        </is>
      </c>
      <c r="J526" s="14">
        <f>XLOOKUP([@ManufacturerID],tblManufacturerIDCrosswalk[LegacyManufacturerID],tblManufacturerIDCrosswalk[CanonicalManufacturerID],"")</f>
        <v/>
      </c>
      <c r="K526" s="7">
        <f>XLOOKUP([@DeviceFamilyID],tblDeviceFamilyIDCrosswalk[LegacyDeviceFamilyID],tblDeviceFamilyIDCrosswalk[CanonicalDeviceFamilyID],"")</f>
        <v/>
      </c>
      <c r="L526" s="7">
        <f>XLOOKUP([@DeviceTypeID],tblDeviceTypeIDCrosswalk[LegacyDeviceTypeID],tblDeviceTypeIDCrosswalk[CanonicalDeviceTypeID],"")</f>
        <v/>
      </c>
      <c r="M526" s="14">
        <f>XLOOKUP([@ManufacturerID],tblManufacturerIDCrosswalk[LegacyManufacturerID],tblManufacturerIDCrosswalk[MappingStatus],"No Crosswalk")</f>
        <v/>
      </c>
      <c r="N526" s="35">
        <f>XLOOKUP([@DeviceFamilyID],tblDeviceFamilyIDCrosswalk[LegacyDeviceFamilyID],tblDeviceFamilyIDCrosswalk[MappingStatus],"No Crosswalk")</f>
        <v/>
      </c>
      <c r="O526" s="35">
        <f>XLOOKUP([@DeviceTypeID],tblDeviceTypeIDCrosswalk[LegacyDeviceTypeID],tblDeviceTypeIDCrosswalk[MappingStatus],"No Crosswalk")</f>
        <v/>
      </c>
      <c r="P526">
        <f>IF(OR([@ManufacturerMappingStatus]&lt;&gt;"Approved",[@DeviceFamilyMappingStatus]&lt;&gt;"Approved",[@DeviceTypeMappingStatus]&lt;&gt;"Approved"),"Manual Review Required","Approved Crosswalk Available")</f>
        <v/>
      </c>
      <c r="Q526" t="inlineStr">
        <is>
          <t>Pending Review</t>
        </is>
      </c>
    </row>
    <row r="527" ht="21.5" customHeight="1" s="42">
      <c r="A527" s="36" t="n"/>
      <c r="B527" s="35" t="n"/>
      <c r="C527" s="35" t="n"/>
      <c r="D527" s="35" t="n"/>
      <c r="E527" s="39" t="n"/>
      <c r="F527" s="39" t="n"/>
      <c r="G527" s="10" t="inlineStr">
        <is>
          <t>MOD000524</t>
        </is>
      </c>
      <c r="H527" s="14" t="inlineStr">
        <is>
          <t>MFG010</t>
        </is>
      </c>
      <c r="I527" s="14" t="inlineStr">
        <is>
          <t>DF-100</t>
        </is>
      </c>
      <c r="J527" s="14">
        <f>XLOOKUP([@ManufacturerID],tblManufacturerIDCrosswalk[LegacyManufacturerID],tblManufacturerIDCrosswalk[CanonicalManufacturerID],"")</f>
        <v/>
      </c>
      <c r="K527" s="7">
        <f>XLOOKUP([@DeviceFamilyID],tblDeviceFamilyIDCrosswalk[LegacyDeviceFamilyID],tblDeviceFamilyIDCrosswalk[CanonicalDeviceFamilyID],"")</f>
        <v/>
      </c>
      <c r="L527" s="7">
        <f>XLOOKUP([@DeviceTypeID],tblDeviceTypeIDCrosswalk[LegacyDeviceTypeID],tblDeviceTypeIDCrosswalk[CanonicalDeviceTypeID],"")</f>
        <v/>
      </c>
      <c r="M527" s="14">
        <f>XLOOKUP([@ManufacturerID],tblManufacturerIDCrosswalk[LegacyManufacturerID],tblManufacturerIDCrosswalk[MappingStatus],"No Crosswalk")</f>
        <v/>
      </c>
      <c r="N527" s="35">
        <f>XLOOKUP([@DeviceFamilyID],tblDeviceFamilyIDCrosswalk[LegacyDeviceFamilyID],tblDeviceFamilyIDCrosswalk[MappingStatus],"No Crosswalk")</f>
        <v/>
      </c>
      <c r="O527" s="35">
        <f>XLOOKUP([@DeviceTypeID],tblDeviceTypeIDCrosswalk[LegacyDeviceTypeID],tblDeviceTypeIDCrosswalk[MappingStatus],"No Crosswalk")</f>
        <v/>
      </c>
      <c r="P527">
        <f>IF(OR([@ManufacturerMappingStatus]&lt;&gt;"Approved",[@DeviceFamilyMappingStatus]&lt;&gt;"Approved",[@DeviceTypeMappingStatus]&lt;&gt;"Approved"),"Manual Review Required","Approved Crosswalk Available")</f>
        <v/>
      </c>
      <c r="Q527" t="inlineStr">
        <is>
          <t>Pending Review</t>
        </is>
      </c>
    </row>
    <row r="528" ht="21.5" customHeight="1" s="42">
      <c r="A528" s="36" t="n"/>
      <c r="B528" s="35" t="n"/>
      <c r="C528" s="35" t="n"/>
      <c r="D528" s="35" t="n"/>
      <c r="E528" s="39" t="n"/>
      <c r="F528" s="39" t="n"/>
      <c r="G528" s="10" t="inlineStr">
        <is>
          <t>MOD000525</t>
        </is>
      </c>
      <c r="H528" s="14" t="inlineStr">
        <is>
          <t>MFG010</t>
        </is>
      </c>
      <c r="I528" s="14" t="inlineStr">
        <is>
          <t>DF-100</t>
        </is>
      </c>
      <c r="J528" s="14">
        <f>XLOOKUP([@ManufacturerID],tblManufacturerIDCrosswalk[LegacyManufacturerID],tblManufacturerIDCrosswalk[CanonicalManufacturerID],"")</f>
        <v/>
      </c>
      <c r="K528" s="7">
        <f>XLOOKUP([@DeviceFamilyID],tblDeviceFamilyIDCrosswalk[LegacyDeviceFamilyID],tblDeviceFamilyIDCrosswalk[CanonicalDeviceFamilyID],"")</f>
        <v/>
      </c>
      <c r="L528" s="7">
        <f>XLOOKUP([@DeviceTypeID],tblDeviceTypeIDCrosswalk[LegacyDeviceTypeID],tblDeviceTypeIDCrosswalk[CanonicalDeviceTypeID],"")</f>
        <v/>
      </c>
      <c r="M528" s="14">
        <f>XLOOKUP([@ManufacturerID],tblManufacturerIDCrosswalk[LegacyManufacturerID],tblManufacturerIDCrosswalk[MappingStatus],"No Crosswalk")</f>
        <v/>
      </c>
      <c r="N528" s="35">
        <f>XLOOKUP([@DeviceFamilyID],tblDeviceFamilyIDCrosswalk[LegacyDeviceFamilyID],tblDeviceFamilyIDCrosswalk[MappingStatus],"No Crosswalk")</f>
        <v/>
      </c>
      <c r="O528" s="35">
        <f>XLOOKUP([@DeviceTypeID],tblDeviceTypeIDCrosswalk[LegacyDeviceTypeID],tblDeviceTypeIDCrosswalk[MappingStatus],"No Crosswalk")</f>
        <v/>
      </c>
      <c r="P528">
        <f>IF(OR([@ManufacturerMappingStatus]&lt;&gt;"Approved",[@DeviceFamilyMappingStatus]&lt;&gt;"Approved",[@DeviceTypeMappingStatus]&lt;&gt;"Approved"),"Manual Review Required","Approved Crosswalk Available")</f>
        <v/>
      </c>
      <c r="Q528" t="inlineStr">
        <is>
          <t>Pending Review</t>
        </is>
      </c>
    </row>
    <row r="529" ht="21.5" customHeight="1" s="42">
      <c r="A529" s="36" t="n"/>
      <c r="B529" s="35" t="n"/>
      <c r="C529" s="35" t="n"/>
      <c r="D529" s="35" t="n"/>
      <c r="E529" s="39" t="n"/>
      <c r="F529" s="39" t="n"/>
      <c r="G529" s="10" t="inlineStr">
        <is>
          <t>MOD000526</t>
        </is>
      </c>
      <c r="H529" s="14" t="inlineStr">
        <is>
          <t>MFG010</t>
        </is>
      </c>
      <c r="I529" s="14" t="inlineStr">
        <is>
          <t>DF-100</t>
        </is>
      </c>
      <c r="J529" s="14">
        <f>XLOOKUP([@ManufacturerID],tblManufacturerIDCrosswalk[LegacyManufacturerID],tblManufacturerIDCrosswalk[CanonicalManufacturerID],"")</f>
        <v/>
      </c>
      <c r="K529" s="7">
        <f>XLOOKUP([@DeviceFamilyID],tblDeviceFamilyIDCrosswalk[LegacyDeviceFamilyID],tblDeviceFamilyIDCrosswalk[CanonicalDeviceFamilyID],"")</f>
        <v/>
      </c>
      <c r="L529" s="7">
        <f>XLOOKUP([@DeviceTypeID],tblDeviceTypeIDCrosswalk[LegacyDeviceTypeID],tblDeviceTypeIDCrosswalk[CanonicalDeviceTypeID],"")</f>
        <v/>
      </c>
      <c r="M529" s="14">
        <f>XLOOKUP([@ManufacturerID],tblManufacturerIDCrosswalk[LegacyManufacturerID],tblManufacturerIDCrosswalk[MappingStatus],"No Crosswalk")</f>
        <v/>
      </c>
      <c r="N529" s="35">
        <f>XLOOKUP([@DeviceFamilyID],tblDeviceFamilyIDCrosswalk[LegacyDeviceFamilyID],tblDeviceFamilyIDCrosswalk[MappingStatus],"No Crosswalk")</f>
        <v/>
      </c>
      <c r="O529" s="35">
        <f>XLOOKUP([@DeviceTypeID],tblDeviceTypeIDCrosswalk[LegacyDeviceTypeID],tblDeviceTypeIDCrosswalk[MappingStatus],"No Crosswalk")</f>
        <v/>
      </c>
      <c r="P529">
        <f>IF(OR([@ManufacturerMappingStatus]&lt;&gt;"Approved",[@DeviceFamilyMappingStatus]&lt;&gt;"Approved",[@DeviceTypeMappingStatus]&lt;&gt;"Approved"),"Manual Review Required","Approved Crosswalk Available")</f>
        <v/>
      </c>
      <c r="Q529" t="inlineStr">
        <is>
          <t>Pending Review</t>
        </is>
      </c>
    </row>
    <row r="530" ht="21.5" customHeight="1" s="42">
      <c r="A530" s="36" t="n"/>
      <c r="B530" s="35" t="n"/>
      <c r="C530" s="35" t="n"/>
      <c r="D530" s="35" t="n"/>
      <c r="E530" s="39" t="n"/>
      <c r="F530" s="39" t="n"/>
      <c r="G530" s="10" t="inlineStr">
        <is>
          <t>MOD000527</t>
        </is>
      </c>
      <c r="H530" s="14" t="inlineStr">
        <is>
          <t>MFG010</t>
        </is>
      </c>
      <c r="I530" s="14" t="inlineStr">
        <is>
          <t>DF-100</t>
        </is>
      </c>
      <c r="J530" s="14">
        <f>XLOOKUP([@ManufacturerID],tblManufacturerIDCrosswalk[LegacyManufacturerID],tblManufacturerIDCrosswalk[CanonicalManufacturerID],"")</f>
        <v/>
      </c>
      <c r="K530" s="7">
        <f>XLOOKUP([@DeviceFamilyID],tblDeviceFamilyIDCrosswalk[LegacyDeviceFamilyID],tblDeviceFamilyIDCrosswalk[CanonicalDeviceFamilyID],"")</f>
        <v/>
      </c>
      <c r="L530" s="7">
        <f>XLOOKUP([@DeviceTypeID],tblDeviceTypeIDCrosswalk[LegacyDeviceTypeID],tblDeviceTypeIDCrosswalk[CanonicalDeviceTypeID],"")</f>
        <v/>
      </c>
      <c r="M530" s="14">
        <f>XLOOKUP([@ManufacturerID],tblManufacturerIDCrosswalk[LegacyManufacturerID],tblManufacturerIDCrosswalk[MappingStatus],"No Crosswalk")</f>
        <v/>
      </c>
      <c r="N530" s="35">
        <f>XLOOKUP([@DeviceFamilyID],tblDeviceFamilyIDCrosswalk[LegacyDeviceFamilyID],tblDeviceFamilyIDCrosswalk[MappingStatus],"No Crosswalk")</f>
        <v/>
      </c>
      <c r="O530" s="35">
        <f>XLOOKUP([@DeviceTypeID],tblDeviceTypeIDCrosswalk[LegacyDeviceTypeID],tblDeviceTypeIDCrosswalk[MappingStatus],"No Crosswalk")</f>
        <v/>
      </c>
      <c r="P530">
        <f>IF(OR([@ManufacturerMappingStatus]&lt;&gt;"Approved",[@DeviceFamilyMappingStatus]&lt;&gt;"Approved",[@DeviceTypeMappingStatus]&lt;&gt;"Approved"),"Manual Review Required","Approved Crosswalk Available")</f>
        <v/>
      </c>
      <c r="Q530" t="inlineStr">
        <is>
          <t>Pending Review</t>
        </is>
      </c>
    </row>
    <row r="531" ht="21.5" customHeight="1" s="42">
      <c r="A531" s="36" t="n"/>
      <c r="B531" s="35" t="n"/>
      <c r="C531" s="35" t="n"/>
      <c r="D531" s="35" t="n"/>
      <c r="E531" s="39" t="n"/>
      <c r="F531" s="39" t="n"/>
      <c r="G531" s="10" t="inlineStr">
        <is>
          <t>MOD000528</t>
        </is>
      </c>
      <c r="H531" s="14" t="inlineStr">
        <is>
          <t>MFG010</t>
        </is>
      </c>
      <c r="I531" s="14" t="inlineStr">
        <is>
          <t>DF-100</t>
        </is>
      </c>
      <c r="J531" s="14">
        <f>XLOOKUP([@ManufacturerID],tblManufacturerIDCrosswalk[LegacyManufacturerID],tblManufacturerIDCrosswalk[CanonicalManufacturerID],"")</f>
        <v/>
      </c>
      <c r="K531" s="7">
        <f>XLOOKUP([@DeviceFamilyID],tblDeviceFamilyIDCrosswalk[LegacyDeviceFamilyID],tblDeviceFamilyIDCrosswalk[CanonicalDeviceFamilyID],"")</f>
        <v/>
      </c>
      <c r="L531" s="7">
        <f>XLOOKUP([@DeviceTypeID],tblDeviceTypeIDCrosswalk[LegacyDeviceTypeID],tblDeviceTypeIDCrosswalk[CanonicalDeviceTypeID],"")</f>
        <v/>
      </c>
      <c r="M531" s="14">
        <f>XLOOKUP([@ManufacturerID],tblManufacturerIDCrosswalk[LegacyManufacturerID],tblManufacturerIDCrosswalk[MappingStatus],"No Crosswalk")</f>
        <v/>
      </c>
      <c r="N531" s="35">
        <f>XLOOKUP([@DeviceFamilyID],tblDeviceFamilyIDCrosswalk[LegacyDeviceFamilyID],tblDeviceFamilyIDCrosswalk[MappingStatus],"No Crosswalk")</f>
        <v/>
      </c>
      <c r="O531" s="35">
        <f>XLOOKUP([@DeviceTypeID],tblDeviceTypeIDCrosswalk[LegacyDeviceTypeID],tblDeviceTypeIDCrosswalk[MappingStatus],"No Crosswalk")</f>
        <v/>
      </c>
      <c r="P531">
        <f>IF(OR([@ManufacturerMappingStatus]&lt;&gt;"Approved",[@DeviceFamilyMappingStatus]&lt;&gt;"Approved",[@DeviceTypeMappingStatus]&lt;&gt;"Approved"),"Manual Review Required","Approved Crosswalk Available")</f>
        <v/>
      </c>
      <c r="Q531" t="inlineStr">
        <is>
          <t>Pending Review</t>
        </is>
      </c>
    </row>
    <row r="532" ht="21.5" customHeight="1" s="42">
      <c r="A532" s="36" t="n"/>
      <c r="B532" s="35" t="n"/>
      <c r="C532" s="35" t="n"/>
      <c r="D532" s="35" t="n"/>
      <c r="E532" s="39" t="n"/>
      <c r="F532" s="39" t="n"/>
      <c r="G532" s="10" t="inlineStr">
        <is>
          <t>MOD000529</t>
        </is>
      </c>
      <c r="H532" s="14" t="inlineStr">
        <is>
          <t>MFG010</t>
        </is>
      </c>
      <c r="I532" s="14" t="inlineStr">
        <is>
          <t>DF-100</t>
        </is>
      </c>
      <c r="J532" s="14">
        <f>XLOOKUP([@ManufacturerID],tblManufacturerIDCrosswalk[LegacyManufacturerID],tblManufacturerIDCrosswalk[CanonicalManufacturerID],"")</f>
        <v/>
      </c>
      <c r="K532" s="7">
        <f>XLOOKUP([@DeviceFamilyID],tblDeviceFamilyIDCrosswalk[LegacyDeviceFamilyID],tblDeviceFamilyIDCrosswalk[CanonicalDeviceFamilyID],"")</f>
        <v/>
      </c>
      <c r="L532" s="7">
        <f>XLOOKUP([@DeviceTypeID],tblDeviceTypeIDCrosswalk[LegacyDeviceTypeID],tblDeviceTypeIDCrosswalk[CanonicalDeviceTypeID],"")</f>
        <v/>
      </c>
      <c r="M532" s="14">
        <f>XLOOKUP([@ManufacturerID],tblManufacturerIDCrosswalk[LegacyManufacturerID],tblManufacturerIDCrosswalk[MappingStatus],"No Crosswalk")</f>
        <v/>
      </c>
      <c r="N532" s="35">
        <f>XLOOKUP([@DeviceFamilyID],tblDeviceFamilyIDCrosswalk[LegacyDeviceFamilyID],tblDeviceFamilyIDCrosswalk[MappingStatus],"No Crosswalk")</f>
        <v/>
      </c>
      <c r="O532" s="35">
        <f>XLOOKUP([@DeviceTypeID],tblDeviceTypeIDCrosswalk[LegacyDeviceTypeID],tblDeviceTypeIDCrosswalk[MappingStatus],"No Crosswalk")</f>
        <v/>
      </c>
      <c r="P532">
        <f>IF(OR([@ManufacturerMappingStatus]&lt;&gt;"Approved",[@DeviceFamilyMappingStatus]&lt;&gt;"Approved",[@DeviceTypeMappingStatus]&lt;&gt;"Approved"),"Manual Review Required","Approved Crosswalk Available")</f>
        <v/>
      </c>
      <c r="Q532" t="inlineStr">
        <is>
          <t>Pending Review</t>
        </is>
      </c>
    </row>
    <row r="533" ht="21.5" customHeight="1" s="42">
      <c r="A533" s="36" t="n"/>
      <c r="B533" s="35" t="n"/>
      <c r="C533" s="35" t="n"/>
      <c r="D533" s="35" t="n"/>
      <c r="E533" s="39" t="n"/>
      <c r="F533" s="39" t="n"/>
      <c r="G533" s="10" t="inlineStr">
        <is>
          <t>MOD000530</t>
        </is>
      </c>
      <c r="H533" s="14" t="inlineStr">
        <is>
          <t>MFG010</t>
        </is>
      </c>
      <c r="I533" s="14" t="inlineStr">
        <is>
          <t>DF-100</t>
        </is>
      </c>
      <c r="J533" s="14">
        <f>XLOOKUP([@ManufacturerID],tblManufacturerIDCrosswalk[LegacyManufacturerID],tblManufacturerIDCrosswalk[CanonicalManufacturerID],"")</f>
        <v/>
      </c>
      <c r="K533" s="7">
        <f>XLOOKUP([@DeviceFamilyID],tblDeviceFamilyIDCrosswalk[LegacyDeviceFamilyID],tblDeviceFamilyIDCrosswalk[CanonicalDeviceFamilyID],"")</f>
        <v/>
      </c>
      <c r="L533" s="7">
        <f>XLOOKUP([@DeviceTypeID],tblDeviceTypeIDCrosswalk[LegacyDeviceTypeID],tblDeviceTypeIDCrosswalk[CanonicalDeviceTypeID],"")</f>
        <v/>
      </c>
      <c r="M533" s="14">
        <f>XLOOKUP([@ManufacturerID],tblManufacturerIDCrosswalk[LegacyManufacturerID],tblManufacturerIDCrosswalk[MappingStatus],"No Crosswalk")</f>
        <v/>
      </c>
      <c r="N533" s="35">
        <f>XLOOKUP([@DeviceFamilyID],tblDeviceFamilyIDCrosswalk[LegacyDeviceFamilyID],tblDeviceFamilyIDCrosswalk[MappingStatus],"No Crosswalk")</f>
        <v/>
      </c>
      <c r="O533" s="35">
        <f>XLOOKUP([@DeviceTypeID],tblDeviceTypeIDCrosswalk[LegacyDeviceTypeID],tblDeviceTypeIDCrosswalk[MappingStatus],"No Crosswalk")</f>
        <v/>
      </c>
      <c r="P533">
        <f>IF(OR([@ManufacturerMappingStatus]&lt;&gt;"Approved",[@DeviceFamilyMappingStatus]&lt;&gt;"Approved",[@DeviceTypeMappingStatus]&lt;&gt;"Approved"),"Manual Review Required","Approved Crosswalk Available")</f>
        <v/>
      </c>
      <c r="Q533" t="inlineStr">
        <is>
          <t>Pending Review</t>
        </is>
      </c>
    </row>
    <row r="534" ht="21.5" customHeight="1" s="42">
      <c r="A534" s="36" t="n"/>
      <c r="B534" s="35" t="n"/>
      <c r="C534" s="35" t="n"/>
      <c r="D534" s="35" t="n"/>
      <c r="E534" s="39" t="n"/>
      <c r="F534" s="39" t="n"/>
      <c r="G534" s="10" t="inlineStr">
        <is>
          <t>MOD000531</t>
        </is>
      </c>
      <c r="H534" s="14" t="inlineStr">
        <is>
          <t>MFG010</t>
        </is>
      </c>
      <c r="I534" s="14" t="inlineStr">
        <is>
          <t>DF-101</t>
        </is>
      </c>
      <c r="J534" s="14">
        <f>XLOOKUP([@ManufacturerID],tblManufacturerIDCrosswalk[LegacyManufacturerID],tblManufacturerIDCrosswalk[CanonicalManufacturerID],"")</f>
        <v/>
      </c>
      <c r="K534" s="7">
        <f>XLOOKUP([@DeviceFamilyID],tblDeviceFamilyIDCrosswalk[LegacyDeviceFamilyID],tblDeviceFamilyIDCrosswalk[CanonicalDeviceFamilyID],"")</f>
        <v/>
      </c>
      <c r="L534" s="7">
        <f>XLOOKUP([@DeviceTypeID],tblDeviceTypeIDCrosswalk[LegacyDeviceTypeID],tblDeviceTypeIDCrosswalk[CanonicalDeviceTypeID],"")</f>
        <v/>
      </c>
      <c r="M534" s="14">
        <f>XLOOKUP([@ManufacturerID],tblManufacturerIDCrosswalk[LegacyManufacturerID],tblManufacturerIDCrosswalk[MappingStatus],"No Crosswalk")</f>
        <v/>
      </c>
      <c r="N534" s="35">
        <f>XLOOKUP([@DeviceFamilyID],tblDeviceFamilyIDCrosswalk[LegacyDeviceFamilyID],tblDeviceFamilyIDCrosswalk[MappingStatus],"No Crosswalk")</f>
        <v/>
      </c>
      <c r="O534" s="35">
        <f>XLOOKUP([@DeviceTypeID],tblDeviceTypeIDCrosswalk[LegacyDeviceTypeID],tblDeviceTypeIDCrosswalk[MappingStatus],"No Crosswalk")</f>
        <v/>
      </c>
      <c r="P534">
        <f>IF(OR([@ManufacturerMappingStatus]&lt;&gt;"Approved",[@DeviceFamilyMappingStatus]&lt;&gt;"Approved",[@DeviceTypeMappingStatus]&lt;&gt;"Approved"),"Manual Review Required","Approved Crosswalk Available")</f>
        <v/>
      </c>
      <c r="Q534" t="inlineStr">
        <is>
          <t>Pending Review</t>
        </is>
      </c>
    </row>
    <row r="535" ht="21.5" customHeight="1" s="42">
      <c r="A535" s="36" t="n"/>
      <c r="B535" s="35" t="n"/>
      <c r="C535" s="35" t="n"/>
      <c r="D535" s="35" t="n"/>
      <c r="E535" s="39" t="n"/>
      <c r="F535" s="39" t="n"/>
      <c r="G535" s="10" t="inlineStr">
        <is>
          <t>MOD000532</t>
        </is>
      </c>
      <c r="H535" s="14" t="inlineStr">
        <is>
          <t>MFG010</t>
        </is>
      </c>
      <c r="I535" s="14" t="inlineStr">
        <is>
          <t>DF-101</t>
        </is>
      </c>
      <c r="J535" s="14">
        <f>XLOOKUP([@ManufacturerID],tblManufacturerIDCrosswalk[LegacyManufacturerID],tblManufacturerIDCrosswalk[CanonicalManufacturerID],"")</f>
        <v/>
      </c>
      <c r="K535" s="7">
        <f>XLOOKUP([@DeviceFamilyID],tblDeviceFamilyIDCrosswalk[LegacyDeviceFamilyID],tblDeviceFamilyIDCrosswalk[CanonicalDeviceFamilyID],"")</f>
        <v/>
      </c>
      <c r="L535" s="7">
        <f>XLOOKUP([@DeviceTypeID],tblDeviceTypeIDCrosswalk[LegacyDeviceTypeID],tblDeviceTypeIDCrosswalk[CanonicalDeviceTypeID],"")</f>
        <v/>
      </c>
      <c r="M535" s="14">
        <f>XLOOKUP([@ManufacturerID],tblManufacturerIDCrosswalk[LegacyManufacturerID],tblManufacturerIDCrosswalk[MappingStatus],"No Crosswalk")</f>
        <v/>
      </c>
      <c r="N535" s="35">
        <f>XLOOKUP([@DeviceFamilyID],tblDeviceFamilyIDCrosswalk[LegacyDeviceFamilyID],tblDeviceFamilyIDCrosswalk[MappingStatus],"No Crosswalk")</f>
        <v/>
      </c>
      <c r="O535" s="35">
        <f>XLOOKUP([@DeviceTypeID],tblDeviceTypeIDCrosswalk[LegacyDeviceTypeID],tblDeviceTypeIDCrosswalk[MappingStatus],"No Crosswalk")</f>
        <v/>
      </c>
      <c r="P535">
        <f>IF(OR([@ManufacturerMappingStatus]&lt;&gt;"Approved",[@DeviceFamilyMappingStatus]&lt;&gt;"Approved",[@DeviceTypeMappingStatus]&lt;&gt;"Approved"),"Manual Review Required","Approved Crosswalk Available")</f>
        <v/>
      </c>
      <c r="Q535" t="inlineStr">
        <is>
          <t>Pending Review</t>
        </is>
      </c>
    </row>
    <row r="536" ht="21.5" customHeight="1" s="42">
      <c r="A536" s="36" t="n"/>
      <c r="B536" s="35" t="n"/>
      <c r="C536" s="35" t="n"/>
      <c r="D536" s="35" t="n"/>
      <c r="E536" s="39" t="n"/>
      <c r="F536" s="39" t="n"/>
      <c r="G536" s="10" t="inlineStr">
        <is>
          <t>MOD000533</t>
        </is>
      </c>
      <c r="H536" s="14" t="inlineStr">
        <is>
          <t>MFG010</t>
        </is>
      </c>
      <c r="I536" s="14" t="inlineStr">
        <is>
          <t>DF-101</t>
        </is>
      </c>
      <c r="J536" s="14">
        <f>XLOOKUP([@ManufacturerID],tblManufacturerIDCrosswalk[LegacyManufacturerID],tblManufacturerIDCrosswalk[CanonicalManufacturerID],"")</f>
        <v/>
      </c>
      <c r="K536" s="7">
        <f>XLOOKUP([@DeviceFamilyID],tblDeviceFamilyIDCrosswalk[LegacyDeviceFamilyID],tblDeviceFamilyIDCrosswalk[CanonicalDeviceFamilyID],"")</f>
        <v/>
      </c>
      <c r="L536" s="7">
        <f>XLOOKUP([@DeviceTypeID],tblDeviceTypeIDCrosswalk[LegacyDeviceTypeID],tblDeviceTypeIDCrosswalk[CanonicalDeviceTypeID],"")</f>
        <v/>
      </c>
      <c r="M536" s="14">
        <f>XLOOKUP([@ManufacturerID],tblManufacturerIDCrosswalk[LegacyManufacturerID],tblManufacturerIDCrosswalk[MappingStatus],"No Crosswalk")</f>
        <v/>
      </c>
      <c r="N536" s="35">
        <f>XLOOKUP([@DeviceFamilyID],tblDeviceFamilyIDCrosswalk[LegacyDeviceFamilyID],tblDeviceFamilyIDCrosswalk[MappingStatus],"No Crosswalk")</f>
        <v/>
      </c>
      <c r="O536" s="35">
        <f>XLOOKUP([@DeviceTypeID],tblDeviceTypeIDCrosswalk[LegacyDeviceTypeID],tblDeviceTypeIDCrosswalk[MappingStatus],"No Crosswalk")</f>
        <v/>
      </c>
      <c r="P536">
        <f>IF(OR([@ManufacturerMappingStatus]&lt;&gt;"Approved",[@DeviceFamilyMappingStatus]&lt;&gt;"Approved",[@DeviceTypeMappingStatus]&lt;&gt;"Approved"),"Manual Review Required","Approved Crosswalk Available")</f>
        <v/>
      </c>
      <c r="Q536" t="inlineStr">
        <is>
          <t>Pending Review</t>
        </is>
      </c>
    </row>
    <row r="537" ht="21.5" customHeight="1" s="42">
      <c r="A537" s="36" t="n"/>
      <c r="B537" s="35" t="n"/>
      <c r="C537" s="35" t="n"/>
      <c r="D537" s="35" t="n"/>
      <c r="E537" s="39" t="n"/>
      <c r="F537" s="39" t="n"/>
      <c r="G537" s="10" t="inlineStr">
        <is>
          <t>MOD000534</t>
        </is>
      </c>
      <c r="H537" s="14" t="inlineStr">
        <is>
          <t>MFG010</t>
        </is>
      </c>
      <c r="I537" s="14" t="inlineStr">
        <is>
          <t>DF-100</t>
        </is>
      </c>
      <c r="J537" s="14">
        <f>XLOOKUP([@ManufacturerID],tblManufacturerIDCrosswalk[LegacyManufacturerID],tblManufacturerIDCrosswalk[CanonicalManufacturerID],"")</f>
        <v/>
      </c>
      <c r="K537" s="7">
        <f>XLOOKUP([@DeviceFamilyID],tblDeviceFamilyIDCrosswalk[LegacyDeviceFamilyID],tblDeviceFamilyIDCrosswalk[CanonicalDeviceFamilyID],"")</f>
        <v/>
      </c>
      <c r="L537" s="7">
        <f>XLOOKUP([@DeviceTypeID],tblDeviceTypeIDCrosswalk[LegacyDeviceTypeID],tblDeviceTypeIDCrosswalk[CanonicalDeviceTypeID],"")</f>
        <v/>
      </c>
      <c r="M537" s="14">
        <f>XLOOKUP([@ManufacturerID],tblManufacturerIDCrosswalk[LegacyManufacturerID],tblManufacturerIDCrosswalk[MappingStatus],"No Crosswalk")</f>
        <v/>
      </c>
      <c r="N537" s="35">
        <f>XLOOKUP([@DeviceFamilyID],tblDeviceFamilyIDCrosswalk[LegacyDeviceFamilyID],tblDeviceFamilyIDCrosswalk[MappingStatus],"No Crosswalk")</f>
        <v/>
      </c>
      <c r="O537" s="35">
        <f>XLOOKUP([@DeviceTypeID],tblDeviceTypeIDCrosswalk[LegacyDeviceTypeID],tblDeviceTypeIDCrosswalk[MappingStatus],"No Crosswalk")</f>
        <v/>
      </c>
      <c r="P537">
        <f>IF(OR([@ManufacturerMappingStatus]&lt;&gt;"Approved",[@DeviceFamilyMappingStatus]&lt;&gt;"Approved",[@DeviceTypeMappingStatus]&lt;&gt;"Approved"),"Manual Review Required","Approved Crosswalk Available")</f>
        <v/>
      </c>
      <c r="Q537" t="inlineStr">
        <is>
          <t>Pending Review</t>
        </is>
      </c>
    </row>
    <row r="538" ht="21.5" customHeight="1" s="42">
      <c r="A538" s="36" t="n"/>
      <c r="B538" s="35" t="n"/>
      <c r="C538" s="35" t="n"/>
      <c r="D538" s="35" t="n"/>
      <c r="E538" s="39" t="n"/>
      <c r="F538" s="39" t="n"/>
      <c r="G538" s="10" t="inlineStr">
        <is>
          <t>MOD000535</t>
        </is>
      </c>
      <c r="H538" s="14" t="inlineStr">
        <is>
          <t>MFG010</t>
        </is>
      </c>
      <c r="I538" s="14" t="inlineStr">
        <is>
          <t>DF-100</t>
        </is>
      </c>
      <c r="J538" s="14">
        <f>XLOOKUP([@ManufacturerID],tblManufacturerIDCrosswalk[LegacyManufacturerID],tblManufacturerIDCrosswalk[CanonicalManufacturerID],"")</f>
        <v/>
      </c>
      <c r="K538" s="7">
        <f>XLOOKUP([@DeviceFamilyID],tblDeviceFamilyIDCrosswalk[LegacyDeviceFamilyID],tblDeviceFamilyIDCrosswalk[CanonicalDeviceFamilyID],"")</f>
        <v/>
      </c>
      <c r="L538" s="7">
        <f>XLOOKUP([@DeviceTypeID],tblDeviceTypeIDCrosswalk[LegacyDeviceTypeID],tblDeviceTypeIDCrosswalk[CanonicalDeviceTypeID],"")</f>
        <v/>
      </c>
      <c r="M538" s="14">
        <f>XLOOKUP([@ManufacturerID],tblManufacturerIDCrosswalk[LegacyManufacturerID],tblManufacturerIDCrosswalk[MappingStatus],"No Crosswalk")</f>
        <v/>
      </c>
      <c r="N538" s="35">
        <f>XLOOKUP([@DeviceFamilyID],tblDeviceFamilyIDCrosswalk[LegacyDeviceFamilyID],tblDeviceFamilyIDCrosswalk[MappingStatus],"No Crosswalk")</f>
        <v/>
      </c>
      <c r="O538" s="35">
        <f>XLOOKUP([@DeviceTypeID],tblDeviceTypeIDCrosswalk[LegacyDeviceTypeID],tblDeviceTypeIDCrosswalk[MappingStatus],"No Crosswalk")</f>
        <v/>
      </c>
      <c r="P538">
        <f>IF(OR([@ManufacturerMappingStatus]&lt;&gt;"Approved",[@DeviceFamilyMappingStatus]&lt;&gt;"Approved",[@DeviceTypeMappingStatus]&lt;&gt;"Approved"),"Manual Review Required","Approved Crosswalk Available")</f>
        <v/>
      </c>
      <c r="Q538" t="inlineStr">
        <is>
          <t>Pending Review</t>
        </is>
      </c>
    </row>
    <row r="539" ht="21.5" customHeight="1" s="42">
      <c r="A539" s="36" t="n"/>
      <c r="B539" s="35" t="n"/>
      <c r="C539" s="35" t="n"/>
      <c r="D539" s="35" t="n"/>
      <c r="E539" s="39" t="n"/>
      <c r="F539" s="39" t="n"/>
      <c r="G539" s="10" t="inlineStr">
        <is>
          <t>MOD000536</t>
        </is>
      </c>
      <c r="H539" s="14" t="inlineStr">
        <is>
          <t>MFG010</t>
        </is>
      </c>
      <c r="I539" s="14" t="inlineStr">
        <is>
          <t>DF-100</t>
        </is>
      </c>
      <c r="J539" s="14">
        <f>XLOOKUP([@ManufacturerID],tblManufacturerIDCrosswalk[LegacyManufacturerID],tblManufacturerIDCrosswalk[CanonicalManufacturerID],"")</f>
        <v/>
      </c>
      <c r="K539" s="7">
        <f>XLOOKUP([@DeviceFamilyID],tblDeviceFamilyIDCrosswalk[LegacyDeviceFamilyID],tblDeviceFamilyIDCrosswalk[CanonicalDeviceFamilyID],"")</f>
        <v/>
      </c>
      <c r="L539" s="7">
        <f>XLOOKUP([@DeviceTypeID],tblDeviceTypeIDCrosswalk[LegacyDeviceTypeID],tblDeviceTypeIDCrosswalk[CanonicalDeviceTypeID],"")</f>
        <v/>
      </c>
      <c r="M539" s="14">
        <f>XLOOKUP([@ManufacturerID],tblManufacturerIDCrosswalk[LegacyManufacturerID],tblManufacturerIDCrosswalk[MappingStatus],"No Crosswalk")</f>
        <v/>
      </c>
      <c r="N539" s="35">
        <f>XLOOKUP([@DeviceFamilyID],tblDeviceFamilyIDCrosswalk[LegacyDeviceFamilyID],tblDeviceFamilyIDCrosswalk[MappingStatus],"No Crosswalk")</f>
        <v/>
      </c>
      <c r="O539" s="35">
        <f>XLOOKUP([@DeviceTypeID],tblDeviceTypeIDCrosswalk[LegacyDeviceTypeID],tblDeviceTypeIDCrosswalk[MappingStatus],"No Crosswalk")</f>
        <v/>
      </c>
      <c r="P539">
        <f>IF(OR([@ManufacturerMappingStatus]&lt;&gt;"Approved",[@DeviceFamilyMappingStatus]&lt;&gt;"Approved",[@DeviceTypeMappingStatus]&lt;&gt;"Approved"),"Manual Review Required","Approved Crosswalk Available")</f>
        <v/>
      </c>
      <c r="Q539" t="inlineStr">
        <is>
          <t>Pending Review</t>
        </is>
      </c>
    </row>
    <row r="540" ht="21.5" customHeight="1" s="42">
      <c r="A540" s="36" t="n"/>
      <c r="B540" s="35" t="n"/>
      <c r="C540" s="35" t="n"/>
      <c r="D540" s="35" t="n"/>
      <c r="E540" s="39" t="n"/>
      <c r="F540" s="39" t="n"/>
      <c r="G540" s="10" t="inlineStr">
        <is>
          <t>MOD000537</t>
        </is>
      </c>
      <c r="H540" s="14" t="inlineStr">
        <is>
          <t>MFG010</t>
        </is>
      </c>
      <c r="I540" s="14" t="inlineStr">
        <is>
          <t>DF-101</t>
        </is>
      </c>
      <c r="J540" s="14">
        <f>XLOOKUP([@ManufacturerID],tblManufacturerIDCrosswalk[LegacyManufacturerID],tblManufacturerIDCrosswalk[CanonicalManufacturerID],"")</f>
        <v/>
      </c>
      <c r="K540" s="7">
        <f>XLOOKUP([@DeviceFamilyID],tblDeviceFamilyIDCrosswalk[LegacyDeviceFamilyID],tblDeviceFamilyIDCrosswalk[CanonicalDeviceFamilyID],"")</f>
        <v/>
      </c>
      <c r="L540" s="7">
        <f>XLOOKUP([@DeviceTypeID],tblDeviceTypeIDCrosswalk[LegacyDeviceTypeID],tblDeviceTypeIDCrosswalk[CanonicalDeviceTypeID],"")</f>
        <v/>
      </c>
      <c r="M540" s="14">
        <f>XLOOKUP([@ManufacturerID],tblManufacturerIDCrosswalk[LegacyManufacturerID],tblManufacturerIDCrosswalk[MappingStatus],"No Crosswalk")</f>
        <v/>
      </c>
      <c r="N540" s="35">
        <f>XLOOKUP([@DeviceFamilyID],tblDeviceFamilyIDCrosswalk[LegacyDeviceFamilyID],tblDeviceFamilyIDCrosswalk[MappingStatus],"No Crosswalk")</f>
        <v/>
      </c>
      <c r="O540" s="35">
        <f>XLOOKUP([@DeviceTypeID],tblDeviceTypeIDCrosswalk[LegacyDeviceTypeID],tblDeviceTypeIDCrosswalk[MappingStatus],"No Crosswalk")</f>
        <v/>
      </c>
      <c r="P540">
        <f>IF(OR([@ManufacturerMappingStatus]&lt;&gt;"Approved",[@DeviceFamilyMappingStatus]&lt;&gt;"Approved",[@DeviceTypeMappingStatus]&lt;&gt;"Approved"),"Manual Review Required","Approved Crosswalk Available")</f>
        <v/>
      </c>
      <c r="Q540" t="inlineStr">
        <is>
          <t>Pending Review</t>
        </is>
      </c>
    </row>
    <row r="541" ht="21.5" customHeight="1" s="42">
      <c r="A541" s="36" t="n"/>
      <c r="B541" s="35" t="n"/>
      <c r="C541" s="35" t="n"/>
      <c r="D541" s="35" t="n"/>
      <c r="E541" s="39" t="n"/>
      <c r="F541" s="39" t="n"/>
      <c r="G541" s="10" t="inlineStr">
        <is>
          <t>MOD000538</t>
        </is>
      </c>
      <c r="H541" s="14" t="inlineStr">
        <is>
          <t>MFG010</t>
        </is>
      </c>
      <c r="I541" s="14" t="inlineStr">
        <is>
          <t>DF-101</t>
        </is>
      </c>
      <c r="J541" s="14">
        <f>XLOOKUP([@ManufacturerID],tblManufacturerIDCrosswalk[LegacyManufacturerID],tblManufacturerIDCrosswalk[CanonicalManufacturerID],"")</f>
        <v/>
      </c>
      <c r="K541" s="7">
        <f>XLOOKUP([@DeviceFamilyID],tblDeviceFamilyIDCrosswalk[LegacyDeviceFamilyID],tblDeviceFamilyIDCrosswalk[CanonicalDeviceFamilyID],"")</f>
        <v/>
      </c>
      <c r="L541" s="7">
        <f>XLOOKUP([@DeviceTypeID],tblDeviceTypeIDCrosswalk[LegacyDeviceTypeID],tblDeviceTypeIDCrosswalk[CanonicalDeviceTypeID],"")</f>
        <v/>
      </c>
      <c r="M541" s="14">
        <f>XLOOKUP([@ManufacturerID],tblManufacturerIDCrosswalk[LegacyManufacturerID],tblManufacturerIDCrosswalk[MappingStatus],"No Crosswalk")</f>
        <v/>
      </c>
      <c r="N541" s="35">
        <f>XLOOKUP([@DeviceFamilyID],tblDeviceFamilyIDCrosswalk[LegacyDeviceFamilyID],tblDeviceFamilyIDCrosswalk[MappingStatus],"No Crosswalk")</f>
        <v/>
      </c>
      <c r="O541" s="35">
        <f>XLOOKUP([@DeviceTypeID],tblDeviceTypeIDCrosswalk[LegacyDeviceTypeID],tblDeviceTypeIDCrosswalk[MappingStatus],"No Crosswalk")</f>
        <v/>
      </c>
      <c r="P541">
        <f>IF(OR([@ManufacturerMappingStatus]&lt;&gt;"Approved",[@DeviceFamilyMappingStatus]&lt;&gt;"Approved",[@DeviceTypeMappingStatus]&lt;&gt;"Approved"),"Manual Review Required","Approved Crosswalk Available")</f>
        <v/>
      </c>
      <c r="Q541" t="inlineStr">
        <is>
          <t>Pending Review</t>
        </is>
      </c>
    </row>
    <row r="542" ht="21.5" customHeight="1" s="42">
      <c r="A542" s="36" t="n"/>
      <c r="B542" s="35" t="n"/>
      <c r="C542" s="35" t="n"/>
      <c r="D542" s="35" t="n"/>
      <c r="E542" s="39" t="n"/>
      <c r="F542" s="39" t="n"/>
      <c r="G542" s="10" t="inlineStr">
        <is>
          <t>MOD000539</t>
        </is>
      </c>
      <c r="H542" s="14" t="inlineStr">
        <is>
          <t>MFG010</t>
        </is>
      </c>
      <c r="I542" s="14" t="inlineStr">
        <is>
          <t>DF-102</t>
        </is>
      </c>
      <c r="J542" s="14">
        <f>XLOOKUP([@ManufacturerID],tblManufacturerIDCrosswalk[LegacyManufacturerID],tblManufacturerIDCrosswalk[CanonicalManufacturerID],"")</f>
        <v/>
      </c>
      <c r="K542" s="7">
        <f>XLOOKUP([@DeviceFamilyID],tblDeviceFamilyIDCrosswalk[LegacyDeviceFamilyID],tblDeviceFamilyIDCrosswalk[CanonicalDeviceFamilyID],"")</f>
        <v/>
      </c>
      <c r="L542" s="7">
        <f>XLOOKUP([@DeviceTypeID],tblDeviceTypeIDCrosswalk[LegacyDeviceTypeID],tblDeviceTypeIDCrosswalk[CanonicalDeviceTypeID],"")</f>
        <v/>
      </c>
      <c r="M542" s="14">
        <f>XLOOKUP([@ManufacturerID],tblManufacturerIDCrosswalk[LegacyManufacturerID],tblManufacturerIDCrosswalk[MappingStatus],"No Crosswalk")</f>
        <v/>
      </c>
      <c r="N542" s="35">
        <f>XLOOKUP([@DeviceFamilyID],tblDeviceFamilyIDCrosswalk[LegacyDeviceFamilyID],tblDeviceFamilyIDCrosswalk[MappingStatus],"No Crosswalk")</f>
        <v/>
      </c>
      <c r="O542" s="35">
        <f>XLOOKUP([@DeviceTypeID],tblDeviceTypeIDCrosswalk[LegacyDeviceTypeID],tblDeviceTypeIDCrosswalk[MappingStatus],"No Crosswalk")</f>
        <v/>
      </c>
      <c r="P542">
        <f>IF(OR([@ManufacturerMappingStatus]&lt;&gt;"Approved",[@DeviceFamilyMappingStatus]&lt;&gt;"Approved",[@DeviceTypeMappingStatus]&lt;&gt;"Approved"),"Manual Review Required","Approved Crosswalk Available")</f>
        <v/>
      </c>
      <c r="Q542" t="inlineStr">
        <is>
          <t>Pending Review</t>
        </is>
      </c>
    </row>
    <row r="543" ht="21.5" customHeight="1" s="42">
      <c r="A543" s="36" t="n"/>
      <c r="B543" s="35" t="n"/>
      <c r="C543" s="35" t="n"/>
      <c r="D543" s="35" t="n"/>
      <c r="E543" s="39" t="n"/>
      <c r="F543" s="39" t="n"/>
      <c r="G543" s="10" t="inlineStr">
        <is>
          <t>MOD000540</t>
        </is>
      </c>
      <c r="H543" s="14" t="inlineStr">
        <is>
          <t>MFG010</t>
        </is>
      </c>
      <c r="I543" s="14" t="inlineStr">
        <is>
          <t>DF-103</t>
        </is>
      </c>
      <c r="J543" s="14">
        <f>XLOOKUP([@ManufacturerID],tblManufacturerIDCrosswalk[LegacyManufacturerID],tblManufacturerIDCrosswalk[CanonicalManufacturerID],"")</f>
        <v/>
      </c>
      <c r="K543" s="7">
        <f>XLOOKUP([@DeviceFamilyID],tblDeviceFamilyIDCrosswalk[LegacyDeviceFamilyID],tblDeviceFamilyIDCrosswalk[CanonicalDeviceFamilyID],"")</f>
        <v/>
      </c>
      <c r="L543" s="7">
        <f>XLOOKUP([@DeviceTypeID],tblDeviceTypeIDCrosswalk[LegacyDeviceTypeID],tblDeviceTypeIDCrosswalk[CanonicalDeviceTypeID],"")</f>
        <v/>
      </c>
      <c r="M543" s="14">
        <f>XLOOKUP([@ManufacturerID],tblManufacturerIDCrosswalk[LegacyManufacturerID],tblManufacturerIDCrosswalk[MappingStatus],"No Crosswalk")</f>
        <v/>
      </c>
      <c r="N543" s="35">
        <f>XLOOKUP([@DeviceFamilyID],tblDeviceFamilyIDCrosswalk[LegacyDeviceFamilyID],tblDeviceFamilyIDCrosswalk[MappingStatus],"No Crosswalk")</f>
        <v/>
      </c>
      <c r="O543" s="35">
        <f>XLOOKUP([@DeviceTypeID],tblDeviceTypeIDCrosswalk[LegacyDeviceTypeID],tblDeviceTypeIDCrosswalk[MappingStatus],"No Crosswalk")</f>
        <v/>
      </c>
      <c r="P543">
        <f>IF(OR([@ManufacturerMappingStatus]&lt;&gt;"Approved",[@DeviceFamilyMappingStatus]&lt;&gt;"Approved",[@DeviceTypeMappingStatus]&lt;&gt;"Approved"),"Manual Review Required","Approved Crosswalk Available")</f>
        <v/>
      </c>
      <c r="Q543" t="inlineStr">
        <is>
          <t>Pending Review</t>
        </is>
      </c>
    </row>
    <row r="544" ht="21.5" customHeight="1" s="42">
      <c r="A544" s="36" t="n"/>
      <c r="B544" s="35" t="n"/>
      <c r="C544" s="35" t="n"/>
      <c r="D544" s="35" t="n"/>
      <c r="E544" s="39" t="n"/>
      <c r="F544" s="39" t="n"/>
      <c r="G544" s="10" t="inlineStr">
        <is>
          <t>MOD000541</t>
        </is>
      </c>
      <c r="H544" s="14" t="inlineStr">
        <is>
          <t>MFG010</t>
        </is>
      </c>
      <c r="I544" s="14" t="inlineStr">
        <is>
          <t>DF-104</t>
        </is>
      </c>
      <c r="J544" s="14">
        <f>XLOOKUP([@ManufacturerID],tblManufacturerIDCrosswalk[LegacyManufacturerID],tblManufacturerIDCrosswalk[CanonicalManufacturerID],"")</f>
        <v/>
      </c>
      <c r="K544" s="7">
        <f>XLOOKUP([@DeviceFamilyID],tblDeviceFamilyIDCrosswalk[LegacyDeviceFamilyID],tblDeviceFamilyIDCrosswalk[CanonicalDeviceFamilyID],"")</f>
        <v/>
      </c>
      <c r="L544" s="7">
        <f>XLOOKUP([@DeviceTypeID],tblDeviceTypeIDCrosswalk[LegacyDeviceTypeID],tblDeviceTypeIDCrosswalk[CanonicalDeviceTypeID],"")</f>
        <v/>
      </c>
      <c r="M544" s="14">
        <f>XLOOKUP([@ManufacturerID],tblManufacturerIDCrosswalk[LegacyManufacturerID],tblManufacturerIDCrosswalk[MappingStatus],"No Crosswalk")</f>
        <v/>
      </c>
      <c r="N544" s="35">
        <f>XLOOKUP([@DeviceFamilyID],tblDeviceFamilyIDCrosswalk[LegacyDeviceFamilyID],tblDeviceFamilyIDCrosswalk[MappingStatus],"No Crosswalk")</f>
        <v/>
      </c>
      <c r="O544" s="35">
        <f>XLOOKUP([@DeviceTypeID],tblDeviceTypeIDCrosswalk[LegacyDeviceTypeID],tblDeviceTypeIDCrosswalk[MappingStatus],"No Crosswalk")</f>
        <v/>
      </c>
      <c r="P544">
        <f>IF(OR([@ManufacturerMappingStatus]&lt;&gt;"Approved",[@DeviceFamilyMappingStatus]&lt;&gt;"Approved",[@DeviceTypeMappingStatus]&lt;&gt;"Approved"),"Manual Review Required","Approved Crosswalk Available")</f>
        <v/>
      </c>
      <c r="Q544" t="inlineStr">
        <is>
          <t>Pending Review</t>
        </is>
      </c>
    </row>
    <row r="545" ht="21.5" customHeight="1" s="42">
      <c r="A545" s="36" t="n"/>
      <c r="B545" s="35" t="n"/>
      <c r="C545" s="35" t="n"/>
      <c r="D545" s="35" t="n"/>
      <c r="E545" s="39" t="n"/>
      <c r="F545" s="39" t="n"/>
      <c r="G545" s="10" t="inlineStr">
        <is>
          <t>MOD000542</t>
        </is>
      </c>
      <c r="H545" s="14" t="inlineStr">
        <is>
          <t>MFG010</t>
        </is>
      </c>
      <c r="I545" s="14" t="inlineStr">
        <is>
          <t>DF-105</t>
        </is>
      </c>
      <c r="J545" s="14">
        <f>XLOOKUP([@ManufacturerID],tblManufacturerIDCrosswalk[LegacyManufacturerID],tblManufacturerIDCrosswalk[CanonicalManufacturerID],"")</f>
        <v/>
      </c>
      <c r="K545" s="7">
        <f>XLOOKUP([@DeviceFamilyID],tblDeviceFamilyIDCrosswalk[LegacyDeviceFamilyID],tblDeviceFamilyIDCrosswalk[CanonicalDeviceFamilyID],"")</f>
        <v/>
      </c>
      <c r="L545" s="7">
        <f>XLOOKUP([@DeviceTypeID],tblDeviceTypeIDCrosswalk[LegacyDeviceTypeID],tblDeviceTypeIDCrosswalk[CanonicalDeviceTypeID],"")</f>
        <v/>
      </c>
      <c r="M545" s="14">
        <f>XLOOKUP([@ManufacturerID],tblManufacturerIDCrosswalk[LegacyManufacturerID],tblManufacturerIDCrosswalk[MappingStatus],"No Crosswalk")</f>
        <v/>
      </c>
      <c r="N545" s="35">
        <f>XLOOKUP([@DeviceFamilyID],tblDeviceFamilyIDCrosswalk[LegacyDeviceFamilyID],tblDeviceFamilyIDCrosswalk[MappingStatus],"No Crosswalk")</f>
        <v/>
      </c>
      <c r="O545" s="35">
        <f>XLOOKUP([@DeviceTypeID],tblDeviceTypeIDCrosswalk[LegacyDeviceTypeID],tblDeviceTypeIDCrosswalk[MappingStatus],"No Crosswalk")</f>
        <v/>
      </c>
      <c r="P545">
        <f>IF(OR([@ManufacturerMappingStatus]&lt;&gt;"Approved",[@DeviceFamilyMappingStatus]&lt;&gt;"Approved",[@DeviceTypeMappingStatus]&lt;&gt;"Approved"),"Manual Review Required","Approved Crosswalk Available")</f>
        <v/>
      </c>
      <c r="Q545" t="inlineStr">
        <is>
          <t>Pending Review</t>
        </is>
      </c>
    </row>
    <row r="546" ht="21.5" customHeight="1" s="42">
      <c r="A546" s="36" t="n"/>
      <c r="B546" s="35" t="n"/>
      <c r="C546" s="35" t="n"/>
      <c r="D546" s="35" t="n"/>
      <c r="E546" s="39" t="n"/>
      <c r="F546" s="39" t="n"/>
      <c r="G546" s="10" t="inlineStr">
        <is>
          <t>MOD000543</t>
        </is>
      </c>
      <c r="H546" s="14" t="inlineStr">
        <is>
          <t>MFG010</t>
        </is>
      </c>
      <c r="I546" s="14" t="inlineStr">
        <is>
          <t>DF-106</t>
        </is>
      </c>
      <c r="J546" s="14">
        <f>XLOOKUP([@ManufacturerID],tblManufacturerIDCrosswalk[LegacyManufacturerID],tblManufacturerIDCrosswalk[CanonicalManufacturerID],"")</f>
        <v/>
      </c>
      <c r="K546" s="7">
        <f>XLOOKUP([@DeviceFamilyID],tblDeviceFamilyIDCrosswalk[LegacyDeviceFamilyID],tblDeviceFamilyIDCrosswalk[CanonicalDeviceFamilyID],"")</f>
        <v/>
      </c>
      <c r="L546" s="7">
        <f>XLOOKUP([@DeviceTypeID],tblDeviceTypeIDCrosswalk[LegacyDeviceTypeID],tblDeviceTypeIDCrosswalk[CanonicalDeviceTypeID],"")</f>
        <v/>
      </c>
      <c r="M546" s="14">
        <f>XLOOKUP([@ManufacturerID],tblManufacturerIDCrosswalk[LegacyManufacturerID],tblManufacturerIDCrosswalk[MappingStatus],"No Crosswalk")</f>
        <v/>
      </c>
      <c r="N546" s="35">
        <f>XLOOKUP([@DeviceFamilyID],tblDeviceFamilyIDCrosswalk[LegacyDeviceFamilyID],tblDeviceFamilyIDCrosswalk[MappingStatus],"No Crosswalk")</f>
        <v/>
      </c>
      <c r="O546" s="35">
        <f>XLOOKUP([@DeviceTypeID],tblDeviceTypeIDCrosswalk[LegacyDeviceTypeID],tblDeviceTypeIDCrosswalk[MappingStatus],"No Crosswalk")</f>
        <v/>
      </c>
      <c r="P546">
        <f>IF(OR([@ManufacturerMappingStatus]&lt;&gt;"Approved",[@DeviceFamilyMappingStatus]&lt;&gt;"Approved",[@DeviceTypeMappingStatus]&lt;&gt;"Approved"),"Manual Review Required","Approved Crosswalk Available")</f>
        <v/>
      </c>
      <c r="Q546" t="inlineStr">
        <is>
          <t>Pending Review</t>
        </is>
      </c>
    </row>
    <row r="547" ht="21.5" customHeight="1" s="42">
      <c r="A547" s="36" t="n"/>
      <c r="B547" s="35" t="n"/>
      <c r="C547" s="35" t="n"/>
      <c r="D547" s="35" t="n"/>
      <c r="E547" s="39" t="n"/>
      <c r="F547" s="39" t="n"/>
      <c r="G547" s="10" t="inlineStr">
        <is>
          <t>MOD000544</t>
        </is>
      </c>
      <c r="H547" s="14" t="inlineStr">
        <is>
          <t>MFG011</t>
        </is>
      </c>
      <c r="I547" s="14" t="inlineStr">
        <is>
          <t>DF-110</t>
        </is>
      </c>
      <c r="J547" s="14">
        <f>XLOOKUP([@ManufacturerID],tblManufacturerIDCrosswalk[LegacyManufacturerID],tblManufacturerIDCrosswalk[CanonicalManufacturerID],"")</f>
        <v/>
      </c>
      <c r="K547" s="7">
        <f>XLOOKUP([@DeviceFamilyID],tblDeviceFamilyIDCrosswalk[LegacyDeviceFamilyID],tblDeviceFamilyIDCrosswalk[CanonicalDeviceFamilyID],"")</f>
        <v/>
      </c>
      <c r="L547" s="7">
        <f>XLOOKUP([@DeviceTypeID],tblDeviceTypeIDCrosswalk[LegacyDeviceTypeID],tblDeviceTypeIDCrosswalk[CanonicalDeviceTypeID],"")</f>
        <v/>
      </c>
      <c r="M547" s="14">
        <f>XLOOKUP([@ManufacturerID],tblManufacturerIDCrosswalk[LegacyManufacturerID],tblManufacturerIDCrosswalk[MappingStatus],"No Crosswalk")</f>
        <v/>
      </c>
      <c r="N547" s="35">
        <f>XLOOKUP([@DeviceFamilyID],tblDeviceFamilyIDCrosswalk[LegacyDeviceFamilyID],tblDeviceFamilyIDCrosswalk[MappingStatus],"No Crosswalk")</f>
        <v/>
      </c>
      <c r="O547" s="35">
        <f>XLOOKUP([@DeviceTypeID],tblDeviceTypeIDCrosswalk[LegacyDeviceTypeID],tblDeviceTypeIDCrosswalk[MappingStatus],"No Crosswalk")</f>
        <v/>
      </c>
      <c r="P547">
        <f>IF(OR([@ManufacturerMappingStatus]&lt;&gt;"Approved",[@DeviceFamilyMappingStatus]&lt;&gt;"Approved",[@DeviceTypeMappingStatus]&lt;&gt;"Approved"),"Manual Review Required","Approved Crosswalk Available")</f>
        <v/>
      </c>
      <c r="Q547" t="inlineStr">
        <is>
          <t>Pending Review</t>
        </is>
      </c>
    </row>
    <row r="548" ht="21.5" customHeight="1" s="42">
      <c r="A548" s="36" t="n"/>
      <c r="B548" s="35" t="n"/>
      <c r="C548" s="35" t="n"/>
      <c r="D548" s="35" t="n"/>
      <c r="E548" s="39" t="n"/>
      <c r="F548" s="39" t="n"/>
      <c r="G548" s="10" t="inlineStr">
        <is>
          <t>MOD000545</t>
        </is>
      </c>
      <c r="H548" s="14" t="inlineStr">
        <is>
          <t>MFG011</t>
        </is>
      </c>
      <c r="I548" s="14" t="inlineStr">
        <is>
          <t>DF-110</t>
        </is>
      </c>
      <c r="J548" s="14">
        <f>XLOOKUP([@ManufacturerID],tblManufacturerIDCrosswalk[LegacyManufacturerID],tblManufacturerIDCrosswalk[CanonicalManufacturerID],"")</f>
        <v/>
      </c>
      <c r="K548" s="7">
        <f>XLOOKUP([@DeviceFamilyID],tblDeviceFamilyIDCrosswalk[LegacyDeviceFamilyID],tblDeviceFamilyIDCrosswalk[CanonicalDeviceFamilyID],"")</f>
        <v/>
      </c>
      <c r="L548" s="7">
        <f>XLOOKUP([@DeviceTypeID],tblDeviceTypeIDCrosswalk[LegacyDeviceTypeID],tblDeviceTypeIDCrosswalk[CanonicalDeviceTypeID],"")</f>
        <v/>
      </c>
      <c r="M548" s="14">
        <f>XLOOKUP([@ManufacturerID],tblManufacturerIDCrosswalk[LegacyManufacturerID],tblManufacturerIDCrosswalk[MappingStatus],"No Crosswalk")</f>
        <v/>
      </c>
      <c r="N548" s="35">
        <f>XLOOKUP([@DeviceFamilyID],tblDeviceFamilyIDCrosswalk[LegacyDeviceFamilyID],tblDeviceFamilyIDCrosswalk[MappingStatus],"No Crosswalk")</f>
        <v/>
      </c>
      <c r="O548" s="35">
        <f>XLOOKUP([@DeviceTypeID],tblDeviceTypeIDCrosswalk[LegacyDeviceTypeID],tblDeviceTypeIDCrosswalk[MappingStatus],"No Crosswalk")</f>
        <v/>
      </c>
      <c r="P548">
        <f>IF(OR([@ManufacturerMappingStatus]&lt;&gt;"Approved",[@DeviceFamilyMappingStatus]&lt;&gt;"Approved",[@DeviceTypeMappingStatus]&lt;&gt;"Approved"),"Manual Review Required","Approved Crosswalk Available")</f>
        <v/>
      </c>
      <c r="Q548" t="inlineStr">
        <is>
          <t>Pending Review</t>
        </is>
      </c>
    </row>
    <row r="549" ht="21.5" customHeight="1" s="42">
      <c r="A549" s="36" t="n"/>
      <c r="B549" s="35" t="n"/>
      <c r="C549" s="35" t="n"/>
      <c r="D549" s="35" t="n"/>
      <c r="E549" s="39" t="n"/>
      <c r="F549" s="39" t="n"/>
      <c r="G549" s="10" t="inlineStr">
        <is>
          <t>MOD000546</t>
        </is>
      </c>
      <c r="H549" s="14" t="inlineStr">
        <is>
          <t>MFG011</t>
        </is>
      </c>
      <c r="I549" s="14" t="inlineStr">
        <is>
          <t>DF-110</t>
        </is>
      </c>
      <c r="J549" s="14">
        <f>XLOOKUP([@ManufacturerID],tblManufacturerIDCrosswalk[LegacyManufacturerID],tblManufacturerIDCrosswalk[CanonicalManufacturerID],"")</f>
        <v/>
      </c>
      <c r="K549" s="7">
        <f>XLOOKUP([@DeviceFamilyID],tblDeviceFamilyIDCrosswalk[LegacyDeviceFamilyID],tblDeviceFamilyIDCrosswalk[CanonicalDeviceFamilyID],"")</f>
        <v/>
      </c>
      <c r="L549" s="7">
        <f>XLOOKUP([@DeviceTypeID],tblDeviceTypeIDCrosswalk[LegacyDeviceTypeID],tblDeviceTypeIDCrosswalk[CanonicalDeviceTypeID],"")</f>
        <v/>
      </c>
      <c r="M549" s="14">
        <f>XLOOKUP([@ManufacturerID],tblManufacturerIDCrosswalk[LegacyManufacturerID],tblManufacturerIDCrosswalk[MappingStatus],"No Crosswalk")</f>
        <v/>
      </c>
      <c r="N549" s="35">
        <f>XLOOKUP([@DeviceFamilyID],tblDeviceFamilyIDCrosswalk[LegacyDeviceFamilyID],tblDeviceFamilyIDCrosswalk[MappingStatus],"No Crosswalk")</f>
        <v/>
      </c>
      <c r="O549" s="35">
        <f>XLOOKUP([@DeviceTypeID],tblDeviceTypeIDCrosswalk[LegacyDeviceTypeID],tblDeviceTypeIDCrosswalk[MappingStatus],"No Crosswalk")</f>
        <v/>
      </c>
      <c r="P549">
        <f>IF(OR([@ManufacturerMappingStatus]&lt;&gt;"Approved",[@DeviceFamilyMappingStatus]&lt;&gt;"Approved",[@DeviceTypeMappingStatus]&lt;&gt;"Approved"),"Manual Review Required","Approved Crosswalk Available")</f>
        <v/>
      </c>
      <c r="Q549" t="inlineStr">
        <is>
          <t>Pending Review</t>
        </is>
      </c>
    </row>
    <row r="550" ht="21.5" customHeight="1" s="42">
      <c r="A550" s="36" t="n"/>
      <c r="B550" s="35" t="n"/>
      <c r="C550" s="35" t="n"/>
      <c r="D550" s="35" t="n"/>
      <c r="E550" s="39" t="n"/>
      <c r="F550" s="39" t="n"/>
      <c r="G550" s="10" t="inlineStr">
        <is>
          <t>MOD000547</t>
        </is>
      </c>
      <c r="H550" s="14" t="inlineStr">
        <is>
          <t>MFG011</t>
        </is>
      </c>
      <c r="I550" s="14" t="inlineStr">
        <is>
          <t>DF-111</t>
        </is>
      </c>
      <c r="J550" s="14">
        <f>XLOOKUP([@ManufacturerID],tblManufacturerIDCrosswalk[LegacyManufacturerID],tblManufacturerIDCrosswalk[CanonicalManufacturerID],"")</f>
        <v/>
      </c>
      <c r="K550" s="7">
        <f>XLOOKUP([@DeviceFamilyID],tblDeviceFamilyIDCrosswalk[LegacyDeviceFamilyID],tblDeviceFamilyIDCrosswalk[CanonicalDeviceFamilyID],"")</f>
        <v/>
      </c>
      <c r="L550" s="7">
        <f>XLOOKUP([@DeviceTypeID],tblDeviceTypeIDCrosswalk[LegacyDeviceTypeID],tblDeviceTypeIDCrosswalk[CanonicalDeviceTypeID],"")</f>
        <v/>
      </c>
      <c r="M550" s="14">
        <f>XLOOKUP([@ManufacturerID],tblManufacturerIDCrosswalk[LegacyManufacturerID],tblManufacturerIDCrosswalk[MappingStatus],"No Crosswalk")</f>
        <v/>
      </c>
      <c r="N550" s="35">
        <f>XLOOKUP([@DeviceFamilyID],tblDeviceFamilyIDCrosswalk[LegacyDeviceFamilyID],tblDeviceFamilyIDCrosswalk[MappingStatus],"No Crosswalk")</f>
        <v/>
      </c>
      <c r="O550" s="35">
        <f>XLOOKUP([@DeviceTypeID],tblDeviceTypeIDCrosswalk[LegacyDeviceTypeID],tblDeviceTypeIDCrosswalk[MappingStatus],"No Crosswalk")</f>
        <v/>
      </c>
      <c r="P550">
        <f>IF(OR([@ManufacturerMappingStatus]&lt;&gt;"Approved",[@DeviceFamilyMappingStatus]&lt;&gt;"Approved",[@DeviceTypeMappingStatus]&lt;&gt;"Approved"),"Manual Review Required","Approved Crosswalk Available")</f>
        <v/>
      </c>
      <c r="Q550" t="inlineStr">
        <is>
          <t>Pending Review</t>
        </is>
      </c>
    </row>
    <row r="551" ht="21.5" customHeight="1" s="42">
      <c r="A551" s="36" t="n"/>
      <c r="B551" s="35" t="n"/>
      <c r="C551" s="35" t="n"/>
      <c r="D551" s="35" t="n"/>
      <c r="E551" s="39" t="n"/>
      <c r="F551" s="39" t="n"/>
      <c r="G551" s="10" t="inlineStr">
        <is>
          <t>MOD000548</t>
        </is>
      </c>
      <c r="H551" s="14" t="inlineStr">
        <is>
          <t>MFG011</t>
        </is>
      </c>
      <c r="I551" s="14" t="inlineStr">
        <is>
          <t>DF-111</t>
        </is>
      </c>
      <c r="J551" s="14">
        <f>XLOOKUP([@ManufacturerID],tblManufacturerIDCrosswalk[LegacyManufacturerID],tblManufacturerIDCrosswalk[CanonicalManufacturerID],"")</f>
        <v/>
      </c>
      <c r="K551" s="7">
        <f>XLOOKUP([@DeviceFamilyID],tblDeviceFamilyIDCrosswalk[LegacyDeviceFamilyID],tblDeviceFamilyIDCrosswalk[CanonicalDeviceFamilyID],"")</f>
        <v/>
      </c>
      <c r="L551" s="7">
        <f>XLOOKUP([@DeviceTypeID],tblDeviceTypeIDCrosswalk[LegacyDeviceTypeID],tblDeviceTypeIDCrosswalk[CanonicalDeviceTypeID],"")</f>
        <v/>
      </c>
      <c r="M551" s="14">
        <f>XLOOKUP([@ManufacturerID],tblManufacturerIDCrosswalk[LegacyManufacturerID],tblManufacturerIDCrosswalk[MappingStatus],"No Crosswalk")</f>
        <v/>
      </c>
      <c r="N551" s="35">
        <f>XLOOKUP([@DeviceFamilyID],tblDeviceFamilyIDCrosswalk[LegacyDeviceFamilyID],tblDeviceFamilyIDCrosswalk[MappingStatus],"No Crosswalk")</f>
        <v/>
      </c>
      <c r="O551" s="35">
        <f>XLOOKUP([@DeviceTypeID],tblDeviceTypeIDCrosswalk[LegacyDeviceTypeID],tblDeviceTypeIDCrosswalk[MappingStatus],"No Crosswalk")</f>
        <v/>
      </c>
      <c r="P551">
        <f>IF(OR([@ManufacturerMappingStatus]&lt;&gt;"Approved",[@DeviceFamilyMappingStatus]&lt;&gt;"Approved",[@DeviceTypeMappingStatus]&lt;&gt;"Approved"),"Manual Review Required","Approved Crosswalk Available")</f>
        <v/>
      </c>
      <c r="Q551" t="inlineStr">
        <is>
          <t>Pending Review</t>
        </is>
      </c>
    </row>
    <row r="552" ht="21.5" customHeight="1" s="42">
      <c r="A552" s="36" t="n"/>
      <c r="B552" s="35" t="n"/>
      <c r="C552" s="35" t="n"/>
      <c r="D552" s="35" t="n"/>
      <c r="E552" s="39" t="n"/>
      <c r="F552" s="39" t="n"/>
      <c r="G552" s="10" t="inlineStr">
        <is>
          <t>MOD000549</t>
        </is>
      </c>
      <c r="H552" s="14" t="inlineStr">
        <is>
          <t>MFG011</t>
        </is>
      </c>
      <c r="I552" s="14" t="inlineStr">
        <is>
          <t>DF-112</t>
        </is>
      </c>
      <c r="J552" s="14">
        <f>XLOOKUP([@ManufacturerID],tblManufacturerIDCrosswalk[LegacyManufacturerID],tblManufacturerIDCrosswalk[CanonicalManufacturerID],"")</f>
        <v/>
      </c>
      <c r="K552" s="7">
        <f>XLOOKUP([@DeviceFamilyID],tblDeviceFamilyIDCrosswalk[LegacyDeviceFamilyID],tblDeviceFamilyIDCrosswalk[CanonicalDeviceFamilyID],"")</f>
        <v/>
      </c>
      <c r="L552" s="7">
        <f>XLOOKUP([@DeviceTypeID],tblDeviceTypeIDCrosswalk[LegacyDeviceTypeID],tblDeviceTypeIDCrosswalk[CanonicalDeviceTypeID],"")</f>
        <v/>
      </c>
      <c r="M552" s="14">
        <f>XLOOKUP([@ManufacturerID],tblManufacturerIDCrosswalk[LegacyManufacturerID],tblManufacturerIDCrosswalk[MappingStatus],"No Crosswalk")</f>
        <v/>
      </c>
      <c r="N552" s="35">
        <f>XLOOKUP([@DeviceFamilyID],tblDeviceFamilyIDCrosswalk[LegacyDeviceFamilyID],tblDeviceFamilyIDCrosswalk[MappingStatus],"No Crosswalk")</f>
        <v/>
      </c>
      <c r="O552" s="35">
        <f>XLOOKUP([@DeviceTypeID],tblDeviceTypeIDCrosswalk[LegacyDeviceTypeID],tblDeviceTypeIDCrosswalk[MappingStatus],"No Crosswalk")</f>
        <v/>
      </c>
      <c r="P552">
        <f>IF(OR([@ManufacturerMappingStatus]&lt;&gt;"Approved",[@DeviceFamilyMappingStatus]&lt;&gt;"Approved",[@DeviceTypeMappingStatus]&lt;&gt;"Approved"),"Manual Review Required","Approved Crosswalk Available")</f>
        <v/>
      </c>
      <c r="Q552" t="inlineStr">
        <is>
          <t>Pending Review</t>
        </is>
      </c>
    </row>
    <row r="553" ht="21.5" customHeight="1" s="42">
      <c r="A553" s="36" t="n"/>
      <c r="B553" s="35" t="n"/>
      <c r="C553" s="35" t="n"/>
      <c r="D553" s="35" t="n"/>
      <c r="E553" s="39" t="n"/>
      <c r="F553" s="39" t="n"/>
      <c r="G553" s="10" t="inlineStr">
        <is>
          <t>MOD000550</t>
        </is>
      </c>
      <c r="H553" s="14" t="inlineStr">
        <is>
          <t>MFG011</t>
        </is>
      </c>
      <c r="I553" s="14" t="inlineStr">
        <is>
          <t>DF-112</t>
        </is>
      </c>
      <c r="J553" s="14">
        <f>XLOOKUP([@ManufacturerID],tblManufacturerIDCrosswalk[LegacyManufacturerID],tblManufacturerIDCrosswalk[CanonicalManufacturerID],"")</f>
        <v/>
      </c>
      <c r="K553" s="7">
        <f>XLOOKUP([@DeviceFamilyID],tblDeviceFamilyIDCrosswalk[LegacyDeviceFamilyID],tblDeviceFamilyIDCrosswalk[CanonicalDeviceFamilyID],"")</f>
        <v/>
      </c>
      <c r="L553" s="7">
        <f>XLOOKUP([@DeviceTypeID],tblDeviceTypeIDCrosswalk[LegacyDeviceTypeID],tblDeviceTypeIDCrosswalk[CanonicalDeviceTypeID],"")</f>
        <v/>
      </c>
      <c r="M553" s="14">
        <f>XLOOKUP([@ManufacturerID],tblManufacturerIDCrosswalk[LegacyManufacturerID],tblManufacturerIDCrosswalk[MappingStatus],"No Crosswalk")</f>
        <v/>
      </c>
      <c r="N553" s="35">
        <f>XLOOKUP([@DeviceFamilyID],tblDeviceFamilyIDCrosswalk[LegacyDeviceFamilyID],tblDeviceFamilyIDCrosswalk[MappingStatus],"No Crosswalk")</f>
        <v/>
      </c>
      <c r="O553" s="35">
        <f>XLOOKUP([@DeviceTypeID],tblDeviceTypeIDCrosswalk[LegacyDeviceTypeID],tblDeviceTypeIDCrosswalk[MappingStatus],"No Crosswalk")</f>
        <v/>
      </c>
      <c r="P553">
        <f>IF(OR([@ManufacturerMappingStatus]&lt;&gt;"Approved",[@DeviceFamilyMappingStatus]&lt;&gt;"Approved",[@DeviceTypeMappingStatus]&lt;&gt;"Approved"),"Manual Review Required","Approved Crosswalk Available")</f>
        <v/>
      </c>
      <c r="Q553" t="inlineStr">
        <is>
          <t>Pending Review</t>
        </is>
      </c>
    </row>
    <row r="554" ht="21.5" customHeight="1" s="42">
      <c r="A554" s="36" t="n"/>
      <c r="B554" s="35" t="n"/>
      <c r="C554" s="35" t="n"/>
      <c r="D554" s="35" t="n"/>
      <c r="E554" s="39" t="n"/>
      <c r="F554" s="39" t="n"/>
      <c r="G554" s="10" t="inlineStr">
        <is>
          <t>MOD000551</t>
        </is>
      </c>
      <c r="H554" s="14" t="inlineStr">
        <is>
          <t>MFG011</t>
        </is>
      </c>
      <c r="I554" s="14" t="inlineStr">
        <is>
          <t>DF-112</t>
        </is>
      </c>
      <c r="J554" s="14">
        <f>XLOOKUP([@ManufacturerID],tblManufacturerIDCrosswalk[LegacyManufacturerID],tblManufacturerIDCrosswalk[CanonicalManufacturerID],"")</f>
        <v/>
      </c>
      <c r="K554" s="7">
        <f>XLOOKUP([@DeviceFamilyID],tblDeviceFamilyIDCrosswalk[LegacyDeviceFamilyID],tblDeviceFamilyIDCrosswalk[CanonicalDeviceFamilyID],"")</f>
        <v/>
      </c>
      <c r="L554" s="7">
        <f>XLOOKUP([@DeviceTypeID],tblDeviceTypeIDCrosswalk[LegacyDeviceTypeID],tblDeviceTypeIDCrosswalk[CanonicalDeviceTypeID],"")</f>
        <v/>
      </c>
      <c r="M554" s="14">
        <f>XLOOKUP([@ManufacturerID],tblManufacturerIDCrosswalk[LegacyManufacturerID],tblManufacturerIDCrosswalk[MappingStatus],"No Crosswalk")</f>
        <v/>
      </c>
      <c r="N554" s="35">
        <f>XLOOKUP([@DeviceFamilyID],tblDeviceFamilyIDCrosswalk[LegacyDeviceFamilyID],tblDeviceFamilyIDCrosswalk[MappingStatus],"No Crosswalk")</f>
        <v/>
      </c>
      <c r="O554" s="35">
        <f>XLOOKUP([@DeviceTypeID],tblDeviceTypeIDCrosswalk[LegacyDeviceTypeID],tblDeviceTypeIDCrosswalk[MappingStatus],"No Crosswalk")</f>
        <v/>
      </c>
      <c r="P554">
        <f>IF(OR([@ManufacturerMappingStatus]&lt;&gt;"Approved",[@DeviceFamilyMappingStatus]&lt;&gt;"Approved",[@DeviceTypeMappingStatus]&lt;&gt;"Approved"),"Manual Review Required","Approved Crosswalk Available")</f>
        <v/>
      </c>
      <c r="Q554" t="inlineStr">
        <is>
          <t>Pending Review</t>
        </is>
      </c>
    </row>
    <row r="555" ht="21.5" customHeight="1" s="42">
      <c r="A555" s="36" t="n"/>
      <c r="B555" s="35" t="n"/>
      <c r="C555" s="35" t="n"/>
      <c r="D555" s="35" t="n"/>
      <c r="E555" s="39" t="n"/>
      <c r="F555" s="39" t="n"/>
      <c r="G555" s="10" t="inlineStr">
        <is>
          <t>MOD000552</t>
        </is>
      </c>
      <c r="H555" s="14" t="inlineStr">
        <is>
          <t>MFG011</t>
        </is>
      </c>
      <c r="I555" s="14" t="inlineStr">
        <is>
          <t>DF-113</t>
        </is>
      </c>
      <c r="J555" s="14">
        <f>XLOOKUP([@ManufacturerID],tblManufacturerIDCrosswalk[LegacyManufacturerID],tblManufacturerIDCrosswalk[CanonicalManufacturerID],"")</f>
        <v/>
      </c>
      <c r="K555" s="7">
        <f>XLOOKUP([@DeviceFamilyID],tblDeviceFamilyIDCrosswalk[LegacyDeviceFamilyID],tblDeviceFamilyIDCrosswalk[CanonicalDeviceFamilyID],"")</f>
        <v/>
      </c>
      <c r="L555" s="7">
        <f>XLOOKUP([@DeviceTypeID],tblDeviceTypeIDCrosswalk[LegacyDeviceTypeID],tblDeviceTypeIDCrosswalk[CanonicalDeviceTypeID],"")</f>
        <v/>
      </c>
      <c r="M555" s="14">
        <f>XLOOKUP([@ManufacturerID],tblManufacturerIDCrosswalk[LegacyManufacturerID],tblManufacturerIDCrosswalk[MappingStatus],"No Crosswalk")</f>
        <v/>
      </c>
      <c r="N555" s="35">
        <f>XLOOKUP([@DeviceFamilyID],tblDeviceFamilyIDCrosswalk[LegacyDeviceFamilyID],tblDeviceFamilyIDCrosswalk[MappingStatus],"No Crosswalk")</f>
        <v/>
      </c>
      <c r="O555" s="35">
        <f>XLOOKUP([@DeviceTypeID],tblDeviceTypeIDCrosswalk[LegacyDeviceTypeID],tblDeviceTypeIDCrosswalk[MappingStatus],"No Crosswalk")</f>
        <v/>
      </c>
      <c r="P555">
        <f>IF(OR([@ManufacturerMappingStatus]&lt;&gt;"Approved",[@DeviceFamilyMappingStatus]&lt;&gt;"Approved",[@DeviceTypeMappingStatus]&lt;&gt;"Approved"),"Manual Review Required","Approved Crosswalk Available")</f>
        <v/>
      </c>
      <c r="Q555" t="inlineStr">
        <is>
          <t>Pending Review</t>
        </is>
      </c>
    </row>
    <row r="556" ht="21.5" customHeight="1" s="42">
      <c r="A556" s="36" t="n"/>
      <c r="B556" s="35" t="n"/>
      <c r="C556" s="35" t="n"/>
      <c r="D556" s="35" t="n"/>
      <c r="E556" s="39" t="n"/>
      <c r="F556" s="39" t="n"/>
      <c r="G556" s="10" t="inlineStr">
        <is>
          <t>MOD000553</t>
        </is>
      </c>
      <c r="H556" s="14" t="inlineStr">
        <is>
          <t>MFG011</t>
        </is>
      </c>
      <c r="I556" s="14" t="inlineStr">
        <is>
          <t>DF-113</t>
        </is>
      </c>
      <c r="J556" s="14">
        <f>XLOOKUP([@ManufacturerID],tblManufacturerIDCrosswalk[LegacyManufacturerID],tblManufacturerIDCrosswalk[CanonicalManufacturerID],"")</f>
        <v/>
      </c>
      <c r="K556" s="7">
        <f>XLOOKUP([@DeviceFamilyID],tblDeviceFamilyIDCrosswalk[LegacyDeviceFamilyID],tblDeviceFamilyIDCrosswalk[CanonicalDeviceFamilyID],"")</f>
        <v/>
      </c>
      <c r="L556" s="7">
        <f>XLOOKUP([@DeviceTypeID],tblDeviceTypeIDCrosswalk[LegacyDeviceTypeID],tblDeviceTypeIDCrosswalk[CanonicalDeviceTypeID],"")</f>
        <v/>
      </c>
      <c r="M556" s="14">
        <f>XLOOKUP([@ManufacturerID],tblManufacturerIDCrosswalk[LegacyManufacturerID],tblManufacturerIDCrosswalk[MappingStatus],"No Crosswalk")</f>
        <v/>
      </c>
      <c r="N556" s="35">
        <f>XLOOKUP([@DeviceFamilyID],tblDeviceFamilyIDCrosswalk[LegacyDeviceFamilyID],tblDeviceFamilyIDCrosswalk[MappingStatus],"No Crosswalk")</f>
        <v/>
      </c>
      <c r="O556" s="35">
        <f>XLOOKUP([@DeviceTypeID],tblDeviceTypeIDCrosswalk[LegacyDeviceTypeID],tblDeviceTypeIDCrosswalk[MappingStatus],"No Crosswalk")</f>
        <v/>
      </c>
      <c r="P556">
        <f>IF(OR([@ManufacturerMappingStatus]&lt;&gt;"Approved",[@DeviceFamilyMappingStatus]&lt;&gt;"Approved",[@DeviceTypeMappingStatus]&lt;&gt;"Approved"),"Manual Review Required","Approved Crosswalk Available")</f>
        <v/>
      </c>
      <c r="Q556" t="inlineStr">
        <is>
          <t>Pending Review</t>
        </is>
      </c>
    </row>
    <row r="557" ht="21.5" customHeight="1" s="42">
      <c r="A557" s="36" t="n"/>
      <c r="B557" s="35" t="n"/>
      <c r="C557" s="35" t="n"/>
      <c r="D557" s="35" t="n"/>
      <c r="E557" s="39" t="n"/>
      <c r="F557" s="39" t="n"/>
      <c r="G557" s="10" t="inlineStr">
        <is>
          <t>MOD000554</t>
        </is>
      </c>
      <c r="H557" s="14" t="inlineStr">
        <is>
          <t>MFG011</t>
        </is>
      </c>
      <c r="I557" s="14" t="inlineStr">
        <is>
          <t>DF-114</t>
        </is>
      </c>
      <c r="J557" s="14">
        <f>XLOOKUP([@ManufacturerID],tblManufacturerIDCrosswalk[LegacyManufacturerID],tblManufacturerIDCrosswalk[CanonicalManufacturerID],"")</f>
        <v/>
      </c>
      <c r="K557" s="7">
        <f>XLOOKUP([@DeviceFamilyID],tblDeviceFamilyIDCrosswalk[LegacyDeviceFamilyID],tblDeviceFamilyIDCrosswalk[CanonicalDeviceFamilyID],"")</f>
        <v/>
      </c>
      <c r="L557" s="7">
        <f>XLOOKUP([@DeviceTypeID],tblDeviceTypeIDCrosswalk[LegacyDeviceTypeID],tblDeviceTypeIDCrosswalk[CanonicalDeviceTypeID],"")</f>
        <v/>
      </c>
      <c r="M557" s="14">
        <f>XLOOKUP([@ManufacturerID],tblManufacturerIDCrosswalk[LegacyManufacturerID],tblManufacturerIDCrosswalk[MappingStatus],"No Crosswalk")</f>
        <v/>
      </c>
      <c r="N557" s="35">
        <f>XLOOKUP([@DeviceFamilyID],tblDeviceFamilyIDCrosswalk[LegacyDeviceFamilyID],tblDeviceFamilyIDCrosswalk[MappingStatus],"No Crosswalk")</f>
        <v/>
      </c>
      <c r="O557" s="35">
        <f>XLOOKUP([@DeviceTypeID],tblDeviceTypeIDCrosswalk[LegacyDeviceTypeID],tblDeviceTypeIDCrosswalk[MappingStatus],"No Crosswalk")</f>
        <v/>
      </c>
      <c r="P557">
        <f>IF(OR([@ManufacturerMappingStatus]&lt;&gt;"Approved",[@DeviceFamilyMappingStatus]&lt;&gt;"Approved",[@DeviceTypeMappingStatus]&lt;&gt;"Approved"),"Manual Review Required","Approved Crosswalk Available")</f>
        <v/>
      </c>
      <c r="Q557" t="inlineStr">
        <is>
          <t>Pending Review</t>
        </is>
      </c>
    </row>
    <row r="558" ht="21.5" customHeight="1" s="42">
      <c r="A558" s="36" t="n"/>
      <c r="B558" s="35" t="n"/>
      <c r="C558" s="35" t="n"/>
      <c r="D558" s="35" t="n"/>
      <c r="E558" s="39" t="n"/>
      <c r="F558" s="39" t="n"/>
      <c r="G558" s="10" t="inlineStr">
        <is>
          <t>MOD000555</t>
        </is>
      </c>
      <c r="H558" s="14" t="inlineStr">
        <is>
          <t>MFG011</t>
        </is>
      </c>
      <c r="I558" s="14" t="inlineStr">
        <is>
          <t>DF-111</t>
        </is>
      </c>
      <c r="J558" s="14">
        <f>XLOOKUP([@ManufacturerID],tblManufacturerIDCrosswalk[LegacyManufacturerID],tblManufacturerIDCrosswalk[CanonicalManufacturerID],"")</f>
        <v/>
      </c>
      <c r="K558" s="7">
        <f>XLOOKUP([@DeviceFamilyID],tblDeviceFamilyIDCrosswalk[LegacyDeviceFamilyID],tblDeviceFamilyIDCrosswalk[CanonicalDeviceFamilyID],"")</f>
        <v/>
      </c>
      <c r="L558" s="7">
        <f>XLOOKUP([@DeviceTypeID],tblDeviceTypeIDCrosswalk[LegacyDeviceTypeID],tblDeviceTypeIDCrosswalk[CanonicalDeviceTypeID],"")</f>
        <v/>
      </c>
      <c r="M558" s="14">
        <f>XLOOKUP([@ManufacturerID],tblManufacturerIDCrosswalk[LegacyManufacturerID],tblManufacturerIDCrosswalk[MappingStatus],"No Crosswalk")</f>
        <v/>
      </c>
      <c r="N558" s="35">
        <f>XLOOKUP([@DeviceFamilyID],tblDeviceFamilyIDCrosswalk[LegacyDeviceFamilyID],tblDeviceFamilyIDCrosswalk[MappingStatus],"No Crosswalk")</f>
        <v/>
      </c>
      <c r="O558" s="35">
        <f>XLOOKUP([@DeviceTypeID],tblDeviceTypeIDCrosswalk[LegacyDeviceTypeID],tblDeviceTypeIDCrosswalk[MappingStatus],"No Crosswalk")</f>
        <v/>
      </c>
      <c r="P558">
        <f>IF(OR([@ManufacturerMappingStatus]&lt;&gt;"Approved",[@DeviceFamilyMappingStatus]&lt;&gt;"Approved",[@DeviceTypeMappingStatus]&lt;&gt;"Approved"),"Manual Review Required","Approved Crosswalk Available")</f>
        <v/>
      </c>
      <c r="Q558" t="inlineStr">
        <is>
          <t>Pending Review</t>
        </is>
      </c>
    </row>
    <row r="559" ht="21.5" customHeight="1" s="42">
      <c r="A559" s="36" t="n"/>
      <c r="B559" s="35" t="n"/>
      <c r="C559" s="35" t="n"/>
      <c r="D559" s="35" t="n"/>
      <c r="E559" s="39" t="n"/>
      <c r="F559" s="39" t="n"/>
      <c r="G559" s="10" t="inlineStr">
        <is>
          <t>MOD000556</t>
        </is>
      </c>
      <c r="H559" s="14" t="inlineStr">
        <is>
          <t>MFG011</t>
        </is>
      </c>
      <c r="I559" s="14" t="inlineStr">
        <is>
          <t>DF-111</t>
        </is>
      </c>
      <c r="J559" s="14">
        <f>XLOOKUP([@ManufacturerID],tblManufacturerIDCrosswalk[LegacyManufacturerID],tblManufacturerIDCrosswalk[CanonicalManufacturerID],"")</f>
        <v/>
      </c>
      <c r="K559" s="7">
        <f>XLOOKUP([@DeviceFamilyID],tblDeviceFamilyIDCrosswalk[LegacyDeviceFamilyID],tblDeviceFamilyIDCrosswalk[CanonicalDeviceFamilyID],"")</f>
        <v/>
      </c>
      <c r="L559" s="7">
        <f>XLOOKUP([@DeviceTypeID],tblDeviceTypeIDCrosswalk[LegacyDeviceTypeID],tblDeviceTypeIDCrosswalk[CanonicalDeviceTypeID],"")</f>
        <v/>
      </c>
      <c r="M559" s="14">
        <f>XLOOKUP([@ManufacturerID],tblManufacturerIDCrosswalk[LegacyManufacturerID],tblManufacturerIDCrosswalk[MappingStatus],"No Crosswalk")</f>
        <v/>
      </c>
      <c r="N559" s="35">
        <f>XLOOKUP([@DeviceFamilyID],tblDeviceFamilyIDCrosswalk[LegacyDeviceFamilyID],tblDeviceFamilyIDCrosswalk[MappingStatus],"No Crosswalk")</f>
        <v/>
      </c>
      <c r="O559" s="35">
        <f>XLOOKUP([@DeviceTypeID],tblDeviceTypeIDCrosswalk[LegacyDeviceTypeID],tblDeviceTypeIDCrosswalk[MappingStatus],"No Crosswalk")</f>
        <v/>
      </c>
      <c r="P559">
        <f>IF(OR([@ManufacturerMappingStatus]&lt;&gt;"Approved",[@DeviceFamilyMappingStatus]&lt;&gt;"Approved",[@DeviceTypeMappingStatus]&lt;&gt;"Approved"),"Manual Review Required","Approved Crosswalk Available")</f>
        <v/>
      </c>
      <c r="Q559" t="inlineStr">
        <is>
          <t>Pending Review</t>
        </is>
      </c>
    </row>
    <row r="560" ht="21.5" customHeight="1" s="42">
      <c r="A560" s="36" t="n"/>
      <c r="B560" s="35" t="n"/>
      <c r="C560" s="35" t="n"/>
      <c r="D560" s="35" t="n"/>
      <c r="E560" s="39" t="n"/>
      <c r="F560" s="39" t="n"/>
      <c r="G560" s="10" t="inlineStr">
        <is>
          <t>MOD000557</t>
        </is>
      </c>
      <c r="H560" s="14" t="inlineStr">
        <is>
          <t>MFG011</t>
        </is>
      </c>
      <c r="I560" s="14" t="inlineStr">
        <is>
          <t>DF-112</t>
        </is>
      </c>
      <c r="J560" s="14">
        <f>XLOOKUP([@ManufacturerID],tblManufacturerIDCrosswalk[LegacyManufacturerID],tblManufacturerIDCrosswalk[CanonicalManufacturerID],"")</f>
        <v/>
      </c>
      <c r="K560" s="7">
        <f>XLOOKUP([@DeviceFamilyID],tblDeviceFamilyIDCrosswalk[LegacyDeviceFamilyID],tblDeviceFamilyIDCrosswalk[CanonicalDeviceFamilyID],"")</f>
        <v/>
      </c>
      <c r="L560" s="7">
        <f>XLOOKUP([@DeviceTypeID],tblDeviceTypeIDCrosswalk[LegacyDeviceTypeID],tblDeviceTypeIDCrosswalk[CanonicalDeviceTypeID],"")</f>
        <v/>
      </c>
      <c r="M560" s="14">
        <f>XLOOKUP([@ManufacturerID],tblManufacturerIDCrosswalk[LegacyManufacturerID],tblManufacturerIDCrosswalk[MappingStatus],"No Crosswalk")</f>
        <v/>
      </c>
      <c r="N560" s="35">
        <f>XLOOKUP([@DeviceFamilyID],tblDeviceFamilyIDCrosswalk[LegacyDeviceFamilyID],tblDeviceFamilyIDCrosswalk[MappingStatus],"No Crosswalk")</f>
        <v/>
      </c>
      <c r="O560" s="35">
        <f>XLOOKUP([@DeviceTypeID],tblDeviceTypeIDCrosswalk[LegacyDeviceTypeID],tblDeviceTypeIDCrosswalk[MappingStatus],"No Crosswalk")</f>
        <v/>
      </c>
      <c r="P560">
        <f>IF(OR([@ManufacturerMappingStatus]&lt;&gt;"Approved",[@DeviceFamilyMappingStatus]&lt;&gt;"Approved",[@DeviceTypeMappingStatus]&lt;&gt;"Approved"),"Manual Review Required","Approved Crosswalk Available")</f>
        <v/>
      </c>
      <c r="Q560" t="inlineStr">
        <is>
          <t>Pending Review</t>
        </is>
      </c>
    </row>
    <row r="561" ht="21.5" customHeight="1" s="42">
      <c r="A561" s="36" t="n"/>
      <c r="B561" s="35" t="n"/>
      <c r="C561" s="35" t="n"/>
      <c r="D561" s="35" t="n"/>
      <c r="E561" s="39" t="n"/>
      <c r="F561" s="39" t="n"/>
      <c r="G561" s="10" t="inlineStr">
        <is>
          <t>MOD000558</t>
        </is>
      </c>
      <c r="H561" s="14" t="inlineStr">
        <is>
          <t>MFG011</t>
        </is>
      </c>
      <c r="I561" s="14" t="inlineStr">
        <is>
          <t>DF-112</t>
        </is>
      </c>
      <c r="J561" s="14">
        <f>XLOOKUP([@ManufacturerID],tblManufacturerIDCrosswalk[LegacyManufacturerID],tblManufacturerIDCrosswalk[CanonicalManufacturerID],"")</f>
        <v/>
      </c>
      <c r="K561" s="7">
        <f>XLOOKUP([@DeviceFamilyID],tblDeviceFamilyIDCrosswalk[LegacyDeviceFamilyID],tblDeviceFamilyIDCrosswalk[CanonicalDeviceFamilyID],"")</f>
        <v/>
      </c>
      <c r="L561" s="7">
        <f>XLOOKUP([@DeviceTypeID],tblDeviceTypeIDCrosswalk[LegacyDeviceTypeID],tblDeviceTypeIDCrosswalk[CanonicalDeviceTypeID],"")</f>
        <v/>
      </c>
      <c r="M561" s="14">
        <f>XLOOKUP([@ManufacturerID],tblManufacturerIDCrosswalk[LegacyManufacturerID],tblManufacturerIDCrosswalk[MappingStatus],"No Crosswalk")</f>
        <v/>
      </c>
      <c r="N561" s="35">
        <f>XLOOKUP([@DeviceFamilyID],tblDeviceFamilyIDCrosswalk[LegacyDeviceFamilyID],tblDeviceFamilyIDCrosswalk[MappingStatus],"No Crosswalk")</f>
        <v/>
      </c>
      <c r="O561" s="35">
        <f>XLOOKUP([@DeviceTypeID],tblDeviceTypeIDCrosswalk[LegacyDeviceTypeID],tblDeviceTypeIDCrosswalk[MappingStatus],"No Crosswalk")</f>
        <v/>
      </c>
      <c r="P561">
        <f>IF(OR([@ManufacturerMappingStatus]&lt;&gt;"Approved",[@DeviceFamilyMappingStatus]&lt;&gt;"Approved",[@DeviceTypeMappingStatus]&lt;&gt;"Approved"),"Manual Review Required","Approved Crosswalk Available")</f>
        <v/>
      </c>
      <c r="Q561" t="inlineStr">
        <is>
          <t>Pending Review</t>
        </is>
      </c>
    </row>
    <row r="562" ht="21.5" customHeight="1" s="42">
      <c r="A562" s="36" t="n"/>
      <c r="B562" s="35" t="n"/>
      <c r="C562" s="35" t="n"/>
      <c r="D562" s="35" t="n"/>
      <c r="E562" s="39" t="n"/>
      <c r="F562" s="39" t="n"/>
      <c r="G562" s="10" t="inlineStr">
        <is>
          <t>MOD000559</t>
        </is>
      </c>
      <c r="H562" s="14" t="inlineStr">
        <is>
          <t>MFG012</t>
        </is>
      </c>
      <c r="I562" s="14" t="inlineStr">
        <is>
          <t>DF-120</t>
        </is>
      </c>
      <c r="J562" s="14">
        <f>XLOOKUP([@ManufacturerID],tblManufacturerIDCrosswalk[LegacyManufacturerID],tblManufacturerIDCrosswalk[CanonicalManufacturerID],"")</f>
        <v/>
      </c>
      <c r="K562" s="7">
        <f>XLOOKUP([@DeviceFamilyID],tblDeviceFamilyIDCrosswalk[LegacyDeviceFamilyID],tblDeviceFamilyIDCrosswalk[CanonicalDeviceFamilyID],"")</f>
        <v/>
      </c>
      <c r="L562" s="7">
        <f>XLOOKUP([@DeviceTypeID],tblDeviceTypeIDCrosswalk[LegacyDeviceTypeID],tblDeviceTypeIDCrosswalk[CanonicalDeviceTypeID],"")</f>
        <v/>
      </c>
      <c r="M562" s="14">
        <f>XLOOKUP([@ManufacturerID],tblManufacturerIDCrosswalk[LegacyManufacturerID],tblManufacturerIDCrosswalk[MappingStatus],"No Crosswalk")</f>
        <v/>
      </c>
      <c r="N562" s="35">
        <f>XLOOKUP([@DeviceFamilyID],tblDeviceFamilyIDCrosswalk[LegacyDeviceFamilyID],tblDeviceFamilyIDCrosswalk[MappingStatus],"No Crosswalk")</f>
        <v/>
      </c>
      <c r="O562" s="35">
        <f>XLOOKUP([@DeviceTypeID],tblDeviceTypeIDCrosswalk[LegacyDeviceTypeID],tblDeviceTypeIDCrosswalk[MappingStatus],"No Crosswalk")</f>
        <v/>
      </c>
      <c r="P562">
        <f>IF(OR([@ManufacturerMappingStatus]&lt;&gt;"Approved",[@DeviceFamilyMappingStatus]&lt;&gt;"Approved",[@DeviceTypeMappingStatus]&lt;&gt;"Approved"),"Manual Review Required","Approved Crosswalk Available")</f>
        <v/>
      </c>
      <c r="Q562" t="inlineStr">
        <is>
          <t>Pending Review</t>
        </is>
      </c>
    </row>
    <row r="563" ht="21.5" customHeight="1" s="42">
      <c r="A563" s="36" t="n"/>
      <c r="B563" s="35" t="n"/>
      <c r="C563" s="35" t="n"/>
      <c r="D563" s="35" t="n"/>
      <c r="E563" s="39" t="n"/>
      <c r="F563" s="39" t="n"/>
      <c r="G563" s="10" t="inlineStr">
        <is>
          <t>MOD000560</t>
        </is>
      </c>
      <c r="H563" s="14" t="inlineStr">
        <is>
          <t>MFG012</t>
        </is>
      </c>
      <c r="I563" s="14" t="inlineStr">
        <is>
          <t>DF-120</t>
        </is>
      </c>
      <c r="J563" s="14">
        <f>XLOOKUP([@ManufacturerID],tblManufacturerIDCrosswalk[LegacyManufacturerID],tblManufacturerIDCrosswalk[CanonicalManufacturerID],"")</f>
        <v/>
      </c>
      <c r="K563" s="7">
        <f>XLOOKUP([@DeviceFamilyID],tblDeviceFamilyIDCrosswalk[LegacyDeviceFamilyID],tblDeviceFamilyIDCrosswalk[CanonicalDeviceFamilyID],"")</f>
        <v/>
      </c>
      <c r="L563" s="7">
        <f>XLOOKUP([@DeviceTypeID],tblDeviceTypeIDCrosswalk[LegacyDeviceTypeID],tblDeviceTypeIDCrosswalk[CanonicalDeviceTypeID],"")</f>
        <v/>
      </c>
      <c r="M563" s="14">
        <f>XLOOKUP([@ManufacturerID],tblManufacturerIDCrosswalk[LegacyManufacturerID],tblManufacturerIDCrosswalk[MappingStatus],"No Crosswalk")</f>
        <v/>
      </c>
      <c r="N563" s="35">
        <f>XLOOKUP([@DeviceFamilyID],tblDeviceFamilyIDCrosswalk[LegacyDeviceFamilyID],tblDeviceFamilyIDCrosswalk[MappingStatus],"No Crosswalk")</f>
        <v/>
      </c>
      <c r="O563" s="35">
        <f>XLOOKUP([@DeviceTypeID],tblDeviceTypeIDCrosswalk[LegacyDeviceTypeID],tblDeviceTypeIDCrosswalk[MappingStatus],"No Crosswalk")</f>
        <v/>
      </c>
      <c r="P563">
        <f>IF(OR([@ManufacturerMappingStatus]&lt;&gt;"Approved",[@DeviceFamilyMappingStatus]&lt;&gt;"Approved",[@DeviceTypeMappingStatus]&lt;&gt;"Approved"),"Manual Review Required","Approved Crosswalk Available")</f>
        <v/>
      </c>
      <c r="Q563" t="inlineStr">
        <is>
          <t>Pending Review</t>
        </is>
      </c>
    </row>
    <row r="564" ht="21.5" customHeight="1" s="42">
      <c r="A564" s="36" t="n"/>
      <c r="B564" s="35" t="n"/>
      <c r="C564" s="35" t="n"/>
      <c r="D564" s="35" t="n"/>
      <c r="E564" s="39" t="n"/>
      <c r="F564" s="39" t="n"/>
      <c r="G564" s="10" t="inlineStr">
        <is>
          <t>MOD000561</t>
        </is>
      </c>
      <c r="H564" s="14" t="inlineStr">
        <is>
          <t>MFG012</t>
        </is>
      </c>
      <c r="I564" s="14" t="inlineStr">
        <is>
          <t>DF-121</t>
        </is>
      </c>
      <c r="J564" s="14">
        <f>XLOOKUP([@ManufacturerID],tblManufacturerIDCrosswalk[LegacyManufacturerID],tblManufacturerIDCrosswalk[CanonicalManufacturerID],"")</f>
        <v/>
      </c>
      <c r="K564" s="7">
        <f>XLOOKUP([@DeviceFamilyID],tblDeviceFamilyIDCrosswalk[LegacyDeviceFamilyID],tblDeviceFamilyIDCrosswalk[CanonicalDeviceFamilyID],"")</f>
        <v/>
      </c>
      <c r="L564" s="7">
        <f>XLOOKUP([@DeviceTypeID],tblDeviceTypeIDCrosswalk[LegacyDeviceTypeID],tblDeviceTypeIDCrosswalk[CanonicalDeviceTypeID],"")</f>
        <v/>
      </c>
      <c r="M564" s="14">
        <f>XLOOKUP([@ManufacturerID],tblManufacturerIDCrosswalk[LegacyManufacturerID],tblManufacturerIDCrosswalk[MappingStatus],"No Crosswalk")</f>
        <v/>
      </c>
      <c r="N564" s="35">
        <f>XLOOKUP([@DeviceFamilyID],tblDeviceFamilyIDCrosswalk[LegacyDeviceFamilyID],tblDeviceFamilyIDCrosswalk[MappingStatus],"No Crosswalk")</f>
        <v/>
      </c>
      <c r="O564" s="35">
        <f>XLOOKUP([@DeviceTypeID],tblDeviceTypeIDCrosswalk[LegacyDeviceTypeID],tblDeviceTypeIDCrosswalk[MappingStatus],"No Crosswalk")</f>
        <v/>
      </c>
      <c r="P564">
        <f>IF(OR([@ManufacturerMappingStatus]&lt;&gt;"Approved",[@DeviceFamilyMappingStatus]&lt;&gt;"Approved",[@DeviceTypeMappingStatus]&lt;&gt;"Approved"),"Manual Review Required","Approved Crosswalk Available")</f>
        <v/>
      </c>
      <c r="Q564" t="inlineStr">
        <is>
          <t>Pending Review</t>
        </is>
      </c>
    </row>
    <row r="565" ht="21.5" customHeight="1" s="42">
      <c r="A565" s="36" t="n"/>
      <c r="B565" s="35" t="n"/>
      <c r="C565" s="35" t="n"/>
      <c r="D565" s="35" t="n"/>
      <c r="E565" s="39" t="n"/>
      <c r="F565" s="39" t="n"/>
      <c r="G565" s="10" t="inlineStr">
        <is>
          <t>MOD000562</t>
        </is>
      </c>
      <c r="H565" s="14" t="inlineStr">
        <is>
          <t>MFG012</t>
        </is>
      </c>
      <c r="I565" s="14" t="inlineStr">
        <is>
          <t>DF-122</t>
        </is>
      </c>
      <c r="J565" s="14">
        <f>XLOOKUP([@ManufacturerID],tblManufacturerIDCrosswalk[LegacyManufacturerID],tblManufacturerIDCrosswalk[CanonicalManufacturerID],"")</f>
        <v/>
      </c>
      <c r="K565" s="7">
        <f>XLOOKUP([@DeviceFamilyID],tblDeviceFamilyIDCrosswalk[LegacyDeviceFamilyID],tblDeviceFamilyIDCrosswalk[CanonicalDeviceFamilyID],"")</f>
        <v/>
      </c>
      <c r="L565" s="7">
        <f>XLOOKUP([@DeviceTypeID],tblDeviceTypeIDCrosswalk[LegacyDeviceTypeID],tblDeviceTypeIDCrosswalk[CanonicalDeviceTypeID],"")</f>
        <v/>
      </c>
      <c r="M565" s="14">
        <f>XLOOKUP([@ManufacturerID],tblManufacturerIDCrosswalk[LegacyManufacturerID],tblManufacturerIDCrosswalk[MappingStatus],"No Crosswalk")</f>
        <v/>
      </c>
      <c r="N565" s="35">
        <f>XLOOKUP([@DeviceFamilyID],tblDeviceFamilyIDCrosswalk[LegacyDeviceFamilyID],tblDeviceFamilyIDCrosswalk[MappingStatus],"No Crosswalk")</f>
        <v/>
      </c>
      <c r="O565" s="35">
        <f>XLOOKUP([@DeviceTypeID],tblDeviceTypeIDCrosswalk[LegacyDeviceTypeID],tblDeviceTypeIDCrosswalk[MappingStatus],"No Crosswalk")</f>
        <v/>
      </c>
      <c r="P565">
        <f>IF(OR([@ManufacturerMappingStatus]&lt;&gt;"Approved",[@DeviceFamilyMappingStatus]&lt;&gt;"Approved",[@DeviceTypeMappingStatus]&lt;&gt;"Approved"),"Manual Review Required","Approved Crosswalk Available")</f>
        <v/>
      </c>
      <c r="Q565" t="inlineStr">
        <is>
          <t>Pending Review</t>
        </is>
      </c>
    </row>
    <row r="566" ht="21.5" customHeight="1" s="42">
      <c r="A566" s="36" t="n"/>
      <c r="B566" s="35" t="n"/>
      <c r="C566" s="35" t="n"/>
      <c r="D566" s="35" t="n"/>
      <c r="E566" s="39" t="n"/>
      <c r="F566" s="39" t="n"/>
      <c r="G566" s="10" t="inlineStr">
        <is>
          <t>MOD000563</t>
        </is>
      </c>
      <c r="H566" s="14" t="inlineStr">
        <is>
          <t>MFG012</t>
        </is>
      </c>
      <c r="I566" s="14" t="inlineStr">
        <is>
          <t>DF-120</t>
        </is>
      </c>
      <c r="J566" s="14">
        <f>XLOOKUP([@ManufacturerID],tblManufacturerIDCrosswalk[LegacyManufacturerID],tblManufacturerIDCrosswalk[CanonicalManufacturerID],"")</f>
        <v/>
      </c>
      <c r="K566" s="7">
        <f>XLOOKUP([@DeviceFamilyID],tblDeviceFamilyIDCrosswalk[LegacyDeviceFamilyID],tblDeviceFamilyIDCrosswalk[CanonicalDeviceFamilyID],"")</f>
        <v/>
      </c>
      <c r="L566" s="7">
        <f>XLOOKUP([@DeviceTypeID],tblDeviceTypeIDCrosswalk[LegacyDeviceTypeID],tblDeviceTypeIDCrosswalk[CanonicalDeviceTypeID],"")</f>
        <v/>
      </c>
      <c r="M566" s="14">
        <f>XLOOKUP([@ManufacturerID],tblManufacturerIDCrosswalk[LegacyManufacturerID],tblManufacturerIDCrosswalk[MappingStatus],"No Crosswalk")</f>
        <v/>
      </c>
      <c r="N566" s="35">
        <f>XLOOKUP([@DeviceFamilyID],tblDeviceFamilyIDCrosswalk[LegacyDeviceFamilyID],tblDeviceFamilyIDCrosswalk[MappingStatus],"No Crosswalk")</f>
        <v/>
      </c>
      <c r="O566" s="35">
        <f>XLOOKUP([@DeviceTypeID],tblDeviceTypeIDCrosswalk[LegacyDeviceTypeID],tblDeviceTypeIDCrosswalk[MappingStatus],"No Crosswalk")</f>
        <v/>
      </c>
      <c r="P566">
        <f>IF(OR([@ManufacturerMappingStatus]&lt;&gt;"Approved",[@DeviceFamilyMappingStatus]&lt;&gt;"Approved",[@DeviceTypeMappingStatus]&lt;&gt;"Approved"),"Manual Review Required","Approved Crosswalk Available")</f>
        <v/>
      </c>
      <c r="Q566" t="inlineStr">
        <is>
          <t>Pending Review</t>
        </is>
      </c>
    </row>
    <row r="567" ht="21.5" customHeight="1" s="42">
      <c r="A567" s="36" t="n"/>
      <c r="B567" s="35" t="n"/>
      <c r="C567" s="35" t="n"/>
      <c r="D567" s="35" t="n"/>
      <c r="E567" s="39" t="n"/>
      <c r="F567" s="39" t="n"/>
      <c r="G567" s="10" t="inlineStr">
        <is>
          <t>MOD000564</t>
        </is>
      </c>
      <c r="H567" s="14" t="inlineStr">
        <is>
          <t>MFG012</t>
        </is>
      </c>
      <c r="I567" s="14" t="inlineStr">
        <is>
          <t>DF-120</t>
        </is>
      </c>
      <c r="J567" s="14">
        <f>XLOOKUP([@ManufacturerID],tblManufacturerIDCrosswalk[LegacyManufacturerID],tblManufacturerIDCrosswalk[CanonicalManufacturerID],"")</f>
        <v/>
      </c>
      <c r="K567" s="7">
        <f>XLOOKUP([@DeviceFamilyID],tblDeviceFamilyIDCrosswalk[LegacyDeviceFamilyID],tblDeviceFamilyIDCrosswalk[CanonicalDeviceFamilyID],"")</f>
        <v/>
      </c>
      <c r="L567" s="7">
        <f>XLOOKUP([@DeviceTypeID],tblDeviceTypeIDCrosswalk[LegacyDeviceTypeID],tblDeviceTypeIDCrosswalk[CanonicalDeviceTypeID],"")</f>
        <v/>
      </c>
      <c r="M567" s="14">
        <f>XLOOKUP([@ManufacturerID],tblManufacturerIDCrosswalk[LegacyManufacturerID],tblManufacturerIDCrosswalk[MappingStatus],"No Crosswalk")</f>
        <v/>
      </c>
      <c r="N567" s="35">
        <f>XLOOKUP([@DeviceFamilyID],tblDeviceFamilyIDCrosswalk[LegacyDeviceFamilyID],tblDeviceFamilyIDCrosswalk[MappingStatus],"No Crosswalk")</f>
        <v/>
      </c>
      <c r="O567" s="35">
        <f>XLOOKUP([@DeviceTypeID],tblDeviceTypeIDCrosswalk[LegacyDeviceTypeID],tblDeviceTypeIDCrosswalk[MappingStatus],"No Crosswalk")</f>
        <v/>
      </c>
      <c r="P567">
        <f>IF(OR([@ManufacturerMappingStatus]&lt;&gt;"Approved",[@DeviceFamilyMappingStatus]&lt;&gt;"Approved",[@DeviceTypeMappingStatus]&lt;&gt;"Approved"),"Manual Review Required","Approved Crosswalk Available")</f>
        <v/>
      </c>
      <c r="Q567" t="inlineStr">
        <is>
          <t>Pending Review</t>
        </is>
      </c>
    </row>
    <row r="568" ht="21.5" customHeight="1" s="42">
      <c r="A568" s="36" t="n"/>
      <c r="B568" s="35" t="n"/>
      <c r="C568" s="35" t="n"/>
      <c r="D568" s="35" t="n"/>
      <c r="E568" s="39" t="n"/>
      <c r="F568" s="39" t="n"/>
      <c r="G568" s="10" t="inlineStr">
        <is>
          <t>MOD000565</t>
        </is>
      </c>
      <c r="H568" s="14" t="inlineStr">
        <is>
          <t>MFG012</t>
        </is>
      </c>
      <c r="I568" s="14" t="inlineStr">
        <is>
          <t>DF-120</t>
        </is>
      </c>
      <c r="J568" s="14">
        <f>XLOOKUP([@ManufacturerID],tblManufacturerIDCrosswalk[LegacyManufacturerID],tblManufacturerIDCrosswalk[CanonicalManufacturerID],"")</f>
        <v/>
      </c>
      <c r="K568" s="7">
        <f>XLOOKUP([@DeviceFamilyID],tblDeviceFamilyIDCrosswalk[LegacyDeviceFamilyID],tblDeviceFamilyIDCrosswalk[CanonicalDeviceFamilyID],"")</f>
        <v/>
      </c>
      <c r="L568" s="7">
        <f>XLOOKUP([@DeviceTypeID],tblDeviceTypeIDCrosswalk[LegacyDeviceTypeID],tblDeviceTypeIDCrosswalk[CanonicalDeviceTypeID],"")</f>
        <v/>
      </c>
      <c r="M568" s="14">
        <f>XLOOKUP([@ManufacturerID],tblManufacturerIDCrosswalk[LegacyManufacturerID],tblManufacturerIDCrosswalk[MappingStatus],"No Crosswalk")</f>
        <v/>
      </c>
      <c r="N568" s="35">
        <f>XLOOKUP([@DeviceFamilyID],tblDeviceFamilyIDCrosswalk[LegacyDeviceFamilyID],tblDeviceFamilyIDCrosswalk[MappingStatus],"No Crosswalk")</f>
        <v/>
      </c>
      <c r="O568" s="35">
        <f>XLOOKUP([@DeviceTypeID],tblDeviceTypeIDCrosswalk[LegacyDeviceTypeID],tblDeviceTypeIDCrosswalk[MappingStatus],"No Crosswalk")</f>
        <v/>
      </c>
      <c r="P568">
        <f>IF(OR([@ManufacturerMappingStatus]&lt;&gt;"Approved",[@DeviceFamilyMappingStatus]&lt;&gt;"Approved",[@DeviceTypeMappingStatus]&lt;&gt;"Approved"),"Manual Review Required","Approved Crosswalk Available")</f>
        <v/>
      </c>
      <c r="Q568" t="inlineStr">
        <is>
          <t>Pending Review</t>
        </is>
      </c>
    </row>
    <row r="569" ht="21.5" customHeight="1" s="42">
      <c r="A569" s="36" t="n"/>
      <c r="B569" s="35" t="n"/>
      <c r="C569" s="35" t="n"/>
      <c r="D569" s="35" t="n"/>
      <c r="E569" s="39" t="n"/>
      <c r="F569" s="39" t="n"/>
      <c r="G569" s="10" t="inlineStr">
        <is>
          <t>MOD000566</t>
        </is>
      </c>
      <c r="H569" s="14" t="inlineStr">
        <is>
          <t>MFG012</t>
        </is>
      </c>
      <c r="I569" s="14" t="inlineStr">
        <is>
          <t>DF-121</t>
        </is>
      </c>
      <c r="J569" s="14">
        <f>XLOOKUP([@ManufacturerID],tblManufacturerIDCrosswalk[LegacyManufacturerID],tblManufacturerIDCrosswalk[CanonicalManufacturerID],"")</f>
        <v/>
      </c>
      <c r="K569" s="7">
        <f>XLOOKUP([@DeviceFamilyID],tblDeviceFamilyIDCrosswalk[LegacyDeviceFamilyID],tblDeviceFamilyIDCrosswalk[CanonicalDeviceFamilyID],"")</f>
        <v/>
      </c>
      <c r="L569" s="7">
        <f>XLOOKUP([@DeviceTypeID],tblDeviceTypeIDCrosswalk[LegacyDeviceTypeID],tblDeviceTypeIDCrosswalk[CanonicalDeviceTypeID],"")</f>
        <v/>
      </c>
      <c r="M569" s="14">
        <f>XLOOKUP([@ManufacturerID],tblManufacturerIDCrosswalk[LegacyManufacturerID],tblManufacturerIDCrosswalk[MappingStatus],"No Crosswalk")</f>
        <v/>
      </c>
      <c r="N569" s="35">
        <f>XLOOKUP([@DeviceFamilyID],tblDeviceFamilyIDCrosswalk[LegacyDeviceFamilyID],tblDeviceFamilyIDCrosswalk[MappingStatus],"No Crosswalk")</f>
        <v/>
      </c>
      <c r="O569" s="35">
        <f>XLOOKUP([@DeviceTypeID],tblDeviceTypeIDCrosswalk[LegacyDeviceTypeID],tblDeviceTypeIDCrosswalk[MappingStatus],"No Crosswalk")</f>
        <v/>
      </c>
      <c r="P569">
        <f>IF(OR([@ManufacturerMappingStatus]&lt;&gt;"Approved",[@DeviceFamilyMappingStatus]&lt;&gt;"Approved",[@DeviceTypeMappingStatus]&lt;&gt;"Approved"),"Manual Review Required","Approved Crosswalk Available")</f>
        <v/>
      </c>
      <c r="Q569" t="inlineStr">
        <is>
          <t>Pending Review</t>
        </is>
      </c>
    </row>
    <row r="570" ht="21.5" customHeight="1" s="42">
      <c r="A570" s="36" t="n"/>
      <c r="B570" s="35" t="n"/>
      <c r="C570" s="35" t="n"/>
      <c r="D570" s="35" t="n"/>
      <c r="E570" s="39" t="n"/>
      <c r="F570" s="39" t="n"/>
      <c r="G570" s="10" t="inlineStr">
        <is>
          <t>MOD000567</t>
        </is>
      </c>
      <c r="H570" s="14" t="inlineStr">
        <is>
          <t>MFG012</t>
        </is>
      </c>
      <c r="I570" s="14" t="inlineStr">
        <is>
          <t>DF-121</t>
        </is>
      </c>
      <c r="J570" s="14">
        <f>XLOOKUP([@ManufacturerID],tblManufacturerIDCrosswalk[LegacyManufacturerID],tblManufacturerIDCrosswalk[CanonicalManufacturerID],"")</f>
        <v/>
      </c>
      <c r="K570" s="7">
        <f>XLOOKUP([@DeviceFamilyID],tblDeviceFamilyIDCrosswalk[LegacyDeviceFamilyID],tblDeviceFamilyIDCrosswalk[CanonicalDeviceFamilyID],"")</f>
        <v/>
      </c>
      <c r="L570" s="7">
        <f>XLOOKUP([@DeviceTypeID],tblDeviceTypeIDCrosswalk[LegacyDeviceTypeID],tblDeviceTypeIDCrosswalk[CanonicalDeviceTypeID],"")</f>
        <v/>
      </c>
      <c r="M570" s="14">
        <f>XLOOKUP([@ManufacturerID],tblManufacturerIDCrosswalk[LegacyManufacturerID],tblManufacturerIDCrosswalk[MappingStatus],"No Crosswalk")</f>
        <v/>
      </c>
      <c r="N570" s="35">
        <f>XLOOKUP([@DeviceFamilyID],tblDeviceFamilyIDCrosswalk[LegacyDeviceFamilyID],tblDeviceFamilyIDCrosswalk[MappingStatus],"No Crosswalk")</f>
        <v/>
      </c>
      <c r="O570" s="35">
        <f>XLOOKUP([@DeviceTypeID],tblDeviceTypeIDCrosswalk[LegacyDeviceTypeID],tblDeviceTypeIDCrosswalk[MappingStatus],"No Crosswalk")</f>
        <v/>
      </c>
      <c r="P570">
        <f>IF(OR([@ManufacturerMappingStatus]&lt;&gt;"Approved",[@DeviceFamilyMappingStatus]&lt;&gt;"Approved",[@DeviceTypeMappingStatus]&lt;&gt;"Approved"),"Manual Review Required","Approved Crosswalk Available")</f>
        <v/>
      </c>
      <c r="Q570" t="inlineStr">
        <is>
          <t>Pending Review</t>
        </is>
      </c>
    </row>
    <row r="571" ht="21.5" customHeight="1" s="42">
      <c r="A571" s="36" t="n"/>
      <c r="B571" s="35" t="n"/>
      <c r="C571" s="35" t="n"/>
      <c r="D571" s="35" t="n"/>
      <c r="E571" s="39" t="n"/>
      <c r="F571" s="39" t="n"/>
      <c r="G571" s="10" t="inlineStr">
        <is>
          <t>MOD000568</t>
        </is>
      </c>
      <c r="H571" s="14" t="inlineStr">
        <is>
          <t>MFG012</t>
        </is>
      </c>
      <c r="I571" s="14" t="inlineStr">
        <is>
          <t>DF-122</t>
        </is>
      </c>
      <c r="J571" s="14">
        <f>XLOOKUP([@ManufacturerID],tblManufacturerIDCrosswalk[LegacyManufacturerID],tblManufacturerIDCrosswalk[CanonicalManufacturerID],"")</f>
        <v/>
      </c>
      <c r="K571" s="7">
        <f>XLOOKUP([@DeviceFamilyID],tblDeviceFamilyIDCrosswalk[LegacyDeviceFamilyID],tblDeviceFamilyIDCrosswalk[CanonicalDeviceFamilyID],"")</f>
        <v/>
      </c>
      <c r="L571" s="7">
        <f>XLOOKUP([@DeviceTypeID],tblDeviceTypeIDCrosswalk[LegacyDeviceTypeID],tblDeviceTypeIDCrosswalk[CanonicalDeviceTypeID],"")</f>
        <v/>
      </c>
      <c r="M571" s="14">
        <f>XLOOKUP([@ManufacturerID],tblManufacturerIDCrosswalk[LegacyManufacturerID],tblManufacturerIDCrosswalk[MappingStatus],"No Crosswalk")</f>
        <v/>
      </c>
      <c r="N571" s="35">
        <f>XLOOKUP([@DeviceFamilyID],tblDeviceFamilyIDCrosswalk[LegacyDeviceFamilyID],tblDeviceFamilyIDCrosswalk[MappingStatus],"No Crosswalk")</f>
        <v/>
      </c>
      <c r="O571" s="35">
        <f>XLOOKUP([@DeviceTypeID],tblDeviceTypeIDCrosswalk[LegacyDeviceTypeID],tblDeviceTypeIDCrosswalk[MappingStatus],"No Crosswalk")</f>
        <v/>
      </c>
      <c r="P571">
        <f>IF(OR([@ManufacturerMappingStatus]&lt;&gt;"Approved",[@DeviceFamilyMappingStatus]&lt;&gt;"Approved",[@DeviceTypeMappingStatus]&lt;&gt;"Approved"),"Manual Review Required","Approved Crosswalk Available")</f>
        <v/>
      </c>
      <c r="Q571" t="inlineStr">
        <is>
          <t>Pending Review</t>
        </is>
      </c>
    </row>
    <row r="572" ht="21.5" customHeight="1" s="42">
      <c r="A572" s="36" t="n"/>
      <c r="B572" s="35" t="n"/>
      <c r="C572" s="35" t="n"/>
      <c r="D572" s="35" t="n"/>
      <c r="E572" s="39" t="n"/>
      <c r="F572" s="39" t="n"/>
      <c r="G572" s="10" t="inlineStr">
        <is>
          <t>MOD000569</t>
        </is>
      </c>
      <c r="H572" s="14" t="inlineStr">
        <is>
          <t>MFG013</t>
        </is>
      </c>
      <c r="I572" s="14" t="inlineStr">
        <is>
          <t>DF-130</t>
        </is>
      </c>
      <c r="J572" s="14">
        <f>XLOOKUP([@ManufacturerID],tblManufacturerIDCrosswalk[LegacyManufacturerID],tblManufacturerIDCrosswalk[CanonicalManufacturerID],"")</f>
        <v/>
      </c>
      <c r="K572" s="7">
        <f>XLOOKUP([@DeviceFamilyID],tblDeviceFamilyIDCrosswalk[LegacyDeviceFamilyID],tblDeviceFamilyIDCrosswalk[CanonicalDeviceFamilyID],"")</f>
        <v/>
      </c>
      <c r="L572" s="7">
        <f>XLOOKUP([@DeviceTypeID],tblDeviceTypeIDCrosswalk[LegacyDeviceTypeID],tblDeviceTypeIDCrosswalk[CanonicalDeviceTypeID],"")</f>
        <v/>
      </c>
      <c r="M572" s="14">
        <f>XLOOKUP([@ManufacturerID],tblManufacturerIDCrosswalk[LegacyManufacturerID],tblManufacturerIDCrosswalk[MappingStatus],"No Crosswalk")</f>
        <v/>
      </c>
      <c r="N572" s="35">
        <f>XLOOKUP([@DeviceFamilyID],tblDeviceFamilyIDCrosswalk[LegacyDeviceFamilyID],tblDeviceFamilyIDCrosswalk[MappingStatus],"No Crosswalk")</f>
        <v/>
      </c>
      <c r="O572" s="35">
        <f>XLOOKUP([@DeviceTypeID],tblDeviceTypeIDCrosswalk[LegacyDeviceTypeID],tblDeviceTypeIDCrosswalk[MappingStatus],"No Crosswalk")</f>
        <v/>
      </c>
      <c r="P572">
        <f>IF(OR([@ManufacturerMappingStatus]&lt;&gt;"Approved",[@DeviceFamilyMappingStatus]&lt;&gt;"Approved",[@DeviceTypeMappingStatus]&lt;&gt;"Approved"),"Manual Review Required","Approved Crosswalk Available")</f>
        <v/>
      </c>
      <c r="Q572" t="inlineStr">
        <is>
          <t>Pending Review</t>
        </is>
      </c>
    </row>
    <row r="573" ht="21.5" customHeight="1" s="42">
      <c r="A573" s="36" t="n"/>
      <c r="B573" s="35" t="n"/>
      <c r="C573" s="35" t="n"/>
      <c r="D573" s="35" t="n"/>
      <c r="E573" s="39" t="n"/>
      <c r="F573" s="39" t="n"/>
      <c r="G573" s="10" t="inlineStr">
        <is>
          <t>MOD000570</t>
        </is>
      </c>
      <c r="H573" s="14" t="inlineStr">
        <is>
          <t>MFG013</t>
        </is>
      </c>
      <c r="I573" s="14" t="inlineStr">
        <is>
          <t>DF-130</t>
        </is>
      </c>
      <c r="J573" s="14">
        <f>XLOOKUP([@ManufacturerID],tblManufacturerIDCrosswalk[LegacyManufacturerID],tblManufacturerIDCrosswalk[CanonicalManufacturerID],"")</f>
        <v/>
      </c>
      <c r="K573" s="7">
        <f>XLOOKUP([@DeviceFamilyID],tblDeviceFamilyIDCrosswalk[LegacyDeviceFamilyID],tblDeviceFamilyIDCrosswalk[CanonicalDeviceFamilyID],"")</f>
        <v/>
      </c>
      <c r="L573" s="7">
        <f>XLOOKUP([@DeviceTypeID],tblDeviceTypeIDCrosswalk[LegacyDeviceTypeID],tblDeviceTypeIDCrosswalk[CanonicalDeviceTypeID],"")</f>
        <v/>
      </c>
      <c r="M573" s="14">
        <f>XLOOKUP([@ManufacturerID],tblManufacturerIDCrosswalk[LegacyManufacturerID],tblManufacturerIDCrosswalk[MappingStatus],"No Crosswalk")</f>
        <v/>
      </c>
      <c r="N573" s="35">
        <f>XLOOKUP([@DeviceFamilyID],tblDeviceFamilyIDCrosswalk[LegacyDeviceFamilyID],tblDeviceFamilyIDCrosswalk[MappingStatus],"No Crosswalk")</f>
        <v/>
      </c>
      <c r="O573" s="35">
        <f>XLOOKUP([@DeviceTypeID],tblDeviceTypeIDCrosswalk[LegacyDeviceTypeID],tblDeviceTypeIDCrosswalk[MappingStatus],"No Crosswalk")</f>
        <v/>
      </c>
      <c r="P573">
        <f>IF(OR([@ManufacturerMappingStatus]&lt;&gt;"Approved",[@DeviceFamilyMappingStatus]&lt;&gt;"Approved",[@DeviceTypeMappingStatus]&lt;&gt;"Approved"),"Manual Review Required","Approved Crosswalk Available")</f>
        <v/>
      </c>
      <c r="Q573" t="inlineStr">
        <is>
          <t>Pending Review</t>
        </is>
      </c>
    </row>
    <row r="574" ht="21.5" customHeight="1" s="42">
      <c r="A574" s="36" t="n"/>
      <c r="B574" s="35" t="n"/>
      <c r="C574" s="35" t="n"/>
      <c r="D574" s="35" t="n"/>
      <c r="E574" s="39" t="n"/>
      <c r="F574" s="39" t="n"/>
      <c r="G574" s="10" t="inlineStr">
        <is>
          <t>MOD000571</t>
        </is>
      </c>
      <c r="H574" s="14" t="inlineStr">
        <is>
          <t>MFG013</t>
        </is>
      </c>
      <c r="I574" s="14" t="inlineStr">
        <is>
          <t>DF-131</t>
        </is>
      </c>
      <c r="J574" s="14">
        <f>XLOOKUP([@ManufacturerID],tblManufacturerIDCrosswalk[LegacyManufacturerID],tblManufacturerIDCrosswalk[CanonicalManufacturerID],"")</f>
        <v/>
      </c>
      <c r="K574" s="7">
        <f>XLOOKUP([@DeviceFamilyID],tblDeviceFamilyIDCrosswalk[LegacyDeviceFamilyID],tblDeviceFamilyIDCrosswalk[CanonicalDeviceFamilyID],"")</f>
        <v/>
      </c>
      <c r="L574" s="7">
        <f>XLOOKUP([@DeviceTypeID],tblDeviceTypeIDCrosswalk[LegacyDeviceTypeID],tblDeviceTypeIDCrosswalk[CanonicalDeviceTypeID],"")</f>
        <v/>
      </c>
      <c r="M574" s="14">
        <f>XLOOKUP([@ManufacturerID],tblManufacturerIDCrosswalk[LegacyManufacturerID],tblManufacturerIDCrosswalk[MappingStatus],"No Crosswalk")</f>
        <v/>
      </c>
      <c r="N574" s="35">
        <f>XLOOKUP([@DeviceFamilyID],tblDeviceFamilyIDCrosswalk[LegacyDeviceFamilyID],tblDeviceFamilyIDCrosswalk[MappingStatus],"No Crosswalk")</f>
        <v/>
      </c>
      <c r="O574" s="35">
        <f>XLOOKUP([@DeviceTypeID],tblDeviceTypeIDCrosswalk[LegacyDeviceTypeID],tblDeviceTypeIDCrosswalk[MappingStatus],"No Crosswalk")</f>
        <v/>
      </c>
      <c r="P574">
        <f>IF(OR([@ManufacturerMappingStatus]&lt;&gt;"Approved",[@DeviceFamilyMappingStatus]&lt;&gt;"Approved",[@DeviceTypeMappingStatus]&lt;&gt;"Approved"),"Manual Review Required","Approved Crosswalk Available")</f>
        <v/>
      </c>
      <c r="Q574" t="inlineStr">
        <is>
          <t>Pending Review</t>
        </is>
      </c>
    </row>
    <row r="575" ht="21.5" customHeight="1" s="42">
      <c r="A575" s="36" t="n"/>
      <c r="B575" s="35" t="n"/>
      <c r="C575" s="35" t="n"/>
      <c r="D575" s="35" t="n"/>
      <c r="E575" s="39" t="n"/>
      <c r="F575" s="39" t="n"/>
      <c r="G575" s="10" t="inlineStr">
        <is>
          <t>MOD000572</t>
        </is>
      </c>
      <c r="H575" s="14" t="inlineStr">
        <is>
          <t>MFG013</t>
        </is>
      </c>
      <c r="I575" s="14" t="inlineStr">
        <is>
          <t>DF-132</t>
        </is>
      </c>
      <c r="J575" s="14">
        <f>XLOOKUP([@ManufacturerID],tblManufacturerIDCrosswalk[LegacyManufacturerID],tblManufacturerIDCrosswalk[CanonicalManufacturerID],"")</f>
        <v/>
      </c>
      <c r="K575" s="7">
        <f>XLOOKUP([@DeviceFamilyID],tblDeviceFamilyIDCrosswalk[LegacyDeviceFamilyID],tblDeviceFamilyIDCrosswalk[CanonicalDeviceFamilyID],"")</f>
        <v/>
      </c>
      <c r="L575" s="7">
        <f>XLOOKUP([@DeviceTypeID],tblDeviceTypeIDCrosswalk[LegacyDeviceTypeID],tblDeviceTypeIDCrosswalk[CanonicalDeviceTypeID],"")</f>
        <v/>
      </c>
      <c r="M575" s="14">
        <f>XLOOKUP([@ManufacturerID],tblManufacturerIDCrosswalk[LegacyManufacturerID],tblManufacturerIDCrosswalk[MappingStatus],"No Crosswalk")</f>
        <v/>
      </c>
      <c r="N575" s="35">
        <f>XLOOKUP([@DeviceFamilyID],tblDeviceFamilyIDCrosswalk[LegacyDeviceFamilyID],tblDeviceFamilyIDCrosswalk[MappingStatus],"No Crosswalk")</f>
        <v/>
      </c>
      <c r="O575" s="35">
        <f>XLOOKUP([@DeviceTypeID],tblDeviceTypeIDCrosswalk[LegacyDeviceTypeID],tblDeviceTypeIDCrosswalk[MappingStatus],"No Crosswalk")</f>
        <v/>
      </c>
      <c r="P575">
        <f>IF(OR([@ManufacturerMappingStatus]&lt;&gt;"Approved",[@DeviceFamilyMappingStatus]&lt;&gt;"Approved",[@DeviceTypeMappingStatus]&lt;&gt;"Approved"),"Manual Review Required","Approved Crosswalk Available")</f>
        <v/>
      </c>
      <c r="Q575" t="inlineStr">
        <is>
          <t>Pending Review</t>
        </is>
      </c>
    </row>
    <row r="576" ht="21.5" customHeight="1" s="42">
      <c r="A576" s="36" t="n"/>
      <c r="B576" s="35" t="n"/>
      <c r="C576" s="35" t="n"/>
      <c r="D576" s="35" t="n"/>
      <c r="E576" s="39" t="n"/>
      <c r="F576" s="39" t="n"/>
      <c r="G576" s="10" t="inlineStr">
        <is>
          <t>MOD000573</t>
        </is>
      </c>
      <c r="H576" s="14" t="inlineStr">
        <is>
          <t>MFG013</t>
        </is>
      </c>
      <c r="I576" s="14" t="inlineStr">
        <is>
          <t>DF-130</t>
        </is>
      </c>
      <c r="J576" s="14">
        <f>XLOOKUP([@ManufacturerID],tblManufacturerIDCrosswalk[LegacyManufacturerID],tblManufacturerIDCrosswalk[CanonicalManufacturerID],"")</f>
        <v/>
      </c>
      <c r="K576" s="7">
        <f>XLOOKUP([@DeviceFamilyID],tblDeviceFamilyIDCrosswalk[LegacyDeviceFamilyID],tblDeviceFamilyIDCrosswalk[CanonicalDeviceFamilyID],"")</f>
        <v/>
      </c>
      <c r="L576" s="7">
        <f>XLOOKUP([@DeviceTypeID],tblDeviceTypeIDCrosswalk[LegacyDeviceTypeID],tblDeviceTypeIDCrosswalk[CanonicalDeviceTypeID],"")</f>
        <v/>
      </c>
      <c r="M576" s="14">
        <f>XLOOKUP([@ManufacturerID],tblManufacturerIDCrosswalk[LegacyManufacturerID],tblManufacturerIDCrosswalk[MappingStatus],"No Crosswalk")</f>
        <v/>
      </c>
      <c r="N576" s="35">
        <f>XLOOKUP([@DeviceFamilyID],tblDeviceFamilyIDCrosswalk[LegacyDeviceFamilyID],tblDeviceFamilyIDCrosswalk[MappingStatus],"No Crosswalk")</f>
        <v/>
      </c>
      <c r="O576" s="35">
        <f>XLOOKUP([@DeviceTypeID],tblDeviceTypeIDCrosswalk[LegacyDeviceTypeID],tblDeviceTypeIDCrosswalk[MappingStatus],"No Crosswalk")</f>
        <v/>
      </c>
      <c r="P576">
        <f>IF(OR([@ManufacturerMappingStatus]&lt;&gt;"Approved",[@DeviceFamilyMappingStatus]&lt;&gt;"Approved",[@DeviceTypeMappingStatus]&lt;&gt;"Approved"),"Manual Review Required","Approved Crosswalk Available")</f>
        <v/>
      </c>
      <c r="Q576" t="inlineStr">
        <is>
          <t>Pending Review</t>
        </is>
      </c>
    </row>
    <row r="577" ht="21.5" customHeight="1" s="42">
      <c r="A577" s="36" t="n"/>
      <c r="B577" s="35" t="n"/>
      <c r="C577" s="35" t="n"/>
      <c r="D577" s="35" t="n"/>
      <c r="E577" s="39" t="n"/>
      <c r="F577" s="39" t="n"/>
      <c r="G577" s="10" t="inlineStr">
        <is>
          <t>MOD000574</t>
        </is>
      </c>
      <c r="H577" s="14" t="inlineStr">
        <is>
          <t>MFG013</t>
        </is>
      </c>
      <c r="I577" s="14" t="inlineStr">
        <is>
          <t>DF-131</t>
        </is>
      </c>
      <c r="J577" s="14">
        <f>XLOOKUP([@ManufacturerID],tblManufacturerIDCrosswalk[LegacyManufacturerID],tblManufacturerIDCrosswalk[CanonicalManufacturerID],"")</f>
        <v/>
      </c>
      <c r="K577" s="7">
        <f>XLOOKUP([@DeviceFamilyID],tblDeviceFamilyIDCrosswalk[LegacyDeviceFamilyID],tblDeviceFamilyIDCrosswalk[CanonicalDeviceFamilyID],"")</f>
        <v/>
      </c>
      <c r="L577" s="7">
        <f>XLOOKUP([@DeviceTypeID],tblDeviceTypeIDCrosswalk[LegacyDeviceTypeID],tblDeviceTypeIDCrosswalk[CanonicalDeviceTypeID],"")</f>
        <v/>
      </c>
      <c r="M577" s="14">
        <f>XLOOKUP([@ManufacturerID],tblManufacturerIDCrosswalk[LegacyManufacturerID],tblManufacturerIDCrosswalk[MappingStatus],"No Crosswalk")</f>
        <v/>
      </c>
      <c r="N577" s="35">
        <f>XLOOKUP([@DeviceFamilyID],tblDeviceFamilyIDCrosswalk[LegacyDeviceFamilyID],tblDeviceFamilyIDCrosswalk[MappingStatus],"No Crosswalk")</f>
        <v/>
      </c>
      <c r="O577" s="35">
        <f>XLOOKUP([@DeviceTypeID],tblDeviceTypeIDCrosswalk[LegacyDeviceTypeID],tblDeviceTypeIDCrosswalk[MappingStatus],"No Crosswalk")</f>
        <v/>
      </c>
      <c r="P577">
        <f>IF(OR([@ManufacturerMappingStatus]&lt;&gt;"Approved",[@DeviceFamilyMappingStatus]&lt;&gt;"Approved",[@DeviceTypeMappingStatus]&lt;&gt;"Approved"),"Manual Review Required","Approved Crosswalk Available")</f>
        <v/>
      </c>
      <c r="Q577" t="inlineStr">
        <is>
          <t>Pending Review</t>
        </is>
      </c>
    </row>
    <row r="578" ht="21.5" customHeight="1" s="42">
      <c r="A578" s="36" t="n"/>
      <c r="B578" s="35" t="n"/>
      <c r="C578" s="35" t="n"/>
      <c r="D578" s="35" t="n"/>
      <c r="E578" s="39" t="n"/>
      <c r="F578" s="39" t="n"/>
      <c r="G578" s="10" t="inlineStr">
        <is>
          <t>MOD000575</t>
        </is>
      </c>
      <c r="H578" s="14" t="inlineStr">
        <is>
          <t>MFG013</t>
        </is>
      </c>
      <c r="I578" s="14" t="inlineStr">
        <is>
          <t>DF-133</t>
        </is>
      </c>
      <c r="J578" s="14">
        <f>XLOOKUP([@ManufacturerID],tblManufacturerIDCrosswalk[LegacyManufacturerID],tblManufacturerIDCrosswalk[CanonicalManufacturerID],"")</f>
        <v/>
      </c>
      <c r="K578" s="7">
        <f>XLOOKUP([@DeviceFamilyID],tblDeviceFamilyIDCrosswalk[LegacyDeviceFamilyID],tblDeviceFamilyIDCrosswalk[CanonicalDeviceFamilyID],"")</f>
        <v/>
      </c>
      <c r="L578" s="7">
        <f>XLOOKUP([@DeviceTypeID],tblDeviceTypeIDCrosswalk[LegacyDeviceTypeID],tblDeviceTypeIDCrosswalk[CanonicalDeviceTypeID],"")</f>
        <v/>
      </c>
      <c r="M578" s="14">
        <f>XLOOKUP([@ManufacturerID],tblManufacturerIDCrosswalk[LegacyManufacturerID],tblManufacturerIDCrosswalk[MappingStatus],"No Crosswalk")</f>
        <v/>
      </c>
      <c r="N578" s="35">
        <f>XLOOKUP([@DeviceFamilyID],tblDeviceFamilyIDCrosswalk[LegacyDeviceFamilyID],tblDeviceFamilyIDCrosswalk[MappingStatus],"No Crosswalk")</f>
        <v/>
      </c>
      <c r="O578" s="35">
        <f>XLOOKUP([@DeviceTypeID],tblDeviceTypeIDCrosswalk[LegacyDeviceTypeID],tblDeviceTypeIDCrosswalk[MappingStatus],"No Crosswalk")</f>
        <v/>
      </c>
      <c r="P578">
        <f>IF(OR([@ManufacturerMappingStatus]&lt;&gt;"Approved",[@DeviceFamilyMappingStatus]&lt;&gt;"Approved",[@DeviceTypeMappingStatus]&lt;&gt;"Approved"),"Manual Review Required","Approved Crosswalk Available")</f>
        <v/>
      </c>
      <c r="Q578" t="inlineStr">
        <is>
          <t>Pending Review</t>
        </is>
      </c>
    </row>
    <row r="579" ht="21.5" customHeight="1" s="42">
      <c r="A579" s="36" t="n"/>
      <c r="B579" s="35" t="n"/>
      <c r="C579" s="35" t="n"/>
      <c r="D579" s="35" t="n"/>
      <c r="E579" s="39" t="n"/>
      <c r="F579" s="39" t="n"/>
      <c r="G579" s="10" t="inlineStr">
        <is>
          <t>MOD000576</t>
        </is>
      </c>
      <c r="H579" s="14" t="inlineStr">
        <is>
          <t>MFG013</t>
        </is>
      </c>
      <c r="I579" s="14" t="inlineStr">
        <is>
          <t>DF-133</t>
        </is>
      </c>
      <c r="J579" s="14">
        <f>XLOOKUP([@ManufacturerID],tblManufacturerIDCrosswalk[LegacyManufacturerID],tblManufacturerIDCrosswalk[CanonicalManufacturerID],"")</f>
        <v/>
      </c>
      <c r="K579" s="7">
        <f>XLOOKUP([@DeviceFamilyID],tblDeviceFamilyIDCrosswalk[LegacyDeviceFamilyID],tblDeviceFamilyIDCrosswalk[CanonicalDeviceFamilyID],"")</f>
        <v/>
      </c>
      <c r="L579" s="7">
        <f>XLOOKUP([@DeviceTypeID],tblDeviceTypeIDCrosswalk[LegacyDeviceTypeID],tblDeviceTypeIDCrosswalk[CanonicalDeviceTypeID],"")</f>
        <v/>
      </c>
      <c r="M579" s="14">
        <f>XLOOKUP([@ManufacturerID],tblManufacturerIDCrosswalk[LegacyManufacturerID],tblManufacturerIDCrosswalk[MappingStatus],"No Crosswalk")</f>
        <v/>
      </c>
      <c r="N579" s="35">
        <f>XLOOKUP([@DeviceFamilyID],tblDeviceFamilyIDCrosswalk[LegacyDeviceFamilyID],tblDeviceFamilyIDCrosswalk[MappingStatus],"No Crosswalk")</f>
        <v/>
      </c>
      <c r="O579" s="35">
        <f>XLOOKUP([@DeviceTypeID],tblDeviceTypeIDCrosswalk[LegacyDeviceTypeID],tblDeviceTypeIDCrosswalk[MappingStatus],"No Crosswalk")</f>
        <v/>
      </c>
      <c r="P579">
        <f>IF(OR([@ManufacturerMappingStatus]&lt;&gt;"Approved",[@DeviceFamilyMappingStatus]&lt;&gt;"Approved",[@DeviceTypeMappingStatus]&lt;&gt;"Approved"),"Manual Review Required","Approved Crosswalk Available")</f>
        <v/>
      </c>
      <c r="Q579" t="inlineStr">
        <is>
          <t>Pending Review</t>
        </is>
      </c>
    </row>
    <row r="580" ht="21.5" customHeight="1" s="42">
      <c r="A580" s="36" t="n"/>
      <c r="B580" s="35" t="n"/>
      <c r="C580" s="35" t="n"/>
      <c r="D580" s="35" t="n"/>
      <c r="E580" s="39" t="n"/>
      <c r="F580" s="39" t="n"/>
      <c r="G580" s="10" t="inlineStr">
        <is>
          <t>MOD000577</t>
        </is>
      </c>
      <c r="H580" s="14" t="inlineStr">
        <is>
          <t>MFG014</t>
        </is>
      </c>
      <c r="I580" s="14" t="inlineStr">
        <is>
          <t>DF-140</t>
        </is>
      </c>
      <c r="J580" s="14">
        <f>XLOOKUP([@ManufacturerID],tblManufacturerIDCrosswalk[LegacyManufacturerID],tblManufacturerIDCrosswalk[CanonicalManufacturerID],"")</f>
        <v/>
      </c>
      <c r="K580" s="7">
        <f>XLOOKUP([@DeviceFamilyID],tblDeviceFamilyIDCrosswalk[LegacyDeviceFamilyID],tblDeviceFamilyIDCrosswalk[CanonicalDeviceFamilyID],"")</f>
        <v/>
      </c>
      <c r="L580" s="7">
        <f>XLOOKUP([@DeviceTypeID],tblDeviceTypeIDCrosswalk[LegacyDeviceTypeID],tblDeviceTypeIDCrosswalk[CanonicalDeviceTypeID],"")</f>
        <v/>
      </c>
      <c r="M580" s="14">
        <f>XLOOKUP([@ManufacturerID],tblManufacturerIDCrosswalk[LegacyManufacturerID],tblManufacturerIDCrosswalk[MappingStatus],"No Crosswalk")</f>
        <v/>
      </c>
      <c r="N580" s="35">
        <f>XLOOKUP([@DeviceFamilyID],tblDeviceFamilyIDCrosswalk[LegacyDeviceFamilyID],tblDeviceFamilyIDCrosswalk[MappingStatus],"No Crosswalk")</f>
        <v/>
      </c>
      <c r="O580" s="35">
        <f>XLOOKUP([@DeviceTypeID],tblDeviceTypeIDCrosswalk[LegacyDeviceTypeID],tblDeviceTypeIDCrosswalk[MappingStatus],"No Crosswalk")</f>
        <v/>
      </c>
      <c r="P580">
        <f>IF(OR([@ManufacturerMappingStatus]&lt;&gt;"Approved",[@DeviceFamilyMappingStatus]&lt;&gt;"Approved",[@DeviceTypeMappingStatus]&lt;&gt;"Approved"),"Manual Review Required","Approved Crosswalk Available")</f>
        <v/>
      </c>
      <c r="Q580" t="inlineStr">
        <is>
          <t>Pending Review</t>
        </is>
      </c>
    </row>
    <row r="581" ht="21.5" customHeight="1" s="42">
      <c r="A581" s="36" t="n"/>
      <c r="B581" s="35" t="n"/>
      <c r="C581" s="35" t="n"/>
      <c r="D581" s="35" t="n"/>
      <c r="E581" s="39" t="n"/>
      <c r="F581" s="39" t="n"/>
      <c r="G581" s="10" t="inlineStr">
        <is>
          <t>MOD000578</t>
        </is>
      </c>
      <c r="H581" s="14" t="inlineStr">
        <is>
          <t>MFG014</t>
        </is>
      </c>
      <c r="I581" s="14" t="inlineStr">
        <is>
          <t>DF-140</t>
        </is>
      </c>
      <c r="J581" s="14">
        <f>XLOOKUP([@ManufacturerID],tblManufacturerIDCrosswalk[LegacyManufacturerID],tblManufacturerIDCrosswalk[CanonicalManufacturerID],"")</f>
        <v/>
      </c>
      <c r="K581" s="7">
        <f>XLOOKUP([@DeviceFamilyID],tblDeviceFamilyIDCrosswalk[LegacyDeviceFamilyID],tblDeviceFamilyIDCrosswalk[CanonicalDeviceFamilyID],"")</f>
        <v/>
      </c>
      <c r="L581" s="7">
        <f>XLOOKUP([@DeviceTypeID],tblDeviceTypeIDCrosswalk[LegacyDeviceTypeID],tblDeviceTypeIDCrosswalk[CanonicalDeviceTypeID],"")</f>
        <v/>
      </c>
      <c r="M581" s="14">
        <f>XLOOKUP([@ManufacturerID],tblManufacturerIDCrosswalk[LegacyManufacturerID],tblManufacturerIDCrosswalk[MappingStatus],"No Crosswalk")</f>
        <v/>
      </c>
      <c r="N581" s="35">
        <f>XLOOKUP([@DeviceFamilyID],tblDeviceFamilyIDCrosswalk[LegacyDeviceFamilyID],tblDeviceFamilyIDCrosswalk[MappingStatus],"No Crosswalk")</f>
        <v/>
      </c>
      <c r="O581" s="35">
        <f>XLOOKUP([@DeviceTypeID],tblDeviceTypeIDCrosswalk[LegacyDeviceTypeID],tblDeviceTypeIDCrosswalk[MappingStatus],"No Crosswalk")</f>
        <v/>
      </c>
      <c r="P581">
        <f>IF(OR([@ManufacturerMappingStatus]&lt;&gt;"Approved",[@DeviceFamilyMappingStatus]&lt;&gt;"Approved",[@DeviceTypeMappingStatus]&lt;&gt;"Approved"),"Manual Review Required","Approved Crosswalk Available")</f>
        <v/>
      </c>
      <c r="Q581" t="inlineStr">
        <is>
          <t>Pending Review</t>
        </is>
      </c>
    </row>
    <row r="582" ht="21.5" customHeight="1" s="42">
      <c r="A582" s="36" t="n"/>
      <c r="B582" s="35" t="n"/>
      <c r="C582" s="35" t="n"/>
      <c r="D582" s="35" t="n"/>
      <c r="E582" s="39" t="n"/>
      <c r="F582" s="39" t="n"/>
      <c r="G582" s="10" t="inlineStr">
        <is>
          <t>MOD000579</t>
        </is>
      </c>
      <c r="H582" s="14" t="inlineStr">
        <is>
          <t>MFG014</t>
        </is>
      </c>
      <c r="I582" s="14" t="inlineStr">
        <is>
          <t>DF-140</t>
        </is>
      </c>
      <c r="J582" s="14">
        <f>XLOOKUP([@ManufacturerID],tblManufacturerIDCrosswalk[LegacyManufacturerID],tblManufacturerIDCrosswalk[CanonicalManufacturerID],"")</f>
        <v/>
      </c>
      <c r="K582" s="7">
        <f>XLOOKUP([@DeviceFamilyID],tblDeviceFamilyIDCrosswalk[LegacyDeviceFamilyID],tblDeviceFamilyIDCrosswalk[CanonicalDeviceFamilyID],"")</f>
        <v/>
      </c>
      <c r="L582" s="7">
        <f>XLOOKUP([@DeviceTypeID],tblDeviceTypeIDCrosswalk[LegacyDeviceTypeID],tblDeviceTypeIDCrosswalk[CanonicalDeviceTypeID],"")</f>
        <v/>
      </c>
      <c r="M582" s="14">
        <f>XLOOKUP([@ManufacturerID],tblManufacturerIDCrosswalk[LegacyManufacturerID],tblManufacturerIDCrosswalk[MappingStatus],"No Crosswalk")</f>
        <v/>
      </c>
      <c r="N582" s="35">
        <f>XLOOKUP([@DeviceFamilyID],tblDeviceFamilyIDCrosswalk[LegacyDeviceFamilyID],tblDeviceFamilyIDCrosswalk[MappingStatus],"No Crosswalk")</f>
        <v/>
      </c>
      <c r="O582" s="35">
        <f>XLOOKUP([@DeviceTypeID],tblDeviceTypeIDCrosswalk[LegacyDeviceTypeID],tblDeviceTypeIDCrosswalk[MappingStatus],"No Crosswalk")</f>
        <v/>
      </c>
      <c r="P582">
        <f>IF(OR([@ManufacturerMappingStatus]&lt;&gt;"Approved",[@DeviceFamilyMappingStatus]&lt;&gt;"Approved",[@DeviceTypeMappingStatus]&lt;&gt;"Approved"),"Manual Review Required","Approved Crosswalk Available")</f>
        <v/>
      </c>
      <c r="Q582" t="inlineStr">
        <is>
          <t>Pending Review</t>
        </is>
      </c>
    </row>
    <row r="583" ht="21.5" customHeight="1" s="42">
      <c r="A583" s="36" t="n"/>
      <c r="B583" s="35" t="n"/>
      <c r="C583" s="35" t="n"/>
      <c r="D583" s="35" t="n"/>
      <c r="E583" s="39" t="n"/>
      <c r="F583" s="39" t="n"/>
      <c r="G583" s="10" t="inlineStr">
        <is>
          <t>MOD000580</t>
        </is>
      </c>
      <c r="H583" s="14" t="inlineStr">
        <is>
          <t>MFG014</t>
        </is>
      </c>
      <c r="I583" s="14" t="inlineStr">
        <is>
          <t>DF-140</t>
        </is>
      </c>
      <c r="J583" s="14">
        <f>XLOOKUP([@ManufacturerID],tblManufacturerIDCrosswalk[LegacyManufacturerID],tblManufacturerIDCrosswalk[CanonicalManufacturerID],"")</f>
        <v/>
      </c>
      <c r="K583" s="7">
        <f>XLOOKUP([@DeviceFamilyID],tblDeviceFamilyIDCrosswalk[LegacyDeviceFamilyID],tblDeviceFamilyIDCrosswalk[CanonicalDeviceFamilyID],"")</f>
        <v/>
      </c>
      <c r="L583" s="7">
        <f>XLOOKUP([@DeviceTypeID],tblDeviceTypeIDCrosswalk[LegacyDeviceTypeID],tblDeviceTypeIDCrosswalk[CanonicalDeviceTypeID],"")</f>
        <v/>
      </c>
      <c r="M583" s="14">
        <f>XLOOKUP([@ManufacturerID],tblManufacturerIDCrosswalk[LegacyManufacturerID],tblManufacturerIDCrosswalk[MappingStatus],"No Crosswalk")</f>
        <v/>
      </c>
      <c r="N583" s="35">
        <f>XLOOKUP([@DeviceFamilyID],tblDeviceFamilyIDCrosswalk[LegacyDeviceFamilyID],tblDeviceFamilyIDCrosswalk[MappingStatus],"No Crosswalk")</f>
        <v/>
      </c>
      <c r="O583" s="35">
        <f>XLOOKUP([@DeviceTypeID],tblDeviceTypeIDCrosswalk[LegacyDeviceTypeID],tblDeviceTypeIDCrosswalk[MappingStatus],"No Crosswalk")</f>
        <v/>
      </c>
      <c r="P583">
        <f>IF(OR([@ManufacturerMappingStatus]&lt;&gt;"Approved",[@DeviceFamilyMappingStatus]&lt;&gt;"Approved",[@DeviceTypeMappingStatus]&lt;&gt;"Approved"),"Manual Review Required","Approved Crosswalk Available")</f>
        <v/>
      </c>
      <c r="Q583" t="inlineStr">
        <is>
          <t>Pending Review</t>
        </is>
      </c>
    </row>
    <row r="584" ht="21.5" customHeight="1" s="42">
      <c r="A584" s="36" t="n"/>
      <c r="B584" s="35" t="n"/>
      <c r="C584" s="35" t="n"/>
      <c r="D584" s="35" t="n"/>
      <c r="E584" s="39" t="n"/>
      <c r="F584" s="39" t="n"/>
      <c r="G584" s="10" t="inlineStr">
        <is>
          <t>MOD000581</t>
        </is>
      </c>
      <c r="H584" s="14" t="inlineStr">
        <is>
          <t>MFG014</t>
        </is>
      </c>
      <c r="I584" s="14" t="inlineStr">
        <is>
          <t>DF-141</t>
        </is>
      </c>
      <c r="J584" s="14">
        <f>XLOOKUP([@ManufacturerID],tblManufacturerIDCrosswalk[LegacyManufacturerID],tblManufacturerIDCrosswalk[CanonicalManufacturerID],"")</f>
        <v/>
      </c>
      <c r="K584" s="7">
        <f>XLOOKUP([@DeviceFamilyID],tblDeviceFamilyIDCrosswalk[LegacyDeviceFamilyID],tblDeviceFamilyIDCrosswalk[CanonicalDeviceFamilyID],"")</f>
        <v/>
      </c>
      <c r="L584" s="7">
        <f>XLOOKUP([@DeviceTypeID],tblDeviceTypeIDCrosswalk[LegacyDeviceTypeID],tblDeviceTypeIDCrosswalk[CanonicalDeviceTypeID],"")</f>
        <v/>
      </c>
      <c r="M584" s="14">
        <f>XLOOKUP([@ManufacturerID],tblManufacturerIDCrosswalk[LegacyManufacturerID],tblManufacturerIDCrosswalk[MappingStatus],"No Crosswalk")</f>
        <v/>
      </c>
      <c r="N584" s="35">
        <f>XLOOKUP([@DeviceFamilyID],tblDeviceFamilyIDCrosswalk[LegacyDeviceFamilyID],tblDeviceFamilyIDCrosswalk[MappingStatus],"No Crosswalk")</f>
        <v/>
      </c>
      <c r="O584" s="35">
        <f>XLOOKUP([@DeviceTypeID],tblDeviceTypeIDCrosswalk[LegacyDeviceTypeID],tblDeviceTypeIDCrosswalk[MappingStatus],"No Crosswalk")</f>
        <v/>
      </c>
      <c r="P584">
        <f>IF(OR([@ManufacturerMappingStatus]&lt;&gt;"Approved",[@DeviceFamilyMappingStatus]&lt;&gt;"Approved",[@DeviceTypeMappingStatus]&lt;&gt;"Approved"),"Manual Review Required","Approved Crosswalk Available")</f>
        <v/>
      </c>
      <c r="Q584" t="inlineStr">
        <is>
          <t>Pending Review</t>
        </is>
      </c>
    </row>
    <row r="585" ht="21.5" customHeight="1" s="42">
      <c r="A585" s="36" t="n"/>
      <c r="B585" s="35" t="n"/>
      <c r="C585" s="35" t="n"/>
      <c r="D585" s="35" t="n"/>
      <c r="E585" s="39" t="n"/>
      <c r="F585" s="39" t="n"/>
      <c r="G585" s="10" t="inlineStr">
        <is>
          <t>MOD000582</t>
        </is>
      </c>
      <c r="H585" s="14" t="inlineStr">
        <is>
          <t>MFG014</t>
        </is>
      </c>
      <c r="I585" s="14" t="inlineStr">
        <is>
          <t>DF-142</t>
        </is>
      </c>
      <c r="J585" s="14">
        <f>XLOOKUP([@ManufacturerID],tblManufacturerIDCrosswalk[LegacyManufacturerID],tblManufacturerIDCrosswalk[CanonicalManufacturerID],"")</f>
        <v/>
      </c>
      <c r="K585" s="7">
        <f>XLOOKUP([@DeviceFamilyID],tblDeviceFamilyIDCrosswalk[LegacyDeviceFamilyID],tblDeviceFamilyIDCrosswalk[CanonicalDeviceFamilyID],"")</f>
        <v/>
      </c>
      <c r="L585" s="7">
        <f>XLOOKUP([@DeviceTypeID],tblDeviceTypeIDCrosswalk[LegacyDeviceTypeID],tblDeviceTypeIDCrosswalk[CanonicalDeviceTypeID],"")</f>
        <v/>
      </c>
      <c r="M585" s="14">
        <f>XLOOKUP([@ManufacturerID],tblManufacturerIDCrosswalk[LegacyManufacturerID],tblManufacturerIDCrosswalk[MappingStatus],"No Crosswalk")</f>
        <v/>
      </c>
      <c r="N585" s="35">
        <f>XLOOKUP([@DeviceFamilyID],tblDeviceFamilyIDCrosswalk[LegacyDeviceFamilyID],tblDeviceFamilyIDCrosswalk[MappingStatus],"No Crosswalk")</f>
        <v/>
      </c>
      <c r="O585" s="35">
        <f>XLOOKUP([@DeviceTypeID],tblDeviceTypeIDCrosswalk[LegacyDeviceTypeID],tblDeviceTypeIDCrosswalk[MappingStatus],"No Crosswalk")</f>
        <v/>
      </c>
      <c r="P585">
        <f>IF(OR([@ManufacturerMappingStatus]&lt;&gt;"Approved",[@DeviceFamilyMappingStatus]&lt;&gt;"Approved",[@DeviceTypeMappingStatus]&lt;&gt;"Approved"),"Manual Review Required","Approved Crosswalk Available")</f>
        <v/>
      </c>
      <c r="Q585" t="inlineStr">
        <is>
          <t>Pending Review</t>
        </is>
      </c>
    </row>
    <row r="586" ht="21.5" customHeight="1" s="42">
      <c r="A586" s="36" t="n"/>
      <c r="B586" s="35" t="n"/>
      <c r="C586" s="35" t="n"/>
      <c r="D586" s="35" t="n"/>
      <c r="E586" s="39" t="n"/>
      <c r="F586" s="39" t="n"/>
      <c r="G586" s="10" t="inlineStr">
        <is>
          <t>MOD000583</t>
        </is>
      </c>
      <c r="H586" s="14" t="inlineStr">
        <is>
          <t>MFG015</t>
        </is>
      </c>
      <c r="I586" s="14" t="inlineStr">
        <is>
          <t>DF-150</t>
        </is>
      </c>
      <c r="J586" s="14">
        <f>XLOOKUP([@ManufacturerID],tblManufacturerIDCrosswalk[LegacyManufacturerID],tblManufacturerIDCrosswalk[CanonicalManufacturerID],"")</f>
        <v/>
      </c>
      <c r="K586" s="7">
        <f>XLOOKUP([@DeviceFamilyID],tblDeviceFamilyIDCrosswalk[LegacyDeviceFamilyID],tblDeviceFamilyIDCrosswalk[CanonicalDeviceFamilyID],"")</f>
        <v/>
      </c>
      <c r="L586" s="7">
        <f>XLOOKUP([@DeviceTypeID],tblDeviceTypeIDCrosswalk[LegacyDeviceTypeID],tblDeviceTypeIDCrosswalk[CanonicalDeviceTypeID],"")</f>
        <v/>
      </c>
      <c r="M586" s="14">
        <f>XLOOKUP([@ManufacturerID],tblManufacturerIDCrosswalk[LegacyManufacturerID],tblManufacturerIDCrosswalk[MappingStatus],"No Crosswalk")</f>
        <v/>
      </c>
      <c r="N586" s="35">
        <f>XLOOKUP([@DeviceFamilyID],tblDeviceFamilyIDCrosswalk[LegacyDeviceFamilyID],tblDeviceFamilyIDCrosswalk[MappingStatus],"No Crosswalk")</f>
        <v/>
      </c>
      <c r="O586" s="35">
        <f>XLOOKUP([@DeviceTypeID],tblDeviceTypeIDCrosswalk[LegacyDeviceTypeID],tblDeviceTypeIDCrosswalk[MappingStatus],"No Crosswalk")</f>
        <v/>
      </c>
      <c r="P586">
        <f>IF(OR([@ManufacturerMappingStatus]&lt;&gt;"Approved",[@DeviceFamilyMappingStatus]&lt;&gt;"Approved",[@DeviceTypeMappingStatus]&lt;&gt;"Approved"),"Manual Review Required","Approved Crosswalk Available")</f>
        <v/>
      </c>
      <c r="Q586" t="inlineStr">
        <is>
          <t>Pending Review</t>
        </is>
      </c>
    </row>
    <row r="587" ht="21.5" customHeight="1" s="42">
      <c r="A587" s="36" t="n"/>
      <c r="B587" s="35" t="n"/>
      <c r="C587" s="35" t="n"/>
      <c r="D587" s="35" t="n"/>
      <c r="E587" s="39" t="n"/>
      <c r="F587" s="39" t="n"/>
      <c r="G587" s="10" t="inlineStr">
        <is>
          <t>MOD000584</t>
        </is>
      </c>
      <c r="H587" s="14" t="inlineStr">
        <is>
          <t>MFG015</t>
        </is>
      </c>
      <c r="I587" s="14" t="inlineStr">
        <is>
          <t>DF-150</t>
        </is>
      </c>
      <c r="J587" s="14">
        <f>XLOOKUP([@ManufacturerID],tblManufacturerIDCrosswalk[LegacyManufacturerID],tblManufacturerIDCrosswalk[CanonicalManufacturerID],"")</f>
        <v/>
      </c>
      <c r="K587" s="7">
        <f>XLOOKUP([@DeviceFamilyID],tblDeviceFamilyIDCrosswalk[LegacyDeviceFamilyID],tblDeviceFamilyIDCrosswalk[CanonicalDeviceFamilyID],"")</f>
        <v/>
      </c>
      <c r="L587" s="7">
        <f>XLOOKUP([@DeviceTypeID],tblDeviceTypeIDCrosswalk[LegacyDeviceTypeID],tblDeviceTypeIDCrosswalk[CanonicalDeviceTypeID],"")</f>
        <v/>
      </c>
      <c r="M587" s="14">
        <f>XLOOKUP([@ManufacturerID],tblManufacturerIDCrosswalk[LegacyManufacturerID],tblManufacturerIDCrosswalk[MappingStatus],"No Crosswalk")</f>
        <v/>
      </c>
      <c r="N587" s="35">
        <f>XLOOKUP([@DeviceFamilyID],tblDeviceFamilyIDCrosswalk[LegacyDeviceFamilyID],tblDeviceFamilyIDCrosswalk[MappingStatus],"No Crosswalk")</f>
        <v/>
      </c>
      <c r="O587" s="35">
        <f>XLOOKUP([@DeviceTypeID],tblDeviceTypeIDCrosswalk[LegacyDeviceTypeID],tblDeviceTypeIDCrosswalk[MappingStatus],"No Crosswalk")</f>
        <v/>
      </c>
      <c r="P587">
        <f>IF(OR([@ManufacturerMappingStatus]&lt;&gt;"Approved",[@DeviceFamilyMappingStatus]&lt;&gt;"Approved",[@DeviceTypeMappingStatus]&lt;&gt;"Approved"),"Manual Review Required","Approved Crosswalk Available")</f>
        <v/>
      </c>
      <c r="Q587" t="inlineStr">
        <is>
          <t>Pending Review</t>
        </is>
      </c>
    </row>
    <row r="588" ht="21.5" customHeight="1" s="42">
      <c r="A588" s="36" t="n"/>
      <c r="B588" s="35" t="n"/>
      <c r="C588" s="35" t="n"/>
      <c r="D588" s="35" t="n"/>
      <c r="E588" s="39" t="n"/>
      <c r="F588" s="39" t="n"/>
      <c r="G588" s="10" t="inlineStr">
        <is>
          <t>MOD000585</t>
        </is>
      </c>
      <c r="H588" s="14" t="inlineStr">
        <is>
          <t>MFG015</t>
        </is>
      </c>
      <c r="I588" s="14" t="inlineStr">
        <is>
          <t>DF-151</t>
        </is>
      </c>
      <c r="J588" s="14">
        <f>XLOOKUP([@ManufacturerID],tblManufacturerIDCrosswalk[LegacyManufacturerID],tblManufacturerIDCrosswalk[CanonicalManufacturerID],"")</f>
        <v/>
      </c>
      <c r="K588" s="7">
        <f>XLOOKUP([@DeviceFamilyID],tblDeviceFamilyIDCrosswalk[LegacyDeviceFamilyID],tblDeviceFamilyIDCrosswalk[CanonicalDeviceFamilyID],"")</f>
        <v/>
      </c>
      <c r="L588" s="7">
        <f>XLOOKUP([@DeviceTypeID],tblDeviceTypeIDCrosswalk[LegacyDeviceTypeID],tblDeviceTypeIDCrosswalk[CanonicalDeviceTypeID],"")</f>
        <v/>
      </c>
      <c r="M588" s="14">
        <f>XLOOKUP([@ManufacturerID],tblManufacturerIDCrosswalk[LegacyManufacturerID],tblManufacturerIDCrosswalk[MappingStatus],"No Crosswalk")</f>
        <v/>
      </c>
      <c r="N588" s="35">
        <f>XLOOKUP([@DeviceFamilyID],tblDeviceFamilyIDCrosswalk[LegacyDeviceFamilyID],tblDeviceFamilyIDCrosswalk[MappingStatus],"No Crosswalk")</f>
        <v/>
      </c>
      <c r="O588" s="35">
        <f>XLOOKUP([@DeviceTypeID],tblDeviceTypeIDCrosswalk[LegacyDeviceTypeID],tblDeviceTypeIDCrosswalk[MappingStatus],"No Crosswalk")</f>
        <v/>
      </c>
      <c r="P588">
        <f>IF(OR([@ManufacturerMappingStatus]&lt;&gt;"Approved",[@DeviceFamilyMappingStatus]&lt;&gt;"Approved",[@DeviceTypeMappingStatus]&lt;&gt;"Approved"),"Manual Review Required","Approved Crosswalk Available")</f>
        <v/>
      </c>
      <c r="Q588" t="inlineStr">
        <is>
          <t>Pending Review</t>
        </is>
      </c>
    </row>
    <row r="589" ht="21.5" customHeight="1" s="42">
      <c r="A589" s="36" t="n"/>
      <c r="B589" s="35" t="n"/>
      <c r="C589" s="35" t="n"/>
      <c r="D589" s="35" t="n"/>
      <c r="E589" s="39" t="n"/>
      <c r="F589" s="39" t="n"/>
      <c r="G589" s="10" t="inlineStr">
        <is>
          <t>MOD000586</t>
        </is>
      </c>
      <c r="H589" s="14" t="inlineStr">
        <is>
          <t>MFG015</t>
        </is>
      </c>
      <c r="I589" s="14" t="inlineStr">
        <is>
          <t>DF-151</t>
        </is>
      </c>
      <c r="J589" s="14">
        <f>XLOOKUP([@ManufacturerID],tblManufacturerIDCrosswalk[LegacyManufacturerID],tblManufacturerIDCrosswalk[CanonicalManufacturerID],"")</f>
        <v/>
      </c>
      <c r="K589" s="7">
        <f>XLOOKUP([@DeviceFamilyID],tblDeviceFamilyIDCrosswalk[LegacyDeviceFamilyID],tblDeviceFamilyIDCrosswalk[CanonicalDeviceFamilyID],"")</f>
        <v/>
      </c>
      <c r="L589" s="7">
        <f>XLOOKUP([@DeviceTypeID],tblDeviceTypeIDCrosswalk[LegacyDeviceTypeID],tblDeviceTypeIDCrosswalk[CanonicalDeviceTypeID],"")</f>
        <v/>
      </c>
      <c r="M589" s="14">
        <f>XLOOKUP([@ManufacturerID],tblManufacturerIDCrosswalk[LegacyManufacturerID],tblManufacturerIDCrosswalk[MappingStatus],"No Crosswalk")</f>
        <v/>
      </c>
      <c r="N589" s="35">
        <f>XLOOKUP([@DeviceFamilyID],tblDeviceFamilyIDCrosswalk[LegacyDeviceFamilyID],tblDeviceFamilyIDCrosswalk[MappingStatus],"No Crosswalk")</f>
        <v/>
      </c>
      <c r="O589" s="35">
        <f>XLOOKUP([@DeviceTypeID],tblDeviceTypeIDCrosswalk[LegacyDeviceTypeID],tblDeviceTypeIDCrosswalk[MappingStatus],"No Crosswalk")</f>
        <v/>
      </c>
      <c r="P589">
        <f>IF(OR([@ManufacturerMappingStatus]&lt;&gt;"Approved",[@DeviceFamilyMappingStatus]&lt;&gt;"Approved",[@DeviceTypeMappingStatus]&lt;&gt;"Approved"),"Manual Review Required","Approved Crosswalk Available")</f>
        <v/>
      </c>
      <c r="Q589" t="inlineStr">
        <is>
          <t>Pending Review</t>
        </is>
      </c>
    </row>
    <row r="590" ht="21.5" customHeight="1" s="42">
      <c r="A590" s="36" t="n"/>
      <c r="B590" s="35" t="n"/>
      <c r="C590" s="35" t="n"/>
      <c r="D590" s="35" t="n"/>
      <c r="E590" s="39" t="n"/>
      <c r="F590" s="39" t="n"/>
      <c r="G590" s="10" t="inlineStr">
        <is>
          <t>MOD000587</t>
        </is>
      </c>
      <c r="H590" s="14" t="inlineStr">
        <is>
          <t>MFG015</t>
        </is>
      </c>
      <c r="I590" s="14" t="inlineStr">
        <is>
          <t>DF-152</t>
        </is>
      </c>
      <c r="J590" s="14">
        <f>XLOOKUP([@ManufacturerID],tblManufacturerIDCrosswalk[LegacyManufacturerID],tblManufacturerIDCrosswalk[CanonicalManufacturerID],"")</f>
        <v/>
      </c>
      <c r="K590" s="7">
        <f>XLOOKUP([@DeviceFamilyID],tblDeviceFamilyIDCrosswalk[LegacyDeviceFamilyID],tblDeviceFamilyIDCrosswalk[CanonicalDeviceFamilyID],"")</f>
        <v/>
      </c>
      <c r="L590" s="7">
        <f>XLOOKUP([@DeviceTypeID],tblDeviceTypeIDCrosswalk[LegacyDeviceTypeID],tblDeviceTypeIDCrosswalk[CanonicalDeviceTypeID],"")</f>
        <v/>
      </c>
      <c r="M590" s="14">
        <f>XLOOKUP([@ManufacturerID],tblManufacturerIDCrosswalk[LegacyManufacturerID],tblManufacturerIDCrosswalk[MappingStatus],"No Crosswalk")</f>
        <v/>
      </c>
      <c r="N590" s="35">
        <f>XLOOKUP([@DeviceFamilyID],tblDeviceFamilyIDCrosswalk[LegacyDeviceFamilyID],tblDeviceFamilyIDCrosswalk[MappingStatus],"No Crosswalk")</f>
        <v/>
      </c>
      <c r="O590" s="35">
        <f>XLOOKUP([@DeviceTypeID],tblDeviceTypeIDCrosswalk[LegacyDeviceTypeID],tblDeviceTypeIDCrosswalk[MappingStatus],"No Crosswalk")</f>
        <v/>
      </c>
      <c r="P590">
        <f>IF(OR([@ManufacturerMappingStatus]&lt;&gt;"Approved",[@DeviceFamilyMappingStatus]&lt;&gt;"Approved",[@DeviceTypeMappingStatus]&lt;&gt;"Approved"),"Manual Review Required","Approved Crosswalk Available")</f>
        <v/>
      </c>
      <c r="Q590" t="inlineStr">
        <is>
          <t>Pending Review</t>
        </is>
      </c>
    </row>
    <row r="591" ht="21.5" customHeight="1" s="42">
      <c r="A591" s="36" t="n"/>
      <c r="B591" s="35" t="n"/>
      <c r="C591" s="35" t="n"/>
      <c r="D591" s="35" t="n"/>
      <c r="E591" s="39" t="n"/>
      <c r="F591" s="39" t="n"/>
      <c r="G591" s="10" t="inlineStr">
        <is>
          <t>MOD000588</t>
        </is>
      </c>
      <c r="H591" s="14" t="inlineStr">
        <is>
          <t>MFG015</t>
        </is>
      </c>
      <c r="I591" s="14" t="inlineStr">
        <is>
          <t>DF-153</t>
        </is>
      </c>
      <c r="J591" s="14">
        <f>XLOOKUP([@ManufacturerID],tblManufacturerIDCrosswalk[LegacyManufacturerID],tblManufacturerIDCrosswalk[CanonicalManufacturerID],"")</f>
        <v/>
      </c>
      <c r="K591" s="7">
        <f>XLOOKUP([@DeviceFamilyID],tblDeviceFamilyIDCrosswalk[LegacyDeviceFamilyID],tblDeviceFamilyIDCrosswalk[CanonicalDeviceFamilyID],"")</f>
        <v/>
      </c>
      <c r="L591" s="7">
        <f>XLOOKUP([@DeviceTypeID],tblDeviceTypeIDCrosswalk[LegacyDeviceTypeID],tblDeviceTypeIDCrosswalk[CanonicalDeviceTypeID],"")</f>
        <v/>
      </c>
      <c r="M591" s="14">
        <f>XLOOKUP([@ManufacturerID],tblManufacturerIDCrosswalk[LegacyManufacturerID],tblManufacturerIDCrosswalk[MappingStatus],"No Crosswalk")</f>
        <v/>
      </c>
      <c r="N591" s="35">
        <f>XLOOKUP([@DeviceFamilyID],tblDeviceFamilyIDCrosswalk[LegacyDeviceFamilyID],tblDeviceFamilyIDCrosswalk[MappingStatus],"No Crosswalk")</f>
        <v/>
      </c>
      <c r="O591" s="35">
        <f>XLOOKUP([@DeviceTypeID],tblDeviceTypeIDCrosswalk[LegacyDeviceTypeID],tblDeviceTypeIDCrosswalk[MappingStatus],"No Crosswalk")</f>
        <v/>
      </c>
      <c r="P591">
        <f>IF(OR([@ManufacturerMappingStatus]&lt;&gt;"Approved",[@DeviceFamilyMappingStatus]&lt;&gt;"Approved",[@DeviceTypeMappingStatus]&lt;&gt;"Approved"),"Manual Review Required","Approved Crosswalk Available")</f>
        <v/>
      </c>
      <c r="Q591" t="inlineStr">
        <is>
          <t>Pending Review</t>
        </is>
      </c>
    </row>
    <row r="592" ht="21.5" customHeight="1" s="42">
      <c r="A592" s="36" t="n"/>
      <c r="B592" s="35" t="n"/>
      <c r="C592" s="35" t="n"/>
      <c r="D592" s="35" t="n"/>
      <c r="E592" s="39" t="n"/>
      <c r="F592" s="39" t="n"/>
      <c r="G592" s="10" t="inlineStr">
        <is>
          <t>MOD000589</t>
        </is>
      </c>
      <c r="H592" s="14" t="inlineStr">
        <is>
          <t>MFG016</t>
        </is>
      </c>
      <c r="I592" s="14" t="inlineStr">
        <is>
          <t>DF-160</t>
        </is>
      </c>
      <c r="J592" s="14">
        <f>XLOOKUP([@ManufacturerID],tblManufacturerIDCrosswalk[LegacyManufacturerID],tblManufacturerIDCrosswalk[CanonicalManufacturerID],"")</f>
        <v/>
      </c>
      <c r="K592" s="7">
        <f>XLOOKUP([@DeviceFamilyID],tblDeviceFamilyIDCrosswalk[LegacyDeviceFamilyID],tblDeviceFamilyIDCrosswalk[CanonicalDeviceFamilyID],"")</f>
        <v/>
      </c>
      <c r="L592" s="7">
        <f>XLOOKUP([@DeviceTypeID],tblDeviceTypeIDCrosswalk[LegacyDeviceTypeID],tblDeviceTypeIDCrosswalk[CanonicalDeviceTypeID],"")</f>
        <v/>
      </c>
      <c r="M592" s="14">
        <f>XLOOKUP([@ManufacturerID],tblManufacturerIDCrosswalk[LegacyManufacturerID],tblManufacturerIDCrosswalk[MappingStatus],"No Crosswalk")</f>
        <v/>
      </c>
      <c r="N592" s="35">
        <f>XLOOKUP([@DeviceFamilyID],tblDeviceFamilyIDCrosswalk[LegacyDeviceFamilyID],tblDeviceFamilyIDCrosswalk[MappingStatus],"No Crosswalk")</f>
        <v/>
      </c>
      <c r="O592" s="35">
        <f>XLOOKUP([@DeviceTypeID],tblDeviceTypeIDCrosswalk[LegacyDeviceTypeID],tblDeviceTypeIDCrosswalk[MappingStatus],"No Crosswalk")</f>
        <v/>
      </c>
      <c r="P592">
        <f>IF(OR([@ManufacturerMappingStatus]&lt;&gt;"Approved",[@DeviceFamilyMappingStatus]&lt;&gt;"Approved",[@DeviceTypeMappingStatus]&lt;&gt;"Approved"),"Manual Review Required","Approved Crosswalk Available")</f>
        <v/>
      </c>
      <c r="Q592" t="inlineStr">
        <is>
          <t>Pending Review</t>
        </is>
      </c>
    </row>
    <row r="593" ht="21.5" customHeight="1" s="42">
      <c r="A593" s="36" t="n"/>
      <c r="B593" s="35" t="n"/>
      <c r="C593" s="35" t="n"/>
      <c r="D593" s="35" t="n"/>
      <c r="E593" s="39" t="n"/>
      <c r="F593" s="39" t="n"/>
      <c r="G593" s="10" t="inlineStr">
        <is>
          <t>MOD000590</t>
        </is>
      </c>
      <c r="H593" s="14" t="inlineStr">
        <is>
          <t>MFG016</t>
        </is>
      </c>
      <c r="I593" s="14" t="inlineStr">
        <is>
          <t>DF-161</t>
        </is>
      </c>
      <c r="J593" s="14">
        <f>XLOOKUP([@ManufacturerID],tblManufacturerIDCrosswalk[LegacyManufacturerID],tblManufacturerIDCrosswalk[CanonicalManufacturerID],"")</f>
        <v/>
      </c>
      <c r="K593" s="7">
        <f>XLOOKUP([@DeviceFamilyID],tblDeviceFamilyIDCrosswalk[LegacyDeviceFamilyID],tblDeviceFamilyIDCrosswalk[CanonicalDeviceFamilyID],"")</f>
        <v/>
      </c>
      <c r="L593" s="7">
        <f>XLOOKUP([@DeviceTypeID],tblDeviceTypeIDCrosswalk[LegacyDeviceTypeID],tblDeviceTypeIDCrosswalk[CanonicalDeviceTypeID],"")</f>
        <v/>
      </c>
      <c r="M593" s="14">
        <f>XLOOKUP([@ManufacturerID],tblManufacturerIDCrosswalk[LegacyManufacturerID],tblManufacturerIDCrosswalk[MappingStatus],"No Crosswalk")</f>
        <v/>
      </c>
      <c r="N593" s="35">
        <f>XLOOKUP([@DeviceFamilyID],tblDeviceFamilyIDCrosswalk[LegacyDeviceFamilyID],tblDeviceFamilyIDCrosswalk[MappingStatus],"No Crosswalk")</f>
        <v/>
      </c>
      <c r="O593" s="35">
        <f>XLOOKUP([@DeviceTypeID],tblDeviceTypeIDCrosswalk[LegacyDeviceTypeID],tblDeviceTypeIDCrosswalk[MappingStatus],"No Crosswalk")</f>
        <v/>
      </c>
      <c r="P593">
        <f>IF(OR([@ManufacturerMappingStatus]&lt;&gt;"Approved",[@DeviceFamilyMappingStatus]&lt;&gt;"Approved",[@DeviceTypeMappingStatus]&lt;&gt;"Approved"),"Manual Review Required","Approved Crosswalk Available")</f>
        <v/>
      </c>
      <c r="Q593" t="inlineStr">
        <is>
          <t>Pending Review</t>
        </is>
      </c>
    </row>
    <row r="594" ht="21.5" customHeight="1" s="42">
      <c r="A594" s="36" t="n"/>
      <c r="B594" s="35" t="n"/>
      <c r="C594" s="35" t="n"/>
      <c r="D594" s="35" t="n"/>
      <c r="E594" s="39" t="n"/>
      <c r="F594" s="39" t="n"/>
      <c r="G594" s="10" t="inlineStr">
        <is>
          <t>MOD000591</t>
        </is>
      </c>
      <c r="H594" s="14" t="inlineStr">
        <is>
          <t>MFG017</t>
        </is>
      </c>
      <c r="I594" s="14" t="inlineStr">
        <is>
          <t>DF-170</t>
        </is>
      </c>
      <c r="J594" s="14">
        <f>XLOOKUP([@ManufacturerID],tblManufacturerIDCrosswalk[LegacyManufacturerID],tblManufacturerIDCrosswalk[CanonicalManufacturerID],"")</f>
        <v/>
      </c>
      <c r="K594" s="7">
        <f>XLOOKUP([@DeviceFamilyID],tblDeviceFamilyIDCrosswalk[LegacyDeviceFamilyID],tblDeviceFamilyIDCrosswalk[CanonicalDeviceFamilyID],"")</f>
        <v/>
      </c>
      <c r="L594" s="7">
        <f>XLOOKUP([@DeviceTypeID],tblDeviceTypeIDCrosswalk[LegacyDeviceTypeID],tblDeviceTypeIDCrosswalk[CanonicalDeviceTypeID],"")</f>
        <v/>
      </c>
      <c r="M594" s="14">
        <f>XLOOKUP([@ManufacturerID],tblManufacturerIDCrosswalk[LegacyManufacturerID],tblManufacturerIDCrosswalk[MappingStatus],"No Crosswalk")</f>
        <v/>
      </c>
      <c r="N594" s="35">
        <f>XLOOKUP([@DeviceFamilyID],tblDeviceFamilyIDCrosswalk[LegacyDeviceFamilyID],tblDeviceFamilyIDCrosswalk[MappingStatus],"No Crosswalk")</f>
        <v/>
      </c>
      <c r="O594" s="35">
        <f>XLOOKUP([@DeviceTypeID],tblDeviceTypeIDCrosswalk[LegacyDeviceTypeID],tblDeviceTypeIDCrosswalk[MappingStatus],"No Crosswalk")</f>
        <v/>
      </c>
      <c r="P594">
        <f>IF(OR([@ManufacturerMappingStatus]&lt;&gt;"Approved",[@DeviceFamilyMappingStatus]&lt;&gt;"Approved",[@DeviceTypeMappingStatus]&lt;&gt;"Approved"),"Manual Review Required","Approved Crosswalk Available")</f>
        <v/>
      </c>
      <c r="Q594" t="inlineStr">
        <is>
          <t>Pending Review</t>
        </is>
      </c>
    </row>
    <row r="595" ht="21.5" customHeight="1" s="42">
      <c r="A595" s="36" t="n"/>
      <c r="B595" s="35" t="n"/>
      <c r="C595" s="35" t="n"/>
      <c r="D595" s="35" t="n"/>
      <c r="E595" s="39" t="n"/>
      <c r="F595" s="39" t="n"/>
      <c r="G595" s="10" t="inlineStr">
        <is>
          <t>MOD000592</t>
        </is>
      </c>
      <c r="H595" s="14" t="inlineStr">
        <is>
          <t>MFG017</t>
        </is>
      </c>
      <c r="I595" s="14" t="inlineStr">
        <is>
          <t>DF-170</t>
        </is>
      </c>
      <c r="J595" s="14">
        <f>XLOOKUP([@ManufacturerID],tblManufacturerIDCrosswalk[LegacyManufacturerID],tblManufacturerIDCrosswalk[CanonicalManufacturerID],"")</f>
        <v/>
      </c>
      <c r="K595" s="7">
        <f>XLOOKUP([@DeviceFamilyID],tblDeviceFamilyIDCrosswalk[LegacyDeviceFamilyID],tblDeviceFamilyIDCrosswalk[CanonicalDeviceFamilyID],"")</f>
        <v/>
      </c>
      <c r="L595" s="7">
        <f>XLOOKUP([@DeviceTypeID],tblDeviceTypeIDCrosswalk[LegacyDeviceTypeID],tblDeviceTypeIDCrosswalk[CanonicalDeviceTypeID],"")</f>
        <v/>
      </c>
      <c r="M595" s="14">
        <f>XLOOKUP([@ManufacturerID],tblManufacturerIDCrosswalk[LegacyManufacturerID],tblManufacturerIDCrosswalk[MappingStatus],"No Crosswalk")</f>
        <v/>
      </c>
      <c r="N595" s="35">
        <f>XLOOKUP([@DeviceFamilyID],tblDeviceFamilyIDCrosswalk[LegacyDeviceFamilyID],tblDeviceFamilyIDCrosswalk[MappingStatus],"No Crosswalk")</f>
        <v/>
      </c>
      <c r="O595" s="35">
        <f>XLOOKUP([@DeviceTypeID],tblDeviceTypeIDCrosswalk[LegacyDeviceTypeID],tblDeviceTypeIDCrosswalk[MappingStatus],"No Crosswalk")</f>
        <v/>
      </c>
      <c r="P595">
        <f>IF(OR([@ManufacturerMappingStatus]&lt;&gt;"Approved",[@DeviceFamilyMappingStatus]&lt;&gt;"Approved",[@DeviceTypeMappingStatus]&lt;&gt;"Approved"),"Manual Review Required","Approved Crosswalk Available")</f>
        <v/>
      </c>
      <c r="Q595" t="inlineStr">
        <is>
          <t>Pending Review</t>
        </is>
      </c>
    </row>
    <row r="596" ht="21.5" customHeight="1" s="42">
      <c r="A596" s="36" t="n"/>
      <c r="B596" s="35" t="n"/>
      <c r="C596" s="35" t="n"/>
      <c r="D596" s="35" t="n"/>
      <c r="E596" s="39" t="n"/>
      <c r="F596" s="39" t="n"/>
      <c r="G596" s="10" t="inlineStr">
        <is>
          <t>MOD000593</t>
        </is>
      </c>
      <c r="H596" s="14" t="inlineStr">
        <is>
          <t>MFG017</t>
        </is>
      </c>
      <c r="I596" s="14" t="inlineStr">
        <is>
          <t>DF-170</t>
        </is>
      </c>
      <c r="J596" s="14">
        <f>XLOOKUP([@ManufacturerID],tblManufacturerIDCrosswalk[LegacyManufacturerID],tblManufacturerIDCrosswalk[CanonicalManufacturerID],"")</f>
        <v/>
      </c>
      <c r="K596" s="7">
        <f>XLOOKUP([@DeviceFamilyID],tblDeviceFamilyIDCrosswalk[LegacyDeviceFamilyID],tblDeviceFamilyIDCrosswalk[CanonicalDeviceFamilyID],"")</f>
        <v/>
      </c>
      <c r="L596" s="7">
        <f>XLOOKUP([@DeviceTypeID],tblDeviceTypeIDCrosswalk[LegacyDeviceTypeID],tblDeviceTypeIDCrosswalk[CanonicalDeviceTypeID],"")</f>
        <v/>
      </c>
      <c r="M596" s="14">
        <f>XLOOKUP([@ManufacturerID],tblManufacturerIDCrosswalk[LegacyManufacturerID],tblManufacturerIDCrosswalk[MappingStatus],"No Crosswalk")</f>
        <v/>
      </c>
      <c r="N596" s="35">
        <f>XLOOKUP([@DeviceFamilyID],tblDeviceFamilyIDCrosswalk[LegacyDeviceFamilyID],tblDeviceFamilyIDCrosswalk[MappingStatus],"No Crosswalk")</f>
        <v/>
      </c>
      <c r="O596" s="35">
        <f>XLOOKUP([@DeviceTypeID],tblDeviceTypeIDCrosswalk[LegacyDeviceTypeID],tblDeviceTypeIDCrosswalk[MappingStatus],"No Crosswalk")</f>
        <v/>
      </c>
      <c r="P596">
        <f>IF(OR([@ManufacturerMappingStatus]&lt;&gt;"Approved",[@DeviceFamilyMappingStatus]&lt;&gt;"Approved",[@DeviceTypeMappingStatus]&lt;&gt;"Approved"),"Manual Review Required","Approved Crosswalk Available")</f>
        <v/>
      </c>
      <c r="Q596" t="inlineStr">
        <is>
          <t>Pending Review</t>
        </is>
      </c>
    </row>
    <row r="597" ht="21.5" customHeight="1" s="42">
      <c r="A597" s="36" t="n"/>
      <c r="B597" s="35" t="n"/>
      <c r="C597" s="35" t="n"/>
      <c r="D597" s="35" t="n"/>
      <c r="E597" s="39" t="n"/>
      <c r="F597" s="39" t="n"/>
      <c r="G597" s="10" t="inlineStr">
        <is>
          <t>MOD000594</t>
        </is>
      </c>
      <c r="H597" s="14" t="inlineStr">
        <is>
          <t>MFG017</t>
        </is>
      </c>
      <c r="I597" s="14" t="inlineStr">
        <is>
          <t>DF-171</t>
        </is>
      </c>
      <c r="J597" s="14">
        <f>XLOOKUP([@ManufacturerID],tblManufacturerIDCrosswalk[LegacyManufacturerID],tblManufacturerIDCrosswalk[CanonicalManufacturerID],"")</f>
        <v/>
      </c>
      <c r="K597" s="7">
        <f>XLOOKUP([@DeviceFamilyID],tblDeviceFamilyIDCrosswalk[LegacyDeviceFamilyID],tblDeviceFamilyIDCrosswalk[CanonicalDeviceFamilyID],"")</f>
        <v/>
      </c>
      <c r="L597" s="7">
        <f>XLOOKUP([@DeviceTypeID],tblDeviceTypeIDCrosswalk[LegacyDeviceTypeID],tblDeviceTypeIDCrosswalk[CanonicalDeviceTypeID],"")</f>
        <v/>
      </c>
      <c r="M597" s="14">
        <f>XLOOKUP([@ManufacturerID],tblManufacturerIDCrosswalk[LegacyManufacturerID],tblManufacturerIDCrosswalk[MappingStatus],"No Crosswalk")</f>
        <v/>
      </c>
      <c r="N597" s="35">
        <f>XLOOKUP([@DeviceFamilyID],tblDeviceFamilyIDCrosswalk[LegacyDeviceFamilyID],tblDeviceFamilyIDCrosswalk[MappingStatus],"No Crosswalk")</f>
        <v/>
      </c>
      <c r="O597" s="35">
        <f>XLOOKUP([@DeviceTypeID],tblDeviceTypeIDCrosswalk[LegacyDeviceTypeID],tblDeviceTypeIDCrosswalk[MappingStatus],"No Crosswalk")</f>
        <v/>
      </c>
      <c r="P597">
        <f>IF(OR([@ManufacturerMappingStatus]&lt;&gt;"Approved",[@DeviceFamilyMappingStatus]&lt;&gt;"Approved",[@DeviceTypeMappingStatus]&lt;&gt;"Approved"),"Manual Review Required","Approved Crosswalk Available")</f>
        <v/>
      </c>
      <c r="Q597" t="inlineStr">
        <is>
          <t>Pending Review</t>
        </is>
      </c>
    </row>
    <row r="598" ht="21.5" customHeight="1" s="42">
      <c r="A598" s="36" t="n"/>
      <c r="B598" s="35" t="n"/>
      <c r="C598" s="35" t="n"/>
      <c r="D598" s="35" t="n"/>
      <c r="E598" s="39" t="n"/>
      <c r="F598" s="39" t="n"/>
      <c r="G598" s="10" t="inlineStr">
        <is>
          <t>MOD000595</t>
        </is>
      </c>
      <c r="H598" s="14" t="inlineStr">
        <is>
          <t>MFG018</t>
        </is>
      </c>
      <c r="I598" s="14" t="inlineStr">
        <is>
          <t>DF-180</t>
        </is>
      </c>
      <c r="J598" s="14">
        <f>XLOOKUP([@ManufacturerID],tblManufacturerIDCrosswalk[LegacyManufacturerID],tblManufacturerIDCrosswalk[CanonicalManufacturerID],"")</f>
        <v/>
      </c>
      <c r="K598" s="7">
        <f>XLOOKUP([@DeviceFamilyID],tblDeviceFamilyIDCrosswalk[LegacyDeviceFamilyID],tblDeviceFamilyIDCrosswalk[CanonicalDeviceFamilyID],"")</f>
        <v/>
      </c>
      <c r="L598" s="7">
        <f>XLOOKUP([@DeviceTypeID],tblDeviceTypeIDCrosswalk[LegacyDeviceTypeID],tblDeviceTypeIDCrosswalk[CanonicalDeviceTypeID],"")</f>
        <v/>
      </c>
      <c r="M598" s="14">
        <f>XLOOKUP([@ManufacturerID],tblManufacturerIDCrosswalk[LegacyManufacturerID],tblManufacturerIDCrosswalk[MappingStatus],"No Crosswalk")</f>
        <v/>
      </c>
      <c r="N598" s="35">
        <f>XLOOKUP([@DeviceFamilyID],tblDeviceFamilyIDCrosswalk[LegacyDeviceFamilyID],tblDeviceFamilyIDCrosswalk[MappingStatus],"No Crosswalk")</f>
        <v/>
      </c>
      <c r="O598" s="35">
        <f>XLOOKUP([@DeviceTypeID],tblDeviceTypeIDCrosswalk[LegacyDeviceTypeID],tblDeviceTypeIDCrosswalk[MappingStatus],"No Crosswalk")</f>
        <v/>
      </c>
      <c r="P598">
        <f>IF(OR([@ManufacturerMappingStatus]&lt;&gt;"Approved",[@DeviceFamilyMappingStatus]&lt;&gt;"Approved",[@DeviceTypeMappingStatus]&lt;&gt;"Approved"),"Manual Review Required","Approved Crosswalk Available")</f>
        <v/>
      </c>
      <c r="Q598" t="inlineStr">
        <is>
          <t>Pending Review</t>
        </is>
      </c>
    </row>
    <row r="599" ht="21.5" customHeight="1" s="42">
      <c r="A599" s="36" t="n"/>
      <c r="B599" s="35" t="n"/>
      <c r="C599" s="35" t="n"/>
      <c r="D599" s="35" t="n"/>
      <c r="E599" s="39" t="n"/>
      <c r="F599" s="39" t="n"/>
      <c r="G599" s="10" t="inlineStr">
        <is>
          <t>MOD000596</t>
        </is>
      </c>
      <c r="H599" s="14" t="inlineStr">
        <is>
          <t>MFG018</t>
        </is>
      </c>
      <c r="I599" s="14" t="inlineStr">
        <is>
          <t>DF-180</t>
        </is>
      </c>
      <c r="J599" s="14">
        <f>XLOOKUP([@ManufacturerID],tblManufacturerIDCrosswalk[LegacyManufacturerID],tblManufacturerIDCrosswalk[CanonicalManufacturerID],"")</f>
        <v/>
      </c>
      <c r="K599" s="7">
        <f>XLOOKUP([@DeviceFamilyID],tblDeviceFamilyIDCrosswalk[LegacyDeviceFamilyID],tblDeviceFamilyIDCrosswalk[CanonicalDeviceFamilyID],"")</f>
        <v/>
      </c>
      <c r="L599" s="7">
        <f>XLOOKUP([@DeviceTypeID],tblDeviceTypeIDCrosswalk[LegacyDeviceTypeID],tblDeviceTypeIDCrosswalk[CanonicalDeviceTypeID],"")</f>
        <v/>
      </c>
      <c r="M599" s="14">
        <f>XLOOKUP([@ManufacturerID],tblManufacturerIDCrosswalk[LegacyManufacturerID],tblManufacturerIDCrosswalk[MappingStatus],"No Crosswalk")</f>
        <v/>
      </c>
      <c r="N599" s="35">
        <f>XLOOKUP([@DeviceFamilyID],tblDeviceFamilyIDCrosswalk[LegacyDeviceFamilyID],tblDeviceFamilyIDCrosswalk[MappingStatus],"No Crosswalk")</f>
        <v/>
      </c>
      <c r="O599" s="35">
        <f>XLOOKUP([@DeviceTypeID],tblDeviceTypeIDCrosswalk[LegacyDeviceTypeID],tblDeviceTypeIDCrosswalk[MappingStatus],"No Crosswalk")</f>
        <v/>
      </c>
      <c r="P599">
        <f>IF(OR([@ManufacturerMappingStatus]&lt;&gt;"Approved",[@DeviceFamilyMappingStatus]&lt;&gt;"Approved",[@DeviceTypeMappingStatus]&lt;&gt;"Approved"),"Manual Review Required","Approved Crosswalk Available")</f>
        <v/>
      </c>
      <c r="Q599" t="inlineStr">
        <is>
          <t>Pending Review</t>
        </is>
      </c>
    </row>
    <row r="600" ht="21.5" customHeight="1" s="42">
      <c r="A600" s="36" t="n"/>
      <c r="B600" s="35" t="n"/>
      <c r="C600" s="35" t="n"/>
      <c r="D600" s="35" t="n"/>
      <c r="E600" s="39" t="n"/>
      <c r="F600" s="39" t="n"/>
      <c r="G600" s="10" t="inlineStr">
        <is>
          <t>MOD000597</t>
        </is>
      </c>
      <c r="H600" s="14" t="inlineStr">
        <is>
          <t>MFG019</t>
        </is>
      </c>
      <c r="I600" s="14" t="inlineStr">
        <is>
          <t>DF-190</t>
        </is>
      </c>
      <c r="J600" s="14">
        <f>XLOOKUP([@ManufacturerID],tblManufacturerIDCrosswalk[LegacyManufacturerID],tblManufacturerIDCrosswalk[CanonicalManufacturerID],"")</f>
        <v/>
      </c>
      <c r="K600" s="7">
        <f>XLOOKUP([@DeviceFamilyID],tblDeviceFamilyIDCrosswalk[LegacyDeviceFamilyID],tblDeviceFamilyIDCrosswalk[CanonicalDeviceFamilyID],"")</f>
        <v/>
      </c>
      <c r="L600" s="7">
        <f>XLOOKUP([@DeviceTypeID],tblDeviceTypeIDCrosswalk[LegacyDeviceTypeID],tblDeviceTypeIDCrosswalk[CanonicalDeviceTypeID],"")</f>
        <v/>
      </c>
      <c r="M600" s="14">
        <f>XLOOKUP([@ManufacturerID],tblManufacturerIDCrosswalk[LegacyManufacturerID],tblManufacturerIDCrosswalk[MappingStatus],"No Crosswalk")</f>
        <v/>
      </c>
      <c r="N600" s="35">
        <f>XLOOKUP([@DeviceFamilyID],tblDeviceFamilyIDCrosswalk[LegacyDeviceFamilyID],tblDeviceFamilyIDCrosswalk[MappingStatus],"No Crosswalk")</f>
        <v/>
      </c>
      <c r="O600" s="35">
        <f>XLOOKUP([@DeviceTypeID],tblDeviceTypeIDCrosswalk[LegacyDeviceTypeID],tblDeviceTypeIDCrosswalk[MappingStatus],"No Crosswalk")</f>
        <v/>
      </c>
      <c r="P600">
        <f>IF(OR([@ManufacturerMappingStatus]&lt;&gt;"Approved",[@DeviceFamilyMappingStatus]&lt;&gt;"Approved",[@DeviceTypeMappingStatus]&lt;&gt;"Approved"),"Manual Review Required","Approved Crosswalk Available")</f>
        <v/>
      </c>
      <c r="Q600" t="inlineStr">
        <is>
          <t>Pending Review</t>
        </is>
      </c>
    </row>
    <row r="601" ht="21.5" customHeight="1" s="42">
      <c r="A601" s="36" t="n"/>
      <c r="B601" s="35" t="n"/>
      <c r="C601" s="35" t="n"/>
      <c r="D601" s="35" t="n"/>
      <c r="E601" s="39" t="n"/>
      <c r="F601" s="39" t="n"/>
      <c r="G601" s="10" t="inlineStr">
        <is>
          <t>MOD000598</t>
        </is>
      </c>
      <c r="H601" s="14" t="inlineStr">
        <is>
          <t>MFG020</t>
        </is>
      </c>
      <c r="I601" s="14" t="inlineStr">
        <is>
          <t>DF-200</t>
        </is>
      </c>
      <c r="J601" s="14">
        <f>XLOOKUP([@ManufacturerID],tblManufacturerIDCrosswalk[LegacyManufacturerID],tblManufacturerIDCrosswalk[CanonicalManufacturerID],"")</f>
        <v/>
      </c>
      <c r="K601" s="7">
        <f>XLOOKUP([@DeviceFamilyID],tblDeviceFamilyIDCrosswalk[LegacyDeviceFamilyID],tblDeviceFamilyIDCrosswalk[CanonicalDeviceFamilyID],"")</f>
        <v/>
      </c>
      <c r="L601" s="7">
        <f>XLOOKUP([@DeviceTypeID],tblDeviceTypeIDCrosswalk[LegacyDeviceTypeID],tblDeviceTypeIDCrosswalk[CanonicalDeviceTypeID],"")</f>
        <v/>
      </c>
      <c r="M601" s="14">
        <f>XLOOKUP([@ManufacturerID],tblManufacturerIDCrosswalk[LegacyManufacturerID],tblManufacturerIDCrosswalk[MappingStatus],"No Crosswalk")</f>
        <v/>
      </c>
      <c r="N601" s="35">
        <f>XLOOKUP([@DeviceFamilyID],tblDeviceFamilyIDCrosswalk[LegacyDeviceFamilyID],tblDeviceFamilyIDCrosswalk[MappingStatus],"No Crosswalk")</f>
        <v/>
      </c>
      <c r="O601" s="35">
        <f>XLOOKUP([@DeviceTypeID],tblDeviceTypeIDCrosswalk[LegacyDeviceTypeID],tblDeviceTypeIDCrosswalk[MappingStatus],"No Crosswalk")</f>
        <v/>
      </c>
      <c r="P601">
        <f>IF(OR([@ManufacturerMappingStatus]&lt;&gt;"Approved",[@DeviceFamilyMappingStatus]&lt;&gt;"Approved",[@DeviceTypeMappingStatus]&lt;&gt;"Approved"),"Manual Review Required","Approved Crosswalk Available")</f>
        <v/>
      </c>
      <c r="Q601" t="inlineStr">
        <is>
          <t>Pending Review</t>
        </is>
      </c>
    </row>
    <row r="602" ht="21.5" customHeight="1" s="42">
      <c r="A602" s="36" t="n"/>
      <c r="B602" s="35" t="n"/>
      <c r="C602" s="35" t="n"/>
      <c r="D602" s="35" t="n"/>
      <c r="E602" s="39" t="n"/>
      <c r="F602" s="39" t="n"/>
      <c r="G602" s="10" t="inlineStr">
        <is>
          <t>MOD000599</t>
        </is>
      </c>
      <c r="H602" s="14" t="inlineStr">
        <is>
          <t>MFG021</t>
        </is>
      </c>
      <c r="I602" s="14" t="inlineStr">
        <is>
          <t>DF-210</t>
        </is>
      </c>
      <c r="J602" s="14">
        <f>XLOOKUP([@ManufacturerID],tblManufacturerIDCrosswalk[LegacyManufacturerID],tblManufacturerIDCrosswalk[CanonicalManufacturerID],"")</f>
        <v/>
      </c>
      <c r="K602" s="7">
        <f>XLOOKUP([@DeviceFamilyID],tblDeviceFamilyIDCrosswalk[LegacyDeviceFamilyID],tblDeviceFamilyIDCrosswalk[CanonicalDeviceFamilyID],"")</f>
        <v/>
      </c>
      <c r="L602" s="7">
        <f>XLOOKUP([@DeviceTypeID],tblDeviceTypeIDCrosswalk[LegacyDeviceTypeID],tblDeviceTypeIDCrosswalk[CanonicalDeviceTypeID],"")</f>
        <v/>
      </c>
      <c r="M602" s="14">
        <f>XLOOKUP([@ManufacturerID],tblManufacturerIDCrosswalk[LegacyManufacturerID],tblManufacturerIDCrosswalk[MappingStatus],"No Crosswalk")</f>
        <v/>
      </c>
      <c r="N602" s="35">
        <f>XLOOKUP([@DeviceFamilyID],tblDeviceFamilyIDCrosswalk[LegacyDeviceFamilyID],tblDeviceFamilyIDCrosswalk[MappingStatus],"No Crosswalk")</f>
        <v/>
      </c>
      <c r="O602" s="35">
        <f>XLOOKUP([@DeviceTypeID],tblDeviceTypeIDCrosswalk[LegacyDeviceTypeID],tblDeviceTypeIDCrosswalk[MappingStatus],"No Crosswalk")</f>
        <v/>
      </c>
      <c r="P602">
        <f>IF(OR([@ManufacturerMappingStatus]&lt;&gt;"Approved",[@DeviceFamilyMappingStatus]&lt;&gt;"Approved",[@DeviceTypeMappingStatus]&lt;&gt;"Approved"),"Manual Review Required","Approved Crosswalk Available")</f>
        <v/>
      </c>
      <c r="Q602" t="inlineStr">
        <is>
          <t>Pending Review</t>
        </is>
      </c>
    </row>
    <row r="603" ht="21.5" customHeight="1" s="42">
      <c r="A603" s="36" t="n"/>
      <c r="B603" s="35" t="n"/>
      <c r="C603" s="35" t="n"/>
      <c r="D603" s="35" t="n"/>
      <c r="E603" s="39" t="n"/>
      <c r="F603" s="39" t="n"/>
      <c r="G603" s="10" t="inlineStr">
        <is>
          <t>MOD000600</t>
        </is>
      </c>
      <c r="H603" s="14" t="inlineStr">
        <is>
          <t>MFG022</t>
        </is>
      </c>
      <c r="I603" s="14" t="inlineStr">
        <is>
          <t>DF-220</t>
        </is>
      </c>
      <c r="J603" s="14">
        <f>XLOOKUP([@ManufacturerID],tblManufacturerIDCrosswalk[LegacyManufacturerID],tblManufacturerIDCrosswalk[CanonicalManufacturerID],"")</f>
        <v/>
      </c>
      <c r="K603" s="7">
        <f>XLOOKUP([@DeviceFamilyID],tblDeviceFamilyIDCrosswalk[LegacyDeviceFamilyID],tblDeviceFamilyIDCrosswalk[CanonicalDeviceFamilyID],"")</f>
        <v/>
      </c>
      <c r="L603" s="7">
        <f>XLOOKUP([@DeviceTypeID],tblDeviceTypeIDCrosswalk[LegacyDeviceTypeID],tblDeviceTypeIDCrosswalk[CanonicalDeviceTypeID],"")</f>
        <v/>
      </c>
      <c r="M603" s="14">
        <f>XLOOKUP([@ManufacturerID],tblManufacturerIDCrosswalk[LegacyManufacturerID],tblManufacturerIDCrosswalk[MappingStatus],"No Crosswalk")</f>
        <v/>
      </c>
      <c r="N603" s="35">
        <f>XLOOKUP([@DeviceFamilyID],tblDeviceFamilyIDCrosswalk[LegacyDeviceFamilyID],tblDeviceFamilyIDCrosswalk[MappingStatus],"No Crosswalk")</f>
        <v/>
      </c>
      <c r="O603" s="35">
        <f>XLOOKUP([@DeviceTypeID],tblDeviceTypeIDCrosswalk[LegacyDeviceTypeID],tblDeviceTypeIDCrosswalk[MappingStatus],"No Crosswalk")</f>
        <v/>
      </c>
      <c r="P603">
        <f>IF(OR([@ManufacturerMappingStatus]&lt;&gt;"Approved",[@DeviceFamilyMappingStatus]&lt;&gt;"Approved",[@DeviceTypeMappingStatus]&lt;&gt;"Approved"),"Manual Review Required","Approved Crosswalk Available")</f>
        <v/>
      </c>
      <c r="Q603" t="inlineStr">
        <is>
          <t>Pending Review</t>
        </is>
      </c>
    </row>
    <row r="604" ht="21.5" customHeight="1" s="42">
      <c r="A604" s="36" t="n"/>
      <c r="B604" s="35" t="n"/>
      <c r="C604" s="35" t="n"/>
      <c r="D604" s="35" t="n"/>
      <c r="E604" s="39" t="n"/>
      <c r="F604" s="39" t="n"/>
      <c r="G604" s="10" t="inlineStr">
        <is>
          <t>MOD000601</t>
        </is>
      </c>
      <c r="H604" s="14" t="inlineStr">
        <is>
          <t>MFG023</t>
        </is>
      </c>
      <c r="I604" s="14" t="inlineStr">
        <is>
          <t>DF-230</t>
        </is>
      </c>
      <c r="J604" s="14">
        <f>XLOOKUP([@ManufacturerID],tblManufacturerIDCrosswalk[LegacyManufacturerID],tblManufacturerIDCrosswalk[CanonicalManufacturerID],"")</f>
        <v/>
      </c>
      <c r="K604" s="7">
        <f>XLOOKUP([@DeviceFamilyID],tblDeviceFamilyIDCrosswalk[LegacyDeviceFamilyID],tblDeviceFamilyIDCrosswalk[CanonicalDeviceFamilyID],"")</f>
        <v/>
      </c>
      <c r="L604" s="7">
        <f>XLOOKUP([@DeviceTypeID],tblDeviceTypeIDCrosswalk[LegacyDeviceTypeID],tblDeviceTypeIDCrosswalk[CanonicalDeviceTypeID],"")</f>
        <v/>
      </c>
      <c r="M604" s="14">
        <f>XLOOKUP([@ManufacturerID],tblManufacturerIDCrosswalk[LegacyManufacturerID],tblManufacturerIDCrosswalk[MappingStatus],"No Crosswalk")</f>
        <v/>
      </c>
      <c r="N604" s="35">
        <f>XLOOKUP([@DeviceFamilyID],tblDeviceFamilyIDCrosswalk[LegacyDeviceFamilyID],tblDeviceFamilyIDCrosswalk[MappingStatus],"No Crosswalk")</f>
        <v/>
      </c>
      <c r="O604" s="35">
        <f>XLOOKUP([@DeviceTypeID],tblDeviceTypeIDCrosswalk[LegacyDeviceTypeID],tblDeviceTypeIDCrosswalk[MappingStatus],"No Crosswalk")</f>
        <v/>
      </c>
      <c r="P604">
        <f>IF(OR([@ManufacturerMappingStatus]&lt;&gt;"Approved",[@DeviceFamilyMappingStatus]&lt;&gt;"Approved",[@DeviceTypeMappingStatus]&lt;&gt;"Approved"),"Manual Review Required","Approved Crosswalk Available")</f>
        <v/>
      </c>
      <c r="Q604" t="inlineStr">
        <is>
          <t>Pending Review</t>
        </is>
      </c>
    </row>
    <row r="605" ht="21.5" customHeight="1" s="42">
      <c r="A605" s="36" t="n"/>
      <c r="B605" s="35" t="n"/>
      <c r="C605" s="35" t="n"/>
      <c r="D605" s="35" t="n"/>
      <c r="E605" s="39" t="n"/>
      <c r="F605" s="39" t="n"/>
      <c r="G605" s="10" t="inlineStr">
        <is>
          <t>MOD000602</t>
        </is>
      </c>
      <c r="H605" s="14" t="inlineStr">
        <is>
          <t>MFG024</t>
        </is>
      </c>
      <c r="I605" s="14" t="inlineStr">
        <is>
          <t>DF-240</t>
        </is>
      </c>
      <c r="J605" s="14">
        <f>XLOOKUP([@ManufacturerID],tblManufacturerIDCrosswalk[LegacyManufacturerID],tblManufacturerIDCrosswalk[CanonicalManufacturerID],"")</f>
        <v/>
      </c>
      <c r="K605" s="7">
        <f>XLOOKUP([@DeviceFamilyID],tblDeviceFamilyIDCrosswalk[LegacyDeviceFamilyID],tblDeviceFamilyIDCrosswalk[CanonicalDeviceFamilyID],"")</f>
        <v/>
      </c>
      <c r="L605" s="7">
        <f>XLOOKUP([@DeviceTypeID],tblDeviceTypeIDCrosswalk[LegacyDeviceTypeID],tblDeviceTypeIDCrosswalk[CanonicalDeviceTypeID],"")</f>
        <v/>
      </c>
      <c r="M605" s="14">
        <f>XLOOKUP([@ManufacturerID],tblManufacturerIDCrosswalk[LegacyManufacturerID],tblManufacturerIDCrosswalk[MappingStatus],"No Crosswalk")</f>
        <v/>
      </c>
      <c r="N605" s="35">
        <f>XLOOKUP([@DeviceFamilyID],tblDeviceFamilyIDCrosswalk[LegacyDeviceFamilyID],tblDeviceFamilyIDCrosswalk[MappingStatus],"No Crosswalk")</f>
        <v/>
      </c>
      <c r="O605" s="35">
        <f>XLOOKUP([@DeviceTypeID],tblDeviceTypeIDCrosswalk[LegacyDeviceTypeID],tblDeviceTypeIDCrosswalk[MappingStatus],"No Crosswalk")</f>
        <v/>
      </c>
      <c r="P605">
        <f>IF(OR([@ManufacturerMappingStatus]&lt;&gt;"Approved",[@DeviceFamilyMappingStatus]&lt;&gt;"Approved",[@DeviceTypeMappingStatus]&lt;&gt;"Approved"),"Manual Review Required","Approved Crosswalk Available")</f>
        <v/>
      </c>
      <c r="Q605" t="inlineStr">
        <is>
          <t>Pending Review</t>
        </is>
      </c>
    </row>
    <row r="606" ht="21.5" customHeight="1" s="42">
      <c r="A606" s="36" t="n"/>
      <c r="B606" s="35" t="n"/>
      <c r="C606" s="35" t="n"/>
      <c r="D606" s="35" t="n"/>
      <c r="E606" s="39" t="n"/>
      <c r="F606" s="39" t="n"/>
      <c r="G606" s="10" t="inlineStr">
        <is>
          <t>MOD000603</t>
        </is>
      </c>
      <c r="H606" s="14" t="inlineStr">
        <is>
          <t>MFG025</t>
        </is>
      </c>
      <c r="I606" s="14" t="inlineStr">
        <is>
          <t>DF-250</t>
        </is>
      </c>
      <c r="J606" s="14">
        <f>XLOOKUP([@ManufacturerID],tblManufacturerIDCrosswalk[LegacyManufacturerID],tblManufacturerIDCrosswalk[CanonicalManufacturerID],"")</f>
        <v/>
      </c>
      <c r="K606" s="7">
        <f>XLOOKUP([@DeviceFamilyID],tblDeviceFamilyIDCrosswalk[LegacyDeviceFamilyID],tblDeviceFamilyIDCrosswalk[CanonicalDeviceFamilyID],"")</f>
        <v/>
      </c>
      <c r="L606" s="7">
        <f>XLOOKUP([@DeviceTypeID],tblDeviceTypeIDCrosswalk[LegacyDeviceTypeID],tblDeviceTypeIDCrosswalk[CanonicalDeviceTypeID],"")</f>
        <v/>
      </c>
      <c r="M606" s="14">
        <f>XLOOKUP([@ManufacturerID],tblManufacturerIDCrosswalk[LegacyManufacturerID],tblManufacturerIDCrosswalk[MappingStatus],"No Crosswalk")</f>
        <v/>
      </c>
      <c r="N606" s="35">
        <f>XLOOKUP([@DeviceFamilyID],tblDeviceFamilyIDCrosswalk[LegacyDeviceFamilyID],tblDeviceFamilyIDCrosswalk[MappingStatus],"No Crosswalk")</f>
        <v/>
      </c>
      <c r="O606" s="35">
        <f>XLOOKUP([@DeviceTypeID],tblDeviceTypeIDCrosswalk[LegacyDeviceTypeID],tblDeviceTypeIDCrosswalk[MappingStatus],"No Crosswalk")</f>
        <v/>
      </c>
      <c r="P606">
        <f>IF(OR([@ManufacturerMappingStatus]&lt;&gt;"Approved",[@DeviceFamilyMappingStatus]&lt;&gt;"Approved",[@DeviceTypeMappingStatus]&lt;&gt;"Approved"),"Manual Review Required","Approved Crosswalk Available")</f>
        <v/>
      </c>
      <c r="Q606" t="inlineStr">
        <is>
          <t>Pending Review</t>
        </is>
      </c>
    </row>
    <row r="607" ht="21.5" customHeight="1" s="42">
      <c r="A607" s="36" t="n"/>
      <c r="B607" s="35" t="n"/>
      <c r="C607" s="35" t="n"/>
      <c r="D607" s="35" t="n"/>
      <c r="E607" s="39" t="n"/>
      <c r="F607" s="39" t="n"/>
      <c r="G607" s="10" t="inlineStr">
        <is>
          <t>MOD000604</t>
        </is>
      </c>
      <c r="H607" s="14" t="inlineStr">
        <is>
          <t>MFG026</t>
        </is>
      </c>
      <c r="I607" s="14" t="inlineStr">
        <is>
          <t>DF-260</t>
        </is>
      </c>
      <c r="J607" s="14">
        <f>XLOOKUP([@ManufacturerID],tblManufacturerIDCrosswalk[LegacyManufacturerID],tblManufacturerIDCrosswalk[CanonicalManufacturerID],"")</f>
        <v/>
      </c>
      <c r="K607" s="7">
        <f>XLOOKUP([@DeviceFamilyID],tblDeviceFamilyIDCrosswalk[LegacyDeviceFamilyID],tblDeviceFamilyIDCrosswalk[CanonicalDeviceFamilyID],"")</f>
        <v/>
      </c>
      <c r="L607" s="7">
        <f>XLOOKUP([@DeviceTypeID],tblDeviceTypeIDCrosswalk[LegacyDeviceTypeID],tblDeviceTypeIDCrosswalk[CanonicalDeviceTypeID],"")</f>
        <v/>
      </c>
      <c r="M607" s="14">
        <f>XLOOKUP([@ManufacturerID],tblManufacturerIDCrosswalk[LegacyManufacturerID],tblManufacturerIDCrosswalk[MappingStatus],"No Crosswalk")</f>
        <v/>
      </c>
      <c r="N607" s="35">
        <f>XLOOKUP([@DeviceFamilyID],tblDeviceFamilyIDCrosswalk[LegacyDeviceFamilyID],tblDeviceFamilyIDCrosswalk[MappingStatus],"No Crosswalk")</f>
        <v/>
      </c>
      <c r="O607" s="35">
        <f>XLOOKUP([@DeviceTypeID],tblDeviceTypeIDCrosswalk[LegacyDeviceTypeID],tblDeviceTypeIDCrosswalk[MappingStatus],"No Crosswalk")</f>
        <v/>
      </c>
      <c r="P607">
        <f>IF(OR([@ManufacturerMappingStatus]&lt;&gt;"Approved",[@DeviceFamilyMappingStatus]&lt;&gt;"Approved",[@DeviceTypeMappingStatus]&lt;&gt;"Approved"),"Manual Review Required","Approved Crosswalk Available")</f>
        <v/>
      </c>
      <c r="Q607" t="inlineStr">
        <is>
          <t>Pending Review</t>
        </is>
      </c>
    </row>
    <row r="608" ht="21.5" customHeight="1" s="42">
      <c r="A608" s="36" t="n"/>
      <c r="B608" s="35" t="n"/>
      <c r="C608" s="35" t="n"/>
      <c r="D608" s="35" t="n"/>
      <c r="E608" s="39" t="n"/>
      <c r="F608" s="39" t="n"/>
      <c r="G608" s="10" t="inlineStr">
        <is>
          <t>MOD000605</t>
        </is>
      </c>
      <c r="H608" s="14" t="inlineStr">
        <is>
          <t>MFG027</t>
        </is>
      </c>
      <c r="I608" s="14" t="inlineStr">
        <is>
          <t>DF-270</t>
        </is>
      </c>
      <c r="J608" s="14">
        <f>XLOOKUP([@ManufacturerID],tblManufacturerIDCrosswalk[LegacyManufacturerID],tblManufacturerIDCrosswalk[CanonicalManufacturerID],"")</f>
        <v/>
      </c>
      <c r="K608" s="7">
        <f>XLOOKUP([@DeviceFamilyID],tblDeviceFamilyIDCrosswalk[LegacyDeviceFamilyID],tblDeviceFamilyIDCrosswalk[CanonicalDeviceFamilyID],"")</f>
        <v/>
      </c>
      <c r="L608" s="7">
        <f>XLOOKUP([@DeviceTypeID],tblDeviceTypeIDCrosswalk[LegacyDeviceTypeID],tblDeviceTypeIDCrosswalk[CanonicalDeviceTypeID],"")</f>
        <v/>
      </c>
      <c r="M608" s="14">
        <f>XLOOKUP([@ManufacturerID],tblManufacturerIDCrosswalk[LegacyManufacturerID],tblManufacturerIDCrosswalk[MappingStatus],"No Crosswalk")</f>
        <v/>
      </c>
      <c r="N608" s="35">
        <f>XLOOKUP([@DeviceFamilyID],tblDeviceFamilyIDCrosswalk[LegacyDeviceFamilyID],tblDeviceFamilyIDCrosswalk[MappingStatus],"No Crosswalk")</f>
        <v/>
      </c>
      <c r="O608" s="35">
        <f>XLOOKUP([@DeviceTypeID],tblDeviceTypeIDCrosswalk[LegacyDeviceTypeID],tblDeviceTypeIDCrosswalk[MappingStatus],"No Crosswalk")</f>
        <v/>
      </c>
      <c r="P608">
        <f>IF(OR([@ManufacturerMappingStatus]&lt;&gt;"Approved",[@DeviceFamilyMappingStatus]&lt;&gt;"Approved",[@DeviceTypeMappingStatus]&lt;&gt;"Approved"),"Manual Review Required","Approved Crosswalk Available")</f>
        <v/>
      </c>
      <c r="Q608" t="inlineStr">
        <is>
          <t>Pending Review</t>
        </is>
      </c>
    </row>
    <row r="609" ht="21.5" customHeight="1" s="42">
      <c r="A609" s="36" t="n"/>
      <c r="B609" s="35" t="n"/>
      <c r="C609" s="35" t="n"/>
      <c r="D609" s="35" t="n"/>
      <c r="E609" s="39" t="n"/>
      <c r="F609" s="39" t="n"/>
      <c r="G609" s="10" t="inlineStr">
        <is>
          <t>MOD000606</t>
        </is>
      </c>
      <c r="H609" s="14" t="inlineStr">
        <is>
          <t>MFG028</t>
        </is>
      </c>
      <c r="I609" s="14" t="inlineStr">
        <is>
          <t>DF-280</t>
        </is>
      </c>
      <c r="J609" s="14">
        <f>XLOOKUP([@ManufacturerID],tblManufacturerIDCrosswalk[LegacyManufacturerID],tblManufacturerIDCrosswalk[CanonicalManufacturerID],"")</f>
        <v/>
      </c>
      <c r="K609" s="7">
        <f>XLOOKUP([@DeviceFamilyID],tblDeviceFamilyIDCrosswalk[LegacyDeviceFamilyID],tblDeviceFamilyIDCrosswalk[CanonicalDeviceFamilyID],"")</f>
        <v/>
      </c>
      <c r="L609" s="7">
        <f>XLOOKUP([@DeviceTypeID],tblDeviceTypeIDCrosswalk[LegacyDeviceTypeID],tblDeviceTypeIDCrosswalk[CanonicalDeviceTypeID],"")</f>
        <v/>
      </c>
      <c r="M609" s="14">
        <f>XLOOKUP([@ManufacturerID],tblManufacturerIDCrosswalk[LegacyManufacturerID],tblManufacturerIDCrosswalk[MappingStatus],"No Crosswalk")</f>
        <v/>
      </c>
      <c r="N609" s="35">
        <f>XLOOKUP([@DeviceFamilyID],tblDeviceFamilyIDCrosswalk[LegacyDeviceFamilyID],tblDeviceFamilyIDCrosswalk[MappingStatus],"No Crosswalk")</f>
        <v/>
      </c>
      <c r="O609" s="35">
        <f>XLOOKUP([@DeviceTypeID],tblDeviceTypeIDCrosswalk[LegacyDeviceTypeID],tblDeviceTypeIDCrosswalk[MappingStatus],"No Crosswalk")</f>
        <v/>
      </c>
      <c r="P609">
        <f>IF(OR([@ManufacturerMappingStatus]&lt;&gt;"Approved",[@DeviceFamilyMappingStatus]&lt;&gt;"Approved",[@DeviceTypeMappingStatus]&lt;&gt;"Approved"),"Manual Review Required","Approved Crosswalk Available")</f>
        <v/>
      </c>
      <c r="Q609" t="inlineStr">
        <is>
          <t>Pending Review</t>
        </is>
      </c>
    </row>
    <row r="610" ht="21.5" customHeight="1" s="42">
      <c r="A610" s="36" t="n"/>
      <c r="B610" s="35" t="n"/>
      <c r="C610" s="35" t="n"/>
      <c r="D610" s="35" t="n"/>
      <c r="E610" s="39" t="n"/>
      <c r="F610" s="39" t="n"/>
      <c r="G610" s="10" t="inlineStr">
        <is>
          <t>MOD000607</t>
        </is>
      </c>
      <c r="H610" s="14" t="inlineStr">
        <is>
          <t>MFG029</t>
        </is>
      </c>
      <c r="I610" s="14" t="inlineStr">
        <is>
          <t>DF-290</t>
        </is>
      </c>
      <c r="J610" s="14">
        <f>XLOOKUP([@ManufacturerID],tblManufacturerIDCrosswalk[LegacyManufacturerID],tblManufacturerIDCrosswalk[CanonicalManufacturerID],"")</f>
        <v/>
      </c>
      <c r="K610" s="7">
        <f>XLOOKUP([@DeviceFamilyID],tblDeviceFamilyIDCrosswalk[LegacyDeviceFamilyID],tblDeviceFamilyIDCrosswalk[CanonicalDeviceFamilyID],"")</f>
        <v/>
      </c>
      <c r="L610" s="7">
        <f>XLOOKUP([@DeviceTypeID],tblDeviceTypeIDCrosswalk[LegacyDeviceTypeID],tblDeviceTypeIDCrosswalk[CanonicalDeviceTypeID],"")</f>
        <v/>
      </c>
      <c r="M610" s="14">
        <f>XLOOKUP([@ManufacturerID],tblManufacturerIDCrosswalk[LegacyManufacturerID],tblManufacturerIDCrosswalk[MappingStatus],"No Crosswalk")</f>
        <v/>
      </c>
      <c r="N610" s="35">
        <f>XLOOKUP([@DeviceFamilyID],tblDeviceFamilyIDCrosswalk[LegacyDeviceFamilyID],tblDeviceFamilyIDCrosswalk[MappingStatus],"No Crosswalk")</f>
        <v/>
      </c>
      <c r="O610" s="35">
        <f>XLOOKUP([@DeviceTypeID],tblDeviceTypeIDCrosswalk[LegacyDeviceTypeID],tblDeviceTypeIDCrosswalk[MappingStatus],"No Crosswalk")</f>
        <v/>
      </c>
      <c r="P610">
        <f>IF(OR([@ManufacturerMappingStatus]&lt;&gt;"Approved",[@DeviceFamilyMappingStatus]&lt;&gt;"Approved",[@DeviceTypeMappingStatus]&lt;&gt;"Approved"),"Manual Review Required","Approved Crosswalk Available")</f>
        <v/>
      </c>
      <c r="Q610" t="inlineStr">
        <is>
          <t>Pending Review</t>
        </is>
      </c>
    </row>
    <row r="611" ht="21.5" customHeight="1" s="42">
      <c r="A611" s="36" t="n"/>
      <c r="B611" s="35" t="n"/>
      <c r="C611" s="35" t="n"/>
      <c r="D611" s="35" t="n"/>
      <c r="E611" s="39" t="n"/>
      <c r="F611" s="39" t="n"/>
      <c r="G611" s="10" t="inlineStr">
        <is>
          <t>MOD000608</t>
        </is>
      </c>
      <c r="H611" s="14" t="inlineStr">
        <is>
          <t>MFG030</t>
        </is>
      </c>
      <c r="I611" s="14" t="inlineStr">
        <is>
          <t>DF-300</t>
        </is>
      </c>
      <c r="J611" s="14">
        <f>XLOOKUP([@ManufacturerID],tblManufacturerIDCrosswalk[LegacyManufacturerID],tblManufacturerIDCrosswalk[CanonicalManufacturerID],"")</f>
        <v/>
      </c>
      <c r="K611" s="7">
        <f>XLOOKUP([@DeviceFamilyID],tblDeviceFamilyIDCrosswalk[LegacyDeviceFamilyID],tblDeviceFamilyIDCrosswalk[CanonicalDeviceFamilyID],"")</f>
        <v/>
      </c>
      <c r="L611" s="7">
        <f>XLOOKUP([@DeviceTypeID],tblDeviceTypeIDCrosswalk[LegacyDeviceTypeID],tblDeviceTypeIDCrosswalk[CanonicalDeviceTypeID],"")</f>
        <v/>
      </c>
      <c r="M611" s="14">
        <f>XLOOKUP([@ManufacturerID],tblManufacturerIDCrosswalk[LegacyManufacturerID],tblManufacturerIDCrosswalk[MappingStatus],"No Crosswalk")</f>
        <v/>
      </c>
      <c r="N611" s="35">
        <f>XLOOKUP([@DeviceFamilyID],tblDeviceFamilyIDCrosswalk[LegacyDeviceFamilyID],tblDeviceFamilyIDCrosswalk[MappingStatus],"No Crosswalk")</f>
        <v/>
      </c>
      <c r="O611" s="35">
        <f>XLOOKUP([@DeviceTypeID],tblDeviceTypeIDCrosswalk[LegacyDeviceTypeID],tblDeviceTypeIDCrosswalk[MappingStatus],"No Crosswalk")</f>
        <v/>
      </c>
      <c r="P611">
        <f>IF(OR([@ManufacturerMappingStatus]&lt;&gt;"Approved",[@DeviceFamilyMappingStatus]&lt;&gt;"Approved",[@DeviceTypeMappingStatus]&lt;&gt;"Approved"),"Manual Review Required","Approved Crosswalk Available")</f>
        <v/>
      </c>
      <c r="Q611" t="inlineStr">
        <is>
          <t>Pending Review</t>
        </is>
      </c>
    </row>
    <row r="612" ht="21.5" customHeight="1" s="42">
      <c r="A612" s="36" t="n"/>
      <c r="B612" s="35" t="n"/>
      <c r="C612" s="35" t="n"/>
      <c r="D612" s="35" t="n"/>
      <c r="E612" s="39" t="n"/>
      <c r="F612" s="39" t="n"/>
      <c r="G612" s="10" t="inlineStr">
        <is>
          <t>MOD000609</t>
        </is>
      </c>
      <c r="H612" s="14" t="inlineStr">
        <is>
          <t>MFG031</t>
        </is>
      </c>
      <c r="I612" s="14" t="inlineStr">
        <is>
          <t>DF-310</t>
        </is>
      </c>
      <c r="J612" s="14">
        <f>XLOOKUP([@ManufacturerID],tblManufacturerIDCrosswalk[LegacyManufacturerID],tblManufacturerIDCrosswalk[CanonicalManufacturerID],"")</f>
        <v/>
      </c>
      <c r="K612" s="7">
        <f>XLOOKUP([@DeviceFamilyID],tblDeviceFamilyIDCrosswalk[LegacyDeviceFamilyID],tblDeviceFamilyIDCrosswalk[CanonicalDeviceFamilyID],"")</f>
        <v/>
      </c>
      <c r="L612" s="7">
        <f>XLOOKUP([@DeviceTypeID],tblDeviceTypeIDCrosswalk[LegacyDeviceTypeID],tblDeviceTypeIDCrosswalk[CanonicalDeviceTypeID],"")</f>
        <v/>
      </c>
      <c r="M612" s="14">
        <f>XLOOKUP([@ManufacturerID],tblManufacturerIDCrosswalk[LegacyManufacturerID],tblManufacturerIDCrosswalk[MappingStatus],"No Crosswalk")</f>
        <v/>
      </c>
      <c r="N612" s="35">
        <f>XLOOKUP([@DeviceFamilyID],tblDeviceFamilyIDCrosswalk[LegacyDeviceFamilyID],tblDeviceFamilyIDCrosswalk[MappingStatus],"No Crosswalk")</f>
        <v/>
      </c>
      <c r="O612" s="35">
        <f>XLOOKUP([@DeviceTypeID],tblDeviceTypeIDCrosswalk[LegacyDeviceTypeID],tblDeviceTypeIDCrosswalk[MappingStatus],"No Crosswalk")</f>
        <v/>
      </c>
      <c r="P612">
        <f>IF(OR([@ManufacturerMappingStatus]&lt;&gt;"Approved",[@DeviceFamilyMappingStatus]&lt;&gt;"Approved",[@DeviceTypeMappingStatus]&lt;&gt;"Approved"),"Manual Review Required","Approved Crosswalk Available")</f>
        <v/>
      </c>
      <c r="Q612" t="inlineStr">
        <is>
          <t>Pending Review</t>
        </is>
      </c>
    </row>
    <row r="613" ht="21.5" customHeight="1" s="42">
      <c r="A613" s="36" t="n"/>
      <c r="B613" s="35" t="n"/>
      <c r="C613" s="35" t="n"/>
      <c r="D613" s="35" t="n"/>
      <c r="E613" s="39" t="n"/>
      <c r="F613" s="39" t="n"/>
      <c r="G613" s="10" t="inlineStr">
        <is>
          <t>MOD000610</t>
        </is>
      </c>
      <c r="H613" s="14" t="inlineStr">
        <is>
          <t>MFG032</t>
        </is>
      </c>
      <c r="I613" s="14" t="inlineStr">
        <is>
          <t>DF-320</t>
        </is>
      </c>
      <c r="J613" s="14">
        <f>XLOOKUP([@ManufacturerID],tblManufacturerIDCrosswalk[LegacyManufacturerID],tblManufacturerIDCrosswalk[CanonicalManufacturerID],"")</f>
        <v/>
      </c>
      <c r="K613" s="7">
        <f>XLOOKUP([@DeviceFamilyID],tblDeviceFamilyIDCrosswalk[LegacyDeviceFamilyID],tblDeviceFamilyIDCrosswalk[CanonicalDeviceFamilyID],"")</f>
        <v/>
      </c>
      <c r="L613" s="7">
        <f>XLOOKUP([@DeviceTypeID],tblDeviceTypeIDCrosswalk[LegacyDeviceTypeID],tblDeviceTypeIDCrosswalk[CanonicalDeviceTypeID],"")</f>
        <v/>
      </c>
      <c r="M613" s="14">
        <f>XLOOKUP([@ManufacturerID],tblManufacturerIDCrosswalk[LegacyManufacturerID],tblManufacturerIDCrosswalk[MappingStatus],"No Crosswalk")</f>
        <v/>
      </c>
      <c r="N613" s="35">
        <f>XLOOKUP([@DeviceFamilyID],tblDeviceFamilyIDCrosswalk[LegacyDeviceFamilyID],tblDeviceFamilyIDCrosswalk[MappingStatus],"No Crosswalk")</f>
        <v/>
      </c>
      <c r="O613" s="35">
        <f>XLOOKUP([@DeviceTypeID],tblDeviceTypeIDCrosswalk[LegacyDeviceTypeID],tblDeviceTypeIDCrosswalk[MappingStatus],"No Crosswalk")</f>
        <v/>
      </c>
      <c r="P613">
        <f>IF(OR([@ManufacturerMappingStatus]&lt;&gt;"Approved",[@DeviceFamilyMappingStatus]&lt;&gt;"Approved",[@DeviceTypeMappingStatus]&lt;&gt;"Approved"),"Manual Review Required","Approved Crosswalk Available")</f>
        <v/>
      </c>
      <c r="Q613" t="inlineStr">
        <is>
          <t>Pending Review</t>
        </is>
      </c>
    </row>
    <row r="614" ht="21.5" customHeight="1" s="42">
      <c r="A614" s="36" t="n"/>
      <c r="B614" s="35" t="n"/>
      <c r="C614" s="35" t="n"/>
      <c r="D614" s="35" t="n"/>
      <c r="E614" s="39" t="n"/>
      <c r="F614" s="39" t="n"/>
      <c r="G614" s="10" t="inlineStr">
        <is>
          <t>MOD000611</t>
        </is>
      </c>
      <c r="H614" s="14" t="inlineStr">
        <is>
          <t>MFG033</t>
        </is>
      </c>
      <c r="I614" s="14" t="inlineStr">
        <is>
          <t>DF-330</t>
        </is>
      </c>
      <c r="J614" s="14">
        <f>XLOOKUP([@ManufacturerID],tblManufacturerIDCrosswalk[LegacyManufacturerID],tblManufacturerIDCrosswalk[CanonicalManufacturerID],"")</f>
        <v/>
      </c>
      <c r="K614" s="7">
        <f>XLOOKUP([@DeviceFamilyID],tblDeviceFamilyIDCrosswalk[LegacyDeviceFamilyID],tblDeviceFamilyIDCrosswalk[CanonicalDeviceFamilyID],"")</f>
        <v/>
      </c>
      <c r="L614" s="7">
        <f>XLOOKUP([@DeviceTypeID],tblDeviceTypeIDCrosswalk[LegacyDeviceTypeID],tblDeviceTypeIDCrosswalk[CanonicalDeviceTypeID],"")</f>
        <v/>
      </c>
      <c r="M614" s="14">
        <f>XLOOKUP([@ManufacturerID],tblManufacturerIDCrosswalk[LegacyManufacturerID],tblManufacturerIDCrosswalk[MappingStatus],"No Crosswalk")</f>
        <v/>
      </c>
      <c r="N614" s="35">
        <f>XLOOKUP([@DeviceFamilyID],tblDeviceFamilyIDCrosswalk[LegacyDeviceFamilyID],tblDeviceFamilyIDCrosswalk[MappingStatus],"No Crosswalk")</f>
        <v/>
      </c>
      <c r="O614" s="35">
        <f>XLOOKUP([@DeviceTypeID],tblDeviceTypeIDCrosswalk[LegacyDeviceTypeID],tblDeviceTypeIDCrosswalk[MappingStatus],"No Crosswalk")</f>
        <v/>
      </c>
      <c r="P614">
        <f>IF(OR([@ManufacturerMappingStatus]&lt;&gt;"Approved",[@DeviceFamilyMappingStatus]&lt;&gt;"Approved",[@DeviceTypeMappingStatus]&lt;&gt;"Approved"),"Manual Review Required","Approved Crosswalk Available")</f>
        <v/>
      </c>
      <c r="Q614" t="inlineStr">
        <is>
          <t>Pending Review</t>
        </is>
      </c>
    </row>
    <row r="615" ht="21.5" customHeight="1" s="42">
      <c r="A615" s="36" t="n"/>
      <c r="B615" s="35" t="n"/>
      <c r="C615" s="35" t="n"/>
      <c r="D615" s="35" t="n"/>
      <c r="E615" s="39" t="n"/>
      <c r="F615" s="39" t="n"/>
      <c r="G615" s="10" t="inlineStr">
        <is>
          <t>MOD000612</t>
        </is>
      </c>
      <c r="H615" s="14" t="inlineStr">
        <is>
          <t>MFG034</t>
        </is>
      </c>
      <c r="I615" s="14" t="inlineStr">
        <is>
          <t>DF-340</t>
        </is>
      </c>
      <c r="J615" s="14">
        <f>XLOOKUP([@ManufacturerID],tblManufacturerIDCrosswalk[LegacyManufacturerID],tblManufacturerIDCrosswalk[CanonicalManufacturerID],"")</f>
        <v/>
      </c>
      <c r="K615" s="7">
        <f>XLOOKUP([@DeviceFamilyID],tblDeviceFamilyIDCrosswalk[LegacyDeviceFamilyID],tblDeviceFamilyIDCrosswalk[CanonicalDeviceFamilyID],"")</f>
        <v/>
      </c>
      <c r="L615" s="7">
        <f>XLOOKUP([@DeviceTypeID],tblDeviceTypeIDCrosswalk[LegacyDeviceTypeID],tblDeviceTypeIDCrosswalk[CanonicalDeviceTypeID],"")</f>
        <v/>
      </c>
      <c r="M615" s="14">
        <f>XLOOKUP([@ManufacturerID],tblManufacturerIDCrosswalk[LegacyManufacturerID],tblManufacturerIDCrosswalk[MappingStatus],"No Crosswalk")</f>
        <v/>
      </c>
      <c r="N615" s="35">
        <f>XLOOKUP([@DeviceFamilyID],tblDeviceFamilyIDCrosswalk[LegacyDeviceFamilyID],tblDeviceFamilyIDCrosswalk[MappingStatus],"No Crosswalk")</f>
        <v/>
      </c>
      <c r="O615" s="35">
        <f>XLOOKUP([@DeviceTypeID],tblDeviceTypeIDCrosswalk[LegacyDeviceTypeID],tblDeviceTypeIDCrosswalk[MappingStatus],"No Crosswalk")</f>
        <v/>
      </c>
      <c r="P615">
        <f>IF(OR([@ManufacturerMappingStatus]&lt;&gt;"Approved",[@DeviceFamilyMappingStatus]&lt;&gt;"Approved",[@DeviceTypeMappingStatus]&lt;&gt;"Approved"),"Manual Review Required","Approved Crosswalk Available")</f>
        <v/>
      </c>
      <c r="Q615" t="inlineStr">
        <is>
          <t>Pending Review</t>
        </is>
      </c>
    </row>
    <row r="616" ht="21.5" customHeight="1" s="42">
      <c r="A616" s="36" t="n"/>
      <c r="B616" s="35" t="n"/>
      <c r="C616" s="35" t="n"/>
      <c r="D616" s="35" t="n"/>
      <c r="E616" s="39" t="n"/>
      <c r="F616" s="39" t="n"/>
      <c r="G616" s="10" t="inlineStr">
        <is>
          <t>MOD000613</t>
        </is>
      </c>
      <c r="H616" s="14" t="inlineStr">
        <is>
          <t>MFG032</t>
        </is>
      </c>
      <c r="I616" s="14" t="inlineStr">
        <is>
          <t>DF-321</t>
        </is>
      </c>
      <c r="J616" s="14">
        <f>XLOOKUP([@ManufacturerID],tblManufacturerIDCrosswalk[LegacyManufacturerID],tblManufacturerIDCrosswalk[CanonicalManufacturerID],"")</f>
        <v/>
      </c>
      <c r="K616" s="7">
        <f>XLOOKUP([@DeviceFamilyID],tblDeviceFamilyIDCrosswalk[LegacyDeviceFamilyID],tblDeviceFamilyIDCrosswalk[CanonicalDeviceFamilyID],"")</f>
        <v/>
      </c>
      <c r="L616" s="7">
        <f>XLOOKUP([@DeviceTypeID],tblDeviceTypeIDCrosswalk[LegacyDeviceTypeID],tblDeviceTypeIDCrosswalk[CanonicalDeviceTypeID],"")</f>
        <v/>
      </c>
      <c r="M616" s="14">
        <f>XLOOKUP([@ManufacturerID],tblManufacturerIDCrosswalk[LegacyManufacturerID],tblManufacturerIDCrosswalk[MappingStatus],"No Crosswalk")</f>
        <v/>
      </c>
      <c r="N616" s="35">
        <f>XLOOKUP([@DeviceFamilyID],tblDeviceFamilyIDCrosswalk[LegacyDeviceFamilyID],tblDeviceFamilyIDCrosswalk[MappingStatus],"No Crosswalk")</f>
        <v/>
      </c>
      <c r="O616" s="35">
        <f>XLOOKUP([@DeviceTypeID],tblDeviceTypeIDCrosswalk[LegacyDeviceTypeID],tblDeviceTypeIDCrosswalk[MappingStatus],"No Crosswalk")</f>
        <v/>
      </c>
      <c r="P616">
        <f>IF(OR([@ManufacturerMappingStatus]&lt;&gt;"Approved",[@DeviceFamilyMappingStatus]&lt;&gt;"Approved",[@DeviceTypeMappingStatus]&lt;&gt;"Approved"),"Manual Review Required","Approved Crosswalk Available")</f>
        <v/>
      </c>
      <c r="Q616" t="inlineStr">
        <is>
          <t>Pending Review</t>
        </is>
      </c>
    </row>
    <row r="617" ht="21.5" customHeight="1" s="42">
      <c r="A617" s="36" t="n"/>
      <c r="B617" s="35" t="n"/>
      <c r="C617" s="35" t="n"/>
      <c r="D617" s="35" t="n"/>
      <c r="E617" s="39" t="n"/>
      <c r="F617" s="39" t="n"/>
      <c r="G617" s="10" t="inlineStr">
        <is>
          <t>MOD000614</t>
        </is>
      </c>
      <c r="H617" s="14" t="inlineStr">
        <is>
          <t>MFG032</t>
        </is>
      </c>
      <c r="I617" s="14" t="inlineStr">
        <is>
          <t>DF-322</t>
        </is>
      </c>
      <c r="J617" s="14">
        <f>XLOOKUP([@ManufacturerID],tblManufacturerIDCrosswalk[LegacyManufacturerID],tblManufacturerIDCrosswalk[CanonicalManufacturerID],"")</f>
        <v/>
      </c>
      <c r="K617" s="7">
        <f>XLOOKUP([@DeviceFamilyID],tblDeviceFamilyIDCrosswalk[LegacyDeviceFamilyID],tblDeviceFamilyIDCrosswalk[CanonicalDeviceFamilyID],"")</f>
        <v/>
      </c>
      <c r="L617" s="7">
        <f>XLOOKUP([@DeviceTypeID],tblDeviceTypeIDCrosswalk[LegacyDeviceTypeID],tblDeviceTypeIDCrosswalk[CanonicalDeviceTypeID],"")</f>
        <v/>
      </c>
      <c r="M617" s="14">
        <f>XLOOKUP([@ManufacturerID],tblManufacturerIDCrosswalk[LegacyManufacturerID],tblManufacturerIDCrosswalk[MappingStatus],"No Crosswalk")</f>
        <v/>
      </c>
      <c r="N617" s="35">
        <f>XLOOKUP([@DeviceFamilyID],tblDeviceFamilyIDCrosswalk[LegacyDeviceFamilyID],tblDeviceFamilyIDCrosswalk[MappingStatus],"No Crosswalk")</f>
        <v/>
      </c>
      <c r="O617" s="35">
        <f>XLOOKUP([@DeviceTypeID],tblDeviceTypeIDCrosswalk[LegacyDeviceTypeID],tblDeviceTypeIDCrosswalk[MappingStatus],"No Crosswalk")</f>
        <v/>
      </c>
      <c r="P617">
        <f>IF(OR([@ManufacturerMappingStatus]&lt;&gt;"Approved",[@DeviceFamilyMappingStatus]&lt;&gt;"Approved",[@DeviceTypeMappingStatus]&lt;&gt;"Approved"),"Manual Review Required","Approved Crosswalk Available")</f>
        <v/>
      </c>
      <c r="Q617" t="inlineStr">
        <is>
          <t>Pending Review</t>
        </is>
      </c>
    </row>
    <row r="618" ht="21.5" customHeight="1" s="42">
      <c r="A618" s="36" t="n"/>
      <c r="B618" s="35" t="n"/>
      <c r="C618" s="35" t="n"/>
      <c r="D618" s="35" t="n"/>
      <c r="E618" s="39" t="n"/>
      <c r="F618" s="39" t="n"/>
      <c r="G618" s="10" t="inlineStr">
        <is>
          <t>MOD000615</t>
        </is>
      </c>
      <c r="H618" s="14" t="inlineStr">
        <is>
          <t>MFG033</t>
        </is>
      </c>
      <c r="I618" s="14" t="inlineStr">
        <is>
          <t>DF-331</t>
        </is>
      </c>
      <c r="J618" s="14">
        <f>XLOOKUP([@ManufacturerID],tblManufacturerIDCrosswalk[LegacyManufacturerID],tblManufacturerIDCrosswalk[CanonicalManufacturerID],"")</f>
        <v/>
      </c>
      <c r="K618" s="7">
        <f>XLOOKUP([@DeviceFamilyID],tblDeviceFamilyIDCrosswalk[LegacyDeviceFamilyID],tblDeviceFamilyIDCrosswalk[CanonicalDeviceFamilyID],"")</f>
        <v/>
      </c>
      <c r="L618" s="7">
        <f>XLOOKUP([@DeviceTypeID],tblDeviceTypeIDCrosswalk[LegacyDeviceTypeID],tblDeviceTypeIDCrosswalk[CanonicalDeviceTypeID],"")</f>
        <v/>
      </c>
      <c r="M618" s="14">
        <f>XLOOKUP([@ManufacturerID],tblManufacturerIDCrosswalk[LegacyManufacturerID],tblManufacturerIDCrosswalk[MappingStatus],"No Crosswalk")</f>
        <v/>
      </c>
      <c r="N618" s="35">
        <f>XLOOKUP([@DeviceFamilyID],tblDeviceFamilyIDCrosswalk[LegacyDeviceFamilyID],tblDeviceFamilyIDCrosswalk[MappingStatus],"No Crosswalk")</f>
        <v/>
      </c>
      <c r="O618" s="35">
        <f>XLOOKUP([@DeviceTypeID],tblDeviceTypeIDCrosswalk[LegacyDeviceTypeID],tblDeviceTypeIDCrosswalk[MappingStatus],"No Crosswalk")</f>
        <v/>
      </c>
      <c r="P618">
        <f>IF(OR([@ManufacturerMappingStatus]&lt;&gt;"Approved",[@DeviceFamilyMappingStatus]&lt;&gt;"Approved",[@DeviceTypeMappingStatus]&lt;&gt;"Approved"),"Manual Review Required","Approved Crosswalk Available")</f>
        <v/>
      </c>
      <c r="Q618" t="inlineStr">
        <is>
          <t>Pending Review</t>
        </is>
      </c>
    </row>
    <row r="619" ht="21.5" customHeight="1" s="42">
      <c r="A619" s="36" t="n"/>
      <c r="B619" s="35" t="n"/>
      <c r="C619" s="35" t="n"/>
      <c r="D619" s="35" t="n"/>
      <c r="E619" s="39" t="n"/>
      <c r="F619" s="39" t="n"/>
      <c r="G619" s="10" t="inlineStr">
        <is>
          <t>MOD000616</t>
        </is>
      </c>
      <c r="H619" s="14" t="inlineStr">
        <is>
          <t>MFG033</t>
        </is>
      </c>
      <c r="I619" s="14" t="inlineStr">
        <is>
          <t>DF-332</t>
        </is>
      </c>
      <c r="J619" s="14">
        <f>XLOOKUP([@ManufacturerID],tblManufacturerIDCrosswalk[LegacyManufacturerID],tblManufacturerIDCrosswalk[CanonicalManufacturerID],"")</f>
        <v/>
      </c>
      <c r="K619" s="7">
        <f>XLOOKUP([@DeviceFamilyID],tblDeviceFamilyIDCrosswalk[LegacyDeviceFamilyID],tblDeviceFamilyIDCrosswalk[CanonicalDeviceFamilyID],"")</f>
        <v/>
      </c>
      <c r="L619" s="7">
        <f>XLOOKUP([@DeviceTypeID],tblDeviceTypeIDCrosswalk[LegacyDeviceTypeID],tblDeviceTypeIDCrosswalk[CanonicalDeviceTypeID],"")</f>
        <v/>
      </c>
      <c r="M619" s="14">
        <f>XLOOKUP([@ManufacturerID],tblManufacturerIDCrosswalk[LegacyManufacturerID],tblManufacturerIDCrosswalk[MappingStatus],"No Crosswalk")</f>
        <v/>
      </c>
      <c r="N619" s="35">
        <f>XLOOKUP([@DeviceFamilyID],tblDeviceFamilyIDCrosswalk[LegacyDeviceFamilyID],tblDeviceFamilyIDCrosswalk[MappingStatus],"No Crosswalk")</f>
        <v/>
      </c>
      <c r="O619" s="35">
        <f>XLOOKUP([@DeviceTypeID],tblDeviceTypeIDCrosswalk[LegacyDeviceTypeID],tblDeviceTypeIDCrosswalk[MappingStatus],"No Crosswalk")</f>
        <v/>
      </c>
      <c r="P619">
        <f>IF(OR([@ManufacturerMappingStatus]&lt;&gt;"Approved",[@DeviceFamilyMappingStatus]&lt;&gt;"Approved",[@DeviceTypeMappingStatus]&lt;&gt;"Approved"),"Manual Review Required","Approved Crosswalk Available")</f>
        <v/>
      </c>
      <c r="Q619" t="inlineStr">
        <is>
          <t>Pending Review</t>
        </is>
      </c>
    </row>
    <row r="620" ht="21.5" customHeight="1" s="42">
      <c r="A620" s="36" t="n"/>
      <c r="B620" s="35" t="n"/>
      <c r="C620" s="35" t="n"/>
      <c r="D620" s="35" t="n"/>
      <c r="E620" s="39" t="n"/>
      <c r="F620" s="39" t="n"/>
      <c r="G620" s="10" t="inlineStr">
        <is>
          <t>MOD000617</t>
        </is>
      </c>
      <c r="H620" s="14" t="inlineStr">
        <is>
          <t>MFG034</t>
        </is>
      </c>
      <c r="I620" s="14" t="inlineStr">
        <is>
          <t>DF-341</t>
        </is>
      </c>
      <c r="J620" s="14">
        <f>XLOOKUP([@ManufacturerID],tblManufacturerIDCrosswalk[LegacyManufacturerID],tblManufacturerIDCrosswalk[CanonicalManufacturerID],"")</f>
        <v/>
      </c>
      <c r="K620" s="7">
        <f>XLOOKUP([@DeviceFamilyID],tblDeviceFamilyIDCrosswalk[LegacyDeviceFamilyID],tblDeviceFamilyIDCrosswalk[CanonicalDeviceFamilyID],"")</f>
        <v/>
      </c>
      <c r="L620" s="7">
        <f>XLOOKUP([@DeviceTypeID],tblDeviceTypeIDCrosswalk[LegacyDeviceTypeID],tblDeviceTypeIDCrosswalk[CanonicalDeviceTypeID],"")</f>
        <v/>
      </c>
      <c r="M620" s="14">
        <f>XLOOKUP([@ManufacturerID],tblManufacturerIDCrosswalk[LegacyManufacturerID],tblManufacturerIDCrosswalk[MappingStatus],"No Crosswalk")</f>
        <v/>
      </c>
      <c r="N620" s="35">
        <f>XLOOKUP([@DeviceFamilyID],tblDeviceFamilyIDCrosswalk[LegacyDeviceFamilyID],tblDeviceFamilyIDCrosswalk[MappingStatus],"No Crosswalk")</f>
        <v/>
      </c>
      <c r="O620" s="35">
        <f>XLOOKUP([@DeviceTypeID],tblDeviceTypeIDCrosswalk[LegacyDeviceTypeID],tblDeviceTypeIDCrosswalk[MappingStatus],"No Crosswalk")</f>
        <v/>
      </c>
      <c r="P620">
        <f>IF(OR([@ManufacturerMappingStatus]&lt;&gt;"Approved",[@DeviceFamilyMappingStatus]&lt;&gt;"Approved",[@DeviceTypeMappingStatus]&lt;&gt;"Approved"),"Manual Review Required","Approved Crosswalk Available")</f>
        <v/>
      </c>
      <c r="Q620" t="inlineStr">
        <is>
          <t>Pending Review</t>
        </is>
      </c>
    </row>
    <row r="621" ht="21.5" customHeight="1" s="42">
      <c r="A621" s="36" t="n"/>
      <c r="B621" s="35" t="n"/>
      <c r="C621" s="35" t="n"/>
      <c r="D621" s="35" t="n"/>
      <c r="E621" s="39" t="n"/>
      <c r="F621" s="39" t="n"/>
      <c r="G621" s="10" t="inlineStr">
        <is>
          <t>MOD000618</t>
        </is>
      </c>
      <c r="H621" s="14" t="inlineStr">
        <is>
          <t>MFG035</t>
        </is>
      </c>
      <c r="I621" s="14" t="inlineStr">
        <is>
          <t>DF-350</t>
        </is>
      </c>
      <c r="J621" s="14">
        <f>XLOOKUP([@ManufacturerID],tblManufacturerIDCrosswalk[LegacyManufacturerID],tblManufacturerIDCrosswalk[CanonicalManufacturerID],"")</f>
        <v/>
      </c>
      <c r="K621" s="7">
        <f>XLOOKUP([@DeviceFamilyID],tblDeviceFamilyIDCrosswalk[LegacyDeviceFamilyID],tblDeviceFamilyIDCrosswalk[CanonicalDeviceFamilyID],"")</f>
        <v/>
      </c>
      <c r="L621" s="7">
        <f>XLOOKUP([@DeviceTypeID],tblDeviceTypeIDCrosswalk[LegacyDeviceTypeID],tblDeviceTypeIDCrosswalk[CanonicalDeviceTypeID],"")</f>
        <v/>
      </c>
      <c r="M621" s="14">
        <f>XLOOKUP([@ManufacturerID],tblManufacturerIDCrosswalk[LegacyManufacturerID],tblManufacturerIDCrosswalk[MappingStatus],"No Crosswalk")</f>
        <v/>
      </c>
      <c r="N621" s="35">
        <f>XLOOKUP([@DeviceFamilyID],tblDeviceFamilyIDCrosswalk[LegacyDeviceFamilyID],tblDeviceFamilyIDCrosswalk[MappingStatus],"No Crosswalk")</f>
        <v/>
      </c>
      <c r="O621" s="35">
        <f>XLOOKUP([@DeviceTypeID],tblDeviceTypeIDCrosswalk[LegacyDeviceTypeID],tblDeviceTypeIDCrosswalk[MappingStatus],"No Crosswalk")</f>
        <v/>
      </c>
      <c r="P621">
        <f>IF(OR([@ManufacturerMappingStatus]&lt;&gt;"Approved",[@DeviceFamilyMappingStatus]&lt;&gt;"Approved",[@DeviceTypeMappingStatus]&lt;&gt;"Approved"),"Manual Review Required","Approved Crosswalk Available")</f>
        <v/>
      </c>
      <c r="Q621" t="inlineStr">
        <is>
          <t>Pending Review</t>
        </is>
      </c>
    </row>
    <row r="622" ht="21.5" customHeight="1" s="42">
      <c r="A622" s="36" t="n"/>
      <c r="B622" s="35" t="n"/>
      <c r="C622" s="35" t="n"/>
      <c r="D622" s="35" t="n"/>
      <c r="E622" s="39" t="n"/>
      <c r="F622" s="39" t="n"/>
      <c r="G622" s="10" t="inlineStr">
        <is>
          <t>MOD000619</t>
        </is>
      </c>
      <c r="H622" s="14" t="inlineStr">
        <is>
          <t>MFG036</t>
        </is>
      </c>
      <c r="I622" s="14" t="inlineStr">
        <is>
          <t>DF-360</t>
        </is>
      </c>
      <c r="J622" s="14">
        <f>XLOOKUP([@ManufacturerID],tblManufacturerIDCrosswalk[LegacyManufacturerID],tblManufacturerIDCrosswalk[CanonicalManufacturerID],"")</f>
        <v/>
      </c>
      <c r="K622" s="7">
        <f>XLOOKUP([@DeviceFamilyID],tblDeviceFamilyIDCrosswalk[LegacyDeviceFamilyID],tblDeviceFamilyIDCrosswalk[CanonicalDeviceFamilyID],"")</f>
        <v/>
      </c>
      <c r="L622" s="7">
        <f>XLOOKUP([@DeviceTypeID],tblDeviceTypeIDCrosswalk[LegacyDeviceTypeID],tblDeviceTypeIDCrosswalk[CanonicalDeviceTypeID],"")</f>
        <v/>
      </c>
      <c r="M622" s="14">
        <f>XLOOKUP([@ManufacturerID],tblManufacturerIDCrosswalk[LegacyManufacturerID],tblManufacturerIDCrosswalk[MappingStatus],"No Crosswalk")</f>
        <v/>
      </c>
      <c r="N622" s="35">
        <f>XLOOKUP([@DeviceFamilyID],tblDeviceFamilyIDCrosswalk[LegacyDeviceFamilyID],tblDeviceFamilyIDCrosswalk[MappingStatus],"No Crosswalk")</f>
        <v/>
      </c>
      <c r="O622" s="35">
        <f>XLOOKUP([@DeviceTypeID],tblDeviceTypeIDCrosswalk[LegacyDeviceTypeID],tblDeviceTypeIDCrosswalk[MappingStatus],"No Crosswalk")</f>
        <v/>
      </c>
      <c r="P622">
        <f>IF(OR([@ManufacturerMappingStatus]&lt;&gt;"Approved",[@DeviceFamilyMappingStatus]&lt;&gt;"Approved",[@DeviceTypeMappingStatus]&lt;&gt;"Approved"),"Manual Review Required","Approved Crosswalk Available")</f>
        <v/>
      </c>
      <c r="Q622" t="inlineStr">
        <is>
          <t>Pending Review</t>
        </is>
      </c>
    </row>
    <row r="623" ht="21.5" customHeight="1" s="42">
      <c r="A623" s="36" t="n"/>
      <c r="B623" s="35" t="n"/>
      <c r="C623" s="35" t="n"/>
      <c r="D623" s="35" t="n"/>
      <c r="E623" s="39" t="n"/>
      <c r="F623" s="39" t="n"/>
      <c r="G623" s="10" t="inlineStr">
        <is>
          <t>MOD000620</t>
        </is>
      </c>
      <c r="H623" s="14" t="inlineStr">
        <is>
          <t>MFG037</t>
        </is>
      </c>
      <c r="I623" s="14" t="inlineStr">
        <is>
          <t>DF-370</t>
        </is>
      </c>
      <c r="J623" s="14">
        <f>XLOOKUP([@ManufacturerID],tblManufacturerIDCrosswalk[LegacyManufacturerID],tblManufacturerIDCrosswalk[CanonicalManufacturerID],"")</f>
        <v/>
      </c>
      <c r="K623" s="7">
        <f>XLOOKUP([@DeviceFamilyID],tblDeviceFamilyIDCrosswalk[LegacyDeviceFamilyID],tblDeviceFamilyIDCrosswalk[CanonicalDeviceFamilyID],"")</f>
        <v/>
      </c>
      <c r="L623" s="7">
        <f>XLOOKUP([@DeviceTypeID],tblDeviceTypeIDCrosswalk[LegacyDeviceTypeID],tblDeviceTypeIDCrosswalk[CanonicalDeviceTypeID],"")</f>
        <v/>
      </c>
      <c r="M623" s="14">
        <f>XLOOKUP([@ManufacturerID],tblManufacturerIDCrosswalk[LegacyManufacturerID],tblManufacturerIDCrosswalk[MappingStatus],"No Crosswalk")</f>
        <v/>
      </c>
      <c r="N623" s="35">
        <f>XLOOKUP([@DeviceFamilyID],tblDeviceFamilyIDCrosswalk[LegacyDeviceFamilyID],tblDeviceFamilyIDCrosswalk[MappingStatus],"No Crosswalk")</f>
        <v/>
      </c>
      <c r="O623" s="35">
        <f>XLOOKUP([@DeviceTypeID],tblDeviceTypeIDCrosswalk[LegacyDeviceTypeID],tblDeviceTypeIDCrosswalk[MappingStatus],"No Crosswalk")</f>
        <v/>
      </c>
      <c r="P623">
        <f>IF(OR([@ManufacturerMappingStatus]&lt;&gt;"Approved",[@DeviceFamilyMappingStatus]&lt;&gt;"Approved",[@DeviceTypeMappingStatus]&lt;&gt;"Approved"),"Manual Review Required","Approved Crosswalk Available")</f>
        <v/>
      </c>
      <c r="Q623" t="inlineStr">
        <is>
          <t>Pending Review</t>
        </is>
      </c>
    </row>
    <row r="624" ht="21.5" customHeight="1" s="42">
      <c r="A624" s="36" t="n"/>
      <c r="B624" s="35" t="n"/>
      <c r="C624" s="35" t="n"/>
      <c r="D624" s="35" t="n"/>
      <c r="E624" s="39" t="n"/>
      <c r="F624" s="39" t="n"/>
      <c r="G624" s="10" t="inlineStr">
        <is>
          <t>MOD000621</t>
        </is>
      </c>
      <c r="H624" s="14" t="inlineStr">
        <is>
          <t>MFG038</t>
        </is>
      </c>
      <c r="I624" s="14" t="inlineStr">
        <is>
          <t>DF-380</t>
        </is>
      </c>
      <c r="J624" s="14">
        <f>XLOOKUP([@ManufacturerID],tblManufacturerIDCrosswalk[LegacyManufacturerID],tblManufacturerIDCrosswalk[CanonicalManufacturerID],"")</f>
        <v/>
      </c>
      <c r="K624" s="7">
        <f>XLOOKUP([@DeviceFamilyID],tblDeviceFamilyIDCrosswalk[LegacyDeviceFamilyID],tblDeviceFamilyIDCrosswalk[CanonicalDeviceFamilyID],"")</f>
        <v/>
      </c>
      <c r="L624" s="7">
        <f>XLOOKUP([@DeviceTypeID],tblDeviceTypeIDCrosswalk[LegacyDeviceTypeID],tblDeviceTypeIDCrosswalk[CanonicalDeviceTypeID],"")</f>
        <v/>
      </c>
      <c r="M624" s="14">
        <f>XLOOKUP([@ManufacturerID],tblManufacturerIDCrosswalk[LegacyManufacturerID],tblManufacturerIDCrosswalk[MappingStatus],"No Crosswalk")</f>
        <v/>
      </c>
      <c r="N624" s="35">
        <f>XLOOKUP([@DeviceFamilyID],tblDeviceFamilyIDCrosswalk[LegacyDeviceFamilyID],tblDeviceFamilyIDCrosswalk[MappingStatus],"No Crosswalk")</f>
        <v/>
      </c>
      <c r="O624" s="35">
        <f>XLOOKUP([@DeviceTypeID],tblDeviceTypeIDCrosswalk[LegacyDeviceTypeID],tblDeviceTypeIDCrosswalk[MappingStatus],"No Crosswalk")</f>
        <v/>
      </c>
      <c r="P624">
        <f>IF(OR([@ManufacturerMappingStatus]&lt;&gt;"Approved",[@DeviceFamilyMappingStatus]&lt;&gt;"Approved",[@DeviceTypeMappingStatus]&lt;&gt;"Approved"),"Manual Review Required","Approved Crosswalk Available")</f>
        <v/>
      </c>
      <c r="Q624" t="inlineStr">
        <is>
          <t>Pending Review</t>
        </is>
      </c>
    </row>
    <row r="625" ht="21.5" customHeight="1" s="42">
      <c r="A625" s="36" t="n"/>
      <c r="B625" s="35" t="n"/>
      <c r="C625" s="35" t="n"/>
      <c r="D625" s="35" t="n"/>
      <c r="E625" s="39" t="n"/>
      <c r="F625" s="39" t="n"/>
      <c r="G625" s="10" t="inlineStr">
        <is>
          <t>MOD000622</t>
        </is>
      </c>
      <c r="H625" s="14" t="inlineStr">
        <is>
          <t>MFG039</t>
        </is>
      </c>
      <c r="I625" s="14" t="inlineStr">
        <is>
          <t>DF-390</t>
        </is>
      </c>
      <c r="J625" s="14">
        <f>XLOOKUP([@ManufacturerID],tblManufacturerIDCrosswalk[LegacyManufacturerID],tblManufacturerIDCrosswalk[CanonicalManufacturerID],"")</f>
        <v/>
      </c>
      <c r="K625" s="7">
        <f>XLOOKUP([@DeviceFamilyID],tblDeviceFamilyIDCrosswalk[LegacyDeviceFamilyID],tblDeviceFamilyIDCrosswalk[CanonicalDeviceFamilyID],"")</f>
        <v/>
      </c>
      <c r="L625" s="7">
        <f>XLOOKUP([@DeviceTypeID],tblDeviceTypeIDCrosswalk[LegacyDeviceTypeID],tblDeviceTypeIDCrosswalk[CanonicalDeviceTypeID],"")</f>
        <v/>
      </c>
      <c r="M625" s="14">
        <f>XLOOKUP([@ManufacturerID],tblManufacturerIDCrosswalk[LegacyManufacturerID],tblManufacturerIDCrosswalk[MappingStatus],"No Crosswalk")</f>
        <v/>
      </c>
      <c r="N625" s="35">
        <f>XLOOKUP([@DeviceFamilyID],tblDeviceFamilyIDCrosswalk[LegacyDeviceFamilyID],tblDeviceFamilyIDCrosswalk[MappingStatus],"No Crosswalk")</f>
        <v/>
      </c>
      <c r="O625" s="35">
        <f>XLOOKUP([@DeviceTypeID],tblDeviceTypeIDCrosswalk[LegacyDeviceTypeID],tblDeviceTypeIDCrosswalk[MappingStatus],"No Crosswalk")</f>
        <v/>
      </c>
      <c r="P625">
        <f>IF(OR([@ManufacturerMappingStatus]&lt;&gt;"Approved",[@DeviceFamilyMappingStatus]&lt;&gt;"Approved",[@DeviceTypeMappingStatus]&lt;&gt;"Approved"),"Manual Review Required","Approved Crosswalk Available")</f>
        <v/>
      </c>
      <c r="Q625" t="inlineStr">
        <is>
          <t>Pending Review</t>
        </is>
      </c>
    </row>
    <row r="626" ht="21.5" customHeight="1" s="42">
      <c r="A626" s="36" t="n"/>
      <c r="B626" s="35" t="n"/>
      <c r="C626" s="35" t="n"/>
      <c r="D626" s="35" t="n"/>
      <c r="E626" s="39" t="n"/>
      <c r="F626" s="39" t="n"/>
      <c r="G626" s="10" t="inlineStr">
        <is>
          <t>MOD000623</t>
        </is>
      </c>
      <c r="H626" s="14" t="inlineStr">
        <is>
          <t>MFG040</t>
        </is>
      </c>
      <c r="I626" s="14" t="inlineStr">
        <is>
          <t>DF-400</t>
        </is>
      </c>
      <c r="J626" s="14">
        <f>XLOOKUP([@ManufacturerID],tblManufacturerIDCrosswalk[LegacyManufacturerID],tblManufacturerIDCrosswalk[CanonicalManufacturerID],"")</f>
        <v/>
      </c>
      <c r="K626" s="7">
        <f>XLOOKUP([@DeviceFamilyID],tblDeviceFamilyIDCrosswalk[LegacyDeviceFamilyID],tblDeviceFamilyIDCrosswalk[CanonicalDeviceFamilyID],"")</f>
        <v/>
      </c>
      <c r="L626" s="7">
        <f>XLOOKUP([@DeviceTypeID],tblDeviceTypeIDCrosswalk[LegacyDeviceTypeID],tblDeviceTypeIDCrosswalk[CanonicalDeviceTypeID],"")</f>
        <v/>
      </c>
      <c r="M626" s="14">
        <f>XLOOKUP([@ManufacturerID],tblManufacturerIDCrosswalk[LegacyManufacturerID],tblManufacturerIDCrosswalk[MappingStatus],"No Crosswalk")</f>
        <v/>
      </c>
      <c r="N626" s="35">
        <f>XLOOKUP([@DeviceFamilyID],tblDeviceFamilyIDCrosswalk[LegacyDeviceFamilyID],tblDeviceFamilyIDCrosswalk[MappingStatus],"No Crosswalk")</f>
        <v/>
      </c>
      <c r="O626" s="35">
        <f>XLOOKUP([@DeviceTypeID],tblDeviceTypeIDCrosswalk[LegacyDeviceTypeID],tblDeviceTypeIDCrosswalk[MappingStatus],"No Crosswalk")</f>
        <v/>
      </c>
      <c r="P626">
        <f>IF(OR([@ManufacturerMappingStatus]&lt;&gt;"Approved",[@DeviceFamilyMappingStatus]&lt;&gt;"Approved",[@DeviceTypeMappingStatus]&lt;&gt;"Approved"),"Manual Review Required","Approved Crosswalk Available")</f>
        <v/>
      </c>
      <c r="Q626" t="inlineStr">
        <is>
          <t>Pending Review</t>
        </is>
      </c>
    </row>
    <row r="627" ht="21.5" customHeight="1" s="42">
      <c r="A627" s="36" t="n"/>
      <c r="B627" s="35" t="n"/>
      <c r="C627" s="35" t="n"/>
      <c r="D627" s="35" t="n"/>
      <c r="E627" s="39" t="n"/>
      <c r="F627" s="39" t="n"/>
      <c r="G627" s="10" t="inlineStr">
        <is>
          <t>MOD000624</t>
        </is>
      </c>
      <c r="H627" s="14" t="inlineStr">
        <is>
          <t>MFG041</t>
        </is>
      </c>
      <c r="I627" s="14" t="inlineStr">
        <is>
          <t>DF-410</t>
        </is>
      </c>
      <c r="J627" s="14">
        <f>XLOOKUP([@ManufacturerID],tblManufacturerIDCrosswalk[LegacyManufacturerID],tblManufacturerIDCrosswalk[CanonicalManufacturerID],"")</f>
        <v/>
      </c>
      <c r="K627" s="7">
        <f>XLOOKUP([@DeviceFamilyID],tblDeviceFamilyIDCrosswalk[LegacyDeviceFamilyID],tblDeviceFamilyIDCrosswalk[CanonicalDeviceFamilyID],"")</f>
        <v/>
      </c>
      <c r="L627" s="7">
        <f>XLOOKUP([@DeviceTypeID],tblDeviceTypeIDCrosswalk[LegacyDeviceTypeID],tblDeviceTypeIDCrosswalk[CanonicalDeviceTypeID],"")</f>
        <v/>
      </c>
      <c r="M627" s="14">
        <f>XLOOKUP([@ManufacturerID],tblManufacturerIDCrosswalk[LegacyManufacturerID],tblManufacturerIDCrosswalk[MappingStatus],"No Crosswalk")</f>
        <v/>
      </c>
      <c r="N627" s="35">
        <f>XLOOKUP([@DeviceFamilyID],tblDeviceFamilyIDCrosswalk[LegacyDeviceFamilyID],tblDeviceFamilyIDCrosswalk[MappingStatus],"No Crosswalk")</f>
        <v/>
      </c>
      <c r="O627" s="35">
        <f>XLOOKUP([@DeviceTypeID],tblDeviceTypeIDCrosswalk[LegacyDeviceTypeID],tblDeviceTypeIDCrosswalk[MappingStatus],"No Crosswalk")</f>
        <v/>
      </c>
      <c r="P627">
        <f>IF(OR([@ManufacturerMappingStatus]&lt;&gt;"Approved",[@DeviceFamilyMappingStatus]&lt;&gt;"Approved",[@DeviceTypeMappingStatus]&lt;&gt;"Approved"),"Manual Review Required","Approved Crosswalk Available")</f>
        <v/>
      </c>
      <c r="Q627" t="inlineStr">
        <is>
          <t>Pending Review</t>
        </is>
      </c>
    </row>
    <row r="628" ht="21.5" customHeight="1" s="42">
      <c r="A628" s="36" t="n"/>
      <c r="B628" s="35" t="n"/>
      <c r="C628" s="35" t="n"/>
      <c r="D628" s="35" t="n"/>
      <c r="E628" s="39" t="n"/>
      <c r="F628" s="39" t="n"/>
      <c r="G628" s="10" t="inlineStr">
        <is>
          <t>MOD000625</t>
        </is>
      </c>
      <c r="H628" s="14" t="inlineStr">
        <is>
          <t>MFG042</t>
        </is>
      </c>
      <c r="I628" s="14" t="inlineStr">
        <is>
          <t>DF-420</t>
        </is>
      </c>
      <c r="J628" s="14">
        <f>XLOOKUP([@ManufacturerID],tblManufacturerIDCrosswalk[LegacyManufacturerID],tblManufacturerIDCrosswalk[CanonicalManufacturerID],"")</f>
        <v/>
      </c>
      <c r="K628" s="7">
        <f>XLOOKUP([@DeviceFamilyID],tblDeviceFamilyIDCrosswalk[LegacyDeviceFamilyID],tblDeviceFamilyIDCrosswalk[CanonicalDeviceFamilyID],"")</f>
        <v/>
      </c>
      <c r="L628" s="7">
        <f>XLOOKUP([@DeviceTypeID],tblDeviceTypeIDCrosswalk[LegacyDeviceTypeID],tblDeviceTypeIDCrosswalk[CanonicalDeviceTypeID],"")</f>
        <v/>
      </c>
      <c r="M628" s="14">
        <f>XLOOKUP([@ManufacturerID],tblManufacturerIDCrosswalk[LegacyManufacturerID],tblManufacturerIDCrosswalk[MappingStatus],"No Crosswalk")</f>
        <v/>
      </c>
      <c r="N628" s="35">
        <f>XLOOKUP([@DeviceFamilyID],tblDeviceFamilyIDCrosswalk[LegacyDeviceFamilyID],tblDeviceFamilyIDCrosswalk[MappingStatus],"No Crosswalk")</f>
        <v/>
      </c>
      <c r="O628" s="35">
        <f>XLOOKUP([@DeviceTypeID],tblDeviceTypeIDCrosswalk[LegacyDeviceTypeID],tblDeviceTypeIDCrosswalk[MappingStatus],"No Crosswalk")</f>
        <v/>
      </c>
      <c r="P628">
        <f>IF(OR([@ManufacturerMappingStatus]&lt;&gt;"Approved",[@DeviceFamilyMappingStatus]&lt;&gt;"Approved",[@DeviceTypeMappingStatus]&lt;&gt;"Approved"),"Manual Review Required","Approved Crosswalk Available")</f>
        <v/>
      </c>
      <c r="Q628" t="inlineStr">
        <is>
          <t>Pending Review</t>
        </is>
      </c>
    </row>
    <row r="629" ht="21.5" customHeight="1" s="42">
      <c r="A629" s="36" t="n"/>
      <c r="B629" s="35" t="n"/>
      <c r="C629" s="35" t="n"/>
      <c r="D629" s="35" t="n"/>
      <c r="E629" s="39" t="n"/>
      <c r="F629" s="39" t="n"/>
      <c r="G629" s="10" t="inlineStr">
        <is>
          <t>MOD000626</t>
        </is>
      </c>
      <c r="H629" s="14" t="inlineStr">
        <is>
          <t>MFG031</t>
        </is>
      </c>
      <c r="I629" s="14" t="inlineStr">
        <is>
          <t>DF-311</t>
        </is>
      </c>
      <c r="J629" s="14">
        <f>XLOOKUP([@ManufacturerID],tblManufacturerIDCrosswalk[LegacyManufacturerID],tblManufacturerIDCrosswalk[CanonicalManufacturerID],"")</f>
        <v/>
      </c>
      <c r="K629" s="7">
        <f>XLOOKUP([@DeviceFamilyID],tblDeviceFamilyIDCrosswalk[LegacyDeviceFamilyID],tblDeviceFamilyIDCrosswalk[CanonicalDeviceFamilyID],"")</f>
        <v/>
      </c>
      <c r="L629" s="7">
        <f>XLOOKUP([@DeviceTypeID],tblDeviceTypeIDCrosswalk[LegacyDeviceTypeID],tblDeviceTypeIDCrosswalk[CanonicalDeviceTypeID],"")</f>
        <v/>
      </c>
      <c r="M629" s="14">
        <f>XLOOKUP([@ManufacturerID],tblManufacturerIDCrosswalk[LegacyManufacturerID],tblManufacturerIDCrosswalk[MappingStatus],"No Crosswalk")</f>
        <v/>
      </c>
      <c r="N629" s="35">
        <f>XLOOKUP([@DeviceFamilyID],tblDeviceFamilyIDCrosswalk[LegacyDeviceFamilyID],tblDeviceFamilyIDCrosswalk[MappingStatus],"No Crosswalk")</f>
        <v/>
      </c>
      <c r="O629" s="35">
        <f>XLOOKUP([@DeviceTypeID],tblDeviceTypeIDCrosswalk[LegacyDeviceTypeID],tblDeviceTypeIDCrosswalk[MappingStatus],"No Crosswalk")</f>
        <v/>
      </c>
      <c r="P629">
        <f>IF(OR([@ManufacturerMappingStatus]&lt;&gt;"Approved",[@DeviceFamilyMappingStatus]&lt;&gt;"Approved",[@DeviceTypeMappingStatus]&lt;&gt;"Approved"),"Manual Review Required","Approved Crosswalk Available")</f>
        <v/>
      </c>
      <c r="Q629" t="inlineStr">
        <is>
          <t>Pending Review</t>
        </is>
      </c>
    </row>
    <row r="630" ht="21.5" customHeight="1" s="42">
      <c r="A630" s="36" t="n"/>
      <c r="B630" s="35" t="n"/>
      <c r="C630" s="35" t="n"/>
      <c r="D630" s="35" t="n"/>
      <c r="E630" s="39" t="n"/>
      <c r="F630" s="39" t="n"/>
      <c r="G630" s="10" t="inlineStr">
        <is>
          <t>MOD000627</t>
        </is>
      </c>
      <c r="H630" s="14" t="inlineStr">
        <is>
          <t>MFG031</t>
        </is>
      </c>
      <c r="I630" s="14" t="inlineStr">
        <is>
          <t>DF-312</t>
        </is>
      </c>
      <c r="J630" s="14">
        <f>XLOOKUP([@ManufacturerID],tblManufacturerIDCrosswalk[LegacyManufacturerID],tblManufacturerIDCrosswalk[CanonicalManufacturerID],"")</f>
        <v/>
      </c>
      <c r="K630" s="7">
        <f>XLOOKUP([@DeviceFamilyID],tblDeviceFamilyIDCrosswalk[LegacyDeviceFamilyID],tblDeviceFamilyIDCrosswalk[CanonicalDeviceFamilyID],"")</f>
        <v/>
      </c>
      <c r="L630" s="7">
        <f>XLOOKUP([@DeviceTypeID],tblDeviceTypeIDCrosswalk[LegacyDeviceTypeID],tblDeviceTypeIDCrosswalk[CanonicalDeviceTypeID],"")</f>
        <v/>
      </c>
      <c r="M630" s="14">
        <f>XLOOKUP([@ManufacturerID],tblManufacturerIDCrosswalk[LegacyManufacturerID],tblManufacturerIDCrosswalk[MappingStatus],"No Crosswalk")</f>
        <v/>
      </c>
      <c r="N630" s="35">
        <f>XLOOKUP([@DeviceFamilyID],tblDeviceFamilyIDCrosswalk[LegacyDeviceFamilyID],tblDeviceFamilyIDCrosswalk[MappingStatus],"No Crosswalk")</f>
        <v/>
      </c>
      <c r="O630" s="35">
        <f>XLOOKUP([@DeviceTypeID],tblDeviceTypeIDCrosswalk[LegacyDeviceTypeID],tblDeviceTypeIDCrosswalk[MappingStatus],"No Crosswalk")</f>
        <v/>
      </c>
      <c r="P630">
        <f>IF(OR([@ManufacturerMappingStatus]&lt;&gt;"Approved",[@DeviceFamilyMappingStatus]&lt;&gt;"Approved",[@DeviceTypeMappingStatus]&lt;&gt;"Approved"),"Manual Review Required","Approved Crosswalk Available")</f>
        <v/>
      </c>
      <c r="Q630" t="inlineStr">
        <is>
          <t>Pending Review</t>
        </is>
      </c>
    </row>
    <row r="631" ht="21.5" customHeight="1" s="42">
      <c r="A631" s="36" t="n"/>
      <c r="B631" s="35" t="n"/>
      <c r="C631" s="35" t="n"/>
      <c r="D631" s="35" t="n"/>
      <c r="E631" s="39" t="n"/>
      <c r="F631" s="39" t="n"/>
      <c r="G631" s="10" t="inlineStr">
        <is>
          <t>MOD000628</t>
        </is>
      </c>
      <c r="H631" s="14" t="inlineStr">
        <is>
          <t>MFG043</t>
        </is>
      </c>
      <c r="I631" s="14" t="inlineStr">
        <is>
          <t>DF-430</t>
        </is>
      </c>
      <c r="J631" s="14">
        <f>XLOOKUP([@ManufacturerID],tblManufacturerIDCrosswalk[LegacyManufacturerID],tblManufacturerIDCrosswalk[CanonicalManufacturerID],"")</f>
        <v/>
      </c>
      <c r="K631" s="7">
        <f>XLOOKUP([@DeviceFamilyID],tblDeviceFamilyIDCrosswalk[LegacyDeviceFamilyID],tblDeviceFamilyIDCrosswalk[CanonicalDeviceFamilyID],"")</f>
        <v/>
      </c>
      <c r="L631" s="7">
        <f>XLOOKUP([@DeviceTypeID],tblDeviceTypeIDCrosswalk[LegacyDeviceTypeID],tblDeviceTypeIDCrosswalk[CanonicalDeviceTypeID],"")</f>
        <v/>
      </c>
      <c r="M631" s="14">
        <f>XLOOKUP([@ManufacturerID],tblManufacturerIDCrosswalk[LegacyManufacturerID],tblManufacturerIDCrosswalk[MappingStatus],"No Crosswalk")</f>
        <v/>
      </c>
      <c r="N631" s="35">
        <f>XLOOKUP([@DeviceFamilyID],tblDeviceFamilyIDCrosswalk[LegacyDeviceFamilyID],tblDeviceFamilyIDCrosswalk[MappingStatus],"No Crosswalk")</f>
        <v/>
      </c>
      <c r="O631" s="35">
        <f>XLOOKUP([@DeviceTypeID],tblDeviceTypeIDCrosswalk[LegacyDeviceTypeID],tblDeviceTypeIDCrosswalk[MappingStatus],"No Crosswalk")</f>
        <v/>
      </c>
      <c r="P631">
        <f>IF(OR([@ManufacturerMappingStatus]&lt;&gt;"Approved",[@DeviceFamilyMappingStatus]&lt;&gt;"Approved",[@DeviceTypeMappingStatus]&lt;&gt;"Approved"),"Manual Review Required","Approved Crosswalk Available")</f>
        <v/>
      </c>
      <c r="Q631" t="inlineStr">
        <is>
          <t>Pending Review</t>
        </is>
      </c>
    </row>
    <row r="632" ht="21.5" customHeight="1" s="42">
      <c r="A632" s="36" t="n"/>
      <c r="B632" s="35" t="n"/>
      <c r="C632" s="35" t="n"/>
      <c r="D632" s="35" t="n"/>
      <c r="E632" s="39" t="n"/>
      <c r="F632" s="39" t="n"/>
      <c r="G632" s="10" t="inlineStr">
        <is>
          <t>MOD000629</t>
        </is>
      </c>
      <c r="H632" s="14" t="inlineStr">
        <is>
          <t>MFG044</t>
        </is>
      </c>
      <c r="I632" s="14" t="inlineStr">
        <is>
          <t>DF-440</t>
        </is>
      </c>
      <c r="J632" s="14">
        <f>XLOOKUP([@ManufacturerID],tblManufacturerIDCrosswalk[LegacyManufacturerID],tblManufacturerIDCrosswalk[CanonicalManufacturerID],"")</f>
        <v/>
      </c>
      <c r="K632" s="7">
        <f>XLOOKUP([@DeviceFamilyID],tblDeviceFamilyIDCrosswalk[LegacyDeviceFamilyID],tblDeviceFamilyIDCrosswalk[CanonicalDeviceFamilyID],"")</f>
        <v/>
      </c>
      <c r="L632" s="7">
        <f>XLOOKUP([@DeviceTypeID],tblDeviceTypeIDCrosswalk[LegacyDeviceTypeID],tblDeviceTypeIDCrosswalk[CanonicalDeviceTypeID],"")</f>
        <v/>
      </c>
      <c r="M632" s="14">
        <f>XLOOKUP([@ManufacturerID],tblManufacturerIDCrosswalk[LegacyManufacturerID],tblManufacturerIDCrosswalk[MappingStatus],"No Crosswalk")</f>
        <v/>
      </c>
      <c r="N632" s="35">
        <f>XLOOKUP([@DeviceFamilyID],tblDeviceFamilyIDCrosswalk[LegacyDeviceFamilyID],tblDeviceFamilyIDCrosswalk[MappingStatus],"No Crosswalk")</f>
        <v/>
      </c>
      <c r="O632" s="35">
        <f>XLOOKUP([@DeviceTypeID],tblDeviceTypeIDCrosswalk[LegacyDeviceTypeID],tblDeviceTypeIDCrosswalk[MappingStatus],"No Crosswalk")</f>
        <v/>
      </c>
      <c r="P632">
        <f>IF(OR([@ManufacturerMappingStatus]&lt;&gt;"Approved",[@DeviceFamilyMappingStatus]&lt;&gt;"Approved",[@DeviceTypeMappingStatus]&lt;&gt;"Approved"),"Manual Review Required","Approved Crosswalk Available")</f>
        <v/>
      </c>
      <c r="Q632" t="inlineStr">
        <is>
          <t>Pending Review</t>
        </is>
      </c>
    </row>
    <row r="633" ht="21.5" customHeight="1" s="42">
      <c r="A633" s="36" t="n"/>
      <c r="B633" s="35" t="n"/>
      <c r="C633" s="35" t="n"/>
      <c r="D633" s="35" t="n"/>
      <c r="E633" s="39" t="n"/>
      <c r="F633" s="39" t="n"/>
      <c r="G633" s="10" t="inlineStr">
        <is>
          <t>MOD000630</t>
        </is>
      </c>
      <c r="H633" s="14" t="inlineStr">
        <is>
          <t>MFG008</t>
        </is>
      </c>
      <c r="I633" s="14" t="inlineStr">
        <is>
          <t>DF081</t>
        </is>
      </c>
      <c r="J633" s="14">
        <f>XLOOKUP([@ManufacturerID],tblManufacturerIDCrosswalk[LegacyManufacturerID],tblManufacturerIDCrosswalk[CanonicalManufacturerID],"")</f>
        <v/>
      </c>
      <c r="K633" s="7">
        <f>XLOOKUP([@DeviceFamilyID],tblDeviceFamilyIDCrosswalk[LegacyDeviceFamilyID],tblDeviceFamilyIDCrosswalk[CanonicalDeviceFamilyID],"")</f>
        <v/>
      </c>
      <c r="L633" s="7">
        <f>XLOOKUP([@DeviceTypeID],tblDeviceTypeIDCrosswalk[LegacyDeviceTypeID],tblDeviceTypeIDCrosswalk[CanonicalDeviceTypeID],"")</f>
        <v/>
      </c>
      <c r="M633" s="14">
        <f>XLOOKUP([@ManufacturerID],tblManufacturerIDCrosswalk[LegacyManufacturerID],tblManufacturerIDCrosswalk[MappingStatus],"No Crosswalk")</f>
        <v/>
      </c>
      <c r="N633" s="35">
        <f>XLOOKUP([@DeviceFamilyID],tblDeviceFamilyIDCrosswalk[LegacyDeviceFamilyID],tblDeviceFamilyIDCrosswalk[MappingStatus],"No Crosswalk")</f>
        <v/>
      </c>
      <c r="O633" s="35">
        <f>XLOOKUP([@DeviceTypeID],tblDeviceTypeIDCrosswalk[LegacyDeviceTypeID],tblDeviceTypeIDCrosswalk[MappingStatus],"No Crosswalk")</f>
        <v/>
      </c>
      <c r="P633">
        <f>IF(OR([@ManufacturerMappingStatus]&lt;&gt;"Approved",[@DeviceFamilyMappingStatus]&lt;&gt;"Approved",[@DeviceTypeMappingStatus]&lt;&gt;"Approved"),"Manual Review Required","Approved Crosswalk Available")</f>
        <v/>
      </c>
      <c r="Q633" t="inlineStr">
        <is>
          <t>Pending Review</t>
        </is>
      </c>
    </row>
    <row r="634" ht="21.5" customHeight="1" s="42">
      <c r="A634" s="36" t="n"/>
      <c r="B634" s="35" t="n"/>
      <c r="C634" s="35" t="n"/>
      <c r="D634" s="35" t="n"/>
      <c r="E634" s="39" t="n"/>
      <c r="F634" s="39" t="n"/>
      <c r="G634" s="10" t="inlineStr">
        <is>
          <t>MOD000631</t>
        </is>
      </c>
      <c r="H634" s="14" t="inlineStr">
        <is>
          <t>MFG034</t>
        </is>
      </c>
      <c r="I634" s="14" t="inlineStr">
        <is>
          <t>DF-342</t>
        </is>
      </c>
      <c r="J634" s="14">
        <f>XLOOKUP([@ManufacturerID],tblManufacturerIDCrosswalk[LegacyManufacturerID],tblManufacturerIDCrosswalk[CanonicalManufacturerID],"")</f>
        <v/>
      </c>
      <c r="K634" s="7">
        <f>XLOOKUP([@DeviceFamilyID],tblDeviceFamilyIDCrosswalk[LegacyDeviceFamilyID],tblDeviceFamilyIDCrosswalk[CanonicalDeviceFamilyID],"")</f>
        <v/>
      </c>
      <c r="L634" s="7">
        <f>XLOOKUP([@DeviceTypeID],tblDeviceTypeIDCrosswalk[LegacyDeviceTypeID],tblDeviceTypeIDCrosswalk[CanonicalDeviceTypeID],"")</f>
        <v/>
      </c>
      <c r="M634" s="14">
        <f>XLOOKUP([@ManufacturerID],tblManufacturerIDCrosswalk[LegacyManufacturerID],tblManufacturerIDCrosswalk[MappingStatus],"No Crosswalk")</f>
        <v/>
      </c>
      <c r="N634" s="35">
        <f>XLOOKUP([@DeviceFamilyID],tblDeviceFamilyIDCrosswalk[LegacyDeviceFamilyID],tblDeviceFamilyIDCrosswalk[MappingStatus],"No Crosswalk")</f>
        <v/>
      </c>
      <c r="O634" s="35">
        <f>XLOOKUP([@DeviceTypeID],tblDeviceTypeIDCrosswalk[LegacyDeviceTypeID],tblDeviceTypeIDCrosswalk[MappingStatus],"No Crosswalk")</f>
        <v/>
      </c>
      <c r="P634">
        <f>IF(OR([@ManufacturerMappingStatus]&lt;&gt;"Approved",[@DeviceFamilyMappingStatus]&lt;&gt;"Approved",[@DeviceTypeMappingStatus]&lt;&gt;"Approved"),"Manual Review Required","Approved Crosswalk Available")</f>
        <v/>
      </c>
      <c r="Q634" t="inlineStr">
        <is>
          <t>Pending Review</t>
        </is>
      </c>
    </row>
    <row r="635" ht="21.5" customHeight="1" s="42">
      <c r="A635" s="36" t="n"/>
      <c r="B635" s="35" t="n"/>
      <c r="C635" s="35" t="n"/>
      <c r="D635" s="35" t="n"/>
      <c r="E635" s="39" t="n"/>
      <c r="F635" s="39" t="n"/>
      <c r="G635" s="10" t="inlineStr">
        <is>
          <t>MOD000632</t>
        </is>
      </c>
      <c r="H635" s="14" t="inlineStr">
        <is>
          <t>MFG045</t>
        </is>
      </c>
      <c r="I635" s="14" t="inlineStr">
        <is>
          <t>DF-450</t>
        </is>
      </c>
      <c r="J635" s="14">
        <f>XLOOKUP([@ManufacturerID],tblManufacturerIDCrosswalk[LegacyManufacturerID],tblManufacturerIDCrosswalk[CanonicalManufacturerID],"")</f>
        <v/>
      </c>
      <c r="K635" s="7">
        <f>XLOOKUP([@DeviceFamilyID],tblDeviceFamilyIDCrosswalk[LegacyDeviceFamilyID],tblDeviceFamilyIDCrosswalk[CanonicalDeviceFamilyID],"")</f>
        <v/>
      </c>
      <c r="L635" s="7">
        <f>XLOOKUP([@DeviceTypeID],tblDeviceTypeIDCrosswalk[LegacyDeviceTypeID],tblDeviceTypeIDCrosswalk[CanonicalDeviceTypeID],"")</f>
        <v/>
      </c>
      <c r="M635" s="14">
        <f>XLOOKUP([@ManufacturerID],tblManufacturerIDCrosswalk[LegacyManufacturerID],tblManufacturerIDCrosswalk[MappingStatus],"No Crosswalk")</f>
        <v/>
      </c>
      <c r="N635" s="35">
        <f>XLOOKUP([@DeviceFamilyID],tblDeviceFamilyIDCrosswalk[LegacyDeviceFamilyID],tblDeviceFamilyIDCrosswalk[MappingStatus],"No Crosswalk")</f>
        <v/>
      </c>
      <c r="O635" s="35">
        <f>XLOOKUP([@DeviceTypeID],tblDeviceTypeIDCrosswalk[LegacyDeviceTypeID],tblDeviceTypeIDCrosswalk[MappingStatus],"No Crosswalk")</f>
        <v/>
      </c>
      <c r="P635">
        <f>IF(OR([@ManufacturerMappingStatus]&lt;&gt;"Approved",[@DeviceFamilyMappingStatus]&lt;&gt;"Approved",[@DeviceTypeMappingStatus]&lt;&gt;"Approved"),"Manual Review Required","Approved Crosswalk Available")</f>
        <v/>
      </c>
      <c r="Q635" t="inlineStr">
        <is>
          <t>Pending Review</t>
        </is>
      </c>
    </row>
  </sheetData>
  <dataValidations count="1">
    <dataValidation sqref="B14 B36 B51 B69 B81 B95 B120:B635 H2:H635" showDropDown="0" showInputMessage="1" showErrorMessage="1" allowBlank="1" type="list">
      <formula1>$A$127:$A$146</formula1>
    </dataValidation>
  </dataValidations>
  <pageMargins left="0.7" right="0.7" top="0.75" bottom="0.75" header="0.3" footer="0.3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0"/>
  <sheetViews>
    <sheetView topLeftCell="A2" workbookViewId="0">
      <selection activeCell="A2" sqref="A2"/>
    </sheetView>
  </sheetViews>
  <sheetFormatPr baseColWidth="8" defaultRowHeight="14.5"/>
  <cols>
    <col width="13.26953125" bestFit="1" customWidth="1" style="42" min="1" max="1"/>
    <col width="29.8164062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6328125" bestFit="1" customWidth="1" style="42" min="7" max="7"/>
    <col width="32.17968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6328125" bestFit="1" customWidth="1" style="42" min="13" max="13"/>
    <col width="23.453125" bestFit="1" customWidth="1" style="42" min="14" max="14"/>
    <col width="24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  <col width="14.26953125" bestFit="1" customWidth="1" style="42" min="19" max="19"/>
    <col width="22.81640625" bestFit="1" customWidth="1" style="42" min="20" max="20"/>
    <col width="23.08984375" bestFit="1" customWidth="1" style="42" min="21" max="21"/>
    <col width="16.81640625" bestFit="1" customWidth="1" style="42" min="22" max="22"/>
    <col width="9.81640625" bestFit="1" customWidth="1" style="42" min="23" max="23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  <c r="S1" s="45" t="inlineStr">
        <is>
          <t>ID</t>
        </is>
      </c>
      <c r="T1" s="45" t="inlineStr">
        <is>
          <t>Name</t>
        </is>
      </c>
      <c r="U1" s="45" t="inlineStr">
        <is>
          <t>Description</t>
        </is>
      </c>
      <c r="V1" s="45" t="inlineStr">
        <is>
          <t>DisplayOrder</t>
        </is>
      </c>
      <c r="W1" s="45" t="inlineStr">
        <is>
          <t>Active</t>
        </is>
      </c>
    </row>
    <row r="2" ht="21.5" customHeight="1" s="42">
      <c r="A2" s="35" t="inlineStr">
        <is>
          <t>RTP000001</t>
        </is>
      </c>
      <c r="B2" s="35" t="inlineStr">
        <is>
          <t>Screen Replacement</t>
        </is>
      </c>
      <c r="C2" s="35" t="inlineStr">
        <is>
          <t>Screen Replacement</t>
        </is>
      </c>
      <c r="D2" s="35" t="n">
        <v>1</v>
      </c>
      <c r="E2" s="35" t="b">
        <v>1</v>
      </c>
      <c r="G2" s="37" t="inlineStr">
        <is>
          <t>RCT000001</t>
        </is>
      </c>
      <c r="H2" s="35" t="inlineStr">
        <is>
          <t>Hardware</t>
        </is>
      </c>
      <c r="I2" s="35" t="inlineStr">
        <is>
          <t>Hardware</t>
        </is>
      </c>
      <c r="J2" s="47" t="n">
        <v>1</v>
      </c>
      <c r="K2" s="47" t="b">
        <v>1</v>
      </c>
      <c r="M2" s="35" t="inlineStr">
        <is>
          <t>RPY000001</t>
        </is>
      </c>
      <c r="N2" s="35" t="inlineStr">
        <is>
          <t>Low</t>
        </is>
      </c>
      <c r="O2" s="35" t="inlineStr">
        <is>
          <t>Low</t>
        </is>
      </c>
      <c r="P2" s="35" t="n">
        <v>1</v>
      </c>
      <c r="Q2" s="35" t="b">
        <v>1</v>
      </c>
      <c r="S2" s="35" t="inlineStr">
        <is>
          <t>RCM000001</t>
        </is>
      </c>
      <c r="T2" s="35" t="inlineStr">
        <is>
          <t>Level 1</t>
        </is>
      </c>
      <c r="U2" s="35" t="inlineStr">
        <is>
          <t>Basic</t>
        </is>
      </c>
      <c r="V2" s="35" t="n">
        <v>1</v>
      </c>
      <c r="W2" s="35" t="b">
        <v>1</v>
      </c>
    </row>
    <row r="3" ht="21.5" customHeight="1" s="42">
      <c r="A3" s="35" t="inlineStr">
        <is>
          <t>RTP000002</t>
        </is>
      </c>
      <c r="B3" s="35" t="inlineStr">
        <is>
          <t>Battery Replacement</t>
        </is>
      </c>
      <c r="C3" s="35" t="inlineStr">
        <is>
          <t>Battery Replacement</t>
        </is>
      </c>
      <c r="D3" s="35" t="n">
        <v>2</v>
      </c>
      <c r="E3" s="35" t="b">
        <v>1</v>
      </c>
      <c r="G3" s="37" t="inlineStr">
        <is>
          <t>RCT000002</t>
        </is>
      </c>
      <c r="H3" s="35" t="inlineStr">
        <is>
          <t>Software</t>
        </is>
      </c>
      <c r="I3" s="35" t="inlineStr">
        <is>
          <t>Software</t>
        </is>
      </c>
      <c r="J3" s="47" t="n">
        <v>2</v>
      </c>
      <c r="K3" s="47" t="b">
        <v>1</v>
      </c>
      <c r="M3" s="35" t="inlineStr">
        <is>
          <t>RPY000002</t>
        </is>
      </c>
      <c r="N3" s="35" t="inlineStr">
        <is>
          <t>Normal</t>
        </is>
      </c>
      <c r="O3" s="35" t="inlineStr">
        <is>
          <t>Normal</t>
        </is>
      </c>
      <c r="P3" s="35" t="n">
        <v>2</v>
      </c>
      <c r="Q3" s="35" t="b">
        <v>1</v>
      </c>
      <c r="S3" s="35" t="inlineStr">
        <is>
          <t>RCM000002</t>
        </is>
      </c>
      <c r="T3" s="35" t="inlineStr">
        <is>
          <t>Level 2</t>
        </is>
      </c>
      <c r="U3" s="35" t="inlineStr">
        <is>
          <t>Intermediate</t>
        </is>
      </c>
      <c r="V3" s="35" t="n">
        <v>2</v>
      </c>
      <c r="W3" s="35" t="b">
        <v>1</v>
      </c>
    </row>
    <row r="4" ht="21.5" customHeight="1" s="42">
      <c r="A4" s="35" t="inlineStr">
        <is>
          <t>RTP000003</t>
        </is>
      </c>
      <c r="B4" s="35" t="inlineStr">
        <is>
          <t>Charging Port</t>
        </is>
      </c>
      <c r="C4" s="35" t="inlineStr">
        <is>
          <t>Charging Port</t>
        </is>
      </c>
      <c r="D4" s="35" t="n">
        <v>3</v>
      </c>
      <c r="E4" s="35" t="b">
        <v>1</v>
      </c>
      <c r="G4" s="37" t="inlineStr">
        <is>
          <t>RCT000003</t>
        </is>
      </c>
      <c r="H4" s="35" t="inlineStr">
        <is>
          <t>Micro-Soldering</t>
        </is>
      </c>
      <c r="I4" s="35" t="inlineStr">
        <is>
          <t>Micro-Soldering</t>
        </is>
      </c>
      <c r="J4" s="47" t="n">
        <v>3</v>
      </c>
      <c r="K4" s="47" t="b">
        <v>1</v>
      </c>
      <c r="M4" s="35" t="inlineStr">
        <is>
          <t>RPY000003</t>
        </is>
      </c>
      <c r="N4" s="35" t="inlineStr">
        <is>
          <t>High</t>
        </is>
      </c>
      <c r="O4" s="35" t="inlineStr">
        <is>
          <t>High</t>
        </is>
      </c>
      <c r="P4" s="35" t="n">
        <v>3</v>
      </c>
      <c r="Q4" s="35" t="b">
        <v>1</v>
      </c>
      <c r="S4" s="35" t="inlineStr">
        <is>
          <t>RCM000003</t>
        </is>
      </c>
      <c r="T4" s="35" t="inlineStr">
        <is>
          <t>Level 3</t>
        </is>
      </c>
      <c r="U4" s="35" t="inlineStr">
        <is>
          <t>Advanced</t>
        </is>
      </c>
      <c r="V4" s="35" t="n">
        <v>3</v>
      </c>
      <c r="W4" s="35" t="b">
        <v>1</v>
      </c>
    </row>
    <row r="5" ht="21.5" customHeight="1" s="42">
      <c r="A5" s="35" t="inlineStr">
        <is>
          <t>RTP000004</t>
        </is>
      </c>
      <c r="B5" s="35" t="inlineStr">
        <is>
          <t>Rear Glass</t>
        </is>
      </c>
      <c r="C5" s="35" t="inlineStr">
        <is>
          <t>Rear Glass</t>
        </is>
      </c>
      <c r="D5" s="35" t="n">
        <v>4</v>
      </c>
      <c r="E5" s="35" t="b">
        <v>1</v>
      </c>
      <c r="G5" s="37" t="inlineStr">
        <is>
          <t>RCT000004</t>
        </is>
      </c>
      <c r="H5" s="35" t="inlineStr">
        <is>
          <t>Cosmetic</t>
        </is>
      </c>
      <c r="I5" s="35" t="inlineStr">
        <is>
          <t>Cosmetic</t>
        </is>
      </c>
      <c r="J5" s="47" t="n">
        <v>4</v>
      </c>
      <c r="K5" s="47" t="b">
        <v>1</v>
      </c>
      <c r="M5" s="35" t="inlineStr">
        <is>
          <t>RPY000004</t>
        </is>
      </c>
      <c r="N5" s="35" t="inlineStr">
        <is>
          <t>Urgent</t>
        </is>
      </c>
      <c r="O5" s="35" t="inlineStr">
        <is>
          <t>Urgent</t>
        </is>
      </c>
      <c r="P5" s="35" t="n">
        <v>4</v>
      </c>
      <c r="Q5" s="35" t="b">
        <v>1</v>
      </c>
      <c r="S5" s="35" t="inlineStr">
        <is>
          <t>RCM000004</t>
        </is>
      </c>
      <c r="T5" s="35" t="inlineStr">
        <is>
          <t>Level 4</t>
        </is>
      </c>
      <c r="U5" s="35" t="inlineStr">
        <is>
          <t>Micro-soldering</t>
        </is>
      </c>
      <c r="V5" s="35" t="n">
        <v>4</v>
      </c>
      <c r="W5" s="35" t="b">
        <v>0</v>
      </c>
    </row>
    <row r="6" ht="21.5" customHeight="1" s="42">
      <c r="A6" s="35" t="inlineStr">
        <is>
          <t>RTP000005</t>
        </is>
      </c>
      <c r="B6" s="35" t="inlineStr">
        <is>
          <t>Rear Housing</t>
        </is>
      </c>
      <c r="C6" s="35" t="inlineStr">
        <is>
          <t>Rear Housing</t>
        </is>
      </c>
      <c r="D6" s="35" t="n">
        <v>5</v>
      </c>
      <c r="E6" s="35" t="b">
        <v>1</v>
      </c>
      <c r="G6" s="37" t="inlineStr">
        <is>
          <t>RCT000005</t>
        </is>
      </c>
      <c r="H6" s="35" t="inlineStr">
        <is>
          <t>Diagnostics</t>
        </is>
      </c>
      <c r="I6" s="35" t="inlineStr">
        <is>
          <t>Diagnostics</t>
        </is>
      </c>
      <c r="J6" s="47" t="n">
        <v>5</v>
      </c>
      <c r="K6" s="47" t="b">
        <v>1</v>
      </c>
      <c r="M6" s="35" t="inlineStr">
        <is>
          <t>RPY000005</t>
        </is>
      </c>
      <c r="N6" s="35" t="inlineStr">
        <is>
          <t>Emergency</t>
        </is>
      </c>
      <c r="O6" s="35" t="inlineStr">
        <is>
          <t>Emergency</t>
        </is>
      </c>
      <c r="P6" s="35" t="n">
        <v>5</v>
      </c>
      <c r="Q6" s="35" t="b">
        <v>1</v>
      </c>
      <c r="S6" s="35" t="inlineStr">
        <is>
          <t>RCM000005</t>
        </is>
      </c>
      <c r="T6" s="35" t="inlineStr">
        <is>
          <t>Level 5</t>
        </is>
      </c>
      <c r="U6" s="35" t="inlineStr">
        <is>
          <t>Board level expert</t>
        </is>
      </c>
      <c r="V6" s="35" t="n">
        <v>5</v>
      </c>
      <c r="W6" s="35" t="b">
        <v>0</v>
      </c>
    </row>
    <row r="7" ht="21.5" customHeight="1" s="42">
      <c r="A7" s="35" t="inlineStr">
        <is>
          <t>RTP000006</t>
        </is>
      </c>
      <c r="B7" s="35" t="inlineStr">
        <is>
          <t>Front Camera</t>
        </is>
      </c>
      <c r="C7" s="35" t="inlineStr">
        <is>
          <t>Front Camera</t>
        </is>
      </c>
      <c r="D7" s="35" t="n">
        <v>6</v>
      </c>
      <c r="E7" s="35" t="b">
        <v>1</v>
      </c>
      <c r="G7" s="37" t="inlineStr">
        <is>
          <t>RCT000006</t>
        </is>
      </c>
      <c r="H7" s="35" t="inlineStr">
        <is>
          <t>Preventive Maintenance</t>
        </is>
      </c>
      <c r="I7" s="35" t="inlineStr">
        <is>
          <t>Preventive Maintenance</t>
        </is>
      </c>
      <c r="J7" s="47" t="n">
        <v>6</v>
      </c>
      <c r="K7" s="47" t="b">
        <v>1</v>
      </c>
    </row>
    <row r="8" ht="21.5" customHeight="1" s="42">
      <c r="A8" s="35" t="inlineStr">
        <is>
          <t>RTP000007</t>
        </is>
      </c>
      <c r="B8" s="35" t="inlineStr">
        <is>
          <t>Rear Camera</t>
        </is>
      </c>
      <c r="C8" s="35" t="inlineStr">
        <is>
          <t>Rear Camera</t>
        </is>
      </c>
      <c r="D8" s="35" t="n">
        <v>7</v>
      </c>
      <c r="E8" s="35" t="b">
        <v>1</v>
      </c>
      <c r="G8" s="37" t="inlineStr">
        <is>
          <t>RCT000007</t>
        </is>
      </c>
      <c r="H8" s="35" t="inlineStr">
        <is>
          <t>Upgrade</t>
        </is>
      </c>
      <c r="I8" s="35" t="inlineStr">
        <is>
          <t>Upgrade</t>
        </is>
      </c>
      <c r="J8" s="47" t="n">
        <v>7</v>
      </c>
      <c r="K8" s="47" t="b">
        <v>1</v>
      </c>
      <c r="M8" s="45" t="inlineStr">
        <is>
          <t>ID</t>
        </is>
      </c>
      <c r="N8" s="45" t="inlineStr">
        <is>
          <t>Name</t>
        </is>
      </c>
      <c r="O8" s="45" t="inlineStr">
        <is>
          <t>Description</t>
        </is>
      </c>
      <c r="P8" s="45" t="inlineStr">
        <is>
          <t>DisplayOrder</t>
        </is>
      </c>
      <c r="Q8" s="45" t="inlineStr">
        <is>
          <t>Active</t>
        </is>
      </c>
      <c r="S8" s="45" t="inlineStr">
        <is>
          <t>ID</t>
        </is>
      </c>
      <c r="T8" s="45" t="inlineStr">
        <is>
          <t>Name</t>
        </is>
      </c>
      <c r="U8" s="45" t="inlineStr">
        <is>
          <t>Description</t>
        </is>
      </c>
      <c r="V8" s="45" t="inlineStr">
        <is>
          <t>DisplayOrder</t>
        </is>
      </c>
      <c r="W8" s="45" t="inlineStr">
        <is>
          <t>Active</t>
        </is>
      </c>
    </row>
    <row r="9" ht="21.5" customHeight="1" s="42">
      <c r="A9" s="35" t="inlineStr">
        <is>
          <t>RTP000008</t>
        </is>
      </c>
      <c r="B9" s="35" t="inlineStr">
        <is>
          <t>Speaker</t>
        </is>
      </c>
      <c r="C9" s="35" t="inlineStr">
        <is>
          <t>Speaker</t>
        </is>
      </c>
      <c r="D9" s="35" t="n">
        <v>8</v>
      </c>
      <c r="E9" s="35" t="b">
        <v>1</v>
      </c>
      <c r="G9" s="37" t="inlineStr">
        <is>
          <t>RCT000008</t>
        </is>
      </c>
      <c r="H9" s="35" t="inlineStr">
        <is>
          <t>Accessory Installation</t>
        </is>
      </c>
      <c r="I9" s="35" t="inlineStr">
        <is>
          <t>Accessory Installation</t>
        </is>
      </c>
      <c r="J9" s="47" t="n">
        <v>8</v>
      </c>
      <c r="K9" s="47" t="b">
        <v>1</v>
      </c>
      <c r="M9" s="35" t="inlineStr">
        <is>
          <t>ROT000001</t>
        </is>
      </c>
      <c r="N9" s="35" t="inlineStr">
        <is>
          <t>Completed</t>
        </is>
      </c>
      <c r="O9" s="35" t="n"/>
      <c r="P9" s="35" t="n">
        <v>1</v>
      </c>
      <c r="Q9" s="35" t="b">
        <v>1</v>
      </c>
      <c r="S9" s="35" t="inlineStr">
        <is>
          <t>DGN000001</t>
        </is>
      </c>
      <c r="T9" s="35" t="inlineStr">
        <is>
          <t>No Fault Found</t>
        </is>
      </c>
      <c r="U9" s="35" t="n"/>
      <c r="V9" s="35" t="n">
        <v>1</v>
      </c>
      <c r="W9" s="35" t="b">
        <v>1</v>
      </c>
    </row>
    <row r="10" ht="21.5" customHeight="1" s="42">
      <c r="A10" s="35" t="inlineStr">
        <is>
          <t>RTP000009</t>
        </is>
      </c>
      <c r="B10" s="35" t="inlineStr">
        <is>
          <t>Earpiece</t>
        </is>
      </c>
      <c r="C10" s="35" t="inlineStr">
        <is>
          <t>Earpiece</t>
        </is>
      </c>
      <c r="D10" s="35" t="n">
        <v>9</v>
      </c>
      <c r="E10" s="35" t="b">
        <v>1</v>
      </c>
      <c r="G10" s="37" t="inlineStr">
        <is>
          <t>RCT000009</t>
        </is>
      </c>
      <c r="H10" s="35" t="inlineStr">
        <is>
          <t>Recovery</t>
        </is>
      </c>
      <c r="I10" s="35" t="inlineStr">
        <is>
          <t>Recovery</t>
        </is>
      </c>
      <c r="J10" s="47" t="n">
        <v>9</v>
      </c>
      <c r="K10" s="47" t="b">
        <v>1</v>
      </c>
      <c r="M10" s="35" t="inlineStr">
        <is>
          <t>ROT000002</t>
        </is>
      </c>
      <c r="N10" s="35" t="inlineStr">
        <is>
          <t>Completed with Notes</t>
        </is>
      </c>
      <c r="O10" s="35" t="n"/>
      <c r="P10" s="35" t="n">
        <v>2</v>
      </c>
      <c r="Q10" s="35" t="b">
        <v>1</v>
      </c>
      <c r="S10" s="35" t="inlineStr">
        <is>
          <t>DGN000002</t>
        </is>
      </c>
      <c r="T10" s="35" t="inlineStr">
        <is>
          <t>Screen Failure</t>
        </is>
      </c>
      <c r="U10" s="35" t="n"/>
      <c r="V10" s="35" t="n">
        <v>2</v>
      </c>
      <c r="W10" s="35" t="b">
        <v>1</v>
      </c>
    </row>
    <row r="11" ht="21.5" customHeight="1" s="42">
      <c r="A11" s="35" t="inlineStr">
        <is>
          <t>RTP000010</t>
        </is>
      </c>
      <c r="B11" s="35" t="inlineStr">
        <is>
          <t>Microphone</t>
        </is>
      </c>
      <c r="C11" s="35" t="inlineStr">
        <is>
          <t>Microphone</t>
        </is>
      </c>
      <c r="D11" s="35" t="n">
        <v>10</v>
      </c>
      <c r="E11" s="35" t="b">
        <v>1</v>
      </c>
      <c r="G11" s="37" t="inlineStr">
        <is>
          <t>RCT000010</t>
        </is>
      </c>
      <c r="H11" s="35" t="inlineStr">
        <is>
          <t>Cleaning</t>
        </is>
      </c>
      <c r="I11" s="35" t="inlineStr">
        <is>
          <t>Cleaning</t>
        </is>
      </c>
      <c r="J11" s="47" t="n">
        <v>10</v>
      </c>
      <c r="K11" s="47" t="b">
        <v>1</v>
      </c>
      <c r="M11" s="35" t="inlineStr">
        <is>
          <t>ROT000003</t>
        </is>
      </c>
      <c r="N11" s="35" t="inlineStr">
        <is>
          <t>Unrepairable</t>
        </is>
      </c>
      <c r="O11" s="35" t="n"/>
      <c r="P11" s="35" t="n">
        <v>3</v>
      </c>
      <c r="Q11" s="35" t="b">
        <v>1</v>
      </c>
      <c r="S11" s="35" t="inlineStr">
        <is>
          <t>DGN000003</t>
        </is>
      </c>
      <c r="T11" s="35" t="inlineStr">
        <is>
          <t>Battery Failure</t>
        </is>
      </c>
      <c r="U11" s="35" t="n"/>
      <c r="V11" s="35" t="n">
        <v>3</v>
      </c>
      <c r="W11" s="35" t="b">
        <v>1</v>
      </c>
    </row>
    <row r="12" ht="21.5" customHeight="1" s="42">
      <c r="A12" s="35" t="inlineStr">
        <is>
          <t>RTP000011</t>
        </is>
      </c>
      <c r="B12" s="35" t="inlineStr">
        <is>
          <t>Power Button</t>
        </is>
      </c>
      <c r="C12" s="35" t="inlineStr">
        <is>
          <t>Power Button</t>
        </is>
      </c>
      <c r="D12" s="35" t="n">
        <v>11</v>
      </c>
      <c r="E12" s="35" t="b">
        <v>1</v>
      </c>
      <c r="G12" s="37" t="inlineStr">
        <is>
          <t>RCT000011</t>
        </is>
      </c>
      <c r="H12" s="35" t="inlineStr">
        <is>
          <t>Calibration</t>
        </is>
      </c>
      <c r="I12" s="35" t="inlineStr">
        <is>
          <t>Calibration</t>
        </is>
      </c>
      <c r="J12" s="47" t="n">
        <v>11</v>
      </c>
      <c r="K12" s="47" t="b">
        <v>1</v>
      </c>
      <c r="M12" s="35" t="inlineStr">
        <is>
          <t>ROT000004</t>
        </is>
      </c>
      <c r="N12" s="35" t="inlineStr">
        <is>
          <t>Awaiting Parts</t>
        </is>
      </c>
      <c r="O12" s="35" t="n"/>
      <c r="P12" s="35" t="n">
        <v>4</v>
      </c>
      <c r="Q12" s="35" t="b">
        <v>1</v>
      </c>
      <c r="S12" s="35" t="inlineStr">
        <is>
          <t>DGN000004</t>
        </is>
      </c>
      <c r="T12" s="35" t="inlineStr">
        <is>
          <t>Charging Failure</t>
        </is>
      </c>
      <c r="U12" s="35" t="n"/>
      <c r="V12" s="35" t="n">
        <v>4</v>
      </c>
      <c r="W12" s="35" t="b">
        <v>1</v>
      </c>
    </row>
    <row r="13" ht="21.5" customHeight="1" s="42">
      <c r="A13" s="35" t="inlineStr">
        <is>
          <t>RTP000012</t>
        </is>
      </c>
      <c r="B13" s="35" t="inlineStr">
        <is>
          <t>Volume Button</t>
        </is>
      </c>
      <c r="C13" s="35" t="inlineStr">
        <is>
          <t>Volume Button</t>
        </is>
      </c>
      <c r="D13" s="35" t="n">
        <v>12</v>
      </c>
      <c r="E13" s="35" t="b">
        <v>1</v>
      </c>
      <c r="G13" s="37" t="inlineStr">
        <is>
          <t>RCT000012</t>
        </is>
      </c>
      <c r="H13" s="35" t="inlineStr">
        <is>
          <t>Warranty</t>
        </is>
      </c>
      <c r="I13" s="35" t="inlineStr">
        <is>
          <t>Warranty</t>
        </is>
      </c>
      <c r="J13" s="47" t="n">
        <v>12</v>
      </c>
      <c r="K13" s="47" t="b">
        <v>1</v>
      </c>
      <c r="M13" s="35" t="inlineStr">
        <is>
          <t>ROT000005</t>
        </is>
      </c>
      <c r="N13" s="35" t="inlineStr">
        <is>
          <t>Customer Declined</t>
        </is>
      </c>
      <c r="O13" s="35" t="n"/>
      <c r="P13" s="35" t="n">
        <v>5</v>
      </c>
      <c r="Q13" s="35" t="b">
        <v>1</v>
      </c>
      <c r="S13" s="35" t="inlineStr">
        <is>
          <t>DGN000005</t>
        </is>
      </c>
      <c r="T13" s="35" t="inlineStr">
        <is>
          <t>Liquid Damage</t>
        </is>
      </c>
      <c r="U13" s="35" t="n"/>
      <c r="V13" s="35" t="n">
        <v>5</v>
      </c>
      <c r="W13" s="35" t="b">
        <v>1</v>
      </c>
    </row>
    <row r="14" ht="21.5" customHeight="1" s="42">
      <c r="A14" s="35" t="inlineStr">
        <is>
          <t>RTP000013</t>
        </is>
      </c>
      <c r="B14" s="35" t="inlineStr">
        <is>
          <t>Mute Switch</t>
        </is>
      </c>
      <c r="C14" s="35" t="inlineStr">
        <is>
          <t>Mute Switch</t>
        </is>
      </c>
      <c r="D14" s="35" t="n">
        <v>13</v>
      </c>
      <c r="E14" s="35" t="b">
        <v>1</v>
      </c>
      <c r="M14" s="35" t="inlineStr">
        <is>
          <t>ROT000006</t>
        </is>
      </c>
      <c r="N14" s="35" t="inlineStr">
        <is>
          <t>Returned Unrepaired</t>
        </is>
      </c>
      <c r="O14" s="35" t="n"/>
      <c r="P14" s="35" t="n">
        <v>6</v>
      </c>
      <c r="Q14" s="35" t="b">
        <v>1</v>
      </c>
      <c r="S14" s="35" t="inlineStr">
        <is>
          <t>DGN000006</t>
        </is>
      </c>
      <c r="T14" s="35" t="inlineStr">
        <is>
          <t>Board Failure</t>
        </is>
      </c>
      <c r="U14" s="35" t="n"/>
      <c r="V14" s="35" t="n">
        <v>6</v>
      </c>
      <c r="W14" s="35" t="b">
        <v>1</v>
      </c>
    </row>
    <row r="15" ht="21.5" customHeight="1" s="42">
      <c r="A15" s="35" t="inlineStr">
        <is>
          <t>RTP000014</t>
        </is>
      </c>
      <c r="B15" s="35" t="inlineStr">
        <is>
          <t>Fingerprint Sensor</t>
        </is>
      </c>
      <c r="C15" s="35" t="inlineStr">
        <is>
          <t>Fingerprint Sensor</t>
        </is>
      </c>
      <c r="D15" s="35" t="n">
        <v>14</v>
      </c>
      <c r="E15" s="35" t="b">
        <v>1</v>
      </c>
      <c r="G15" s="45" t="inlineStr">
        <is>
          <t>ID</t>
        </is>
      </c>
      <c r="H15" s="45" t="inlineStr">
        <is>
          <t>Name</t>
        </is>
      </c>
      <c r="I15" s="45" t="inlineStr">
        <is>
          <t>Description</t>
        </is>
      </c>
      <c r="J15" s="45" t="inlineStr">
        <is>
          <t>DisplayOrder</t>
        </is>
      </c>
      <c r="K15" s="45" t="inlineStr">
        <is>
          <t>Active</t>
        </is>
      </c>
      <c r="S15" s="35" t="inlineStr">
        <is>
          <t>DGN000007</t>
        </is>
      </c>
      <c r="T15" s="35" t="inlineStr">
        <is>
          <t>Software Issue</t>
        </is>
      </c>
      <c r="U15" s="35" t="n"/>
      <c r="V15" s="35" t="n">
        <v>7</v>
      </c>
      <c r="W15" s="35" t="b">
        <v>1</v>
      </c>
    </row>
    <row r="16" ht="21.5" customHeight="1" s="42">
      <c r="A16" s="35" t="inlineStr">
        <is>
          <t>RTP000015</t>
        </is>
      </c>
      <c r="B16" s="35" t="inlineStr">
        <is>
          <t>Face ID</t>
        </is>
      </c>
      <c r="C16" s="35" t="inlineStr">
        <is>
          <t>Face ID</t>
        </is>
      </c>
      <c r="D16" s="35" t="n">
        <v>15</v>
      </c>
      <c r="E16" s="35" t="b">
        <v>1</v>
      </c>
      <c r="G16" s="48" t="inlineStr">
        <is>
          <t>RST000001</t>
        </is>
      </c>
      <c r="H16" s="49" t="inlineStr">
        <is>
          <t>Received</t>
        </is>
      </c>
      <c r="I16" s="49" t="inlineStr">
        <is>
          <t>Received</t>
        </is>
      </c>
      <c r="J16" s="50" t="n">
        <v>1</v>
      </c>
      <c r="K16" s="51" t="b">
        <v>1</v>
      </c>
      <c r="M16" s="45" t="inlineStr">
        <is>
          <t>ID</t>
        </is>
      </c>
      <c r="N16" s="45" t="inlineStr">
        <is>
          <t>Name</t>
        </is>
      </c>
      <c r="O16" s="45" t="inlineStr">
        <is>
          <t>Description</t>
        </is>
      </c>
      <c r="P16" s="45" t="inlineStr">
        <is>
          <t>DisplayOrder</t>
        </is>
      </c>
      <c r="Q16" s="45" t="inlineStr">
        <is>
          <t>Active</t>
        </is>
      </c>
      <c r="S16" s="35" t="inlineStr">
        <is>
          <t>DGN000008</t>
        </is>
      </c>
      <c r="T16" s="35" t="inlineStr">
        <is>
          <t>Multiple Failures</t>
        </is>
      </c>
      <c r="U16" s="35" t="n"/>
      <c r="V16" s="35" t="n">
        <v>8</v>
      </c>
      <c r="W16" s="35" t="b">
        <v>1</v>
      </c>
    </row>
    <row r="17" ht="21.5" customHeight="1" s="42">
      <c r="A17" s="35" t="inlineStr">
        <is>
          <t>RTP000016</t>
        </is>
      </c>
      <c r="B17" s="35" t="inlineStr">
        <is>
          <t>Home Button</t>
        </is>
      </c>
      <c r="C17" s="35" t="inlineStr">
        <is>
          <t>Home Button</t>
        </is>
      </c>
      <c r="D17" s="35" t="n">
        <v>16</v>
      </c>
      <c r="E17" s="35" t="b">
        <v>1</v>
      </c>
      <c r="G17" s="52" t="inlineStr">
        <is>
          <t>RST000002</t>
        </is>
      </c>
      <c r="H17" s="53" t="inlineStr">
        <is>
          <t>Checked In</t>
        </is>
      </c>
      <c r="I17" s="53" t="inlineStr">
        <is>
          <t>Checked In</t>
        </is>
      </c>
      <c r="J17" s="54" t="n">
        <v>2</v>
      </c>
      <c r="K17" s="55" t="b">
        <v>1</v>
      </c>
      <c r="M17" s="35" t="inlineStr">
        <is>
          <t>PCT000001</t>
        </is>
      </c>
      <c r="N17" s="35" t="inlineStr">
        <is>
          <t>Display</t>
        </is>
      </c>
      <c r="O17" s="35" t="inlineStr">
        <is>
          <t>Screens and digitizers</t>
        </is>
      </c>
      <c r="P17" s="35" t="n">
        <v>1</v>
      </c>
      <c r="Q17" s="35" t="b">
        <v>1</v>
      </c>
    </row>
    <row r="18" ht="21.5" customHeight="1" s="42">
      <c r="A18" s="35" t="inlineStr">
        <is>
          <t>RTP000017</t>
        </is>
      </c>
      <c r="B18" s="35" t="inlineStr">
        <is>
          <t>OLED Repair</t>
        </is>
      </c>
      <c r="C18" s="35" t="inlineStr">
        <is>
          <t>OLED Repair</t>
        </is>
      </c>
      <c r="D18" s="35" t="n">
        <v>17</v>
      </c>
      <c r="E18" s="35" t="b">
        <v>1</v>
      </c>
      <c r="G18" s="56" t="inlineStr">
        <is>
          <t>RST000003</t>
        </is>
      </c>
      <c r="H18" s="57" t="inlineStr">
        <is>
          <t>Awaiting Diagnosis</t>
        </is>
      </c>
      <c r="I18" s="57" t="inlineStr">
        <is>
          <t>Awaiting Diagnosis</t>
        </is>
      </c>
      <c r="J18" s="58" t="n">
        <v>3</v>
      </c>
      <c r="K18" s="59" t="b">
        <v>1</v>
      </c>
      <c r="M18" s="35" t="inlineStr">
        <is>
          <t>PCT000002</t>
        </is>
      </c>
      <c r="N18" s="35" t="inlineStr">
        <is>
          <t>Battery</t>
        </is>
      </c>
      <c r="O18" s="35" t="inlineStr">
        <is>
          <t>Internal batteries</t>
        </is>
      </c>
      <c r="P18" s="35" t="n">
        <v>2</v>
      </c>
      <c r="Q18" s="35" t="b">
        <v>1</v>
      </c>
      <c r="S18" s="45" t="inlineStr">
        <is>
          <t>ID</t>
        </is>
      </c>
      <c r="T18" s="45" t="inlineStr">
        <is>
          <t>Name</t>
        </is>
      </c>
      <c r="U18" s="45" t="inlineStr">
        <is>
          <t>Description</t>
        </is>
      </c>
      <c r="V18" s="45" t="inlineStr">
        <is>
          <t>DisplayOrder</t>
        </is>
      </c>
      <c r="W18" s="45" t="inlineStr">
        <is>
          <t>Active</t>
        </is>
      </c>
    </row>
    <row r="19" ht="21.5" customHeight="1" s="42">
      <c r="A19" s="35" t="inlineStr">
        <is>
          <t>RTP000018</t>
        </is>
      </c>
      <c r="B19" s="35" t="inlineStr">
        <is>
          <t>LCD Repair</t>
        </is>
      </c>
      <c r="C19" s="35" t="inlineStr">
        <is>
          <t>LCD Repair</t>
        </is>
      </c>
      <c r="D19" s="35" t="n">
        <v>18</v>
      </c>
      <c r="E19" s="35" t="b">
        <v>1</v>
      </c>
      <c r="G19" s="52" t="inlineStr">
        <is>
          <t>RST000004</t>
        </is>
      </c>
      <c r="H19" s="53" t="inlineStr">
        <is>
          <t>Diagnosing</t>
        </is>
      </c>
      <c r="I19" s="53" t="inlineStr">
        <is>
          <t>Diagnosing</t>
        </is>
      </c>
      <c r="J19" s="54" t="n">
        <v>4</v>
      </c>
      <c r="K19" s="55" t="b">
        <v>1</v>
      </c>
      <c r="M19" s="35" t="inlineStr">
        <is>
          <t>PCT000003</t>
        </is>
      </c>
      <c r="N19" s="35" t="inlineStr">
        <is>
          <t>Charging</t>
        </is>
      </c>
      <c r="O19" s="35" t="inlineStr">
        <is>
          <t>Charging ports</t>
        </is>
      </c>
      <c r="P19" s="35" t="n">
        <v>3</v>
      </c>
      <c r="Q19" s="35" t="b">
        <v>1</v>
      </c>
      <c r="S19" s="35" t="inlineStr">
        <is>
          <t>PCN000001</t>
        </is>
      </c>
      <c r="T19" s="35" t="inlineStr">
        <is>
          <t>New OEM</t>
        </is>
      </c>
      <c r="U19" s="35" t="inlineStr">
        <is>
          <t>OEM new</t>
        </is>
      </c>
      <c r="V19" s="35" t="n">
        <v>1</v>
      </c>
      <c r="W19" s="35" t="b">
        <v>1</v>
      </c>
    </row>
    <row r="20" ht="21.5" customHeight="1" s="42">
      <c r="A20" s="35" t="inlineStr">
        <is>
          <t>RTP000019</t>
        </is>
      </c>
      <c r="B20" s="35" t="inlineStr">
        <is>
          <t>Digitizer</t>
        </is>
      </c>
      <c r="C20" s="35" t="inlineStr">
        <is>
          <t>Digitizer</t>
        </is>
      </c>
      <c r="D20" s="35" t="n">
        <v>19</v>
      </c>
      <c r="E20" s="35" t="b">
        <v>1</v>
      </c>
      <c r="G20" s="56" t="inlineStr">
        <is>
          <t>RST000005</t>
        </is>
      </c>
      <c r="H20" s="57" t="inlineStr">
        <is>
          <t>Waiting for Customer Approval</t>
        </is>
      </c>
      <c r="I20" s="57" t="inlineStr">
        <is>
          <t>Waiting for Customer Approval</t>
        </is>
      </c>
      <c r="J20" s="58" t="n">
        <v>5</v>
      </c>
      <c r="K20" s="59" t="b">
        <v>1</v>
      </c>
      <c r="M20" s="35" t="inlineStr">
        <is>
          <t>PCT000004</t>
        </is>
      </c>
      <c r="N20" s="35" t="inlineStr">
        <is>
          <t>Camera</t>
        </is>
      </c>
      <c r="O20" s="35" t="inlineStr">
        <is>
          <t>Front/rear cameras</t>
        </is>
      </c>
      <c r="P20" s="35" t="n">
        <v>4</v>
      </c>
      <c r="Q20" s="35" t="b">
        <v>1</v>
      </c>
      <c r="S20" s="35" t="inlineStr">
        <is>
          <t>PCN000002</t>
        </is>
      </c>
      <c r="T20" s="35" t="inlineStr">
        <is>
          <t>OEM Pull</t>
        </is>
      </c>
      <c r="U20" s="35" t="inlineStr">
        <is>
          <t>Pulled OEM</t>
        </is>
      </c>
      <c r="V20" s="35" t="n">
        <v>2</v>
      </c>
      <c r="W20" s="35" t="b">
        <v>1</v>
      </c>
    </row>
    <row r="21" ht="21.5" customHeight="1" s="42">
      <c r="A21" s="35" t="inlineStr">
        <is>
          <t>RTP000020</t>
        </is>
      </c>
      <c r="B21" s="35" t="inlineStr">
        <is>
          <t>Backlight</t>
        </is>
      </c>
      <c r="C21" s="35" t="inlineStr">
        <is>
          <t>Backlight</t>
        </is>
      </c>
      <c r="D21" s="35" t="n">
        <v>20</v>
      </c>
      <c r="E21" s="35" t="b">
        <v>1</v>
      </c>
      <c r="G21" s="52" t="inlineStr">
        <is>
          <t>RST000006</t>
        </is>
      </c>
      <c r="H21" s="53" t="inlineStr">
        <is>
          <t>Approved</t>
        </is>
      </c>
      <c r="I21" s="53" t="inlineStr">
        <is>
          <t>Approved</t>
        </is>
      </c>
      <c r="J21" s="54" t="n">
        <v>6</v>
      </c>
      <c r="K21" s="55" t="b">
        <v>1</v>
      </c>
      <c r="M21" s="35" t="inlineStr">
        <is>
          <t>PCT000005</t>
        </is>
      </c>
      <c r="N21" s="35" t="inlineStr">
        <is>
          <t>Housing</t>
        </is>
      </c>
      <c r="O21" s="35" t="inlineStr">
        <is>
          <t>Frames and housings</t>
        </is>
      </c>
      <c r="P21" s="35" t="n">
        <v>5</v>
      </c>
      <c r="Q21" s="35" t="b">
        <v>1</v>
      </c>
      <c r="S21" s="35" t="inlineStr">
        <is>
          <t>PCN000003</t>
        </is>
      </c>
      <c r="T21" s="35" t="inlineStr">
        <is>
          <t>Premium Aftermarket</t>
        </is>
      </c>
      <c r="U21" s="35" t="inlineStr">
        <is>
          <t>High quality</t>
        </is>
      </c>
      <c r="V21" s="35" t="n">
        <v>3</v>
      </c>
      <c r="W21" s="35" t="b">
        <v>1</v>
      </c>
    </row>
    <row r="22" ht="21.5" customHeight="1" s="42">
      <c r="A22" s="35" t="inlineStr">
        <is>
          <t>RTP000021</t>
        </is>
      </c>
      <c r="B22" s="35" t="inlineStr">
        <is>
          <t>Motherboard</t>
        </is>
      </c>
      <c r="C22" s="35" t="inlineStr">
        <is>
          <t>Motherboard</t>
        </is>
      </c>
      <c r="D22" s="35" t="n">
        <v>21</v>
      </c>
      <c r="E22" s="35" t="b">
        <v>1</v>
      </c>
      <c r="G22" s="56" t="inlineStr">
        <is>
          <t>RST000007</t>
        </is>
      </c>
      <c r="H22" s="57" t="inlineStr">
        <is>
          <t>Waiting on Parts</t>
        </is>
      </c>
      <c r="I22" s="57" t="inlineStr">
        <is>
          <t>Waiting on Parts</t>
        </is>
      </c>
      <c r="J22" s="58" t="n">
        <v>7</v>
      </c>
      <c r="K22" s="59" t="b">
        <v>1</v>
      </c>
      <c r="M22" s="35" t="inlineStr">
        <is>
          <t>PCT000006</t>
        </is>
      </c>
      <c r="N22" s="35" t="inlineStr">
        <is>
          <t>Audio</t>
        </is>
      </c>
      <c r="O22" s="35" t="inlineStr">
        <is>
          <t>Speakers/microphones</t>
        </is>
      </c>
      <c r="P22" s="35" t="n">
        <v>6</v>
      </c>
      <c r="Q22" s="35" t="b">
        <v>1</v>
      </c>
      <c r="S22" s="35" t="inlineStr">
        <is>
          <t>PCN000004</t>
        </is>
      </c>
      <c r="T22" s="35" t="inlineStr">
        <is>
          <t>Aftermarket</t>
        </is>
      </c>
      <c r="U22" s="35" t="inlineStr">
        <is>
          <t>Standard aftermarket</t>
        </is>
      </c>
      <c r="V22" s="35" t="n">
        <v>4</v>
      </c>
      <c r="W22" s="35" t="b">
        <v>1</v>
      </c>
    </row>
    <row r="23" ht="21.5" customHeight="1" s="42">
      <c r="A23" s="35" t="inlineStr">
        <is>
          <t>RTP000022</t>
        </is>
      </c>
      <c r="B23" s="35" t="inlineStr">
        <is>
          <t>PMIC</t>
        </is>
      </c>
      <c r="C23" s="35" t="inlineStr">
        <is>
          <t>PMIC</t>
        </is>
      </c>
      <c r="D23" s="35" t="n">
        <v>22</v>
      </c>
      <c r="E23" s="35" t="b">
        <v>1</v>
      </c>
      <c r="G23" s="52" t="inlineStr">
        <is>
          <t>RST000008</t>
        </is>
      </c>
      <c r="H23" s="53" t="inlineStr">
        <is>
          <t>Parts Ordered</t>
        </is>
      </c>
      <c r="I23" s="53" t="inlineStr">
        <is>
          <t>Parts Ordered</t>
        </is>
      </c>
      <c r="J23" s="54" t="n">
        <v>8</v>
      </c>
      <c r="K23" s="55" t="b">
        <v>1</v>
      </c>
      <c r="M23" s="35" t="inlineStr">
        <is>
          <t>PCT000007</t>
        </is>
      </c>
      <c r="N23" s="35" t="inlineStr">
        <is>
          <t>Buttons</t>
        </is>
      </c>
      <c r="O23" s="35" t="inlineStr">
        <is>
          <t>Power/volume/home</t>
        </is>
      </c>
      <c r="P23" s="35" t="n">
        <v>7</v>
      </c>
      <c r="Q23" s="35" t="b">
        <v>1</v>
      </c>
      <c r="S23" s="35" t="inlineStr">
        <is>
          <t>PCN000005</t>
        </is>
      </c>
      <c r="T23" s="35" t="inlineStr">
        <is>
          <t>Refurbished</t>
        </is>
      </c>
      <c r="U23" s="35" t="inlineStr">
        <is>
          <t>Refurbished</t>
        </is>
      </c>
      <c r="V23" s="35" t="n">
        <v>5</v>
      </c>
      <c r="W23" s="35" t="b">
        <v>1</v>
      </c>
    </row>
    <row r="24" ht="21.5" customHeight="1" s="42">
      <c r="A24" s="35" t="inlineStr">
        <is>
          <t>RTP000023</t>
        </is>
      </c>
      <c r="B24" s="35" t="inlineStr">
        <is>
          <t>Charging IC</t>
        </is>
      </c>
      <c r="C24" s="35" t="inlineStr">
        <is>
          <t>Charging IC</t>
        </is>
      </c>
      <c r="D24" s="35" t="n">
        <v>23</v>
      </c>
      <c r="E24" s="35" t="b">
        <v>1</v>
      </c>
      <c r="G24" s="56" t="inlineStr">
        <is>
          <t>RST000009</t>
        </is>
      </c>
      <c r="H24" s="57" t="inlineStr">
        <is>
          <t>Parts Received</t>
        </is>
      </c>
      <c r="I24" s="57" t="inlineStr">
        <is>
          <t>Parts Received</t>
        </is>
      </c>
      <c r="J24" s="58" t="n">
        <v>9</v>
      </c>
      <c r="K24" s="59" t="b">
        <v>1</v>
      </c>
      <c r="M24" s="35" t="inlineStr">
        <is>
          <t>PCT000008</t>
        </is>
      </c>
      <c r="N24" s="35" t="inlineStr">
        <is>
          <t>Board</t>
        </is>
      </c>
      <c r="O24" s="35" t="inlineStr">
        <is>
          <t>Logic boards</t>
        </is>
      </c>
      <c r="P24" s="35" t="n">
        <v>8</v>
      </c>
      <c r="Q24" s="35" t="b">
        <v>1</v>
      </c>
      <c r="S24" s="35" t="inlineStr">
        <is>
          <t>PCN000006</t>
        </is>
      </c>
      <c r="T24" s="35" t="inlineStr">
        <is>
          <t>Used</t>
        </is>
      </c>
      <c r="U24" s="35" t="inlineStr">
        <is>
          <t>Used</t>
        </is>
      </c>
      <c r="V24" s="35" t="n">
        <v>6</v>
      </c>
      <c r="W24" s="35" t="b">
        <v>1</v>
      </c>
    </row>
    <row r="25" ht="21.5" customHeight="1" s="42">
      <c r="A25" s="35" t="inlineStr">
        <is>
          <t>RTP000024</t>
        </is>
      </c>
      <c r="B25" s="35" t="inlineStr">
        <is>
          <t>Tristar</t>
        </is>
      </c>
      <c r="C25" s="35" t="inlineStr">
        <is>
          <t>Tristar</t>
        </is>
      </c>
      <c r="D25" s="35" t="n">
        <v>24</v>
      </c>
      <c r="E25" s="35" t="b">
        <v>1</v>
      </c>
      <c r="G25" s="52" t="inlineStr">
        <is>
          <t>RST000010</t>
        </is>
      </c>
      <c r="H25" s="53" t="inlineStr">
        <is>
          <t>Repair In Progress</t>
        </is>
      </c>
      <c r="I25" s="53" t="inlineStr">
        <is>
          <t>Repair In Progress</t>
        </is>
      </c>
      <c r="J25" s="54" t="n">
        <v>10</v>
      </c>
      <c r="K25" s="55" t="b">
        <v>1</v>
      </c>
      <c r="M25" s="35" t="inlineStr">
        <is>
          <t>PCT000009</t>
        </is>
      </c>
      <c r="N25" s="35" t="inlineStr">
        <is>
          <t>Flex Cable</t>
        </is>
      </c>
      <c r="O25" s="35" t="inlineStr">
        <is>
          <t>Internal flex cables</t>
        </is>
      </c>
      <c r="P25" s="35" t="n">
        <v>9</v>
      </c>
      <c r="Q25" s="35" t="b">
        <v>1</v>
      </c>
      <c r="S25" s="35" t="inlineStr">
        <is>
          <t>PCN000007</t>
        </is>
      </c>
      <c r="T25" s="35" t="inlineStr">
        <is>
          <t>For Parts</t>
        </is>
      </c>
      <c r="U25" s="35" t="inlineStr">
        <is>
          <t>Parts only</t>
        </is>
      </c>
      <c r="V25" s="35" t="n">
        <v>7</v>
      </c>
      <c r="W25" s="35" t="b">
        <v>1</v>
      </c>
    </row>
    <row r="26" ht="21.5" customHeight="1" s="42">
      <c r="A26" s="35" t="inlineStr">
        <is>
          <t>RTP000025</t>
        </is>
      </c>
      <c r="B26" s="35" t="inlineStr">
        <is>
          <t>Audio IC</t>
        </is>
      </c>
      <c r="C26" s="35" t="inlineStr">
        <is>
          <t>Audio IC</t>
        </is>
      </c>
      <c r="D26" s="35" t="n">
        <v>25</v>
      </c>
      <c r="E26" s="35" t="b">
        <v>1</v>
      </c>
      <c r="G26" s="56" t="inlineStr">
        <is>
          <t>RST000011</t>
        </is>
      </c>
      <c r="H26" s="57" t="inlineStr">
        <is>
          <t>Testing</t>
        </is>
      </c>
      <c r="I26" s="57" t="inlineStr">
        <is>
          <t>Testing</t>
        </is>
      </c>
      <c r="J26" s="58" t="n">
        <v>11</v>
      </c>
      <c r="K26" s="59" t="b">
        <v>1</v>
      </c>
      <c r="M26" s="35" t="inlineStr">
        <is>
          <t>PCT000010</t>
        </is>
      </c>
      <c r="N26" s="35" t="inlineStr">
        <is>
          <t>Accessory</t>
        </is>
      </c>
      <c r="O26" s="35" t="inlineStr">
        <is>
          <t>Accessories</t>
        </is>
      </c>
      <c r="P26" s="35" t="n">
        <v>10</v>
      </c>
      <c r="Q26" s="35" t="b">
        <v>1</v>
      </c>
    </row>
    <row r="27" ht="21.5" customHeight="1" s="42">
      <c r="A27" s="35" t="inlineStr">
        <is>
          <t>RTP000026</t>
        </is>
      </c>
      <c r="B27" s="35" t="inlineStr">
        <is>
          <t>USB Controller</t>
        </is>
      </c>
      <c r="C27" s="35" t="inlineStr">
        <is>
          <t>USB Controller</t>
        </is>
      </c>
      <c r="D27" s="35" t="n">
        <v>26</v>
      </c>
      <c r="E27" s="35" t="b">
        <v>1</v>
      </c>
      <c r="G27" s="52" t="inlineStr">
        <is>
          <t>RST000012</t>
        </is>
      </c>
      <c r="H27" s="53" t="inlineStr">
        <is>
          <t>Quality Control</t>
        </is>
      </c>
      <c r="I27" s="53" t="inlineStr">
        <is>
          <t>Quality Control</t>
        </is>
      </c>
      <c r="J27" s="54" t="n">
        <v>12</v>
      </c>
      <c r="K27" s="55" t="b">
        <v>1</v>
      </c>
      <c r="S27" s="45" t="inlineStr">
        <is>
          <t>ID</t>
        </is>
      </c>
      <c r="T27" s="45" t="inlineStr">
        <is>
          <t>Name</t>
        </is>
      </c>
      <c r="U27" s="45" t="inlineStr">
        <is>
          <t>Description</t>
        </is>
      </c>
      <c r="V27" s="45" t="inlineStr">
        <is>
          <t>DisplayOrder</t>
        </is>
      </c>
      <c r="W27" s="45" t="inlineStr">
        <is>
          <t>Active</t>
        </is>
      </c>
    </row>
    <row r="28" ht="21.5" customHeight="1" s="42">
      <c r="A28" s="35" t="inlineStr">
        <is>
          <t>RTP000027</t>
        </is>
      </c>
      <c r="B28" s="35" t="inlineStr">
        <is>
          <t>Water Damage</t>
        </is>
      </c>
      <c r="C28" s="35" t="inlineStr">
        <is>
          <t>Water Damage</t>
        </is>
      </c>
      <c r="D28" s="35" t="n">
        <v>27</v>
      </c>
      <c r="E28" s="35" t="b">
        <v>1</v>
      </c>
      <c r="G28" s="56" t="inlineStr">
        <is>
          <t>RST000013</t>
        </is>
      </c>
      <c r="H28" s="57" t="inlineStr">
        <is>
          <t>Completed</t>
        </is>
      </c>
      <c r="I28" s="57" t="inlineStr">
        <is>
          <t>Completed</t>
        </is>
      </c>
      <c r="J28" s="58" t="n">
        <v>13</v>
      </c>
      <c r="K28" s="59" t="b">
        <v>1</v>
      </c>
      <c r="M28" s="45" t="inlineStr">
        <is>
          <t>ID</t>
        </is>
      </c>
      <c r="N28" s="45" t="inlineStr">
        <is>
          <t>Name</t>
        </is>
      </c>
      <c r="O28" s="45" t="inlineStr">
        <is>
          <t>Description</t>
        </is>
      </c>
      <c r="P28" s="45" t="inlineStr">
        <is>
          <t>DisplayOrder</t>
        </is>
      </c>
      <c r="Q28" s="45" t="inlineStr">
        <is>
          <t>Active</t>
        </is>
      </c>
      <c r="S28" s="35" t="inlineStr">
        <is>
          <t>PST000001</t>
        </is>
      </c>
      <c r="T28" s="35" t="inlineStr">
        <is>
          <t>In Stock</t>
        </is>
      </c>
      <c r="U28" s="35" t="n"/>
      <c r="V28" s="35" t="n">
        <v>1</v>
      </c>
      <c r="W28" s="35" t="b">
        <v>1</v>
      </c>
    </row>
    <row r="29" ht="21.5" customHeight="1" s="42">
      <c r="A29" s="35" t="inlineStr">
        <is>
          <t>RTP000028</t>
        </is>
      </c>
      <c r="B29" s="35" t="inlineStr">
        <is>
          <t>Liquid Cleaning</t>
        </is>
      </c>
      <c r="C29" s="35" t="inlineStr">
        <is>
          <t>Liquid Cleaning</t>
        </is>
      </c>
      <c r="D29" s="35" t="n">
        <v>28</v>
      </c>
      <c r="E29" s="35" t="b">
        <v>1</v>
      </c>
      <c r="G29" s="52" t="inlineStr">
        <is>
          <t>RST000014</t>
        </is>
      </c>
      <c r="H29" s="53" t="inlineStr">
        <is>
          <t>Ready for Pickup</t>
        </is>
      </c>
      <c r="I29" s="53" t="inlineStr">
        <is>
          <t>Ready for Pickup</t>
        </is>
      </c>
      <c r="J29" s="54" t="n">
        <v>14</v>
      </c>
      <c r="K29" s="55" t="b">
        <v>1</v>
      </c>
      <c r="M29" s="35" t="inlineStr">
        <is>
          <t>PTY000001</t>
        </is>
      </c>
      <c r="N29" s="35" t="inlineStr">
        <is>
          <t>OEM</t>
        </is>
      </c>
      <c r="O29" s="35" t="inlineStr">
        <is>
          <t>Original manufacturer</t>
        </is>
      </c>
      <c r="P29" s="35" t="n">
        <v>1</v>
      </c>
      <c r="Q29" s="35" t="b">
        <v>1</v>
      </c>
      <c r="S29" s="35" t="inlineStr">
        <is>
          <t>PST000002</t>
        </is>
      </c>
      <c r="T29" s="35" t="inlineStr">
        <is>
          <t>Low Stock</t>
        </is>
      </c>
      <c r="U29" s="35" t="n"/>
      <c r="V29" s="35" t="n">
        <v>2</v>
      </c>
      <c r="W29" s="35" t="b">
        <v>1</v>
      </c>
    </row>
    <row r="30" ht="21.5" customHeight="1" s="42">
      <c r="A30" s="35" t="inlineStr">
        <is>
          <t>RTP000029</t>
        </is>
      </c>
      <c r="B30" s="35" t="inlineStr">
        <is>
          <t>Data Recovery</t>
        </is>
      </c>
      <c r="C30" s="35" t="inlineStr">
        <is>
          <t>Data Recovery</t>
        </is>
      </c>
      <c r="D30" s="35" t="n">
        <v>29</v>
      </c>
      <c r="E30" s="35" t="b">
        <v>1</v>
      </c>
      <c r="G30" s="56" t="inlineStr">
        <is>
          <t>RST000015</t>
        </is>
      </c>
      <c r="H30" s="57" t="inlineStr">
        <is>
          <t>Picked Up</t>
        </is>
      </c>
      <c r="I30" s="57" t="inlineStr">
        <is>
          <t>Picked Up</t>
        </is>
      </c>
      <c r="J30" s="58" t="n">
        <v>15</v>
      </c>
      <c r="K30" s="59" t="b">
        <v>1</v>
      </c>
      <c r="M30" s="35" t="inlineStr">
        <is>
          <t>PTY000002</t>
        </is>
      </c>
      <c r="N30" s="35" t="inlineStr">
        <is>
          <t>OEM Pull</t>
        </is>
      </c>
      <c r="O30" s="35" t="inlineStr">
        <is>
          <t>Used OEM</t>
        </is>
      </c>
      <c r="P30" s="35" t="n">
        <v>2</v>
      </c>
      <c r="Q30" s="35" t="b">
        <v>1</v>
      </c>
      <c r="S30" s="35" t="inlineStr">
        <is>
          <t>PST000003</t>
        </is>
      </c>
      <c r="T30" s="35" t="inlineStr">
        <is>
          <t>Out of Stock</t>
        </is>
      </c>
      <c r="U30" s="35" t="n"/>
      <c r="V30" s="35" t="n">
        <v>3</v>
      </c>
      <c r="W30" s="35" t="b">
        <v>1</v>
      </c>
    </row>
    <row r="31" ht="21.5" customHeight="1" s="42">
      <c r="A31" s="35" t="inlineStr">
        <is>
          <t>RTP000030</t>
        </is>
      </c>
      <c r="B31" s="35" t="inlineStr">
        <is>
          <t>Software Repair</t>
        </is>
      </c>
      <c r="C31" s="35" t="inlineStr">
        <is>
          <t>Software Repair</t>
        </is>
      </c>
      <c r="D31" s="35" t="n">
        <v>30</v>
      </c>
      <c r="E31" s="35" t="b">
        <v>1</v>
      </c>
      <c r="G31" s="52" t="inlineStr">
        <is>
          <t>RST000016</t>
        </is>
      </c>
      <c r="H31" s="53" t="inlineStr">
        <is>
          <t>Shipped</t>
        </is>
      </c>
      <c r="I31" s="53" t="inlineStr">
        <is>
          <t>Shipped</t>
        </is>
      </c>
      <c r="J31" s="54" t="n">
        <v>16</v>
      </c>
      <c r="K31" s="55" t="b">
        <v>1</v>
      </c>
      <c r="M31" s="35" t="inlineStr">
        <is>
          <t>PTY000003</t>
        </is>
      </c>
      <c r="N31" s="35" t="inlineStr">
        <is>
          <t>Premium Aftermarket</t>
        </is>
      </c>
      <c r="O31" s="35" t="inlineStr">
        <is>
          <t>High quality</t>
        </is>
      </c>
      <c r="P31" s="35" t="n">
        <v>3</v>
      </c>
      <c r="Q31" s="35" t="b">
        <v>1</v>
      </c>
      <c r="S31" s="35" t="inlineStr">
        <is>
          <t>PST000004</t>
        </is>
      </c>
      <c r="T31" s="35" t="inlineStr">
        <is>
          <t>Reserved</t>
        </is>
      </c>
      <c r="U31" s="35" t="n"/>
      <c r="V31" s="35" t="n">
        <v>4</v>
      </c>
      <c r="W31" s="35" t="b">
        <v>1</v>
      </c>
    </row>
    <row r="32" ht="21.5" customHeight="1" s="42">
      <c r="A32" s="35" t="inlineStr">
        <is>
          <t>RTP000031</t>
        </is>
      </c>
      <c r="B32" s="35" t="inlineStr">
        <is>
          <t>OS Restore</t>
        </is>
      </c>
      <c r="C32" s="35" t="inlineStr">
        <is>
          <t>OS Restore</t>
        </is>
      </c>
      <c r="D32" s="35" t="n">
        <v>31</v>
      </c>
      <c r="E32" s="35" t="b">
        <v>1</v>
      </c>
      <c r="G32" s="56" t="inlineStr">
        <is>
          <t>RST000017</t>
        </is>
      </c>
      <c r="H32" s="57" t="inlineStr">
        <is>
          <t>Cancelled</t>
        </is>
      </c>
      <c r="I32" s="57" t="inlineStr">
        <is>
          <t>Cancelled</t>
        </is>
      </c>
      <c r="J32" s="58" t="n">
        <v>17</v>
      </c>
      <c r="K32" s="59" t="b">
        <v>1</v>
      </c>
      <c r="M32" s="35" t="inlineStr">
        <is>
          <t>PTY000004</t>
        </is>
      </c>
      <c r="N32" s="35" t="inlineStr">
        <is>
          <t>Aftermarket</t>
        </is>
      </c>
      <c r="O32" s="35" t="inlineStr">
        <is>
          <t>Standard</t>
        </is>
      </c>
      <c r="P32" s="35" t="n">
        <v>4</v>
      </c>
      <c r="Q32" s="35" t="b">
        <v>1</v>
      </c>
      <c r="S32" s="35" t="inlineStr">
        <is>
          <t>PST000005</t>
        </is>
      </c>
      <c r="T32" s="35" t="inlineStr">
        <is>
          <t>On Order</t>
        </is>
      </c>
      <c r="U32" s="35" t="n"/>
      <c r="V32" s="35" t="n">
        <v>5</v>
      </c>
      <c r="W32" s="35" t="b">
        <v>1</v>
      </c>
    </row>
    <row r="33" ht="21.5" customHeight="1" s="42">
      <c r="A33" s="35" t="inlineStr">
        <is>
          <t>RTP000032</t>
        </is>
      </c>
      <c r="B33" s="35" t="inlineStr">
        <is>
          <t>Virus Removal</t>
        </is>
      </c>
      <c r="C33" s="35" t="inlineStr">
        <is>
          <t>Virus Removal</t>
        </is>
      </c>
      <c r="D33" s="35" t="n">
        <v>32</v>
      </c>
      <c r="E33" s="35" t="b">
        <v>1</v>
      </c>
      <c r="G33" s="52" t="inlineStr">
        <is>
          <t>RST000018</t>
        </is>
      </c>
      <c r="H33" s="53" t="inlineStr">
        <is>
          <t>Returned Unrepaired</t>
        </is>
      </c>
      <c r="I33" s="53" t="inlineStr">
        <is>
          <t>Returned Unrepaired</t>
        </is>
      </c>
      <c r="J33" s="54" t="n">
        <v>18</v>
      </c>
      <c r="K33" s="55" t="b">
        <v>1</v>
      </c>
      <c r="M33" s="35" t="inlineStr">
        <is>
          <t>PTY000005</t>
        </is>
      </c>
      <c r="N33" s="35" t="inlineStr">
        <is>
          <t>Refurbished</t>
        </is>
      </c>
      <c r="O33" s="35" t="inlineStr">
        <is>
          <t>Refurbished</t>
        </is>
      </c>
      <c r="P33" s="35" t="n">
        <v>5</v>
      </c>
      <c r="Q33" s="35" t="b">
        <v>1</v>
      </c>
      <c r="S33" s="35" t="inlineStr">
        <is>
          <t>PST000006</t>
        </is>
      </c>
      <c r="T33" s="35" t="inlineStr">
        <is>
          <t>Discontinued</t>
        </is>
      </c>
      <c r="U33" s="35" t="n"/>
      <c r="V33" s="35" t="n">
        <v>6</v>
      </c>
      <c r="W33" s="35" t="b">
        <v>1</v>
      </c>
    </row>
    <row r="34" ht="21.5" customHeight="1" s="42">
      <c r="A34" s="35" t="inlineStr">
        <is>
          <t>RTP000033</t>
        </is>
      </c>
      <c r="B34" s="35" t="inlineStr">
        <is>
          <t>Password Removal</t>
        </is>
      </c>
      <c r="C34" s="35" t="inlineStr">
        <is>
          <t>Password Removal</t>
        </is>
      </c>
      <c r="D34" s="35" t="n">
        <v>33</v>
      </c>
      <c r="E34" s="35" t="b">
        <v>1</v>
      </c>
      <c r="G34" s="56" t="inlineStr">
        <is>
          <t>RST000019</t>
        </is>
      </c>
      <c r="H34" s="57" t="inlineStr">
        <is>
          <t>Warranty Repair</t>
        </is>
      </c>
      <c r="I34" s="57" t="inlineStr">
        <is>
          <t>Warranty Repair</t>
        </is>
      </c>
      <c r="J34" s="58" t="n">
        <v>19</v>
      </c>
      <c r="K34" s="59" t="b">
        <v>1</v>
      </c>
      <c r="M34" s="35" t="inlineStr">
        <is>
          <t>PTY000006</t>
        </is>
      </c>
      <c r="N34" s="35" t="inlineStr">
        <is>
          <t>Used</t>
        </is>
      </c>
      <c r="O34" s="35" t="inlineStr">
        <is>
          <t>Used</t>
        </is>
      </c>
      <c r="P34" s="35" t="n">
        <v>6</v>
      </c>
      <c r="Q34" s="35" t="b">
        <v>1</v>
      </c>
      <c r="S34" s="35" t="inlineStr">
        <is>
          <t>PST000007</t>
        </is>
      </c>
      <c r="T34" s="35" t="inlineStr">
        <is>
          <t>Defective</t>
        </is>
      </c>
      <c r="U34" s="35" t="n"/>
      <c r="V34" s="35" t="n">
        <v>7</v>
      </c>
      <c r="W34" s="35" t="b">
        <v>1</v>
      </c>
    </row>
    <row r="35" ht="21.5" customHeight="1" s="42">
      <c r="A35" s="35" t="inlineStr">
        <is>
          <t>RTP000034</t>
        </is>
      </c>
      <c r="B35" s="35" t="inlineStr">
        <is>
          <t>FRP Removal</t>
        </is>
      </c>
      <c r="C35" s="35" t="inlineStr">
        <is>
          <t>FRP Removal</t>
        </is>
      </c>
      <c r="D35" s="35" t="n">
        <v>34</v>
      </c>
      <c r="E35" s="35" t="b">
        <v>1</v>
      </c>
      <c r="G35" s="52" t="inlineStr">
        <is>
          <t>RST000020</t>
        </is>
      </c>
      <c r="H35" s="53" t="inlineStr">
        <is>
          <t>Closed</t>
        </is>
      </c>
      <c r="I35" s="53" t="inlineStr">
        <is>
          <t>Closed</t>
        </is>
      </c>
      <c r="J35" s="54" t="n">
        <v>20</v>
      </c>
      <c r="K35" s="55" t="b">
        <v>1</v>
      </c>
      <c r="M35" s="35" t="inlineStr">
        <is>
          <t>PTY000007</t>
        </is>
      </c>
      <c r="N35" s="35" t="inlineStr">
        <is>
          <t>Remanufactured</t>
        </is>
      </c>
      <c r="O35" s="35" t="inlineStr">
        <is>
          <t>Remanufactured</t>
        </is>
      </c>
      <c r="P35" s="35" t="n">
        <v>7</v>
      </c>
      <c r="Q35" s="35" t="b">
        <v>1</v>
      </c>
    </row>
    <row r="36" ht="21.5" customHeight="1" s="42">
      <c r="A36" s="35" t="inlineStr">
        <is>
          <t>RTP000035</t>
        </is>
      </c>
      <c r="B36" s="35" t="inlineStr">
        <is>
          <t>Battery Calibration</t>
        </is>
      </c>
      <c r="C36" s="35" t="inlineStr">
        <is>
          <t>Battery Calibration</t>
        </is>
      </c>
      <c r="D36" s="35" t="n">
        <v>35</v>
      </c>
      <c r="E36" s="35" t="b">
        <v>1</v>
      </c>
      <c r="S36" s="45" t="inlineStr">
        <is>
          <t>ID</t>
        </is>
      </c>
      <c r="T36" s="45" t="inlineStr">
        <is>
          <t>Name</t>
        </is>
      </c>
      <c r="U36" s="45" t="inlineStr">
        <is>
          <t>Description</t>
        </is>
      </c>
      <c r="V36" s="45" t="inlineStr">
        <is>
          <t>DisplayOrder</t>
        </is>
      </c>
      <c r="W36" s="45" t="inlineStr">
        <is>
          <t>Active</t>
        </is>
      </c>
    </row>
    <row r="37" ht="21.5" customHeight="1" s="42">
      <c r="A37" s="35" t="inlineStr">
        <is>
          <t>RTP000036</t>
        </is>
      </c>
      <c r="B37" s="35" t="inlineStr">
        <is>
          <t>Face ID Calibration</t>
        </is>
      </c>
      <c r="C37" s="35" t="inlineStr">
        <is>
          <t>Face ID Calibration</t>
        </is>
      </c>
      <c r="D37" s="35" t="n">
        <v>36</v>
      </c>
      <c r="E37" s="35" t="b">
        <v>1</v>
      </c>
      <c r="G37" s="45" t="inlineStr">
        <is>
          <t>ID</t>
        </is>
      </c>
      <c r="H37" s="45" t="inlineStr">
        <is>
          <t>Name</t>
        </is>
      </c>
      <c r="I37" s="45" t="inlineStr">
        <is>
          <t>Description</t>
        </is>
      </c>
      <c r="J37" s="45" t="inlineStr">
        <is>
          <t>DisplayOrder</t>
        </is>
      </c>
      <c r="K37" s="45" t="inlineStr">
        <is>
          <t>Active</t>
        </is>
      </c>
      <c r="M37" s="68" t="inlineStr">
        <is>
          <t>ID</t>
        </is>
      </c>
      <c r="N37" s="68" t="inlineStr">
        <is>
          <t>Name</t>
        </is>
      </c>
      <c r="O37" s="68" t="inlineStr">
        <is>
          <t>Description</t>
        </is>
      </c>
      <c r="P37" s="68" t="inlineStr">
        <is>
          <t>DisplayOrder</t>
        </is>
      </c>
      <c r="Q37" s="68" t="inlineStr">
        <is>
          <t>Active</t>
        </is>
      </c>
      <c r="S37" s="35" t="inlineStr">
        <is>
          <t>INV000001</t>
        </is>
      </c>
      <c r="T37" s="35" t="inlineStr">
        <is>
          <t>Available</t>
        </is>
      </c>
      <c r="U37" s="35" t="n"/>
      <c r="V37" s="35" t="n">
        <v>1</v>
      </c>
      <c r="W37" s="35" t="b">
        <v>1</v>
      </c>
    </row>
    <row r="38" ht="21.5" customHeight="1" s="42">
      <c r="A38" s="35" t="inlineStr">
        <is>
          <t>RTP000037</t>
        </is>
      </c>
      <c r="B38" s="35" t="inlineStr">
        <is>
          <t>Camera Calibration</t>
        </is>
      </c>
      <c r="C38" s="35" t="inlineStr">
        <is>
          <t>Camera Calibration</t>
        </is>
      </c>
      <c r="D38" s="35" t="n">
        <v>37</v>
      </c>
      <c r="E38" s="35" t="b">
        <v>1</v>
      </c>
      <c r="G38" s="47" t="inlineStr">
        <is>
          <t>PMF000001</t>
        </is>
      </c>
      <c r="H38" s="35" t="inlineStr">
        <is>
          <t>Apple</t>
        </is>
      </c>
      <c r="I38" s="35" t="inlineStr">
        <is>
          <t>Apple</t>
        </is>
      </c>
      <c r="J38" s="17" t="n">
        <v>1</v>
      </c>
      <c r="K38" s="17" t="b">
        <v>1</v>
      </c>
      <c r="M38" s="60" t="inlineStr">
        <is>
          <t>PSL000001</t>
        </is>
      </c>
      <c r="N38" s="60" t="inlineStr">
        <is>
          <t>Mobile Sentrix</t>
        </is>
      </c>
      <c r="O38" s="60" t="n"/>
      <c r="P38" s="43" t="n">
        <v>1</v>
      </c>
      <c r="Q38" s="43" t="b">
        <v>1</v>
      </c>
      <c r="S38" s="35" t="inlineStr">
        <is>
          <t>INV000002</t>
        </is>
      </c>
      <c r="T38" s="35" t="inlineStr">
        <is>
          <t>Allocated</t>
        </is>
      </c>
      <c r="U38" s="35" t="n"/>
      <c r="V38" s="35" t="n">
        <v>2</v>
      </c>
      <c r="W38" s="35" t="b">
        <v>1</v>
      </c>
    </row>
    <row r="39" ht="21.5" customHeight="1" s="42">
      <c r="A39" s="35" t="inlineStr">
        <is>
          <t>RTP000038</t>
        </is>
      </c>
      <c r="B39" s="35" t="inlineStr">
        <is>
          <t>Display Calibration</t>
        </is>
      </c>
      <c r="C39" s="35" t="inlineStr">
        <is>
          <t>Display Calibration</t>
        </is>
      </c>
      <c r="D39" s="35" t="n">
        <v>38</v>
      </c>
      <c r="E39" s="35" t="b">
        <v>1</v>
      </c>
      <c r="G39" s="47" t="inlineStr">
        <is>
          <t>PMF000002</t>
        </is>
      </c>
      <c r="H39" s="35" t="inlineStr">
        <is>
          <t>Samsung</t>
        </is>
      </c>
      <c r="I39" s="35" t="inlineStr">
        <is>
          <t>Samsung</t>
        </is>
      </c>
      <c r="J39" s="17" t="n">
        <v>2</v>
      </c>
      <c r="K39" s="17" t="b">
        <v>1</v>
      </c>
      <c r="M39" s="61" t="inlineStr">
        <is>
          <t>PSL000002</t>
        </is>
      </c>
      <c r="N39" s="61" t="inlineStr">
        <is>
          <t>Injured Gadgets</t>
        </is>
      </c>
      <c r="O39" s="61" t="n"/>
      <c r="P39" s="44" t="n">
        <v>2</v>
      </c>
      <c r="Q39" s="44" t="b">
        <v>1</v>
      </c>
      <c r="S39" s="35" t="inlineStr">
        <is>
          <t>INV000003</t>
        </is>
      </c>
      <c r="T39" s="35" t="inlineStr">
        <is>
          <t>Consumed</t>
        </is>
      </c>
      <c r="U39" s="35" t="n"/>
      <c r="V39" s="35" t="n">
        <v>3</v>
      </c>
      <c r="W39" s="35" t="b">
        <v>1</v>
      </c>
    </row>
    <row r="40" ht="21.5" customHeight="1" s="42">
      <c r="A40" s="35" t="inlineStr">
        <is>
          <t>RTP000039</t>
        </is>
      </c>
      <c r="B40" s="35" t="inlineStr">
        <is>
          <t>Diagnostics</t>
        </is>
      </c>
      <c r="C40" s="35" t="inlineStr">
        <is>
          <t>Diagnostics</t>
        </is>
      </c>
      <c r="D40" s="35" t="n">
        <v>39</v>
      </c>
      <c r="E40" s="35" t="b">
        <v>1</v>
      </c>
      <c r="G40" s="47" t="inlineStr">
        <is>
          <t>PMF000003</t>
        </is>
      </c>
      <c r="H40" s="35" t="inlineStr">
        <is>
          <t>Google</t>
        </is>
      </c>
      <c r="I40" s="35" t="inlineStr">
        <is>
          <t>Google</t>
        </is>
      </c>
      <c r="J40" s="17" t="n">
        <v>3</v>
      </c>
      <c r="K40" s="17" t="b">
        <v>1</v>
      </c>
      <c r="M40" s="60" t="inlineStr">
        <is>
          <t>PSL000003</t>
        </is>
      </c>
      <c r="N40" s="60" t="inlineStr">
        <is>
          <t>Mannapov LLC</t>
        </is>
      </c>
      <c r="O40" s="60" t="n"/>
      <c r="P40" s="43" t="n">
        <v>3</v>
      </c>
      <c r="Q40" s="43" t="b">
        <v>1</v>
      </c>
      <c r="S40" s="35" t="inlineStr">
        <is>
          <t>INV000004</t>
        </is>
      </c>
      <c r="T40" s="35" t="inlineStr">
        <is>
          <t>Damaged</t>
        </is>
      </c>
      <c r="U40" s="35" t="n"/>
      <c r="V40" s="35" t="n">
        <v>4</v>
      </c>
      <c r="W40" s="35" t="b">
        <v>1</v>
      </c>
    </row>
    <row r="41" ht="21.5" customHeight="1" s="42">
      <c r="A41" s="35" t="inlineStr">
        <is>
          <t>RTP000040</t>
        </is>
      </c>
      <c r="B41" s="35" t="inlineStr">
        <is>
          <t>Cleaning</t>
        </is>
      </c>
      <c r="C41" s="35" t="inlineStr">
        <is>
          <t>Cleaning</t>
        </is>
      </c>
      <c r="D41" s="35" t="n">
        <v>40</v>
      </c>
      <c r="E41" s="35" t="b">
        <v>1</v>
      </c>
      <c r="G41" s="47" t="inlineStr">
        <is>
          <t>PMF000004</t>
        </is>
      </c>
      <c r="H41" s="35" t="inlineStr">
        <is>
          <t>Motorola</t>
        </is>
      </c>
      <c r="I41" s="35" t="inlineStr">
        <is>
          <t>Motorola</t>
        </is>
      </c>
      <c r="J41" s="17" t="n">
        <v>4</v>
      </c>
      <c r="K41" s="17" t="b">
        <v>1</v>
      </c>
      <c r="M41" s="61" t="inlineStr">
        <is>
          <t>PSL000004</t>
        </is>
      </c>
      <c r="N41" s="61" t="inlineStr">
        <is>
          <t>Ebay</t>
        </is>
      </c>
      <c r="O41" s="61" t="n"/>
      <c r="P41" s="44" t="n">
        <v>4</v>
      </c>
      <c r="Q41" s="44" t="b">
        <v>1</v>
      </c>
      <c r="S41" s="35" t="inlineStr">
        <is>
          <t>INV000005</t>
        </is>
      </c>
      <c r="T41" s="35" t="inlineStr">
        <is>
          <t>Returned</t>
        </is>
      </c>
      <c r="U41" s="35" t="n"/>
      <c r="V41" s="35" t="n">
        <v>5</v>
      </c>
      <c r="W41" s="35" t="b">
        <v>1</v>
      </c>
    </row>
    <row r="42" ht="21.5" customHeight="1" s="42">
      <c r="A42" s="35" t="inlineStr">
        <is>
          <t>RTP000041</t>
        </is>
      </c>
      <c r="B42" s="35" t="inlineStr">
        <is>
          <t>Preventive Maintenance</t>
        </is>
      </c>
      <c r="C42" s="35" t="inlineStr">
        <is>
          <t>Preventive Maintenance</t>
        </is>
      </c>
      <c r="D42" s="35" t="n">
        <v>41</v>
      </c>
      <c r="E42" s="35" t="b">
        <v>1</v>
      </c>
      <c r="G42" s="47" t="inlineStr">
        <is>
          <t>PMF000005</t>
        </is>
      </c>
      <c r="H42" s="35" t="inlineStr">
        <is>
          <t>Sony</t>
        </is>
      </c>
      <c r="I42" s="35" t="inlineStr">
        <is>
          <t>Sony</t>
        </is>
      </c>
      <c r="J42" s="17" t="n">
        <v>5</v>
      </c>
      <c r="K42" s="17" t="b">
        <v>1</v>
      </c>
      <c r="M42" s="60" t="inlineStr">
        <is>
          <t>PSL000005</t>
        </is>
      </c>
      <c r="N42" s="60" t="inlineStr">
        <is>
          <t>Amazon Business</t>
        </is>
      </c>
      <c r="O42" s="60" t="n"/>
      <c r="P42" s="43" t="n">
        <v>5</v>
      </c>
      <c r="Q42" s="43" t="b">
        <v>1</v>
      </c>
      <c r="S42" s="35" t="inlineStr">
        <is>
          <t>INV000006</t>
        </is>
      </c>
      <c r="T42" s="35" t="inlineStr">
        <is>
          <t>Awaiting Inspection</t>
        </is>
      </c>
      <c r="U42" s="35" t="n"/>
      <c r="V42" s="35" t="n">
        <v>6</v>
      </c>
      <c r="W42" s="35" t="b">
        <v>1</v>
      </c>
    </row>
    <row r="43" ht="21.5" customHeight="1" s="42">
      <c r="A43" s="35" t="inlineStr">
        <is>
          <t>RTP000042</t>
        </is>
      </c>
      <c r="B43" s="35" t="inlineStr">
        <is>
          <t>Thermal Paste Replacement</t>
        </is>
      </c>
      <c r="C43" s="35" t="inlineStr">
        <is>
          <t>Thermal Paste Replacement</t>
        </is>
      </c>
      <c r="D43" s="35" t="n">
        <v>42</v>
      </c>
      <c r="E43" s="35" t="b">
        <v>1</v>
      </c>
      <c r="G43" s="47" t="inlineStr">
        <is>
          <t>PMF000006</t>
        </is>
      </c>
      <c r="H43" s="35" t="inlineStr">
        <is>
          <t>LG</t>
        </is>
      </c>
      <c r="I43" s="35" t="inlineStr">
        <is>
          <t>LG</t>
        </is>
      </c>
      <c r="J43" s="17" t="n">
        <v>6</v>
      </c>
      <c r="K43" s="17" t="b">
        <v>1</v>
      </c>
      <c r="M43" s="54" t="inlineStr">
        <is>
          <t>PSL000006</t>
        </is>
      </c>
      <c r="N43" s="54" t="inlineStr">
        <is>
          <t>eTech Parts</t>
        </is>
      </c>
      <c r="O43" s="54" t="n"/>
      <c r="P43" s="69" t="n">
        <v>6</v>
      </c>
      <c r="Q43" s="69" t="b">
        <v>1</v>
      </c>
    </row>
    <row r="44" ht="21.5" customHeight="1" s="42">
      <c r="A44" s="35" t="inlineStr">
        <is>
          <t>RTP000043</t>
        </is>
      </c>
      <c r="B44" s="35" t="inlineStr">
        <is>
          <t>Fan Replacement</t>
        </is>
      </c>
      <c r="C44" s="35" t="inlineStr">
        <is>
          <t>Fan Replacement</t>
        </is>
      </c>
      <c r="D44" s="35" t="n">
        <v>43</v>
      </c>
      <c r="E44" s="35" t="b">
        <v>1</v>
      </c>
      <c r="G44" s="47" t="inlineStr">
        <is>
          <t>PMF000007</t>
        </is>
      </c>
      <c r="H44" s="35" t="inlineStr">
        <is>
          <t>OnePlus</t>
        </is>
      </c>
      <c r="I44" s="35" t="inlineStr">
        <is>
          <t>OnePlus</t>
        </is>
      </c>
      <c r="J44" s="17" t="n">
        <v>7</v>
      </c>
      <c r="K44" s="17" t="b">
        <v>1</v>
      </c>
    </row>
    <row r="45" ht="21.5" customHeight="1" s="42">
      <c r="A45" s="35" t="inlineStr">
        <is>
          <t>RTP000044</t>
        </is>
      </c>
      <c r="B45" s="35" t="inlineStr">
        <is>
          <t>Keyboard Replacement</t>
        </is>
      </c>
      <c r="C45" s="35" t="inlineStr">
        <is>
          <t>Keyboard Replacement</t>
        </is>
      </c>
      <c r="D45" s="35" t="n">
        <v>44</v>
      </c>
      <c r="E45" s="35" t="b">
        <v>1</v>
      </c>
      <c r="G45" s="47" t="inlineStr">
        <is>
          <t>PMF000008</t>
        </is>
      </c>
      <c r="H45" s="35" t="inlineStr">
        <is>
          <t>Huawei</t>
        </is>
      </c>
      <c r="I45" s="35" t="inlineStr">
        <is>
          <t>Huawei</t>
        </is>
      </c>
      <c r="J45" s="17" t="n">
        <v>8</v>
      </c>
      <c r="K45" s="17" t="b">
        <v>1</v>
      </c>
      <c r="M45" s="45" t="inlineStr">
        <is>
          <t>ID</t>
        </is>
      </c>
      <c r="N45" s="45" t="inlineStr">
        <is>
          <t>Name</t>
        </is>
      </c>
      <c r="O45" s="45" t="inlineStr">
        <is>
          <t>Description</t>
        </is>
      </c>
      <c r="P45" s="45" t="inlineStr">
        <is>
          <t>DisplayOrder</t>
        </is>
      </c>
      <c r="Q45" s="45" t="inlineStr">
        <is>
          <t>Active</t>
        </is>
      </c>
    </row>
    <row r="46" ht="21.5" customHeight="1" s="42">
      <c r="A46" s="35" t="inlineStr">
        <is>
          <t>RTP000045</t>
        </is>
      </c>
      <c r="B46" s="35" t="inlineStr">
        <is>
          <t>Trackpad Replacement</t>
        </is>
      </c>
      <c r="C46" s="35" t="inlineStr">
        <is>
          <t>Trackpad Replacement</t>
        </is>
      </c>
      <c r="D46" s="35" t="n">
        <v>45</v>
      </c>
      <c r="E46" s="35" t="b">
        <v>1</v>
      </c>
      <c r="G46" s="47" t="inlineStr">
        <is>
          <t>PMF000009</t>
        </is>
      </c>
      <c r="H46" s="35" t="inlineStr">
        <is>
          <t>Xiaomi</t>
        </is>
      </c>
      <c r="I46" s="35" t="inlineStr">
        <is>
          <t>Xiaomi</t>
        </is>
      </c>
      <c r="J46" s="17" t="n">
        <v>9</v>
      </c>
      <c r="K46" s="17" t="b">
        <v>1</v>
      </c>
      <c r="M46" s="37" t="inlineStr">
        <is>
          <t>RPR000001</t>
        </is>
      </c>
      <c r="N46" s="35" t="inlineStr">
        <is>
          <t>Extremely Difficult</t>
        </is>
      </c>
      <c r="O46" s="35" t="inlineStr">
        <is>
          <t>1 - Extremely Difficult</t>
        </is>
      </c>
      <c r="P46" s="35" t="n">
        <v>1</v>
      </c>
      <c r="Q46" s="35" t="b">
        <v>1</v>
      </c>
    </row>
    <row r="47" ht="21.5" customHeight="1" s="42">
      <c r="A47" s="35" t="inlineStr">
        <is>
          <t>RTP000046</t>
        </is>
      </c>
      <c r="B47" s="35" t="inlineStr">
        <is>
          <t>SSD Upgrade</t>
        </is>
      </c>
      <c r="C47" s="35" t="inlineStr">
        <is>
          <t>SSD Upgrade</t>
        </is>
      </c>
      <c r="D47" s="35" t="n">
        <v>46</v>
      </c>
      <c r="E47" s="35" t="b">
        <v>1</v>
      </c>
      <c r="G47" s="47" t="inlineStr">
        <is>
          <t>PMF000010</t>
        </is>
      </c>
      <c r="H47" s="35" t="inlineStr">
        <is>
          <t>ASUS</t>
        </is>
      </c>
      <c r="I47" s="35" t="inlineStr">
        <is>
          <t>ASUS</t>
        </is>
      </c>
      <c r="J47" s="17" t="n">
        <v>10</v>
      </c>
      <c r="K47" s="17" t="b">
        <v>1</v>
      </c>
      <c r="M47" s="37" t="inlineStr">
        <is>
          <t>RPR000002</t>
        </is>
      </c>
      <c r="N47" s="35" t="inlineStr">
        <is>
          <t>Very Difficult</t>
        </is>
      </c>
      <c r="O47" s="35" t="inlineStr">
        <is>
          <t>2 - Very Difficult</t>
        </is>
      </c>
      <c r="P47" s="35" t="n">
        <v>2</v>
      </c>
      <c r="Q47" s="35" t="b">
        <v>1</v>
      </c>
    </row>
    <row r="48" ht="21.5" customHeight="1" s="42">
      <c r="A48" s="35" t="inlineStr">
        <is>
          <t>RTP000047</t>
        </is>
      </c>
      <c r="B48" s="35" t="inlineStr">
        <is>
          <t>RAM Upgrade</t>
        </is>
      </c>
      <c r="C48" s="35" t="inlineStr">
        <is>
          <t>RAM Upgrade</t>
        </is>
      </c>
      <c r="D48" s="35" t="n">
        <v>47</v>
      </c>
      <c r="E48" s="35" t="b">
        <v>1</v>
      </c>
      <c r="G48" s="47" t="inlineStr">
        <is>
          <t>PMF000011</t>
        </is>
      </c>
      <c r="H48" s="35" t="inlineStr">
        <is>
          <t>Dell</t>
        </is>
      </c>
      <c r="I48" s="35" t="inlineStr">
        <is>
          <t>Dell</t>
        </is>
      </c>
      <c r="J48" s="17" t="n">
        <v>11</v>
      </c>
      <c r="K48" s="17" t="b">
        <v>1</v>
      </c>
      <c r="M48" s="37" t="inlineStr">
        <is>
          <t>RPR000003</t>
        </is>
      </c>
      <c r="N48" s="35" t="inlineStr">
        <is>
          <t>Difficult</t>
        </is>
      </c>
      <c r="O48" s="35" t="inlineStr">
        <is>
          <t>3 - Difficult</t>
        </is>
      </c>
      <c r="P48" s="35" t="n">
        <v>3</v>
      </c>
      <c r="Q48" s="35" t="b">
        <v>1</v>
      </c>
    </row>
    <row r="49" ht="21.5" customHeight="1" s="42">
      <c r="A49" s="35" t="inlineStr">
        <is>
          <t>RTP000048</t>
        </is>
      </c>
      <c r="B49" s="35" t="inlineStr">
        <is>
          <t>Screen Protector Installation</t>
        </is>
      </c>
      <c r="C49" s="35" t="inlineStr">
        <is>
          <t>Screen Protector Installation</t>
        </is>
      </c>
      <c r="D49" s="35" t="n">
        <v>48</v>
      </c>
      <c r="E49" s="35" t="b">
        <v>1</v>
      </c>
      <c r="G49" s="47" t="inlineStr">
        <is>
          <t>PMF000012</t>
        </is>
      </c>
      <c r="H49" s="35" t="inlineStr">
        <is>
          <t>HP</t>
        </is>
      </c>
      <c r="I49" s="35" t="inlineStr">
        <is>
          <t>HP</t>
        </is>
      </c>
      <c r="J49" s="17" t="n">
        <v>12</v>
      </c>
      <c r="K49" s="17" t="b">
        <v>1</v>
      </c>
      <c r="M49" s="37" t="inlineStr">
        <is>
          <t>RPR000004</t>
        </is>
      </c>
      <c r="N49" s="35" t="inlineStr">
        <is>
          <t>Moderately Difficult</t>
        </is>
      </c>
      <c r="O49" s="35" t="inlineStr">
        <is>
          <t>4 - Moderately Difficult</t>
        </is>
      </c>
      <c r="P49" s="35" t="n">
        <v>4</v>
      </c>
      <c r="Q49" s="35" t="b">
        <v>1</v>
      </c>
    </row>
    <row r="50" ht="21.5" customHeight="1" s="42">
      <c r="A50" s="35" t="inlineStr">
        <is>
          <t>RTP000049</t>
        </is>
      </c>
      <c r="B50" s="35" t="inlineStr">
        <is>
          <t>Accessory Installation</t>
        </is>
      </c>
      <c r="C50" s="35" t="inlineStr">
        <is>
          <t>Accessory Installation</t>
        </is>
      </c>
      <c r="D50" s="35" t="n">
        <v>49</v>
      </c>
      <c r="E50" s="35" t="b">
        <v>1</v>
      </c>
      <c r="G50" s="47" t="inlineStr">
        <is>
          <t>PMF000013</t>
        </is>
      </c>
      <c r="H50" s="35" t="inlineStr">
        <is>
          <t>Lenovo</t>
        </is>
      </c>
      <c r="I50" s="35" t="inlineStr">
        <is>
          <t>Lenovo</t>
        </is>
      </c>
      <c r="J50" s="17" t="n">
        <v>13</v>
      </c>
      <c r="K50" s="17" t="b">
        <v>1</v>
      </c>
      <c r="M50" s="37" t="inlineStr">
        <is>
          <t>RPR000005</t>
        </is>
      </c>
      <c r="N50" s="35" t="inlineStr">
        <is>
          <t>Moderate</t>
        </is>
      </c>
      <c r="O50" s="35" t="inlineStr">
        <is>
          <t>5 - Moderate</t>
        </is>
      </c>
      <c r="P50" s="35" t="n">
        <v>5</v>
      </c>
      <c r="Q50" s="35" t="b">
        <v>1</v>
      </c>
    </row>
    <row r="51" ht="21.5" customHeight="1" s="42">
      <c r="A51" s="35" t="inlineStr">
        <is>
          <t>RTP000050</t>
        </is>
      </c>
      <c r="B51" s="35" t="inlineStr">
        <is>
          <t>Custom Build</t>
        </is>
      </c>
      <c r="C51" s="35" t="inlineStr">
        <is>
          <t>Custom Build</t>
        </is>
      </c>
      <c r="D51" s="35" t="n">
        <v>50</v>
      </c>
      <c r="E51" s="35" t="b">
        <v>1</v>
      </c>
      <c r="G51" s="47" t="inlineStr">
        <is>
          <t>PMF000014</t>
        </is>
      </c>
      <c r="H51" s="35" t="inlineStr">
        <is>
          <t>Intel</t>
        </is>
      </c>
      <c r="I51" s="35" t="inlineStr">
        <is>
          <t>Intel</t>
        </is>
      </c>
      <c r="J51" s="17" t="n">
        <v>14</v>
      </c>
      <c r="K51" s="17" t="b">
        <v>1</v>
      </c>
      <c r="M51" s="37" t="inlineStr">
        <is>
          <t>RPR000006</t>
        </is>
      </c>
      <c r="N51" s="35" t="inlineStr">
        <is>
          <t>Semi-Moderate</t>
        </is>
      </c>
      <c r="O51" s="35" t="inlineStr">
        <is>
          <t>6 - Semi-Moderate</t>
        </is>
      </c>
      <c r="P51" s="35" t="n">
        <v>6</v>
      </c>
      <c r="Q51" s="35" t="b">
        <v>1</v>
      </c>
    </row>
    <row r="52" ht="21.5" customHeight="1" s="42">
      <c r="G52" s="47" t="inlineStr">
        <is>
          <t>PMF000015</t>
        </is>
      </c>
      <c r="H52" s="35" t="inlineStr">
        <is>
          <t>AMD</t>
        </is>
      </c>
      <c r="I52" s="35" t="inlineStr">
        <is>
          <t>AMD</t>
        </is>
      </c>
      <c r="J52" s="17" t="n">
        <v>15</v>
      </c>
      <c r="K52" s="17" t="b">
        <v>1</v>
      </c>
      <c r="M52" s="37" t="inlineStr">
        <is>
          <t>RPR000007</t>
        </is>
      </c>
      <c r="N52" s="35" t="inlineStr">
        <is>
          <t>Semi-Easy</t>
        </is>
      </c>
      <c r="O52" s="35" t="inlineStr">
        <is>
          <t>7 - Semi-Easy</t>
        </is>
      </c>
      <c r="P52" s="35" t="n">
        <v>7</v>
      </c>
      <c r="Q52" s="35" t="b">
        <v>1</v>
      </c>
    </row>
    <row r="53" ht="21.5" customHeight="1" s="42">
      <c r="G53" s="47" t="inlineStr">
        <is>
          <t>PMF000016</t>
        </is>
      </c>
      <c r="H53" s="35" t="inlineStr">
        <is>
          <t>Qualcomm</t>
        </is>
      </c>
      <c r="I53" s="35" t="inlineStr">
        <is>
          <t>Qualcomm</t>
        </is>
      </c>
      <c r="J53" s="17" t="n">
        <v>16</v>
      </c>
      <c r="K53" s="17" t="b">
        <v>1</v>
      </c>
      <c r="M53" s="37" t="inlineStr">
        <is>
          <t>RPR000008</t>
        </is>
      </c>
      <c r="N53" s="35" t="inlineStr">
        <is>
          <t>Easy</t>
        </is>
      </c>
      <c r="O53" s="35" t="inlineStr">
        <is>
          <t>8 - Easy</t>
        </is>
      </c>
      <c r="P53" s="35" t="n">
        <v>8</v>
      </c>
      <c r="Q53" s="35" t="b">
        <v>1</v>
      </c>
    </row>
    <row r="54" ht="21.5" customHeight="1" s="42">
      <c r="G54" s="47" t="inlineStr">
        <is>
          <t>PMF000017</t>
        </is>
      </c>
      <c r="H54" s="35" t="inlineStr">
        <is>
          <t>MediaTek</t>
        </is>
      </c>
      <c r="I54" s="35" t="inlineStr">
        <is>
          <t>MediaTek</t>
        </is>
      </c>
      <c r="J54" s="17" t="n">
        <v>17</v>
      </c>
      <c r="K54" s="17" t="b">
        <v>1</v>
      </c>
      <c r="M54" s="37" t="inlineStr">
        <is>
          <t>RPR000009</t>
        </is>
      </c>
      <c r="N54" s="35" t="inlineStr">
        <is>
          <t>Very Easy</t>
        </is>
      </c>
      <c r="O54" s="35" t="inlineStr">
        <is>
          <t>9 - Very Easy</t>
        </is>
      </c>
      <c r="P54" s="35" t="n">
        <v>9</v>
      </c>
      <c r="Q54" s="35" t="b">
        <v>1</v>
      </c>
    </row>
    <row r="55" ht="21.5" customHeight="1" s="42">
      <c r="G55" s="47" t="inlineStr">
        <is>
          <t>PMF000018</t>
        </is>
      </c>
      <c r="H55" s="35" t="inlineStr">
        <is>
          <t>Texas Instruments</t>
        </is>
      </c>
      <c r="I55" s="35" t="inlineStr">
        <is>
          <t>Texas Instruments</t>
        </is>
      </c>
      <c r="J55" s="17" t="n">
        <v>18</v>
      </c>
      <c r="K55" s="17" t="b">
        <v>1</v>
      </c>
      <c r="M55" s="37" t="inlineStr">
        <is>
          <t>RPR000010</t>
        </is>
      </c>
      <c r="N55" s="35" t="inlineStr">
        <is>
          <t>Modular</t>
        </is>
      </c>
      <c r="O55" s="35" t="inlineStr">
        <is>
          <t>10 - Modular</t>
        </is>
      </c>
      <c r="P55" s="35" t="n">
        <v>10</v>
      </c>
      <c r="Q55" s="35" t="b">
        <v>1</v>
      </c>
    </row>
    <row r="56" ht="21.5" customHeight="1" s="42">
      <c r="G56" s="47" t="inlineStr">
        <is>
          <t>PMF000019</t>
        </is>
      </c>
      <c r="H56" s="35" t="inlineStr">
        <is>
          <t>Foxconn</t>
        </is>
      </c>
      <c r="I56" s="35" t="inlineStr">
        <is>
          <t>Foxconn</t>
        </is>
      </c>
      <c r="J56" s="17" t="n">
        <v>19</v>
      </c>
      <c r="K56" s="17" t="b">
        <v>1</v>
      </c>
    </row>
    <row r="57" ht="21.5" customHeight="1" s="42">
      <c r="G57" s="47" t="inlineStr">
        <is>
          <t>PMF000020</t>
        </is>
      </c>
      <c r="H57" s="35" t="inlineStr">
        <is>
          <t>Corning</t>
        </is>
      </c>
      <c r="I57" s="35" t="inlineStr">
        <is>
          <t>Corning</t>
        </is>
      </c>
      <c r="J57" s="17" t="n">
        <v>20</v>
      </c>
      <c r="K57" s="17" t="b">
        <v>1</v>
      </c>
    </row>
    <row r="58" ht="21.5" customHeight="1" s="42">
      <c r="G58" s="47" t="inlineStr">
        <is>
          <t>PMF000021</t>
        </is>
      </c>
      <c r="H58" s="35" t="inlineStr">
        <is>
          <t>BOE</t>
        </is>
      </c>
      <c r="I58" s="35" t="inlineStr">
        <is>
          <t>BOE</t>
        </is>
      </c>
      <c r="J58" s="17" t="n">
        <v>21</v>
      </c>
      <c r="K58" s="17" t="b">
        <v>1</v>
      </c>
    </row>
    <row r="59" ht="21.5" customHeight="1" s="42">
      <c r="G59" s="47" t="inlineStr">
        <is>
          <t>PMF000022</t>
        </is>
      </c>
      <c r="H59" s="35" t="inlineStr">
        <is>
          <t>LG Display</t>
        </is>
      </c>
      <c r="I59" s="35" t="inlineStr">
        <is>
          <t>LG Display</t>
        </is>
      </c>
      <c r="J59" s="17" t="n">
        <v>22</v>
      </c>
      <c r="K59" s="17" t="b">
        <v>1</v>
      </c>
    </row>
    <row r="60" ht="21.5" customHeight="1" s="42">
      <c r="G60" s="47" t="inlineStr">
        <is>
          <t>PMF000023</t>
        </is>
      </c>
      <c r="H60" s="35" t="inlineStr">
        <is>
          <t>Samsung Display</t>
        </is>
      </c>
      <c r="I60" s="35" t="inlineStr">
        <is>
          <t>Samsung Display</t>
        </is>
      </c>
      <c r="J60" s="17" t="n">
        <v>23</v>
      </c>
      <c r="K60" s="17" t="b">
        <v>1</v>
      </c>
    </row>
  </sheetData>
  <pageMargins left="0.7" right="0.7" top="0.75" bottom="0.75" header="0.3" footer="0.3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2" sqref="A2"/>
    </sheetView>
  </sheetViews>
  <sheetFormatPr baseColWidth="8" defaultRowHeight="21.5"/>
  <cols>
    <col width="33.81640625" bestFit="1" customWidth="1" style="35" min="1" max="1"/>
    <col width="22.453125" bestFit="1" customWidth="1" style="35" min="2" max="2"/>
    <col width="35.7265625" bestFit="1" customWidth="1" style="35" min="3" max="3"/>
    <col width="29.90625" bestFit="1" customWidth="1" style="35" min="4" max="4"/>
    <col width="28.36328125" bestFit="1" customWidth="1" style="35" min="5" max="5"/>
    <col width="28.1796875" bestFit="1" customWidth="1" style="35" min="6" max="6"/>
    <col width="23.6328125" bestFit="1" customWidth="1" style="35" min="7" max="7"/>
    <col width="31.08984375" bestFit="1" customWidth="1" style="35" min="8" max="8"/>
    <col width="34" bestFit="1" customWidth="1" style="35" min="9" max="9"/>
    <col width="16.26953125" customWidth="1" style="35" min="10" max="10"/>
    <col width="22.6328125" bestFit="1" customWidth="1" style="35" min="11" max="11"/>
    <col width="17.08984375" bestFit="1" customWidth="1" style="35" min="12" max="12"/>
    <col width="19.81640625" bestFit="1" customWidth="1" style="35" min="13" max="13"/>
    <col width="8.7265625" customWidth="1" style="35" min="14" max="16384"/>
  </cols>
  <sheetData>
    <row r="1">
      <c r="A1" s="23" t="inlineStr">
        <is>
          <t>LookupCatalogID</t>
        </is>
      </c>
      <c r="B1" s="23" t="inlineStr">
        <is>
          <t>LookupGroupID</t>
        </is>
      </c>
      <c r="C1" s="23" t="inlineStr">
        <is>
          <t>LookupGroupName</t>
        </is>
      </c>
      <c r="D1" s="23" t="inlineStr">
        <is>
          <t>LookupTableName</t>
        </is>
      </c>
      <c r="E1" s="23" t="inlineStr">
        <is>
          <t>DisplayName</t>
        </is>
      </c>
      <c r="F1" s="23" t="inlineStr">
        <is>
          <t>PrimaryKeyField</t>
        </is>
      </c>
      <c r="G1" s="23" t="inlineStr">
        <is>
          <t>PrimaryKeyPrefix</t>
        </is>
      </c>
      <c r="H1" s="23" t="inlineStr">
        <is>
          <t>Description</t>
        </is>
      </c>
      <c r="I1" s="24" t="inlineStr">
        <is>
          <t>DisplayOrder</t>
        </is>
      </c>
      <c r="J1" s="23" t="inlineStr">
        <is>
          <t>Status</t>
        </is>
      </c>
      <c r="K1" s="23" t="inlineStr">
        <is>
          <t>IsSystemLookup</t>
        </is>
      </c>
      <c r="L1" s="23" t="inlineStr">
        <is>
          <t>TableExists</t>
        </is>
      </c>
      <c r="M1" s="23" t="inlineStr">
        <is>
          <t>LastReviewed</t>
        </is>
      </c>
    </row>
    <row r="2">
      <c r="A2" s="37" t="inlineStr">
        <is>
          <t>LKC000001</t>
        </is>
      </c>
      <c r="B2" s="37" t="inlineStr">
        <is>
          <t>LKG000002</t>
        </is>
      </c>
      <c r="C2" s="35">
        <f>_xlfn.XLOOKUP(tblLookupCatalogID[[#This Row],[LookupGroupID]],[1]!tblLookupGroups[LookupGroupID],[1]!tblLookupGroups[GroupName],"")</f>
        <v/>
      </c>
      <c r="D2" s="37" t="inlineStr">
        <is>
          <t>tblCustomerTypes</t>
        </is>
      </c>
      <c r="E2" s="37" t="inlineStr">
        <is>
          <t>Customer Types</t>
        </is>
      </c>
      <c r="F2" s="37" t="inlineStr">
        <is>
          <t>CustomerTypeID</t>
        </is>
      </c>
      <c r="G2" s="37" t="inlineStr">
        <is>
          <t>CTY</t>
        </is>
      </c>
      <c r="H2" s="37" t="inlineStr">
        <is>
          <t>Customer classifications</t>
        </is>
      </c>
      <c r="I2" s="27" t="n">
        <v>1</v>
      </c>
      <c r="J2" s="37" t="inlineStr">
        <is>
          <t>Active</t>
        </is>
      </c>
      <c r="K2" s="37" t="inlineStr">
        <is>
          <t>Yes</t>
        </is>
      </c>
      <c r="L2" s="28">
        <f t="array" ref="L2">TableExists(tblLookupCatalogID[[#This Row],[LookupTableName]])</f>
        <v/>
      </c>
      <c r="M2" s="28" t="n"/>
    </row>
    <row r="3">
      <c r="A3" s="37" t="inlineStr">
        <is>
          <t>LKC000002</t>
        </is>
      </c>
      <c r="B3" s="37" t="inlineStr">
        <is>
          <t>LKG000002</t>
        </is>
      </c>
      <c r="C3" s="35">
        <f>_xlfn.XLOOKUP(tblLookupCatalogID[[#This Row],[LookupGroupID]],[1]!tblLookupGroups[LookupGroupID],[1]!tblLookupGroups[GroupName],"")</f>
        <v/>
      </c>
      <c r="D3" s="37" t="inlineStr">
        <is>
          <t>tblPreferredContactMethods</t>
        </is>
      </c>
      <c r="E3" s="37" t="inlineStr">
        <is>
          <t>Preferred Contact Methods</t>
        </is>
      </c>
      <c r="F3" s="37" t="inlineStr">
        <is>
          <t>PreferredContactMethodID</t>
        </is>
      </c>
      <c r="G3" s="37" t="inlineStr">
        <is>
          <t>PCM</t>
        </is>
      </c>
      <c r="H3" s="37" t="inlineStr">
        <is>
          <t>Customer contact methods</t>
        </is>
      </c>
      <c r="I3" s="27" t="n">
        <v>2</v>
      </c>
      <c r="J3" s="37" t="inlineStr">
        <is>
          <t>Active</t>
        </is>
      </c>
      <c r="K3" s="37" t="inlineStr">
        <is>
          <t>Yes</t>
        </is>
      </c>
      <c r="L3" s="28">
        <f t="array" ref="L3">TableExists(tblLookupCatalogID[[#This Row],[LookupTableName]])</f>
        <v/>
      </c>
      <c r="M3" s="28" t="n"/>
    </row>
    <row r="4">
      <c r="A4" s="37" t="inlineStr">
        <is>
          <t>LKC000003</t>
        </is>
      </c>
      <c r="B4" s="37" t="inlineStr">
        <is>
          <t>LKG000002</t>
        </is>
      </c>
      <c r="C4" s="35">
        <f>_xlfn.XLOOKUP(tblLookupCatalogID[[#This Row],[LookupGroupID]],[1]!tblLookupGroups[LookupGroupID],[1]!tblLookupGroups[GroupName],"")</f>
        <v/>
      </c>
      <c r="D4" s="37" t="inlineStr">
        <is>
          <t>tblCustomerStatus</t>
        </is>
      </c>
      <c r="E4" s="37" t="inlineStr">
        <is>
          <t>Customer Status</t>
        </is>
      </c>
      <c r="F4" s="37" t="inlineStr">
        <is>
          <t>CustomerStatusID</t>
        </is>
      </c>
      <c r="G4" s="37" t="inlineStr">
        <is>
          <t>CST</t>
        </is>
      </c>
      <c r="H4" s="37" t="inlineStr">
        <is>
          <t>Customer account status</t>
        </is>
      </c>
      <c r="I4" s="27" t="n">
        <v>3</v>
      </c>
      <c r="J4" s="37" t="inlineStr">
        <is>
          <t>Active</t>
        </is>
      </c>
      <c r="K4" s="37" t="inlineStr">
        <is>
          <t>Yes</t>
        </is>
      </c>
      <c r="L4" s="28">
        <f t="array" ref="L4">TableExists(tblLookupCatalogID[[#This Row],[LookupTableName]])</f>
        <v/>
      </c>
      <c r="M4" s="28" t="n"/>
    </row>
    <row r="5">
      <c r="A5" s="37" t="inlineStr">
        <is>
          <t>LKC000004</t>
        </is>
      </c>
      <c r="B5" s="37" t="inlineStr">
        <is>
          <t>LKG000003</t>
        </is>
      </c>
      <c r="C5" s="35">
        <f>_xlfn.XLOOKUP(tblLookupCatalogID[[#This Row],[LookupGroupID]],[1]!tblLookupGroups[LookupGroupID],[1]!tblLookupGroups[GroupName],"")</f>
        <v/>
      </c>
      <c r="D5" s="37" t="inlineStr">
        <is>
          <t>tblDeviceTypes</t>
        </is>
      </c>
      <c r="E5" s="37" t="inlineStr">
        <is>
          <t>Device Types</t>
        </is>
      </c>
      <c r="F5" s="37" t="inlineStr">
        <is>
          <t>DeviceTypeID</t>
        </is>
      </c>
      <c r="G5" s="37" t="inlineStr">
        <is>
          <t>DT</t>
        </is>
      </c>
      <c r="H5" s="37" t="inlineStr">
        <is>
          <t>Device categories</t>
        </is>
      </c>
      <c r="I5" s="27" t="n">
        <v>1</v>
      </c>
      <c r="J5" s="37" t="inlineStr">
        <is>
          <t>Active</t>
        </is>
      </c>
      <c r="K5" s="37" t="inlineStr">
        <is>
          <t>Yes</t>
        </is>
      </c>
      <c r="L5" s="28">
        <f t="array" ref="L5">TableExists(tblLookupCatalogID[[#This Row],[LookupTableName]])</f>
        <v/>
      </c>
      <c r="M5" s="28" t="n"/>
    </row>
    <row r="6">
      <c r="A6" s="37" t="inlineStr">
        <is>
          <t>LKC000005</t>
        </is>
      </c>
      <c r="B6" s="37" t="inlineStr">
        <is>
          <t>LKG000003</t>
        </is>
      </c>
      <c r="C6" s="35">
        <f>_xlfn.XLOOKUP(tblLookupCatalogID[[#This Row],[LookupGroupID]],[1]!tblLookupGroups[LookupGroupID],[1]!tblLookupGroups[GroupName],"")</f>
        <v/>
      </c>
      <c r="D6" s="37" t="inlineStr">
        <is>
          <t>tblManufacturers</t>
        </is>
      </c>
      <c r="E6" s="37" t="inlineStr">
        <is>
          <t>Manufacturers</t>
        </is>
      </c>
      <c r="F6" s="37" t="inlineStr">
        <is>
          <t>ManufacturerID</t>
        </is>
      </c>
      <c r="G6" s="37" t="inlineStr">
        <is>
          <t>MFG</t>
        </is>
      </c>
      <c r="H6" s="37" t="inlineStr">
        <is>
          <t>Device manufacturers</t>
        </is>
      </c>
      <c r="I6" s="27" t="n">
        <v>2</v>
      </c>
      <c r="J6" s="37" t="inlineStr">
        <is>
          <t>Active</t>
        </is>
      </c>
      <c r="K6" s="37" t="inlineStr">
        <is>
          <t>Yes</t>
        </is>
      </c>
      <c r="L6" s="28">
        <f t="array" ref="L6">TableExists(tblLookupCatalogID[[#This Row],[LookupTableName]])</f>
        <v/>
      </c>
      <c r="M6" s="28" t="n"/>
    </row>
    <row r="7">
      <c r="A7" s="37" t="inlineStr">
        <is>
          <t>LKC000006</t>
        </is>
      </c>
      <c r="B7" s="37" t="inlineStr">
        <is>
          <t>LKG000003</t>
        </is>
      </c>
      <c r="C7" s="35">
        <f>_xlfn.XLOOKUP(tblLookupCatalogID[[#This Row],[LookupGroupID]],[1]!tblLookupGroups[LookupGroupID],[1]!tblLookupGroups[GroupName],"")</f>
        <v/>
      </c>
      <c r="D7" s="37" t="inlineStr">
        <is>
          <t>tblDeviceFamilies</t>
        </is>
      </c>
      <c r="E7" s="37" t="inlineStr">
        <is>
          <t>Device Families</t>
        </is>
      </c>
      <c r="F7" s="37" t="inlineStr">
        <is>
          <t>DeviceFamilyID</t>
        </is>
      </c>
      <c r="G7" s="37" t="inlineStr">
        <is>
          <t>DF</t>
        </is>
      </c>
      <c r="H7" s="37" t="inlineStr">
        <is>
          <t>Product families</t>
        </is>
      </c>
      <c r="I7" s="27" t="n">
        <v>3</v>
      </c>
      <c r="J7" s="37" t="inlineStr">
        <is>
          <t>Active</t>
        </is>
      </c>
      <c r="K7" s="37" t="inlineStr">
        <is>
          <t>Yes</t>
        </is>
      </c>
      <c r="L7" s="28">
        <f t="array" ref="L7">TableExists(tblLookupCatalogID[[#This Row],[LookupTableName]])</f>
        <v/>
      </c>
      <c r="M7" s="28" t="n"/>
    </row>
    <row r="8">
      <c r="A8" s="37" t="inlineStr">
        <is>
          <t>LKC000007</t>
        </is>
      </c>
      <c r="B8" s="37" t="inlineStr">
        <is>
          <t>LKG000003</t>
        </is>
      </c>
      <c r="C8" s="35">
        <f>_xlfn.XLOOKUP(tblLookupCatalogID[[#This Row],[LookupGroupID]],[1]!tblLookupGroups[LookupGroupID],[1]!tblLookupGroups[GroupName],"")</f>
        <v/>
      </c>
      <c r="D8" s="37" t="inlineStr">
        <is>
          <t>tblDeviceModels</t>
        </is>
      </c>
      <c r="E8" s="37" t="inlineStr">
        <is>
          <t>Device Models</t>
        </is>
      </c>
      <c r="F8" s="37" t="inlineStr">
        <is>
          <t>ModelID</t>
        </is>
      </c>
      <c r="G8" s="37" t="inlineStr">
        <is>
          <t>MOD</t>
        </is>
      </c>
      <c r="H8" s="37" t="inlineStr">
        <is>
          <t>Device models</t>
        </is>
      </c>
      <c r="I8" s="27" t="n">
        <v>4</v>
      </c>
      <c r="J8" s="37" t="inlineStr">
        <is>
          <t>Active</t>
        </is>
      </c>
      <c r="K8" s="37" t="inlineStr">
        <is>
          <t>No</t>
        </is>
      </c>
      <c r="L8" s="28">
        <f t="array" ref="L8">TableExists(tblLookupCatalogID[[#This Row],[LookupTableName]])</f>
        <v/>
      </c>
      <c r="M8" s="28" t="n"/>
    </row>
    <row r="9">
      <c r="A9" s="37" t="inlineStr">
        <is>
          <t>LKC000008</t>
        </is>
      </c>
      <c r="B9" s="37" t="inlineStr">
        <is>
          <t>LKG000003</t>
        </is>
      </c>
      <c r="C9" s="35">
        <f>_xlfn.XLOOKUP(tblLookupCatalogID[[#This Row],[LookupGroupID]],[1]!tblLookupGroups[LookupGroupID],[1]!tblLookupGroups[GroupName],"")</f>
        <v/>
      </c>
      <c r="D9" s="37" t="inlineStr">
        <is>
          <t>tblDeviceColors</t>
        </is>
      </c>
      <c r="E9" s="37" t="inlineStr">
        <is>
          <t>Device Colors</t>
        </is>
      </c>
      <c r="F9" s="37" t="inlineStr">
        <is>
          <t>ColorID</t>
        </is>
      </c>
      <c r="G9" s="37" t="inlineStr">
        <is>
          <t>CLR</t>
        </is>
      </c>
      <c r="H9" s="37" t="inlineStr">
        <is>
          <t>Device color options</t>
        </is>
      </c>
      <c r="I9" s="27" t="n">
        <v>5</v>
      </c>
      <c r="J9" s="37" t="inlineStr">
        <is>
          <t>Active</t>
        </is>
      </c>
      <c r="K9" s="37" t="inlineStr">
        <is>
          <t>Yes</t>
        </is>
      </c>
      <c r="L9" s="28">
        <f t="array" ref="L9">TableExists(tblLookupCatalogID[[#This Row],[LookupTableName]])</f>
        <v/>
      </c>
      <c r="M9" s="28" t="n"/>
    </row>
    <row r="10">
      <c r="A10" s="37" t="inlineStr">
        <is>
          <t>LKC000009</t>
        </is>
      </c>
      <c r="B10" s="37" t="inlineStr">
        <is>
          <t>LKG000003</t>
        </is>
      </c>
      <c r="C10" s="35">
        <f>_xlfn.XLOOKUP(tblLookupCatalogID[[#This Row],[LookupGroupID]],[1]!tblLookupGroups[LookupGroupID],[1]!tblLookupGroups[GroupName],"")</f>
        <v/>
      </c>
      <c r="D10" s="37" t="inlineStr">
        <is>
          <t>tblOperatingSystems</t>
        </is>
      </c>
      <c r="E10" s="37" t="inlineStr">
        <is>
          <t>Operating Systems</t>
        </is>
      </c>
      <c r="F10" s="37" t="inlineStr">
        <is>
          <t>OperatingSystemID</t>
        </is>
      </c>
      <c r="G10" s="37" t="inlineStr">
        <is>
          <t>OS</t>
        </is>
      </c>
      <c r="H10" s="37" t="inlineStr">
        <is>
          <t>Supported operating systems</t>
        </is>
      </c>
      <c r="I10" s="27" t="n">
        <v>6</v>
      </c>
      <c r="J10" s="37" t="inlineStr">
        <is>
          <t>Active</t>
        </is>
      </c>
      <c r="K10" s="37" t="inlineStr">
        <is>
          <t>Yes</t>
        </is>
      </c>
      <c r="L10" s="28">
        <f t="array" ref="L10">TableExists(tblLookupCatalogID[[#This Row],[LookupTableName]])</f>
        <v/>
      </c>
      <c r="M10" s="28" t="n"/>
    </row>
    <row r="11">
      <c r="A11" s="37" t="inlineStr">
        <is>
          <t>LKC000010</t>
        </is>
      </c>
      <c r="B11" s="37" t="inlineStr">
        <is>
          <t>LKG000003</t>
        </is>
      </c>
      <c r="C11" s="35">
        <f>_xlfn.XLOOKUP(tblLookupCatalogID[[#This Row],[LookupGroupID]],[1]!tblLookupGroups[LookupGroupID],[1]!tblLookupGroups[GroupName],"")</f>
        <v/>
      </c>
      <c r="D11" s="37" t="inlineStr">
        <is>
          <t>tblChargingTypes</t>
        </is>
      </c>
      <c r="E11" s="37" t="inlineStr">
        <is>
          <t>Charging Types</t>
        </is>
      </c>
      <c r="F11" s="37" t="inlineStr">
        <is>
          <t>ChargingTypeID</t>
        </is>
      </c>
      <c r="G11" s="37" t="inlineStr">
        <is>
          <t>CHG</t>
        </is>
      </c>
      <c r="H11" s="37" t="inlineStr">
        <is>
          <t>Charging connector types</t>
        </is>
      </c>
      <c r="I11" s="27" t="n">
        <v>7</v>
      </c>
      <c r="J11" s="37" t="inlineStr">
        <is>
          <t>Active</t>
        </is>
      </c>
      <c r="K11" s="37" t="inlineStr">
        <is>
          <t>Yes</t>
        </is>
      </c>
      <c r="L11" s="28">
        <f t="array" ref="L11">TableExists(tblLookupCatalogID[[#This Row],[LookupTableName]])</f>
        <v/>
      </c>
      <c r="M11" s="28" t="n"/>
    </row>
    <row r="12">
      <c r="A12" s="37" t="inlineStr">
        <is>
          <t>LKC000011</t>
        </is>
      </c>
      <c r="B12" s="37" t="inlineStr">
        <is>
          <t>LKG000003</t>
        </is>
      </c>
      <c r="C12" s="35">
        <f>_xlfn.XLOOKUP(tblLookupCatalogID[[#This Row],[LookupGroupID]],[1]!tblLookupGroups[LookupGroupID],[1]!tblLookupGroups[GroupName],"")</f>
        <v/>
      </c>
      <c r="D12" s="37" t="inlineStr">
        <is>
          <t>tblSIMTypes</t>
        </is>
      </c>
      <c r="E12" s="37" t="inlineStr">
        <is>
          <t>SIM Types</t>
        </is>
      </c>
      <c r="F12" s="37" t="inlineStr">
        <is>
          <t>SIMTypeID</t>
        </is>
      </c>
      <c r="G12" s="37" t="inlineStr">
        <is>
          <t>SIM</t>
        </is>
      </c>
      <c r="H12" s="37" t="inlineStr">
        <is>
          <t>SIM card types</t>
        </is>
      </c>
      <c r="I12" s="27" t="n">
        <v>8</v>
      </c>
      <c r="J12" s="37" t="inlineStr">
        <is>
          <t>Active</t>
        </is>
      </c>
      <c r="K12" s="37" t="inlineStr">
        <is>
          <t>Yes</t>
        </is>
      </c>
      <c r="L12" s="28">
        <f t="array" ref="L12">TableExists(tblLookupCatalogID[[#This Row],[LookupTableName]])</f>
        <v/>
      </c>
      <c r="M12" s="28" t="n"/>
    </row>
    <row r="13">
      <c r="A13" s="37" t="inlineStr">
        <is>
          <t>LKC000012</t>
        </is>
      </c>
      <c r="B13" s="37" t="inlineStr">
        <is>
          <t>LKG000003</t>
        </is>
      </c>
      <c r="C13" s="35">
        <f>_xlfn.XLOOKUP(tblLookupCatalogID[[#This Row],[LookupGroupID]],[1]!tblLookupGroups[LookupGroupID],[1]!tblLookupGroups[GroupName],"")</f>
        <v/>
      </c>
      <c r="D13" s="37" t="inlineStr">
        <is>
          <t>tblNetworkGenerations</t>
        </is>
      </c>
      <c r="E13" s="37" t="inlineStr">
        <is>
          <t>Network Generations</t>
        </is>
      </c>
      <c r="F13" s="37" t="inlineStr">
        <is>
          <t>NetworkGenerationID</t>
        </is>
      </c>
      <c r="G13" s="37" t="inlineStr">
        <is>
          <t>NET</t>
        </is>
      </c>
      <c r="H13" s="37" t="inlineStr">
        <is>
          <t>Cellular network generations</t>
        </is>
      </c>
      <c r="I13" s="27" t="n">
        <v>9</v>
      </c>
      <c r="J13" s="37" t="inlineStr">
        <is>
          <t>Active</t>
        </is>
      </c>
      <c r="K13" s="37" t="inlineStr">
        <is>
          <t>Yes</t>
        </is>
      </c>
      <c r="L13" s="28">
        <f t="array" ref="L13">TableExists(tblLookupCatalogID[[#This Row],[LookupTableName]])</f>
        <v/>
      </c>
      <c r="M13" s="28" t="n"/>
    </row>
    <row r="14">
      <c r="A14" s="37" t="inlineStr">
        <is>
          <t>LKC000013</t>
        </is>
      </c>
      <c r="B14" s="37" t="inlineStr">
        <is>
          <t>LKG000003</t>
        </is>
      </c>
      <c r="C14" s="35">
        <f>_xlfn.XLOOKUP(tblLookupCatalogID[[#This Row],[LookupGroupID]],[1]!tblLookupGroups[LookupGroupID],[1]!tblLookupGroups[GroupName],"")</f>
        <v/>
      </c>
      <c r="D14" s="37" t="inlineStr">
        <is>
          <t>tblScreenTechnologies</t>
        </is>
      </c>
      <c r="E14" s="37" t="inlineStr">
        <is>
          <t>Screen Technologies</t>
        </is>
      </c>
      <c r="F14" s="37" t="inlineStr">
        <is>
          <t>ScreenTechnologyID</t>
        </is>
      </c>
      <c r="G14" s="37" t="inlineStr">
        <is>
          <t>SCT</t>
        </is>
      </c>
      <c r="H14" s="37" t="inlineStr">
        <is>
          <t>Display technologies</t>
        </is>
      </c>
      <c r="I14" s="27" t="n">
        <v>10</v>
      </c>
      <c r="J14" s="37" t="inlineStr">
        <is>
          <t>Active</t>
        </is>
      </c>
      <c r="K14" s="37" t="inlineStr">
        <is>
          <t>Yes</t>
        </is>
      </c>
      <c r="L14" s="28">
        <f t="array" ref="L14">TableExists(tblLookupCatalogID[[#This Row],[LookupTableName]])</f>
        <v/>
      </c>
      <c r="M14" s="28" t="n"/>
    </row>
    <row r="15">
      <c r="A15" s="37" t="inlineStr">
        <is>
          <t>LKC000014</t>
        </is>
      </c>
      <c r="B15" s="37" t="inlineStr">
        <is>
          <t>LKG000003</t>
        </is>
      </c>
      <c r="C15" s="35">
        <f>_xlfn.XLOOKUP(tblLookupCatalogID[[#This Row],[LookupGroupID]],[1]!tblLookupGroups[LookupGroupID],[1]!tblLookupGroups[GroupName],"")</f>
        <v/>
      </c>
      <c r="D15" s="37" t="inlineStr">
        <is>
          <t>tblProcessorManufacturers</t>
        </is>
      </c>
      <c r="E15" s="37" t="inlineStr">
        <is>
          <t>Processor Manufacturers</t>
        </is>
      </c>
      <c r="F15" s="37" t="inlineStr">
        <is>
          <t>ProcessorManufacturerID</t>
        </is>
      </c>
      <c r="G15" s="37" t="inlineStr">
        <is>
          <t>CPU</t>
        </is>
      </c>
      <c r="H15" s="37" t="inlineStr">
        <is>
          <t>CPU manufacturers</t>
        </is>
      </c>
      <c r="I15" s="27" t="n">
        <v>11</v>
      </c>
      <c r="J15" s="37" t="inlineStr">
        <is>
          <t>Active</t>
        </is>
      </c>
      <c r="K15" s="37" t="inlineStr">
        <is>
          <t>Yes</t>
        </is>
      </c>
      <c r="L15" s="28">
        <f t="array" ref="L15">TableExists(tblLookupCatalogID[[#This Row],[LookupTableName]])</f>
        <v/>
      </c>
      <c r="M15" s="28" t="n"/>
    </row>
    <row r="16">
      <c r="A16" s="37" t="inlineStr">
        <is>
          <t>LKC000015</t>
        </is>
      </c>
      <c r="B16" s="37" t="inlineStr">
        <is>
          <t>LKG000003</t>
        </is>
      </c>
      <c r="C16" s="35">
        <f>_xlfn.XLOOKUP(tblLookupCatalogID[[#This Row],[LookupGroupID]],[1]!tblLookupGroups[LookupGroupID],[1]!tblLookupGroups[GroupName],"")</f>
        <v/>
      </c>
      <c r="D16" s="37" t="inlineStr">
        <is>
          <t>tblMemoryOptions</t>
        </is>
      </c>
      <c r="E16" s="37" t="inlineStr">
        <is>
          <t>Memory Options</t>
        </is>
      </c>
      <c r="F16" s="37" t="inlineStr">
        <is>
          <t>MemoryOptionID</t>
        </is>
      </c>
      <c r="G16" s="37" t="inlineStr">
        <is>
          <t>MEM</t>
        </is>
      </c>
      <c r="H16" s="37" t="inlineStr">
        <is>
          <t>Installed memory options</t>
        </is>
      </c>
      <c r="I16" s="27" t="n">
        <v>12</v>
      </c>
      <c r="J16" s="37" t="inlineStr">
        <is>
          <t>Active</t>
        </is>
      </c>
      <c r="K16" s="37" t="inlineStr">
        <is>
          <t>Yes</t>
        </is>
      </c>
      <c r="L16" s="28">
        <f t="array" ref="L16">TableExists(tblLookupCatalogID[[#This Row],[LookupTableName]])</f>
        <v/>
      </c>
      <c r="M16" s="28" t="n"/>
    </row>
    <row r="17">
      <c r="A17" s="37" t="inlineStr">
        <is>
          <t>LKC000016</t>
        </is>
      </c>
      <c r="B17" s="37" t="inlineStr">
        <is>
          <t>LKG000003</t>
        </is>
      </c>
      <c r="C17" s="35">
        <f>_xlfn.XLOOKUP(tblLookupCatalogID[[#This Row],[LookupGroupID]],[1]!tblLookupGroups[LookupGroupID],[1]!tblLookupGroups[GroupName],"")</f>
        <v/>
      </c>
      <c r="D17" s="37" t="inlineStr">
        <is>
          <t>tblStorageOptions</t>
        </is>
      </c>
      <c r="E17" s="37" t="inlineStr">
        <is>
          <t>Storage Options</t>
        </is>
      </c>
      <c r="F17" s="37" t="inlineStr">
        <is>
          <t>StorageOptionID</t>
        </is>
      </c>
      <c r="G17" s="37" t="inlineStr">
        <is>
          <t>STO</t>
        </is>
      </c>
      <c r="H17" s="37" t="inlineStr">
        <is>
          <t>Storage capacities</t>
        </is>
      </c>
      <c r="I17" s="27" t="n">
        <v>13</v>
      </c>
      <c r="J17" s="37" t="inlineStr">
        <is>
          <t>Active</t>
        </is>
      </c>
      <c r="K17" s="37" t="inlineStr">
        <is>
          <t>Yes</t>
        </is>
      </c>
      <c r="L17" s="28">
        <f t="array" ref="L17">TableExists(tblLookupCatalogID[[#This Row],[LookupTableName]])</f>
        <v/>
      </c>
      <c r="M17" s="28" t="n"/>
    </row>
    <row r="18">
      <c r="A18" s="37" t="inlineStr">
        <is>
          <t>LKC000017</t>
        </is>
      </c>
      <c r="B18" s="37" t="inlineStr">
        <is>
          <t>LKG000003</t>
        </is>
      </c>
      <c r="C18" s="35">
        <f>_xlfn.XLOOKUP(tblLookupCatalogID[[#This Row],[LookupGroupID]],[1]!tblLookupGroups[LookupGroupID],[1]!tblLookupGroups[GroupName],"")</f>
        <v/>
      </c>
      <c r="D18" s="37" t="inlineStr">
        <is>
          <t>tblRefreshRates</t>
        </is>
      </c>
      <c r="E18" s="37" t="inlineStr">
        <is>
          <t>Refresh Rates</t>
        </is>
      </c>
      <c r="F18" s="37" t="inlineStr">
        <is>
          <t>RefreshRateID</t>
        </is>
      </c>
      <c r="G18" s="37" t="inlineStr">
        <is>
          <t>REF</t>
        </is>
      </c>
      <c r="H18" s="37" t="inlineStr">
        <is>
          <t>Display refresh rates</t>
        </is>
      </c>
      <c r="I18" s="27" t="n">
        <v>14</v>
      </c>
      <c r="J18" s="37" t="inlineStr">
        <is>
          <t>Active</t>
        </is>
      </c>
      <c r="K18" s="37" t="inlineStr">
        <is>
          <t>Yes</t>
        </is>
      </c>
      <c r="L18" s="28">
        <f t="array" ref="L18">TableExists(tblLookupCatalogID[[#This Row],[LookupTableName]])</f>
        <v/>
      </c>
      <c r="M18" s="28" t="n"/>
    </row>
    <row r="19">
      <c r="A19" s="37" t="inlineStr">
        <is>
          <t>LKC000018</t>
        </is>
      </c>
      <c r="B19" s="37" t="inlineStr">
        <is>
          <t>LKG000003</t>
        </is>
      </c>
      <c r="C19" s="35">
        <f>_xlfn.XLOOKUP(tblLookupCatalogID[[#This Row],[LookupGroupID]],[1]!tblLookupGroups[LookupGroupID],[1]!tblLookupGroups[GroupName],"")</f>
        <v/>
      </c>
      <c r="D19" s="37" t="inlineStr">
        <is>
          <t>tblWaterResistanceRatings</t>
        </is>
      </c>
      <c r="E19" s="37" t="inlineStr">
        <is>
          <t>Water Resistance Ratings</t>
        </is>
      </c>
      <c r="F19" s="37" t="inlineStr">
        <is>
          <t>WaterResistanceRatingID</t>
        </is>
      </c>
      <c r="G19" s="37" t="inlineStr">
        <is>
          <t>WTR</t>
        </is>
      </c>
      <c r="H19" s="37" t="inlineStr">
        <is>
          <t>IP ratings</t>
        </is>
      </c>
      <c r="I19" s="27" t="n">
        <v>15</v>
      </c>
      <c r="J19" s="37" t="inlineStr">
        <is>
          <t>Active</t>
        </is>
      </c>
      <c r="K19" s="37" t="inlineStr">
        <is>
          <t>Yes</t>
        </is>
      </c>
      <c r="L19" s="28">
        <f t="array" ref="L19">TableExists(tblLookupCatalogID[[#This Row],[LookupTableName]])</f>
        <v/>
      </c>
      <c r="M19" s="28" t="n"/>
    </row>
    <row r="20">
      <c r="A20" s="37" t="inlineStr">
        <is>
          <t>LKC000019</t>
        </is>
      </c>
      <c r="B20" s="37" t="inlineStr">
        <is>
          <t>LKG000003</t>
        </is>
      </c>
      <c r="C20" s="35">
        <f>_xlfn.XLOOKUP(tblLookupCatalogID[[#This Row],[LookupGroupID]],[1]!tblLookupGroups[LookupGroupID],[1]!tblLookupGroups[GroupName],"")</f>
        <v/>
      </c>
      <c r="D20" s="37" t="inlineStr">
        <is>
          <t>tblCarrierLockStatus</t>
        </is>
      </c>
      <c r="E20" s="37" t="inlineStr">
        <is>
          <t>Carrier Lock Status</t>
        </is>
      </c>
      <c r="F20" s="37" t="inlineStr">
        <is>
          <t>CarrierLockStatusID</t>
        </is>
      </c>
      <c r="G20" s="37" t="inlineStr">
        <is>
          <t>LCK</t>
        </is>
      </c>
      <c r="H20" s="37" t="inlineStr">
        <is>
          <t>Device lock status</t>
        </is>
      </c>
      <c r="I20" s="27" t="n">
        <v>16</v>
      </c>
      <c r="J20" s="37" t="inlineStr">
        <is>
          <t>Active</t>
        </is>
      </c>
      <c r="K20" s="37" t="inlineStr">
        <is>
          <t>Yes</t>
        </is>
      </c>
      <c r="L20" s="28">
        <f t="array" ref="L20">TableExists(tblLookupCatalogID[[#This Row],[LookupTableName]])</f>
        <v/>
      </c>
      <c r="M20" s="28" t="n"/>
    </row>
    <row r="21">
      <c r="A21" s="37" t="inlineStr">
        <is>
          <t>LKC000020</t>
        </is>
      </c>
      <c r="B21" s="37" t="inlineStr">
        <is>
          <t>LKG000003</t>
        </is>
      </c>
      <c r="C21" s="35">
        <f>_xlfn.XLOOKUP(tblLookupCatalogID[[#This Row],[LookupGroupID]],[1]!tblLookupGroups[LookupGroupID],[1]!tblLookupGroups[GroupName],"")</f>
        <v/>
      </c>
      <c r="D21" s="37" t="inlineStr">
        <is>
          <t>tblCarriers</t>
        </is>
      </c>
      <c r="E21" s="37" t="inlineStr">
        <is>
          <t>Carriers</t>
        </is>
      </c>
      <c r="F21" s="37" t="inlineStr">
        <is>
          <t>CarrierID</t>
        </is>
      </c>
      <c r="G21" s="37" t="inlineStr">
        <is>
          <t>CAR</t>
        </is>
      </c>
      <c r="H21" s="37" t="inlineStr">
        <is>
          <t>Mobile carriers</t>
        </is>
      </c>
      <c r="I21" s="27" t="n">
        <v>17</v>
      </c>
      <c r="J21" s="37" t="inlineStr">
        <is>
          <t>Active</t>
        </is>
      </c>
      <c r="K21" s="37" t="inlineStr">
        <is>
          <t>No</t>
        </is>
      </c>
      <c r="L21" s="28">
        <f t="array" ref="L21">TableExists(tblLookupCatalogID[[#This Row],[LookupTableName]])</f>
        <v/>
      </c>
      <c r="M21" s="28" t="n"/>
    </row>
    <row r="22">
      <c r="A22" s="37" t="inlineStr">
        <is>
          <t>LKC000021</t>
        </is>
      </c>
      <c r="B22" s="37" t="inlineStr">
        <is>
          <t>LKG000003</t>
        </is>
      </c>
      <c r="C22" s="35">
        <f>_xlfn.XLOOKUP(tblLookupCatalogID[[#This Row],[LookupGroupID]],[1]!tblLookupGroups[LookupGroupID],[1]!tblLookupGroups[GroupName],"")</f>
        <v/>
      </c>
      <c r="D22" s="37" t="inlineStr">
        <is>
          <t>tblMarketRegions</t>
        </is>
      </c>
      <c r="E22" s="37" t="inlineStr">
        <is>
          <t>Market Regions</t>
        </is>
      </c>
      <c r="F22" s="37" t="inlineStr">
        <is>
          <t>MarketRegionID</t>
        </is>
      </c>
      <c r="G22" s="37" t="inlineStr">
        <is>
          <t>REG</t>
        </is>
      </c>
      <c r="H22" s="37" t="inlineStr">
        <is>
          <t>Device market regions</t>
        </is>
      </c>
      <c r="I22" s="27" t="n">
        <v>18</v>
      </c>
      <c r="J22" s="37" t="inlineStr">
        <is>
          <t>Active</t>
        </is>
      </c>
      <c r="K22" s="37" t="inlineStr">
        <is>
          <t>Yes</t>
        </is>
      </c>
      <c r="L22" s="28">
        <f t="array" ref="L22">TableExists(tblLookupCatalogID[[#This Row],[LookupTableName]])</f>
        <v/>
      </c>
      <c r="M22" s="28" t="n"/>
    </row>
    <row r="23">
      <c r="A23" s="37" t="inlineStr">
        <is>
          <t>LKC000022</t>
        </is>
      </c>
      <c r="B23" s="37" t="inlineStr">
        <is>
          <t>LKG000003</t>
        </is>
      </c>
      <c r="C23" s="35">
        <f>_xlfn.XLOOKUP(tblLookupCatalogID[[#This Row],[LookupGroupID]],[1]!tblLookupGroups[LookupGroupID],[1]!tblLookupGroups[GroupName],"")</f>
        <v/>
      </c>
      <c r="D23" s="37" t="inlineStr">
        <is>
          <t>tblRepairabilityRatings</t>
        </is>
      </c>
      <c r="E23" s="37" t="inlineStr">
        <is>
          <t>Repairability Ratings</t>
        </is>
      </c>
      <c r="F23" s="37" t="inlineStr">
        <is>
          <t>RepairabilityRatingID</t>
        </is>
      </c>
      <c r="G23" s="37" t="inlineStr">
        <is>
          <t>RPR</t>
        </is>
      </c>
      <c r="H23" s="37" t="inlineStr">
        <is>
          <t>Device repairability scale</t>
        </is>
      </c>
      <c r="I23" s="27" t="n">
        <v>19</v>
      </c>
      <c r="J23" s="37" t="inlineStr">
        <is>
          <t>Active</t>
        </is>
      </c>
      <c r="K23" s="37" t="inlineStr">
        <is>
          <t>Yes</t>
        </is>
      </c>
      <c r="L23" s="28">
        <f t="array" ref="L23">TableExists(tblLookupCatalogID[[#This Row],[LookupTableName]])</f>
        <v/>
      </c>
      <c r="M23" s="28" t="n"/>
    </row>
    <row r="24">
      <c r="A24" s="37" t="inlineStr">
        <is>
          <t>LKC000023</t>
        </is>
      </c>
      <c r="B24" s="37" t="inlineStr">
        <is>
          <t>LKG000003</t>
        </is>
      </c>
      <c r="C24" s="35">
        <f>_xlfn.XLOOKUP(tblLookupCatalogID[[#This Row],[LookupGroupID]],[1]!tblLookupGroups[LookupGroupID],[1]!tblLookupGroups[GroupName],"")</f>
        <v/>
      </c>
      <c r="D24" s="37" t="inlineStr">
        <is>
          <t>tblDeviceStatus</t>
        </is>
      </c>
      <c r="E24" s="37" t="inlineStr">
        <is>
          <t>Device Status</t>
        </is>
      </c>
      <c r="F24" s="37" t="inlineStr">
        <is>
          <t>DeviceStatusID</t>
        </is>
      </c>
      <c r="G24" s="37" t="inlineStr">
        <is>
          <t>DST</t>
        </is>
      </c>
      <c r="H24" s="37" t="inlineStr">
        <is>
          <t>Device lifecycle status</t>
        </is>
      </c>
      <c r="I24" s="27" t="n">
        <v>20</v>
      </c>
      <c r="J24" s="37" t="inlineStr">
        <is>
          <t>Active</t>
        </is>
      </c>
      <c r="K24" s="37" t="inlineStr">
        <is>
          <t>Yes</t>
        </is>
      </c>
      <c r="L24" s="28">
        <f t="array" ref="L24">TableExists(tblLookupCatalogID[[#This Row],[LookupTableName]])</f>
        <v/>
      </c>
      <c r="M24" s="28" t="n"/>
    </row>
    <row r="25">
      <c r="A25" s="37" t="inlineStr">
        <is>
          <t>LKC000024</t>
        </is>
      </c>
      <c r="B25" s="37" t="inlineStr">
        <is>
          <t>LKG000004</t>
        </is>
      </c>
      <c r="C25" s="35">
        <f>_xlfn.XLOOKUP(tblLookupCatalogID[[#This Row],[LookupGroupID]],[1]!tblLookupGroups[LookupGroupID],[1]!tblLookupGroups[GroupName],"")</f>
        <v/>
      </c>
      <c r="D25" s="37" t="inlineStr">
        <is>
          <t>tblRepairCategories</t>
        </is>
      </c>
      <c r="E25" s="37" t="inlineStr">
        <is>
          <t>Repair Categories</t>
        </is>
      </c>
      <c r="F25" s="37" t="inlineStr">
        <is>
          <t>RepairCategoryID</t>
        </is>
      </c>
      <c r="G25" s="37" t="inlineStr">
        <is>
          <t>RCT</t>
        </is>
      </c>
      <c r="H25" s="37" t="inlineStr">
        <is>
          <t>Repair classifications</t>
        </is>
      </c>
      <c r="I25" s="27" t="n">
        <v>1</v>
      </c>
      <c r="J25" s="37" t="inlineStr">
        <is>
          <t>Active</t>
        </is>
      </c>
      <c r="K25" s="37" t="inlineStr">
        <is>
          <t>Yes</t>
        </is>
      </c>
      <c r="L25" s="28">
        <f t="array" ref="L25">TableExists(tblLookupCatalogID[[#This Row],[LookupTableName]])</f>
        <v/>
      </c>
      <c r="M25" s="28" t="n"/>
    </row>
    <row r="26">
      <c r="A26" s="37" t="inlineStr">
        <is>
          <t>LKC000025</t>
        </is>
      </c>
      <c r="B26" s="37" t="inlineStr">
        <is>
          <t>LKG000004</t>
        </is>
      </c>
      <c r="C26" s="35">
        <f>_xlfn.XLOOKUP(tblLookupCatalogID[[#This Row],[LookupGroupID]],[1]!tblLookupGroups[LookupGroupID],[1]!tblLookupGroups[GroupName],"")</f>
        <v/>
      </c>
      <c r="D26" s="37" t="inlineStr">
        <is>
          <t>tblRepairTypes</t>
        </is>
      </c>
      <c r="E26" s="37" t="inlineStr">
        <is>
          <t>Repair Types</t>
        </is>
      </c>
      <c r="F26" s="37" t="inlineStr">
        <is>
          <t>RepairTypeID</t>
        </is>
      </c>
      <c r="G26" s="37" t="inlineStr">
        <is>
          <t>RTP</t>
        </is>
      </c>
      <c r="H26" s="37" t="inlineStr">
        <is>
          <t>Repair services</t>
        </is>
      </c>
      <c r="I26" s="27" t="n">
        <v>2</v>
      </c>
      <c r="J26" s="37" t="inlineStr">
        <is>
          <t>Active</t>
        </is>
      </c>
      <c r="K26" s="37" t="inlineStr">
        <is>
          <t>Yes</t>
        </is>
      </c>
      <c r="L26" s="28">
        <f t="array" ref="L26">TableExists(tblLookupCatalogID[[#This Row],[LookupTableName]])</f>
        <v/>
      </c>
      <c r="M26" s="28" t="n"/>
    </row>
    <row r="27">
      <c r="A27" s="37" t="inlineStr">
        <is>
          <t>LKC000026</t>
        </is>
      </c>
      <c r="B27" s="37" t="inlineStr">
        <is>
          <t>LKG000004</t>
        </is>
      </c>
      <c r="C27" s="35">
        <f>_xlfn.XLOOKUP(tblLookupCatalogID[[#This Row],[LookupGroupID]],[1]!tblLookupGroups[LookupGroupID],[1]!tblLookupGroups[GroupName],"")</f>
        <v/>
      </c>
      <c r="D27" s="37" t="inlineStr">
        <is>
          <t>tblRepairStatus</t>
        </is>
      </c>
      <c r="E27" s="37" t="inlineStr">
        <is>
          <t>Repair Status</t>
        </is>
      </c>
      <c r="F27" s="37" t="inlineStr">
        <is>
          <t>RepairStatusID</t>
        </is>
      </c>
      <c r="G27" s="37" t="inlineStr">
        <is>
          <t>RST</t>
        </is>
      </c>
      <c r="H27" s="37" t="inlineStr">
        <is>
          <t>Repair workflow status</t>
        </is>
      </c>
      <c r="I27" s="27" t="n">
        <v>3</v>
      </c>
      <c r="J27" s="37" t="inlineStr">
        <is>
          <t>Active</t>
        </is>
      </c>
      <c r="K27" s="37" t="inlineStr">
        <is>
          <t>Yes</t>
        </is>
      </c>
      <c r="L27" s="28">
        <f t="array" ref="L27">TableExists(tblLookupCatalogID[[#This Row],[LookupTableName]])</f>
        <v/>
      </c>
      <c r="M27" s="28" t="n"/>
    </row>
    <row r="28">
      <c r="A28" s="37" t="inlineStr">
        <is>
          <t>LKC000027</t>
        </is>
      </c>
      <c r="B28" s="37" t="inlineStr">
        <is>
          <t>LKG000004</t>
        </is>
      </c>
      <c r="C28" s="35">
        <f>_xlfn.XLOOKUP(tblLookupCatalogID[[#This Row],[LookupGroupID]],[1]!tblLookupGroups[LookupGroupID],[1]!tblLookupGroups[GroupName],"")</f>
        <v/>
      </c>
      <c r="D28" s="37" t="inlineStr">
        <is>
          <t>tblRepairPriorities</t>
        </is>
      </c>
      <c r="E28" s="37" t="inlineStr">
        <is>
          <t>Repair Priorities</t>
        </is>
      </c>
      <c r="F28" s="37" t="inlineStr">
        <is>
          <t>RepairPriorityID</t>
        </is>
      </c>
      <c r="G28" s="37" t="inlineStr">
        <is>
          <t>RPY</t>
        </is>
      </c>
      <c r="H28" s="37" t="inlineStr">
        <is>
          <t>Repair urgency</t>
        </is>
      </c>
      <c r="I28" s="27" t="n">
        <v>4</v>
      </c>
      <c r="J28" s="37" t="inlineStr">
        <is>
          <t>Active</t>
        </is>
      </c>
      <c r="K28" s="37" t="inlineStr">
        <is>
          <t>Yes</t>
        </is>
      </c>
      <c r="L28" s="28">
        <f t="array" ref="L28">TableExists(tblLookupCatalogID[[#This Row],[LookupTableName]])</f>
        <v/>
      </c>
      <c r="M28" s="28" t="n"/>
    </row>
    <row r="29">
      <c r="A29" s="37" t="inlineStr">
        <is>
          <t>LKC000028</t>
        </is>
      </c>
      <c r="B29" s="37" t="inlineStr">
        <is>
          <t>LKG000004</t>
        </is>
      </c>
      <c r="C29" s="35">
        <f>_xlfn.XLOOKUP(tblLookupCatalogID[[#This Row],[LookupGroupID]],[1]!tblLookupGroups[LookupGroupID],[1]!tblLookupGroups[GroupName],"")</f>
        <v/>
      </c>
      <c r="D29" s="37" t="inlineStr">
        <is>
          <t>tblRepairOutcomes</t>
        </is>
      </c>
      <c r="E29" s="37" t="inlineStr">
        <is>
          <t>Repair Outcomes</t>
        </is>
      </c>
      <c r="F29" s="37" t="inlineStr">
        <is>
          <t>RepairOutcomeID</t>
        </is>
      </c>
      <c r="G29" s="37" t="inlineStr">
        <is>
          <t>ROT</t>
        </is>
      </c>
      <c r="H29" s="37" t="inlineStr">
        <is>
          <t>Final repair results</t>
        </is>
      </c>
      <c r="I29" s="27" t="n">
        <v>5</v>
      </c>
      <c r="J29" s="37" t="inlineStr">
        <is>
          <t>Active</t>
        </is>
      </c>
      <c r="K29" s="37" t="inlineStr">
        <is>
          <t>Yes</t>
        </is>
      </c>
      <c r="L29" s="28">
        <f t="array" ref="L29">TableExists(tblLookupCatalogID[[#This Row],[LookupTableName]])</f>
        <v/>
      </c>
      <c r="M29" s="28" t="n"/>
    </row>
    <row r="30">
      <c r="A30" s="37" t="inlineStr">
        <is>
          <t>LKC000029</t>
        </is>
      </c>
      <c r="B30" s="37" t="inlineStr">
        <is>
          <t>LKG000004</t>
        </is>
      </c>
      <c r="C30" s="35">
        <f>_xlfn.XLOOKUP(tblLookupCatalogID[[#This Row],[LookupGroupID]],[1]!tblLookupGroups[LookupGroupID],[1]!tblLookupGroups[GroupName],"")</f>
        <v/>
      </c>
      <c r="D30" s="37" t="inlineStr">
        <is>
          <t>tblRepairComplexities</t>
        </is>
      </c>
      <c r="E30" s="37" t="inlineStr">
        <is>
          <t>RepairComplexityID</t>
        </is>
      </c>
      <c r="F30" s="37" t="inlineStr">
        <is>
          <t>RepairComplexityID</t>
        </is>
      </c>
      <c r="G30" s="37" t="inlineStr">
        <is>
          <t>RCM</t>
        </is>
      </c>
      <c r="H30" s="37" t="inlineStr">
        <is>
          <t>Repair difficulty levels</t>
        </is>
      </c>
      <c r="I30" s="27" t="n">
        <v>6</v>
      </c>
      <c r="J30" s="37" t="inlineStr">
        <is>
          <t>Active</t>
        </is>
      </c>
      <c r="K30" s="37" t="inlineStr">
        <is>
          <t>Yes</t>
        </is>
      </c>
      <c r="L30" s="28">
        <f t="array" ref="L30">TableExists(tblLookupCatalogID[[#This Row],[LookupTableName]])</f>
        <v/>
      </c>
      <c r="M30" s="28" t="n"/>
    </row>
    <row r="31">
      <c r="A31" s="37" t="inlineStr">
        <is>
          <t>LKC000030</t>
        </is>
      </c>
      <c r="B31" s="37" t="inlineStr">
        <is>
          <t>LKG000004</t>
        </is>
      </c>
      <c r="C31" s="35">
        <f>_xlfn.XLOOKUP(tblLookupCatalogID[[#This Row],[LookupGroupID]],[1]!tblLookupGroups[LookupGroupID],[1]!tblLookupGroups[GroupName],"")</f>
        <v/>
      </c>
      <c r="D31" s="37" t="inlineStr">
        <is>
          <t>tblDiagnosticTypes</t>
        </is>
      </c>
      <c r="E31" s="37" t="inlineStr">
        <is>
          <t>Diagnostic Types</t>
        </is>
      </c>
      <c r="F31" s="37" t="inlineStr">
        <is>
          <t>DiagnosticTypeID</t>
        </is>
      </c>
      <c r="G31" s="37" t="inlineStr">
        <is>
          <t>DGT</t>
        </is>
      </c>
      <c r="H31" s="37" t="inlineStr">
        <is>
          <t>Diagnostic categories</t>
        </is>
      </c>
      <c r="I31" s="27" t="n">
        <v>7</v>
      </c>
      <c r="J31" s="37" t="inlineStr">
        <is>
          <t>Active</t>
        </is>
      </c>
      <c r="K31" s="37" t="inlineStr">
        <is>
          <t>Yes</t>
        </is>
      </c>
      <c r="L31" s="28">
        <f t="array" ref="L31">TableExists(tblLookupCatalogID[[#This Row],[LookupTableName]])</f>
        <v/>
      </c>
      <c r="M31" s="28" t="n"/>
    </row>
    <row r="32">
      <c r="A32" s="37" t="inlineStr">
        <is>
          <t>LKC000031</t>
        </is>
      </c>
      <c r="B32" s="37" t="inlineStr">
        <is>
          <t>LKG000004</t>
        </is>
      </c>
      <c r="C32" s="35">
        <f>_xlfn.XLOOKUP(tblLookupCatalogID[[#This Row],[LookupGroupID]],[1]!tblLookupGroups[LookupGroupID],[1]!tblLookupGroups[GroupName],"")</f>
        <v/>
      </c>
      <c r="D32" s="37" t="inlineStr">
        <is>
          <t>tblDiagnosticResults</t>
        </is>
      </c>
      <c r="E32" s="37" t="inlineStr">
        <is>
          <t>Diagnostic Results</t>
        </is>
      </c>
      <c r="F32" s="37" t="inlineStr">
        <is>
          <t>DiagnosticResultID</t>
        </is>
      </c>
      <c r="G32" s="37" t="inlineStr">
        <is>
          <t>DGN</t>
        </is>
      </c>
      <c r="H32" s="37" t="inlineStr">
        <is>
          <t>Diagnostic outcomes</t>
        </is>
      </c>
      <c r="I32" s="27" t="n">
        <v>8</v>
      </c>
      <c r="J32" s="37" t="inlineStr">
        <is>
          <t>Active</t>
        </is>
      </c>
      <c r="K32" s="37" t="inlineStr">
        <is>
          <t>Yes</t>
        </is>
      </c>
      <c r="L32" s="28">
        <f t="array" ref="L32">TableExists(tblLookupCatalogID[[#This Row],[LookupTableName]])</f>
        <v/>
      </c>
      <c r="M32" s="28" t="n"/>
    </row>
    <row r="33">
      <c r="A33" s="37" t="inlineStr">
        <is>
          <t>LKC000032</t>
        </is>
      </c>
      <c r="B33" s="37" t="inlineStr">
        <is>
          <t>LKG000004</t>
        </is>
      </c>
      <c r="C33" s="35">
        <f>_xlfn.XLOOKUP(tblLookupCatalogID[[#This Row],[LookupGroupID]],[1]!tblLookupGroups[LookupGroupID],[1]!tblLookupGroups[GroupName],"")</f>
        <v/>
      </c>
      <c r="D33" s="37" t="inlineStr">
        <is>
          <t>tblNoteTypes</t>
        </is>
      </c>
      <c r="E33" s="37" t="inlineStr">
        <is>
          <t>Note Types</t>
        </is>
      </c>
      <c r="F33" s="37" t="inlineStr">
        <is>
          <t>NoteTypeID</t>
        </is>
      </c>
      <c r="G33" s="37" t="inlineStr">
        <is>
          <t>NTE</t>
        </is>
      </c>
      <c r="H33" s="37" t="inlineStr">
        <is>
          <t>Repair note categories</t>
        </is>
      </c>
      <c r="I33" s="27" t="n">
        <v>9</v>
      </c>
      <c r="J33" s="37" t="inlineStr">
        <is>
          <t>Active</t>
        </is>
      </c>
      <c r="K33" s="37" t="inlineStr">
        <is>
          <t>Yes</t>
        </is>
      </c>
      <c r="L33" s="28">
        <f t="array" ref="L33">TableExists(tblLookupCatalogID[[#This Row],[LookupTableName]])</f>
        <v/>
      </c>
      <c r="M33" s="28" t="n"/>
    </row>
    <row r="34">
      <c r="A34" s="37" t="inlineStr">
        <is>
          <t>LKC000033</t>
        </is>
      </c>
      <c r="B34" s="37" t="inlineStr">
        <is>
          <t>LKG000004</t>
        </is>
      </c>
      <c r="C34" s="35">
        <f>_xlfn.XLOOKUP(tblLookupCatalogID[[#This Row],[LookupGroupID]],[1]!tblLookupGroups[LookupGroupID],[1]!tblLookupGroups[GroupName],"")</f>
        <v/>
      </c>
      <c r="D34" s="37" t="inlineStr">
        <is>
          <t>tblNoteVisibility</t>
        </is>
      </c>
      <c r="E34" s="37" t="inlineStr">
        <is>
          <t>Note Visibility</t>
        </is>
      </c>
      <c r="F34" s="37" t="inlineStr">
        <is>
          <t>NoteVisibilityID</t>
        </is>
      </c>
      <c r="G34" s="37" t="inlineStr">
        <is>
          <t>NVS</t>
        </is>
      </c>
      <c r="H34" s="37" t="inlineStr">
        <is>
          <t>Internal or customer visibility</t>
        </is>
      </c>
      <c r="I34" s="27" t="n">
        <v>10</v>
      </c>
      <c r="J34" s="37" t="inlineStr">
        <is>
          <t>Active</t>
        </is>
      </c>
      <c r="K34" s="37" t="inlineStr">
        <is>
          <t>Yes</t>
        </is>
      </c>
      <c r="L34" s="28">
        <f t="array" ref="L34">TableExists(tblLookupCatalogID[[#This Row],[LookupTableName]])</f>
        <v/>
      </c>
      <c r="M34" s="28" t="n"/>
    </row>
    <row r="35">
      <c r="A35" s="37" t="inlineStr">
        <is>
          <t>LKC000034</t>
        </is>
      </c>
      <c r="B35" s="37" t="inlineStr">
        <is>
          <t>LKG000004</t>
        </is>
      </c>
      <c r="C35" s="35">
        <f>_xlfn.XLOOKUP(tblLookupCatalogID[[#This Row],[LookupGroupID]],[1]!tblLookupGroups[LookupGroupID],[1]!tblLookupGroups[GroupName],"")</f>
        <v/>
      </c>
      <c r="D35" s="37" t="inlineStr">
        <is>
          <t>tblQCStatus</t>
        </is>
      </c>
      <c r="E35" s="37" t="inlineStr">
        <is>
          <t>QC Status</t>
        </is>
      </c>
      <c r="F35" s="37" t="inlineStr">
        <is>
          <t>QCStatusID</t>
        </is>
      </c>
      <c r="G35" s="37" t="inlineStr">
        <is>
          <t>QCS</t>
        </is>
      </c>
      <c r="H35" s="37" t="inlineStr">
        <is>
          <t>Quality control results</t>
        </is>
      </c>
      <c r="I35" s="27" t="n">
        <v>11</v>
      </c>
      <c r="J35" s="37" t="inlineStr">
        <is>
          <t>Active</t>
        </is>
      </c>
      <c r="K35" s="37" t="inlineStr">
        <is>
          <t>Yes</t>
        </is>
      </c>
      <c r="L35" s="28">
        <f t="array" ref="L35">TableExists(tblLookupCatalogID[[#This Row],[LookupTableName]])</f>
        <v/>
      </c>
      <c r="M35" s="28" t="n"/>
    </row>
    <row r="36">
      <c r="A36" s="37" t="inlineStr">
        <is>
          <t>LKC000035</t>
        </is>
      </c>
      <c r="B36" s="37" t="inlineStr">
        <is>
          <t>LKG000004</t>
        </is>
      </c>
      <c r="C36" s="35">
        <f>_xlfn.XLOOKUP(tblLookupCatalogID[[#This Row],[LookupGroupID]],[1]!tblLookupGroups[LookupGroupID],[1]!tblLookupGroups[GroupName],"")</f>
        <v/>
      </c>
      <c r="D36" s="37" t="inlineStr">
        <is>
          <t>tblTestResults</t>
        </is>
      </c>
      <c r="E36" s="37" t="inlineStr">
        <is>
          <t>Test Results</t>
        </is>
      </c>
      <c r="F36" s="37" t="inlineStr">
        <is>
          <t>TestResultID</t>
        </is>
      </c>
      <c r="G36" s="37" t="inlineStr">
        <is>
          <t>TST</t>
        </is>
      </c>
      <c r="H36" s="37" t="inlineStr">
        <is>
          <t>Test pass/fail results</t>
        </is>
      </c>
      <c r="I36" s="27" t="n">
        <v>12</v>
      </c>
      <c r="J36" s="37" t="inlineStr">
        <is>
          <t>Active</t>
        </is>
      </c>
      <c r="K36" s="37" t="inlineStr">
        <is>
          <t>Yes</t>
        </is>
      </c>
      <c r="L36" s="28">
        <f t="array" ref="L36">TableExists(tblLookupCatalogID[[#This Row],[LookupTableName]])</f>
        <v/>
      </c>
      <c r="M36" s="28" t="n"/>
    </row>
    <row r="37">
      <c r="A37" s="37" t="inlineStr">
        <is>
          <t>LKC000036</t>
        </is>
      </c>
      <c r="B37" s="37" t="inlineStr">
        <is>
          <t>LKG000005</t>
        </is>
      </c>
      <c r="C37" s="35">
        <f>_xlfn.XLOOKUP(tblLookupCatalogID[[#This Row],[LookupGroupID]],[1]!tblLookupGroups[LookupGroupID],[1]!tblLookupGroups[GroupName],"")</f>
        <v/>
      </c>
      <c r="D37" s="37" t="inlineStr">
        <is>
          <t>tblServiceCategories</t>
        </is>
      </c>
      <c r="E37" s="37" t="inlineStr">
        <is>
          <t>Service Categories</t>
        </is>
      </c>
      <c r="F37" s="37" t="inlineStr">
        <is>
          <t>ServiceCategoryID</t>
        </is>
      </c>
      <c r="G37" s="37" t="inlineStr">
        <is>
          <t>SVC</t>
        </is>
      </c>
      <c r="H37" s="37" t="inlineStr">
        <is>
          <t>Service groupings</t>
        </is>
      </c>
      <c r="I37" s="27" t="n">
        <v>1</v>
      </c>
      <c r="J37" s="37" t="inlineStr">
        <is>
          <t>Active</t>
        </is>
      </c>
      <c r="K37" s="37" t="inlineStr">
        <is>
          <t>Yes</t>
        </is>
      </c>
      <c r="L37" s="28">
        <f t="array" ref="L37">TableExists(tblLookupCatalogID[[#This Row],[LookupTableName]])</f>
        <v/>
      </c>
      <c r="M37" s="28" t="n"/>
    </row>
    <row r="38">
      <c r="A38" s="37" t="inlineStr">
        <is>
          <t>LKC000037</t>
        </is>
      </c>
      <c r="B38" s="37" t="inlineStr">
        <is>
          <t>LKG000006</t>
        </is>
      </c>
      <c r="C38" s="35">
        <f>_xlfn.XLOOKUP(tblLookupCatalogID[[#This Row],[LookupGroupID]],[1]!tblLookupGroups[LookupGroupID],[1]!tblLookupGroups[GroupName],"")</f>
        <v/>
      </c>
      <c r="D38" s="37" t="inlineStr">
        <is>
          <t>tblPaymentMethods</t>
        </is>
      </c>
      <c r="E38" s="37" t="inlineStr">
        <is>
          <t>Payment Methods</t>
        </is>
      </c>
      <c r="F38" s="37" t="inlineStr">
        <is>
          <t>PaymentMethodID</t>
        </is>
      </c>
      <c r="G38" s="37" t="inlineStr">
        <is>
          <t>PAY</t>
        </is>
      </c>
      <c r="H38" s="37" t="inlineStr">
        <is>
          <t>Accepted payment methods</t>
        </is>
      </c>
      <c r="I38" s="27" t="n">
        <v>1</v>
      </c>
      <c r="J38" s="37" t="inlineStr">
        <is>
          <t>Active</t>
        </is>
      </c>
      <c r="K38" s="37" t="inlineStr">
        <is>
          <t>Yes</t>
        </is>
      </c>
      <c r="L38" s="28">
        <f t="array" ref="L38">TableExists(tblLookupCatalogID[[#This Row],[LookupTableName]])</f>
        <v/>
      </c>
      <c r="M38" s="28" t="n"/>
    </row>
    <row r="39">
      <c r="A39" s="37" t="inlineStr">
        <is>
          <t>LKC000038</t>
        </is>
      </c>
      <c r="B39" s="37" t="inlineStr">
        <is>
          <t>LKG000006</t>
        </is>
      </c>
      <c r="C39" s="35">
        <f>_xlfn.XLOOKUP(tblLookupCatalogID[[#This Row],[LookupGroupID]],[1]!tblLookupGroups[LookupGroupID],[1]!tblLookupGroups[GroupName],"")</f>
        <v/>
      </c>
      <c r="D39" s="37" t="inlineStr">
        <is>
          <t>tblPaymentStatus</t>
        </is>
      </c>
      <c r="E39" s="37" t="inlineStr">
        <is>
          <t>Payment Status</t>
        </is>
      </c>
      <c r="F39" s="37" t="inlineStr">
        <is>
          <t>PaymentStatusID</t>
        </is>
      </c>
      <c r="G39" s="37" t="inlineStr">
        <is>
          <t>PYS</t>
        </is>
      </c>
      <c r="H39" s="37" t="inlineStr">
        <is>
          <t>Payment workflow</t>
        </is>
      </c>
      <c r="I39" s="27" t="n">
        <v>2</v>
      </c>
      <c r="J39" s="37" t="inlineStr">
        <is>
          <t>Active</t>
        </is>
      </c>
      <c r="K39" s="37" t="inlineStr">
        <is>
          <t>Yes</t>
        </is>
      </c>
      <c r="L39" s="28">
        <f t="array" ref="L39">TableExists(tblLookupCatalogID[[#This Row],[LookupTableName]])</f>
        <v/>
      </c>
      <c r="M39" s="28" t="n"/>
    </row>
    <row r="40">
      <c r="A40" s="37" t="inlineStr">
        <is>
          <t>LKC000039</t>
        </is>
      </c>
      <c r="B40" s="37" t="inlineStr">
        <is>
          <t>LKG000006</t>
        </is>
      </c>
      <c r="C40" s="35">
        <f>_xlfn.XLOOKUP(tblLookupCatalogID[[#This Row],[LookupGroupID]],[1]!tblLookupGroups[LookupGroupID],[1]!tblLookupGroups[GroupName],"")</f>
        <v/>
      </c>
      <c r="D40" s="37" t="inlineStr">
        <is>
          <t>tblInvoiceStatus</t>
        </is>
      </c>
      <c r="E40" s="37" t="inlineStr">
        <is>
          <t>Invoice Status</t>
        </is>
      </c>
      <c r="F40" s="37" t="inlineStr">
        <is>
          <t>InvoiceStatusID</t>
        </is>
      </c>
      <c r="G40" s="37" t="inlineStr">
        <is>
          <t>INVS</t>
        </is>
      </c>
      <c r="H40" s="37" t="inlineStr">
        <is>
          <t>Invoice lifecycle</t>
        </is>
      </c>
      <c r="I40" s="27" t="n">
        <v>3</v>
      </c>
      <c r="J40" s="37" t="inlineStr">
        <is>
          <t>Active</t>
        </is>
      </c>
      <c r="K40" s="37" t="inlineStr">
        <is>
          <t>Yes</t>
        </is>
      </c>
      <c r="L40" s="28">
        <f t="array" ref="L40">TableExists(tblLookupCatalogID[[#This Row],[LookupTableName]])</f>
        <v/>
      </c>
      <c r="M40" s="28" t="n"/>
    </row>
    <row r="41">
      <c r="A41" s="37" t="inlineStr">
        <is>
          <t>LKC000040</t>
        </is>
      </c>
      <c r="B41" s="37" t="inlineStr">
        <is>
          <t>LKG000006</t>
        </is>
      </c>
      <c r="C41" s="35">
        <f>_xlfn.XLOOKUP(tblLookupCatalogID[[#This Row],[LookupGroupID]],[1]!tblLookupGroups[LookupGroupID],[1]!tblLookupGroups[GroupName],"")</f>
        <v/>
      </c>
      <c r="D41" s="37" t="inlineStr">
        <is>
          <t>tblEstimateStatus</t>
        </is>
      </c>
      <c r="E41" s="37" t="inlineStr">
        <is>
          <t>Estimate Status</t>
        </is>
      </c>
      <c r="F41" s="37" t="inlineStr">
        <is>
          <t>EstimateStatusID</t>
        </is>
      </c>
      <c r="G41" s="37" t="inlineStr">
        <is>
          <t>EST</t>
        </is>
      </c>
      <c r="H41" s="37" t="inlineStr">
        <is>
          <t>Estimate workflow</t>
        </is>
      </c>
      <c r="I41" s="27" t="n">
        <v>4</v>
      </c>
      <c r="J41" s="37" t="inlineStr">
        <is>
          <t>Active</t>
        </is>
      </c>
      <c r="K41" s="37" t="inlineStr">
        <is>
          <t>Yes</t>
        </is>
      </c>
      <c r="L41" s="28">
        <f t="array" ref="L41">TableExists(tblLookupCatalogID[[#This Row],[LookupTableName]])</f>
        <v/>
      </c>
      <c r="M41" s="28" t="n"/>
    </row>
    <row r="42">
      <c r="A42" s="37" t="inlineStr">
        <is>
          <t>LKC000041</t>
        </is>
      </c>
      <c r="B42" s="37" t="inlineStr">
        <is>
          <t>LKG000006</t>
        </is>
      </c>
      <c r="C42" s="35">
        <f>_xlfn.XLOOKUP(tblLookupCatalogID[[#This Row],[LookupGroupID]],[1]!tblLookupGroups[LookupGroupID],[1]!tblLookupGroups[GroupName],"")</f>
        <v/>
      </c>
      <c r="D42" s="37" t="inlineStr">
        <is>
          <t>tblTaxCategories</t>
        </is>
      </c>
      <c r="E42" s="37" t="inlineStr">
        <is>
          <t>Tax Categories</t>
        </is>
      </c>
      <c r="F42" s="37" t="inlineStr">
        <is>
          <t>TaxCategoryID</t>
        </is>
      </c>
      <c r="G42" s="37" t="inlineStr">
        <is>
          <t>TAX</t>
        </is>
      </c>
      <c r="H42" s="37" t="inlineStr">
        <is>
          <t>Tax rules</t>
        </is>
      </c>
      <c r="I42" s="27" t="n">
        <v>5</v>
      </c>
      <c r="J42" s="37" t="inlineStr">
        <is>
          <t>Active</t>
        </is>
      </c>
      <c r="K42" s="37" t="inlineStr">
        <is>
          <t>Yes</t>
        </is>
      </c>
      <c r="L42" s="28">
        <f t="array" ref="L42">TableExists(tblLookupCatalogID[[#This Row],[LookupTableName]])</f>
        <v/>
      </c>
      <c r="M42" s="28" t="n"/>
    </row>
    <row r="43">
      <c r="A43" s="37" t="inlineStr">
        <is>
          <t>LKC000042</t>
        </is>
      </c>
      <c r="B43" s="37" t="inlineStr">
        <is>
          <t>LKG000006</t>
        </is>
      </c>
      <c r="C43" s="35">
        <f>_xlfn.XLOOKUP(tblLookupCatalogID[[#This Row],[LookupGroupID]],[1]!tblLookupGroups[LookupGroupID],[1]!tblLookupGroups[GroupName],"")</f>
        <v/>
      </c>
      <c r="D43" s="37" t="inlineStr">
        <is>
          <t>tblWarrantyTypes</t>
        </is>
      </c>
      <c r="E43" s="37" t="inlineStr">
        <is>
          <t>Warranty Types</t>
        </is>
      </c>
      <c r="F43" s="37" t="inlineStr">
        <is>
          <t>WarrantyTypeID</t>
        </is>
      </c>
      <c r="G43" s="37" t="inlineStr">
        <is>
          <t>WAR</t>
        </is>
      </c>
      <c r="H43" s="37" t="inlineStr">
        <is>
          <t>Warranty options</t>
        </is>
      </c>
      <c r="I43" s="27" t="n">
        <v>6</v>
      </c>
      <c r="J43" s="37" t="inlineStr">
        <is>
          <t>Active</t>
        </is>
      </c>
      <c r="K43" s="37" t="inlineStr">
        <is>
          <t>Yes</t>
        </is>
      </c>
      <c r="L43" s="28">
        <f t="array" ref="L43">TableExists(tblLookupCatalogID[[#This Row],[LookupTableName]])</f>
        <v/>
      </c>
      <c r="M43" s="28" t="n"/>
    </row>
    <row r="44">
      <c r="A44" s="37" t="inlineStr">
        <is>
          <t>LKC000043</t>
        </is>
      </c>
      <c r="B44" s="37" t="inlineStr">
        <is>
          <t>LKG000006</t>
        </is>
      </c>
      <c r="C44" s="35">
        <f>_xlfn.XLOOKUP(tblLookupCatalogID[[#This Row],[LookupGroupID]],[1]!tblLookupGroups[LookupGroupID],[1]!tblLookupGroups[GroupName],"")</f>
        <v/>
      </c>
      <c r="D44" s="37" t="inlineStr">
        <is>
          <t>tblShippingMethods</t>
        </is>
      </c>
      <c r="E44" s="37" t="inlineStr">
        <is>
          <t>Shipping Methods</t>
        </is>
      </c>
      <c r="F44" s="37" t="inlineStr">
        <is>
          <t>ShippingMethodID</t>
        </is>
      </c>
      <c r="G44" s="37" t="inlineStr">
        <is>
          <t>SHP</t>
        </is>
      </c>
      <c r="H44" s="37" t="inlineStr">
        <is>
          <t>Shipping methods</t>
        </is>
      </c>
      <c r="I44" s="27" t="n">
        <v>7</v>
      </c>
      <c r="J44" s="37" t="inlineStr">
        <is>
          <t>Active</t>
        </is>
      </c>
      <c r="K44" s="37" t="inlineStr">
        <is>
          <t>Yes</t>
        </is>
      </c>
      <c r="L44" s="28">
        <f t="array" ref="L44">TableExists(tblLookupCatalogID[[#This Row],[LookupTableName]])</f>
        <v/>
      </c>
      <c r="M44" s="28" t="n"/>
    </row>
    <row r="45">
      <c r="A45" s="37" t="inlineStr">
        <is>
          <t>LKC000044</t>
        </is>
      </c>
      <c r="B45" s="37" t="inlineStr">
        <is>
          <t>LKG000006</t>
        </is>
      </c>
      <c r="C45" s="35">
        <f>_xlfn.XLOOKUP(tblLookupCatalogID[[#This Row],[LookupGroupID]],[1]!tblLookupGroups[LookupGroupID],[1]!tblLookupGroups[GroupName],"")</f>
        <v/>
      </c>
      <c r="D45" s="37" t="inlineStr">
        <is>
          <t>tblShippingStatus</t>
        </is>
      </c>
      <c r="E45" s="37" t="inlineStr">
        <is>
          <t>Shipping Status</t>
        </is>
      </c>
      <c r="F45" s="37" t="inlineStr">
        <is>
          <t>ShippingStatusID</t>
        </is>
      </c>
      <c r="G45" s="37" t="inlineStr">
        <is>
          <t>SHS</t>
        </is>
      </c>
      <c r="H45" s="37" t="inlineStr">
        <is>
          <t>Shipment workflow</t>
        </is>
      </c>
      <c r="I45" s="27" t="n">
        <v>8</v>
      </c>
      <c r="J45" s="37" t="inlineStr">
        <is>
          <t>Active</t>
        </is>
      </c>
      <c r="K45" s="37" t="inlineStr">
        <is>
          <t>Yes</t>
        </is>
      </c>
      <c r="L45" s="28">
        <f t="array" ref="L45">TableExists(tblLookupCatalogID[[#This Row],[LookupTableName]])</f>
        <v/>
      </c>
      <c r="M45" s="28" t="n"/>
    </row>
    <row r="46">
      <c r="A46" s="37" t="inlineStr">
        <is>
          <t>LKC000045</t>
        </is>
      </c>
      <c r="B46" s="37" t="inlineStr">
        <is>
          <t>LKG000007</t>
        </is>
      </c>
      <c r="C46" s="35">
        <f>_xlfn.XLOOKUP(tblLookupCatalogID[[#This Row],[LookupGroupID]],[1]!tblLookupGroups[LookupGroupID],[1]!tblLookupGroups[GroupName],"")</f>
        <v/>
      </c>
      <c r="D46" s="37" t="inlineStr">
        <is>
          <t>tblPartCategories</t>
        </is>
      </c>
      <c r="E46" s="37" t="inlineStr">
        <is>
          <t>Part Categories</t>
        </is>
      </c>
      <c r="F46" s="37" t="inlineStr">
        <is>
          <t>PartCategoryID</t>
        </is>
      </c>
      <c r="G46" s="37" t="inlineStr">
        <is>
          <t>PCT</t>
        </is>
      </c>
      <c r="H46" s="37" t="inlineStr">
        <is>
          <t>Part classifications</t>
        </is>
      </c>
      <c r="I46" s="27" t="n">
        <v>1</v>
      </c>
      <c r="J46" s="37" t="inlineStr">
        <is>
          <t>Active</t>
        </is>
      </c>
      <c r="K46" s="37" t="inlineStr">
        <is>
          <t>Yes</t>
        </is>
      </c>
      <c r="L46" s="28">
        <f t="array" ref="L46">TableExists(tblLookupCatalogID[[#This Row],[LookupTableName]])</f>
        <v/>
      </c>
      <c r="M46" s="28" t="n"/>
    </row>
    <row r="47">
      <c r="A47" s="37" t="inlineStr">
        <is>
          <t>LKC000046</t>
        </is>
      </c>
      <c r="B47" s="37" t="inlineStr">
        <is>
          <t>LKG000007</t>
        </is>
      </c>
      <c r="C47" s="35">
        <f>_xlfn.XLOOKUP(tblLookupCatalogID[[#This Row],[LookupGroupID]],[1]!tblLookupGroups[LookupGroupID],[1]!tblLookupGroups[GroupName],"")</f>
        <v/>
      </c>
      <c r="D47" s="37" t="inlineStr">
        <is>
          <t>tblPartTypes</t>
        </is>
      </c>
      <c r="E47" s="37" t="inlineStr">
        <is>
          <t>Part Types</t>
        </is>
      </c>
      <c r="F47" s="37" t="inlineStr">
        <is>
          <t>PartTypeID</t>
        </is>
      </c>
      <c r="G47" s="37" t="inlineStr">
        <is>
          <t>PTY</t>
        </is>
      </c>
      <c r="H47" s="37" t="inlineStr">
        <is>
          <t>Types of parts</t>
        </is>
      </c>
      <c r="I47" s="27" t="n">
        <v>2</v>
      </c>
      <c r="J47" s="37" t="inlineStr">
        <is>
          <t>Active</t>
        </is>
      </c>
      <c r="K47" s="37" t="inlineStr">
        <is>
          <t>Yes</t>
        </is>
      </c>
      <c r="L47" s="28">
        <f t="array" ref="L47">TableExists(tblLookupCatalogID[[#This Row],[LookupTableName]])</f>
        <v/>
      </c>
      <c r="M47" s="28" t="n"/>
    </row>
    <row r="48">
      <c r="A48" s="37" t="inlineStr">
        <is>
          <t>LKC000047</t>
        </is>
      </c>
      <c r="B48" s="37" t="inlineStr">
        <is>
          <t>LKG000007</t>
        </is>
      </c>
      <c r="C48" s="35">
        <f>_xlfn.XLOOKUP(tblLookupCatalogID[[#This Row],[LookupGroupID]],[1]!tblLookupGroups[LookupGroupID],[1]!tblLookupGroups[GroupName],"")</f>
        <v/>
      </c>
      <c r="D48" s="37" t="inlineStr">
        <is>
          <t>tblPartConditions</t>
        </is>
      </c>
      <c r="E48" s="37" t="inlineStr">
        <is>
          <t>Part Conditions</t>
        </is>
      </c>
      <c r="F48" s="37" t="inlineStr">
        <is>
          <t>PartConditionID</t>
        </is>
      </c>
      <c r="G48" s="37" t="inlineStr">
        <is>
          <t>PCN</t>
        </is>
      </c>
      <c r="H48" s="37" t="inlineStr">
        <is>
          <t>New, used, refurbished</t>
        </is>
      </c>
      <c r="I48" s="27" t="n">
        <v>3</v>
      </c>
      <c r="J48" s="37" t="inlineStr">
        <is>
          <t>Active</t>
        </is>
      </c>
      <c r="K48" s="37" t="inlineStr">
        <is>
          <t>Yes</t>
        </is>
      </c>
      <c r="L48" s="28">
        <f t="array" ref="L48">TableExists(tblLookupCatalogID[[#This Row],[LookupTableName]])</f>
        <v/>
      </c>
      <c r="M48" s="28" t="n"/>
    </row>
    <row r="49">
      <c r="A49" s="37" t="inlineStr">
        <is>
          <t>LKC000048</t>
        </is>
      </c>
      <c r="B49" s="37" t="inlineStr">
        <is>
          <t>LKG000007</t>
        </is>
      </c>
      <c r="C49" s="35">
        <f>_xlfn.XLOOKUP(tblLookupCatalogID[[#This Row],[LookupGroupID]],[1]!tblLookupGroups[LookupGroupID],[1]!tblLookupGroups[GroupName],"")</f>
        <v/>
      </c>
      <c r="D49" s="37" t="inlineStr">
        <is>
          <t>tblPartManufacturers</t>
        </is>
      </c>
      <c r="E49" s="37" t="inlineStr">
        <is>
          <t>Part Manufacturers</t>
        </is>
      </c>
      <c r="F49" s="37" t="inlineStr">
        <is>
          <t>PartManufacturerID</t>
        </is>
      </c>
      <c r="G49" s="37" t="inlineStr">
        <is>
          <t>PMF</t>
        </is>
      </c>
      <c r="H49" s="37" t="inlineStr">
        <is>
          <t>Component manufacturers</t>
        </is>
      </c>
      <c r="I49" s="27" t="n">
        <v>4</v>
      </c>
      <c r="J49" s="37" t="inlineStr">
        <is>
          <t>Active</t>
        </is>
      </c>
      <c r="K49" s="37" t="inlineStr">
        <is>
          <t>No</t>
        </is>
      </c>
      <c r="L49" s="28">
        <f t="array" ref="L49">TableExists(tblLookupCatalogID[[#This Row],[LookupTableName]])</f>
        <v/>
      </c>
      <c r="M49" s="28" t="n"/>
    </row>
    <row r="50">
      <c r="A50" s="37" t="inlineStr">
        <is>
          <t>LKC000049</t>
        </is>
      </c>
      <c r="B50" s="37" t="inlineStr">
        <is>
          <t>LKG000007</t>
        </is>
      </c>
      <c r="C50" s="35">
        <f>_xlfn.XLOOKUP(tblLookupCatalogID[[#This Row],[LookupGroupID]],[1]!tblLookupGroups[LookupGroupID],[1]!tblLookupGroups[GroupName],"")</f>
        <v/>
      </c>
      <c r="D50" s="37" t="inlineStr">
        <is>
          <t>tblPartSuppliers</t>
        </is>
      </c>
      <c r="E50" s="37" t="inlineStr">
        <is>
          <t>Part Suppliers</t>
        </is>
      </c>
      <c r="F50" s="37" t="inlineStr">
        <is>
          <t>PartSupplierID</t>
        </is>
      </c>
      <c r="G50" s="37" t="inlineStr">
        <is>
          <t>PSL</t>
        </is>
      </c>
      <c r="H50" s="37" t="inlineStr">
        <is>
          <t>Vendors supplying parts</t>
        </is>
      </c>
      <c r="I50" s="27" t="n">
        <v>5</v>
      </c>
      <c r="J50" s="37" t="inlineStr">
        <is>
          <t>Active</t>
        </is>
      </c>
      <c r="K50" s="37" t="inlineStr">
        <is>
          <t>No</t>
        </is>
      </c>
      <c r="L50" s="28">
        <f t="array" ref="L50">TableExists(tblLookupCatalogID[[#This Row],[LookupTableName]])</f>
        <v/>
      </c>
      <c r="M50" s="28" t="n"/>
    </row>
    <row r="51">
      <c r="A51" s="37" t="inlineStr">
        <is>
          <t>LKC000050</t>
        </is>
      </c>
      <c r="B51" s="37" t="inlineStr">
        <is>
          <t>LKG000007</t>
        </is>
      </c>
      <c r="C51" s="35">
        <f>_xlfn.XLOOKUP(tblLookupCatalogID[[#This Row],[LookupGroupID]],[1]!tblLookupGroups[LookupGroupID],[1]!tblLookupGroups[GroupName],"")</f>
        <v/>
      </c>
      <c r="D51" s="37" t="inlineStr">
        <is>
          <t>tblInventoryStatus</t>
        </is>
      </c>
      <c r="E51" s="37" t="inlineStr">
        <is>
          <t>Inventory Status</t>
        </is>
      </c>
      <c r="F51" s="37" t="inlineStr">
        <is>
          <t>InventoryStatusID</t>
        </is>
      </c>
      <c r="G51" s="37" t="inlineStr">
        <is>
          <t>IST</t>
        </is>
      </c>
      <c r="H51" s="37" t="inlineStr">
        <is>
          <t>Inventory state</t>
        </is>
      </c>
      <c r="I51" s="27" t="n">
        <v>6</v>
      </c>
      <c r="J51" s="37" t="inlineStr">
        <is>
          <t>Active</t>
        </is>
      </c>
      <c r="K51" s="37" t="inlineStr">
        <is>
          <t>Yes</t>
        </is>
      </c>
      <c r="L51" s="28">
        <f t="array" ref="L51">TableExists(tblLookupCatalogID[[#This Row],[LookupTableName]])</f>
        <v/>
      </c>
      <c r="M51" s="28" t="n"/>
    </row>
    <row r="52">
      <c r="A52" s="37" t="inlineStr">
        <is>
          <t>LKC000051</t>
        </is>
      </c>
      <c r="B52" s="37" t="inlineStr">
        <is>
          <t>LKG000007</t>
        </is>
      </c>
      <c r="C52" s="35">
        <f>_xlfn.XLOOKUP(tblLookupCatalogID[[#This Row],[LookupGroupID]],[1]!tblLookupGroups[LookupGroupID],[1]!tblLookupGroups[GroupName],"")</f>
        <v/>
      </c>
      <c r="D52" s="37" t="inlineStr">
        <is>
          <t>tblInventoryLocations</t>
        </is>
      </c>
      <c r="E52" s="37" t="inlineStr">
        <is>
          <t>Inventory Locations</t>
        </is>
      </c>
      <c r="F52" s="37" t="inlineStr">
        <is>
          <t>InventoryLocationID</t>
        </is>
      </c>
      <c r="G52" s="37" t="inlineStr">
        <is>
          <t>LOC</t>
        </is>
      </c>
      <c r="H52" s="37" t="inlineStr">
        <is>
          <t>Storage locations</t>
        </is>
      </c>
      <c r="I52" s="27" t="n">
        <v>7</v>
      </c>
      <c r="J52" s="37" t="inlineStr">
        <is>
          <t>Active</t>
        </is>
      </c>
      <c r="K52" s="37" t="inlineStr">
        <is>
          <t>No</t>
        </is>
      </c>
      <c r="L52" s="28">
        <f t="array" ref="L52">TableExists(tblLookupCatalogID[[#This Row],[LookupTableName]])</f>
        <v/>
      </c>
      <c r="M52" s="28" t="n"/>
    </row>
    <row r="53">
      <c r="A53" s="37" t="inlineStr">
        <is>
          <t>LKC000052</t>
        </is>
      </c>
      <c r="B53" s="37" t="inlineStr">
        <is>
          <t>LKG000008</t>
        </is>
      </c>
      <c r="C53" s="35">
        <f>_xlfn.XLOOKUP(tblLookupCatalogID[[#This Row],[LookupGroupID]],[1]!tblLookupGroups[LookupGroupID],[1]!tblLookupGroups[GroupName],"")</f>
        <v/>
      </c>
      <c r="D53" s="37" t="inlineStr">
        <is>
          <t>tblEmployeeRoles</t>
        </is>
      </c>
      <c r="E53" s="37" t="inlineStr">
        <is>
          <t>Employee Roles</t>
        </is>
      </c>
      <c r="F53" s="37" t="inlineStr">
        <is>
          <t>EmployeeRoleID</t>
        </is>
      </c>
      <c r="G53" s="37" t="inlineStr">
        <is>
          <t>ROL</t>
        </is>
      </c>
      <c r="H53" s="37" t="inlineStr">
        <is>
          <t>Employee roles</t>
        </is>
      </c>
      <c r="I53" s="27" t="n">
        <v>1</v>
      </c>
      <c r="J53" s="37" t="inlineStr">
        <is>
          <t>Active</t>
        </is>
      </c>
      <c r="K53" s="37" t="inlineStr">
        <is>
          <t>Yes</t>
        </is>
      </c>
      <c r="L53" s="28">
        <f t="array" ref="L53">TableExists(tblLookupCatalogID[[#This Row],[LookupTableName]])</f>
        <v/>
      </c>
      <c r="M53" s="28" t="n"/>
    </row>
    <row r="54">
      <c r="A54" s="37" t="inlineStr">
        <is>
          <t>LKC000053</t>
        </is>
      </c>
      <c r="B54" s="37" t="inlineStr">
        <is>
          <t>LKG000008</t>
        </is>
      </c>
      <c r="C54" s="35">
        <f>_xlfn.XLOOKUP(tblLookupCatalogID[[#This Row],[LookupGroupID]],[1]!tblLookupGroups[LookupGroupID],[1]!tblLookupGroups[GroupName],"")</f>
        <v/>
      </c>
      <c r="D54" s="37" t="inlineStr">
        <is>
          <t>tblEmployeeStatus</t>
        </is>
      </c>
      <c r="E54" s="37" t="inlineStr">
        <is>
          <t>Employee Status</t>
        </is>
      </c>
      <c r="F54" s="37" t="inlineStr">
        <is>
          <t>EmployeeStatusID</t>
        </is>
      </c>
      <c r="G54" s="37" t="inlineStr">
        <is>
          <t>EMP</t>
        </is>
      </c>
      <c r="H54" s="37" t="inlineStr">
        <is>
          <t>Employee status</t>
        </is>
      </c>
      <c r="I54" s="27" t="n">
        <v>2</v>
      </c>
      <c r="J54" s="37" t="inlineStr">
        <is>
          <t>Active</t>
        </is>
      </c>
      <c r="K54" s="37" t="inlineStr">
        <is>
          <t>Yes</t>
        </is>
      </c>
      <c r="L54" s="28">
        <f t="array" ref="L54">TableExists(tblLookupCatalogID[[#This Row],[LookupTableName]])</f>
        <v/>
      </c>
      <c r="M54" s="28" t="n"/>
    </row>
    <row r="55">
      <c r="A55" s="37" t="inlineStr">
        <is>
          <t>LKC000054</t>
        </is>
      </c>
      <c r="B55" s="37" t="inlineStr">
        <is>
          <t>LKG000009</t>
        </is>
      </c>
      <c r="C55" s="35">
        <f>_xlfn.XLOOKUP(tblLookupCatalogID[[#This Row],[LookupGroupID]],[1]!tblLookupGroups[LookupGroupID],[1]!tblLookupGroups[GroupName],"")</f>
        <v/>
      </c>
      <c r="D55" s="37" t="inlineStr">
        <is>
          <t>tblCountries</t>
        </is>
      </c>
      <c r="E55" s="37" t="inlineStr">
        <is>
          <t>Country</t>
        </is>
      </c>
      <c r="F55" s="37" t="inlineStr">
        <is>
          <t>CountryID</t>
        </is>
      </c>
      <c r="G55" s="37" t="inlineStr">
        <is>
          <t>CNT</t>
        </is>
      </c>
      <c r="H55" s="37" t="inlineStr">
        <is>
          <t>Country reference list</t>
        </is>
      </c>
      <c r="I55" s="27" t="n">
        <v>1</v>
      </c>
      <c r="J55" s="37" t="inlineStr">
        <is>
          <t>Active</t>
        </is>
      </c>
      <c r="K55" s="37" t="inlineStr">
        <is>
          <t>Yes</t>
        </is>
      </c>
      <c r="L55" s="28">
        <f t="array" ref="L55">TableExists(tblLookupCatalogID[[#This Row],[LookupTableName]])</f>
        <v/>
      </c>
      <c r="M55" s="28" t="n"/>
    </row>
    <row r="56">
      <c r="A56" s="37" t="inlineStr">
        <is>
          <t>LKC000055</t>
        </is>
      </c>
      <c r="B56" s="37" t="inlineStr">
        <is>
          <t>LKG000009</t>
        </is>
      </c>
      <c r="C56" s="35">
        <f>_xlfn.XLOOKUP(tblLookupCatalogID[[#This Row],[LookupGroupID]],[1]!tblLookupGroups[LookupGroupID],[1]!tblLookupGroups[GroupName],"")</f>
        <v/>
      </c>
      <c r="D56" s="37" t="inlineStr">
        <is>
          <t>tblStatesProvinces</t>
        </is>
      </c>
      <c r="E56" s="37" t="inlineStr">
        <is>
          <t>States &amp; Provinces</t>
        </is>
      </c>
      <c r="F56" s="37" t="inlineStr">
        <is>
          <t>StateProvinceID</t>
        </is>
      </c>
      <c r="G56" s="37" t="inlineStr">
        <is>
          <t>STA</t>
        </is>
      </c>
      <c r="H56" s="37" t="inlineStr">
        <is>
          <t>States and provinces</t>
        </is>
      </c>
      <c r="I56" s="27" t="n">
        <v>2</v>
      </c>
      <c r="J56" s="37" t="inlineStr">
        <is>
          <t>Active</t>
        </is>
      </c>
      <c r="K56" s="37" t="inlineStr">
        <is>
          <t>Yes</t>
        </is>
      </c>
      <c r="L56" s="28">
        <f t="array" ref="L56">TableExists(tblLookupCatalogID[[#This Row],[LookupTableName]])</f>
        <v/>
      </c>
      <c r="M56" s="28" t="n"/>
    </row>
    <row r="57">
      <c r="A57" s="37" t="inlineStr">
        <is>
          <t>LKC000056</t>
        </is>
      </c>
      <c r="B57" s="37" t="inlineStr">
        <is>
          <t>LKG000009</t>
        </is>
      </c>
      <c r="C57" s="35">
        <f>_xlfn.XLOOKUP(tblLookupCatalogID[[#This Row],[LookupGroupID]],[1]!tblLookupGroups[LookupGroupID],[1]!tblLookupGroups[GroupName],"")</f>
        <v/>
      </c>
      <c r="D57" s="37" t="inlineStr">
        <is>
          <t>tblTimeZones</t>
        </is>
      </c>
      <c r="E57" s="37" t="inlineStr">
        <is>
          <t>Time Zones</t>
        </is>
      </c>
      <c r="F57" s="37" t="inlineStr">
        <is>
          <t>TimeZoneID</t>
        </is>
      </c>
      <c r="G57" s="37" t="inlineStr">
        <is>
          <t>TMZ</t>
        </is>
      </c>
      <c r="H57" s="37" t="inlineStr">
        <is>
          <t>Time zone reference</t>
        </is>
      </c>
      <c r="I57" s="27" t="n">
        <v>3</v>
      </c>
      <c r="J57" s="37" t="inlineStr">
        <is>
          <t>Active</t>
        </is>
      </c>
      <c r="K57" s="37" t="inlineStr">
        <is>
          <t>Yes</t>
        </is>
      </c>
      <c r="L57" s="28">
        <f t="array" ref="L57">TableExists(tblLookupCatalogID[[#This Row],[LookupTableName]])</f>
        <v/>
      </c>
      <c r="M57" s="28" t="n"/>
    </row>
    <row r="59">
      <c r="A59" s="23" t="inlineStr">
        <is>
          <t>CustomerTypeID</t>
        </is>
      </c>
      <c r="B59" s="23" t="inlineStr">
        <is>
          <t>Customer Type</t>
        </is>
      </c>
      <c r="C59" s="23" t="inlineStr">
        <is>
          <t>Description</t>
        </is>
      </c>
      <c r="D59" s="24" t="inlineStr">
        <is>
          <t>Sort Order</t>
        </is>
      </c>
      <c r="E59" s="23" t="inlineStr">
        <is>
          <t>IsActive</t>
        </is>
      </c>
      <c r="G59" s="29" t="inlineStr">
        <is>
          <t>LookupGroupID</t>
        </is>
      </c>
      <c r="H59" s="29" t="inlineStr">
        <is>
          <t>GroupName</t>
        </is>
      </c>
      <c r="I59" s="29" t="inlineStr">
        <is>
          <t>Description</t>
        </is>
      </c>
      <c r="J59" s="29" t="inlineStr">
        <is>
          <t>DisplayOrder</t>
        </is>
      </c>
      <c r="K59" s="29" t="inlineStr">
        <is>
          <t>IsActive</t>
        </is>
      </c>
    </row>
    <row r="60">
      <c r="A60" s="37" t="inlineStr">
        <is>
          <t>CTY000001</t>
        </is>
      </c>
      <c r="B60" s="37" t="inlineStr">
        <is>
          <t>Individual</t>
        </is>
      </c>
      <c r="C60" s="37" t="inlineStr">
        <is>
          <t>Residential customer</t>
        </is>
      </c>
      <c r="D60" s="27" t="n">
        <v>1</v>
      </c>
      <c r="E60" s="38" t="inlineStr">
        <is>
          <t>Yes</t>
        </is>
      </c>
      <c r="G60" s="31" t="inlineStr">
        <is>
          <t>LKG000001</t>
        </is>
      </c>
      <c r="H60" s="31" t="inlineStr">
        <is>
          <t>General</t>
        </is>
      </c>
      <c r="I60" s="31" t="inlineStr">
        <is>
          <t>System reference tables</t>
        </is>
      </c>
      <c r="J60" s="32" t="n">
        <v>1</v>
      </c>
      <c r="K60" s="33" t="inlineStr">
        <is>
          <t>Yes</t>
        </is>
      </c>
    </row>
    <row r="61">
      <c r="A61" s="37" t="inlineStr">
        <is>
          <t>CTY000002</t>
        </is>
      </c>
      <c r="B61" s="37" t="inlineStr">
        <is>
          <t>Business</t>
        </is>
      </c>
      <c r="C61" s="37" t="inlineStr">
        <is>
          <t>Commercial customer</t>
        </is>
      </c>
      <c r="D61" s="27" t="n">
        <v>2</v>
      </c>
      <c r="E61" s="38" t="inlineStr">
        <is>
          <t>Yes</t>
        </is>
      </c>
      <c r="G61" s="31" t="inlineStr">
        <is>
          <t>LKG000002</t>
        </is>
      </c>
      <c r="H61" s="31" t="inlineStr">
        <is>
          <t>Customer</t>
        </is>
      </c>
      <c r="I61" s="31" t="inlineStr">
        <is>
          <t>Customer-related lookup tables</t>
        </is>
      </c>
      <c r="J61" s="32" t="n">
        <v>2</v>
      </c>
      <c r="K61" s="33" t="inlineStr">
        <is>
          <t>Yes</t>
        </is>
      </c>
    </row>
    <row r="62">
      <c r="A62" s="37" t="inlineStr">
        <is>
          <t>CTY000003</t>
        </is>
      </c>
      <c r="B62" s="37" t="inlineStr">
        <is>
          <t>Government</t>
        </is>
      </c>
      <c r="C62" s="37" t="inlineStr">
        <is>
          <t>Government agency</t>
        </is>
      </c>
      <c r="D62" s="27" t="n">
        <v>3</v>
      </c>
      <c r="E62" s="38" t="inlineStr">
        <is>
          <t>Yes</t>
        </is>
      </c>
      <c r="G62" s="31" t="inlineStr">
        <is>
          <t>LKG000003</t>
        </is>
      </c>
      <c r="H62" s="31" t="inlineStr">
        <is>
          <t>Device</t>
        </is>
      </c>
      <c r="I62" s="31" t="inlineStr">
        <is>
          <t>Device reference tables</t>
        </is>
      </c>
      <c r="J62" s="32" t="n">
        <v>3</v>
      </c>
      <c r="K62" s="33" t="inlineStr">
        <is>
          <t>Yes</t>
        </is>
      </c>
    </row>
    <row r="63">
      <c r="A63" s="37" t="inlineStr">
        <is>
          <t>CTY000004</t>
        </is>
      </c>
      <c r="B63" s="37" t="inlineStr">
        <is>
          <t>Educational</t>
        </is>
      </c>
      <c r="C63" s="37" t="inlineStr">
        <is>
          <t>School or university</t>
        </is>
      </c>
      <c r="D63" s="27" t="n">
        <v>4</v>
      </c>
      <c r="E63" s="38" t="inlineStr">
        <is>
          <t>Yes</t>
        </is>
      </c>
      <c r="G63" s="31" t="inlineStr">
        <is>
          <t>LKG000004</t>
        </is>
      </c>
      <c r="H63" s="31" t="inlineStr">
        <is>
          <t>Repair</t>
        </is>
      </c>
      <c r="I63" s="31" t="inlineStr">
        <is>
          <t>Repair workflow reference tables</t>
        </is>
      </c>
      <c r="J63" s="32" t="n">
        <v>4</v>
      </c>
      <c r="K63" s="33" t="inlineStr">
        <is>
          <t>Yes</t>
        </is>
      </c>
    </row>
    <row r="64">
      <c r="A64" s="37" t="inlineStr">
        <is>
          <t>CTY000005</t>
        </is>
      </c>
      <c r="B64" s="37" t="inlineStr">
        <is>
          <t>Non-Profit</t>
        </is>
      </c>
      <c r="C64" s="37" t="inlineStr">
        <is>
          <t>Non-profit organization</t>
        </is>
      </c>
      <c r="D64" s="27" t="n">
        <v>5</v>
      </c>
      <c r="E64" s="38" t="inlineStr">
        <is>
          <t>Yes</t>
        </is>
      </c>
      <c r="G64" s="31" t="inlineStr">
        <is>
          <t>LKG000005</t>
        </is>
      </c>
      <c r="H64" s="31" t="inlineStr">
        <is>
          <t>Services</t>
        </is>
      </c>
      <c r="I64" s="31" t="inlineStr">
        <is>
          <t>Service-related reference tables</t>
        </is>
      </c>
      <c r="J64" s="32" t="n">
        <v>5</v>
      </c>
      <c r="K64" s="33" t="inlineStr">
        <is>
          <t>Yes</t>
        </is>
      </c>
    </row>
    <row r="65">
      <c r="A65" s="37" t="inlineStr">
        <is>
          <t>CTY000006</t>
        </is>
      </c>
      <c r="B65" s="37" t="inlineStr">
        <is>
          <t>Internal</t>
        </is>
      </c>
      <c r="C65" s="37" t="inlineStr">
        <is>
          <t>Internal testing/customer account</t>
        </is>
      </c>
      <c r="D65" s="27" t="n">
        <v>6</v>
      </c>
      <c r="E65" s="38" t="inlineStr">
        <is>
          <t>Yes</t>
        </is>
      </c>
      <c r="G65" s="31" t="inlineStr">
        <is>
          <t>LKG000006</t>
        </is>
      </c>
      <c r="H65" s="31" t="inlineStr">
        <is>
          <t>Finance</t>
        </is>
      </c>
      <c r="I65" s="31" t="inlineStr">
        <is>
          <t>Financial reference tables</t>
        </is>
      </c>
      <c r="J65" s="32" t="n">
        <v>6</v>
      </c>
      <c r="K65" s="33" t="inlineStr">
        <is>
          <t>Yes</t>
        </is>
      </c>
    </row>
    <row r="66">
      <c r="G66" s="31" t="inlineStr">
        <is>
          <t>LKG000007</t>
        </is>
      </c>
      <c r="H66" s="31" t="inlineStr">
        <is>
          <t>Inventory</t>
        </is>
      </c>
      <c r="I66" s="31" t="inlineStr">
        <is>
          <t>Parts, suppliers, inventory</t>
        </is>
      </c>
      <c r="J66" s="32" t="n">
        <v>7</v>
      </c>
      <c r="K66" s="33" t="inlineStr">
        <is>
          <t>Yes</t>
        </is>
      </c>
    </row>
    <row r="67">
      <c r="A67" s="23" t="inlineStr">
        <is>
          <t>PreferredContactMethodID</t>
        </is>
      </c>
      <c r="B67" s="23" t="inlineStr">
        <is>
          <t>Contact Method</t>
        </is>
      </c>
      <c r="C67" s="23" t="inlineStr">
        <is>
          <t>Description</t>
        </is>
      </c>
      <c r="D67" s="24" t="inlineStr">
        <is>
          <t>Sort Order</t>
        </is>
      </c>
      <c r="E67" s="23" t="inlineStr">
        <is>
          <t>IsActive</t>
        </is>
      </c>
      <c r="G67" s="31" t="inlineStr">
        <is>
          <t>LKG000008</t>
        </is>
      </c>
      <c r="H67" s="31" t="inlineStr">
        <is>
          <t>Employee</t>
        </is>
      </c>
      <c r="I67" s="31" t="inlineStr">
        <is>
          <t>Employee reference tables</t>
        </is>
      </c>
      <c r="J67" s="32" t="n">
        <v>8</v>
      </c>
      <c r="K67" s="33" t="inlineStr">
        <is>
          <t>Yes</t>
        </is>
      </c>
    </row>
    <row r="68">
      <c r="A68" s="37" t="inlineStr">
        <is>
          <t>PCM000001</t>
        </is>
      </c>
      <c r="B68" s="37" t="inlineStr">
        <is>
          <t>Phone Call</t>
        </is>
      </c>
      <c r="C68" s="37" t="inlineStr">
        <is>
          <t>Voice call</t>
        </is>
      </c>
      <c r="D68" s="27" t="n">
        <v>1</v>
      </c>
      <c r="E68" s="38" t="inlineStr">
        <is>
          <t>Yes</t>
        </is>
      </c>
      <c r="G68" s="31" t="inlineStr">
        <is>
          <t>LKG000009</t>
        </is>
      </c>
      <c r="H68" s="31" t="inlineStr">
        <is>
          <t>Geographic</t>
        </is>
      </c>
      <c r="I68" s="31" t="inlineStr">
        <is>
          <t>Countries, states, time zones</t>
        </is>
      </c>
      <c r="J68" s="32" t="n">
        <v>9</v>
      </c>
      <c r="K68" s="33" t="inlineStr">
        <is>
          <t>Yes</t>
        </is>
      </c>
    </row>
    <row r="69">
      <c r="A69" s="37" t="inlineStr">
        <is>
          <t>PCM000002</t>
        </is>
      </c>
      <c r="B69" s="37" t="inlineStr">
        <is>
          <t>Text Message</t>
        </is>
      </c>
      <c r="C69" s="37" t="inlineStr">
        <is>
          <t>SMS</t>
        </is>
      </c>
      <c r="D69" s="27" t="n">
        <v>2</v>
      </c>
      <c r="E69" s="38" t="inlineStr">
        <is>
          <t>Yes</t>
        </is>
      </c>
      <c r="G69" s="34" t="inlineStr">
        <is>
          <t>LKG000010</t>
        </is>
      </c>
      <c r="H69" s="34" t="inlineStr">
        <is>
          <t>Technical Knowledge</t>
        </is>
      </c>
      <c r="I69" s="34" t="inlineStr">
        <is>
          <t>Technical Knowledge Guide</t>
        </is>
      </c>
      <c r="J69" s="34" t="n">
        <v>10</v>
      </c>
      <c r="K69" s="34" t="inlineStr">
        <is>
          <t>Yes</t>
        </is>
      </c>
    </row>
    <row r="70">
      <c r="A70" s="37" t="inlineStr">
        <is>
          <t>PCM000003</t>
        </is>
      </c>
      <c r="B70" s="37" t="inlineStr">
        <is>
          <t>Email</t>
        </is>
      </c>
      <c r="C70" s="37" t="inlineStr">
        <is>
          <t>Email communication</t>
        </is>
      </c>
      <c r="D70" s="27" t="n">
        <v>3</v>
      </c>
      <c r="E70" s="38" t="inlineStr">
        <is>
          <t>Yes</t>
        </is>
      </c>
    </row>
    <row r="71">
      <c r="A71" s="37" t="inlineStr">
        <is>
          <t>PCM000004</t>
        </is>
      </c>
      <c r="B71" s="37" t="inlineStr">
        <is>
          <t>Customer Portal</t>
        </is>
      </c>
      <c r="C71" s="37" t="inlineStr">
        <is>
          <t>Future customer portal</t>
        </is>
      </c>
      <c r="D71" s="27" t="n">
        <v>4</v>
      </c>
      <c r="E71" s="38" t="inlineStr">
        <is>
          <t>Yes</t>
        </is>
      </c>
    </row>
    <row r="72">
      <c r="A72" s="37" t="inlineStr">
        <is>
          <t>PCM000005</t>
        </is>
      </c>
      <c r="B72" s="37" t="inlineStr">
        <is>
          <t>No Preference</t>
        </is>
      </c>
      <c r="C72" s="37" t="inlineStr">
        <is>
          <t>Any available method</t>
        </is>
      </c>
      <c r="D72" s="27" t="n">
        <v>5</v>
      </c>
      <c r="E72" s="38" t="inlineStr">
        <is>
          <t>Yes</t>
        </is>
      </c>
    </row>
    <row r="74">
      <c r="A74" s="23" t="inlineStr">
        <is>
          <t>CustomerStatusID</t>
        </is>
      </c>
      <c r="B74" s="23" t="inlineStr">
        <is>
          <t>Status</t>
        </is>
      </c>
      <c r="C74" s="23" t="inlineStr">
        <is>
          <t>Description</t>
        </is>
      </c>
      <c r="D74" s="24" t="inlineStr">
        <is>
          <t>Sort Order</t>
        </is>
      </c>
    </row>
    <row r="75">
      <c r="A75" s="37" t="inlineStr">
        <is>
          <t>CST000001</t>
        </is>
      </c>
      <c r="B75" s="37" t="inlineStr">
        <is>
          <t>Active</t>
        </is>
      </c>
      <c r="C75" s="37" t="inlineStr">
        <is>
          <t>Active customer</t>
        </is>
      </c>
      <c r="D75" s="27" t="n">
        <v>1</v>
      </c>
    </row>
    <row r="76">
      <c r="A76" s="37" t="inlineStr">
        <is>
          <t>CST000002</t>
        </is>
      </c>
      <c r="B76" s="37" t="inlineStr">
        <is>
          <t>Inactive</t>
        </is>
      </c>
      <c r="C76" s="37" t="inlineStr">
        <is>
          <t>No recent activity</t>
        </is>
      </c>
      <c r="D76" s="27" t="n">
        <v>2</v>
      </c>
    </row>
    <row r="77">
      <c r="A77" s="37" t="inlineStr">
        <is>
          <t>CST000003</t>
        </is>
      </c>
      <c r="B77" s="37" t="inlineStr">
        <is>
          <t>Prospect</t>
        </is>
      </c>
      <c r="C77" s="37" t="inlineStr">
        <is>
          <t>Potential customer</t>
        </is>
      </c>
      <c r="D77" s="27" t="n">
        <v>3</v>
      </c>
    </row>
    <row r="78">
      <c r="A78" s="37" t="inlineStr">
        <is>
          <t>CST000004</t>
        </is>
      </c>
      <c r="B78" s="37" t="inlineStr">
        <is>
          <t>VIP</t>
        </is>
      </c>
      <c r="C78" s="37" t="inlineStr">
        <is>
          <t>Preferred customer</t>
        </is>
      </c>
      <c r="D78" s="27" t="n">
        <v>4</v>
      </c>
    </row>
    <row r="79">
      <c r="A79" s="37" t="inlineStr">
        <is>
          <t>CST000005</t>
        </is>
      </c>
      <c r="B79" s="37" t="inlineStr">
        <is>
          <t>Suspended</t>
        </is>
      </c>
      <c r="C79" s="37" t="inlineStr">
        <is>
          <t>Service temporarily suspended</t>
        </is>
      </c>
      <c r="D79" s="27" t="n">
        <v>5</v>
      </c>
    </row>
    <row r="80">
      <c r="A80" s="37" t="inlineStr">
        <is>
          <t>CST000006</t>
        </is>
      </c>
      <c r="B80" s="37" t="inlineStr">
        <is>
          <t>Archived</t>
        </is>
      </c>
      <c r="C80" s="37" t="inlineStr">
        <is>
          <t>Historical record</t>
        </is>
      </c>
      <c r="D80" s="27" t="n">
        <v>6</v>
      </c>
    </row>
    <row r="82">
      <c r="A82" s="45" t="inlineStr">
        <is>
          <t>ID</t>
        </is>
      </c>
      <c r="B82" s="45" t="inlineStr">
        <is>
          <t>Name</t>
        </is>
      </c>
      <c r="C82" s="45" t="inlineStr">
        <is>
          <t>Description</t>
        </is>
      </c>
      <c r="D82" s="45" t="inlineStr">
        <is>
          <t>DisplayOrder</t>
        </is>
      </c>
      <c r="E82" s="45" t="inlineStr">
        <is>
          <t>Active</t>
        </is>
      </c>
    </row>
    <row r="83">
      <c r="A83" s="46" t="inlineStr">
        <is>
          <t>REG000001</t>
        </is>
      </c>
      <c r="B83" s="46" t="inlineStr">
        <is>
          <t>Global</t>
        </is>
      </c>
      <c r="C83" s="46" t="inlineStr">
        <is>
          <t>Worldwide</t>
        </is>
      </c>
      <c r="D83" s="46" t="n">
        <v>1</v>
      </c>
      <c r="E83" s="46" t="b">
        <v>1</v>
      </c>
    </row>
    <row r="84">
      <c r="A84" s="46" t="inlineStr">
        <is>
          <t>REG000002</t>
        </is>
      </c>
      <c r="B84" s="46" t="inlineStr">
        <is>
          <t>United States</t>
        </is>
      </c>
      <c r="C84" s="46" t="inlineStr">
        <is>
          <t>US</t>
        </is>
      </c>
      <c r="D84" s="46" t="n">
        <v>2</v>
      </c>
      <c r="E84" s="46" t="b">
        <v>1</v>
      </c>
    </row>
    <row r="85">
      <c r="A85" s="46" t="inlineStr">
        <is>
          <t>REG000003</t>
        </is>
      </c>
      <c r="B85" s="46" t="inlineStr">
        <is>
          <t>Canada</t>
        </is>
      </c>
      <c r="C85" s="46" t="inlineStr">
        <is>
          <t>CA</t>
        </is>
      </c>
      <c r="D85" s="46" t="n">
        <v>3</v>
      </c>
      <c r="E85" s="46" t="b">
        <v>1</v>
      </c>
    </row>
    <row r="86">
      <c r="A86" s="46" t="inlineStr">
        <is>
          <t>REG000004</t>
        </is>
      </c>
      <c r="B86" s="46" t="inlineStr">
        <is>
          <t>Europe</t>
        </is>
      </c>
      <c r="C86" s="46" t="inlineStr">
        <is>
          <t>EU</t>
        </is>
      </c>
      <c r="D86" s="46" t="n">
        <v>4</v>
      </c>
      <c r="E86" s="46" t="b">
        <v>1</v>
      </c>
    </row>
    <row r="87">
      <c r="A87" s="46" t="inlineStr">
        <is>
          <t>REG000005</t>
        </is>
      </c>
      <c r="B87" s="46" t="inlineStr">
        <is>
          <t>United Kingdom</t>
        </is>
      </c>
      <c r="C87" s="46" t="inlineStr">
        <is>
          <t>UK</t>
        </is>
      </c>
      <c r="D87" s="46" t="n">
        <v>5</v>
      </c>
      <c r="E87" s="46" t="b">
        <v>1</v>
      </c>
    </row>
    <row r="88">
      <c r="A88" s="46" t="inlineStr">
        <is>
          <t>REG000006</t>
        </is>
      </c>
      <c r="B88" s="46" t="inlineStr">
        <is>
          <t>Japan</t>
        </is>
      </c>
      <c r="C88" s="46" t="inlineStr">
        <is>
          <t>JP</t>
        </is>
      </c>
      <c r="D88" s="46" t="n">
        <v>6</v>
      </c>
      <c r="E88" s="46" t="b">
        <v>1</v>
      </c>
    </row>
    <row r="89">
      <c r="A89" s="46" t="inlineStr">
        <is>
          <t>REG000007</t>
        </is>
      </c>
      <c r="B89" s="46" t="inlineStr">
        <is>
          <t>China</t>
        </is>
      </c>
      <c r="C89" s="46" t="inlineStr">
        <is>
          <t>CN</t>
        </is>
      </c>
      <c r="D89" s="46" t="n">
        <v>7</v>
      </c>
      <c r="E89" s="46" t="b">
        <v>1</v>
      </c>
    </row>
    <row r="90">
      <c r="A90" s="46" t="inlineStr">
        <is>
          <t>REG000008</t>
        </is>
      </c>
      <c r="B90" s="46" t="inlineStr">
        <is>
          <t>India</t>
        </is>
      </c>
      <c r="C90" s="46" t="inlineStr">
        <is>
          <t>IN</t>
        </is>
      </c>
      <c r="D90" s="46" t="n">
        <v>8</v>
      </c>
      <c r="E90" s="46" t="b">
        <v>1</v>
      </c>
    </row>
    <row r="91">
      <c r="A91" s="46" t="inlineStr">
        <is>
          <t>REG000009</t>
        </is>
      </c>
      <c r="B91" s="46" t="inlineStr">
        <is>
          <t>Australia</t>
        </is>
      </c>
      <c r="C91" s="46" t="inlineStr">
        <is>
          <t>AU</t>
        </is>
      </c>
      <c r="D91" s="46" t="n">
        <v>9</v>
      </c>
      <c r="E91" s="46" t="b">
        <v>1</v>
      </c>
    </row>
    <row r="92">
      <c r="A92" s="46" t="inlineStr">
        <is>
          <t>REG000010</t>
        </is>
      </c>
      <c r="B92" s="46" t="inlineStr">
        <is>
          <t>Latin America</t>
        </is>
      </c>
      <c r="C92" s="46" t="inlineStr">
        <is>
          <t>LATAM</t>
        </is>
      </c>
      <c r="D92" s="46" t="n">
        <v>10</v>
      </c>
      <c r="E92" s="46" t="b">
        <v>1</v>
      </c>
    </row>
    <row r="93">
      <c r="A93" s="46" t="inlineStr">
        <is>
          <t>REG000011</t>
        </is>
      </c>
      <c r="B93" s="46" t="inlineStr">
        <is>
          <t>Middle East</t>
        </is>
      </c>
      <c r="C93" s="46" t="inlineStr">
        <is>
          <t>MEA</t>
        </is>
      </c>
      <c r="D93" s="46" t="n">
        <v>11</v>
      </c>
      <c r="E93" s="46" t="b">
        <v>1</v>
      </c>
    </row>
  </sheetData>
  <dataValidations count="1">
    <dataValidation sqref="B2:B57" showDropDown="0" showInputMessage="1" showErrorMessage="1" allowBlank="1" type="list">
      <formula1>LookupGroupIDs</formula1>
    </dataValidation>
  </dataValidation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2" sqref="A2"/>
    </sheetView>
  </sheetViews>
  <sheetFormatPr baseColWidth="8" defaultRowHeight="14.5"/>
  <cols>
    <col width="20.26953125" bestFit="1" customWidth="1" style="42" min="1" max="1"/>
    <col width="18.6328125" bestFit="1" customWidth="1" style="42" min="2" max="2"/>
    <col width="24.179687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14.08984375" bestFit="1" customWidth="1" style="42" min="8" max="8"/>
    <col width="30.3632812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</cols>
  <sheetData>
    <row r="1" ht="21.5" customHeight="1" s="42">
      <c r="A1" s="45" t="inlineStr">
        <is>
          <t>ChargingTypeID</t>
        </is>
      </c>
      <c r="B1" s="45" t="inlineStr">
        <is>
          <t>ChargingType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</row>
    <row r="2" ht="21.5" customHeight="1" s="42">
      <c r="A2" s="37" t="inlineStr">
        <is>
          <t>CHG000001</t>
        </is>
      </c>
      <c r="B2" s="35" t="inlineStr">
        <is>
          <t>USB-C</t>
        </is>
      </c>
      <c r="G2" s="35" t="inlineStr">
        <is>
          <t>REF000001</t>
        </is>
      </c>
      <c r="H2" s="35" t="inlineStr">
        <is>
          <t>60 Hz</t>
        </is>
      </c>
      <c r="I2" s="35" t="inlineStr">
        <is>
          <t>60 Hz</t>
        </is>
      </c>
      <c r="J2" s="35" t="n">
        <v>1</v>
      </c>
      <c r="K2" s="35" t="b">
        <v>1</v>
      </c>
    </row>
    <row r="3" ht="21.5" customHeight="1" s="42">
      <c r="A3" s="37" t="inlineStr">
        <is>
          <t>CHG000002</t>
        </is>
      </c>
      <c r="B3" s="35" t="inlineStr">
        <is>
          <t>Lightning</t>
        </is>
      </c>
      <c r="G3" s="35" t="inlineStr">
        <is>
          <t>REF000002</t>
        </is>
      </c>
      <c r="H3" s="35" t="inlineStr">
        <is>
          <t>90 Hz</t>
        </is>
      </c>
      <c r="I3" s="35" t="inlineStr">
        <is>
          <t>90 Hz</t>
        </is>
      </c>
      <c r="J3" s="35" t="n">
        <v>2</v>
      </c>
      <c r="K3" s="35" t="b">
        <v>1</v>
      </c>
    </row>
    <row r="4" ht="21.5" customHeight="1" s="42">
      <c r="A4" s="37" t="inlineStr">
        <is>
          <t>CHG000003</t>
        </is>
      </c>
      <c r="B4" s="35" t="inlineStr">
        <is>
          <t>Micro USB</t>
        </is>
      </c>
      <c r="G4" s="35" t="inlineStr">
        <is>
          <t>REF000003</t>
        </is>
      </c>
      <c r="H4" s="35" t="inlineStr">
        <is>
          <t>120 Hz</t>
        </is>
      </c>
      <c r="I4" s="35" t="inlineStr">
        <is>
          <t>120 Hz</t>
        </is>
      </c>
      <c r="J4" s="35" t="n">
        <v>3</v>
      </c>
      <c r="K4" s="35" t="b">
        <v>1</v>
      </c>
    </row>
    <row r="5" ht="21.5" customHeight="1" s="42">
      <c r="A5" s="37" t="inlineStr">
        <is>
          <t>CHG000004</t>
        </is>
      </c>
      <c r="B5" s="35" t="inlineStr">
        <is>
          <t>Mini USB</t>
        </is>
      </c>
      <c r="G5" s="35" t="inlineStr">
        <is>
          <t>REF000004</t>
        </is>
      </c>
      <c r="H5" s="35" t="inlineStr">
        <is>
          <t>144 Hz</t>
        </is>
      </c>
      <c r="I5" s="35" t="inlineStr">
        <is>
          <t>144 Hz</t>
        </is>
      </c>
      <c r="J5" s="35" t="n">
        <v>4</v>
      </c>
      <c r="K5" s="35" t="b">
        <v>1</v>
      </c>
    </row>
    <row r="6" ht="21.5" customHeight="1" s="42">
      <c r="A6" s="37" t="inlineStr">
        <is>
          <t>CHG000005</t>
        </is>
      </c>
      <c r="B6" s="35" t="inlineStr">
        <is>
          <t>MagSafe</t>
        </is>
      </c>
      <c r="G6" s="35" t="inlineStr">
        <is>
          <t>REF000005</t>
        </is>
      </c>
      <c r="H6" s="35" t="inlineStr">
        <is>
          <t>165 Hz</t>
        </is>
      </c>
      <c r="I6" s="35" t="inlineStr">
        <is>
          <t>165 Hz</t>
        </is>
      </c>
      <c r="J6" s="35" t="n">
        <v>5</v>
      </c>
      <c r="K6" s="35" t="b">
        <v>1</v>
      </c>
    </row>
    <row r="7" ht="21.5" customHeight="1" s="42">
      <c r="A7" s="37" t="inlineStr">
        <is>
          <t>CHG000006</t>
        </is>
      </c>
      <c r="B7" s="35" t="inlineStr">
        <is>
          <t>30-pin</t>
        </is>
      </c>
      <c r="G7" s="35" t="inlineStr">
        <is>
          <t>REF000006</t>
        </is>
      </c>
      <c r="H7" s="35" t="inlineStr">
        <is>
          <t>240 Hz</t>
        </is>
      </c>
      <c r="I7" s="35" t="inlineStr">
        <is>
          <t>240 Hz</t>
        </is>
      </c>
      <c r="J7" s="35" t="n">
        <v>6</v>
      </c>
      <c r="K7" s="35" t="b">
        <v>1</v>
      </c>
    </row>
    <row r="8" ht="21.5" customHeight="1" s="42">
      <c r="A8" s="37" t="inlineStr">
        <is>
          <t>CHG000007</t>
        </is>
      </c>
      <c r="B8" s="35" t="inlineStr">
        <is>
          <t>Wireless</t>
        </is>
      </c>
    </row>
    <row r="9" ht="21.5" customHeight="1" s="42">
      <c r="A9" s="37" t="inlineStr">
        <is>
          <t>CHG000008</t>
        </is>
      </c>
      <c r="B9" s="35" t="inlineStr">
        <is>
          <t>Barrel Jack</t>
        </is>
      </c>
      <c r="G9" s="45" t="inlineStr">
        <is>
          <t>ID</t>
        </is>
      </c>
      <c r="H9" s="45" t="inlineStr">
        <is>
          <t>Name</t>
        </is>
      </c>
      <c r="I9" s="45" t="inlineStr">
        <is>
          <t>Description</t>
        </is>
      </c>
      <c r="J9" s="45" t="inlineStr">
        <is>
          <t>DisplayOrder</t>
        </is>
      </c>
      <c r="K9" s="45" t="inlineStr">
        <is>
          <t>Active</t>
        </is>
      </c>
    </row>
    <row r="10" ht="21.5" customHeight="1" s="42">
      <c r="G10" s="35" t="inlineStr">
        <is>
          <t>DST000001</t>
        </is>
      </c>
      <c r="H10" s="35" t="inlineStr">
        <is>
          <t>Active</t>
        </is>
      </c>
      <c r="I10" s="35" t="inlineStr">
        <is>
          <t>Currently supported</t>
        </is>
      </c>
      <c r="J10" s="35" t="n">
        <v>1</v>
      </c>
      <c r="K10" s="35" t="b">
        <v>1</v>
      </c>
    </row>
    <row r="11" ht="21.5" customHeight="1" s="42">
      <c r="A11" s="45" t="inlineStr">
        <is>
          <t>ID</t>
        </is>
      </c>
      <c r="B11" s="45" t="inlineStr">
        <is>
          <t>Name</t>
        </is>
      </c>
      <c r="C11" s="45" t="inlineStr">
        <is>
          <t>Description</t>
        </is>
      </c>
      <c r="D11" s="45" t="inlineStr">
        <is>
          <t>DisplayOrder</t>
        </is>
      </c>
      <c r="E11" s="45" t="inlineStr">
        <is>
          <t>Active</t>
        </is>
      </c>
      <c r="G11" s="35" t="inlineStr">
        <is>
          <t>DST000002</t>
        </is>
      </c>
      <c r="H11" s="35" t="inlineStr">
        <is>
          <t>Legacy</t>
        </is>
      </c>
      <c r="I11" s="35" t="inlineStr">
        <is>
          <t>Older supported</t>
        </is>
      </c>
      <c r="J11" s="35" t="n">
        <v>2</v>
      </c>
      <c r="K11" s="35" t="b">
        <v>1</v>
      </c>
    </row>
    <row r="12" ht="21.5" customHeight="1" s="42">
      <c r="A12" s="35" t="inlineStr">
        <is>
          <t>SIM000001</t>
        </is>
      </c>
      <c r="B12" s="35" t="inlineStr">
        <is>
          <t>Standard SIM</t>
        </is>
      </c>
      <c r="C12" s="35" t="inlineStr">
        <is>
          <t>Standard SIM</t>
        </is>
      </c>
      <c r="D12" s="35" t="n">
        <v>1</v>
      </c>
      <c r="E12" s="35" t="b">
        <v>1</v>
      </c>
      <c r="G12" s="35" t="inlineStr">
        <is>
          <t>DST000003</t>
        </is>
      </c>
      <c r="H12" s="35" t="inlineStr">
        <is>
          <t>End of Life</t>
        </is>
      </c>
      <c r="I12" s="35" t="inlineStr">
        <is>
          <t>Manufacturer support ended</t>
        </is>
      </c>
      <c r="J12" s="35" t="n">
        <v>3</v>
      </c>
      <c r="K12" s="35" t="b">
        <v>1</v>
      </c>
    </row>
    <row r="13" ht="21.5" customHeight="1" s="42">
      <c r="A13" s="35" t="inlineStr">
        <is>
          <t>SIM000002</t>
        </is>
      </c>
      <c r="B13" s="35" t="inlineStr">
        <is>
          <t>Micro SIM</t>
        </is>
      </c>
      <c r="C13" s="35" t="inlineStr">
        <is>
          <t>Micro SIM</t>
        </is>
      </c>
      <c r="D13" s="35" t="n">
        <v>2</v>
      </c>
      <c r="E13" s="35" t="b">
        <v>1</v>
      </c>
      <c r="G13" s="35" t="inlineStr">
        <is>
          <t>DST000004</t>
        </is>
      </c>
      <c r="H13" s="35" t="inlineStr">
        <is>
          <t>Discontinued</t>
        </is>
      </c>
      <c r="I13" s="35" t="inlineStr">
        <is>
          <t>No longer sold</t>
        </is>
      </c>
      <c r="J13" s="35" t="n">
        <v>4</v>
      </c>
      <c r="K13" s="35" t="b">
        <v>1</v>
      </c>
    </row>
    <row r="14" ht="21.5" customHeight="1" s="42">
      <c r="A14" s="35" t="inlineStr">
        <is>
          <t>SIM000003</t>
        </is>
      </c>
      <c r="B14" s="35" t="inlineStr">
        <is>
          <t>Nano SIM</t>
        </is>
      </c>
      <c r="C14" s="35" t="inlineStr">
        <is>
          <t>Nano SIM</t>
        </is>
      </c>
      <c r="D14" s="35" t="n">
        <v>3</v>
      </c>
      <c r="E14" s="35" t="b">
        <v>1</v>
      </c>
      <c r="G14" s="35" t="inlineStr">
        <is>
          <t>DST000005</t>
        </is>
      </c>
      <c r="H14" s="35" t="inlineStr">
        <is>
          <t>Upcoming</t>
        </is>
      </c>
      <c r="I14" s="35" t="inlineStr">
        <is>
          <t>Not yet released</t>
        </is>
      </c>
      <c r="J14" s="35" t="n">
        <v>5</v>
      </c>
      <c r="K14" s="35" t="b">
        <v>1</v>
      </c>
    </row>
    <row r="15" ht="21.5" customHeight="1" s="42">
      <c r="A15" s="35" t="inlineStr">
        <is>
          <t>SIM000004</t>
        </is>
      </c>
      <c r="B15" s="35" t="inlineStr">
        <is>
          <t>eSIM</t>
        </is>
      </c>
      <c r="C15" s="35" t="inlineStr">
        <is>
          <t>eSIM</t>
        </is>
      </c>
      <c r="D15" s="35" t="n">
        <v>4</v>
      </c>
      <c r="E15" s="35" t="b">
        <v>1</v>
      </c>
    </row>
    <row r="16" ht="21.5" customHeight="1" s="42">
      <c r="A16" s="35" t="inlineStr">
        <is>
          <t>SIM000005</t>
        </is>
      </c>
      <c r="B16" s="35" t="inlineStr">
        <is>
          <t>Nano + eSIM</t>
        </is>
      </c>
      <c r="C16" s="35" t="inlineStr">
        <is>
          <t>Nano + eSIM</t>
        </is>
      </c>
      <c r="D16" s="35" t="n">
        <v>5</v>
      </c>
      <c r="E16" s="35" t="b">
        <v>1</v>
      </c>
    </row>
    <row r="17" ht="21.5" customHeight="1" s="42">
      <c r="A17" s="35" t="inlineStr">
        <is>
          <t>SIM000006</t>
        </is>
      </c>
      <c r="B17" s="35" t="inlineStr">
        <is>
          <t>Dual eSIM</t>
        </is>
      </c>
      <c r="C17" s="35" t="inlineStr">
        <is>
          <t>Dual eSIM</t>
        </is>
      </c>
      <c r="D17" s="35" t="n">
        <v>6</v>
      </c>
      <c r="E17" s="35" t="b">
        <v>1</v>
      </c>
    </row>
    <row r="18" ht="21.5" customHeight="1" s="42">
      <c r="A18" s="35" t="inlineStr">
        <is>
          <t>SIM000007</t>
        </is>
      </c>
      <c r="B18" s="35" t="inlineStr">
        <is>
          <t>Wi-Fi Only</t>
        </is>
      </c>
      <c r="C18" s="35" t="inlineStr">
        <is>
          <t>Wi-Fi Only</t>
        </is>
      </c>
      <c r="D18" s="35" t="n">
        <v>7</v>
      </c>
      <c r="E18" s="35" t="b">
        <v>1</v>
      </c>
    </row>
    <row r="20" ht="21.5" customHeight="1" s="42">
      <c r="A20" s="45" t="inlineStr">
        <is>
          <t>ID</t>
        </is>
      </c>
      <c r="B20" s="45" t="inlineStr">
        <is>
          <t>Name</t>
        </is>
      </c>
      <c r="C20" s="45" t="inlineStr">
        <is>
          <t>Description</t>
        </is>
      </c>
      <c r="D20" s="45" t="inlineStr">
        <is>
          <t>DisplayOrder</t>
        </is>
      </c>
      <c r="E20" s="45" t="inlineStr">
        <is>
          <t>Active</t>
        </is>
      </c>
    </row>
    <row r="21" ht="21.5" customHeight="1" s="42">
      <c r="A21" s="35" t="inlineStr">
        <is>
          <t>NET000001</t>
        </is>
      </c>
      <c r="B21" s="35" t="inlineStr">
        <is>
          <t>2G</t>
        </is>
      </c>
      <c r="C21" s="35" t="inlineStr">
        <is>
          <t>2G</t>
        </is>
      </c>
      <c r="D21" s="35" t="n">
        <v>1</v>
      </c>
      <c r="E21" s="35" t="b">
        <v>1</v>
      </c>
    </row>
    <row r="22" ht="21.5" customHeight="1" s="42">
      <c r="A22" s="35" t="inlineStr">
        <is>
          <t>NET000002</t>
        </is>
      </c>
      <c r="B22" s="35" t="inlineStr">
        <is>
          <t>3G</t>
        </is>
      </c>
      <c r="C22" s="35" t="inlineStr">
        <is>
          <t>3G</t>
        </is>
      </c>
      <c r="D22" s="35" t="n">
        <v>2</v>
      </c>
      <c r="E22" s="35" t="b">
        <v>1</v>
      </c>
    </row>
    <row r="23" ht="21.5" customHeight="1" s="42">
      <c r="A23" s="35" t="inlineStr">
        <is>
          <t>NET000003</t>
        </is>
      </c>
      <c r="B23" s="35" t="inlineStr">
        <is>
          <t>4G LTE</t>
        </is>
      </c>
      <c r="C23" s="35" t="inlineStr">
        <is>
          <t>4G LTE</t>
        </is>
      </c>
      <c r="D23" s="35" t="n">
        <v>3</v>
      </c>
      <c r="E23" s="35" t="b">
        <v>1</v>
      </c>
    </row>
    <row r="24" ht="21.5" customHeight="1" s="42">
      <c r="A24" s="35" t="inlineStr">
        <is>
          <t>NET000004</t>
        </is>
      </c>
      <c r="B24" s="35" t="inlineStr">
        <is>
          <t>5G</t>
        </is>
      </c>
      <c r="C24" s="35" t="inlineStr">
        <is>
          <t>5G</t>
        </is>
      </c>
      <c r="D24" s="35" t="n">
        <v>4</v>
      </c>
      <c r="E24" s="35" t="b">
        <v>1</v>
      </c>
    </row>
    <row r="25" ht="21.5" customHeight="1" s="42">
      <c r="A25" s="35" t="inlineStr">
        <is>
          <t>NET000005</t>
        </is>
      </c>
      <c r="B25" s="35" t="inlineStr">
        <is>
          <t>Wi-Fi Only</t>
        </is>
      </c>
      <c r="C25" s="35" t="inlineStr">
        <is>
          <t>Wi-Fi Only</t>
        </is>
      </c>
      <c r="D25" s="35" t="n">
        <v>5</v>
      </c>
      <c r="E25" s="35" t="b">
        <v>1</v>
      </c>
    </row>
    <row r="26" ht="21.5" customHeight="1" s="42">
      <c r="A26" s="35" t="inlineStr">
        <is>
          <t>NET000006</t>
        </is>
      </c>
      <c r="B26" s="35" t="inlineStr">
        <is>
          <t>Satellite</t>
        </is>
      </c>
      <c r="C26" s="35" t="inlineStr">
        <is>
          <t>Satellite</t>
        </is>
      </c>
      <c r="D26" s="35" t="n">
        <v>6</v>
      </c>
      <c r="E26" s="35" t="b">
        <v>1</v>
      </c>
    </row>
    <row r="28" ht="21.5" customHeight="1" s="42">
      <c r="A28" s="45" t="inlineStr">
        <is>
          <t>ID</t>
        </is>
      </c>
      <c r="B28" s="45" t="inlineStr">
        <is>
          <t>Name</t>
        </is>
      </c>
      <c r="C28" s="45" t="inlineStr">
        <is>
          <t>Description</t>
        </is>
      </c>
      <c r="D28" s="45" t="inlineStr">
        <is>
          <t>DisplayOrder</t>
        </is>
      </c>
      <c r="E28" s="45" t="inlineStr">
        <is>
          <t>Active</t>
        </is>
      </c>
    </row>
    <row r="29" ht="21.5" customHeight="1" s="42">
      <c r="A29" s="35" t="inlineStr">
        <is>
          <t>SCT000001</t>
        </is>
      </c>
      <c r="B29" s="35" t="inlineStr">
        <is>
          <t>LCD</t>
        </is>
      </c>
      <c r="C29" s="35" t="inlineStr">
        <is>
          <t>Liquid Crystal Display</t>
        </is>
      </c>
      <c r="D29" s="35" t="n">
        <v>1</v>
      </c>
      <c r="E29" s="35" t="b">
        <v>1</v>
      </c>
    </row>
    <row r="30" ht="21.5" customHeight="1" s="42">
      <c r="A30" s="35" t="inlineStr">
        <is>
          <t>SCT000002</t>
        </is>
      </c>
      <c r="B30" s="35" t="inlineStr">
        <is>
          <t>IPS LCD</t>
        </is>
      </c>
      <c r="C30" s="35" t="inlineStr">
        <is>
          <t>In-Plane Switching LCD</t>
        </is>
      </c>
      <c r="D30" s="35" t="n">
        <v>2</v>
      </c>
      <c r="E30" s="35" t="b">
        <v>1</v>
      </c>
    </row>
    <row r="31" ht="21.5" customHeight="1" s="42">
      <c r="A31" s="35" t="inlineStr">
        <is>
          <t>SCT000003</t>
        </is>
      </c>
      <c r="B31" s="35" t="inlineStr">
        <is>
          <t>OLED</t>
        </is>
      </c>
      <c r="C31" s="35" t="inlineStr">
        <is>
          <t>Organic LED</t>
        </is>
      </c>
      <c r="D31" s="35" t="n">
        <v>3</v>
      </c>
      <c r="E31" s="35" t="b">
        <v>1</v>
      </c>
    </row>
    <row r="32" ht="21.5" customHeight="1" s="42">
      <c r="A32" s="35" t="inlineStr">
        <is>
          <t>SCT000004</t>
        </is>
      </c>
      <c r="B32" s="35" t="inlineStr">
        <is>
          <t>AMOLED</t>
        </is>
      </c>
      <c r="C32" s="35" t="inlineStr">
        <is>
          <t>Active Matrix OLED</t>
        </is>
      </c>
      <c r="D32" s="35" t="n">
        <v>4</v>
      </c>
      <c r="E32" s="35" t="b">
        <v>1</v>
      </c>
    </row>
    <row r="33" ht="21.5" customHeight="1" s="42">
      <c r="A33" s="35" t="inlineStr">
        <is>
          <t>SCT000005</t>
        </is>
      </c>
      <c r="B33" s="35" t="inlineStr">
        <is>
          <t>Dynamic AMOLED</t>
        </is>
      </c>
      <c r="C33" s="35" t="inlineStr">
        <is>
          <t>Samsung AMOLED</t>
        </is>
      </c>
      <c r="D33" s="35" t="n">
        <v>5</v>
      </c>
      <c r="E33" s="35" t="b">
        <v>1</v>
      </c>
    </row>
    <row r="34" ht="21.5" customHeight="1" s="42">
      <c r="A34" s="35" t="inlineStr">
        <is>
          <t>SCT000006</t>
        </is>
      </c>
      <c r="B34" s="35" t="inlineStr">
        <is>
          <t>LTPO OLED</t>
        </is>
      </c>
      <c r="C34" s="35" t="inlineStr">
        <is>
          <t>Adaptive refresh OLED</t>
        </is>
      </c>
      <c r="D34" s="35" t="n">
        <v>6</v>
      </c>
      <c r="E34" s="35" t="b">
        <v>1</v>
      </c>
    </row>
    <row r="35" ht="21.5" customHeight="1" s="42">
      <c r="A35" s="35" t="inlineStr">
        <is>
          <t>SCT000007</t>
        </is>
      </c>
      <c r="B35" s="35" t="inlineStr">
        <is>
          <t>Retina</t>
        </is>
      </c>
      <c r="C35" s="35" t="inlineStr">
        <is>
          <t>Apple Retina</t>
        </is>
      </c>
      <c r="D35" s="35" t="n">
        <v>7</v>
      </c>
      <c r="E35" s="35" t="b">
        <v>1</v>
      </c>
    </row>
    <row r="36" ht="21.5" customHeight="1" s="42">
      <c r="A36" s="35" t="inlineStr">
        <is>
          <t>SCT000008</t>
        </is>
      </c>
      <c r="B36" s="35" t="inlineStr">
        <is>
          <t>Liquid Retina</t>
        </is>
      </c>
      <c r="C36" s="35" t="inlineStr">
        <is>
          <t>Apple LCD</t>
        </is>
      </c>
      <c r="D36" s="35" t="n">
        <v>8</v>
      </c>
      <c r="E36" s="35" t="b">
        <v>1</v>
      </c>
    </row>
    <row r="37" ht="21.5" customHeight="1" s="42">
      <c r="A37" s="35" t="inlineStr">
        <is>
          <t>SCT000009</t>
        </is>
      </c>
      <c r="B37" s="35" t="inlineStr">
        <is>
          <t>Super Retina XDR</t>
        </is>
      </c>
      <c r="C37" s="35" t="inlineStr">
        <is>
          <t>Apple OLED</t>
        </is>
      </c>
      <c r="D37" s="35" t="n">
        <v>9</v>
      </c>
      <c r="E37" s="35" t="b">
        <v>1</v>
      </c>
    </row>
    <row r="38" ht="21.5" customHeight="1" s="42">
      <c r="A38" s="35" t="inlineStr">
        <is>
          <t>SCT000010</t>
        </is>
      </c>
      <c r="B38" s="35" t="inlineStr">
        <is>
          <t>miniLED</t>
        </is>
      </c>
      <c r="C38" s="35" t="inlineStr">
        <is>
          <t>Mini LED</t>
        </is>
      </c>
      <c r="D38" s="35" t="n">
        <v>10</v>
      </c>
      <c r="E38" s="35" t="b">
        <v>1</v>
      </c>
    </row>
    <row r="40" ht="21.5" customHeight="1" s="42">
      <c r="A40" s="45" t="inlineStr">
        <is>
          <t>ID</t>
        </is>
      </c>
      <c r="B40" s="45" t="inlineStr">
        <is>
          <t>Name</t>
        </is>
      </c>
      <c r="C40" s="45" t="inlineStr">
        <is>
          <t>Description</t>
        </is>
      </c>
      <c r="D40" s="45" t="inlineStr">
        <is>
          <t>DisplayOrder</t>
        </is>
      </c>
      <c r="E40" s="45" t="inlineStr">
        <is>
          <t>Active</t>
        </is>
      </c>
    </row>
    <row r="41" ht="21.5" customHeight="1" s="42">
      <c r="A41" s="35" t="inlineStr">
        <is>
          <t>CPU000001</t>
        </is>
      </c>
      <c r="B41" s="35" t="inlineStr">
        <is>
          <t>Apple</t>
        </is>
      </c>
      <c r="C41" s="35" t="inlineStr">
        <is>
          <t>Apple Silicon</t>
        </is>
      </c>
      <c r="D41" s="35" t="n">
        <v>1</v>
      </c>
      <c r="E41" s="35" t="b">
        <v>1</v>
      </c>
    </row>
    <row r="42" ht="21.5" customHeight="1" s="42">
      <c r="A42" s="35" t="inlineStr">
        <is>
          <t>CPU000002</t>
        </is>
      </c>
      <c r="B42" s="35" t="inlineStr">
        <is>
          <t>Qualcomm</t>
        </is>
      </c>
      <c r="C42" s="35" t="inlineStr">
        <is>
          <t>Snapdragon</t>
        </is>
      </c>
      <c r="D42" s="35" t="n">
        <v>2</v>
      </c>
      <c r="E42" s="35" t="b">
        <v>1</v>
      </c>
    </row>
    <row r="43" ht="21.5" customHeight="1" s="42">
      <c r="A43" s="35" t="inlineStr">
        <is>
          <t>CPU000003</t>
        </is>
      </c>
      <c r="B43" s="35" t="inlineStr">
        <is>
          <t>MediaTek</t>
        </is>
      </c>
      <c r="C43" s="35" t="inlineStr">
        <is>
          <t>Dimensity/Helio</t>
        </is>
      </c>
      <c r="D43" s="35" t="n">
        <v>3</v>
      </c>
      <c r="E43" s="35" t="b">
        <v>1</v>
      </c>
    </row>
    <row r="44" ht="21.5" customHeight="1" s="42">
      <c r="A44" s="35" t="inlineStr">
        <is>
          <t>CPU000004</t>
        </is>
      </c>
      <c r="B44" s="35" t="inlineStr">
        <is>
          <t>Samsung Exynos</t>
        </is>
      </c>
      <c r="C44" s="35" t="inlineStr">
        <is>
          <t>Exynos</t>
        </is>
      </c>
      <c r="D44" s="35" t="n">
        <v>4</v>
      </c>
      <c r="E44" s="35" t="b">
        <v>1</v>
      </c>
    </row>
    <row r="45" ht="21.5" customHeight="1" s="42">
      <c r="A45" s="35" t="inlineStr">
        <is>
          <t>CPU000005</t>
        </is>
      </c>
      <c r="B45" s="35" t="inlineStr">
        <is>
          <t>Google</t>
        </is>
      </c>
      <c r="C45" s="35" t="inlineStr">
        <is>
          <t>Tensor</t>
        </is>
      </c>
      <c r="D45" s="35" t="n">
        <v>5</v>
      </c>
      <c r="E45" s="35" t="b">
        <v>1</v>
      </c>
    </row>
    <row r="46" ht="21.5" customHeight="1" s="42">
      <c r="A46" s="35" t="inlineStr">
        <is>
          <t>CPU000006</t>
        </is>
      </c>
      <c r="B46" s="35" t="inlineStr">
        <is>
          <t>Intel</t>
        </is>
      </c>
      <c r="C46" s="35" t="inlineStr">
        <is>
          <t>Intel CPUs</t>
        </is>
      </c>
      <c r="D46" s="35" t="n">
        <v>6</v>
      </c>
      <c r="E46" s="35" t="b">
        <v>1</v>
      </c>
    </row>
    <row r="47" ht="21.5" customHeight="1" s="42">
      <c r="A47" s="35" t="inlineStr">
        <is>
          <t>CPU000007</t>
        </is>
      </c>
      <c r="B47" s="35" t="inlineStr">
        <is>
          <t>AMD</t>
        </is>
      </c>
      <c r="C47" s="35" t="inlineStr">
        <is>
          <t>Ryzen</t>
        </is>
      </c>
      <c r="D47" s="35" t="n">
        <v>7</v>
      </c>
      <c r="E47" s="35" t="b">
        <v>1</v>
      </c>
    </row>
    <row r="48" ht="21.5" customHeight="1" s="42">
      <c r="A48" s="35" t="inlineStr">
        <is>
          <t>CPU000008</t>
        </is>
      </c>
      <c r="B48" s="35" t="inlineStr">
        <is>
          <t>NVIDIA</t>
        </is>
      </c>
      <c r="C48" s="35" t="inlineStr">
        <is>
          <t>Tegra</t>
        </is>
      </c>
      <c r="D48" s="35" t="n">
        <v>8</v>
      </c>
      <c r="E48" s="35" t="b">
        <v>1</v>
      </c>
    </row>
    <row r="49" ht="21.5" customHeight="1" s="42">
      <c r="A49" s="35" t="inlineStr">
        <is>
          <t>CPU000009</t>
        </is>
      </c>
      <c r="B49" s="35" t="inlineStr">
        <is>
          <t>Huawei HiSilicon</t>
        </is>
      </c>
      <c r="C49" s="35" t="inlineStr">
        <is>
          <t>Kirin</t>
        </is>
      </c>
      <c r="D49" s="35" t="n">
        <v>9</v>
      </c>
      <c r="E49" s="35" t="b">
        <v>1</v>
      </c>
    </row>
    <row r="50" ht="21.5" customHeight="1" s="42">
      <c r="A50" s="35" t="inlineStr">
        <is>
          <t>CPU000010</t>
        </is>
      </c>
      <c r="B50" s="35" t="inlineStr">
        <is>
          <t>UNISOC</t>
        </is>
      </c>
      <c r="C50" s="35" t="inlineStr">
        <is>
          <t>UNISOC</t>
        </is>
      </c>
      <c r="D50" s="35" t="n">
        <v>10</v>
      </c>
      <c r="E50" s="35" t="b">
        <v>1</v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11"/>
    </sheetView>
  </sheetViews>
  <sheetFormatPr baseColWidth="8" defaultRowHeight="14.5"/>
  <cols>
    <col width="19.26953125" bestFit="1" customWidth="1" style="42" min="1" max="1"/>
    <col width="19.36328125" bestFit="1" customWidth="1" style="42" min="2" max="2"/>
  </cols>
  <sheetData>
    <row r="1">
      <c r="A1" s="62" t="inlineStr">
        <is>
          <t>Tool Category ID</t>
        </is>
      </c>
      <c r="B1" s="62" t="inlineStr">
        <is>
          <t>Category</t>
        </is>
      </c>
    </row>
    <row r="2">
      <c r="A2" s="63" t="inlineStr">
        <is>
          <t>TCAT001</t>
        </is>
      </c>
      <c r="B2" s="63" t="inlineStr">
        <is>
          <t>Screwdrivers</t>
        </is>
      </c>
    </row>
    <row r="3">
      <c r="A3" s="63" t="inlineStr">
        <is>
          <t>TCAT002</t>
        </is>
      </c>
      <c r="B3" s="63" t="inlineStr">
        <is>
          <t>Opening Tools</t>
        </is>
      </c>
    </row>
    <row r="4">
      <c r="A4" s="63" t="inlineStr">
        <is>
          <t>TCAT003</t>
        </is>
      </c>
      <c r="B4" s="63" t="inlineStr">
        <is>
          <t>Pry Tools</t>
        </is>
      </c>
    </row>
    <row r="5">
      <c r="A5" s="63" t="inlineStr">
        <is>
          <t>TCAT004</t>
        </is>
      </c>
      <c r="B5" s="63" t="inlineStr">
        <is>
          <t>Tweezers</t>
        </is>
      </c>
    </row>
    <row r="6">
      <c r="A6" s="63" t="inlineStr">
        <is>
          <t>TCAT005</t>
        </is>
      </c>
      <c r="B6" s="63" t="inlineStr">
        <is>
          <t>Heating Equipment</t>
        </is>
      </c>
    </row>
    <row r="7">
      <c r="A7" s="63" t="inlineStr">
        <is>
          <t>TCAT006</t>
        </is>
      </c>
      <c r="B7" s="63" t="inlineStr">
        <is>
          <t>Cleaning Tools</t>
        </is>
      </c>
    </row>
    <row r="8">
      <c r="A8" s="63" t="inlineStr">
        <is>
          <t>TCAT007</t>
        </is>
      </c>
      <c r="B8" s="63" t="inlineStr">
        <is>
          <t>Measuring Equipment</t>
        </is>
      </c>
    </row>
    <row r="9">
      <c r="A9" s="63" t="inlineStr">
        <is>
          <t>TCAT008</t>
        </is>
      </c>
      <c r="B9" s="63" t="inlineStr">
        <is>
          <t>Soldering Equipment</t>
        </is>
      </c>
    </row>
    <row r="10">
      <c r="A10" s="63" t="inlineStr">
        <is>
          <t>TCAT009</t>
        </is>
      </c>
      <c r="B10" s="63" t="inlineStr">
        <is>
          <t>Microscopes</t>
        </is>
      </c>
    </row>
    <row r="11">
      <c r="A11" s="63" t="inlineStr">
        <is>
          <t>TCAT010</t>
        </is>
      </c>
      <c r="B11" s="63" t="inlineStr">
        <is>
          <t>Safety Equipment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2" sqref="A2"/>
    </sheetView>
  </sheetViews>
  <sheetFormatPr baseColWidth="8" defaultRowHeight="14.5"/>
  <cols>
    <col width="14.26953125" bestFit="1" customWidth="1" style="42" min="1" max="1"/>
    <col width="9.5429687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4" bestFit="1" customWidth="1" style="42" min="7" max="7"/>
    <col width="16.726562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4.08984375" bestFit="1" customWidth="1" style="42" min="13" max="14"/>
    <col width="15" bestFit="1" customWidth="1" style="42" min="15" max="15"/>
    <col width="16.81640625" bestFit="1" customWidth="1" style="42" min="16" max="16"/>
    <col width="9.81640625" bestFit="1" customWidth="1" style="42" min="17" max="17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7" t="inlineStr">
        <is>
          <t>WAR000001</t>
        </is>
      </c>
      <c r="B2" s="37" t="inlineStr">
        <is>
          <t>No Warranty</t>
        </is>
      </c>
      <c r="C2" s="37" t="inlineStr">
        <is>
          <t>No Warranty</t>
        </is>
      </c>
      <c r="D2" s="35" t="n">
        <v>1</v>
      </c>
      <c r="E2" s="35" t="b">
        <v>1</v>
      </c>
      <c r="G2" s="35" t="inlineStr">
        <is>
          <t>WST000001</t>
        </is>
      </c>
      <c r="H2" s="35" t="inlineStr">
        <is>
          <t>Valid</t>
        </is>
      </c>
      <c r="I2" s="35" t="n"/>
      <c r="J2" s="35" t="n">
        <v>1</v>
      </c>
      <c r="K2" s="35" t="b">
        <v>1</v>
      </c>
      <c r="M2" s="35" t="inlineStr">
        <is>
          <t>WPR000001</t>
        </is>
      </c>
      <c r="N2" s="35" t="inlineStr">
        <is>
          <t>Nocturnix</t>
        </is>
      </c>
      <c r="O2" s="35" t="n"/>
      <c r="P2" s="35" t="n">
        <v>1</v>
      </c>
      <c r="Q2" s="35" t="b">
        <v>1</v>
      </c>
    </row>
    <row r="3" ht="21.5" customHeight="1" s="42">
      <c r="A3" s="37" t="inlineStr">
        <is>
          <t>WAR000002</t>
        </is>
      </c>
      <c r="B3" s="37" t="inlineStr">
        <is>
          <t>30 Days Limited</t>
        </is>
      </c>
      <c r="C3" s="37" t="inlineStr">
        <is>
          <t>30 Days Limited</t>
        </is>
      </c>
      <c r="D3" s="35" t="n">
        <v>2</v>
      </c>
      <c r="E3" s="35" t="b">
        <v>1</v>
      </c>
      <c r="G3" s="35" t="inlineStr">
        <is>
          <t>WST000002</t>
        </is>
      </c>
      <c r="H3" s="35" t="inlineStr">
        <is>
          <t>Expired</t>
        </is>
      </c>
      <c r="I3" s="35" t="n"/>
      <c r="J3" s="35" t="n">
        <v>2</v>
      </c>
      <c r="K3" s="35" t="b">
        <v>1</v>
      </c>
      <c r="M3" s="35" t="inlineStr">
        <is>
          <t>WPR000002</t>
        </is>
      </c>
      <c r="N3" s="35" t="inlineStr">
        <is>
          <t>Apple</t>
        </is>
      </c>
      <c r="O3" s="35" t="n"/>
      <c r="P3" s="35" t="n">
        <v>2</v>
      </c>
      <c r="Q3" s="35" t="b">
        <v>1</v>
      </c>
    </row>
    <row r="4" ht="21.5" customHeight="1" s="42">
      <c r="A4" s="37" t="inlineStr">
        <is>
          <t>WAR000003</t>
        </is>
      </c>
      <c r="B4" s="37" t="inlineStr">
        <is>
          <t>60 Days Limited</t>
        </is>
      </c>
      <c r="C4" s="37" t="inlineStr">
        <is>
          <t>60 Days Limited</t>
        </is>
      </c>
      <c r="D4" s="35" t="n">
        <v>3</v>
      </c>
      <c r="E4" s="35" t="b">
        <v>1</v>
      </c>
      <c r="G4" s="35" t="inlineStr">
        <is>
          <t>WST000003</t>
        </is>
      </c>
      <c r="H4" s="35" t="inlineStr">
        <is>
          <t>Voided</t>
        </is>
      </c>
      <c r="I4" s="35" t="n"/>
      <c r="J4" s="35" t="n">
        <v>3</v>
      </c>
      <c r="K4" s="35" t="b">
        <v>1</v>
      </c>
      <c r="M4" s="35" t="inlineStr">
        <is>
          <t>WPR000003</t>
        </is>
      </c>
      <c r="N4" s="35" t="inlineStr">
        <is>
          <t>Samsung</t>
        </is>
      </c>
      <c r="O4" s="35" t="n"/>
      <c r="P4" s="35" t="n">
        <v>3</v>
      </c>
      <c r="Q4" s="35" t="b">
        <v>1</v>
      </c>
    </row>
    <row r="5" ht="21.5" customHeight="1" s="42">
      <c r="A5" s="37" t="inlineStr">
        <is>
          <t>WAR000004</t>
        </is>
      </c>
      <c r="B5" s="37" t="inlineStr">
        <is>
          <t>90 Days Limited</t>
        </is>
      </c>
      <c r="C5" s="37" t="inlineStr">
        <is>
          <t>90 Days Limited</t>
        </is>
      </c>
      <c r="D5" s="35" t="n">
        <v>4</v>
      </c>
      <c r="E5" s="35" t="b">
        <v>1</v>
      </c>
      <c r="G5" s="35" t="inlineStr">
        <is>
          <t>WST000004</t>
        </is>
      </c>
      <c r="H5" s="35" t="inlineStr">
        <is>
          <t>Pending Review</t>
        </is>
      </c>
      <c r="I5" s="35" t="n"/>
      <c r="J5" s="35" t="n">
        <v>4</v>
      </c>
      <c r="K5" s="35" t="b">
        <v>1</v>
      </c>
      <c r="M5" s="35" t="inlineStr">
        <is>
          <t>WPR000004</t>
        </is>
      </c>
      <c r="N5" s="35" t="inlineStr">
        <is>
          <t>Asurion</t>
        </is>
      </c>
      <c r="O5" s="35" t="n"/>
      <c r="P5" s="35" t="n">
        <v>4</v>
      </c>
      <c r="Q5" s="35" t="b">
        <v>1</v>
      </c>
    </row>
    <row r="6" ht="21.5" customHeight="1" s="42">
      <c r="A6" s="37" t="inlineStr">
        <is>
          <t>WAR000005</t>
        </is>
      </c>
      <c r="B6" s="37" t="inlineStr">
        <is>
          <t>180 Days Limited</t>
        </is>
      </c>
      <c r="C6" s="37" t="inlineStr">
        <is>
          <t>180 Days Limited</t>
        </is>
      </c>
      <c r="D6" s="35" t="n">
        <v>5</v>
      </c>
      <c r="E6" s="35" t="b">
        <v>1</v>
      </c>
      <c r="M6" s="35" t="inlineStr">
        <is>
          <t>WPR000005</t>
        </is>
      </c>
      <c r="N6" s="35" t="inlineStr">
        <is>
          <t>SquareTrade</t>
        </is>
      </c>
      <c r="O6" s="35" t="n"/>
      <c r="P6" s="35" t="n">
        <v>5</v>
      </c>
      <c r="Q6" s="35" t="b">
        <v>1</v>
      </c>
    </row>
    <row r="7" ht="21.5" customHeight="1" s="42">
      <c r="A7" s="37" t="inlineStr">
        <is>
          <t>WAR000006</t>
        </is>
      </c>
      <c r="B7" s="37" t="inlineStr">
        <is>
          <t>1 Year Limited</t>
        </is>
      </c>
      <c r="C7" s="37" t="inlineStr">
        <is>
          <t>2 Year Limited</t>
        </is>
      </c>
      <c r="D7" s="35" t="n">
        <v>6</v>
      </c>
      <c r="E7" s="35" t="b">
        <v>1</v>
      </c>
      <c r="M7" s="35" t="inlineStr">
        <is>
          <t>WPR000006</t>
        </is>
      </c>
      <c r="N7" s="35" t="inlineStr">
        <is>
          <t>Allstate</t>
        </is>
      </c>
      <c r="O7" s="35" t="n"/>
      <c r="P7" s="35" t="n">
        <v>6</v>
      </c>
      <c r="Q7" s="35" t="b">
        <v>1</v>
      </c>
    </row>
    <row r="8" ht="21.5" customHeight="1" s="42">
      <c r="A8" s="37" t="inlineStr">
        <is>
          <t>WAR000007</t>
        </is>
      </c>
      <c r="B8" s="37" t="inlineStr">
        <is>
          <t>Lifetime Limited</t>
        </is>
      </c>
      <c r="C8" s="37" t="inlineStr">
        <is>
          <t>Lifetime Limited</t>
        </is>
      </c>
      <c r="D8" s="35" t="n">
        <v>7</v>
      </c>
      <c r="E8" s="35" t="b">
        <v>1</v>
      </c>
    </row>
    <row r="9" ht="21.5" customHeight="1" s="42">
      <c r="A9" s="37" t="inlineStr">
        <is>
          <t>WAR000008</t>
        </is>
      </c>
      <c r="B9" s="37" t="inlineStr">
        <is>
          <t>Manufacturer Warranty</t>
        </is>
      </c>
      <c r="C9" s="37" t="inlineStr">
        <is>
          <t>Manufacturer Warranty</t>
        </is>
      </c>
      <c r="D9" s="35" t="n">
        <v>8</v>
      </c>
      <c r="E9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2" sqref="A2"/>
    </sheetView>
  </sheetViews>
  <sheetFormatPr baseColWidth="8" defaultRowHeight="14.5"/>
  <cols>
    <col width="13.54296875" bestFit="1" customWidth="1" style="42" min="1" max="1"/>
    <col width="19.179687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21.089843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54296875" bestFit="1" customWidth="1" style="42" min="13" max="13"/>
    <col width="9.54296875" bestFit="1" customWidth="1" style="42" min="14" max="14"/>
    <col width="17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PAY000001</t>
        </is>
      </c>
      <c r="B2" s="35" t="inlineStr">
        <is>
          <t>Cash</t>
        </is>
      </c>
      <c r="C2" s="35" t="inlineStr">
        <is>
          <t>Cash</t>
        </is>
      </c>
      <c r="D2" s="35" t="n">
        <v>1</v>
      </c>
      <c r="E2" s="35" t="b">
        <v>1</v>
      </c>
      <c r="G2" s="35" t="inlineStr">
        <is>
          <t>SHP000001</t>
        </is>
      </c>
      <c r="H2" s="35" t="inlineStr">
        <is>
          <t>USPS</t>
        </is>
      </c>
      <c r="I2" s="35" t="inlineStr">
        <is>
          <t>Postal</t>
        </is>
      </c>
      <c r="J2" s="35" t="n">
        <v>1</v>
      </c>
      <c r="K2" s="35" t="b">
        <v>1</v>
      </c>
      <c r="M2" s="35" t="inlineStr">
        <is>
          <t>TAX000001</t>
        </is>
      </c>
      <c r="N2" s="64" t="n">
        <v>0</v>
      </c>
      <c r="O2" s="35" t="inlineStr">
        <is>
          <t>Tax Exempt</t>
        </is>
      </c>
      <c r="P2" s="35" t="n">
        <v>1</v>
      </c>
      <c r="Q2" s="35" t="b">
        <v>1</v>
      </c>
    </row>
    <row r="3" ht="21.5" customHeight="1" s="42">
      <c r="A3" s="35" t="inlineStr">
        <is>
          <t>PAY000002</t>
        </is>
      </c>
      <c r="B3" s="35" t="inlineStr">
        <is>
          <t>Credit Card</t>
        </is>
      </c>
      <c r="C3" s="35" t="inlineStr">
        <is>
          <t>Credit</t>
        </is>
      </c>
      <c r="D3" s="35" t="n">
        <v>2</v>
      </c>
      <c r="E3" s="35" t="b">
        <v>1</v>
      </c>
      <c r="G3" s="35" t="inlineStr">
        <is>
          <t>SHP000002</t>
        </is>
      </c>
      <c r="H3" s="35" t="inlineStr">
        <is>
          <t>UPS</t>
        </is>
      </c>
      <c r="I3" s="35" t="inlineStr">
        <is>
          <t>UPS</t>
        </is>
      </c>
      <c r="J3" s="35" t="n">
        <v>2</v>
      </c>
      <c r="K3" s="35" t="b">
        <v>1</v>
      </c>
      <c r="M3" s="35" t="inlineStr">
        <is>
          <t>TAX000002</t>
        </is>
      </c>
      <c r="N3" s="64" t="n">
        <v>0.01</v>
      </c>
      <c r="O3" s="35" t="inlineStr">
        <is>
          <t>Local Option Tax</t>
        </is>
      </c>
      <c r="P3" s="35" t="n">
        <v>2</v>
      </c>
      <c r="Q3" s="35" t="b">
        <v>1</v>
      </c>
    </row>
    <row r="4" ht="21.5" customHeight="1" s="42">
      <c r="A4" s="35" t="inlineStr">
        <is>
          <t>PAY000003</t>
        </is>
      </c>
      <c r="B4" s="35" t="inlineStr">
        <is>
          <t>Debit Card</t>
        </is>
      </c>
      <c r="C4" s="35" t="inlineStr">
        <is>
          <t>Debit</t>
        </is>
      </c>
      <c r="D4" s="35" t="n">
        <v>3</v>
      </c>
      <c r="E4" s="35" t="b">
        <v>1</v>
      </c>
      <c r="G4" s="35" t="inlineStr">
        <is>
          <t>SHP000003</t>
        </is>
      </c>
      <c r="H4" s="35" t="inlineStr">
        <is>
          <t>FedEx</t>
        </is>
      </c>
      <c r="I4" s="35" t="inlineStr">
        <is>
          <t>FedEx</t>
        </is>
      </c>
      <c r="J4" s="35" t="n">
        <v>3</v>
      </c>
      <c r="K4" s="35" t="b">
        <v>1</v>
      </c>
      <c r="M4" s="35" t="inlineStr">
        <is>
          <t>TAX000003</t>
        </is>
      </c>
      <c r="N4" s="64" t="n">
        <v>0.02</v>
      </c>
      <c r="O4" s="35" t="inlineStr">
        <is>
          <t>Standard</t>
        </is>
      </c>
      <c r="P4" s="35" t="n">
        <v>3</v>
      </c>
      <c r="Q4" s="35" t="b">
        <v>1</v>
      </c>
    </row>
    <row r="5" ht="21.5" customHeight="1" s="42">
      <c r="A5" s="35" t="inlineStr">
        <is>
          <t>PAY000004</t>
        </is>
      </c>
      <c r="B5" s="35" t="inlineStr">
        <is>
          <t>Square</t>
        </is>
      </c>
      <c r="C5" s="35" t="inlineStr">
        <is>
          <t>Square POS</t>
        </is>
      </c>
      <c r="D5" s="35" t="n">
        <v>4</v>
      </c>
      <c r="E5" s="35" t="b">
        <v>1</v>
      </c>
      <c r="G5" s="35" t="inlineStr">
        <is>
          <t>SHP000004</t>
        </is>
      </c>
      <c r="H5" s="35" t="inlineStr">
        <is>
          <t>DHL</t>
        </is>
      </c>
      <c r="I5" s="35" t="inlineStr">
        <is>
          <t>DHL</t>
        </is>
      </c>
      <c r="J5" s="35" t="n">
        <v>4</v>
      </c>
      <c r="K5" s="35" t="b">
        <v>1</v>
      </c>
      <c r="M5" s="35" t="inlineStr">
        <is>
          <t>TAX000004</t>
        </is>
      </c>
      <c r="N5" s="64" t="n">
        <v>0.03</v>
      </c>
      <c r="O5" s="35" t="inlineStr">
        <is>
          <t>Standard</t>
        </is>
      </c>
      <c r="P5" s="35" t="n">
        <v>4</v>
      </c>
      <c r="Q5" s="35" t="b">
        <v>1</v>
      </c>
    </row>
    <row r="6" ht="21.5" customHeight="1" s="42">
      <c r="A6" s="35" t="inlineStr">
        <is>
          <t>PAY000005</t>
        </is>
      </c>
      <c r="B6" s="35" t="inlineStr">
        <is>
          <t>Apple Pay</t>
        </is>
      </c>
      <c r="C6" s="35" t="inlineStr">
        <is>
          <t>Apple</t>
        </is>
      </c>
      <c r="D6" s="35" t="n">
        <v>5</v>
      </c>
      <c r="E6" s="35" t="b">
        <v>1</v>
      </c>
      <c r="G6" s="35" t="inlineStr">
        <is>
          <t>SHP000005</t>
        </is>
      </c>
      <c r="H6" s="35" t="inlineStr">
        <is>
          <t>Local Pickup</t>
        </is>
      </c>
      <c r="I6" s="35" t="inlineStr">
        <is>
          <t>Pickup</t>
        </is>
      </c>
      <c r="J6" s="35" t="n">
        <v>5</v>
      </c>
      <c r="K6" s="35" t="b">
        <v>1</v>
      </c>
      <c r="M6" s="35" t="inlineStr">
        <is>
          <t>TAX000005</t>
        </is>
      </c>
      <c r="N6" s="64" t="n">
        <v>0.04</v>
      </c>
      <c r="O6" s="35" t="inlineStr">
        <is>
          <t>Standard</t>
        </is>
      </c>
      <c r="P6" s="35" t="n">
        <v>5</v>
      </c>
      <c r="Q6" s="35" t="b">
        <v>1</v>
      </c>
    </row>
    <row r="7" ht="21.5" customHeight="1" s="42">
      <c r="A7" s="35" t="inlineStr">
        <is>
          <t>PAY000006</t>
        </is>
      </c>
      <c r="B7" s="35" t="inlineStr">
        <is>
          <t>Google Pay</t>
        </is>
      </c>
      <c r="C7" s="35" t="inlineStr">
        <is>
          <t>Google</t>
        </is>
      </c>
      <c r="D7" s="35" t="n">
        <v>6</v>
      </c>
      <c r="E7" s="35" t="b">
        <v>1</v>
      </c>
      <c r="G7" s="35" t="inlineStr">
        <is>
          <t>SHP000006</t>
        </is>
      </c>
      <c r="H7" s="35" t="inlineStr">
        <is>
          <t>Courier</t>
        </is>
      </c>
      <c r="I7" s="35" t="inlineStr">
        <is>
          <t>Courier</t>
        </is>
      </c>
      <c r="J7" s="35" t="n">
        <v>6</v>
      </c>
      <c r="K7" s="35" t="b">
        <v>1</v>
      </c>
      <c r="M7" s="35" t="inlineStr">
        <is>
          <t>TAX000006</t>
        </is>
      </c>
      <c r="N7" s="64" t="n">
        <v>0.05</v>
      </c>
      <c r="O7" s="35" t="inlineStr">
        <is>
          <t>Standard</t>
        </is>
      </c>
      <c r="P7" s="35" t="n">
        <v>6</v>
      </c>
      <c r="Q7" s="35" t="b">
        <v>1</v>
      </c>
    </row>
    <row r="8" ht="21.5" customHeight="1" s="42">
      <c r="A8" s="35" t="inlineStr">
        <is>
          <t>PAY000007</t>
        </is>
      </c>
      <c r="B8" s="35" t="inlineStr">
        <is>
          <t>PayPal</t>
        </is>
      </c>
      <c r="C8" s="35" t="inlineStr">
        <is>
          <t>PayPal</t>
        </is>
      </c>
      <c r="D8" s="35" t="n">
        <v>7</v>
      </c>
      <c r="E8" s="35" t="b">
        <v>1</v>
      </c>
      <c r="M8" s="35" t="inlineStr">
        <is>
          <t>TAX000007</t>
        </is>
      </c>
      <c r="N8" s="64" t="n">
        <v>0.06</v>
      </c>
      <c r="O8" s="35" t="inlineStr">
        <is>
          <t>Standard</t>
        </is>
      </c>
      <c r="P8" s="35" t="n">
        <v>7</v>
      </c>
      <c r="Q8" s="35" t="b">
        <v>1</v>
      </c>
    </row>
    <row r="9" ht="21.5" customHeight="1" s="42">
      <c r="A9" s="35" t="inlineStr">
        <is>
          <t>PAY000008</t>
        </is>
      </c>
      <c r="B9" s="35" t="inlineStr">
        <is>
          <t>Bank Transfer</t>
        </is>
      </c>
      <c r="C9" s="35" t="inlineStr">
        <is>
          <t>ACH</t>
        </is>
      </c>
      <c r="D9" s="35" t="n">
        <v>8</v>
      </c>
      <c r="E9" s="35" t="b">
        <v>1</v>
      </c>
      <c r="G9" s="65" t="inlineStr">
        <is>
          <t>ID</t>
        </is>
      </c>
      <c r="H9" s="66" t="inlineStr">
        <is>
          <t>Name</t>
        </is>
      </c>
      <c r="I9" s="66" t="inlineStr">
        <is>
          <t>Description</t>
        </is>
      </c>
      <c r="J9" s="66" t="inlineStr">
        <is>
          <t>DisplayOrder</t>
        </is>
      </c>
      <c r="K9" s="67" t="inlineStr">
        <is>
          <t>Active</t>
        </is>
      </c>
      <c r="M9" s="35" t="inlineStr">
        <is>
          <t>TAX000008</t>
        </is>
      </c>
      <c r="N9" s="64" t="n">
        <v>0.07000000000000001</v>
      </c>
      <c r="O9" s="35" t="inlineStr">
        <is>
          <t>Standard</t>
        </is>
      </c>
      <c r="P9" s="35" t="n">
        <v>8</v>
      </c>
      <c r="Q9" s="35" t="b">
        <v>1</v>
      </c>
    </row>
    <row r="10" ht="21.5" customHeight="1" s="42">
      <c r="G10" s="47" t="inlineStr">
        <is>
          <t>SPS000001</t>
        </is>
      </c>
      <c r="H10" s="35" t="inlineStr">
        <is>
          <t>Preparing Shipment</t>
        </is>
      </c>
      <c r="I10" s="35" t="inlineStr">
        <is>
          <t>Preparing Shipment</t>
        </is>
      </c>
      <c r="J10" s="17" t="n">
        <v>1</v>
      </c>
      <c r="K10" s="17" t="b">
        <v>1</v>
      </c>
      <c r="M10" s="35" t="inlineStr">
        <is>
          <t>TAX000009</t>
        </is>
      </c>
      <c r="N10" s="64" t="n">
        <v>0.08</v>
      </c>
      <c r="O10" s="35" t="inlineStr">
        <is>
          <t>Standard</t>
        </is>
      </c>
      <c r="P10" s="35" t="n">
        <v>9</v>
      </c>
      <c r="Q10" s="35" t="b">
        <v>1</v>
      </c>
    </row>
    <row r="11" ht="21.5" customHeight="1" s="42">
      <c r="A11" s="65" t="inlineStr">
        <is>
          <t>ID</t>
        </is>
      </c>
      <c r="B11" s="66" t="inlineStr">
        <is>
          <t>Name</t>
        </is>
      </c>
      <c r="C11" s="66" t="inlineStr">
        <is>
          <t>Description</t>
        </is>
      </c>
      <c r="D11" s="66" t="inlineStr">
        <is>
          <t>DisplayOrder</t>
        </is>
      </c>
      <c r="E11" s="67" t="inlineStr">
        <is>
          <t>Active</t>
        </is>
      </c>
      <c r="G11" s="47" t="inlineStr">
        <is>
          <t>SPS000002</t>
        </is>
      </c>
      <c r="H11" s="35" t="inlineStr">
        <is>
          <t>Packed</t>
        </is>
      </c>
      <c r="I11" s="35" t="inlineStr">
        <is>
          <t>Packed</t>
        </is>
      </c>
      <c r="J11" s="17" t="n">
        <v>2</v>
      </c>
      <c r="K11" s="17" t="b">
        <v>1</v>
      </c>
      <c r="M11" s="35" t="inlineStr">
        <is>
          <t>TAX000010</t>
        </is>
      </c>
      <c r="N11" s="64" t="n">
        <v>0.09</v>
      </c>
      <c r="O11" s="35" t="inlineStr">
        <is>
          <t>Standard</t>
        </is>
      </c>
      <c r="P11" s="35" t="n">
        <v>10</v>
      </c>
      <c r="Q11" s="35" t="b">
        <v>1</v>
      </c>
    </row>
    <row r="12" ht="21.5" customHeight="1" s="42">
      <c r="A12" s="47" t="inlineStr">
        <is>
          <t>PYS000001</t>
        </is>
      </c>
      <c r="B12" s="46" t="inlineStr">
        <is>
          <t>Pending</t>
        </is>
      </c>
      <c r="C12" s="46" t="inlineStr">
        <is>
          <t>Pending</t>
        </is>
      </c>
      <c r="D12" s="17" t="n">
        <v>1</v>
      </c>
      <c r="E12" s="17" t="b">
        <v>1</v>
      </c>
      <c r="G12" s="47" t="inlineStr">
        <is>
          <t>SPS000003</t>
        </is>
      </c>
      <c r="H12" s="35" t="inlineStr">
        <is>
          <t>Label Created</t>
        </is>
      </c>
      <c r="I12" s="35" t="inlineStr">
        <is>
          <t>Label Created</t>
        </is>
      </c>
      <c r="J12" s="17" t="n">
        <v>3</v>
      </c>
      <c r="K12" s="17" t="b">
        <v>1</v>
      </c>
      <c r="M12" s="35" t="inlineStr">
        <is>
          <t>TAX000011</t>
        </is>
      </c>
      <c r="N12" s="64" t="n">
        <v>0.1</v>
      </c>
      <c r="O12" s="35" t="inlineStr">
        <is>
          <t>Standard</t>
        </is>
      </c>
      <c r="P12" s="35" t="n">
        <v>11</v>
      </c>
      <c r="Q12" s="35" t="b">
        <v>1</v>
      </c>
    </row>
    <row r="13" ht="21.5" customHeight="1" s="42">
      <c r="A13" s="47" t="inlineStr">
        <is>
          <t>PYS000002</t>
        </is>
      </c>
      <c r="B13" s="46" t="inlineStr">
        <is>
          <t>Authorized</t>
        </is>
      </c>
      <c r="C13" s="46" t="inlineStr">
        <is>
          <t>Authorized</t>
        </is>
      </c>
      <c r="D13" s="17" t="n">
        <v>2</v>
      </c>
      <c r="E13" s="17" t="b">
        <v>1</v>
      </c>
      <c r="G13" s="47" t="inlineStr">
        <is>
          <t>SPS000004</t>
        </is>
      </c>
      <c r="H13" s="35" t="inlineStr">
        <is>
          <t>Picked Up</t>
        </is>
      </c>
      <c r="I13" s="35" t="inlineStr">
        <is>
          <t>Picked Up</t>
        </is>
      </c>
      <c r="J13" s="17" t="n">
        <v>4</v>
      </c>
      <c r="K13" s="17" t="b">
        <v>1</v>
      </c>
    </row>
    <row r="14" ht="21.5" customHeight="1" s="42">
      <c r="A14" s="47" t="inlineStr">
        <is>
          <t>PYS000003</t>
        </is>
      </c>
      <c r="B14" s="46" t="inlineStr">
        <is>
          <t>Partially Paid</t>
        </is>
      </c>
      <c r="C14" s="46" t="inlineStr">
        <is>
          <t>Partially Paid</t>
        </is>
      </c>
      <c r="D14" s="17" t="n">
        <v>3</v>
      </c>
      <c r="E14" s="17" t="b">
        <v>1</v>
      </c>
      <c r="G14" s="47" t="inlineStr">
        <is>
          <t>SPS000005</t>
        </is>
      </c>
      <c r="H14" s="35" t="inlineStr">
        <is>
          <t>In Transit</t>
        </is>
      </c>
      <c r="I14" s="35" t="inlineStr">
        <is>
          <t>In Transit</t>
        </is>
      </c>
      <c r="J14" s="17" t="n">
        <v>5</v>
      </c>
      <c r="K14" s="17" t="b">
        <v>1</v>
      </c>
    </row>
    <row r="15" ht="21.5" customHeight="1" s="42">
      <c r="A15" s="47" t="inlineStr">
        <is>
          <t>PYS000004</t>
        </is>
      </c>
      <c r="B15" s="46" t="inlineStr">
        <is>
          <t>Paid</t>
        </is>
      </c>
      <c r="C15" s="46" t="inlineStr">
        <is>
          <t>Paid</t>
        </is>
      </c>
      <c r="D15" s="17" t="n">
        <v>4</v>
      </c>
      <c r="E15" s="17" t="b">
        <v>1</v>
      </c>
      <c r="G15" s="47" t="inlineStr">
        <is>
          <t>SPS000006</t>
        </is>
      </c>
      <c r="H15" s="35" t="inlineStr">
        <is>
          <t>Out for Delivery</t>
        </is>
      </c>
      <c r="I15" s="35" t="inlineStr">
        <is>
          <t>Out for Delivery</t>
        </is>
      </c>
      <c r="J15" s="17" t="n">
        <v>6</v>
      </c>
      <c r="K15" s="17" t="b">
        <v>1</v>
      </c>
    </row>
    <row r="16" ht="21.5" customHeight="1" s="42">
      <c r="A16" s="47" t="inlineStr">
        <is>
          <t>PYS000005</t>
        </is>
      </c>
      <c r="B16" s="46" t="inlineStr">
        <is>
          <t>Refunded</t>
        </is>
      </c>
      <c r="C16" s="46" t="inlineStr">
        <is>
          <t>Refunded</t>
        </is>
      </c>
      <c r="D16" s="17" t="n">
        <v>5</v>
      </c>
      <c r="E16" s="17" t="b">
        <v>1</v>
      </c>
      <c r="G16" s="47" t="inlineStr">
        <is>
          <t>SPS000007</t>
        </is>
      </c>
      <c r="H16" s="35" t="inlineStr">
        <is>
          <t>Delivered</t>
        </is>
      </c>
      <c r="I16" s="35" t="inlineStr">
        <is>
          <t>Delivered</t>
        </is>
      </c>
      <c r="J16" s="17" t="n">
        <v>7</v>
      </c>
      <c r="K16" s="17" t="b">
        <v>1</v>
      </c>
    </row>
    <row r="17" ht="21.5" customHeight="1" s="42">
      <c r="A17" s="47" t="inlineStr">
        <is>
          <t>PYS000006</t>
        </is>
      </c>
      <c r="B17" s="46" t="inlineStr">
        <is>
          <t>Partially Refunded</t>
        </is>
      </c>
      <c r="C17" s="46" t="inlineStr">
        <is>
          <t>Partially Refunded</t>
        </is>
      </c>
      <c r="D17" s="17" t="n">
        <v>6</v>
      </c>
      <c r="E17" s="17" t="b">
        <v>1</v>
      </c>
      <c r="G17" s="47" t="inlineStr">
        <is>
          <t>SPS000008</t>
        </is>
      </c>
      <c r="H17" s="35" t="inlineStr">
        <is>
          <t>Delivery Failed</t>
        </is>
      </c>
      <c r="I17" s="35" t="inlineStr">
        <is>
          <t>Delivery Failed</t>
        </is>
      </c>
      <c r="J17" s="17" t="n">
        <v>8</v>
      </c>
      <c r="K17" s="17" t="b">
        <v>1</v>
      </c>
    </row>
    <row r="18" ht="21.5" customHeight="1" s="42">
      <c r="A18" s="47" t="inlineStr">
        <is>
          <t>PYS000007</t>
        </is>
      </c>
      <c r="B18" s="46" t="inlineStr">
        <is>
          <t>Voided</t>
        </is>
      </c>
      <c r="C18" s="46" t="inlineStr">
        <is>
          <t>Voided</t>
        </is>
      </c>
      <c r="D18" s="17" t="n">
        <v>7</v>
      </c>
      <c r="E18" s="17" t="b">
        <v>1</v>
      </c>
      <c r="G18" s="47" t="inlineStr">
        <is>
          <t>SPS000009</t>
        </is>
      </c>
      <c r="H18" s="35" t="inlineStr">
        <is>
          <t>Returned</t>
        </is>
      </c>
      <c r="I18" s="35" t="inlineStr">
        <is>
          <t>Returned</t>
        </is>
      </c>
      <c r="J18" s="17" t="n">
        <v>9</v>
      </c>
      <c r="K18" s="17" t="b">
        <v>1</v>
      </c>
    </row>
    <row r="19" ht="21.5" customHeight="1" s="42">
      <c r="A19" s="47" t="inlineStr">
        <is>
          <t>PYS000008</t>
        </is>
      </c>
      <c r="B19" s="46" t="inlineStr">
        <is>
          <t>Cancelled</t>
        </is>
      </c>
      <c r="C19" s="46" t="inlineStr">
        <is>
          <t>Cancelled</t>
        </is>
      </c>
      <c r="D19" s="17" t="n">
        <v>8</v>
      </c>
      <c r="E19" s="17" t="b">
        <v>1</v>
      </c>
      <c r="G19" s="47" t="inlineStr">
        <is>
          <t>SPS000010</t>
        </is>
      </c>
      <c r="H19" s="35" t="inlineStr">
        <is>
          <t>Lost</t>
        </is>
      </c>
      <c r="I19" s="35" t="inlineStr">
        <is>
          <t>Lost</t>
        </is>
      </c>
      <c r="J19" s="17" t="n">
        <v>10</v>
      </c>
      <c r="K19" s="17" t="b">
        <v>1</v>
      </c>
    </row>
    <row r="20" ht="21.5" customHeight="1" s="42">
      <c r="A20" s="47" t="inlineStr">
        <is>
          <t>PYS000009</t>
        </is>
      </c>
      <c r="B20" s="46" t="inlineStr">
        <is>
          <t>Chargeback</t>
        </is>
      </c>
      <c r="C20" s="46" t="inlineStr">
        <is>
          <t>Chargeback</t>
        </is>
      </c>
      <c r="D20" s="17" t="n">
        <v>9</v>
      </c>
      <c r="E20" s="17" t="b">
        <v>1</v>
      </c>
      <c r="G20" s="47" t="inlineStr">
        <is>
          <t>SPS000011</t>
        </is>
      </c>
      <c r="H20" s="35" t="inlineStr">
        <is>
          <t>Damaged</t>
        </is>
      </c>
      <c r="I20" s="35" t="inlineStr">
        <is>
          <t>Damaged</t>
        </is>
      </c>
      <c r="J20" s="17" t="n">
        <v>11</v>
      </c>
      <c r="K20" s="17" t="b">
        <v>1</v>
      </c>
    </row>
    <row r="21" ht="21.5" customHeight="1" s="42">
      <c r="A21" s="47" t="inlineStr">
        <is>
          <t>PYS000010</t>
        </is>
      </c>
      <c r="B21" s="46" t="inlineStr">
        <is>
          <t>Failed</t>
        </is>
      </c>
      <c r="C21" s="46" t="inlineStr">
        <is>
          <t>Failed</t>
        </is>
      </c>
      <c r="D21" s="17" t="n">
        <v>10</v>
      </c>
      <c r="E21" s="17" t="b">
        <v>1</v>
      </c>
    </row>
    <row r="22" ht="21.5" customHeight="1" s="42">
      <c r="A22" s="47" t="inlineStr">
        <is>
          <t>PYS000011</t>
        </is>
      </c>
      <c r="B22" s="46" t="inlineStr">
        <is>
          <t>Written Off</t>
        </is>
      </c>
      <c r="C22" s="46" t="inlineStr">
        <is>
          <t>Written Off</t>
        </is>
      </c>
      <c r="D22" s="17" t="n">
        <v>11</v>
      </c>
      <c r="E22" s="17" t="b">
        <v>1</v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61"/>
  <sheetViews>
    <sheetView tabSelected="1" workbookViewId="0">
      <selection activeCell="A2" sqref="A2"/>
    </sheetView>
  </sheetViews>
  <sheetFormatPr baseColWidth="8" defaultRowHeight="14.5"/>
  <cols>
    <col width="13.81640625" bestFit="1" customWidth="1" style="42" min="1" max="1"/>
    <col width="22.2695312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453125" bestFit="1" customWidth="1" style="42" min="7" max="7"/>
    <col width="30.179687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7265625" bestFit="1" customWidth="1" style="42" min="13" max="13"/>
    <col width="10.36328125" bestFit="1" customWidth="1" style="42" min="14" max="14"/>
    <col width="23.2695312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CNT000001</t>
        </is>
      </c>
      <c r="B2" s="35" t="inlineStr">
        <is>
          <t>United States</t>
        </is>
      </c>
      <c r="C2" s="35" t="inlineStr">
        <is>
          <t>US</t>
        </is>
      </c>
      <c r="D2" s="35" t="n">
        <v>1</v>
      </c>
      <c r="E2" s="35" t="b">
        <v>1</v>
      </c>
      <c r="G2" s="35" t="inlineStr">
        <is>
          <t>STA000001</t>
        </is>
      </c>
      <c r="H2" s="35" t="inlineStr">
        <is>
          <t>Alabama</t>
        </is>
      </c>
      <c r="I2" s="35" t="inlineStr">
        <is>
          <t>AL</t>
        </is>
      </c>
      <c r="J2" s="35" t="n">
        <v>1</v>
      </c>
      <c r="K2" s="35" t="b">
        <v>1</v>
      </c>
      <c r="M2" s="35" t="inlineStr">
        <is>
          <t>TMZ000001</t>
        </is>
      </c>
      <c r="N2" s="35" t="inlineStr">
        <is>
          <t>Eastern</t>
        </is>
      </c>
      <c r="O2" s="35" t="inlineStr">
        <is>
          <t>America/New_York</t>
        </is>
      </c>
      <c r="P2" s="35" t="n">
        <v>1</v>
      </c>
      <c r="Q2" s="35" t="b">
        <v>1</v>
      </c>
    </row>
    <row r="3" ht="21.5" customHeight="1" s="42">
      <c r="A3" s="35" t="inlineStr">
        <is>
          <t>CNT000002</t>
        </is>
      </c>
      <c r="B3" s="35" t="inlineStr">
        <is>
          <t>Canada</t>
        </is>
      </c>
      <c r="C3" s="35" t="inlineStr">
        <is>
          <t>CA</t>
        </is>
      </c>
      <c r="D3" s="35" t="n">
        <v>2</v>
      </c>
      <c r="E3" s="35" t="b">
        <v>1</v>
      </c>
      <c r="G3" s="35" t="inlineStr">
        <is>
          <t>STA000002</t>
        </is>
      </c>
      <c r="H3" s="35" t="inlineStr">
        <is>
          <t>Alaska</t>
        </is>
      </c>
      <c r="I3" s="35" t="inlineStr">
        <is>
          <t>AK</t>
        </is>
      </c>
      <c r="J3" s="35" t="n">
        <v>2</v>
      </c>
      <c r="K3" s="35" t="b">
        <v>1</v>
      </c>
      <c r="M3" s="35" t="inlineStr">
        <is>
          <t>TMZ000002</t>
        </is>
      </c>
      <c r="N3" s="35" t="inlineStr">
        <is>
          <t>Central</t>
        </is>
      </c>
      <c r="O3" s="35" t="inlineStr">
        <is>
          <t>America/Chicago</t>
        </is>
      </c>
      <c r="P3" s="35" t="n">
        <v>2</v>
      </c>
      <c r="Q3" s="35" t="b">
        <v>1</v>
      </c>
    </row>
    <row r="4" ht="21.5" customHeight="1" s="42">
      <c r="A4" s="35" t="inlineStr">
        <is>
          <t>CNT000003</t>
        </is>
      </c>
      <c r="B4" s="35" t="inlineStr">
        <is>
          <t>Mexico</t>
        </is>
      </c>
      <c r="C4" s="35" t="inlineStr">
        <is>
          <t>MX</t>
        </is>
      </c>
      <c r="D4" s="35" t="n">
        <v>3</v>
      </c>
      <c r="E4" s="35" t="b">
        <v>1</v>
      </c>
      <c r="G4" s="35" t="inlineStr">
        <is>
          <t>STA000003</t>
        </is>
      </c>
      <c r="H4" s="35" t="inlineStr">
        <is>
          <t>Arizona</t>
        </is>
      </c>
      <c r="I4" s="35" t="inlineStr">
        <is>
          <t>AZ</t>
        </is>
      </c>
      <c r="J4" s="35" t="n">
        <v>3</v>
      </c>
      <c r="K4" s="35" t="b">
        <v>1</v>
      </c>
      <c r="M4" s="35" t="inlineStr">
        <is>
          <t>TMZ000003</t>
        </is>
      </c>
      <c r="N4" s="35" t="inlineStr">
        <is>
          <t>Mountain</t>
        </is>
      </c>
      <c r="O4" s="35" t="inlineStr">
        <is>
          <t>America/Denver</t>
        </is>
      </c>
      <c r="P4" s="35" t="n">
        <v>3</v>
      </c>
      <c r="Q4" s="35" t="b">
        <v>1</v>
      </c>
    </row>
    <row r="5" ht="21.5" customHeight="1" s="42">
      <c r="A5" s="35" t="inlineStr">
        <is>
          <t>CNT000004</t>
        </is>
      </c>
      <c r="B5" s="35" t="inlineStr">
        <is>
          <t>United Kingdom</t>
        </is>
      </c>
      <c r="C5" s="35" t="inlineStr">
        <is>
          <t>GB</t>
        </is>
      </c>
      <c r="D5" s="35" t="n">
        <v>4</v>
      </c>
      <c r="E5" s="35" t="b">
        <v>1</v>
      </c>
      <c r="G5" s="35" t="inlineStr">
        <is>
          <t>STA000004</t>
        </is>
      </c>
      <c r="H5" s="35" t="inlineStr">
        <is>
          <t>Arkansas</t>
        </is>
      </c>
      <c r="I5" s="35" t="inlineStr">
        <is>
          <t>AR</t>
        </is>
      </c>
      <c r="J5" s="35" t="n">
        <v>4</v>
      </c>
      <c r="K5" s="35" t="b">
        <v>1</v>
      </c>
      <c r="M5" s="35" t="inlineStr">
        <is>
          <t>TMZ000004</t>
        </is>
      </c>
      <c r="N5" s="35" t="inlineStr">
        <is>
          <t>Pacific</t>
        </is>
      </c>
      <c r="O5" s="35" t="inlineStr">
        <is>
          <t>America/Los_Angeles</t>
        </is>
      </c>
      <c r="P5" s="35" t="n">
        <v>4</v>
      </c>
      <c r="Q5" s="35" t="b">
        <v>1</v>
      </c>
    </row>
    <row r="6" ht="21.5" customHeight="1" s="42">
      <c r="A6" s="35" t="inlineStr">
        <is>
          <t>CNT000005</t>
        </is>
      </c>
      <c r="B6" s="35" t="inlineStr">
        <is>
          <t>France</t>
        </is>
      </c>
      <c r="C6" s="35" t="inlineStr">
        <is>
          <t>FR</t>
        </is>
      </c>
      <c r="D6" s="35" t="n">
        <v>5</v>
      </c>
      <c r="E6" s="35" t="b">
        <v>1</v>
      </c>
      <c r="G6" s="35" t="inlineStr">
        <is>
          <t>STA000005</t>
        </is>
      </c>
      <c r="H6" s="35" t="inlineStr">
        <is>
          <t>California</t>
        </is>
      </c>
      <c r="I6" s="35" t="inlineStr">
        <is>
          <t>CA</t>
        </is>
      </c>
      <c r="J6" s="35" t="n">
        <v>5</v>
      </c>
      <c r="K6" s="35" t="b">
        <v>1</v>
      </c>
      <c r="M6" s="35" t="inlineStr">
        <is>
          <t>TMZ000005</t>
        </is>
      </c>
      <c r="N6" s="35" t="inlineStr">
        <is>
          <t>Alaska</t>
        </is>
      </c>
      <c r="O6" s="35" t="inlineStr">
        <is>
          <t>America/Anchorage</t>
        </is>
      </c>
      <c r="P6" s="35" t="n">
        <v>5</v>
      </c>
      <c r="Q6" s="35" t="b">
        <v>1</v>
      </c>
    </row>
    <row r="7" ht="21.5" customHeight="1" s="42">
      <c r="A7" s="35" t="inlineStr">
        <is>
          <t>CNT000006</t>
        </is>
      </c>
      <c r="B7" s="35" t="inlineStr">
        <is>
          <t>Germany</t>
        </is>
      </c>
      <c r="C7" s="35" t="inlineStr">
        <is>
          <t>DE</t>
        </is>
      </c>
      <c r="D7" s="35" t="n">
        <v>6</v>
      </c>
      <c r="E7" s="35" t="b">
        <v>1</v>
      </c>
      <c r="G7" s="35" t="inlineStr">
        <is>
          <t>STA000006</t>
        </is>
      </c>
      <c r="H7" s="35" t="inlineStr">
        <is>
          <t>Colorado</t>
        </is>
      </c>
      <c r="I7" s="35" t="inlineStr">
        <is>
          <t>CO</t>
        </is>
      </c>
      <c r="J7" s="35" t="n">
        <v>6</v>
      </c>
      <c r="K7" s="35" t="b">
        <v>1</v>
      </c>
      <c r="M7" s="35" t="inlineStr">
        <is>
          <t>TMZ000006</t>
        </is>
      </c>
      <c r="N7" s="35" t="inlineStr">
        <is>
          <t>Hawaii</t>
        </is>
      </c>
      <c r="O7" s="35" t="inlineStr">
        <is>
          <t>Pacific/Honolulu</t>
        </is>
      </c>
      <c r="P7" s="35" t="n">
        <v>6</v>
      </c>
      <c r="Q7" s="35" t="b">
        <v>1</v>
      </c>
    </row>
    <row r="8" ht="21.5" customHeight="1" s="42">
      <c r="A8" s="35" t="inlineStr">
        <is>
          <t>CNT000007</t>
        </is>
      </c>
      <c r="B8" s="35" t="inlineStr">
        <is>
          <t>Italy</t>
        </is>
      </c>
      <c r="C8" s="35" t="inlineStr">
        <is>
          <t>IT</t>
        </is>
      </c>
      <c r="D8" s="35" t="n">
        <v>7</v>
      </c>
      <c r="E8" s="35" t="b">
        <v>1</v>
      </c>
      <c r="G8" s="35" t="inlineStr">
        <is>
          <t>STA000007</t>
        </is>
      </c>
      <c r="H8" s="35" t="inlineStr">
        <is>
          <t>Connecticut</t>
        </is>
      </c>
      <c r="I8" s="35" t="inlineStr">
        <is>
          <t>CT</t>
        </is>
      </c>
      <c r="J8" s="35" t="n">
        <v>7</v>
      </c>
      <c r="K8" s="35" t="b">
        <v>1</v>
      </c>
    </row>
    <row r="9" ht="21.5" customHeight="1" s="42">
      <c r="A9" s="35" t="inlineStr">
        <is>
          <t>CNT000008</t>
        </is>
      </c>
      <c r="B9" s="35" t="inlineStr">
        <is>
          <t>Spain</t>
        </is>
      </c>
      <c r="C9" s="35" t="inlineStr">
        <is>
          <t>ES</t>
        </is>
      </c>
      <c r="D9" s="35" t="n">
        <v>8</v>
      </c>
      <c r="E9" s="35" t="b">
        <v>1</v>
      </c>
      <c r="G9" s="35" t="inlineStr">
        <is>
          <t>STA000008</t>
        </is>
      </c>
      <c r="H9" s="35" t="inlineStr">
        <is>
          <t>Delaware</t>
        </is>
      </c>
      <c r="I9" s="35" t="inlineStr">
        <is>
          <t>DE</t>
        </is>
      </c>
      <c r="J9" s="35" t="n">
        <v>8</v>
      </c>
      <c r="K9" s="35" t="b">
        <v>1</v>
      </c>
    </row>
    <row r="10" ht="21.5" customHeight="1" s="42">
      <c r="A10" s="35" t="inlineStr">
        <is>
          <t>CNT000009</t>
        </is>
      </c>
      <c r="B10" s="35" t="inlineStr">
        <is>
          <t>Australia</t>
        </is>
      </c>
      <c r="C10" s="35" t="inlineStr">
        <is>
          <t>AU</t>
        </is>
      </c>
      <c r="D10" s="35" t="n">
        <v>9</v>
      </c>
      <c r="E10" s="35" t="b">
        <v>1</v>
      </c>
      <c r="G10" s="35" t="inlineStr">
        <is>
          <t>STA000009</t>
        </is>
      </c>
      <c r="H10" s="35" t="inlineStr">
        <is>
          <t>Florida</t>
        </is>
      </c>
      <c r="I10" s="35" t="inlineStr">
        <is>
          <t>FL</t>
        </is>
      </c>
      <c r="J10" s="35" t="n">
        <v>9</v>
      </c>
      <c r="K10" s="35" t="b">
        <v>1</v>
      </c>
    </row>
    <row r="11" ht="21.5" customHeight="1" s="42">
      <c r="A11" s="35" t="inlineStr">
        <is>
          <t>CNT000010</t>
        </is>
      </c>
      <c r="B11" s="35" t="inlineStr">
        <is>
          <t>New Zealand</t>
        </is>
      </c>
      <c r="C11" s="35" t="inlineStr">
        <is>
          <t>NZ</t>
        </is>
      </c>
      <c r="D11" s="35" t="n">
        <v>10</v>
      </c>
      <c r="E11" s="35" t="b">
        <v>1</v>
      </c>
      <c r="G11" s="35" t="inlineStr">
        <is>
          <t>STA000010</t>
        </is>
      </c>
      <c r="H11" s="35" t="inlineStr">
        <is>
          <t>Georgia</t>
        </is>
      </c>
      <c r="I11" s="35" t="inlineStr">
        <is>
          <t>GA</t>
        </is>
      </c>
      <c r="J11" s="35" t="n">
        <v>10</v>
      </c>
      <c r="K11" s="35" t="b">
        <v>1</v>
      </c>
    </row>
    <row r="12" ht="21.5" customHeight="1" s="42">
      <c r="A12" s="35" t="inlineStr">
        <is>
          <t>CNT000011</t>
        </is>
      </c>
      <c r="B12" s="35" t="inlineStr">
        <is>
          <t>Japan</t>
        </is>
      </c>
      <c r="C12" s="35" t="inlineStr">
        <is>
          <t>JP</t>
        </is>
      </c>
      <c r="D12" s="35" t="n">
        <v>11</v>
      </c>
      <c r="E12" s="35" t="b">
        <v>1</v>
      </c>
      <c r="G12" s="35" t="inlineStr">
        <is>
          <t>STA000011</t>
        </is>
      </c>
      <c r="H12" s="35" t="inlineStr">
        <is>
          <t>Hawaii</t>
        </is>
      </c>
      <c r="I12" s="35" t="inlineStr">
        <is>
          <t>HI</t>
        </is>
      </c>
      <c r="J12" s="35" t="n">
        <v>11</v>
      </c>
      <c r="K12" s="35" t="b">
        <v>1</v>
      </c>
    </row>
    <row r="13" ht="21.5" customHeight="1" s="42">
      <c r="A13" s="35" t="inlineStr">
        <is>
          <t>CNT000012</t>
        </is>
      </c>
      <c r="B13" s="35" t="inlineStr">
        <is>
          <t>South Korea</t>
        </is>
      </c>
      <c r="C13" s="35" t="inlineStr">
        <is>
          <t>KR</t>
        </is>
      </c>
      <c r="D13" s="35" t="n">
        <v>12</v>
      </c>
      <c r="E13" s="35" t="b">
        <v>1</v>
      </c>
      <c r="G13" s="35" t="inlineStr">
        <is>
          <t>STA000012</t>
        </is>
      </c>
      <c r="H13" s="35" t="inlineStr">
        <is>
          <t>Idaho</t>
        </is>
      </c>
      <c r="I13" s="35" t="inlineStr">
        <is>
          <t>ID</t>
        </is>
      </c>
      <c r="J13" s="35" t="n">
        <v>12</v>
      </c>
      <c r="K13" s="35" t="b">
        <v>1</v>
      </c>
    </row>
    <row r="14" ht="21.5" customHeight="1" s="42">
      <c r="A14" s="35" t="inlineStr">
        <is>
          <t>CNT000013</t>
        </is>
      </c>
      <c r="B14" s="35" t="inlineStr">
        <is>
          <t>China</t>
        </is>
      </c>
      <c r="C14" s="35" t="inlineStr">
        <is>
          <t>CN</t>
        </is>
      </c>
      <c r="D14" s="35" t="n">
        <v>13</v>
      </c>
      <c r="E14" s="35" t="b">
        <v>1</v>
      </c>
      <c r="G14" s="35" t="inlineStr">
        <is>
          <t>STA000013</t>
        </is>
      </c>
      <c r="H14" s="35" t="inlineStr">
        <is>
          <t>Illinois</t>
        </is>
      </c>
      <c r="I14" s="35" t="inlineStr">
        <is>
          <t>IL</t>
        </is>
      </c>
      <c r="J14" s="35" t="n">
        <v>13</v>
      </c>
      <c r="K14" s="35" t="b">
        <v>1</v>
      </c>
    </row>
    <row r="15" ht="21.5" customHeight="1" s="42">
      <c r="A15" s="35" t="inlineStr">
        <is>
          <t>CNT000014</t>
        </is>
      </c>
      <c r="B15" s="35" t="inlineStr">
        <is>
          <t>Taiwan</t>
        </is>
      </c>
      <c r="C15" s="35" t="inlineStr">
        <is>
          <t>TW</t>
        </is>
      </c>
      <c r="D15" s="35" t="n">
        <v>14</v>
      </c>
      <c r="E15" s="35" t="b">
        <v>1</v>
      </c>
      <c r="G15" s="35" t="inlineStr">
        <is>
          <t>STA000014</t>
        </is>
      </c>
      <c r="H15" s="35" t="inlineStr">
        <is>
          <t>Indiana</t>
        </is>
      </c>
      <c r="I15" s="35" t="inlineStr">
        <is>
          <t>IN</t>
        </is>
      </c>
      <c r="J15" s="35" t="n">
        <v>14</v>
      </c>
      <c r="K15" s="35" t="b">
        <v>1</v>
      </c>
    </row>
    <row r="16" ht="21.5" customHeight="1" s="42">
      <c r="A16" s="35" t="inlineStr">
        <is>
          <t>CNT000015</t>
        </is>
      </c>
      <c r="B16" s="35" t="inlineStr">
        <is>
          <t>India</t>
        </is>
      </c>
      <c r="C16" s="35" t="inlineStr">
        <is>
          <t>IN</t>
        </is>
      </c>
      <c r="D16" s="35" t="n">
        <v>15</v>
      </c>
      <c r="E16" s="35" t="b">
        <v>1</v>
      </c>
      <c r="G16" s="35" t="inlineStr">
        <is>
          <t>STA000015</t>
        </is>
      </c>
      <c r="H16" s="35" t="inlineStr">
        <is>
          <t>Iowa</t>
        </is>
      </c>
      <c r="I16" s="35" t="inlineStr">
        <is>
          <t>IA</t>
        </is>
      </c>
      <c r="J16" s="35" t="n">
        <v>15</v>
      </c>
      <c r="K16" s="35" t="b">
        <v>1</v>
      </c>
    </row>
    <row r="17" ht="21.5" customHeight="1" s="42">
      <c r="A17" s="35" t="inlineStr">
        <is>
          <t>CNT000016</t>
        </is>
      </c>
      <c r="B17" s="35" t="inlineStr">
        <is>
          <t>Singapore</t>
        </is>
      </c>
      <c r="C17" s="35" t="inlineStr">
        <is>
          <t>SG</t>
        </is>
      </c>
      <c r="D17" s="35" t="n">
        <v>16</v>
      </c>
      <c r="E17" s="35" t="b">
        <v>1</v>
      </c>
      <c r="G17" s="35" t="inlineStr">
        <is>
          <t>STA000016</t>
        </is>
      </c>
      <c r="H17" s="35" t="inlineStr">
        <is>
          <t>Kansas</t>
        </is>
      </c>
      <c r="I17" s="35" t="inlineStr">
        <is>
          <t>KS</t>
        </is>
      </c>
      <c r="J17" s="35" t="n">
        <v>16</v>
      </c>
      <c r="K17" s="35" t="b">
        <v>1</v>
      </c>
    </row>
    <row r="18" ht="21.5" customHeight="1" s="42">
      <c r="A18" s="35" t="inlineStr">
        <is>
          <t>CNT000017</t>
        </is>
      </c>
      <c r="B18" s="35" t="inlineStr">
        <is>
          <t>Brazil</t>
        </is>
      </c>
      <c r="C18" s="35" t="inlineStr">
        <is>
          <t>BR</t>
        </is>
      </c>
      <c r="D18" s="35" t="n">
        <v>17</v>
      </c>
      <c r="E18" s="35" t="b">
        <v>1</v>
      </c>
      <c r="G18" s="35" t="inlineStr">
        <is>
          <t>STA000017</t>
        </is>
      </c>
      <c r="H18" s="35" t="inlineStr">
        <is>
          <t>Kentucky</t>
        </is>
      </c>
      <c r="I18" s="35" t="inlineStr">
        <is>
          <t>KY</t>
        </is>
      </c>
      <c r="J18" s="35" t="n">
        <v>17</v>
      </c>
      <c r="K18" s="35" t="b">
        <v>1</v>
      </c>
    </row>
    <row r="19" ht="21.5" customHeight="1" s="42">
      <c r="A19" s="35" t="inlineStr">
        <is>
          <t>CNT000018</t>
        </is>
      </c>
      <c r="B19" s="35" t="inlineStr">
        <is>
          <t>Argentina</t>
        </is>
      </c>
      <c r="C19" s="35" t="inlineStr">
        <is>
          <t>AR</t>
        </is>
      </c>
      <c r="D19" s="35" t="n">
        <v>18</v>
      </c>
      <c r="E19" s="35" t="b">
        <v>1</v>
      </c>
      <c r="G19" s="35" t="inlineStr">
        <is>
          <t>STA000018</t>
        </is>
      </c>
      <c r="H19" s="35" t="inlineStr">
        <is>
          <t>Louisiana</t>
        </is>
      </c>
      <c r="I19" s="35" t="inlineStr">
        <is>
          <t>LA</t>
        </is>
      </c>
      <c r="J19" s="35" t="n">
        <v>18</v>
      </c>
      <c r="K19" s="35" t="b">
        <v>1</v>
      </c>
    </row>
    <row r="20" ht="21.5" customHeight="1" s="42">
      <c r="A20" s="35" t="inlineStr">
        <is>
          <t>CNT000019</t>
        </is>
      </c>
      <c r="B20" s="35" t="inlineStr">
        <is>
          <t>South Africa</t>
        </is>
      </c>
      <c r="C20" s="35" t="inlineStr">
        <is>
          <t>ZA</t>
        </is>
      </c>
      <c r="D20" s="35" t="n">
        <v>19</v>
      </c>
      <c r="E20" s="35" t="b">
        <v>1</v>
      </c>
      <c r="G20" s="35" t="inlineStr">
        <is>
          <t>STA000019</t>
        </is>
      </c>
      <c r="H20" s="35" t="inlineStr">
        <is>
          <t>Maine</t>
        </is>
      </c>
      <c r="I20" s="35" t="inlineStr">
        <is>
          <t>ME</t>
        </is>
      </c>
      <c r="J20" s="35" t="n">
        <v>19</v>
      </c>
      <c r="K20" s="35" t="b">
        <v>1</v>
      </c>
    </row>
    <row r="21" ht="21.5" customHeight="1" s="42">
      <c r="A21" s="35" t="inlineStr">
        <is>
          <t>CNT000020</t>
        </is>
      </c>
      <c r="B21" s="35" t="inlineStr">
        <is>
          <t>United Arab Emirates</t>
        </is>
      </c>
      <c r="C21" s="35" t="inlineStr">
        <is>
          <t>AE</t>
        </is>
      </c>
      <c r="D21" s="35" t="n">
        <v>20</v>
      </c>
      <c r="E21" s="35" t="b">
        <v>1</v>
      </c>
      <c r="G21" s="35" t="inlineStr">
        <is>
          <t>STA000020</t>
        </is>
      </c>
      <c r="H21" s="35" t="inlineStr">
        <is>
          <t>Maryland</t>
        </is>
      </c>
      <c r="I21" s="35" t="inlineStr">
        <is>
          <t>MD</t>
        </is>
      </c>
      <c r="J21" s="35" t="n">
        <v>20</v>
      </c>
      <c r="K21" s="35" t="b">
        <v>1</v>
      </c>
    </row>
    <row r="22" ht="21.5" customHeight="1" s="42">
      <c r="G22" s="35" t="inlineStr">
        <is>
          <t>STA000021</t>
        </is>
      </c>
      <c r="H22" s="35" t="inlineStr">
        <is>
          <t>Massachusetts</t>
        </is>
      </c>
      <c r="I22" s="35" t="inlineStr">
        <is>
          <t>MA</t>
        </is>
      </c>
      <c r="J22" s="35" t="n">
        <v>21</v>
      </c>
      <c r="K22" s="35" t="b">
        <v>1</v>
      </c>
    </row>
    <row r="23" ht="21.5" customHeight="1" s="42">
      <c r="G23" s="35" t="inlineStr">
        <is>
          <t>STA000022</t>
        </is>
      </c>
      <c r="H23" s="35" t="inlineStr">
        <is>
          <t>Michigan</t>
        </is>
      </c>
      <c r="I23" s="35" t="inlineStr">
        <is>
          <t>MI</t>
        </is>
      </c>
      <c r="J23" s="35" t="n">
        <v>22</v>
      </c>
      <c r="K23" s="35" t="b">
        <v>1</v>
      </c>
    </row>
    <row r="24" ht="21.5" customHeight="1" s="42">
      <c r="G24" s="35" t="inlineStr">
        <is>
          <t>STA000023</t>
        </is>
      </c>
      <c r="H24" s="35" t="inlineStr">
        <is>
          <t>Minnesota</t>
        </is>
      </c>
      <c r="I24" s="35" t="inlineStr">
        <is>
          <t>MN</t>
        </is>
      </c>
      <c r="J24" s="35" t="n">
        <v>23</v>
      </c>
      <c r="K24" s="35" t="b">
        <v>1</v>
      </c>
    </row>
    <row r="25" ht="21.5" customHeight="1" s="42">
      <c r="G25" s="35" t="inlineStr">
        <is>
          <t>STA000024</t>
        </is>
      </c>
      <c r="H25" s="35" t="inlineStr">
        <is>
          <t>Mississippi</t>
        </is>
      </c>
      <c r="I25" s="35" t="inlineStr">
        <is>
          <t>MS</t>
        </is>
      </c>
      <c r="J25" s="35" t="n">
        <v>24</v>
      </c>
      <c r="K25" s="35" t="b">
        <v>1</v>
      </c>
    </row>
    <row r="26" ht="21.5" customHeight="1" s="42">
      <c r="G26" s="35" t="inlineStr">
        <is>
          <t>STA000025</t>
        </is>
      </c>
      <c r="H26" s="35" t="inlineStr">
        <is>
          <t>Missouri</t>
        </is>
      </c>
      <c r="I26" s="35" t="inlineStr">
        <is>
          <t>MO</t>
        </is>
      </c>
      <c r="J26" s="35" t="n">
        <v>25</v>
      </c>
      <c r="K26" s="35" t="b">
        <v>1</v>
      </c>
    </row>
    <row r="27" ht="21.5" customHeight="1" s="42">
      <c r="G27" s="35" t="inlineStr">
        <is>
          <t>STA000026</t>
        </is>
      </c>
      <c r="H27" s="35" t="inlineStr">
        <is>
          <t>Montana</t>
        </is>
      </c>
      <c r="I27" s="35" t="inlineStr">
        <is>
          <t>MT</t>
        </is>
      </c>
      <c r="J27" s="35" t="n">
        <v>26</v>
      </c>
      <c r="K27" s="35" t="b">
        <v>1</v>
      </c>
    </row>
    <row r="28" ht="21.5" customHeight="1" s="42">
      <c r="G28" s="35" t="inlineStr">
        <is>
          <t>STA000027</t>
        </is>
      </c>
      <c r="H28" s="35" t="inlineStr">
        <is>
          <t>Nebraska</t>
        </is>
      </c>
      <c r="I28" s="35" t="inlineStr">
        <is>
          <t>NE</t>
        </is>
      </c>
      <c r="J28" s="35" t="n">
        <v>27</v>
      </c>
      <c r="K28" s="35" t="b">
        <v>1</v>
      </c>
    </row>
    <row r="29" ht="21.5" customHeight="1" s="42">
      <c r="G29" s="35" t="inlineStr">
        <is>
          <t>STA000028</t>
        </is>
      </c>
      <c r="H29" s="35" t="inlineStr">
        <is>
          <t>Nevada</t>
        </is>
      </c>
      <c r="I29" s="35" t="inlineStr">
        <is>
          <t>NV</t>
        </is>
      </c>
      <c r="J29" s="35" t="n">
        <v>28</v>
      </c>
      <c r="K29" s="35" t="b">
        <v>1</v>
      </c>
    </row>
    <row r="30" ht="21.5" customHeight="1" s="42">
      <c r="G30" s="35" t="inlineStr">
        <is>
          <t>STA000029</t>
        </is>
      </c>
      <c r="H30" s="35" t="inlineStr">
        <is>
          <t>New Hampshire</t>
        </is>
      </c>
      <c r="I30" s="35" t="inlineStr">
        <is>
          <t>NH</t>
        </is>
      </c>
      <c r="J30" s="35" t="n">
        <v>29</v>
      </c>
      <c r="K30" s="35" t="b">
        <v>1</v>
      </c>
    </row>
    <row r="31" ht="21.5" customHeight="1" s="42">
      <c r="G31" s="35" t="inlineStr">
        <is>
          <t>STA000030</t>
        </is>
      </c>
      <c r="H31" s="35" t="inlineStr">
        <is>
          <t>New Jersey</t>
        </is>
      </c>
      <c r="I31" s="35" t="inlineStr">
        <is>
          <t>NJ</t>
        </is>
      </c>
      <c r="J31" s="35" t="n">
        <v>30</v>
      </c>
      <c r="K31" s="35" t="b">
        <v>1</v>
      </c>
    </row>
    <row r="32" ht="21.5" customHeight="1" s="42">
      <c r="G32" s="35" t="inlineStr">
        <is>
          <t>STA000031</t>
        </is>
      </c>
      <c r="H32" s="35" t="inlineStr">
        <is>
          <t>New Mexico</t>
        </is>
      </c>
      <c r="I32" s="35" t="inlineStr">
        <is>
          <t>NM</t>
        </is>
      </c>
      <c r="J32" s="35" t="n">
        <v>31</v>
      </c>
      <c r="K32" s="35" t="b">
        <v>1</v>
      </c>
    </row>
    <row r="33" ht="21.5" customHeight="1" s="42">
      <c r="G33" s="35" t="inlineStr">
        <is>
          <t>STA000032</t>
        </is>
      </c>
      <c r="H33" s="35" t="inlineStr">
        <is>
          <t>New York</t>
        </is>
      </c>
      <c r="I33" s="35" t="inlineStr">
        <is>
          <t>NY</t>
        </is>
      </c>
      <c r="J33" s="35" t="n">
        <v>32</v>
      </c>
      <c r="K33" s="35" t="b">
        <v>1</v>
      </c>
    </row>
    <row r="34" ht="21.5" customHeight="1" s="42">
      <c r="G34" s="35" t="inlineStr">
        <is>
          <t>STA000033</t>
        </is>
      </c>
      <c r="H34" s="35" t="inlineStr">
        <is>
          <t>North Carolina</t>
        </is>
      </c>
      <c r="I34" s="35" t="inlineStr">
        <is>
          <t>NC</t>
        </is>
      </c>
      <c r="J34" s="35" t="n">
        <v>33</v>
      </c>
      <c r="K34" s="35" t="b">
        <v>1</v>
      </c>
    </row>
    <row r="35" ht="21.5" customHeight="1" s="42">
      <c r="G35" s="35" t="inlineStr">
        <is>
          <t>STA000034</t>
        </is>
      </c>
      <c r="H35" s="35" t="inlineStr">
        <is>
          <t>North Dakota</t>
        </is>
      </c>
      <c r="I35" s="35" t="inlineStr">
        <is>
          <t>ND</t>
        </is>
      </c>
      <c r="J35" s="35" t="n">
        <v>34</v>
      </c>
      <c r="K35" s="35" t="b">
        <v>1</v>
      </c>
    </row>
    <row r="36" ht="21.5" customHeight="1" s="42">
      <c r="G36" s="35" t="inlineStr">
        <is>
          <t>STA000035</t>
        </is>
      </c>
      <c r="H36" s="35" t="inlineStr">
        <is>
          <t>Ohio</t>
        </is>
      </c>
      <c r="I36" s="35" t="inlineStr">
        <is>
          <t>OH</t>
        </is>
      </c>
      <c r="J36" s="35" t="n">
        <v>35</v>
      </c>
      <c r="K36" s="35" t="b">
        <v>1</v>
      </c>
    </row>
    <row r="37" ht="21.5" customHeight="1" s="42">
      <c r="G37" s="35" t="inlineStr">
        <is>
          <t>STA000036</t>
        </is>
      </c>
      <c r="H37" s="35" t="inlineStr">
        <is>
          <t>Oklahoma</t>
        </is>
      </c>
      <c r="I37" s="35" t="inlineStr">
        <is>
          <t>OK</t>
        </is>
      </c>
      <c r="J37" s="35" t="n">
        <v>36</v>
      </c>
      <c r="K37" s="35" t="b">
        <v>1</v>
      </c>
    </row>
    <row r="38" ht="21.5" customHeight="1" s="42">
      <c r="G38" s="35" t="inlineStr">
        <is>
          <t>STA000037</t>
        </is>
      </c>
      <c r="H38" s="35" t="inlineStr">
        <is>
          <t>Oregon</t>
        </is>
      </c>
      <c r="I38" s="35" t="inlineStr">
        <is>
          <t>OR</t>
        </is>
      </c>
      <c r="J38" s="35" t="n">
        <v>37</v>
      </c>
      <c r="K38" s="35" t="b">
        <v>1</v>
      </c>
    </row>
    <row r="39" ht="21.5" customHeight="1" s="42">
      <c r="G39" s="35" t="inlineStr">
        <is>
          <t>STA000038</t>
        </is>
      </c>
      <c r="H39" s="35" t="inlineStr">
        <is>
          <t>Pennsylvania</t>
        </is>
      </c>
      <c r="I39" s="35" t="inlineStr">
        <is>
          <t>PA</t>
        </is>
      </c>
      <c r="J39" s="35" t="n">
        <v>38</v>
      </c>
      <c r="K39" s="35" t="b">
        <v>1</v>
      </c>
    </row>
    <row r="40" ht="21.5" customHeight="1" s="42">
      <c r="G40" s="35" t="inlineStr">
        <is>
          <t>STA000039</t>
        </is>
      </c>
      <c r="H40" s="35" t="inlineStr">
        <is>
          <t>Rhode Island</t>
        </is>
      </c>
      <c r="I40" s="35" t="inlineStr">
        <is>
          <t>RI</t>
        </is>
      </c>
      <c r="J40" s="35" t="n">
        <v>39</v>
      </c>
      <c r="K40" s="35" t="b">
        <v>1</v>
      </c>
    </row>
    <row r="41" ht="21.5" customHeight="1" s="42">
      <c r="G41" s="35" t="inlineStr">
        <is>
          <t>STA000040</t>
        </is>
      </c>
      <c r="H41" s="35" t="inlineStr">
        <is>
          <t>South Carolina</t>
        </is>
      </c>
      <c r="I41" s="35" t="inlineStr">
        <is>
          <t>SC</t>
        </is>
      </c>
      <c r="J41" s="35" t="n">
        <v>40</v>
      </c>
      <c r="K41" s="35" t="b">
        <v>1</v>
      </c>
    </row>
    <row r="42" ht="21.5" customHeight="1" s="42">
      <c r="G42" s="35" t="inlineStr">
        <is>
          <t>STA000041</t>
        </is>
      </c>
      <c r="H42" s="35" t="inlineStr">
        <is>
          <t>South Dakota</t>
        </is>
      </c>
      <c r="I42" s="35" t="inlineStr">
        <is>
          <t>SD</t>
        </is>
      </c>
      <c r="J42" s="35" t="n">
        <v>41</v>
      </c>
      <c r="K42" s="35" t="b">
        <v>1</v>
      </c>
    </row>
    <row r="43" ht="21.5" customHeight="1" s="42">
      <c r="G43" s="35" t="inlineStr">
        <is>
          <t>STA000042</t>
        </is>
      </c>
      <c r="H43" s="35" t="inlineStr">
        <is>
          <t>Tennessee</t>
        </is>
      </c>
      <c r="I43" s="35" t="inlineStr">
        <is>
          <t>TN</t>
        </is>
      </c>
      <c r="J43" s="35" t="n">
        <v>42</v>
      </c>
      <c r="K43" s="35" t="b">
        <v>1</v>
      </c>
    </row>
    <row r="44" ht="21.5" customHeight="1" s="42">
      <c r="G44" s="35" t="inlineStr">
        <is>
          <t>STA000043</t>
        </is>
      </c>
      <c r="H44" s="35" t="inlineStr">
        <is>
          <t>Texas</t>
        </is>
      </c>
      <c r="I44" s="35" t="inlineStr">
        <is>
          <t>TX</t>
        </is>
      </c>
      <c r="J44" s="35" t="n">
        <v>43</v>
      </c>
      <c r="K44" s="35" t="b">
        <v>1</v>
      </c>
    </row>
    <row r="45" ht="21.5" customHeight="1" s="42">
      <c r="G45" s="35" t="inlineStr">
        <is>
          <t>STA000044</t>
        </is>
      </c>
      <c r="H45" s="35" t="inlineStr">
        <is>
          <t>Utah</t>
        </is>
      </c>
      <c r="I45" s="35" t="inlineStr">
        <is>
          <t>UT</t>
        </is>
      </c>
      <c r="J45" s="35" t="n">
        <v>44</v>
      </c>
      <c r="K45" s="35" t="b">
        <v>1</v>
      </c>
    </row>
    <row r="46" ht="21.5" customHeight="1" s="42">
      <c r="G46" s="35" t="inlineStr">
        <is>
          <t>STA000045</t>
        </is>
      </c>
      <c r="H46" s="35" t="inlineStr">
        <is>
          <t>Vermont</t>
        </is>
      </c>
      <c r="I46" s="35" t="inlineStr">
        <is>
          <t>VT</t>
        </is>
      </c>
      <c r="J46" s="35" t="n">
        <v>45</v>
      </c>
      <c r="K46" s="35" t="b">
        <v>1</v>
      </c>
    </row>
    <row r="47" ht="21.5" customHeight="1" s="42">
      <c r="G47" s="35" t="inlineStr">
        <is>
          <t>STA000046</t>
        </is>
      </c>
      <c r="H47" s="35" t="inlineStr">
        <is>
          <t>Virginia</t>
        </is>
      </c>
      <c r="I47" s="35" t="inlineStr">
        <is>
          <t>VA</t>
        </is>
      </c>
      <c r="J47" s="35" t="n">
        <v>46</v>
      </c>
      <c r="K47" s="35" t="b">
        <v>1</v>
      </c>
    </row>
    <row r="48" ht="21.5" customHeight="1" s="42">
      <c r="G48" s="35" t="inlineStr">
        <is>
          <t>STA000047</t>
        </is>
      </c>
      <c r="H48" s="35" t="inlineStr">
        <is>
          <t>Washington</t>
        </is>
      </c>
      <c r="I48" s="35" t="inlineStr">
        <is>
          <t>WA</t>
        </is>
      </c>
      <c r="J48" s="35" t="n">
        <v>47</v>
      </c>
      <c r="K48" s="35" t="b">
        <v>1</v>
      </c>
    </row>
    <row r="49" ht="21.5" customHeight="1" s="42">
      <c r="G49" s="35" t="inlineStr">
        <is>
          <t>STA000048</t>
        </is>
      </c>
      <c r="H49" s="35" t="inlineStr">
        <is>
          <t>West Virginia</t>
        </is>
      </c>
      <c r="I49" s="35" t="inlineStr">
        <is>
          <t>WV</t>
        </is>
      </c>
      <c r="J49" s="35" t="n">
        <v>48</v>
      </c>
      <c r="K49" s="35" t="b">
        <v>1</v>
      </c>
    </row>
    <row r="50" ht="21.5" customHeight="1" s="42">
      <c r="G50" s="35" t="inlineStr">
        <is>
          <t>STA000049</t>
        </is>
      </c>
      <c r="H50" s="35" t="inlineStr">
        <is>
          <t>Wisconsin</t>
        </is>
      </c>
      <c r="I50" s="35" t="inlineStr">
        <is>
          <t>WI</t>
        </is>
      </c>
      <c r="J50" s="35" t="n">
        <v>49</v>
      </c>
      <c r="K50" s="35" t="b">
        <v>1</v>
      </c>
    </row>
    <row r="51" ht="21.5" customHeight="1" s="42">
      <c r="G51" s="35" t="inlineStr">
        <is>
          <t>STA000050</t>
        </is>
      </c>
      <c r="H51" s="35" t="inlineStr">
        <is>
          <t>Wyoming</t>
        </is>
      </c>
      <c r="I51" s="35" t="inlineStr">
        <is>
          <t>WY</t>
        </is>
      </c>
      <c r="J51" s="35" t="n">
        <v>50</v>
      </c>
      <c r="K51" s="35" t="b">
        <v>1</v>
      </c>
    </row>
    <row r="52" ht="21.5" customHeight="1" s="42">
      <c r="G52" s="35" t="inlineStr">
        <is>
          <t>STA000051</t>
        </is>
      </c>
      <c r="H52" s="35" t="inlineStr">
        <is>
          <t>Alberta</t>
        </is>
      </c>
      <c r="I52" s="35" t="inlineStr">
        <is>
          <t>AB</t>
        </is>
      </c>
      <c r="J52" s="35" t="n">
        <v>51</v>
      </c>
      <c r="K52" s="35" t="b">
        <v>1</v>
      </c>
    </row>
    <row r="53" ht="21.5" customHeight="1" s="42">
      <c r="G53" s="35" t="inlineStr">
        <is>
          <t>STA000052</t>
        </is>
      </c>
      <c r="H53" s="35" t="inlineStr">
        <is>
          <t>British Columbia</t>
        </is>
      </c>
      <c r="I53" s="35" t="inlineStr">
        <is>
          <t>BC</t>
        </is>
      </c>
      <c r="J53" s="35" t="n">
        <v>52</v>
      </c>
      <c r="K53" s="35" t="b">
        <v>1</v>
      </c>
    </row>
    <row r="54" ht="21.5" customHeight="1" s="42">
      <c r="G54" s="35" t="inlineStr">
        <is>
          <t>STA000053</t>
        </is>
      </c>
      <c r="H54" s="35" t="inlineStr">
        <is>
          <t>Manitoba</t>
        </is>
      </c>
      <c r="I54" s="35" t="inlineStr">
        <is>
          <t>MB</t>
        </is>
      </c>
      <c r="J54" s="35" t="n">
        <v>53</v>
      </c>
      <c r="K54" s="35" t="b">
        <v>1</v>
      </c>
    </row>
    <row r="55" ht="21.5" customHeight="1" s="42">
      <c r="G55" s="35" t="inlineStr">
        <is>
          <t>STA000054</t>
        </is>
      </c>
      <c r="H55" s="35" t="inlineStr">
        <is>
          <t>New Brunswick</t>
        </is>
      </c>
      <c r="I55" s="35" t="inlineStr">
        <is>
          <t>NB</t>
        </is>
      </c>
      <c r="J55" s="35" t="n">
        <v>54</v>
      </c>
      <c r="K55" s="35" t="b">
        <v>1</v>
      </c>
    </row>
    <row r="56" ht="21.5" customHeight="1" s="42">
      <c r="G56" s="35" t="inlineStr">
        <is>
          <t>STA000055</t>
        </is>
      </c>
      <c r="H56" s="35" t="inlineStr">
        <is>
          <t>Newfoundland and Labrador</t>
        </is>
      </c>
      <c r="I56" s="35" t="inlineStr">
        <is>
          <t>NL</t>
        </is>
      </c>
      <c r="J56" s="35" t="n">
        <v>55</v>
      </c>
      <c r="K56" s="35" t="b">
        <v>1</v>
      </c>
    </row>
    <row r="57" ht="21.5" customHeight="1" s="42">
      <c r="G57" s="35" t="inlineStr">
        <is>
          <t>STA000056</t>
        </is>
      </c>
      <c r="H57" s="35" t="inlineStr">
        <is>
          <t>Nova Scotia</t>
        </is>
      </c>
      <c r="I57" s="35" t="inlineStr">
        <is>
          <t>NS</t>
        </is>
      </c>
      <c r="J57" s="35" t="n">
        <v>56</v>
      </c>
      <c r="K57" s="35" t="b">
        <v>1</v>
      </c>
    </row>
    <row r="58" ht="21.5" customHeight="1" s="42">
      <c r="G58" s="35" t="inlineStr">
        <is>
          <t>STA000057</t>
        </is>
      </c>
      <c r="H58" s="35" t="inlineStr">
        <is>
          <t>Ontario</t>
        </is>
      </c>
      <c r="I58" s="35" t="inlineStr">
        <is>
          <t>ON</t>
        </is>
      </c>
      <c r="J58" s="35" t="n">
        <v>57</v>
      </c>
      <c r="K58" s="35" t="b">
        <v>1</v>
      </c>
    </row>
    <row r="59" ht="21.5" customHeight="1" s="42">
      <c r="G59" s="35" t="inlineStr">
        <is>
          <t>STA000058</t>
        </is>
      </c>
      <c r="H59" s="35" t="inlineStr">
        <is>
          <t>Prince Edward Island</t>
        </is>
      </c>
      <c r="I59" s="35" t="inlineStr">
        <is>
          <t>PE</t>
        </is>
      </c>
      <c r="J59" s="35" t="n">
        <v>58</v>
      </c>
      <c r="K59" s="35" t="b">
        <v>1</v>
      </c>
    </row>
    <row r="60" ht="21.5" customHeight="1" s="42">
      <c r="G60" s="35" t="inlineStr">
        <is>
          <t>STA000059</t>
        </is>
      </c>
      <c r="H60" s="35" t="inlineStr">
        <is>
          <t>Quebec</t>
        </is>
      </c>
      <c r="I60" s="35" t="inlineStr">
        <is>
          <t>QC</t>
        </is>
      </c>
      <c r="J60" s="35" t="n">
        <v>59</v>
      </c>
      <c r="K60" s="35" t="b">
        <v>1</v>
      </c>
    </row>
    <row r="61" ht="21.5" customHeight="1" s="42">
      <c r="G61" s="35" t="inlineStr">
        <is>
          <t>STA000060</t>
        </is>
      </c>
      <c r="H61" s="35" t="inlineStr">
        <is>
          <t>Saskatchewan</t>
        </is>
      </c>
      <c r="I61" s="35" t="inlineStr">
        <is>
          <t>SK</t>
        </is>
      </c>
      <c r="J61" s="35" t="n">
        <v>60</v>
      </c>
      <c r="K61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42" min="1" max="1"/>
    <col width="12" customWidth="1" style="42" min="2" max="2"/>
    <col width="16" customWidth="1" style="42" min="3" max="3"/>
    <col width="12" customWidth="1" style="42" min="4" max="4"/>
    <col width="19" customWidth="1" style="42" min="5" max="5"/>
    <col width="12" customWidth="1" style="42" min="6" max="6"/>
    <col width="12" customWidth="1" style="42" min="7" max="7"/>
    <col width="16" customWidth="1" style="42" min="8" max="8"/>
    <col width="12" customWidth="1" style="42" min="9" max="9"/>
  </cols>
  <sheetData>
    <row r="1">
      <c r="A1" s="70" t="inlineStr">
        <is>
          <t>Lookup Duplicate Candidates</t>
        </is>
      </c>
    </row>
    <row r="2">
      <c r="A2" s="71" t="inlineStr">
        <is>
          <t>Candidate repeats requiring manual review. Same manufacturer model number may be legitimate for variants; no merges were performed.</t>
        </is>
      </c>
    </row>
    <row r="4">
      <c r="A4" s="72" t="inlineStr">
        <is>
          <t>Table</t>
        </is>
      </c>
      <c r="B4" s="72" t="inlineStr">
        <is>
          <t>Record ID</t>
        </is>
      </c>
      <c r="C4" s="72" t="inlineStr">
        <is>
          <t>ManufacturerID</t>
        </is>
      </c>
      <c r="D4" s="72" t="inlineStr">
        <is>
          <t>ModelName</t>
        </is>
      </c>
      <c r="E4" s="72" t="inlineStr">
        <is>
          <t>ManufacturerModel</t>
        </is>
      </c>
      <c r="F4" s="72" t="inlineStr">
        <is>
          <t>Source Row</t>
        </is>
      </c>
      <c r="G4" s="72" t="inlineStr">
        <is>
          <t>Group Size</t>
        </is>
      </c>
      <c r="H4" s="72" t="inlineStr">
        <is>
          <t>Candidate Rule</t>
        </is>
      </c>
      <c r="I4" s="72" t="inlineStr">
        <is>
          <t>Status</t>
        </is>
      </c>
    </row>
    <row r="5">
      <c r="A5" t="inlineStr">
        <is>
          <t>tblDeviceModel</t>
        </is>
      </c>
      <c r="B5" t="inlineStr">
        <is>
          <t>MOD000086</t>
        </is>
      </c>
      <c r="C5" t="inlineStr">
        <is>
          <t>MFG001</t>
        </is>
      </c>
      <c r="D5" t="inlineStr">
        <is>
          <t>MacBook (Late 2008 Aluminum)</t>
        </is>
      </c>
      <c r="E5" t="inlineStr">
        <is>
          <t>A1278</t>
        </is>
      </c>
      <c r="F5" t="n">
        <v>89</v>
      </c>
      <c r="G5" t="n">
        <v>2</v>
      </c>
      <c r="H5" t="inlineStr">
        <is>
          <t>ManufacturerID + Manufacturer Model</t>
        </is>
      </c>
      <c r="I5" t="inlineStr">
        <is>
          <t>REVIEW</t>
        </is>
      </c>
    </row>
    <row r="6">
      <c r="A6" t="inlineStr">
        <is>
          <t>tblDeviceModel</t>
        </is>
      </c>
      <c r="B6" t="inlineStr">
        <is>
          <t>MOD000097</t>
        </is>
      </c>
      <c r="C6" t="inlineStr">
        <is>
          <t>MFG001</t>
        </is>
      </c>
      <c r="D6" t="inlineStr">
        <is>
          <t>MacBook Pro 13-inch (Intel)</t>
        </is>
      </c>
      <c r="E6" t="inlineStr">
        <is>
          <t>A1278</t>
        </is>
      </c>
      <c r="F6" t="n">
        <v>100</v>
      </c>
      <c r="G6" t="n">
        <v>2</v>
      </c>
      <c r="H6" t="inlineStr">
        <is>
          <t>ManufacturerID + Manufacturer Model</t>
        </is>
      </c>
      <c r="I6" t="inlineStr">
        <is>
          <t>REVIEW</t>
        </is>
      </c>
    </row>
    <row r="7">
      <c r="A7" t="inlineStr">
        <is>
          <t>tblDeviceModel</t>
        </is>
      </c>
      <c r="B7" t="inlineStr">
        <is>
          <t>MOD000117</t>
        </is>
      </c>
      <c r="C7" t="inlineStr">
        <is>
          <t>MFG001</t>
        </is>
      </c>
      <c r="D7" t="inlineStr">
        <is>
          <t>Mac Studio (M1 Max)</t>
        </is>
      </c>
      <c r="E7" t="inlineStr">
        <is>
          <t>A2615</t>
        </is>
      </c>
      <c r="F7" t="n">
        <v>120</v>
      </c>
      <c r="G7" t="n">
        <v>2</v>
      </c>
      <c r="H7" t="inlineStr">
        <is>
          <t>ManufacturerID + Manufacturer Model</t>
        </is>
      </c>
      <c r="I7" t="inlineStr">
        <is>
          <t>REVIEW</t>
        </is>
      </c>
    </row>
    <row r="8">
      <c r="A8" t="inlineStr">
        <is>
          <t>tblDeviceModel</t>
        </is>
      </c>
      <c r="B8" t="inlineStr">
        <is>
          <t>MOD000118</t>
        </is>
      </c>
      <c r="C8" t="inlineStr">
        <is>
          <t>MFG001</t>
        </is>
      </c>
      <c r="D8" t="inlineStr">
        <is>
          <t>Mac Studio (M1 Ultra)</t>
        </is>
      </c>
      <c r="E8" t="inlineStr">
        <is>
          <t>A2615</t>
        </is>
      </c>
      <c r="F8" t="n">
        <v>121</v>
      </c>
      <c r="G8" t="n">
        <v>2</v>
      </c>
      <c r="H8" t="inlineStr">
        <is>
          <t>ManufacturerID + Manufacturer Model</t>
        </is>
      </c>
      <c r="I8" t="inlineStr">
        <is>
          <t>REVIEW</t>
        </is>
      </c>
    </row>
    <row r="9">
      <c r="A9" t="inlineStr">
        <is>
          <t>tblDeviceModel</t>
        </is>
      </c>
      <c r="B9" t="inlineStr">
        <is>
          <t>MOD000119</t>
        </is>
      </c>
      <c r="C9" t="inlineStr">
        <is>
          <t>MFG001</t>
        </is>
      </c>
      <c r="D9" t="inlineStr">
        <is>
          <t>Mac Studio (M2 Max)</t>
        </is>
      </c>
      <c r="E9" t="inlineStr">
        <is>
          <t>A2901</t>
        </is>
      </c>
      <c r="F9" t="n">
        <v>122</v>
      </c>
      <c r="G9" t="n">
        <v>2</v>
      </c>
      <c r="H9" t="inlineStr">
        <is>
          <t>ManufacturerID + Manufacturer Model</t>
        </is>
      </c>
      <c r="I9" t="inlineStr">
        <is>
          <t>REVIEW</t>
        </is>
      </c>
    </row>
    <row r="10">
      <c r="A10" t="inlineStr">
        <is>
          <t>tblDeviceModel</t>
        </is>
      </c>
      <c r="B10" t="inlineStr">
        <is>
          <t>MOD000120</t>
        </is>
      </c>
      <c r="C10" t="inlineStr">
        <is>
          <t>MFG001</t>
        </is>
      </c>
      <c r="D10" t="inlineStr">
        <is>
          <t>Mac Studio (M2 Ultra)</t>
        </is>
      </c>
      <c r="E10" t="inlineStr">
        <is>
          <t>A2901</t>
        </is>
      </c>
      <c r="F10" t="n">
        <v>123</v>
      </c>
      <c r="G10" t="n">
        <v>2</v>
      </c>
      <c r="H10" t="inlineStr">
        <is>
          <t>ManufacturerID + Manufacturer Model</t>
        </is>
      </c>
      <c r="I10" t="inlineStr">
        <is>
          <t>REVIEW</t>
        </is>
      </c>
    </row>
    <row r="11">
      <c r="A11" t="inlineStr">
        <is>
          <t>tblDeviceModel</t>
        </is>
      </c>
      <c r="B11" t="inlineStr">
        <is>
          <t>MOD000483</t>
        </is>
      </c>
      <c r="C11" t="inlineStr">
        <is>
          <t>MFG008</t>
        </is>
      </c>
      <c r="D11" t="inlineStr">
        <is>
          <t>ROG Phone 8 Pro</t>
        </is>
      </c>
      <c r="E11" t="inlineStr">
        <is>
          <t>AI2401</t>
        </is>
      </c>
      <c r="F11" t="n">
        <v>486</v>
      </c>
      <c r="G11" t="n">
        <v>3</v>
      </c>
      <c r="H11" t="inlineStr">
        <is>
          <t>ManufacturerID + Manufacturer Model</t>
        </is>
      </c>
      <c r="I11" t="inlineStr">
        <is>
          <t>REVIEW</t>
        </is>
      </c>
    </row>
    <row r="12">
      <c r="A12" t="inlineStr">
        <is>
          <t>tblDeviceModel</t>
        </is>
      </c>
      <c r="B12" t="inlineStr">
        <is>
          <t>MOD000490</t>
        </is>
      </c>
      <c r="C12" t="inlineStr">
        <is>
          <t>MFG008</t>
        </is>
      </c>
      <c r="D12" t="inlineStr">
        <is>
          <t>ROG Phone 8</t>
        </is>
      </c>
      <c r="E12" t="inlineStr">
        <is>
          <t>AI2401</t>
        </is>
      </c>
      <c r="F12" t="n">
        <v>493</v>
      </c>
      <c r="G12" t="n">
        <v>3</v>
      </c>
      <c r="H12" t="inlineStr">
        <is>
          <t>ManufacturerID + Manufacturer Model</t>
        </is>
      </c>
      <c r="I12" t="inlineStr">
        <is>
          <t>REVIEW</t>
        </is>
      </c>
    </row>
    <row r="13">
      <c r="A13" t="inlineStr">
        <is>
          <t>tblDeviceModel</t>
        </is>
      </c>
      <c r="B13" t="inlineStr">
        <is>
          <t>MOD000491</t>
        </is>
      </c>
      <c r="C13" t="inlineStr">
        <is>
          <t>MFG008</t>
        </is>
      </c>
      <c r="D13" t="inlineStr">
        <is>
          <t>Zenfone 11 Ultra</t>
        </is>
      </c>
      <c r="E13" t="inlineStr">
        <is>
          <t>AI2401</t>
        </is>
      </c>
      <c r="F13" t="n">
        <v>494</v>
      </c>
      <c r="G13" t="n">
        <v>3</v>
      </c>
      <c r="H13" t="inlineStr">
        <is>
          <t>ManufacturerID + Manufacturer Model</t>
        </is>
      </c>
      <c r="I13" t="inlineStr">
        <is>
          <t>REVIEW</t>
        </is>
      </c>
    </row>
    <row r="14">
      <c r="A14" t="inlineStr">
        <is>
          <t>tblDeviceModel</t>
        </is>
      </c>
      <c r="B14" t="inlineStr">
        <is>
          <t>MOD000486</t>
        </is>
      </c>
      <c r="C14" t="inlineStr">
        <is>
          <t>MFG008</t>
        </is>
      </c>
      <c r="D14" t="inlineStr">
        <is>
          <t>ROG Phone 6</t>
        </is>
      </c>
      <c r="E14" t="inlineStr">
        <is>
          <t>AI2201</t>
        </is>
      </c>
      <c r="F14" t="n">
        <v>489</v>
      </c>
      <c r="G14" t="n">
        <v>2</v>
      </c>
      <c r="H14" t="inlineStr">
        <is>
          <t>ManufacturerID + Manufacturer Model</t>
        </is>
      </c>
      <c r="I14" t="inlineStr">
        <is>
          <t>REVIEW</t>
        </is>
      </c>
    </row>
    <row r="15">
      <c r="A15" t="inlineStr">
        <is>
          <t>tblDeviceModel</t>
        </is>
      </c>
      <c r="B15" t="inlineStr">
        <is>
          <t>MOD000487</t>
        </is>
      </c>
      <c r="C15" t="inlineStr">
        <is>
          <t>MFG008</t>
        </is>
      </c>
      <c r="D15" t="inlineStr">
        <is>
          <t>ROG Phone 6 Pro</t>
        </is>
      </c>
      <c r="E15" t="inlineStr">
        <is>
          <t>AI2201</t>
        </is>
      </c>
      <c r="F15" t="n">
        <v>490</v>
      </c>
      <c r="G15" t="n">
        <v>2</v>
      </c>
      <c r="H15" t="inlineStr">
        <is>
          <t>ManufacturerID + Manufacturer Model</t>
        </is>
      </c>
      <c r="I15" t="inlineStr">
        <is>
          <t>REVIEW</t>
        </is>
      </c>
    </row>
    <row r="16">
      <c r="A16" t="inlineStr">
        <is>
          <t>tblDeviceModel</t>
        </is>
      </c>
      <c r="B16" t="inlineStr">
        <is>
          <t>MOD000488</t>
        </is>
      </c>
      <c r="C16" t="inlineStr">
        <is>
          <t>MFG008</t>
        </is>
      </c>
      <c r="D16" t="inlineStr">
        <is>
          <t>ROG Phone 7</t>
        </is>
      </c>
      <c r="E16" t="inlineStr">
        <is>
          <t>AI2205</t>
        </is>
      </c>
      <c r="F16" t="n">
        <v>491</v>
      </c>
      <c r="G16" t="n">
        <v>2</v>
      </c>
      <c r="H16" t="inlineStr">
        <is>
          <t>ManufacturerID + Manufacturer Model</t>
        </is>
      </c>
      <c r="I16" t="inlineStr">
        <is>
          <t>REVIEW</t>
        </is>
      </c>
    </row>
    <row r="17">
      <c r="A17" t="inlineStr">
        <is>
          <t>tblDeviceModel</t>
        </is>
      </c>
      <c r="B17" t="inlineStr">
        <is>
          <t>MOD000489</t>
        </is>
      </c>
      <c r="C17" t="inlineStr">
        <is>
          <t>MFG008</t>
        </is>
      </c>
      <c r="D17" t="inlineStr">
        <is>
          <t>ROG Phone 7 Ultimate</t>
        </is>
      </c>
      <c r="E17" t="inlineStr">
        <is>
          <t>AI2205</t>
        </is>
      </c>
      <c r="F17" t="n">
        <v>492</v>
      </c>
      <c r="G17" t="n">
        <v>2</v>
      </c>
      <c r="H17" t="inlineStr">
        <is>
          <t>ManufacturerID + Manufacturer Model</t>
        </is>
      </c>
      <c r="I17" t="inlineStr">
        <is>
          <t>REVIEW</t>
        </is>
      </c>
    </row>
  </sheetData>
  <autoFilter ref="A4:I17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54" topLeftCell="A155" activePane="bottomLeft" state="frozen"/>
      <selection pane="bottomLeft" activeCell="A1" sqref="A1"/>
    </sheetView>
  </sheetViews>
  <sheetFormatPr baseColWidth="8" defaultRowHeight="15"/>
  <cols>
    <col width="22" customWidth="1" style="42" min="1" max="1"/>
    <col width="25" customWidth="1" style="42" min="2" max="2"/>
    <col width="37" customWidth="1" style="42" min="3" max="3"/>
    <col width="18" customWidth="1" style="42" min="4" max="4"/>
    <col width="18" customWidth="1" style="42" min="5" max="5"/>
    <col width="17" customWidth="1" style="42" min="6" max="6"/>
    <col width="13" customWidth="1" style="42" min="7" max="7"/>
    <col width="16" customWidth="1" style="42" min="8" max="8"/>
    <col width="22" customWidth="1" style="42" min="9" max="9"/>
    <col width="22" customWidth="1" style="42" min="10" max="10"/>
    <col width="14" customWidth="1" style="42" min="11" max="11"/>
    <col width="14" customWidth="1" style="42" min="12" max="12"/>
    <col width="14" customWidth="1" style="42" min="13" max="13"/>
    <col width="14" customWidth="1" style="42" min="14" max="14"/>
    <col width="7" customWidth="1" style="42" min="15" max="15"/>
  </cols>
  <sheetData>
    <row r="1">
      <c r="A1" t="inlineStr">
        <is>
          <t>LegacyManufacturerID</t>
        </is>
      </c>
      <c r="B1" t="inlineStr">
        <is>
          <t>CanonicalManufacturerID</t>
        </is>
      </c>
      <c r="C1" t="inlineStr">
        <is>
          <t>ManufacturerName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MFG000001</t>
        </is>
      </c>
      <c r="B2" t="inlineStr">
        <is>
          <t>MFG000001</t>
        </is>
      </c>
      <c r="C2" t="inlineStr">
        <is>
          <t>Apple Inc.</t>
        </is>
      </c>
      <c r="D2" t="inlineStr">
        <is>
          <t>tblManufacturers</t>
        </is>
      </c>
      <c r="E2" t="inlineStr">
        <is>
          <t>tblManufacturers</t>
        </is>
      </c>
      <c r="F2" t="inlineStr">
        <is>
          <t>Exact ID</t>
        </is>
      </c>
      <c r="G2" t="inlineStr">
        <is>
          <t>High</t>
        </is>
      </c>
      <c r="H2" t="inlineStr">
        <is>
          <t>Pending Review</t>
        </is>
      </c>
      <c r="I2" t="inlineStr">
        <is>
          <t>15 LL_Device!A15:E35</t>
        </is>
      </c>
      <c r="J2" t="inlineStr"/>
      <c r="K2" t="inlineStr"/>
      <c r="L2" t="inlineStr"/>
      <c r="M2" t="inlineStr"/>
      <c r="N2" t="inlineStr"/>
    </row>
    <row r="3">
      <c r="A3" t="inlineStr">
        <is>
          <t>MFG000002</t>
        </is>
      </c>
      <c r="B3" t="inlineStr">
        <is>
          <t>MFG000002</t>
        </is>
      </c>
      <c r="C3" t="inlineStr">
        <is>
          <t>Samsung Electronics</t>
        </is>
      </c>
      <c r="D3" t="inlineStr">
        <is>
          <t>tblManufacturers</t>
        </is>
      </c>
      <c r="E3" t="inlineStr">
        <is>
          <t>tblManufacturers</t>
        </is>
      </c>
      <c r="F3" t="inlineStr">
        <is>
          <t>Exact ID</t>
        </is>
      </c>
      <c r="G3" t="inlineStr">
        <is>
          <t>High</t>
        </is>
      </c>
      <c r="H3" t="inlineStr">
        <is>
          <t>Pending Review</t>
        </is>
      </c>
      <c r="I3" t="inlineStr">
        <is>
          <t>15 LL_Device!A15:E35</t>
        </is>
      </c>
      <c r="J3" t="inlineStr"/>
      <c r="K3" t="inlineStr"/>
      <c r="L3" t="inlineStr"/>
      <c r="M3" t="inlineStr"/>
      <c r="N3" t="inlineStr"/>
    </row>
    <row r="4">
      <c r="A4" t="inlineStr">
        <is>
          <t>MFG000003</t>
        </is>
      </c>
      <c r="B4" t="inlineStr">
        <is>
          <t>MFG000003</t>
        </is>
      </c>
      <c r="C4" t="inlineStr">
        <is>
          <t>Pixel devices</t>
        </is>
      </c>
      <c r="D4" t="inlineStr">
        <is>
          <t>tblManufacturers</t>
        </is>
      </c>
      <c r="E4" t="inlineStr">
        <is>
          <t>tblManufacturers</t>
        </is>
      </c>
      <c r="F4" t="inlineStr">
        <is>
          <t>Exact ID</t>
        </is>
      </c>
      <c r="G4" t="inlineStr">
        <is>
          <t>High</t>
        </is>
      </c>
      <c r="H4" t="inlineStr">
        <is>
          <t>Pending Review</t>
        </is>
      </c>
      <c r="I4" t="inlineStr">
        <is>
          <t>15 LL_Device!A15:E35</t>
        </is>
      </c>
      <c r="J4" t="inlineStr"/>
      <c r="K4" t="inlineStr"/>
      <c r="L4" t="inlineStr"/>
      <c r="M4" t="inlineStr"/>
      <c r="N4" t="inlineStr"/>
    </row>
    <row r="5">
      <c r="A5" t="inlineStr">
        <is>
          <t>MFG000004</t>
        </is>
      </c>
      <c r="B5" t="inlineStr">
        <is>
          <t>MFG000004</t>
        </is>
      </c>
      <c r="C5" t="inlineStr">
        <is>
          <t>Motorola Mobility</t>
        </is>
      </c>
      <c r="D5" t="inlineStr">
        <is>
          <t>tblManufacturers</t>
        </is>
      </c>
      <c r="E5" t="inlineStr">
        <is>
          <t>tblManufacturers</t>
        </is>
      </c>
      <c r="F5" t="inlineStr">
        <is>
          <t>Exact ID</t>
        </is>
      </c>
      <c r="G5" t="inlineStr">
        <is>
          <t>High</t>
        </is>
      </c>
      <c r="H5" t="inlineStr">
        <is>
          <t>Pending Review</t>
        </is>
      </c>
      <c r="I5" t="inlineStr">
        <is>
          <t>15 LL_Device!A15:E35</t>
        </is>
      </c>
      <c r="J5" t="inlineStr"/>
      <c r="K5" t="inlineStr"/>
      <c r="L5" t="inlineStr"/>
      <c r="M5" t="inlineStr"/>
      <c r="N5" t="inlineStr"/>
    </row>
    <row r="6">
      <c r="A6" t="inlineStr">
        <is>
          <t>MFG000005</t>
        </is>
      </c>
      <c r="B6" t="inlineStr">
        <is>
          <t>MFG000005</t>
        </is>
      </c>
      <c r="C6" t="inlineStr">
        <is>
          <t>OnePlus</t>
        </is>
      </c>
      <c r="D6" t="inlineStr">
        <is>
          <t>tblManufacturers</t>
        </is>
      </c>
      <c r="E6" t="inlineStr">
        <is>
          <t>tblManufacturers</t>
        </is>
      </c>
      <c r="F6" t="inlineStr">
        <is>
          <t>Exact ID</t>
        </is>
      </c>
      <c r="G6" t="inlineStr">
        <is>
          <t>High</t>
        </is>
      </c>
      <c r="H6" t="inlineStr">
        <is>
          <t>Pending Review</t>
        </is>
      </c>
      <c r="I6" t="inlineStr">
        <is>
          <t>15 LL_Device!A15:E35</t>
        </is>
      </c>
      <c r="J6" t="inlineStr"/>
      <c r="K6" t="inlineStr"/>
      <c r="L6" t="inlineStr"/>
      <c r="M6" t="inlineStr"/>
      <c r="N6" t="inlineStr"/>
    </row>
    <row r="7">
      <c r="A7" t="inlineStr">
        <is>
          <t>MFG000006</t>
        </is>
      </c>
      <c r="B7" t="inlineStr">
        <is>
          <t>MFG000006</t>
        </is>
      </c>
      <c r="C7" t="inlineStr">
        <is>
          <t>LG Electronics</t>
        </is>
      </c>
      <c r="D7" t="inlineStr">
        <is>
          <t>tblManufacturers</t>
        </is>
      </c>
      <c r="E7" t="inlineStr">
        <is>
          <t>tblManufacturers</t>
        </is>
      </c>
      <c r="F7" t="inlineStr">
        <is>
          <t>Exact ID</t>
        </is>
      </c>
      <c r="G7" t="inlineStr">
        <is>
          <t>High</t>
        </is>
      </c>
      <c r="H7" t="inlineStr">
        <is>
          <t>Pending Review</t>
        </is>
      </c>
      <c r="I7" t="inlineStr">
        <is>
          <t>15 LL_Device!A15:E35</t>
        </is>
      </c>
      <c r="J7" t="inlineStr"/>
      <c r="K7" t="inlineStr"/>
      <c r="L7" t="inlineStr"/>
      <c r="M7" t="inlineStr"/>
      <c r="N7" t="inlineStr"/>
    </row>
    <row r="8">
      <c r="A8" t="inlineStr">
        <is>
          <t>MFG000007</t>
        </is>
      </c>
      <c r="B8" t="inlineStr">
        <is>
          <t>MFG000007</t>
        </is>
      </c>
      <c r="C8" t="inlineStr">
        <is>
          <t>Sony Mobile</t>
        </is>
      </c>
      <c r="D8" t="inlineStr">
        <is>
          <t>tblManufacturers</t>
        </is>
      </c>
      <c r="E8" t="inlineStr">
        <is>
          <t>tblManufacturers</t>
        </is>
      </c>
      <c r="F8" t="inlineStr">
        <is>
          <t>Exact ID</t>
        </is>
      </c>
      <c r="G8" t="inlineStr">
        <is>
          <t>High</t>
        </is>
      </c>
      <c r="H8" t="inlineStr">
        <is>
          <t>Pending Review</t>
        </is>
      </c>
      <c r="I8" t="inlineStr">
        <is>
          <t>15 LL_Device!A15:E35</t>
        </is>
      </c>
      <c r="J8" t="inlineStr"/>
      <c r="K8" t="inlineStr"/>
      <c r="L8" t="inlineStr"/>
      <c r="M8" t="inlineStr"/>
      <c r="N8" t="inlineStr"/>
    </row>
    <row r="9">
      <c r="A9" t="inlineStr">
        <is>
          <t>MFG000008</t>
        </is>
      </c>
      <c r="B9" t="inlineStr">
        <is>
          <t>MFG000008</t>
        </is>
      </c>
      <c r="C9" t="inlineStr">
        <is>
          <t>Nokia/HMD</t>
        </is>
      </c>
      <c r="D9" t="inlineStr">
        <is>
          <t>tblManufacturers</t>
        </is>
      </c>
      <c r="E9" t="inlineStr">
        <is>
          <t>tblManufacturers</t>
        </is>
      </c>
      <c r="F9" t="inlineStr">
        <is>
          <t>Exact ID</t>
        </is>
      </c>
      <c r="G9" t="inlineStr">
        <is>
          <t>High</t>
        </is>
      </c>
      <c r="H9" t="inlineStr">
        <is>
          <t>Pending Review</t>
        </is>
      </c>
      <c r="I9" t="inlineStr">
        <is>
          <t>15 LL_Device!A15:E35</t>
        </is>
      </c>
      <c r="J9" t="inlineStr"/>
      <c r="K9" t="inlineStr"/>
      <c r="L9" t="inlineStr"/>
      <c r="M9" t="inlineStr"/>
      <c r="N9" t="inlineStr"/>
    </row>
    <row r="10">
      <c r="A10" t="inlineStr">
        <is>
          <t>MFG000009</t>
        </is>
      </c>
      <c r="B10" t="inlineStr">
        <is>
          <t>MFG000009</t>
        </is>
      </c>
      <c r="C10" t="inlineStr">
        <is>
          <t>Surface devices</t>
        </is>
      </c>
      <c r="D10" t="inlineStr">
        <is>
          <t>tblManufacturers</t>
        </is>
      </c>
      <c r="E10" t="inlineStr">
        <is>
          <t>tblManufacturers</t>
        </is>
      </c>
      <c r="F10" t="inlineStr">
        <is>
          <t>Exact ID</t>
        </is>
      </c>
      <c r="G10" t="inlineStr">
        <is>
          <t>High</t>
        </is>
      </c>
      <c r="H10" t="inlineStr">
        <is>
          <t>Pending Review</t>
        </is>
      </c>
      <c r="I10" t="inlineStr">
        <is>
          <t>15 LL_Device!A15:E35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MFG000010</t>
        </is>
      </c>
      <c r="B11" t="inlineStr">
        <is>
          <t>MFG000010</t>
        </is>
      </c>
      <c r="C11" t="inlineStr">
        <is>
          <t>Dell Technologies</t>
        </is>
      </c>
      <c r="D11" t="inlineStr">
        <is>
          <t>tblManufacturers</t>
        </is>
      </c>
      <c r="E11" t="inlineStr">
        <is>
          <t>tblManufacturers</t>
        </is>
      </c>
      <c r="F11" t="inlineStr">
        <is>
          <t>Exact ID</t>
        </is>
      </c>
      <c r="G11" t="inlineStr">
        <is>
          <t>High</t>
        </is>
      </c>
      <c r="H11" t="inlineStr">
        <is>
          <t>Pending Review</t>
        </is>
      </c>
      <c r="I11" t="inlineStr">
        <is>
          <t>15 LL_Device!A15:E35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MFG000011</t>
        </is>
      </c>
      <c r="B12" t="inlineStr">
        <is>
          <t>MFG000011</t>
        </is>
      </c>
      <c r="C12" t="inlineStr">
        <is>
          <t>Hewlett-Packard</t>
        </is>
      </c>
      <c r="D12" t="inlineStr">
        <is>
          <t>tblManufacturers</t>
        </is>
      </c>
      <c r="E12" t="inlineStr">
        <is>
          <t>tblManufacturers</t>
        </is>
      </c>
      <c r="F12" t="inlineStr">
        <is>
          <t>Exact ID</t>
        </is>
      </c>
      <c r="G12" t="inlineStr">
        <is>
          <t>High</t>
        </is>
      </c>
      <c r="H12" t="inlineStr">
        <is>
          <t>Pending Review</t>
        </is>
      </c>
      <c r="I12" t="inlineStr">
        <is>
          <t>15 LL_Device!A15:E35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MFG000012</t>
        </is>
      </c>
      <c r="B13" t="inlineStr">
        <is>
          <t>MFG000012</t>
        </is>
      </c>
      <c r="C13" t="inlineStr">
        <is>
          <t>Lenovo</t>
        </is>
      </c>
      <c r="D13" t="inlineStr">
        <is>
          <t>tblManufacturers</t>
        </is>
      </c>
      <c r="E13" t="inlineStr">
        <is>
          <t>tblManufacturers</t>
        </is>
      </c>
      <c r="F13" t="inlineStr">
        <is>
          <t>Exact ID</t>
        </is>
      </c>
      <c r="G13" t="inlineStr">
        <is>
          <t>High</t>
        </is>
      </c>
      <c r="H13" t="inlineStr">
        <is>
          <t>Pending Review</t>
        </is>
      </c>
      <c r="I13" t="inlineStr">
        <is>
          <t>15 LL_Device!A15:E35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MFG000013</t>
        </is>
      </c>
      <c r="B14" t="inlineStr">
        <is>
          <t>MFG000013</t>
        </is>
      </c>
      <c r="C14" t="inlineStr">
        <is>
          <t>ASUS</t>
        </is>
      </c>
      <c r="D14" t="inlineStr">
        <is>
          <t>tblManufacturers</t>
        </is>
      </c>
      <c r="E14" t="inlineStr">
        <is>
          <t>tblManufacturers</t>
        </is>
      </c>
      <c r="F14" t="inlineStr">
        <is>
          <t>Exact ID</t>
        </is>
      </c>
      <c r="G14" t="inlineStr">
        <is>
          <t>High</t>
        </is>
      </c>
      <c r="H14" t="inlineStr">
        <is>
          <t>Pending Review</t>
        </is>
      </c>
      <c r="I14" t="inlineStr">
        <is>
          <t>15 LL_Device!A15:E35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MFG000014</t>
        </is>
      </c>
      <c r="B15" t="inlineStr">
        <is>
          <t>MFG000014</t>
        </is>
      </c>
      <c r="C15" t="inlineStr">
        <is>
          <t>Acer</t>
        </is>
      </c>
      <c r="D15" t="inlineStr">
        <is>
          <t>tblManufacturers</t>
        </is>
      </c>
      <c r="E15" t="inlineStr">
        <is>
          <t>tblManufacturers</t>
        </is>
      </c>
      <c r="F15" t="inlineStr">
        <is>
          <t>Exact ID</t>
        </is>
      </c>
      <c r="G15" t="inlineStr">
        <is>
          <t>High</t>
        </is>
      </c>
      <c r="H15" t="inlineStr">
        <is>
          <t>Pending Review</t>
        </is>
      </c>
      <c r="I15" t="inlineStr">
        <is>
          <t>15 LL_Device!A15:E35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MFG000015</t>
        </is>
      </c>
      <c r="B16" t="inlineStr">
        <is>
          <t>MFG000015</t>
        </is>
      </c>
      <c r="C16" t="inlineStr">
        <is>
          <t>MSI</t>
        </is>
      </c>
      <c r="D16" t="inlineStr">
        <is>
          <t>tblManufacturers</t>
        </is>
      </c>
      <c r="E16" t="inlineStr">
        <is>
          <t>tblManufacturers</t>
        </is>
      </c>
      <c r="F16" t="inlineStr">
        <is>
          <t>Exact ID</t>
        </is>
      </c>
      <c r="G16" t="inlineStr">
        <is>
          <t>High</t>
        </is>
      </c>
      <c r="H16" t="inlineStr">
        <is>
          <t>Pending Review</t>
        </is>
      </c>
      <c r="I16" t="inlineStr">
        <is>
          <t>15 LL_Device!A15:E35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MFG000016</t>
        </is>
      </c>
      <c r="B17" t="inlineStr">
        <is>
          <t>MFG000016</t>
        </is>
      </c>
      <c r="C17" t="inlineStr">
        <is>
          <t>Nintendo</t>
        </is>
      </c>
      <c r="D17" t="inlineStr">
        <is>
          <t>tblManufacturers</t>
        </is>
      </c>
      <c r="E17" t="inlineStr">
        <is>
          <t>tblManufacturers</t>
        </is>
      </c>
      <c r="F17" t="inlineStr">
        <is>
          <t>Exact ID</t>
        </is>
      </c>
      <c r="G17" t="inlineStr">
        <is>
          <t>High</t>
        </is>
      </c>
      <c r="H17" t="inlineStr">
        <is>
          <t>Pending Review</t>
        </is>
      </c>
      <c r="I17" t="inlineStr">
        <is>
          <t>15 LL_Device!A15:E35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MFG000017</t>
        </is>
      </c>
      <c r="B18" t="inlineStr">
        <is>
          <t>MFG000017</t>
        </is>
      </c>
      <c r="C18" t="inlineStr">
        <is>
          <t>PlayStation</t>
        </is>
      </c>
      <c r="D18" t="inlineStr">
        <is>
          <t>tblManufacturers</t>
        </is>
      </c>
      <c r="E18" t="inlineStr">
        <is>
          <t>tblManufacturers</t>
        </is>
      </c>
      <c r="F18" t="inlineStr">
        <is>
          <t>Exact ID</t>
        </is>
      </c>
      <c r="G18" t="inlineStr">
        <is>
          <t>High</t>
        </is>
      </c>
      <c r="H18" t="inlineStr">
        <is>
          <t>Pending Review</t>
        </is>
      </c>
      <c r="I18" t="inlineStr">
        <is>
          <t>15 LL_Device!A15:E35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MFG000018</t>
        </is>
      </c>
      <c r="B19" t="inlineStr">
        <is>
          <t>MFG000018</t>
        </is>
      </c>
      <c r="C19" t="inlineStr">
        <is>
          <t>Xbox</t>
        </is>
      </c>
      <c r="D19" t="inlineStr">
        <is>
          <t>tblManufacturers</t>
        </is>
      </c>
      <c r="E19" t="inlineStr">
        <is>
          <t>tblManufacturers</t>
        </is>
      </c>
      <c r="F19" t="inlineStr">
        <is>
          <t>Exact ID</t>
        </is>
      </c>
      <c r="G19" t="inlineStr">
        <is>
          <t>High</t>
        </is>
      </c>
      <c r="H19" t="inlineStr">
        <is>
          <t>Pending Review</t>
        </is>
      </c>
      <c r="I19" t="inlineStr">
        <is>
          <t>15 LL_Device!A15:E35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MFG000019</t>
        </is>
      </c>
      <c r="B20" t="inlineStr">
        <is>
          <t>MFG000019</t>
        </is>
      </c>
      <c r="C20" t="inlineStr">
        <is>
          <t>Quest VR</t>
        </is>
      </c>
      <c r="D20" t="inlineStr">
        <is>
          <t>tblManufacturers</t>
        </is>
      </c>
      <c r="E20" t="inlineStr">
        <is>
          <t>tblManufacturers</t>
        </is>
      </c>
      <c r="F20" t="inlineStr">
        <is>
          <t>Exact ID</t>
        </is>
      </c>
      <c r="G20" t="inlineStr">
        <is>
          <t>High</t>
        </is>
      </c>
      <c r="H20" t="inlineStr">
        <is>
          <t>Pending Review</t>
        </is>
      </c>
      <c r="I20" t="inlineStr">
        <is>
          <t>15 LL_Device!A15:E35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MFG000020</t>
        </is>
      </c>
      <c r="B21" t="inlineStr">
        <is>
          <t>MFG000020</t>
        </is>
      </c>
      <c r="C21" t="inlineStr">
        <is>
          <t>Drones</t>
        </is>
      </c>
      <c r="D21" t="inlineStr">
        <is>
          <t>tblManufacturers</t>
        </is>
      </c>
      <c r="E21" t="inlineStr">
        <is>
          <t>tblManufacturers</t>
        </is>
      </c>
      <c r="F21" t="inlineStr">
        <is>
          <t>Exact ID</t>
        </is>
      </c>
      <c r="G21" t="inlineStr">
        <is>
          <t>High</t>
        </is>
      </c>
      <c r="H21" t="inlineStr">
        <is>
          <t>Pending Review</t>
        </is>
      </c>
      <c r="I21" t="inlineStr">
        <is>
          <t>15 LL_Device!A15:E35</t>
        </is>
      </c>
      <c r="J21" t="inlineStr"/>
      <c r="K21" t="inlineStr"/>
      <c r="L21" t="inlineStr"/>
      <c r="M21" t="inlineStr"/>
      <c r="N21" t="inlineStr"/>
    </row>
    <row r="22"/>
    <row r="23"/>
    <row r="24">
      <c r="A24" t="inlineStr">
        <is>
          <t>LegacyDeviceFamilyID</t>
        </is>
      </c>
      <c r="B24" t="inlineStr">
        <is>
          <t>CanonicalDeviceFamilyID</t>
        </is>
      </c>
      <c r="C24" t="inlineStr">
        <is>
          <t>DeviceFamilyName</t>
        </is>
      </c>
      <c r="D24" t="inlineStr">
        <is>
          <t>ManufacturerID</t>
        </is>
      </c>
      <c r="E24" t="inlineStr">
        <is>
          <t>LegacySource</t>
        </is>
      </c>
      <c r="F24" t="inlineStr">
        <is>
          <t>CanonicalSource</t>
        </is>
      </c>
      <c r="G24" t="inlineStr">
        <is>
          <t>MatchMethod</t>
        </is>
      </c>
      <c r="H24" t="inlineStr">
        <is>
          <t>Confidence</t>
        </is>
      </c>
      <c r="I24" t="inlineStr">
        <is>
          <t>MappingStatus</t>
        </is>
      </c>
      <c r="J24" t="inlineStr">
        <is>
          <t>EvidenceSource</t>
        </is>
      </c>
      <c r="K24" t="inlineStr">
        <is>
          <t>ReviewedBy</t>
        </is>
      </c>
      <c r="L24" t="inlineStr">
        <is>
          <t>ReviewedDate</t>
        </is>
      </c>
      <c r="M24" t="inlineStr">
        <is>
          <t>ApprovedBy</t>
        </is>
      </c>
      <c r="N24" t="inlineStr">
        <is>
          <t>ApprovedDate</t>
        </is>
      </c>
      <c r="O24" t="inlineStr">
        <is>
          <t>Notes</t>
        </is>
      </c>
    </row>
    <row r="25">
      <c r="A25" t="inlineStr">
        <is>
          <t>DF001</t>
        </is>
      </c>
      <c r="B25" t="inlineStr">
        <is>
          <t>DF001</t>
        </is>
      </c>
      <c r="C25" t="inlineStr">
        <is>
          <t>iPhone (2G)</t>
        </is>
      </c>
      <c r="D25" t="inlineStr">
        <is>
          <t>MFG001</t>
        </is>
      </c>
      <c r="E25" t="inlineStr">
        <is>
          <t>tblDeviceModel</t>
        </is>
      </c>
      <c r="F25" t="inlineStr">
        <is>
          <t>tblDeviceModel</t>
        </is>
      </c>
      <c r="G25" t="inlineStr">
        <is>
          <t>Exact ID</t>
        </is>
      </c>
      <c r="H25" t="inlineStr">
        <is>
          <t>High</t>
        </is>
      </c>
      <c r="I25" t="inlineStr">
        <is>
          <t>Pending Review</t>
        </is>
      </c>
      <c r="J25" t="inlineStr">
        <is>
          <t>15 LL_Device!G1:O635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DF002</t>
        </is>
      </c>
      <c r="B26" t="inlineStr">
        <is>
          <t>DF002</t>
        </is>
      </c>
      <c r="C26" t="inlineStr">
        <is>
          <t>iPad (1st Generation)</t>
        </is>
      </c>
      <c r="D26" t="inlineStr">
        <is>
          <t>MFG001</t>
        </is>
      </c>
      <c r="E26" t="inlineStr">
        <is>
          <t>tblDeviceModel</t>
        </is>
      </c>
      <c r="F26" t="inlineStr">
        <is>
          <t>tblDeviceModel</t>
        </is>
      </c>
      <c r="G26" t="inlineStr">
        <is>
          <t>Exact ID</t>
        </is>
      </c>
      <c r="H26" t="inlineStr">
        <is>
          <t>High</t>
        </is>
      </c>
      <c r="I26" t="inlineStr">
        <is>
          <t>Pending Review</t>
        </is>
      </c>
      <c r="J26" t="inlineStr">
        <is>
          <t>15 LL_Device!G1:O635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DF004</t>
        </is>
      </c>
      <c r="B27" t="inlineStr">
        <is>
          <t>DF004</t>
        </is>
      </c>
      <c r="C27" t="inlineStr">
        <is>
          <t>iPad mini</t>
        </is>
      </c>
      <c r="D27" t="inlineStr">
        <is>
          <t>MFG001</t>
        </is>
      </c>
      <c r="E27" t="inlineStr">
        <is>
          <t>tblDeviceModel</t>
        </is>
      </c>
      <c r="F27" t="inlineStr">
        <is>
          <t>tblDeviceModel</t>
        </is>
      </c>
      <c r="G27" t="inlineStr">
        <is>
          <t>Exact ID</t>
        </is>
      </c>
      <c r="H27" t="inlineStr">
        <is>
          <t>High</t>
        </is>
      </c>
      <c r="I27" t="inlineStr">
        <is>
          <t>Pending Review</t>
        </is>
      </c>
      <c r="J27" t="inlineStr">
        <is>
          <t>15 LL_Device!G1:O635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DF003</t>
        </is>
      </c>
      <c r="B28" t="inlineStr">
        <is>
          <t>DF003</t>
        </is>
      </c>
      <c r="C28" t="inlineStr">
        <is>
          <t>iPad Air</t>
        </is>
      </c>
      <c r="D28" t="inlineStr">
        <is>
          <t>MFG001</t>
        </is>
      </c>
      <c r="E28" t="inlineStr">
        <is>
          <t>tblDeviceModel</t>
        </is>
      </c>
      <c r="F28" t="inlineStr">
        <is>
          <t>tblDeviceModel</t>
        </is>
      </c>
      <c r="G28" t="inlineStr">
        <is>
          <t>Exact ID</t>
        </is>
      </c>
      <c r="H28" t="inlineStr">
        <is>
          <t>High</t>
        </is>
      </c>
      <c r="I28" t="inlineStr">
        <is>
          <t>Pending Review</t>
        </is>
      </c>
      <c r="J28" t="inlineStr">
        <is>
          <t>15 LL_Device!G1:O635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DF005</t>
        </is>
      </c>
      <c r="B29" t="inlineStr">
        <is>
          <t>DF005</t>
        </is>
      </c>
      <c r="C29" t="inlineStr">
        <is>
          <t>iPad Pro 12.9-inch (1st Generation)</t>
        </is>
      </c>
      <c r="D29" t="inlineStr">
        <is>
          <t>MFG001</t>
        </is>
      </c>
      <c r="E29" t="inlineStr">
        <is>
          <t>tblDeviceModel</t>
        </is>
      </c>
      <c r="F29" t="inlineStr">
        <is>
          <t>tblDeviceModel</t>
        </is>
      </c>
      <c r="G29" t="inlineStr">
        <is>
          <t>Exact ID</t>
        </is>
      </c>
      <c r="H29" t="inlineStr">
        <is>
          <t>High</t>
        </is>
      </c>
      <c r="I29" t="inlineStr">
        <is>
          <t>Pending Review</t>
        </is>
      </c>
      <c r="J29" t="inlineStr">
        <is>
          <t>15 LL_Device!G1:O635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DF006</t>
        </is>
      </c>
      <c r="B30" t="inlineStr">
        <is>
          <t>DF006</t>
        </is>
      </c>
      <c r="C30" t="inlineStr">
        <is>
          <t>MacBook (Original)</t>
        </is>
      </c>
      <c r="D30" t="inlineStr">
        <is>
          <t>MFG001</t>
        </is>
      </c>
      <c r="E30" t="inlineStr">
        <is>
          <t>tblDeviceModel</t>
        </is>
      </c>
      <c r="F30" t="inlineStr">
        <is>
          <t>tblDeviceModel</t>
        </is>
      </c>
      <c r="G30" t="inlineStr">
        <is>
          <t>Exact ID</t>
        </is>
      </c>
      <c r="H30" t="inlineStr">
        <is>
          <t>High</t>
        </is>
      </c>
      <c r="I30" t="inlineStr">
        <is>
          <t>Pending Review</t>
        </is>
      </c>
      <c r="J30" t="inlineStr">
        <is>
          <t>15 LL_Device!G1:O635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DF007</t>
        </is>
      </c>
      <c r="B31" t="inlineStr">
        <is>
          <t>DF007</t>
        </is>
      </c>
      <c r="C31" t="inlineStr">
        <is>
          <t>MacBook Air (Original)</t>
        </is>
      </c>
      <c r="D31" t="inlineStr">
        <is>
          <t>MFG001</t>
        </is>
      </c>
      <c r="E31" t="inlineStr">
        <is>
          <t>tblDeviceModel</t>
        </is>
      </c>
      <c r="F31" t="inlineStr">
        <is>
          <t>tblDeviceModel</t>
        </is>
      </c>
      <c r="G31" t="inlineStr">
        <is>
          <t>Exact ID</t>
        </is>
      </c>
      <c r="H31" t="inlineStr">
        <is>
          <t>High</t>
        </is>
      </c>
      <c r="I31" t="inlineStr">
        <is>
          <t>Pending Review</t>
        </is>
      </c>
      <c r="J31" t="inlineStr">
        <is>
          <t>15 LL_Device!G1:O635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DF008</t>
        </is>
      </c>
      <c r="B32" t="inlineStr">
        <is>
          <t>DF008</t>
        </is>
      </c>
      <c r="C32" t="inlineStr">
        <is>
          <t>MacBook Pro 13-inch (Intel)</t>
        </is>
      </c>
      <c r="D32" t="inlineStr">
        <is>
          <t>MFG001</t>
        </is>
      </c>
      <c r="E32" t="inlineStr">
        <is>
          <t>tblDeviceModel</t>
        </is>
      </c>
      <c r="F32" t="inlineStr">
        <is>
          <t>tblDeviceModel</t>
        </is>
      </c>
      <c r="G32" t="inlineStr">
        <is>
          <t>Exact ID</t>
        </is>
      </c>
      <c r="H32" t="inlineStr">
        <is>
          <t>High</t>
        </is>
      </c>
      <c r="I32" t="inlineStr">
        <is>
          <t>Pending Review</t>
        </is>
      </c>
      <c r="J32" t="inlineStr">
        <is>
          <t>15 LL_Device!G1:O635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DF009</t>
        </is>
      </c>
      <c r="B33" t="inlineStr">
        <is>
          <t>DF009</t>
        </is>
      </c>
      <c r="C33" t="inlineStr">
        <is>
          <t>iMac G3</t>
        </is>
      </c>
      <c r="D33" t="inlineStr">
        <is>
          <t>MFG001</t>
        </is>
      </c>
      <c r="E33" t="inlineStr">
        <is>
          <t>tblDeviceModel</t>
        </is>
      </c>
      <c r="F33" t="inlineStr">
        <is>
          <t>tblDeviceModel</t>
        </is>
      </c>
      <c r="G33" t="inlineStr">
        <is>
          <t>Exact ID</t>
        </is>
      </c>
      <c r="H33" t="inlineStr">
        <is>
          <t>High</t>
        </is>
      </c>
      <c r="I33" t="inlineStr">
        <is>
          <t>Pending Review</t>
        </is>
      </c>
      <c r="J33" t="inlineStr">
        <is>
          <t>15 LL_Device!G1:O635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DF010</t>
        </is>
      </c>
      <c r="B34" t="inlineStr">
        <is>
          <t>DF010</t>
        </is>
      </c>
      <c r="C34" t="inlineStr">
        <is>
          <t>iMac Pro</t>
        </is>
      </c>
      <c r="D34" t="inlineStr">
        <is>
          <t>MFG001</t>
        </is>
      </c>
      <c r="E34" t="inlineStr">
        <is>
          <t>tblDeviceModel</t>
        </is>
      </c>
      <c r="F34" t="inlineStr">
        <is>
          <t>tblDeviceModel</t>
        </is>
      </c>
      <c r="G34" t="inlineStr">
        <is>
          <t>Exact ID</t>
        </is>
      </c>
      <c r="H34" t="inlineStr">
        <is>
          <t>High</t>
        </is>
      </c>
      <c r="I34" t="inlineStr">
        <is>
          <t>Pending Review</t>
        </is>
      </c>
      <c r="J34" t="inlineStr">
        <is>
          <t>15 LL_Device!G1:O635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DF011</t>
        </is>
      </c>
      <c r="B35" t="inlineStr">
        <is>
          <t>DF011</t>
        </is>
      </c>
      <c r="C35" t="inlineStr">
        <is>
          <t>Mac mini (PowerPC)</t>
        </is>
      </c>
      <c r="D35" t="inlineStr">
        <is>
          <t>MFG001</t>
        </is>
      </c>
      <c r="E35" t="inlineStr">
        <is>
          <t>tblDeviceModel</t>
        </is>
      </c>
      <c r="F35" t="inlineStr">
        <is>
          <t>tblDeviceModel</t>
        </is>
      </c>
      <c r="G35" t="inlineStr">
        <is>
          <t>Exact ID</t>
        </is>
      </c>
      <c r="H35" t="inlineStr">
        <is>
          <t>High</t>
        </is>
      </c>
      <c r="I35" t="inlineStr">
        <is>
          <t>Pending Review</t>
        </is>
      </c>
      <c r="J35" t="inlineStr">
        <is>
          <t>15 LL_Device!G1:O635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DF012</t>
        </is>
      </c>
      <c r="B36" t="inlineStr">
        <is>
          <t>DF012</t>
        </is>
      </c>
      <c r="C36" t="inlineStr">
        <is>
          <t>Mac Studio (M1 Max)</t>
        </is>
      </c>
      <c r="D36" t="inlineStr">
        <is>
          <t>MFG001</t>
        </is>
      </c>
      <c r="E36" t="inlineStr">
        <is>
          <t>tblDeviceModel</t>
        </is>
      </c>
      <c r="F36" t="inlineStr">
        <is>
          <t>tblDeviceModel</t>
        </is>
      </c>
      <c r="G36" t="inlineStr">
        <is>
          <t>Exact ID</t>
        </is>
      </c>
      <c r="H36" t="inlineStr">
        <is>
          <t>High</t>
        </is>
      </c>
      <c r="I36" t="inlineStr">
        <is>
          <t>Pending Review</t>
        </is>
      </c>
      <c r="J36" t="inlineStr">
        <is>
          <t>15 LL_Device!G1:O635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DF013</t>
        </is>
      </c>
      <c r="B37" t="inlineStr">
        <is>
          <t>DF013</t>
        </is>
      </c>
      <c r="C37" t="inlineStr">
        <is>
          <t>Mac Pro (Intel Tower)</t>
        </is>
      </c>
      <c r="D37" t="inlineStr">
        <is>
          <t>MFG001</t>
        </is>
      </c>
      <c r="E37" t="inlineStr">
        <is>
          <t>tblDeviceModel</t>
        </is>
      </c>
      <c r="F37" t="inlineStr">
        <is>
          <t>tblDeviceModel</t>
        </is>
      </c>
      <c r="G37" t="inlineStr">
        <is>
          <t>Exact ID</t>
        </is>
      </c>
      <c r="H37" t="inlineStr">
        <is>
          <t>High</t>
        </is>
      </c>
      <c r="I37" t="inlineStr">
        <is>
          <t>Pending Review</t>
        </is>
      </c>
      <c r="J37" t="inlineStr">
        <is>
          <t>15 LL_Device!G1:O635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DF014</t>
        </is>
      </c>
      <c r="B38" t="inlineStr">
        <is>
          <t>DF014</t>
        </is>
      </c>
      <c r="C38" t="inlineStr">
        <is>
          <t>Apple Watch (1st Generation)</t>
        </is>
      </c>
      <c r="D38" t="inlineStr">
        <is>
          <t>MFG001</t>
        </is>
      </c>
      <c r="E38" t="inlineStr">
        <is>
          <t>tblDeviceModel</t>
        </is>
      </c>
      <c r="F38" t="inlineStr">
        <is>
          <t>tblDeviceModel</t>
        </is>
      </c>
      <c r="G38" t="inlineStr">
        <is>
          <t>Exact ID</t>
        </is>
      </c>
      <c r="H38" t="inlineStr">
        <is>
          <t>High</t>
        </is>
      </c>
      <c r="I38" t="inlineStr">
        <is>
          <t>Pending Review</t>
        </is>
      </c>
      <c r="J38" t="inlineStr">
        <is>
          <t>15 LL_Device!G1:O635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DF015</t>
        </is>
      </c>
      <c r="B39" t="inlineStr">
        <is>
          <t>DF015</t>
        </is>
      </c>
      <c r="C39" t="inlineStr">
        <is>
          <t>Apple TV (1st Generation)</t>
        </is>
      </c>
      <c r="D39" t="inlineStr">
        <is>
          <t>MFG001</t>
        </is>
      </c>
      <c r="E39" t="inlineStr">
        <is>
          <t>tblDeviceModel</t>
        </is>
      </c>
      <c r="F39" t="inlineStr">
        <is>
          <t>tblDeviceModel</t>
        </is>
      </c>
      <c r="G39" t="inlineStr">
        <is>
          <t>Exact ID</t>
        </is>
      </c>
      <c r="H39" t="inlineStr">
        <is>
          <t>High</t>
        </is>
      </c>
      <c r="I39" t="inlineStr">
        <is>
          <t>Pending Review</t>
        </is>
      </c>
      <c r="J39" t="inlineStr">
        <is>
          <t>15 LL_Device!G1:O635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DF016</t>
        </is>
      </c>
      <c r="B40" t="inlineStr">
        <is>
          <t>DF016</t>
        </is>
      </c>
      <c r="C40" t="inlineStr">
        <is>
          <t>Apple Vision Pro</t>
        </is>
      </c>
      <c r="D40" t="inlineStr">
        <is>
          <t>MFG001</t>
        </is>
      </c>
      <c r="E40" t="inlineStr">
        <is>
          <t>tblDeviceModel</t>
        </is>
      </c>
      <c r="F40" t="inlineStr">
        <is>
          <t>tblDeviceModel</t>
        </is>
      </c>
      <c r="G40" t="inlineStr">
        <is>
          <t>Exact ID</t>
        </is>
      </c>
      <c r="H40" t="inlineStr">
        <is>
          <t>High</t>
        </is>
      </c>
      <c r="I40" t="inlineStr">
        <is>
          <t>Pending Review</t>
        </is>
      </c>
      <c r="J40" t="inlineStr">
        <is>
          <t>15 LL_Device!G1:O635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DF020</t>
        </is>
      </c>
      <c r="B41" t="inlineStr">
        <is>
          <t>DF020</t>
        </is>
      </c>
      <c r="C41" t="inlineStr">
        <is>
          <t>Galaxy S</t>
        </is>
      </c>
      <c r="D41" t="inlineStr">
        <is>
          <t>MFG002</t>
        </is>
      </c>
      <c r="E41" t="inlineStr">
        <is>
          <t>tblDeviceModel</t>
        </is>
      </c>
      <c r="F41" t="inlineStr">
        <is>
          <t>tblDeviceModel</t>
        </is>
      </c>
      <c r="G41" t="inlineStr">
        <is>
          <t>Exact ID</t>
        </is>
      </c>
      <c r="H41" t="inlineStr">
        <is>
          <t>High</t>
        </is>
      </c>
      <c r="I41" t="inlineStr">
        <is>
          <t>Pending Review</t>
        </is>
      </c>
      <c r="J41" t="inlineStr">
        <is>
          <t>15 LL_Device!G1:O635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DF021</t>
        </is>
      </c>
      <c r="B42" t="inlineStr">
        <is>
          <t>DF021</t>
        </is>
      </c>
      <c r="C42" t="inlineStr">
        <is>
          <t>Galaxy Note</t>
        </is>
      </c>
      <c r="D42" t="inlineStr">
        <is>
          <t>MFG002</t>
        </is>
      </c>
      <c r="E42" t="inlineStr">
        <is>
          <t>tblDeviceModel</t>
        </is>
      </c>
      <c r="F42" t="inlineStr">
        <is>
          <t>tblDeviceModel</t>
        </is>
      </c>
      <c r="G42" t="inlineStr">
        <is>
          <t>Exact ID</t>
        </is>
      </c>
      <c r="H42" t="inlineStr">
        <is>
          <t>High</t>
        </is>
      </c>
      <c r="I42" t="inlineStr">
        <is>
          <t>Pending Review</t>
        </is>
      </c>
      <c r="J42" t="inlineStr">
        <is>
          <t>15 LL_Device!G1:O635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DF022</t>
        </is>
      </c>
      <c r="B43" t="inlineStr">
        <is>
          <t>DF022</t>
        </is>
      </c>
      <c r="C43" t="inlineStr">
        <is>
          <t>Galaxy Fold</t>
        </is>
      </c>
      <c r="D43" t="inlineStr">
        <is>
          <t>MFG002</t>
        </is>
      </c>
      <c r="E43" t="inlineStr">
        <is>
          <t>tblDeviceModel</t>
        </is>
      </c>
      <c r="F43" t="inlineStr">
        <is>
          <t>tblDeviceModel</t>
        </is>
      </c>
      <c r="G43" t="inlineStr">
        <is>
          <t>Exact ID</t>
        </is>
      </c>
      <c r="H43" t="inlineStr">
        <is>
          <t>High</t>
        </is>
      </c>
      <c r="I43" t="inlineStr">
        <is>
          <t>Pending Review</t>
        </is>
      </c>
      <c r="J43" t="inlineStr">
        <is>
          <t>15 LL_Device!G1:O635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DF024</t>
        </is>
      </c>
      <c r="B44" t="inlineStr">
        <is>
          <t>DF024</t>
        </is>
      </c>
      <c r="C44" t="inlineStr">
        <is>
          <t>Galaxy A01</t>
        </is>
      </c>
      <c r="D44" t="inlineStr">
        <is>
          <t>MFG002</t>
        </is>
      </c>
      <c r="E44" t="inlineStr">
        <is>
          <t>tblDeviceModel</t>
        </is>
      </c>
      <c r="F44" t="inlineStr">
        <is>
          <t>tblDeviceModel</t>
        </is>
      </c>
      <c r="G44" t="inlineStr">
        <is>
          <t>Exact ID</t>
        </is>
      </c>
      <c r="H44" t="inlineStr">
        <is>
          <t>High</t>
        </is>
      </c>
      <c r="I44" t="inlineStr">
        <is>
          <t>Pending Review</t>
        </is>
      </c>
      <c r="J44" t="inlineStr">
        <is>
          <t>15 LL_Device!G1:O635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DF025</t>
        </is>
      </c>
      <c r="B45" t="inlineStr">
        <is>
          <t>DF025</t>
        </is>
      </c>
      <c r="C45" t="inlineStr">
        <is>
          <t>Galaxy M10</t>
        </is>
      </c>
      <c r="D45" t="inlineStr">
        <is>
          <t>MFG002</t>
        </is>
      </c>
      <c r="E45" t="inlineStr">
        <is>
          <t>tblDeviceModel</t>
        </is>
      </c>
      <c r="F45" t="inlineStr">
        <is>
          <t>tblDeviceModel</t>
        </is>
      </c>
      <c r="G45" t="inlineStr">
        <is>
          <t>Exact ID</t>
        </is>
      </c>
      <c r="H45" t="inlineStr">
        <is>
          <t>High</t>
        </is>
      </c>
      <c r="I45" t="inlineStr">
        <is>
          <t>Pending Review</t>
        </is>
      </c>
      <c r="J45" t="inlineStr">
        <is>
          <t>15 LL_Device!G1:O635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DF026</t>
        </is>
      </c>
      <c r="B46" t="inlineStr">
        <is>
          <t>DF026</t>
        </is>
      </c>
      <c r="C46" t="inlineStr">
        <is>
          <t>Galaxy J1</t>
        </is>
      </c>
      <c r="D46" t="inlineStr">
        <is>
          <t>MFG002</t>
        </is>
      </c>
      <c r="E46" t="inlineStr">
        <is>
          <t>tblDeviceModel</t>
        </is>
      </c>
      <c r="F46" t="inlineStr">
        <is>
          <t>tblDeviceModel</t>
        </is>
      </c>
      <c r="G46" t="inlineStr">
        <is>
          <t>Exact ID</t>
        </is>
      </c>
      <c r="H46" t="inlineStr">
        <is>
          <t>High</t>
        </is>
      </c>
      <c r="I46" t="inlineStr">
        <is>
          <t>Pending Review</t>
        </is>
      </c>
      <c r="J46" t="inlineStr">
        <is>
          <t>15 LL_Device!G1:O635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DF027</t>
        </is>
      </c>
      <c r="B47" t="inlineStr">
        <is>
          <t>DF027</t>
        </is>
      </c>
      <c r="C47" t="inlineStr">
        <is>
          <t>Galaxy XCover</t>
        </is>
      </c>
      <c r="D47" t="inlineStr">
        <is>
          <t>MFG002</t>
        </is>
      </c>
      <c r="E47" t="inlineStr">
        <is>
          <t>tblDeviceModel</t>
        </is>
      </c>
      <c r="F47" t="inlineStr">
        <is>
          <t>tblDeviceModel</t>
        </is>
      </c>
      <c r="G47" t="inlineStr">
        <is>
          <t>Exact ID</t>
        </is>
      </c>
      <c r="H47" t="inlineStr">
        <is>
          <t>High</t>
        </is>
      </c>
      <c r="I47" t="inlineStr">
        <is>
          <t>Pending Review</t>
        </is>
      </c>
      <c r="J47" t="inlineStr">
        <is>
          <t>15 LL_Device!G1:O635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DF028</t>
        </is>
      </c>
      <c r="B48" t="inlineStr">
        <is>
          <t>DF028</t>
        </is>
      </c>
      <c r="C48" t="inlineStr">
        <is>
          <t>Galaxy Tab</t>
        </is>
      </c>
      <c r="D48" t="inlineStr">
        <is>
          <t>MFG002</t>
        </is>
      </c>
      <c r="E48" t="inlineStr">
        <is>
          <t>tblDeviceModel</t>
        </is>
      </c>
      <c r="F48" t="inlineStr">
        <is>
          <t>tblDeviceModel</t>
        </is>
      </c>
      <c r="G48" t="inlineStr">
        <is>
          <t>Exact ID</t>
        </is>
      </c>
      <c r="H48" t="inlineStr">
        <is>
          <t>High</t>
        </is>
      </c>
      <c r="I48" t="inlineStr">
        <is>
          <t>Pending Review</t>
        </is>
      </c>
      <c r="J48" t="inlineStr">
        <is>
          <t>15 LL_Device!G1:O635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DF029</t>
        </is>
      </c>
      <c r="B49" t="inlineStr">
        <is>
          <t>DF029</t>
        </is>
      </c>
      <c r="C49" t="inlineStr">
        <is>
          <t>Galaxy Book</t>
        </is>
      </c>
      <c r="D49" t="inlineStr">
        <is>
          <t>MFG002</t>
        </is>
      </c>
      <c r="E49" t="inlineStr">
        <is>
          <t>tblDeviceModel</t>
        </is>
      </c>
      <c r="F49" t="inlineStr">
        <is>
          <t>tblDeviceModel</t>
        </is>
      </c>
      <c r="G49" t="inlineStr">
        <is>
          <t>Exact ID</t>
        </is>
      </c>
      <c r="H49" t="inlineStr">
        <is>
          <t>High</t>
        </is>
      </c>
      <c r="I49" t="inlineStr">
        <is>
          <t>Pending Review</t>
        </is>
      </c>
      <c r="J49" t="inlineStr">
        <is>
          <t>15 LL_Device!G1:O635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DF030</t>
        </is>
      </c>
      <c r="B50" t="inlineStr">
        <is>
          <t>DF030</t>
        </is>
      </c>
      <c r="C50" t="inlineStr">
        <is>
          <t>Galaxy Gear</t>
        </is>
      </c>
      <c r="D50" t="inlineStr">
        <is>
          <t>MFG002</t>
        </is>
      </c>
      <c r="E50" t="inlineStr">
        <is>
          <t>tblDeviceModel</t>
        </is>
      </c>
      <c r="F50" t="inlineStr">
        <is>
          <t>tblDeviceModel</t>
        </is>
      </c>
      <c r="G50" t="inlineStr">
        <is>
          <t>Exact ID</t>
        </is>
      </c>
      <c r="H50" t="inlineStr">
        <is>
          <t>High</t>
        </is>
      </c>
      <c r="I50" t="inlineStr">
        <is>
          <t>Pending Review</t>
        </is>
      </c>
      <c r="J50" t="inlineStr">
        <is>
          <t>15 LL_Device!G1:O635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DF031</t>
        </is>
      </c>
      <c r="B51" t="inlineStr">
        <is>
          <t>DF031</t>
        </is>
      </c>
      <c r="C51" t="inlineStr">
        <is>
          <t>Galaxy Buds</t>
        </is>
      </c>
      <c r="D51" t="inlineStr">
        <is>
          <t>MFG002</t>
        </is>
      </c>
      <c r="E51" t="inlineStr">
        <is>
          <t>tblDeviceModel</t>
        </is>
      </c>
      <c r="F51" t="inlineStr">
        <is>
          <t>tblDeviceModel</t>
        </is>
      </c>
      <c r="G51" t="inlineStr">
        <is>
          <t>Exact ID</t>
        </is>
      </c>
      <c r="H51" t="inlineStr">
        <is>
          <t>High</t>
        </is>
      </c>
      <c r="I51" t="inlineStr">
        <is>
          <t>Pending Review</t>
        </is>
      </c>
      <c r="J51" t="inlineStr">
        <is>
          <t>15 LL_Device!G1:O635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DF032</t>
        </is>
      </c>
      <c r="B52" t="inlineStr">
        <is>
          <t>DF032</t>
        </is>
      </c>
      <c r="C52" t="inlineStr">
        <is>
          <t>Pixel</t>
        </is>
      </c>
      <c r="D52" t="inlineStr">
        <is>
          <t>MFG003</t>
        </is>
      </c>
      <c r="E52" t="inlineStr">
        <is>
          <t>tblDeviceModel</t>
        </is>
      </c>
      <c r="F52" t="inlineStr">
        <is>
          <t>tblDeviceModel</t>
        </is>
      </c>
      <c r="G52" t="inlineStr">
        <is>
          <t>Exact ID</t>
        </is>
      </c>
      <c r="H52" t="inlineStr">
        <is>
          <t>High</t>
        </is>
      </c>
      <c r="I52" t="inlineStr">
        <is>
          <t>Pending Review</t>
        </is>
      </c>
      <c r="J52" t="inlineStr">
        <is>
          <t>15 LL_Device!G1:O635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DF033</t>
        </is>
      </c>
      <c r="B53" t="inlineStr">
        <is>
          <t>DF033</t>
        </is>
      </c>
      <c r="C53" t="inlineStr">
        <is>
          <t>Pixel Tablet</t>
        </is>
      </c>
      <c r="D53" t="inlineStr">
        <is>
          <t>MFG003</t>
        </is>
      </c>
      <c r="E53" t="inlineStr">
        <is>
          <t>tblDeviceModel</t>
        </is>
      </c>
      <c r="F53" t="inlineStr">
        <is>
          <t>tblDeviceModel</t>
        </is>
      </c>
      <c r="G53" t="inlineStr">
        <is>
          <t>Exact ID</t>
        </is>
      </c>
      <c r="H53" t="inlineStr">
        <is>
          <t>High</t>
        </is>
      </c>
      <c r="I53" t="inlineStr">
        <is>
          <t>Pending Review</t>
        </is>
      </c>
      <c r="J53" t="inlineStr">
        <is>
          <t>15 LL_Device!G1:O635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DF040</t>
        </is>
      </c>
      <c r="B54" t="inlineStr">
        <is>
          <t>DF040</t>
        </is>
      </c>
      <c r="C54" t="inlineStr">
        <is>
          <t>Moto G</t>
        </is>
      </c>
      <c r="D54" t="inlineStr">
        <is>
          <t>MFG004</t>
        </is>
      </c>
      <c r="E54" t="inlineStr">
        <is>
          <t>tblDeviceModel</t>
        </is>
      </c>
      <c r="F54" t="inlineStr">
        <is>
          <t>tblDeviceModel</t>
        </is>
      </c>
      <c r="G54" t="inlineStr">
        <is>
          <t>Exact ID</t>
        </is>
      </c>
      <c r="H54" t="inlineStr">
        <is>
          <t>High</t>
        </is>
      </c>
      <c r="I54" t="inlineStr">
        <is>
          <t>Pending Review</t>
        </is>
      </c>
      <c r="J54" t="inlineStr">
        <is>
          <t>15 LL_Device!G1:O635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DF041</t>
        </is>
      </c>
      <c r="B55" t="inlineStr">
        <is>
          <t>DF041</t>
        </is>
      </c>
      <c r="C55" t="inlineStr">
        <is>
          <t>Moto E7</t>
        </is>
      </c>
      <c r="D55" t="inlineStr">
        <is>
          <t>MFG004</t>
        </is>
      </c>
      <c r="E55" t="inlineStr">
        <is>
          <t>tblDeviceModel</t>
        </is>
      </c>
      <c r="F55" t="inlineStr">
        <is>
          <t>tblDeviceModel</t>
        </is>
      </c>
      <c r="G55" t="inlineStr">
        <is>
          <t>Exact ID</t>
        </is>
      </c>
      <c r="H55" t="inlineStr">
        <is>
          <t>High</t>
        </is>
      </c>
      <c r="I55" t="inlineStr">
        <is>
          <t>Pending Review</t>
        </is>
      </c>
      <c r="J55" t="inlineStr">
        <is>
          <t>15 LL_Device!G1:O635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DF042</t>
        </is>
      </c>
      <c r="B56" t="inlineStr">
        <is>
          <t>DF042</t>
        </is>
      </c>
      <c r="C56" t="inlineStr">
        <is>
          <t>Motorola One 5G</t>
        </is>
      </c>
      <c r="D56" t="inlineStr">
        <is>
          <t>MFG004</t>
        </is>
      </c>
      <c r="E56" t="inlineStr">
        <is>
          <t>tblDeviceModel</t>
        </is>
      </c>
      <c r="F56" t="inlineStr">
        <is>
          <t>tblDeviceModel</t>
        </is>
      </c>
      <c r="G56" t="inlineStr">
        <is>
          <t>Exact ID</t>
        </is>
      </c>
      <c r="H56" t="inlineStr">
        <is>
          <t>High</t>
        </is>
      </c>
      <c r="I56" t="inlineStr">
        <is>
          <t>Pending Review</t>
        </is>
      </c>
      <c r="J56" t="inlineStr">
        <is>
          <t>15 LL_Device!G1:O635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DF043</t>
        </is>
      </c>
      <c r="B57" t="inlineStr">
        <is>
          <t>DF043</t>
        </is>
      </c>
      <c r="C57" t="inlineStr">
        <is>
          <t>Motorola Edge</t>
        </is>
      </c>
      <c r="D57" t="inlineStr">
        <is>
          <t>MFG004</t>
        </is>
      </c>
      <c r="E57" t="inlineStr">
        <is>
          <t>tblDeviceModel</t>
        </is>
      </c>
      <c r="F57" t="inlineStr">
        <is>
          <t>tblDeviceModel</t>
        </is>
      </c>
      <c r="G57" t="inlineStr">
        <is>
          <t>Exact ID</t>
        </is>
      </c>
      <c r="H57" t="inlineStr">
        <is>
          <t>High</t>
        </is>
      </c>
      <c r="I57" t="inlineStr">
        <is>
          <t>Pending Review</t>
        </is>
      </c>
      <c r="J57" t="inlineStr">
        <is>
          <t>15 LL_Device!G1:O635</t>
        </is>
      </c>
      <c r="K57" t="inlineStr"/>
      <c r="L57" t="inlineStr"/>
      <c r="M57" t="inlineStr"/>
      <c r="N57" t="inlineStr"/>
      <c r="O57" t="inlineStr"/>
    </row>
    <row r="58">
      <c r="A58" t="inlineStr">
        <is>
          <t>DF044</t>
        </is>
      </c>
      <c r="B58" t="inlineStr">
        <is>
          <t>DF044</t>
        </is>
      </c>
      <c r="C58" t="inlineStr">
        <is>
          <t>Motorola Razr 5G</t>
        </is>
      </c>
      <c r="D58" t="inlineStr">
        <is>
          <t>MFG004</t>
        </is>
      </c>
      <c r="E58" t="inlineStr">
        <is>
          <t>tblDeviceModel</t>
        </is>
      </c>
      <c r="F58" t="inlineStr">
        <is>
          <t>tblDeviceModel</t>
        </is>
      </c>
      <c r="G58" t="inlineStr">
        <is>
          <t>Exact ID</t>
        </is>
      </c>
      <c r="H58" t="inlineStr">
        <is>
          <t>High</t>
        </is>
      </c>
      <c r="I58" t="inlineStr">
        <is>
          <t>Pending Review</t>
        </is>
      </c>
      <c r="J58" t="inlineStr">
        <is>
          <t>15 LL_Device!G1:O635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DF045</t>
        </is>
      </c>
      <c r="B59" t="inlineStr">
        <is>
          <t>DF045</t>
        </is>
      </c>
      <c r="C59" t="inlineStr">
        <is>
          <t>ThinkPhone</t>
        </is>
      </c>
      <c r="D59" t="inlineStr">
        <is>
          <t>MFG004</t>
        </is>
      </c>
      <c r="E59" t="inlineStr">
        <is>
          <t>tblDeviceModel</t>
        </is>
      </c>
      <c r="F59" t="inlineStr">
        <is>
          <t>tblDeviceModel</t>
        </is>
      </c>
      <c r="G59" t="inlineStr">
        <is>
          <t>Exact ID</t>
        </is>
      </c>
      <c r="H59" t="inlineStr">
        <is>
          <t>High</t>
        </is>
      </c>
      <c r="I59" t="inlineStr">
        <is>
          <t>Pending Review</t>
        </is>
      </c>
      <c r="J59" t="inlineStr">
        <is>
          <t>15 LL_Device!G1:O635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DF050</t>
        </is>
      </c>
      <c r="B60" t="inlineStr">
        <is>
          <t>DF050</t>
        </is>
      </c>
      <c r="C60" t="inlineStr">
        <is>
          <t>LG G2</t>
        </is>
      </c>
      <c r="D60" t="inlineStr">
        <is>
          <t>MFG005</t>
        </is>
      </c>
      <c r="E60" t="inlineStr">
        <is>
          <t>tblDeviceModel</t>
        </is>
      </c>
      <c r="F60" t="inlineStr">
        <is>
          <t>tblDeviceModel</t>
        </is>
      </c>
      <c r="G60" t="inlineStr">
        <is>
          <t>Exact ID</t>
        </is>
      </c>
      <c r="H60" t="inlineStr">
        <is>
          <t>High</t>
        </is>
      </c>
      <c r="I60" t="inlineStr">
        <is>
          <t>Pending Review</t>
        </is>
      </c>
      <c r="J60" t="inlineStr">
        <is>
          <t>15 LL_Device!G1:O635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DF051</t>
        </is>
      </c>
      <c r="B61" t="inlineStr">
        <is>
          <t>DF051</t>
        </is>
      </c>
      <c r="C61" t="inlineStr">
        <is>
          <t>LG V20</t>
        </is>
      </c>
      <c r="D61" t="inlineStr">
        <is>
          <t>MFG005</t>
        </is>
      </c>
      <c r="E61" t="inlineStr">
        <is>
          <t>tblDeviceModel</t>
        </is>
      </c>
      <c r="F61" t="inlineStr">
        <is>
          <t>tblDeviceModel</t>
        </is>
      </c>
      <c r="G61" t="inlineStr">
        <is>
          <t>Exact ID</t>
        </is>
      </c>
      <c r="H61" t="inlineStr">
        <is>
          <t>High</t>
        </is>
      </c>
      <c r="I61" t="inlineStr">
        <is>
          <t>Pending Review</t>
        </is>
      </c>
      <c r="J61" t="inlineStr">
        <is>
          <t>15 LL_Device!G1:O635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DF052</t>
        </is>
      </c>
      <c r="B62" t="inlineStr">
        <is>
          <t>DF052</t>
        </is>
      </c>
      <c r="C62" t="inlineStr">
        <is>
          <t>LG Velvet</t>
        </is>
      </c>
      <c r="D62" t="inlineStr">
        <is>
          <t>MFG005</t>
        </is>
      </c>
      <c r="E62" t="inlineStr">
        <is>
          <t>tblDeviceModel</t>
        </is>
      </c>
      <c r="F62" t="inlineStr">
        <is>
          <t>tblDeviceModel</t>
        </is>
      </c>
      <c r="G62" t="inlineStr">
        <is>
          <t>Exact ID</t>
        </is>
      </c>
      <c r="H62" t="inlineStr">
        <is>
          <t>High</t>
        </is>
      </c>
      <c r="I62" t="inlineStr">
        <is>
          <t>Pending Review</t>
        </is>
      </c>
      <c r="J62" t="inlineStr">
        <is>
          <t>15 LL_Device!G1:O635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DF053</t>
        </is>
      </c>
      <c r="B63" t="inlineStr">
        <is>
          <t>DF053</t>
        </is>
      </c>
      <c r="C63" t="inlineStr">
        <is>
          <t>LG Wing</t>
        </is>
      </c>
      <c r="D63" t="inlineStr">
        <is>
          <t>MFG005</t>
        </is>
      </c>
      <c r="E63" t="inlineStr">
        <is>
          <t>tblDeviceModel</t>
        </is>
      </c>
      <c r="F63" t="inlineStr">
        <is>
          <t>tblDeviceModel</t>
        </is>
      </c>
      <c r="G63" t="inlineStr">
        <is>
          <t>Exact ID</t>
        </is>
      </c>
      <c r="H63" t="inlineStr">
        <is>
          <t>High</t>
        </is>
      </c>
      <c r="I63" t="inlineStr">
        <is>
          <t>Pending Review</t>
        </is>
      </c>
      <c r="J63" t="inlineStr">
        <is>
          <t>15 LL_Device!G1:O635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DF054</t>
        </is>
      </c>
      <c r="B64" t="inlineStr">
        <is>
          <t>DF054</t>
        </is>
      </c>
      <c r="C64" t="inlineStr">
        <is>
          <t>LG Stylo 5</t>
        </is>
      </c>
      <c r="D64" t="inlineStr">
        <is>
          <t>MFG005</t>
        </is>
      </c>
      <c r="E64" t="inlineStr">
        <is>
          <t>tblDeviceModel</t>
        </is>
      </c>
      <c r="F64" t="inlineStr">
        <is>
          <t>tblDeviceModel</t>
        </is>
      </c>
      <c r="G64" t="inlineStr">
        <is>
          <t>Exact ID</t>
        </is>
      </c>
      <c r="H64" t="inlineStr">
        <is>
          <t>High</t>
        </is>
      </c>
      <c r="I64" t="inlineStr">
        <is>
          <t>Pending Review</t>
        </is>
      </c>
      <c r="J64" t="inlineStr">
        <is>
          <t>15 LL_Device!G1:O635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DF055</t>
        </is>
      </c>
      <c r="B65" t="inlineStr">
        <is>
          <t>DF055</t>
        </is>
      </c>
      <c r="C65" t="inlineStr">
        <is>
          <t>LG K51</t>
        </is>
      </c>
      <c r="D65" t="inlineStr">
        <is>
          <t>MFG005</t>
        </is>
      </c>
      <c r="E65" t="inlineStr">
        <is>
          <t>tblDeviceModel</t>
        </is>
      </c>
      <c r="F65" t="inlineStr">
        <is>
          <t>tblDeviceModel</t>
        </is>
      </c>
      <c r="G65" t="inlineStr">
        <is>
          <t>Exact ID</t>
        </is>
      </c>
      <c r="H65" t="inlineStr">
        <is>
          <t>High</t>
        </is>
      </c>
      <c r="I65" t="inlineStr">
        <is>
          <t>Pending Review</t>
        </is>
      </c>
      <c r="J65" t="inlineStr">
        <is>
          <t>15 LL_Device!G1:O635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DF056</t>
        </is>
      </c>
      <c r="B66" t="inlineStr">
        <is>
          <t>DF056</t>
        </is>
      </c>
      <c r="C66" t="inlineStr">
        <is>
          <t>LG Q60</t>
        </is>
      </c>
      <c r="D66" t="inlineStr">
        <is>
          <t>MFG005</t>
        </is>
      </c>
      <c r="E66" t="inlineStr">
        <is>
          <t>tblDeviceModel</t>
        </is>
      </c>
      <c r="F66" t="inlineStr">
        <is>
          <t>tblDeviceModel</t>
        </is>
      </c>
      <c r="G66" t="inlineStr">
        <is>
          <t>Exact ID</t>
        </is>
      </c>
      <c r="H66" t="inlineStr">
        <is>
          <t>High</t>
        </is>
      </c>
      <c r="I66" t="inlineStr">
        <is>
          <t>Pending Review</t>
        </is>
      </c>
      <c r="J66" t="inlineStr">
        <is>
          <t>15 LL_Device!G1:O635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DF060</t>
        </is>
      </c>
      <c r="B67" t="inlineStr">
        <is>
          <t>DF060</t>
        </is>
      </c>
      <c r="C67" t="inlineStr">
        <is>
          <t>Xperia Z3</t>
        </is>
      </c>
      <c r="D67" t="inlineStr">
        <is>
          <t>MFG006</t>
        </is>
      </c>
      <c r="E67" t="inlineStr">
        <is>
          <t>tblDeviceModel</t>
        </is>
      </c>
      <c r="F67" t="inlineStr">
        <is>
          <t>tblDeviceModel</t>
        </is>
      </c>
      <c r="G67" t="inlineStr">
        <is>
          <t>Exact ID</t>
        </is>
      </c>
      <c r="H67" t="inlineStr">
        <is>
          <t>High</t>
        </is>
      </c>
      <c r="I67" t="inlineStr">
        <is>
          <t>Pending Review</t>
        </is>
      </c>
      <c r="J67" t="inlineStr">
        <is>
          <t>15 LL_Device!G1:O635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DF061</t>
        </is>
      </c>
      <c r="B68" t="inlineStr">
        <is>
          <t>DF061</t>
        </is>
      </c>
      <c r="C68" t="inlineStr">
        <is>
          <t>Xperia 1</t>
        </is>
      </c>
      <c r="D68" t="inlineStr">
        <is>
          <t>MFG006</t>
        </is>
      </c>
      <c r="E68" t="inlineStr">
        <is>
          <t>tblDeviceModel</t>
        </is>
      </c>
      <c r="F68" t="inlineStr">
        <is>
          <t>tblDeviceModel</t>
        </is>
      </c>
      <c r="G68" t="inlineStr">
        <is>
          <t>Exact ID</t>
        </is>
      </c>
      <c r="H68" t="inlineStr">
        <is>
          <t>High</t>
        </is>
      </c>
      <c r="I68" t="inlineStr">
        <is>
          <t>Pending Review</t>
        </is>
      </c>
      <c r="J68" t="inlineStr">
        <is>
          <t>15 LL_Device!G1:O635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DF062</t>
        </is>
      </c>
      <c r="B69" t="inlineStr">
        <is>
          <t>DF062</t>
        </is>
      </c>
      <c r="C69" t="inlineStr">
        <is>
          <t>Xperia 5 V</t>
        </is>
      </c>
      <c r="D69" t="inlineStr">
        <is>
          <t>MFG006</t>
        </is>
      </c>
      <c r="E69" t="inlineStr">
        <is>
          <t>tblDeviceModel</t>
        </is>
      </c>
      <c r="F69" t="inlineStr">
        <is>
          <t>tblDeviceModel</t>
        </is>
      </c>
      <c r="G69" t="inlineStr">
        <is>
          <t>Exact ID</t>
        </is>
      </c>
      <c r="H69" t="inlineStr">
        <is>
          <t>High</t>
        </is>
      </c>
      <c r="I69" t="inlineStr">
        <is>
          <t>Pending Review</t>
        </is>
      </c>
      <c r="J69" t="inlineStr">
        <is>
          <t>15 LL_Device!G1:O635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DF063</t>
        </is>
      </c>
      <c r="B70" t="inlineStr">
        <is>
          <t>DF063</t>
        </is>
      </c>
      <c r="C70" t="inlineStr">
        <is>
          <t>Xperia PRO</t>
        </is>
      </c>
      <c r="D70" t="inlineStr">
        <is>
          <t>MFG006</t>
        </is>
      </c>
      <c r="E70" t="inlineStr">
        <is>
          <t>tblDeviceModel</t>
        </is>
      </c>
      <c r="F70" t="inlineStr">
        <is>
          <t>tblDeviceModel</t>
        </is>
      </c>
      <c r="G70" t="inlineStr">
        <is>
          <t>Exact ID</t>
        </is>
      </c>
      <c r="H70" t="inlineStr">
        <is>
          <t>High</t>
        </is>
      </c>
      <c r="I70" t="inlineStr">
        <is>
          <t>Pending Review</t>
        </is>
      </c>
      <c r="J70" t="inlineStr">
        <is>
          <t>15 LL_Device!G1:O635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DF064</t>
        </is>
      </c>
      <c r="B71" t="inlineStr">
        <is>
          <t>DF064</t>
        </is>
      </c>
      <c r="C71" t="inlineStr">
        <is>
          <t>Xperia Ace</t>
        </is>
      </c>
      <c r="D71" t="inlineStr">
        <is>
          <t>MFG006</t>
        </is>
      </c>
      <c r="E71" t="inlineStr">
        <is>
          <t>tblDeviceModel</t>
        </is>
      </c>
      <c r="F71" t="inlineStr">
        <is>
          <t>tblDeviceModel</t>
        </is>
      </c>
      <c r="G71" t="inlineStr">
        <is>
          <t>Exact ID</t>
        </is>
      </c>
      <c r="H71" t="inlineStr">
        <is>
          <t>High</t>
        </is>
      </c>
      <c r="I71" t="inlineStr">
        <is>
          <t>Pending Review</t>
        </is>
      </c>
      <c r="J71" t="inlineStr">
        <is>
          <t>15 LL_Device!G1:O635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DF070</t>
        </is>
      </c>
      <c r="B72" t="inlineStr">
        <is>
          <t>DF070</t>
        </is>
      </c>
      <c r="C72" t="inlineStr">
        <is>
          <t>Nokia 6</t>
        </is>
      </c>
      <c r="D72" t="inlineStr">
        <is>
          <t>MFG007</t>
        </is>
      </c>
      <c r="E72" t="inlineStr">
        <is>
          <t>tblDeviceModel</t>
        </is>
      </c>
      <c r="F72" t="inlineStr">
        <is>
          <t>tblDeviceModel</t>
        </is>
      </c>
      <c r="G72" t="inlineStr">
        <is>
          <t>Exact ID</t>
        </is>
      </c>
      <c r="H72" t="inlineStr">
        <is>
          <t>High</t>
        </is>
      </c>
      <c r="I72" t="inlineStr">
        <is>
          <t>Pending Review</t>
        </is>
      </c>
      <c r="J72" t="inlineStr">
        <is>
          <t>15 LL_Device!G1:O635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DF071</t>
        </is>
      </c>
      <c r="B73" t="inlineStr">
        <is>
          <t>DF071</t>
        </is>
      </c>
      <c r="C73" t="inlineStr">
        <is>
          <t>Nokia G20</t>
        </is>
      </c>
      <c r="D73" t="inlineStr">
        <is>
          <t>MFG007</t>
        </is>
      </c>
      <c r="E73" t="inlineStr">
        <is>
          <t>tblDeviceModel</t>
        </is>
      </c>
      <c r="F73" t="inlineStr">
        <is>
          <t>tblDeviceModel</t>
        </is>
      </c>
      <c r="G73" t="inlineStr">
        <is>
          <t>Exact ID</t>
        </is>
      </c>
      <c r="H73" t="inlineStr">
        <is>
          <t>High</t>
        </is>
      </c>
      <c r="I73" t="inlineStr">
        <is>
          <t>Pending Review</t>
        </is>
      </c>
      <c r="J73" t="inlineStr">
        <is>
          <t>15 LL_Device!G1:O635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DF072</t>
        </is>
      </c>
      <c r="B74" t="inlineStr">
        <is>
          <t>DF072</t>
        </is>
      </c>
      <c r="C74" t="inlineStr">
        <is>
          <t>Nokia XR20</t>
        </is>
      </c>
      <c r="D74" t="inlineStr">
        <is>
          <t>MFG007</t>
        </is>
      </c>
      <c r="E74" t="inlineStr">
        <is>
          <t>tblDeviceModel</t>
        </is>
      </c>
      <c r="F74" t="inlineStr">
        <is>
          <t>tblDeviceModel</t>
        </is>
      </c>
      <c r="G74" t="inlineStr">
        <is>
          <t>Exact ID</t>
        </is>
      </c>
      <c r="H74" t="inlineStr">
        <is>
          <t>High</t>
        </is>
      </c>
      <c r="I74" t="inlineStr">
        <is>
          <t>Pending Review</t>
        </is>
      </c>
      <c r="J74" t="inlineStr">
        <is>
          <t>15 LL_Device!G1:O635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DF073</t>
        </is>
      </c>
      <c r="B75" t="inlineStr">
        <is>
          <t>DF073</t>
        </is>
      </c>
      <c r="C75" t="inlineStr">
        <is>
          <t>Nokia X10</t>
        </is>
      </c>
      <c r="D75" t="inlineStr">
        <is>
          <t>MFG007</t>
        </is>
      </c>
      <c r="E75" t="inlineStr">
        <is>
          <t>tblDeviceModel</t>
        </is>
      </c>
      <c r="F75" t="inlineStr">
        <is>
          <t>tblDeviceModel</t>
        </is>
      </c>
      <c r="G75" t="inlineStr">
        <is>
          <t>Exact ID</t>
        </is>
      </c>
      <c r="H75" t="inlineStr">
        <is>
          <t>High</t>
        </is>
      </c>
      <c r="I75" t="inlineStr">
        <is>
          <t>Pending Review</t>
        </is>
      </c>
      <c r="J75" t="inlineStr">
        <is>
          <t>15 LL_Device!G1:O635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DF074</t>
        </is>
      </c>
      <c r="B76" t="inlineStr">
        <is>
          <t>DF074</t>
        </is>
      </c>
      <c r="C76" t="inlineStr">
        <is>
          <t>Nokia C21</t>
        </is>
      </c>
      <c r="D76" t="inlineStr">
        <is>
          <t>MFG007</t>
        </is>
      </c>
      <c r="E76" t="inlineStr">
        <is>
          <t>tblDeviceModel</t>
        </is>
      </c>
      <c r="F76" t="inlineStr">
        <is>
          <t>tblDeviceModel</t>
        </is>
      </c>
      <c r="G76" t="inlineStr">
        <is>
          <t>Exact ID</t>
        </is>
      </c>
      <c r="H76" t="inlineStr">
        <is>
          <t>High</t>
        </is>
      </c>
      <c r="I76" t="inlineStr">
        <is>
          <t>Pending Review</t>
        </is>
      </c>
      <c r="J76" t="inlineStr">
        <is>
          <t>15 LL_Device!G1:O635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DF075</t>
        </is>
      </c>
      <c r="B77" t="inlineStr">
        <is>
          <t>DF075</t>
        </is>
      </c>
      <c r="C77" t="inlineStr">
        <is>
          <t>Nokia T10</t>
        </is>
      </c>
      <c r="D77" t="inlineStr">
        <is>
          <t>MFG007</t>
        </is>
      </c>
      <c r="E77" t="inlineStr">
        <is>
          <t>tblDeviceModel</t>
        </is>
      </c>
      <c r="F77" t="inlineStr">
        <is>
          <t>tblDeviceModel</t>
        </is>
      </c>
      <c r="G77" t="inlineStr">
        <is>
          <t>Exact ID</t>
        </is>
      </c>
      <c r="H77" t="inlineStr">
        <is>
          <t>High</t>
        </is>
      </c>
      <c r="I77" t="inlineStr">
        <is>
          <t>Pending Review</t>
        </is>
      </c>
      <c r="J77" t="inlineStr">
        <is>
          <t>15 LL_Device!G1:O635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DF076</t>
        </is>
      </c>
      <c r="B78" t="inlineStr">
        <is>
          <t>DF076</t>
        </is>
      </c>
      <c r="C78" t="inlineStr">
        <is>
          <t>HMD Skyline</t>
        </is>
      </c>
      <c r="D78" t="inlineStr">
        <is>
          <t>MFG007</t>
        </is>
      </c>
      <c r="E78" t="inlineStr">
        <is>
          <t>tblDeviceModel</t>
        </is>
      </c>
      <c r="F78" t="inlineStr">
        <is>
          <t>tblDeviceModel</t>
        </is>
      </c>
      <c r="G78" t="inlineStr">
        <is>
          <t>Exact ID</t>
        </is>
      </c>
      <c r="H78" t="inlineStr">
        <is>
          <t>High</t>
        </is>
      </c>
      <c r="I78" t="inlineStr">
        <is>
          <t>Pending Review</t>
        </is>
      </c>
      <c r="J78" t="inlineStr">
        <is>
          <t>15 LL_Device!G1:O635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DF080</t>
        </is>
      </c>
      <c r="B79" t="inlineStr">
        <is>
          <t>DF080</t>
        </is>
      </c>
      <c r="C79" t="inlineStr">
        <is>
          <t>Zenfone 5</t>
        </is>
      </c>
      <c r="D79" t="inlineStr">
        <is>
          <t>MFG008</t>
        </is>
      </c>
      <c r="E79" t="inlineStr">
        <is>
          <t>tblDeviceModel</t>
        </is>
      </c>
      <c r="F79" t="inlineStr">
        <is>
          <t>tblDeviceModel</t>
        </is>
      </c>
      <c r="G79" t="inlineStr">
        <is>
          <t>Exact ID</t>
        </is>
      </c>
      <c r="H79" t="inlineStr">
        <is>
          <t>High</t>
        </is>
      </c>
      <c r="I79" t="inlineStr">
        <is>
          <t>Pending Review</t>
        </is>
      </c>
      <c r="J79" t="inlineStr">
        <is>
          <t>15 LL_Device!G1:O635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DF081</t>
        </is>
      </c>
      <c r="B80" t="inlineStr">
        <is>
          <t>DF081</t>
        </is>
      </c>
      <c r="C80" t="inlineStr">
        <is>
          <t>ROG Phone</t>
        </is>
      </c>
      <c r="D80" t="inlineStr">
        <is>
          <t>MFG008</t>
        </is>
      </c>
      <c r="E80" t="inlineStr">
        <is>
          <t>tblDeviceModel</t>
        </is>
      </c>
      <c r="F80" t="inlineStr">
        <is>
          <t>tblDeviceModel</t>
        </is>
      </c>
      <c r="G80" t="inlineStr">
        <is>
          <t>Exact ID</t>
        </is>
      </c>
      <c r="H80" t="inlineStr">
        <is>
          <t>High</t>
        </is>
      </c>
      <c r="I80" t="inlineStr">
        <is>
          <t>Pending Review</t>
        </is>
      </c>
      <c r="J80" t="inlineStr">
        <is>
          <t>15 LL_Device!G1:O635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DF082</t>
        </is>
      </c>
      <c r="B81" t="inlineStr">
        <is>
          <t>DF082</t>
        </is>
      </c>
      <c r="C81" t="inlineStr">
        <is>
          <t>ZenPad 3S 10</t>
        </is>
      </c>
      <c r="D81" t="inlineStr">
        <is>
          <t>MFG008</t>
        </is>
      </c>
      <c r="E81" t="inlineStr">
        <is>
          <t>tblDeviceModel</t>
        </is>
      </c>
      <c r="F81" t="inlineStr">
        <is>
          <t>tblDeviceModel</t>
        </is>
      </c>
      <c r="G81" t="inlineStr">
        <is>
          <t>Exact ID</t>
        </is>
      </c>
      <c r="H81" t="inlineStr">
        <is>
          <t>High</t>
        </is>
      </c>
      <c r="I81" t="inlineStr">
        <is>
          <t>Pending Review</t>
        </is>
      </c>
      <c r="J81" t="inlineStr">
        <is>
          <t>15 LL_Device!G1:O635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DF090</t>
        </is>
      </c>
      <c r="B82" t="inlineStr">
        <is>
          <t>DF090</t>
        </is>
      </c>
      <c r="C82" t="inlineStr">
        <is>
          <t>OnePlus One</t>
        </is>
      </c>
      <c r="D82" t="inlineStr">
        <is>
          <t>MFG009</t>
        </is>
      </c>
      <c r="E82" t="inlineStr">
        <is>
          <t>tblDeviceModel</t>
        </is>
      </c>
      <c r="F82" t="inlineStr">
        <is>
          <t>tblDeviceModel</t>
        </is>
      </c>
      <c r="G82" t="inlineStr">
        <is>
          <t>Exact ID</t>
        </is>
      </c>
      <c r="H82" t="inlineStr">
        <is>
          <t>High</t>
        </is>
      </c>
      <c r="I82" t="inlineStr">
        <is>
          <t>Pending Review</t>
        </is>
      </c>
      <c r="J82" t="inlineStr">
        <is>
          <t>15 LL_Device!G1:O635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DF091</t>
        </is>
      </c>
      <c r="B83" t="inlineStr">
        <is>
          <t>DF091</t>
        </is>
      </c>
      <c r="C83" t="inlineStr">
        <is>
          <t>OnePlus Nord</t>
        </is>
      </c>
      <c r="D83" t="inlineStr">
        <is>
          <t>MFG009</t>
        </is>
      </c>
      <c r="E83" t="inlineStr">
        <is>
          <t>tblDeviceModel</t>
        </is>
      </c>
      <c r="F83" t="inlineStr">
        <is>
          <t>tblDeviceModel</t>
        </is>
      </c>
      <c r="G83" t="inlineStr">
        <is>
          <t>Exact ID</t>
        </is>
      </c>
      <c r="H83" t="inlineStr">
        <is>
          <t>High</t>
        </is>
      </c>
      <c r="I83" t="inlineStr">
        <is>
          <t>Pending Review</t>
        </is>
      </c>
      <c r="J83" t="inlineStr">
        <is>
          <t>15 LL_Device!G1:O635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DF092</t>
        </is>
      </c>
      <c r="B84" t="inlineStr">
        <is>
          <t>DF092</t>
        </is>
      </c>
      <c r="C84" t="inlineStr">
        <is>
          <t>OnePlus Open</t>
        </is>
      </c>
      <c r="D84" t="inlineStr">
        <is>
          <t>MFG009</t>
        </is>
      </c>
      <c r="E84" t="inlineStr">
        <is>
          <t>tblDeviceModel</t>
        </is>
      </c>
      <c r="F84" t="inlineStr">
        <is>
          <t>tblDeviceModel</t>
        </is>
      </c>
      <c r="G84" t="inlineStr">
        <is>
          <t>Exact ID</t>
        </is>
      </c>
      <c r="H84" t="inlineStr">
        <is>
          <t>High</t>
        </is>
      </c>
      <c r="I84" t="inlineStr">
        <is>
          <t>Pending Review</t>
        </is>
      </c>
      <c r="J84" t="inlineStr">
        <is>
          <t>15 LL_Device!G1:O635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DF093</t>
        </is>
      </c>
      <c r="B85" t="inlineStr">
        <is>
          <t>DF093</t>
        </is>
      </c>
      <c r="C85" t="inlineStr">
        <is>
          <t>OnePlus Pad</t>
        </is>
      </c>
      <c r="D85" t="inlineStr">
        <is>
          <t>MFG009</t>
        </is>
      </c>
      <c r="E85" t="inlineStr">
        <is>
          <t>tblDeviceModel</t>
        </is>
      </c>
      <c r="F85" t="inlineStr">
        <is>
          <t>tblDeviceModel</t>
        </is>
      </c>
      <c r="G85" t="inlineStr">
        <is>
          <t>Exact ID</t>
        </is>
      </c>
      <c r="H85" t="inlineStr">
        <is>
          <t>High</t>
        </is>
      </c>
      <c r="I85" t="inlineStr">
        <is>
          <t>Pending Review</t>
        </is>
      </c>
      <c r="J85" t="inlineStr">
        <is>
          <t>15 LL_Device!G1:O635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DF-100</t>
        </is>
      </c>
      <c r="B86" t="inlineStr">
        <is>
          <t>DF-100</t>
        </is>
      </c>
      <c r="C86" t="inlineStr">
        <is>
          <t>Mi 8</t>
        </is>
      </c>
      <c r="D86" t="inlineStr">
        <is>
          <t>MFG010</t>
        </is>
      </c>
      <c r="E86" t="inlineStr">
        <is>
          <t>tblDeviceModel</t>
        </is>
      </c>
      <c r="F86" t="inlineStr">
        <is>
          <t>tblDeviceModel</t>
        </is>
      </c>
      <c r="G86" t="inlineStr">
        <is>
          <t>Exact ID</t>
        </is>
      </c>
      <c r="H86" t="inlineStr">
        <is>
          <t>High</t>
        </is>
      </c>
      <c r="I86" t="inlineStr">
        <is>
          <t>Pending Review</t>
        </is>
      </c>
      <c r="J86" t="inlineStr">
        <is>
          <t>15 LL_Device!G1:O635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DF-101</t>
        </is>
      </c>
      <c r="B87" t="inlineStr">
        <is>
          <t>DF-101</t>
        </is>
      </c>
      <c r="C87" t="inlineStr">
        <is>
          <t>Redmi Note 10</t>
        </is>
      </c>
      <c r="D87" t="inlineStr">
        <is>
          <t>MFG010</t>
        </is>
      </c>
      <c r="E87" t="inlineStr">
        <is>
          <t>tblDeviceModel</t>
        </is>
      </c>
      <c r="F87" t="inlineStr">
        <is>
          <t>tblDeviceModel</t>
        </is>
      </c>
      <c r="G87" t="inlineStr">
        <is>
          <t>Exact ID</t>
        </is>
      </c>
      <c r="H87" t="inlineStr">
        <is>
          <t>High</t>
        </is>
      </c>
      <c r="I87" t="inlineStr">
        <is>
          <t>Pending Review</t>
        </is>
      </c>
      <c r="J87" t="inlineStr">
        <is>
          <t>15 LL_Device!G1:O635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DF-102</t>
        </is>
      </c>
      <c r="B88" t="inlineStr">
        <is>
          <t>DF-102</t>
        </is>
      </c>
      <c r="C88" t="inlineStr">
        <is>
          <t>Redmi K70</t>
        </is>
      </c>
      <c r="D88" t="inlineStr">
        <is>
          <t>MFG010</t>
        </is>
      </c>
      <c r="E88" t="inlineStr">
        <is>
          <t>tblDeviceModel</t>
        </is>
      </c>
      <c r="F88" t="inlineStr">
        <is>
          <t>tblDeviceModel</t>
        </is>
      </c>
      <c r="G88" t="inlineStr">
        <is>
          <t>Exact ID</t>
        </is>
      </c>
      <c r="H88" t="inlineStr">
        <is>
          <t>High</t>
        </is>
      </c>
      <c r="I88" t="inlineStr">
        <is>
          <t>Pending Review</t>
        </is>
      </c>
      <c r="J88" t="inlineStr">
        <is>
          <t>15 LL_Device!G1:O635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DF-103</t>
        </is>
      </c>
      <c r="B89" t="inlineStr">
        <is>
          <t>DF-103</t>
        </is>
      </c>
      <c r="C89" t="inlineStr">
        <is>
          <t>POCO F6 Pro</t>
        </is>
      </c>
      <c r="D89" t="inlineStr">
        <is>
          <t>MFG010</t>
        </is>
      </c>
      <c r="E89" t="inlineStr">
        <is>
          <t>tblDeviceModel</t>
        </is>
      </c>
      <c r="F89" t="inlineStr">
        <is>
          <t>tblDeviceModel</t>
        </is>
      </c>
      <c r="G89" t="inlineStr">
        <is>
          <t>Exact ID</t>
        </is>
      </c>
      <c r="H89" t="inlineStr">
        <is>
          <t>High</t>
        </is>
      </c>
      <c r="I89" t="inlineStr">
        <is>
          <t>Pending Review</t>
        </is>
      </c>
      <c r="J89" t="inlineStr">
        <is>
          <t>15 LL_Device!G1:O635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DF-104</t>
        </is>
      </c>
      <c r="B90" t="inlineStr">
        <is>
          <t>DF-104</t>
        </is>
      </c>
      <c r="C90" t="inlineStr">
        <is>
          <t>POCO X6 Pro</t>
        </is>
      </c>
      <c r="D90" t="inlineStr">
        <is>
          <t>MFG010</t>
        </is>
      </c>
      <c r="E90" t="inlineStr">
        <is>
          <t>tblDeviceModel</t>
        </is>
      </c>
      <c r="F90" t="inlineStr">
        <is>
          <t>tblDeviceModel</t>
        </is>
      </c>
      <c r="G90" t="inlineStr">
        <is>
          <t>Exact ID</t>
        </is>
      </c>
      <c r="H90" t="inlineStr">
        <is>
          <t>High</t>
        </is>
      </c>
      <c r="I90" t="inlineStr">
        <is>
          <t>Pending Review</t>
        </is>
      </c>
      <c r="J90" t="inlineStr">
        <is>
          <t>15 LL_Device!G1:O635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DF-105</t>
        </is>
      </c>
      <c r="B91" t="inlineStr">
        <is>
          <t>DF-105</t>
        </is>
      </c>
      <c r="C91" t="inlineStr">
        <is>
          <t>POCO M6 Pro</t>
        </is>
      </c>
      <c r="D91" t="inlineStr">
        <is>
          <t>MFG010</t>
        </is>
      </c>
      <c r="E91" t="inlineStr">
        <is>
          <t>tblDeviceModel</t>
        </is>
      </c>
      <c r="F91" t="inlineStr">
        <is>
          <t>tblDeviceModel</t>
        </is>
      </c>
      <c r="G91" t="inlineStr">
        <is>
          <t>Exact ID</t>
        </is>
      </c>
      <c r="H91" t="inlineStr">
        <is>
          <t>High</t>
        </is>
      </c>
      <c r="I91" t="inlineStr">
        <is>
          <t>Pending Review</t>
        </is>
      </c>
      <c r="J91" t="inlineStr">
        <is>
          <t>15 LL_Device!G1:O635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DF-106</t>
        </is>
      </c>
      <c r="B92" t="inlineStr">
        <is>
          <t>DF-106</t>
        </is>
      </c>
      <c r="C92" t="inlineStr">
        <is>
          <t>Xiaomi Pad 6S Pro</t>
        </is>
      </c>
      <c r="D92" t="inlineStr">
        <is>
          <t>MFG010</t>
        </is>
      </c>
      <c r="E92" t="inlineStr">
        <is>
          <t>tblDeviceModel</t>
        </is>
      </c>
      <c r="F92" t="inlineStr">
        <is>
          <t>tblDeviceModel</t>
        </is>
      </c>
      <c r="G92" t="inlineStr">
        <is>
          <t>Exact ID</t>
        </is>
      </c>
      <c r="H92" t="inlineStr">
        <is>
          <t>High</t>
        </is>
      </c>
      <c r="I92" t="inlineStr">
        <is>
          <t>Pending Review</t>
        </is>
      </c>
      <c r="J92" t="inlineStr">
        <is>
          <t>15 LL_Device!G1:O635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DF-110</t>
        </is>
      </c>
      <c r="B93" t="inlineStr">
        <is>
          <t>DF-110</t>
        </is>
      </c>
      <c r="C93" t="inlineStr">
        <is>
          <t>OPPO Find X8 Pro</t>
        </is>
      </c>
      <c r="D93" t="inlineStr">
        <is>
          <t>MFG011</t>
        </is>
      </c>
      <c r="E93" t="inlineStr">
        <is>
          <t>tblDeviceModel</t>
        </is>
      </c>
      <c r="F93" t="inlineStr">
        <is>
          <t>tblDeviceModel</t>
        </is>
      </c>
      <c r="G93" t="inlineStr">
        <is>
          <t>Exact ID</t>
        </is>
      </c>
      <c r="H93" t="inlineStr">
        <is>
          <t>High</t>
        </is>
      </c>
      <c r="I93" t="inlineStr">
        <is>
          <t>Pending Review</t>
        </is>
      </c>
      <c r="J93" t="inlineStr">
        <is>
          <t>15 LL_Device!G1:O635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DF-111</t>
        </is>
      </c>
      <c r="B94" t="inlineStr">
        <is>
          <t>DF-111</t>
        </is>
      </c>
      <c r="C94" t="inlineStr">
        <is>
          <t>OPPO Reno12</t>
        </is>
      </c>
      <c r="D94" t="inlineStr">
        <is>
          <t>MFG011</t>
        </is>
      </c>
      <c r="E94" t="inlineStr">
        <is>
          <t>tblDeviceModel</t>
        </is>
      </c>
      <c r="F94" t="inlineStr">
        <is>
          <t>tblDeviceModel</t>
        </is>
      </c>
      <c r="G94" t="inlineStr">
        <is>
          <t>Exact ID</t>
        </is>
      </c>
      <c r="H94" t="inlineStr">
        <is>
          <t>High</t>
        </is>
      </c>
      <c r="I94" t="inlineStr">
        <is>
          <t>Pending Review</t>
        </is>
      </c>
      <c r="J94" t="inlineStr">
        <is>
          <t>15 LL_Device!G1:O635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DF-112</t>
        </is>
      </c>
      <c r="B95" t="inlineStr">
        <is>
          <t>DF-112</t>
        </is>
      </c>
      <c r="C95" t="inlineStr">
        <is>
          <t>OPPO A98 5G</t>
        </is>
      </c>
      <c r="D95" t="inlineStr">
        <is>
          <t>MFG011</t>
        </is>
      </c>
      <c r="E95" t="inlineStr">
        <is>
          <t>tblDeviceModel</t>
        </is>
      </c>
      <c r="F95" t="inlineStr">
        <is>
          <t>tblDeviceModel</t>
        </is>
      </c>
      <c r="G95" t="inlineStr">
        <is>
          <t>Exact ID</t>
        </is>
      </c>
      <c r="H95" t="inlineStr">
        <is>
          <t>High</t>
        </is>
      </c>
      <c r="I95" t="inlineStr">
        <is>
          <t>Pending Review</t>
        </is>
      </c>
      <c r="J95" t="inlineStr">
        <is>
          <t>15 LL_Device!G1:O635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DF-113</t>
        </is>
      </c>
      <c r="B96" t="inlineStr">
        <is>
          <t>DF-113</t>
        </is>
      </c>
      <c r="C96" t="inlineStr">
        <is>
          <t>OPPO Find N3</t>
        </is>
      </c>
      <c r="D96" t="inlineStr">
        <is>
          <t>MFG011</t>
        </is>
      </c>
      <c r="E96" t="inlineStr">
        <is>
          <t>tblDeviceModel</t>
        </is>
      </c>
      <c r="F96" t="inlineStr">
        <is>
          <t>tblDeviceModel</t>
        </is>
      </c>
      <c r="G96" t="inlineStr">
        <is>
          <t>Exact ID</t>
        </is>
      </c>
      <c r="H96" t="inlineStr">
        <is>
          <t>High</t>
        </is>
      </c>
      <c r="I96" t="inlineStr">
        <is>
          <t>Pending Review</t>
        </is>
      </c>
      <c r="J96" t="inlineStr">
        <is>
          <t>15 LL_Device!G1:O635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DF-114</t>
        </is>
      </c>
      <c r="B97" t="inlineStr">
        <is>
          <t>DF-114</t>
        </is>
      </c>
      <c r="C97" t="inlineStr">
        <is>
          <t>OPPO Pad 2</t>
        </is>
      </c>
      <c r="D97" t="inlineStr">
        <is>
          <t>MFG011</t>
        </is>
      </c>
      <c r="E97" t="inlineStr">
        <is>
          <t>tblDeviceModel</t>
        </is>
      </c>
      <c r="F97" t="inlineStr">
        <is>
          <t>tblDeviceModel</t>
        </is>
      </c>
      <c r="G97" t="inlineStr">
        <is>
          <t>Exact ID</t>
        </is>
      </c>
      <c r="H97" t="inlineStr">
        <is>
          <t>High</t>
        </is>
      </c>
      <c r="I97" t="inlineStr">
        <is>
          <t>Pending Review</t>
        </is>
      </c>
      <c r="J97" t="inlineStr">
        <is>
          <t>15 LL_Device!G1:O635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DF-120</t>
        </is>
      </c>
      <c r="B98" t="inlineStr">
        <is>
          <t>DF-120</t>
        </is>
      </c>
      <c r="C98" t="inlineStr">
        <is>
          <t>vivo X100</t>
        </is>
      </c>
      <c r="D98" t="inlineStr">
        <is>
          <t>MFG012</t>
        </is>
      </c>
      <c r="E98" t="inlineStr">
        <is>
          <t>tblDeviceModel</t>
        </is>
      </c>
      <c r="F98" t="inlineStr">
        <is>
          <t>tblDeviceModel</t>
        </is>
      </c>
      <c r="G98" t="inlineStr">
        <is>
          <t>Exact ID</t>
        </is>
      </c>
      <c r="H98" t="inlineStr">
        <is>
          <t>High</t>
        </is>
      </c>
      <c r="I98" t="inlineStr">
        <is>
          <t>Pending Review</t>
        </is>
      </c>
      <c r="J98" t="inlineStr">
        <is>
          <t>15 LL_Device!G1:O635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DF-121</t>
        </is>
      </c>
      <c r="B99" t="inlineStr">
        <is>
          <t>DF-121</t>
        </is>
      </c>
      <c r="C99" t="inlineStr">
        <is>
          <t>vivo V30</t>
        </is>
      </c>
      <c r="D99" t="inlineStr">
        <is>
          <t>MFG012</t>
        </is>
      </c>
      <c r="E99" t="inlineStr">
        <is>
          <t>tblDeviceModel</t>
        </is>
      </c>
      <c r="F99" t="inlineStr">
        <is>
          <t>tblDeviceModel</t>
        </is>
      </c>
      <c r="G99" t="inlineStr">
        <is>
          <t>Exact ID</t>
        </is>
      </c>
      <c r="H99" t="inlineStr">
        <is>
          <t>High</t>
        </is>
      </c>
      <c r="I99" t="inlineStr">
        <is>
          <t>Pending Review</t>
        </is>
      </c>
      <c r="J99" t="inlineStr">
        <is>
          <t>15 LL_Device!G1:O635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DF-122</t>
        </is>
      </c>
      <c r="B100" t="inlineStr">
        <is>
          <t>DF-122</t>
        </is>
      </c>
      <c r="C100" t="inlineStr">
        <is>
          <t>iQOO 12</t>
        </is>
      </c>
      <c r="D100" t="inlineStr">
        <is>
          <t>MFG012</t>
        </is>
      </c>
      <c r="E100" t="inlineStr">
        <is>
          <t>tblDeviceModel</t>
        </is>
      </c>
      <c r="F100" t="inlineStr">
        <is>
          <t>tblDeviceModel</t>
        </is>
      </c>
      <c r="G100" t="inlineStr">
        <is>
          <t>Exact ID</t>
        </is>
      </c>
      <c r="H100" t="inlineStr">
        <is>
          <t>High</t>
        </is>
      </c>
      <c r="I100" t="inlineStr">
        <is>
          <t>Pending Review</t>
        </is>
      </c>
      <c r="J100" t="inlineStr">
        <is>
          <t>15 LL_Device!G1:O635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DF-130</t>
        </is>
      </c>
      <c r="B101" t="inlineStr">
        <is>
          <t>DF-130</t>
        </is>
      </c>
      <c r="C101" t="inlineStr">
        <is>
          <t>realme GT 6</t>
        </is>
      </c>
      <c r="D101" t="inlineStr">
        <is>
          <t>MFG013</t>
        </is>
      </c>
      <c r="E101" t="inlineStr">
        <is>
          <t>tblDeviceModel</t>
        </is>
      </c>
      <c r="F101" t="inlineStr">
        <is>
          <t>tblDeviceModel</t>
        </is>
      </c>
      <c r="G101" t="inlineStr">
        <is>
          <t>Exact ID</t>
        </is>
      </c>
      <c r="H101" t="inlineStr">
        <is>
          <t>High</t>
        </is>
      </c>
      <c r="I101" t="inlineStr">
        <is>
          <t>Pending Review</t>
        </is>
      </c>
      <c r="J101" t="inlineStr">
        <is>
          <t>15 LL_Device!G1:O635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DF-131</t>
        </is>
      </c>
      <c r="B102" t="inlineStr">
        <is>
          <t>DF-131</t>
        </is>
      </c>
      <c r="C102" t="inlineStr">
        <is>
          <t>realme 12 Pro+</t>
        </is>
      </c>
      <c r="D102" t="inlineStr">
        <is>
          <t>MFG013</t>
        </is>
      </c>
      <c r="E102" t="inlineStr">
        <is>
          <t>tblDeviceModel</t>
        </is>
      </c>
      <c r="F102" t="inlineStr">
        <is>
          <t>tblDeviceModel</t>
        </is>
      </c>
      <c r="G102" t="inlineStr">
        <is>
          <t>Exact ID</t>
        </is>
      </c>
      <c r="H102" t="inlineStr">
        <is>
          <t>High</t>
        </is>
      </c>
      <c r="I102" t="inlineStr">
        <is>
          <t>Pending Review</t>
        </is>
      </c>
      <c r="J102" t="inlineStr">
        <is>
          <t>15 LL_Device!G1:O635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DF-132</t>
        </is>
      </c>
      <c r="B103" t="inlineStr">
        <is>
          <t>DF-132</t>
        </is>
      </c>
      <c r="C103" t="inlineStr">
        <is>
          <t>realme Narzo 70 Pro</t>
        </is>
      </c>
      <c r="D103" t="inlineStr">
        <is>
          <t>MFG013</t>
        </is>
      </c>
      <c r="E103" t="inlineStr">
        <is>
          <t>tblDeviceModel</t>
        </is>
      </c>
      <c r="F103" t="inlineStr">
        <is>
          <t>tblDeviceModel</t>
        </is>
      </c>
      <c r="G103" t="inlineStr">
        <is>
          <t>Exact ID</t>
        </is>
      </c>
      <c r="H103" t="inlineStr">
        <is>
          <t>High</t>
        </is>
      </c>
      <c r="I103" t="inlineStr">
        <is>
          <t>Pending Review</t>
        </is>
      </c>
      <c r="J103" t="inlineStr">
        <is>
          <t>15 LL_Device!G1:O635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DF-133</t>
        </is>
      </c>
      <c r="B104" t="inlineStr">
        <is>
          <t>DF-133</t>
        </is>
      </c>
      <c r="C104" t="inlineStr">
        <is>
          <t>realme C67</t>
        </is>
      </c>
      <c r="D104" t="inlineStr">
        <is>
          <t>MFG013</t>
        </is>
      </c>
      <c r="E104" t="inlineStr">
        <is>
          <t>tblDeviceModel</t>
        </is>
      </c>
      <c r="F104" t="inlineStr">
        <is>
          <t>tblDeviceModel</t>
        </is>
      </c>
      <c r="G104" t="inlineStr">
        <is>
          <t>Exact ID</t>
        </is>
      </c>
      <c r="H104" t="inlineStr">
        <is>
          <t>High</t>
        </is>
      </c>
      <c r="I104" t="inlineStr">
        <is>
          <t>Pending Review</t>
        </is>
      </c>
      <c r="J104" t="inlineStr">
        <is>
          <t>15 LL_Device!G1:O635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DF-140</t>
        </is>
      </c>
      <c r="B105" t="inlineStr">
        <is>
          <t>DF-140</t>
        </is>
      </c>
      <c r="C105" t="inlineStr">
        <is>
          <t>HONOR Magic6</t>
        </is>
      </c>
      <c r="D105" t="inlineStr">
        <is>
          <t>MFG014</t>
        </is>
      </c>
      <c r="E105" t="inlineStr">
        <is>
          <t>tblDeviceModel</t>
        </is>
      </c>
      <c r="F105" t="inlineStr">
        <is>
          <t>tblDeviceModel</t>
        </is>
      </c>
      <c r="G105" t="inlineStr">
        <is>
          <t>Exact ID</t>
        </is>
      </c>
      <c r="H105" t="inlineStr">
        <is>
          <t>High</t>
        </is>
      </c>
      <c r="I105" t="inlineStr">
        <is>
          <t>Pending Review</t>
        </is>
      </c>
      <c r="J105" t="inlineStr">
        <is>
          <t>15 LL_Device!G1:O635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DF-141</t>
        </is>
      </c>
      <c r="B106" t="inlineStr">
        <is>
          <t>DF-141</t>
        </is>
      </c>
      <c r="C106" t="inlineStr">
        <is>
          <t>HONOR 200</t>
        </is>
      </c>
      <c r="D106" t="inlineStr">
        <is>
          <t>MFG014</t>
        </is>
      </c>
      <c r="E106" t="inlineStr">
        <is>
          <t>tblDeviceModel</t>
        </is>
      </c>
      <c r="F106" t="inlineStr">
        <is>
          <t>tblDeviceModel</t>
        </is>
      </c>
      <c r="G106" t="inlineStr">
        <is>
          <t>Exact ID</t>
        </is>
      </c>
      <c r="H106" t="inlineStr">
        <is>
          <t>High</t>
        </is>
      </c>
      <c r="I106" t="inlineStr">
        <is>
          <t>Pending Review</t>
        </is>
      </c>
      <c r="J106" t="inlineStr">
        <is>
          <t>15 LL_Device!G1:O635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DF-142</t>
        </is>
      </c>
      <c r="B107" t="inlineStr">
        <is>
          <t>DF-142</t>
        </is>
      </c>
      <c r="C107" t="inlineStr">
        <is>
          <t>HONOR X9b</t>
        </is>
      </c>
      <c r="D107" t="inlineStr">
        <is>
          <t>MFG014</t>
        </is>
      </c>
      <c r="E107" t="inlineStr">
        <is>
          <t>tblDeviceModel</t>
        </is>
      </c>
      <c r="F107" t="inlineStr">
        <is>
          <t>tblDeviceModel</t>
        </is>
      </c>
      <c r="G107" t="inlineStr">
        <is>
          <t>Exact ID</t>
        </is>
      </c>
      <c r="H107" t="inlineStr">
        <is>
          <t>High</t>
        </is>
      </c>
      <c r="I107" t="inlineStr">
        <is>
          <t>Pending Review</t>
        </is>
      </c>
      <c r="J107" t="inlineStr">
        <is>
          <t>15 LL_Device!G1:O635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DF-150</t>
        </is>
      </c>
      <c r="B108" t="inlineStr">
        <is>
          <t>DF-150</t>
        </is>
      </c>
      <c r="C108" t="inlineStr">
        <is>
          <t>Huawei Mate 60 Pro</t>
        </is>
      </c>
      <c r="D108" t="inlineStr">
        <is>
          <t>MFG015</t>
        </is>
      </c>
      <c r="E108" t="inlineStr">
        <is>
          <t>tblDeviceModel</t>
        </is>
      </c>
      <c r="F108" t="inlineStr">
        <is>
          <t>tblDeviceModel</t>
        </is>
      </c>
      <c r="G108" t="inlineStr">
        <is>
          <t>Exact ID</t>
        </is>
      </c>
      <c r="H108" t="inlineStr">
        <is>
          <t>High</t>
        </is>
      </c>
      <c r="I108" t="inlineStr">
        <is>
          <t>Pending Review</t>
        </is>
      </c>
      <c r="J108" t="inlineStr">
        <is>
          <t>15 LL_Device!G1:O635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DF-151</t>
        </is>
      </c>
      <c r="B109" t="inlineStr">
        <is>
          <t>DF-151</t>
        </is>
      </c>
      <c r="C109" t="inlineStr">
        <is>
          <t>Huawei P60 Pro</t>
        </is>
      </c>
      <c r="D109" t="inlineStr">
        <is>
          <t>MFG015</t>
        </is>
      </c>
      <c r="E109" t="inlineStr">
        <is>
          <t>tblDeviceModel</t>
        </is>
      </c>
      <c r="F109" t="inlineStr">
        <is>
          <t>tblDeviceModel</t>
        </is>
      </c>
      <c r="G109" t="inlineStr">
        <is>
          <t>Exact ID</t>
        </is>
      </c>
      <c r="H109" t="inlineStr">
        <is>
          <t>High</t>
        </is>
      </c>
      <c r="I109" t="inlineStr">
        <is>
          <t>Pending Review</t>
        </is>
      </c>
      <c r="J109" t="inlineStr">
        <is>
          <t>15 LL_Device!G1:O635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DF-152</t>
        </is>
      </c>
      <c r="B110" t="inlineStr">
        <is>
          <t>DF-152</t>
        </is>
      </c>
      <c r="C110" t="inlineStr">
        <is>
          <t>Huawei Nova 12</t>
        </is>
      </c>
      <c r="D110" t="inlineStr">
        <is>
          <t>MFG015</t>
        </is>
      </c>
      <c r="E110" t="inlineStr">
        <is>
          <t>tblDeviceModel</t>
        </is>
      </c>
      <c r="F110" t="inlineStr">
        <is>
          <t>tblDeviceModel</t>
        </is>
      </c>
      <c r="G110" t="inlineStr">
        <is>
          <t>Exact ID</t>
        </is>
      </c>
      <c r="H110" t="inlineStr">
        <is>
          <t>High</t>
        </is>
      </c>
      <c r="I110" t="inlineStr">
        <is>
          <t>Pending Review</t>
        </is>
      </c>
      <c r="J110" t="inlineStr">
        <is>
          <t>15 LL_Device!G1:O635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DF-153</t>
        </is>
      </c>
      <c r="B111" t="inlineStr">
        <is>
          <t>DF-153</t>
        </is>
      </c>
      <c r="C111" t="inlineStr">
        <is>
          <t>Huawei MatePad 11.5 S</t>
        </is>
      </c>
      <c r="D111" t="inlineStr">
        <is>
          <t>MFG015</t>
        </is>
      </c>
      <c r="E111" t="inlineStr">
        <is>
          <t>tblDeviceModel</t>
        </is>
      </c>
      <c r="F111" t="inlineStr">
        <is>
          <t>tblDeviceModel</t>
        </is>
      </c>
      <c r="G111" t="inlineStr">
        <is>
          <t>Exact ID</t>
        </is>
      </c>
      <c r="H111" t="inlineStr">
        <is>
          <t>High</t>
        </is>
      </c>
      <c r="I111" t="inlineStr">
        <is>
          <t>Pending Review</t>
        </is>
      </c>
      <c r="J111" t="inlineStr">
        <is>
          <t>15 LL_Device!G1:O635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DF-160</t>
        </is>
      </c>
      <c r="B112" t="inlineStr">
        <is>
          <t>DF-160</t>
        </is>
      </c>
      <c r="C112" t="inlineStr">
        <is>
          <t>ZTE Axon 50 Ultra</t>
        </is>
      </c>
      <c r="D112" t="inlineStr">
        <is>
          <t>MFG016</t>
        </is>
      </c>
      <c r="E112" t="inlineStr">
        <is>
          <t>tblDeviceModel</t>
        </is>
      </c>
      <c r="F112" t="inlineStr">
        <is>
          <t>tblDeviceModel</t>
        </is>
      </c>
      <c r="G112" t="inlineStr">
        <is>
          <t>Exact ID</t>
        </is>
      </c>
      <c r="H112" t="inlineStr">
        <is>
          <t>High</t>
        </is>
      </c>
      <c r="I112" t="inlineStr">
        <is>
          <t>Pending Review</t>
        </is>
      </c>
      <c r="J112" t="inlineStr">
        <is>
          <t>15 LL_Device!G1:O635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DF-161</t>
        </is>
      </c>
      <c r="B113" t="inlineStr">
        <is>
          <t>DF-161</t>
        </is>
      </c>
      <c r="C113" t="inlineStr">
        <is>
          <t>nubia Z60 Ultra</t>
        </is>
      </c>
      <c r="D113" t="inlineStr">
        <is>
          <t>MFG016</t>
        </is>
      </c>
      <c r="E113" t="inlineStr">
        <is>
          <t>tblDeviceModel</t>
        </is>
      </c>
      <c r="F113" t="inlineStr">
        <is>
          <t>tblDeviceModel</t>
        </is>
      </c>
      <c r="G113" t="inlineStr">
        <is>
          <t>Exact ID</t>
        </is>
      </c>
      <c r="H113" t="inlineStr">
        <is>
          <t>High</t>
        </is>
      </c>
      <c r="I113" t="inlineStr">
        <is>
          <t>Pending Review</t>
        </is>
      </c>
      <c r="J113" t="inlineStr">
        <is>
          <t>15 LL_Device!G1:O635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DF-170</t>
        </is>
      </c>
      <c r="B114" t="inlineStr">
        <is>
          <t>DF-170</t>
        </is>
      </c>
      <c r="C114" t="inlineStr">
        <is>
          <t>Nothing Phone (2)</t>
        </is>
      </c>
      <c r="D114" t="inlineStr">
        <is>
          <t>MFG017</t>
        </is>
      </c>
      <c r="E114" t="inlineStr">
        <is>
          <t>tblDeviceModel</t>
        </is>
      </c>
      <c r="F114" t="inlineStr">
        <is>
          <t>tblDeviceModel</t>
        </is>
      </c>
      <c r="G114" t="inlineStr">
        <is>
          <t>Exact ID</t>
        </is>
      </c>
      <c r="H114" t="inlineStr">
        <is>
          <t>High</t>
        </is>
      </c>
      <c r="I114" t="inlineStr">
        <is>
          <t>Pending Review</t>
        </is>
      </c>
      <c r="J114" t="inlineStr">
        <is>
          <t>15 LL_Device!G1:O635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DF-171</t>
        </is>
      </c>
      <c r="B115" t="inlineStr">
        <is>
          <t>DF-171</t>
        </is>
      </c>
      <c r="C115" t="inlineStr">
        <is>
          <t>CMF Phone 1</t>
        </is>
      </c>
      <c r="D115" t="inlineStr">
        <is>
          <t>MFG017</t>
        </is>
      </c>
      <c r="E115" t="inlineStr">
        <is>
          <t>tblDeviceModel</t>
        </is>
      </c>
      <c r="F115" t="inlineStr">
        <is>
          <t>tblDeviceModel</t>
        </is>
      </c>
      <c r="G115" t="inlineStr">
        <is>
          <t>Exact ID</t>
        </is>
      </c>
      <c r="H115" t="inlineStr">
        <is>
          <t>High</t>
        </is>
      </c>
      <c r="I115" t="inlineStr">
        <is>
          <t>Pending Review</t>
        </is>
      </c>
      <c r="J115" t="inlineStr">
        <is>
          <t>15 LL_Device!G1:O635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DF-180</t>
        </is>
      </c>
      <c r="B116" t="inlineStr">
        <is>
          <t>DF-180</t>
        </is>
      </c>
      <c r="C116" t="inlineStr">
        <is>
          <t>TCL 50 Pro NXTPAPER</t>
        </is>
      </c>
      <c r="D116" t="inlineStr">
        <is>
          <t>MFG018</t>
        </is>
      </c>
      <c r="E116" t="inlineStr">
        <is>
          <t>tblDeviceModel</t>
        </is>
      </c>
      <c r="F116" t="inlineStr">
        <is>
          <t>tblDeviceModel</t>
        </is>
      </c>
      <c r="G116" t="inlineStr">
        <is>
          <t>Exact ID</t>
        </is>
      </c>
      <c r="H116" t="inlineStr">
        <is>
          <t>High</t>
        </is>
      </c>
      <c r="I116" t="inlineStr">
        <is>
          <t>Pending Review</t>
        </is>
      </c>
      <c r="J116" t="inlineStr">
        <is>
          <t>15 LL_Device!G1:O635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DF-190</t>
        </is>
      </c>
      <c r="B117" t="inlineStr">
        <is>
          <t>DF-190</t>
        </is>
      </c>
      <c r="C117" t="inlineStr">
        <is>
          <t>BLU G93</t>
        </is>
      </c>
      <c r="D117" t="inlineStr">
        <is>
          <t>MFG019</t>
        </is>
      </c>
      <c r="E117" t="inlineStr">
        <is>
          <t>tblDeviceModel</t>
        </is>
      </c>
      <c r="F117" t="inlineStr">
        <is>
          <t>tblDeviceModel</t>
        </is>
      </c>
      <c r="G117" t="inlineStr">
        <is>
          <t>Exact ID</t>
        </is>
      </c>
      <c r="H117" t="inlineStr">
        <is>
          <t>High</t>
        </is>
      </c>
      <c r="I117" t="inlineStr">
        <is>
          <t>Pending Review</t>
        </is>
      </c>
      <c r="J117" t="inlineStr">
        <is>
          <t>15 LL_Device!G1:O635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DF-200</t>
        </is>
      </c>
      <c r="B118" t="inlineStr">
        <is>
          <t>DF-200</t>
        </is>
      </c>
      <c r="C118" t="inlineStr">
        <is>
          <t>Kyocera DuraForce Pro 3</t>
        </is>
      </c>
      <c r="D118" t="inlineStr">
        <is>
          <t>MFG020</t>
        </is>
      </c>
      <c r="E118" t="inlineStr">
        <is>
          <t>tblDeviceModel</t>
        </is>
      </c>
      <c r="F118" t="inlineStr">
        <is>
          <t>tblDeviceModel</t>
        </is>
      </c>
      <c r="G118" t="inlineStr">
        <is>
          <t>Exact ID</t>
        </is>
      </c>
      <c r="H118" t="inlineStr">
        <is>
          <t>High</t>
        </is>
      </c>
      <c r="I118" t="inlineStr">
        <is>
          <t>Pending Review</t>
        </is>
      </c>
      <c r="J118" t="inlineStr">
        <is>
          <t>15 LL_Device!G1:O635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DF-210</t>
        </is>
      </c>
      <c r="B119" t="inlineStr">
        <is>
          <t>DF-210</t>
        </is>
      </c>
      <c r="C119" t="inlineStr">
        <is>
          <t>CAT S75</t>
        </is>
      </c>
      <c r="D119" t="inlineStr">
        <is>
          <t>MFG021</t>
        </is>
      </c>
      <c r="E119" t="inlineStr">
        <is>
          <t>tblDeviceModel</t>
        </is>
      </c>
      <c r="F119" t="inlineStr">
        <is>
          <t>tblDeviceModel</t>
        </is>
      </c>
      <c r="G119" t="inlineStr">
        <is>
          <t>Exact ID</t>
        </is>
      </c>
      <c r="H119" t="inlineStr">
        <is>
          <t>High</t>
        </is>
      </c>
      <c r="I119" t="inlineStr">
        <is>
          <t>Pending Review</t>
        </is>
      </c>
      <c r="J119" t="inlineStr">
        <is>
          <t>15 LL_Device!G1:O635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DF-220</t>
        </is>
      </c>
      <c r="B120" t="inlineStr">
        <is>
          <t>DF-220</t>
        </is>
      </c>
      <c r="C120" t="inlineStr">
        <is>
          <t>Fairphone 5</t>
        </is>
      </c>
      <c r="D120" t="inlineStr">
        <is>
          <t>MFG022</t>
        </is>
      </c>
      <c r="E120" t="inlineStr">
        <is>
          <t>tblDeviceModel</t>
        </is>
      </c>
      <c r="F120" t="inlineStr">
        <is>
          <t>tblDeviceModel</t>
        </is>
      </c>
      <c r="G120" t="inlineStr">
        <is>
          <t>Exact ID</t>
        </is>
      </c>
      <c r="H120" t="inlineStr">
        <is>
          <t>High</t>
        </is>
      </c>
      <c r="I120" t="inlineStr">
        <is>
          <t>Pending Review</t>
        </is>
      </c>
      <c r="J120" t="inlineStr">
        <is>
          <t>15 LL_Device!G1:O635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DF-230</t>
        </is>
      </c>
      <c r="B121" t="inlineStr">
        <is>
          <t>DF-230</t>
        </is>
      </c>
      <c r="C121" t="inlineStr">
        <is>
          <t>Blackview BV9300</t>
        </is>
      </c>
      <c r="D121" t="inlineStr">
        <is>
          <t>MFG023</t>
        </is>
      </c>
      <c r="E121" t="inlineStr">
        <is>
          <t>tblDeviceModel</t>
        </is>
      </c>
      <c r="F121" t="inlineStr">
        <is>
          <t>tblDeviceModel</t>
        </is>
      </c>
      <c r="G121" t="inlineStr">
        <is>
          <t>Exact ID</t>
        </is>
      </c>
      <c r="H121" t="inlineStr">
        <is>
          <t>High</t>
        </is>
      </c>
      <c r="I121" t="inlineStr">
        <is>
          <t>Pending Review</t>
        </is>
      </c>
      <c r="J121" t="inlineStr">
        <is>
          <t>15 LL_Device!G1:O635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DF-240</t>
        </is>
      </c>
      <c r="B122" t="inlineStr">
        <is>
          <t>DF-240</t>
        </is>
      </c>
      <c r="C122" t="inlineStr">
        <is>
          <t>Doogee V Max</t>
        </is>
      </c>
      <c r="D122" t="inlineStr">
        <is>
          <t>MFG024</t>
        </is>
      </c>
      <c r="E122" t="inlineStr">
        <is>
          <t>tblDeviceModel</t>
        </is>
      </c>
      <c r="F122" t="inlineStr">
        <is>
          <t>tblDeviceModel</t>
        </is>
      </c>
      <c r="G122" t="inlineStr">
        <is>
          <t>Exact ID</t>
        </is>
      </c>
      <c r="H122" t="inlineStr">
        <is>
          <t>High</t>
        </is>
      </c>
      <c r="I122" t="inlineStr">
        <is>
          <t>Pending Review</t>
        </is>
      </c>
      <c r="J122" t="inlineStr">
        <is>
          <t>15 LL_Device!G1:O635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DF-250</t>
        </is>
      </c>
      <c r="B123" t="inlineStr">
        <is>
          <t>DF-250</t>
        </is>
      </c>
      <c r="C123" t="inlineStr">
        <is>
          <t>Ulefone Armor 24</t>
        </is>
      </c>
      <c r="D123" t="inlineStr">
        <is>
          <t>MFG025</t>
        </is>
      </c>
      <c r="E123" t="inlineStr">
        <is>
          <t>tblDeviceModel</t>
        </is>
      </c>
      <c r="F123" t="inlineStr">
        <is>
          <t>tblDeviceModel</t>
        </is>
      </c>
      <c r="G123" t="inlineStr">
        <is>
          <t>Exact ID</t>
        </is>
      </c>
      <c r="H123" t="inlineStr">
        <is>
          <t>High</t>
        </is>
      </c>
      <c r="I123" t="inlineStr">
        <is>
          <t>Pending Review</t>
        </is>
      </c>
      <c r="J123" t="inlineStr">
        <is>
          <t>15 LL_Device!G1:O635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DF-260</t>
        </is>
      </c>
      <c r="B124" t="inlineStr">
        <is>
          <t>DF-260</t>
        </is>
      </c>
      <c r="C124" t="inlineStr">
        <is>
          <t>UMIDIGI G9</t>
        </is>
      </c>
      <c r="D124" t="inlineStr">
        <is>
          <t>MFG026</t>
        </is>
      </c>
      <c r="E124" t="inlineStr">
        <is>
          <t>tblDeviceModel</t>
        </is>
      </c>
      <c r="F124" t="inlineStr">
        <is>
          <t>tblDeviceModel</t>
        </is>
      </c>
      <c r="G124" t="inlineStr">
        <is>
          <t>Exact ID</t>
        </is>
      </c>
      <c r="H124" t="inlineStr">
        <is>
          <t>High</t>
        </is>
      </c>
      <c r="I124" t="inlineStr">
        <is>
          <t>Pending Review</t>
        </is>
      </c>
      <c r="J124" t="inlineStr">
        <is>
          <t>15 LL_Device!G1:O635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DF-270</t>
        </is>
      </c>
      <c r="B125" t="inlineStr">
        <is>
          <t>DF-270</t>
        </is>
      </c>
      <c r="C125" t="inlineStr">
        <is>
          <t>Sharp Aquos R9</t>
        </is>
      </c>
      <c r="D125" t="inlineStr">
        <is>
          <t>MFG027</t>
        </is>
      </c>
      <c r="E125" t="inlineStr">
        <is>
          <t>tblDeviceModel</t>
        </is>
      </c>
      <c r="F125" t="inlineStr">
        <is>
          <t>tblDeviceModel</t>
        </is>
      </c>
      <c r="G125" t="inlineStr">
        <is>
          <t>Exact ID</t>
        </is>
      </c>
      <c r="H125" t="inlineStr">
        <is>
          <t>High</t>
        </is>
      </c>
      <c r="I125" t="inlineStr">
        <is>
          <t>Pending Review</t>
        </is>
      </c>
      <c r="J125" t="inlineStr">
        <is>
          <t>15 LL_Device!G1:O635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DF-280</t>
        </is>
      </c>
      <c r="B126" t="inlineStr">
        <is>
          <t>DF-280</t>
        </is>
      </c>
      <c r="C126" t="inlineStr">
        <is>
          <t>Meizu 21 Pro</t>
        </is>
      </c>
      <c r="D126" t="inlineStr">
        <is>
          <t>MFG028</t>
        </is>
      </c>
      <c r="E126" t="inlineStr">
        <is>
          <t>tblDeviceModel</t>
        </is>
      </c>
      <c r="F126" t="inlineStr">
        <is>
          <t>tblDeviceModel</t>
        </is>
      </c>
      <c r="G126" t="inlineStr">
        <is>
          <t>Exact ID</t>
        </is>
      </c>
      <c r="H126" t="inlineStr">
        <is>
          <t>High</t>
        </is>
      </c>
      <c r="I126" t="inlineStr">
        <is>
          <t>Pending Review</t>
        </is>
      </c>
      <c r="J126" t="inlineStr">
        <is>
          <t>15 LL_Device!G1:O635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DF-290</t>
        </is>
      </c>
      <c r="B127" t="inlineStr">
        <is>
          <t>DF-290</t>
        </is>
      </c>
      <c r="C127" t="inlineStr">
        <is>
          <t>Amazon Fire Max 11</t>
        </is>
      </c>
      <c r="D127" t="inlineStr">
        <is>
          <t>MFG029</t>
        </is>
      </c>
      <c r="E127" t="inlineStr">
        <is>
          <t>tblDeviceModel</t>
        </is>
      </c>
      <c r="F127" t="inlineStr">
        <is>
          <t>tblDeviceModel</t>
        </is>
      </c>
      <c r="G127" t="inlineStr">
        <is>
          <t>Exact ID</t>
        </is>
      </c>
      <c r="H127" t="inlineStr">
        <is>
          <t>High</t>
        </is>
      </c>
      <c r="I127" t="inlineStr">
        <is>
          <t>Pending Review</t>
        </is>
      </c>
      <c r="J127" t="inlineStr">
        <is>
          <t>15 LL_Device!G1:O635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DF-300</t>
        </is>
      </c>
      <c r="B128" t="inlineStr">
        <is>
          <t>DF-300</t>
        </is>
      </c>
      <c r="C128" t="inlineStr">
        <is>
          <t>Lenovo Tab P12</t>
        </is>
      </c>
      <c r="D128" t="inlineStr">
        <is>
          <t>MFG030</t>
        </is>
      </c>
      <c r="E128" t="inlineStr">
        <is>
          <t>tblDeviceModel</t>
        </is>
      </c>
      <c r="F128" t="inlineStr">
        <is>
          <t>tblDeviceModel</t>
        </is>
      </c>
      <c r="G128" t="inlineStr">
        <is>
          <t>Exact ID</t>
        </is>
      </c>
      <c r="H128" t="inlineStr">
        <is>
          <t>High</t>
        </is>
      </c>
      <c r="I128" t="inlineStr">
        <is>
          <t>Pending Review</t>
        </is>
      </c>
      <c r="J128" t="inlineStr">
        <is>
          <t>15 LL_Device!G1:O635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DF-310</t>
        </is>
      </c>
      <c r="B129" t="inlineStr">
        <is>
          <t>DF-310</t>
        </is>
      </c>
      <c r="C129" t="inlineStr">
        <is>
          <t>Surface Pro 11</t>
        </is>
      </c>
      <c r="D129" t="inlineStr">
        <is>
          <t>MFG031</t>
        </is>
      </c>
      <c r="E129" t="inlineStr">
        <is>
          <t>tblDeviceModel</t>
        </is>
      </c>
      <c r="F129" t="inlineStr">
        <is>
          <t>tblDeviceModel</t>
        </is>
      </c>
      <c r="G129" t="inlineStr">
        <is>
          <t>Exact ID</t>
        </is>
      </c>
      <c r="H129" t="inlineStr">
        <is>
          <t>High</t>
        </is>
      </c>
      <c r="I129" t="inlineStr">
        <is>
          <t>Pending Review</t>
        </is>
      </c>
      <c r="J129" t="inlineStr">
        <is>
          <t>15 LL_Device!G1:O635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DF-320</t>
        </is>
      </c>
      <c r="B130" t="inlineStr">
        <is>
          <t>DF-320</t>
        </is>
      </c>
      <c r="C130" t="inlineStr">
        <is>
          <t>Dell XPS 13 9350</t>
        </is>
      </c>
      <c r="D130" t="inlineStr">
        <is>
          <t>MFG032</t>
        </is>
      </c>
      <c r="E130" t="inlineStr">
        <is>
          <t>tblDeviceModel</t>
        </is>
      </c>
      <c r="F130" t="inlineStr">
        <is>
          <t>tblDeviceModel</t>
        </is>
      </c>
      <c r="G130" t="inlineStr">
        <is>
          <t>Exact ID</t>
        </is>
      </c>
      <c r="H130" t="inlineStr">
        <is>
          <t>High</t>
        </is>
      </c>
      <c r="I130" t="inlineStr">
        <is>
          <t>Pending Review</t>
        </is>
      </c>
      <c r="J130" t="inlineStr">
        <is>
          <t>15 LL_Device!G1:O635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DF-330</t>
        </is>
      </c>
      <c r="B131" t="inlineStr">
        <is>
          <t>DF-330</t>
        </is>
      </c>
      <c r="C131" t="inlineStr">
        <is>
          <t>HP Spectre x360 14</t>
        </is>
      </c>
      <c r="D131" t="inlineStr">
        <is>
          <t>MFG033</t>
        </is>
      </c>
      <c r="E131" t="inlineStr">
        <is>
          <t>tblDeviceModel</t>
        </is>
      </c>
      <c r="F131" t="inlineStr">
        <is>
          <t>tblDeviceModel</t>
        </is>
      </c>
      <c r="G131" t="inlineStr">
        <is>
          <t>Exact ID</t>
        </is>
      </c>
      <c r="H131" t="inlineStr">
        <is>
          <t>High</t>
        </is>
      </c>
      <c r="I131" t="inlineStr">
        <is>
          <t>Pending Review</t>
        </is>
      </c>
      <c r="J131" t="inlineStr">
        <is>
          <t>15 LL_Device!G1:O635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DF-340</t>
        </is>
      </c>
      <c r="B132" t="inlineStr">
        <is>
          <t>DF-340</t>
        </is>
      </c>
      <c r="C132" t="inlineStr">
        <is>
          <t>Lenovo ThinkPad X1 Carbon Gen12</t>
        </is>
      </c>
      <c r="D132" t="inlineStr">
        <is>
          <t>MFG034</t>
        </is>
      </c>
      <c r="E132" t="inlineStr">
        <is>
          <t>tblDeviceModel</t>
        </is>
      </c>
      <c r="F132" t="inlineStr">
        <is>
          <t>tblDeviceModel</t>
        </is>
      </c>
      <c r="G132" t="inlineStr">
        <is>
          <t>Exact ID</t>
        </is>
      </c>
      <c r="H132" t="inlineStr">
        <is>
          <t>High</t>
        </is>
      </c>
      <c r="I132" t="inlineStr">
        <is>
          <t>Pending Review</t>
        </is>
      </c>
      <c r="J132" t="inlineStr">
        <is>
          <t>15 LL_Device!G1:O635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DF-321</t>
        </is>
      </c>
      <c r="B133" t="inlineStr">
        <is>
          <t>DF-321</t>
        </is>
      </c>
      <c r="C133" t="inlineStr">
        <is>
          <t>Dell Latitude 7450</t>
        </is>
      </c>
      <c r="D133" t="inlineStr">
        <is>
          <t>MFG032</t>
        </is>
      </c>
      <c r="E133" t="inlineStr">
        <is>
          <t>tblDeviceModel</t>
        </is>
      </c>
      <c r="F133" t="inlineStr">
        <is>
          <t>tblDeviceModel</t>
        </is>
      </c>
      <c r="G133" t="inlineStr">
        <is>
          <t>Exact ID</t>
        </is>
      </c>
      <c r="H133" t="inlineStr">
        <is>
          <t>High</t>
        </is>
      </c>
      <c r="I133" t="inlineStr">
        <is>
          <t>Pending Review</t>
        </is>
      </c>
      <c r="J133" t="inlineStr">
        <is>
          <t>15 LL_Device!G1:O635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DF-322</t>
        </is>
      </c>
      <c r="B134" t="inlineStr">
        <is>
          <t>DF-322</t>
        </is>
      </c>
      <c r="C134" t="inlineStr">
        <is>
          <t>Dell Precision 3591</t>
        </is>
      </c>
      <c r="D134" t="inlineStr">
        <is>
          <t>MFG032</t>
        </is>
      </c>
      <c r="E134" t="inlineStr">
        <is>
          <t>tblDeviceModel</t>
        </is>
      </c>
      <c r="F134" t="inlineStr">
        <is>
          <t>tblDeviceModel</t>
        </is>
      </c>
      <c r="G134" t="inlineStr">
        <is>
          <t>Exact ID</t>
        </is>
      </c>
      <c r="H134" t="inlineStr">
        <is>
          <t>High</t>
        </is>
      </c>
      <c r="I134" t="inlineStr">
        <is>
          <t>Pending Review</t>
        </is>
      </c>
      <c r="J134" t="inlineStr">
        <is>
          <t>15 LL_Device!G1:O635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DF-331</t>
        </is>
      </c>
      <c r="B135" t="inlineStr">
        <is>
          <t>DF-331</t>
        </is>
      </c>
      <c r="C135" t="inlineStr">
        <is>
          <t>HP EliteBook 840 G11</t>
        </is>
      </c>
      <c r="D135" t="inlineStr">
        <is>
          <t>MFG033</t>
        </is>
      </c>
      <c r="E135" t="inlineStr">
        <is>
          <t>tblDeviceModel</t>
        </is>
      </c>
      <c r="F135" t="inlineStr">
        <is>
          <t>tblDeviceModel</t>
        </is>
      </c>
      <c r="G135" t="inlineStr">
        <is>
          <t>Exact ID</t>
        </is>
      </c>
      <c r="H135" t="inlineStr">
        <is>
          <t>High</t>
        </is>
      </c>
      <c r="I135" t="inlineStr">
        <is>
          <t>Pending Review</t>
        </is>
      </c>
      <c r="J135" t="inlineStr">
        <is>
          <t>15 LL_Device!G1:O635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DF-332</t>
        </is>
      </c>
      <c r="B136" t="inlineStr">
        <is>
          <t>DF-332</t>
        </is>
      </c>
      <c r="C136" t="inlineStr">
        <is>
          <t>HP Envy x360 14</t>
        </is>
      </c>
      <c r="D136" t="inlineStr">
        <is>
          <t>MFG033</t>
        </is>
      </c>
      <c r="E136" t="inlineStr">
        <is>
          <t>tblDeviceModel</t>
        </is>
      </c>
      <c r="F136" t="inlineStr">
        <is>
          <t>tblDeviceModel</t>
        </is>
      </c>
      <c r="G136" t="inlineStr">
        <is>
          <t>Exact ID</t>
        </is>
      </c>
      <c r="H136" t="inlineStr">
        <is>
          <t>High</t>
        </is>
      </c>
      <c r="I136" t="inlineStr">
        <is>
          <t>Pending Review</t>
        </is>
      </c>
      <c r="J136" t="inlineStr">
        <is>
          <t>15 LL_Device!G1:O635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DF-341</t>
        </is>
      </c>
      <c r="B137" t="inlineStr">
        <is>
          <t>DF-341</t>
        </is>
      </c>
      <c r="C137" t="inlineStr">
        <is>
          <t>Lenovo Yoga 9i Gen9</t>
        </is>
      </c>
      <c r="D137" t="inlineStr">
        <is>
          <t>MFG034</t>
        </is>
      </c>
      <c r="E137" t="inlineStr">
        <is>
          <t>tblDeviceModel</t>
        </is>
      </c>
      <c r="F137" t="inlineStr">
        <is>
          <t>tblDeviceModel</t>
        </is>
      </c>
      <c r="G137" t="inlineStr">
        <is>
          <t>Exact ID</t>
        </is>
      </c>
      <c r="H137" t="inlineStr">
        <is>
          <t>High</t>
        </is>
      </c>
      <c r="I137" t="inlineStr">
        <is>
          <t>Pending Review</t>
        </is>
      </c>
      <c r="J137" t="inlineStr">
        <is>
          <t>15 LL_Device!G1:O635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DF-350</t>
        </is>
      </c>
      <c r="B138" t="inlineStr">
        <is>
          <t>DF-350</t>
        </is>
      </c>
      <c r="C138" t="inlineStr">
        <is>
          <t>ASUS Zenbook 14 OLED</t>
        </is>
      </c>
      <c r="D138" t="inlineStr">
        <is>
          <t>MFG035</t>
        </is>
      </c>
      <c r="E138" t="inlineStr">
        <is>
          <t>tblDeviceModel</t>
        </is>
      </c>
      <c r="F138" t="inlineStr">
        <is>
          <t>tblDeviceModel</t>
        </is>
      </c>
      <c r="G138" t="inlineStr">
        <is>
          <t>Exact ID</t>
        </is>
      </c>
      <c r="H138" t="inlineStr">
        <is>
          <t>High</t>
        </is>
      </c>
      <c r="I138" t="inlineStr">
        <is>
          <t>Pending Review</t>
        </is>
      </c>
      <c r="J138" t="inlineStr">
        <is>
          <t>15 LL_Device!G1:O635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DF-360</t>
        </is>
      </c>
      <c r="B139" t="inlineStr">
        <is>
          <t>DF-360</t>
        </is>
      </c>
      <c r="C139" t="inlineStr">
        <is>
          <t>Acer Swift Go 14</t>
        </is>
      </c>
      <c r="D139" t="inlineStr">
        <is>
          <t>MFG036</t>
        </is>
      </c>
      <c r="E139" t="inlineStr">
        <is>
          <t>tblDeviceModel</t>
        </is>
      </c>
      <c r="F139" t="inlineStr">
        <is>
          <t>tblDeviceModel</t>
        </is>
      </c>
      <c r="G139" t="inlineStr">
        <is>
          <t>Exact ID</t>
        </is>
      </c>
      <c r="H139" t="inlineStr">
        <is>
          <t>High</t>
        </is>
      </c>
      <c r="I139" t="inlineStr">
        <is>
          <t>Pending Review</t>
        </is>
      </c>
      <c r="J139" t="inlineStr">
        <is>
          <t>15 LL_Device!G1:O635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DF-370</t>
        </is>
      </c>
      <c r="B140" t="inlineStr">
        <is>
          <t>DF-370</t>
        </is>
      </c>
      <c r="C140" t="inlineStr">
        <is>
          <t>MSI Stealth 16 AI</t>
        </is>
      </c>
      <c r="D140" t="inlineStr">
        <is>
          <t>MFG037</t>
        </is>
      </c>
      <c r="E140" t="inlineStr">
        <is>
          <t>tblDeviceModel</t>
        </is>
      </c>
      <c r="F140" t="inlineStr">
        <is>
          <t>tblDeviceModel</t>
        </is>
      </c>
      <c r="G140" t="inlineStr">
        <is>
          <t>Exact ID</t>
        </is>
      </c>
      <c r="H140" t="inlineStr">
        <is>
          <t>High</t>
        </is>
      </c>
      <c r="I140" t="inlineStr">
        <is>
          <t>Pending Review</t>
        </is>
      </c>
      <c r="J140" t="inlineStr">
        <is>
          <t>15 LL_Device!G1:O635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DF-380</t>
        </is>
      </c>
      <c r="B141" t="inlineStr">
        <is>
          <t>DF-380</t>
        </is>
      </c>
      <c r="C141" t="inlineStr">
        <is>
          <t>Samsung Galaxy Book4 Pro</t>
        </is>
      </c>
      <c r="D141" t="inlineStr">
        <is>
          <t>MFG038</t>
        </is>
      </c>
      <c r="E141" t="inlineStr">
        <is>
          <t>tblDeviceModel</t>
        </is>
      </c>
      <c r="F141" t="inlineStr">
        <is>
          <t>tblDeviceModel</t>
        </is>
      </c>
      <c r="G141" t="inlineStr">
        <is>
          <t>Exact ID</t>
        </is>
      </c>
      <c r="H141" t="inlineStr">
        <is>
          <t>High</t>
        </is>
      </c>
      <c r="I141" t="inlineStr">
        <is>
          <t>Pending Review</t>
        </is>
      </c>
      <c r="J141" t="inlineStr">
        <is>
          <t>15 LL_Device!G1:O635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DF-390</t>
        </is>
      </c>
      <c r="B142" t="inlineStr">
        <is>
          <t>DF-390</t>
        </is>
      </c>
      <c r="C142" t="inlineStr">
        <is>
          <t>LG Gram 16</t>
        </is>
      </c>
      <c r="D142" t="inlineStr">
        <is>
          <t>MFG039</t>
        </is>
      </c>
      <c r="E142" t="inlineStr">
        <is>
          <t>tblDeviceModel</t>
        </is>
      </c>
      <c r="F142" t="inlineStr">
        <is>
          <t>tblDeviceModel</t>
        </is>
      </c>
      <c r="G142" t="inlineStr">
        <is>
          <t>Exact ID</t>
        </is>
      </c>
      <c r="H142" t="inlineStr">
        <is>
          <t>High</t>
        </is>
      </c>
      <c r="I142" t="inlineStr">
        <is>
          <t>Pending Review</t>
        </is>
      </c>
      <c r="J142" t="inlineStr">
        <is>
          <t>15 LL_Device!G1:O635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DF-400</t>
        </is>
      </c>
      <c r="B143" t="inlineStr">
        <is>
          <t>DF-400</t>
        </is>
      </c>
      <c r="C143" t="inlineStr">
        <is>
          <t>Framework Laptop 13</t>
        </is>
      </c>
      <c r="D143" t="inlineStr">
        <is>
          <t>MFG040</t>
        </is>
      </c>
      <c r="E143" t="inlineStr">
        <is>
          <t>tblDeviceModel</t>
        </is>
      </c>
      <c r="F143" t="inlineStr">
        <is>
          <t>tblDeviceModel</t>
        </is>
      </c>
      <c r="G143" t="inlineStr">
        <is>
          <t>Exact ID</t>
        </is>
      </c>
      <c r="H143" t="inlineStr">
        <is>
          <t>High</t>
        </is>
      </c>
      <c r="I143" t="inlineStr">
        <is>
          <t>Pending Review</t>
        </is>
      </c>
      <c r="J143" t="inlineStr">
        <is>
          <t>15 LL_Device!G1:O635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DF-410</t>
        </is>
      </c>
      <c r="B144" t="inlineStr">
        <is>
          <t>DF-410</t>
        </is>
      </c>
      <c r="C144" t="inlineStr">
        <is>
          <t>Alienware m16 R2</t>
        </is>
      </c>
      <c r="D144" t="inlineStr">
        <is>
          <t>MFG041</t>
        </is>
      </c>
      <c r="E144" t="inlineStr">
        <is>
          <t>tblDeviceModel</t>
        </is>
      </c>
      <c r="F144" t="inlineStr">
        <is>
          <t>tblDeviceModel</t>
        </is>
      </c>
      <c r="G144" t="inlineStr">
        <is>
          <t>Exact ID</t>
        </is>
      </c>
      <c r="H144" t="inlineStr">
        <is>
          <t>High</t>
        </is>
      </c>
      <c r="I144" t="inlineStr">
        <is>
          <t>Pending Review</t>
        </is>
      </c>
      <c r="J144" t="inlineStr">
        <is>
          <t>15 LL_Device!G1:O635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DF-420</t>
        </is>
      </c>
      <c r="B145" t="inlineStr">
        <is>
          <t>DF-420</t>
        </is>
      </c>
      <c r="C145" t="inlineStr">
        <is>
          <t>Razer Blade 16</t>
        </is>
      </c>
      <c r="D145" t="inlineStr">
        <is>
          <t>MFG042</t>
        </is>
      </c>
      <c r="E145" t="inlineStr">
        <is>
          <t>tblDeviceModel</t>
        </is>
      </c>
      <c r="F145" t="inlineStr">
        <is>
          <t>tblDeviceModel</t>
        </is>
      </c>
      <c r="G145" t="inlineStr">
        <is>
          <t>Exact ID</t>
        </is>
      </c>
      <c r="H145" t="inlineStr">
        <is>
          <t>High</t>
        </is>
      </c>
      <c r="I145" t="inlineStr">
        <is>
          <t>Pending Review</t>
        </is>
      </c>
      <c r="J145" t="inlineStr">
        <is>
          <t>15 LL_Device!G1:O635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DF-311</t>
        </is>
      </c>
      <c r="B146" t="inlineStr">
        <is>
          <t>DF-311</t>
        </is>
      </c>
      <c r="C146" t="inlineStr">
        <is>
          <t>Surface Laptop 7</t>
        </is>
      </c>
      <c r="D146" t="inlineStr">
        <is>
          <t>MFG031</t>
        </is>
      </c>
      <c r="E146" t="inlineStr">
        <is>
          <t>tblDeviceModel</t>
        </is>
      </c>
      <c r="F146" t="inlineStr">
        <is>
          <t>tblDeviceModel</t>
        </is>
      </c>
      <c r="G146" t="inlineStr">
        <is>
          <t>Exact ID</t>
        </is>
      </c>
      <c r="H146" t="inlineStr">
        <is>
          <t>High</t>
        </is>
      </c>
      <c r="I146" t="inlineStr">
        <is>
          <t>Pending Review</t>
        </is>
      </c>
      <c r="J146" t="inlineStr">
        <is>
          <t>15 LL_Device!G1:O635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DF-312</t>
        </is>
      </c>
      <c r="B147" t="inlineStr">
        <is>
          <t>DF-312</t>
        </is>
      </c>
      <c r="C147" t="inlineStr">
        <is>
          <t>Surface Laptop Studio 2</t>
        </is>
      </c>
      <c r="D147" t="inlineStr">
        <is>
          <t>MFG031</t>
        </is>
      </c>
      <c r="E147" t="inlineStr">
        <is>
          <t>tblDeviceModel</t>
        </is>
      </c>
      <c r="F147" t="inlineStr">
        <is>
          <t>tblDeviceModel</t>
        </is>
      </c>
      <c r="G147" t="inlineStr">
        <is>
          <t>Exact ID</t>
        </is>
      </c>
      <c r="H147" t="inlineStr">
        <is>
          <t>High</t>
        </is>
      </c>
      <c r="I147" t="inlineStr">
        <is>
          <t>Pending Review</t>
        </is>
      </c>
      <c r="J147" t="inlineStr">
        <is>
          <t>15 LL_Device!G1:O635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DF-430</t>
        </is>
      </c>
      <c r="B148" t="inlineStr">
        <is>
          <t>DF-430</t>
        </is>
      </c>
      <c r="C148" t="inlineStr">
        <is>
          <t>Nintendo Switch OLED</t>
        </is>
      </c>
      <c r="D148" t="inlineStr">
        <is>
          <t>MFG043</t>
        </is>
      </c>
      <c r="E148" t="inlineStr">
        <is>
          <t>tblDeviceModel</t>
        </is>
      </c>
      <c r="F148" t="inlineStr">
        <is>
          <t>tblDeviceModel</t>
        </is>
      </c>
      <c r="G148" t="inlineStr">
        <is>
          <t>Exact ID</t>
        </is>
      </c>
      <c r="H148" t="inlineStr">
        <is>
          <t>High</t>
        </is>
      </c>
      <c r="I148" t="inlineStr">
        <is>
          <t>Pending Review</t>
        </is>
      </c>
      <c r="J148" t="inlineStr">
        <is>
          <t>15 LL_Device!G1:O635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DF-440</t>
        </is>
      </c>
      <c r="B149" t="inlineStr">
        <is>
          <t>DF-440</t>
        </is>
      </c>
      <c r="C149" t="inlineStr">
        <is>
          <t>Steam Deck OLED</t>
        </is>
      </c>
      <c r="D149" t="inlineStr">
        <is>
          <t>MFG044</t>
        </is>
      </c>
      <c r="E149" t="inlineStr">
        <is>
          <t>tblDeviceModel</t>
        </is>
      </c>
      <c r="F149" t="inlineStr">
        <is>
          <t>tblDeviceModel</t>
        </is>
      </c>
      <c r="G149" t="inlineStr">
        <is>
          <t>Exact ID</t>
        </is>
      </c>
      <c r="H149" t="inlineStr">
        <is>
          <t>High</t>
        </is>
      </c>
      <c r="I149" t="inlineStr">
        <is>
          <t>Pending Review</t>
        </is>
      </c>
      <c r="J149" t="inlineStr">
        <is>
          <t>15 LL_Device!G1:O635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DF-342</t>
        </is>
      </c>
      <c r="B150" t="inlineStr">
        <is>
          <t>DF-342</t>
        </is>
      </c>
      <c r="C150" t="inlineStr">
        <is>
          <t>Lenovo Legion Go</t>
        </is>
      </c>
      <c r="D150" t="inlineStr">
        <is>
          <t>MFG034</t>
        </is>
      </c>
      <c r="E150" t="inlineStr">
        <is>
          <t>tblDeviceModel</t>
        </is>
      </c>
      <c r="F150" t="inlineStr">
        <is>
          <t>tblDeviceModel</t>
        </is>
      </c>
      <c r="G150" t="inlineStr">
        <is>
          <t>Exact ID</t>
        </is>
      </c>
      <c r="H150" t="inlineStr">
        <is>
          <t>High</t>
        </is>
      </c>
      <c r="I150" t="inlineStr">
        <is>
          <t>Pending Review</t>
        </is>
      </c>
      <c r="J150" t="inlineStr">
        <is>
          <t>15 LL_Device!G1:O635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DF-450</t>
        </is>
      </c>
      <c r="B151" t="inlineStr">
        <is>
          <t>DF-450</t>
        </is>
      </c>
      <c r="C151" t="inlineStr">
        <is>
          <t>PlayStation Portal</t>
        </is>
      </c>
      <c r="D151" t="inlineStr">
        <is>
          <t>MFG045</t>
        </is>
      </c>
      <c r="E151" t="inlineStr">
        <is>
          <t>tblDeviceModel</t>
        </is>
      </c>
      <c r="F151" t="inlineStr">
        <is>
          <t>tblDeviceModel</t>
        </is>
      </c>
      <c r="G151" t="inlineStr">
        <is>
          <t>Exact ID</t>
        </is>
      </c>
      <c r="H151" t="inlineStr">
        <is>
          <t>High</t>
        </is>
      </c>
      <c r="I151" t="inlineStr">
        <is>
          <t>Pending Review</t>
        </is>
      </c>
      <c r="J151" t="inlineStr">
        <is>
          <t>15 LL_Device!G1:O635</t>
        </is>
      </c>
      <c r="K151" t="inlineStr"/>
      <c r="L151" t="inlineStr"/>
      <c r="M151" t="inlineStr"/>
      <c r="N151" t="inlineStr"/>
      <c r="O151" t="inlineStr"/>
    </row>
    <row r="152"/>
    <row r="153"/>
    <row r="154">
      <c r="A154" t="inlineStr">
        <is>
          <t>LegacyDeviceTypeID</t>
        </is>
      </c>
      <c r="B154" t="inlineStr">
        <is>
          <t>CanonicalDeviceTypeID</t>
        </is>
      </c>
      <c r="C154" t="inlineStr">
        <is>
          <t>DeviceTypeName</t>
        </is>
      </c>
      <c r="D154" t="inlineStr">
        <is>
          <t>LegacySource</t>
        </is>
      </c>
      <c r="E154" t="inlineStr">
        <is>
          <t>CanonicalSource</t>
        </is>
      </c>
      <c r="F154" t="inlineStr">
        <is>
          <t>MatchMethod</t>
        </is>
      </c>
      <c r="G154" t="inlineStr">
        <is>
          <t>Confidence</t>
        </is>
      </c>
      <c r="H154" t="inlineStr">
        <is>
          <t>MappingStatus</t>
        </is>
      </c>
      <c r="I154" t="inlineStr">
        <is>
          <t>EvidenceSource</t>
        </is>
      </c>
      <c r="J154" t="inlineStr">
        <is>
          <t>ReviewedBy</t>
        </is>
      </c>
      <c r="K154" t="inlineStr">
        <is>
          <t>ReviewedDate</t>
        </is>
      </c>
      <c r="L154" t="inlineStr">
        <is>
          <t>ApprovedBy</t>
        </is>
      </c>
      <c r="M154" t="inlineStr">
        <is>
          <t>ApprovedDate</t>
        </is>
      </c>
      <c r="N154" t="inlineStr">
        <is>
          <t>Notes</t>
        </is>
      </c>
    </row>
    <row r="155">
      <c r="A155" t="inlineStr">
        <is>
          <t>DT000001</t>
        </is>
      </c>
      <c r="B155" t="inlineStr">
        <is>
          <t>DT000001</t>
        </is>
      </c>
      <c r="C155" t="inlineStr">
        <is>
          <t>Mobile phones</t>
        </is>
      </c>
      <c r="D155" t="inlineStr">
        <is>
          <t>tblDeviceTypes</t>
        </is>
      </c>
      <c r="E155" t="inlineStr">
        <is>
          <t>tblDeviceTypes</t>
        </is>
      </c>
      <c r="F155" t="inlineStr">
        <is>
          <t>Exact ID</t>
        </is>
      </c>
      <c r="G155" t="inlineStr">
        <is>
          <t>High</t>
        </is>
      </c>
      <c r="H155" t="inlineStr">
        <is>
          <t>Pending Review</t>
        </is>
      </c>
      <c r="I155" t="inlineStr">
        <is>
          <t>15 LL_Device!A1:E13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DT000002</t>
        </is>
      </c>
      <c r="B156" t="inlineStr">
        <is>
          <t>DT000002</t>
        </is>
      </c>
      <c r="C156" t="inlineStr">
        <is>
          <t>Tablets and iPads</t>
        </is>
      </c>
      <c r="D156" t="inlineStr">
        <is>
          <t>tblDeviceTypes</t>
        </is>
      </c>
      <c r="E156" t="inlineStr">
        <is>
          <t>tblDeviceTypes</t>
        </is>
      </c>
      <c r="F156" t="inlineStr">
        <is>
          <t>Exact ID</t>
        </is>
      </c>
      <c r="G156" t="inlineStr">
        <is>
          <t>High</t>
        </is>
      </c>
      <c r="H156" t="inlineStr">
        <is>
          <t>Pending Review</t>
        </is>
      </c>
      <c r="I156" t="inlineStr">
        <is>
          <t>15 LL_Device!A1:E13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DT000003</t>
        </is>
      </c>
      <c r="B157" t="inlineStr">
        <is>
          <t>DT000003</t>
        </is>
      </c>
      <c r="C157" t="inlineStr">
        <is>
          <t>Portable computers</t>
        </is>
      </c>
      <c r="D157" t="inlineStr">
        <is>
          <t>tblDeviceTypes</t>
        </is>
      </c>
      <c r="E157" t="inlineStr">
        <is>
          <t>tblDeviceTypes</t>
        </is>
      </c>
      <c r="F157" t="inlineStr">
        <is>
          <t>Exact ID</t>
        </is>
      </c>
      <c r="G157" t="inlineStr">
        <is>
          <t>High</t>
        </is>
      </c>
      <c r="H157" t="inlineStr">
        <is>
          <t>Pending Review</t>
        </is>
      </c>
      <c r="I157" t="inlineStr">
        <is>
          <t>15 LL_Device!A1:E13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DT000004</t>
        </is>
      </c>
      <c r="B158" t="inlineStr">
        <is>
          <t>DT000004</t>
        </is>
      </c>
      <c r="C158" t="inlineStr">
        <is>
          <t>Desktop computers</t>
        </is>
      </c>
      <c r="D158" t="inlineStr">
        <is>
          <t>tblDeviceTypes</t>
        </is>
      </c>
      <c r="E158" t="inlineStr">
        <is>
          <t>tblDeviceTypes</t>
        </is>
      </c>
      <c r="F158" t="inlineStr">
        <is>
          <t>Exact ID</t>
        </is>
      </c>
      <c r="G158" t="inlineStr">
        <is>
          <t>High</t>
        </is>
      </c>
      <c r="H158" t="inlineStr">
        <is>
          <t>Pending Review</t>
        </is>
      </c>
      <c r="I158" t="inlineStr">
        <is>
          <t>15 LL_Device!A1:E13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DT000005</t>
        </is>
      </c>
      <c r="B159" t="inlineStr">
        <is>
          <t>DT000005</t>
        </is>
      </c>
      <c r="C159" t="inlineStr">
        <is>
          <t>Consoles</t>
        </is>
      </c>
      <c r="D159" t="inlineStr">
        <is>
          <t>tblDeviceTypes</t>
        </is>
      </c>
      <c r="E159" t="inlineStr">
        <is>
          <t>tblDeviceTypes</t>
        </is>
      </c>
      <c r="F159" t="inlineStr">
        <is>
          <t>Exact ID</t>
        </is>
      </c>
      <c r="G159" t="inlineStr">
        <is>
          <t>High</t>
        </is>
      </c>
      <c r="H159" t="inlineStr">
        <is>
          <t>Pending Review</t>
        </is>
      </c>
      <c r="I159" t="inlineStr">
        <is>
          <t>15 LL_Device!A1:E13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DT000006</t>
        </is>
      </c>
      <c r="B160" t="inlineStr">
        <is>
          <t>DT000006</t>
        </is>
      </c>
      <c r="C160" t="inlineStr">
        <is>
          <t>Wearable devices</t>
        </is>
      </c>
      <c r="D160" t="inlineStr">
        <is>
          <t>tblDeviceTypes</t>
        </is>
      </c>
      <c r="E160" t="inlineStr">
        <is>
          <t>tblDeviceTypes</t>
        </is>
      </c>
      <c r="F160" t="inlineStr">
        <is>
          <t>Exact ID</t>
        </is>
      </c>
      <c r="G160" t="inlineStr">
        <is>
          <t>High</t>
        </is>
      </c>
      <c r="H160" t="inlineStr">
        <is>
          <t>Pending Review</t>
        </is>
      </c>
      <c r="I160" t="inlineStr">
        <is>
          <t>15 LL_Device!A1:E13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DT000007</t>
        </is>
      </c>
      <c r="B161" t="inlineStr">
        <is>
          <t>DT000007</t>
        </is>
      </c>
      <c r="C161" t="inlineStr">
        <is>
          <t>Consumer drones</t>
        </is>
      </c>
      <c r="D161" t="inlineStr">
        <is>
          <t>tblDeviceTypes</t>
        </is>
      </c>
      <c r="E161" t="inlineStr">
        <is>
          <t>tblDeviceTypes</t>
        </is>
      </c>
      <c r="F161" t="inlineStr">
        <is>
          <t>Exact ID</t>
        </is>
      </c>
      <c r="G161" t="inlineStr">
        <is>
          <t>High</t>
        </is>
      </c>
      <c r="H161" t="inlineStr">
        <is>
          <t>Pending Review</t>
        </is>
      </c>
      <c r="I161" t="inlineStr">
        <is>
          <t>15 LL_Device!A1:E13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DT000008</t>
        </is>
      </c>
      <c r="B162" t="inlineStr">
        <is>
          <t>DT000008</t>
        </is>
      </c>
      <c r="C162" t="inlineStr">
        <is>
          <t>Virtual reality devices</t>
        </is>
      </c>
      <c r="D162" t="inlineStr">
        <is>
          <t>tblDeviceTypes</t>
        </is>
      </c>
      <c r="E162" t="inlineStr">
        <is>
          <t>tblDeviceTypes</t>
        </is>
      </c>
      <c r="F162" t="inlineStr">
        <is>
          <t>Exact ID</t>
        </is>
      </c>
      <c r="G162" t="inlineStr">
        <is>
          <t>High</t>
        </is>
      </c>
      <c r="H162" t="inlineStr">
        <is>
          <t>Pending Review</t>
        </is>
      </c>
      <c r="I162" t="inlineStr">
        <is>
          <t>15 LL_Device!A1:E13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DT000009</t>
        </is>
      </c>
      <c r="B163" t="inlineStr">
        <is>
          <t>DT000009</t>
        </is>
      </c>
      <c r="C163" t="inlineStr">
        <is>
          <t>Kindle, Nook, etc.</t>
        </is>
      </c>
      <c r="D163" t="inlineStr">
        <is>
          <t>tblDeviceTypes</t>
        </is>
      </c>
      <c r="E163" t="inlineStr">
        <is>
          <t>tblDeviceTypes</t>
        </is>
      </c>
      <c r="F163" t="inlineStr">
        <is>
          <t>Exact ID</t>
        </is>
      </c>
      <c r="G163" t="inlineStr">
        <is>
          <t>High</t>
        </is>
      </c>
      <c r="H163" t="inlineStr">
        <is>
          <t>Pending Review</t>
        </is>
      </c>
      <c r="I163" t="inlineStr">
        <is>
          <t>15 LL_Device!A1:E13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DT000010</t>
        </is>
      </c>
      <c r="B164" t="inlineStr">
        <is>
          <t>DT000010</t>
        </is>
      </c>
      <c r="C164" t="inlineStr">
        <is>
          <t>Apple TV, Roku, etc.</t>
        </is>
      </c>
      <c r="D164" t="inlineStr">
        <is>
          <t>tblDeviceTypes</t>
        </is>
      </c>
      <c r="E164" t="inlineStr">
        <is>
          <t>tblDeviceTypes</t>
        </is>
      </c>
      <c r="F164" t="inlineStr">
        <is>
          <t>Exact ID</t>
        </is>
      </c>
      <c r="G164" t="inlineStr">
        <is>
          <t>High</t>
        </is>
      </c>
      <c r="H164" t="inlineStr">
        <is>
          <t>Pending Review</t>
        </is>
      </c>
      <c r="I164" t="inlineStr">
        <is>
          <t>15 LL_Device!A1:E13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DT000011</t>
        </is>
      </c>
      <c r="B165" t="inlineStr">
        <is>
          <t>DT000011</t>
        </is>
      </c>
      <c r="C165" t="inlineStr">
        <is>
          <t>Fire Stick, Chromecast</t>
        </is>
      </c>
      <c r="D165" t="inlineStr">
        <is>
          <t>tblDeviceTypes</t>
        </is>
      </c>
      <c r="E165" t="inlineStr">
        <is>
          <t>tblDeviceTypes</t>
        </is>
      </c>
      <c r="F165" t="inlineStr">
        <is>
          <t>Exact ID</t>
        </is>
      </c>
      <c r="G165" t="inlineStr">
        <is>
          <t>High</t>
        </is>
      </c>
      <c r="H165" t="inlineStr">
        <is>
          <t>Pending Review</t>
        </is>
      </c>
      <c r="I165" t="inlineStr">
        <is>
          <t>15 LL_Device!A1:E13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DT000012</t>
        </is>
      </c>
      <c r="B166" t="inlineStr">
        <is>
          <t>DT000012</t>
        </is>
      </c>
      <c r="C166" t="inlineStr">
        <is>
          <t>Miscellaneous devices</t>
        </is>
      </c>
      <c r="D166" t="inlineStr">
        <is>
          <t>tblDeviceTypes</t>
        </is>
      </c>
      <c r="E166" t="inlineStr">
        <is>
          <t>tblDeviceTypes</t>
        </is>
      </c>
      <c r="F166" t="inlineStr">
        <is>
          <t>Exact ID</t>
        </is>
      </c>
      <c r="G166" t="inlineStr">
        <is>
          <t>High</t>
        </is>
      </c>
      <c r="H166" t="inlineStr">
        <is>
          <t>Pending Review</t>
        </is>
      </c>
      <c r="I166" t="inlineStr">
        <is>
          <t>15 LL_Device!A1:E13</t>
        </is>
      </c>
      <c r="J166" t="inlineStr"/>
      <c r="K166" t="inlineStr"/>
      <c r="L166" t="inlineStr"/>
      <c r="M166" t="inlineStr"/>
      <c r="N166" t="inlineStr"/>
    </row>
  </sheetData>
  <autoFilter ref="A154:N166"/>
  <dataValidations count="2">
    <dataValidation sqref="H2:H21" showDropDown="0" showInputMessage="0" showErrorMessage="0" allowBlank="1" type="list">
      <formula1>"Pending Review,Approved,Rejected,No Match,Escalated"</formula1>
    </dataValidation>
    <dataValidation sqref="G2:G21" showDropDown="0" showInputMessage="0" showErrorMessage="0" allowBlank="1" type="list">
      <formula1>"High,Medium,Low,None"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2" min="1" max="1"/>
    <col width="20" customWidth="1" style="42" min="2" max="2"/>
    <col width="28" customWidth="1" style="42" min="3" max="3"/>
    <col width="12" customWidth="1" style="42" min="4" max="4"/>
    <col width="13" customWidth="1" style="42" min="5" max="5"/>
    <col width="26" customWidth="1" style="42" min="6" max="6"/>
    <col width="20" customWidth="1" style="42" min="7" max="7"/>
    <col width="46" customWidth="1" style="42" min="8" max="8"/>
    <col width="18" customWidth="1" style="42" min="9" max="9"/>
    <col width="18" customWidth="1" style="42" min="10" max="10"/>
    <col width="17" customWidth="1" style="42" min="11" max="11"/>
    <col width="18" customWidth="1" style="42" min="12" max="12"/>
    <col width="19" customWidth="1" style="42" min="13" max="13"/>
    <col width="14" customWidth="1" style="42" min="14" max="14"/>
    <col width="18" customWidth="1" style="42" min="15" max="15"/>
    <col width="21" customWidth="1" style="42" min="16" max="16"/>
    <col width="27" customWidth="1" style="42" min="17" max="17"/>
    <col width="22" customWidth="1" style="42" min="18" max="18"/>
    <col width="55" customWidth="1" style="42" min="19" max="19"/>
    <col width="38" customWidth="1" style="42" min="20" max="20"/>
    <col width="18" customWidth="1" style="42" min="21" max="21"/>
    <col width="21" customWidth="1" style="42" min="22" max="22"/>
    <col width="55" customWidth="1" style="42" min="23" max="23"/>
    <col width="24" customWidth="1" style="42" min="24" max="24"/>
    <col width="22" customWidth="1" style="42" min="25" max="25"/>
    <col width="19" customWidth="1" style="42" min="26" max="26"/>
    <col width="7" customWidth="1" style="42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H2" t="inlineStr"/>
      <c r="I2" t="inlineStr"/>
      <c r="J2" t="inlineStr">
        <is>
          <t>IsActive</t>
        </is>
      </c>
      <c r="K2" t="inlineStr"/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  <c r="AA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H3" t="inlineStr"/>
      <c r="I3" t="inlineStr"/>
      <c r="J3" t="inlineStr">
        <is>
          <t>IsActive</t>
        </is>
      </c>
      <c r="K3" t="inlineStr"/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U3" t="inlineStr"/>
      <c r="V3" t="inlineStr"/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  <c r="AA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G4" t="inlineStr"/>
      <c r="H4" t="inlineStr"/>
      <c r="I4" t="inlineStr"/>
      <c r="J4" t="inlineStr">
        <is>
          <t>IsActive</t>
        </is>
      </c>
      <c r="K4" t="inlineStr"/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  <c r="AA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H5" t="inlineStr"/>
      <c r="I5" t="inlineStr"/>
      <c r="J5" t="inlineStr"/>
      <c r="K5" t="inlineStr"/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  <c r="AA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H6" t="inlineStr"/>
      <c r="I6" t="inlineStr"/>
      <c r="J6" t="inlineStr"/>
      <c r="K6" t="inlineStr"/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  <c r="AA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G7" t="inlineStr"/>
      <c r="H7" t="inlineStr"/>
      <c r="I7" t="inlineStr"/>
      <c r="J7" t="inlineStr"/>
      <c r="K7" t="inlineStr"/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  <c r="AA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H8" t="inlineStr"/>
      <c r="I8" t="inlineStr"/>
      <c r="J8" t="inlineStr"/>
      <c r="K8" t="inlineStr"/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  <c r="AA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H9" t="inlineStr"/>
      <c r="I9" t="inlineStr"/>
      <c r="J9" t="inlineStr"/>
      <c r="K9" t="inlineStr"/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  <c r="AA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I10" t="inlineStr"/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  <c r="AA10" t="inlineStr"/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H11" t="inlineStr"/>
      <c r="I11" t="inlineStr"/>
      <c r="J11" t="inlineStr"/>
      <c r="K11" t="inlineStr"/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  <c r="AA11" t="inlineStr"/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H12" t="inlineStr"/>
      <c r="I12" t="inlineStr"/>
      <c r="J12" t="inlineStr"/>
      <c r="K12" t="inlineStr"/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  <c r="AA12" t="inlineStr"/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H13" t="inlineStr"/>
      <c r="I13" t="inlineStr"/>
      <c r="J13" t="inlineStr"/>
      <c r="K13" t="inlineStr"/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  <c r="AA13" t="inlineStr"/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H14" t="inlineStr"/>
      <c r="I14" t="inlineStr"/>
      <c r="J14" t="inlineStr"/>
      <c r="K14" t="inlineStr"/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  <c r="AA14" t="inlineStr"/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H15" t="inlineStr"/>
      <c r="I15" t="inlineStr"/>
      <c r="J15" t="inlineStr"/>
      <c r="K15" t="inlineStr"/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  <c r="AA15" t="inlineStr"/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H16" t="inlineStr"/>
      <c r="I16" t="inlineStr"/>
      <c r="J16" t="inlineStr"/>
      <c r="K16" t="inlineStr"/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  <c r="AA16" t="inlineStr"/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H17" t="inlineStr"/>
      <c r="I17" t="inlineStr"/>
      <c r="J17" t="inlineStr"/>
      <c r="K17" t="inlineStr"/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  <c r="AA17" t="inlineStr"/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H18" t="inlineStr"/>
      <c r="I18" t="inlineStr"/>
      <c r="J18" t="inlineStr"/>
      <c r="K18" t="inlineStr"/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  <c r="AA18" t="inlineStr"/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H19" t="inlineStr"/>
      <c r="I19" t="inlineStr"/>
      <c r="J19" t="inlineStr"/>
      <c r="K19" t="inlineStr"/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  <c r="AA19" t="inlineStr"/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H20" t="inlineStr"/>
      <c r="I20" t="inlineStr"/>
      <c r="J20" t="inlineStr"/>
      <c r="K20" t="inlineStr"/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  <c r="AA20" t="inlineStr"/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H21" t="inlineStr"/>
      <c r="I21" t="inlineStr"/>
      <c r="J21" t="inlineStr"/>
      <c r="K21" t="inlineStr"/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  <c r="AA21" t="inlineStr"/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H22" t="inlineStr"/>
      <c r="I22" t="inlineStr"/>
      <c r="J22" t="inlineStr"/>
      <c r="K22" t="inlineStr"/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  <c r="AA22" t="inlineStr"/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H23" t="inlineStr"/>
      <c r="I23" t="inlineStr"/>
      <c r="J23" t="inlineStr"/>
      <c r="K23" t="inlineStr"/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  <c r="AA23" t="inlineStr"/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H24" t="inlineStr"/>
      <c r="I24" t="inlineStr"/>
      <c r="J24" t="inlineStr"/>
      <c r="K24" t="inlineStr"/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  <c r="AA24" t="inlineStr"/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H25" t="inlineStr"/>
      <c r="I25" t="inlineStr"/>
      <c r="J25" t="inlineStr"/>
      <c r="K25" t="inlineStr"/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  <c r="AA25" t="inlineStr"/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J26" t="inlineStr"/>
      <c r="K26" t="inlineStr"/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  <c r="AA26" t="inlineStr"/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H27" t="inlineStr"/>
      <c r="I27" t="inlineStr"/>
      <c r="J27" t="inlineStr">
        <is>
          <t>IsActive</t>
        </is>
      </c>
      <c r="K27" t="inlineStr"/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  <c r="AA27" t="inlineStr"/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H28" t="inlineStr"/>
      <c r="I28" t="inlineStr"/>
      <c r="J28" t="inlineStr">
        <is>
          <t>IsActive</t>
        </is>
      </c>
      <c r="K28" t="inlineStr"/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  <c r="AA28" t="inlineStr"/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H29" t="inlineStr"/>
      <c r="I29" t="inlineStr">
        <is>
          <t>CustomerStatusID</t>
        </is>
      </c>
      <c r="J29" t="inlineStr"/>
      <c r="K29" t="inlineStr"/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  <c r="AA29" t="inlineStr"/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H30" t="inlineStr"/>
      <c r="I30" t="inlineStr"/>
      <c r="J30" t="inlineStr">
        <is>
          <t>IsActive</t>
        </is>
      </c>
      <c r="K30" t="inlineStr"/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  <c r="AA30" t="inlineStr"/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H31" t="inlineStr"/>
      <c r="I31" t="inlineStr"/>
      <c r="J31" t="inlineStr"/>
      <c r="K31" t="inlineStr"/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  <c r="AA31" t="inlineStr"/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G32" t="inlineStr"/>
      <c r="H32" t="inlineStr"/>
      <c r="I32" t="inlineStr"/>
      <c r="J32" t="inlineStr"/>
      <c r="K32" t="inlineStr"/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  <c r="AA32" t="inlineStr"/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H33" t="inlineStr"/>
      <c r="I33" t="inlineStr"/>
      <c r="J33" t="inlineStr"/>
      <c r="K33" t="inlineStr"/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  <c r="AA33" t="inlineStr"/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H34" t="inlineStr"/>
      <c r="I34" t="inlineStr"/>
      <c r="J34" t="inlineStr"/>
      <c r="K34" t="inlineStr"/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  <c r="AA34" t="inlineStr"/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H35" t="inlineStr"/>
      <c r="I35" t="inlineStr"/>
      <c r="J35" t="inlineStr"/>
      <c r="K35" t="inlineStr"/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  <c r="AA35" t="inlineStr"/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H36" t="inlineStr"/>
      <c r="I36" t="inlineStr"/>
      <c r="J36" t="inlineStr"/>
      <c r="K36" t="inlineStr"/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  <c r="AA36" t="inlineStr"/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H37" t="inlineStr"/>
      <c r="I37" t="inlineStr"/>
      <c r="J37" t="inlineStr"/>
      <c r="K37" t="inlineStr"/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  <c r="AA37" t="inlineStr"/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H38" t="inlineStr"/>
      <c r="I38" t="inlineStr"/>
      <c r="J38" t="inlineStr"/>
      <c r="K38" t="inlineStr"/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  <c r="AA38" t="inlineStr"/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G39" t="inlineStr"/>
      <c r="H39" t="inlineStr"/>
      <c r="I39" t="inlineStr"/>
      <c r="J39" t="inlineStr"/>
      <c r="K39" t="inlineStr"/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  <c r="AA39" t="inlineStr"/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H40" t="inlineStr"/>
      <c r="I40" t="inlineStr"/>
      <c r="J40" t="inlineStr"/>
      <c r="K40" t="inlineStr"/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  <c r="AA40" t="inlineStr"/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H41" t="inlineStr"/>
      <c r="I41" t="inlineStr"/>
      <c r="J41" t="inlineStr"/>
      <c r="K41" t="inlineStr"/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  <c r="AA41" t="inlineStr"/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H42" t="inlineStr"/>
      <c r="I42" t="inlineStr"/>
      <c r="J42" t="inlineStr"/>
      <c r="K42" t="inlineStr"/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  <c r="AA42" t="inlineStr"/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H43" t="inlineStr"/>
      <c r="I43" t="inlineStr"/>
      <c r="J43" t="inlineStr"/>
      <c r="K43" t="inlineStr"/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  <c r="AA43" t="inlineStr"/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H44" t="inlineStr"/>
      <c r="I44" t="inlineStr"/>
      <c r="J44" t="inlineStr"/>
      <c r="K44" t="inlineStr"/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  <c r="AA44" t="inlineStr"/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H45" t="inlineStr"/>
      <c r="I45" t="inlineStr"/>
      <c r="J45" t="inlineStr"/>
      <c r="K45" t="inlineStr"/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  <c r="AA45" t="inlineStr"/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H46" t="inlineStr"/>
      <c r="I46" t="inlineStr"/>
      <c r="J46" t="inlineStr"/>
      <c r="K46" t="inlineStr"/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  <c r="AA46" t="inlineStr"/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H47" t="inlineStr"/>
      <c r="I47" t="inlineStr"/>
      <c r="J47" t="inlineStr"/>
      <c r="K47" t="inlineStr"/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  <c r="AA47" t="inlineStr"/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H48" t="inlineStr"/>
      <c r="I48" t="inlineStr"/>
      <c r="J48" t="inlineStr"/>
      <c r="K48" t="inlineStr"/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  <c r="AA48" t="inlineStr"/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H49" t="inlineStr"/>
      <c r="I49" t="inlineStr"/>
      <c r="J49" t="inlineStr"/>
      <c r="K49" t="inlineStr"/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  <c r="AA49" t="inlineStr"/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H50" t="inlineStr"/>
      <c r="I50" t="inlineStr"/>
      <c r="J50" t="inlineStr"/>
      <c r="K50" t="inlineStr"/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  <c r="AA50" t="inlineStr"/>
    </row>
  </sheetData>
  <autoFilter ref="A1:AA50"/>
  <dataValidations count="3">
    <dataValidation sqref="X2:X50" showDropDown="0" showInputMessage="0" showErrorMessage="0" allowBlank="1" type="list">
      <formula1>"Passed,Warning,Manual Review Required,Blocked"</formula1>
    </dataValidation>
    <dataValidation sqref="Y2:Y50" showDropDown="0" showInputMessage="0" showErrorMessage="0" allowBlank="1" type="list">
      <formula1>"Draft - Not Approved,Under Review,Approved,Retired"</formula1>
    </dataValidation>
    <dataValidation sqref="Z2:Z50" showDropDown="0" showInputMessage="0" showErrorMessage="0" allowBlank="1" type="list">
      <formula1>"High,Medium,Low,Deferred"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42" min="1" max="1"/>
    <col width="17" customWidth="1" style="42" min="2" max="2"/>
    <col width="16" customWidth="1" style="42" min="3" max="3"/>
    <col width="11" customWidth="1" style="42" min="4" max="4"/>
    <col width="11" customWidth="1" style="42" min="5" max="5"/>
    <col width="17" customWidth="1" style="42" min="6" max="6"/>
    <col width="24" customWidth="1" style="42" min="7" max="7"/>
    <col width="28" customWidth="1" style="42" min="8" max="8"/>
    <col width="21" customWidth="1" style="42" min="9" max="9"/>
    <col width="20" customWidth="1" style="42" min="10" max="10"/>
    <col width="12" customWidth="1" style="42" min="11" max="11"/>
    <col width="19" customWidth="1" style="42" min="12" max="12"/>
    <col width="14" customWidth="1" style="42" min="13" max="13"/>
    <col width="7" customWidth="1" style="42" min="14" max="14"/>
  </cols>
  <sheetData>
    <row r="1">
      <c r="A1" t="inlineStr">
        <is>
          <t>ExceptionID</t>
        </is>
      </c>
      <c r="B1" t="inlineStr">
        <is>
          <t>SourceWorksheet</t>
        </is>
      </c>
      <c r="C1" t="inlineStr">
        <is>
          <t>SourceTable</t>
        </is>
      </c>
      <c r="D1" t="inlineStr">
        <is>
          <t>SourceRow</t>
        </is>
      </c>
      <c r="E1" t="inlineStr">
        <is>
          <t>RecordID</t>
        </is>
      </c>
      <c r="F1" t="inlineStr">
        <is>
          <t>ForeignKeyField</t>
        </is>
      </c>
      <c r="G1" t="inlineStr">
        <is>
          <t>CurrentForeignKeyValue</t>
        </is>
      </c>
      <c r="H1" t="inlineStr">
        <is>
          <t>ExpectedParentTable</t>
        </is>
      </c>
      <c r="I1" t="inlineStr">
        <is>
          <t>ProposedCanonicalID</t>
        </is>
      </c>
      <c r="J1" t="inlineStr">
        <is>
          <t>MatchMethod</t>
        </is>
      </c>
      <c r="K1" t="inlineStr">
        <is>
          <t>Confidence</t>
        </is>
      </c>
      <c r="L1" t="inlineStr">
        <is>
          <t>ExceptionType</t>
        </is>
      </c>
      <c r="M1" t="inlineStr">
        <is>
          <t>ReviewStatus</t>
        </is>
      </c>
      <c r="N1" t="inlineStr">
        <is>
          <t>Notes</t>
        </is>
      </c>
    </row>
    <row r="2">
      <c r="A2" t="inlineStr">
        <is>
          <t>FKEX00001</t>
        </is>
      </c>
      <c r="B2" t="inlineStr">
        <is>
          <t>15 LL_Device</t>
        </is>
      </c>
      <c r="C2" t="inlineStr">
        <is>
          <t>tblDeviceModel</t>
        </is>
      </c>
      <c r="D2" t="n">
        <v>2</v>
      </c>
      <c r="E2" t="inlineStr">
        <is>
          <t>MOD000001</t>
        </is>
      </c>
      <c r="F2" t="inlineStr">
        <is>
          <t>ManufacturerID</t>
        </is>
      </c>
      <c r="G2" t="inlineStr">
        <is>
          <t>MFG001</t>
        </is>
      </c>
      <c r="H2" t="inlineStr">
        <is>
          <t>tblManufacturerIDCrosswalk</t>
        </is>
      </c>
      <c r="I2" t="inlineStr"/>
      <c r="J2" t="inlineStr">
        <is>
          <t>No Supported Match</t>
        </is>
      </c>
      <c r="K2" t="inlineStr">
        <is>
          <t>None</t>
        </is>
      </c>
      <c r="L2" t="inlineStr">
        <is>
          <t>Crosswalk Pending</t>
        </is>
      </c>
      <c r="M2" t="inlineStr">
        <is>
          <t>Open</t>
        </is>
      </c>
      <c r="N2" t="inlineStr"/>
    </row>
    <row r="3">
      <c r="A3" t="inlineStr">
        <is>
          <t>FKEX00002</t>
        </is>
      </c>
      <c r="B3" t="inlineStr">
        <is>
          <t>15 LL_Device</t>
        </is>
      </c>
      <c r="C3" t="inlineStr">
        <is>
          <t>tblDeviceModel</t>
        </is>
      </c>
      <c r="D3" t="n">
        <v>2</v>
      </c>
      <c r="E3" t="inlineStr">
        <is>
          <t>MOD000001</t>
        </is>
      </c>
      <c r="F3" t="inlineStr">
        <is>
          <t>DeviceFamilyID</t>
        </is>
      </c>
      <c r="G3" t="inlineStr">
        <is>
          <t>DF001</t>
        </is>
      </c>
      <c r="H3" t="inlineStr">
        <is>
          <t>tblDeviceFamilyIDCrosswalk</t>
        </is>
      </c>
      <c r="I3" t="inlineStr"/>
      <c r="J3" t="inlineStr">
        <is>
          <t>tblDeviceModel</t>
        </is>
      </c>
      <c r="K3" t="inlineStr">
        <is>
          <t>Exact ID</t>
        </is>
      </c>
      <c r="L3" t="inlineStr">
        <is>
          <t>Crosswalk Pending</t>
        </is>
      </c>
      <c r="M3" t="inlineStr">
        <is>
          <t>Open</t>
        </is>
      </c>
      <c r="N3" t="inlineStr"/>
    </row>
    <row r="4">
      <c r="A4" t="inlineStr">
        <is>
          <t>FKEX00003</t>
        </is>
      </c>
      <c r="B4" t="inlineStr">
        <is>
          <t>15 LL_Device</t>
        </is>
      </c>
      <c r="C4" t="inlineStr">
        <is>
          <t>tblDeviceModel</t>
        </is>
      </c>
      <c r="D4" t="n">
        <v>2</v>
      </c>
      <c r="E4" t="inlineStr">
        <is>
          <t>MOD000001</t>
        </is>
      </c>
      <c r="F4" t="inlineStr">
        <is>
          <t>DeviceTypeID</t>
        </is>
      </c>
      <c r="G4" t="inlineStr">
        <is>
          <t>DT001</t>
        </is>
      </c>
      <c r="H4" t="inlineStr">
        <is>
          <t>tblDeviceTypeIDCrosswalk</t>
        </is>
      </c>
      <c r="I4" t="inlineStr"/>
      <c r="J4" t="inlineStr">
        <is>
          <t>No Supported Match</t>
        </is>
      </c>
      <c r="K4" t="inlineStr">
        <is>
          <t>None</t>
        </is>
      </c>
      <c r="L4" t="inlineStr">
        <is>
          <t>Crosswalk Pending</t>
        </is>
      </c>
      <c r="M4" t="inlineStr">
        <is>
          <t>Open</t>
        </is>
      </c>
      <c r="N4" t="inlineStr"/>
    </row>
    <row r="5">
      <c r="A5" t="inlineStr">
        <is>
          <t>FKEX00004</t>
        </is>
      </c>
      <c r="B5" t="inlineStr">
        <is>
          <t>15 LL_Device</t>
        </is>
      </c>
      <c r="C5" t="inlineStr">
        <is>
          <t>tblDeviceModel</t>
        </is>
      </c>
      <c r="D5" t="n">
        <v>3</v>
      </c>
      <c r="E5" t="inlineStr">
        <is>
          <t>MOD000002</t>
        </is>
      </c>
      <c r="F5" t="inlineStr">
        <is>
          <t>ManufacturerID</t>
        </is>
      </c>
      <c r="G5" t="inlineStr">
        <is>
          <t>MFG001</t>
        </is>
      </c>
      <c r="H5" t="inlineStr">
        <is>
          <t>tblManufacturerIDCrosswalk</t>
        </is>
      </c>
      <c r="I5" t="inlineStr"/>
      <c r="J5" t="inlineStr">
        <is>
          <t>No Supported Match</t>
        </is>
      </c>
      <c r="K5" t="inlineStr">
        <is>
          <t>None</t>
        </is>
      </c>
      <c r="L5" t="inlineStr">
        <is>
          <t>Crosswalk Pending</t>
        </is>
      </c>
      <c r="M5" t="inlineStr">
        <is>
          <t>Open</t>
        </is>
      </c>
      <c r="N5" t="inlineStr"/>
    </row>
    <row r="6">
      <c r="A6" t="inlineStr">
        <is>
          <t>FKEX00005</t>
        </is>
      </c>
      <c r="B6" t="inlineStr">
        <is>
          <t>15 LL_Device</t>
        </is>
      </c>
      <c r="C6" t="inlineStr">
        <is>
          <t>tblDeviceModel</t>
        </is>
      </c>
      <c r="D6" t="n">
        <v>3</v>
      </c>
      <c r="E6" t="inlineStr">
        <is>
          <t>MOD000002</t>
        </is>
      </c>
      <c r="F6" t="inlineStr">
        <is>
          <t>DeviceFamilyID</t>
        </is>
      </c>
      <c r="G6" t="inlineStr">
        <is>
          <t>DF001</t>
        </is>
      </c>
      <c r="H6" t="inlineStr">
        <is>
          <t>tblDeviceFamilyIDCrosswalk</t>
        </is>
      </c>
      <c r="I6" t="inlineStr"/>
      <c r="J6" t="inlineStr">
        <is>
          <t>tblDeviceModel</t>
        </is>
      </c>
      <c r="K6" t="inlineStr">
        <is>
          <t>Exact ID</t>
        </is>
      </c>
      <c r="L6" t="inlineStr">
        <is>
          <t>Crosswalk Pending</t>
        </is>
      </c>
      <c r="M6" t="inlineStr">
        <is>
          <t>Open</t>
        </is>
      </c>
      <c r="N6" t="inlineStr"/>
    </row>
    <row r="7">
      <c r="A7" t="inlineStr">
        <is>
          <t>FKEX00006</t>
        </is>
      </c>
      <c r="B7" t="inlineStr">
        <is>
          <t>15 LL_Device</t>
        </is>
      </c>
      <c r="C7" t="inlineStr">
        <is>
          <t>tblDeviceModel</t>
        </is>
      </c>
      <c r="D7" t="n">
        <v>3</v>
      </c>
      <c r="E7" t="inlineStr">
        <is>
          <t>MOD000002</t>
        </is>
      </c>
      <c r="F7" t="inlineStr">
        <is>
          <t>DeviceTypeID</t>
        </is>
      </c>
      <c r="G7" t="inlineStr">
        <is>
          <t>DT001</t>
        </is>
      </c>
      <c r="H7" t="inlineStr">
        <is>
          <t>tblDeviceTypeIDCrosswalk</t>
        </is>
      </c>
      <c r="I7" t="inlineStr"/>
      <c r="J7" t="inlineStr">
        <is>
          <t>No Supported Match</t>
        </is>
      </c>
      <c r="K7" t="inlineStr">
        <is>
          <t>None</t>
        </is>
      </c>
      <c r="L7" t="inlineStr">
        <is>
          <t>Crosswalk Pending</t>
        </is>
      </c>
      <c r="M7" t="inlineStr">
        <is>
          <t>Open</t>
        </is>
      </c>
      <c r="N7" t="inlineStr"/>
    </row>
    <row r="8">
      <c r="A8" t="inlineStr">
        <is>
          <t>FKEX00007</t>
        </is>
      </c>
      <c r="B8" t="inlineStr">
        <is>
          <t>15 LL_Device</t>
        </is>
      </c>
      <c r="C8" t="inlineStr">
        <is>
          <t>tblDeviceModel</t>
        </is>
      </c>
      <c r="D8" t="n">
        <v>4</v>
      </c>
      <c r="E8" t="inlineStr">
        <is>
          <t>MOD000003</t>
        </is>
      </c>
      <c r="F8" t="inlineStr">
        <is>
          <t>ManufacturerID</t>
        </is>
      </c>
      <c r="G8" t="inlineStr">
        <is>
          <t>MFG001</t>
        </is>
      </c>
      <c r="H8" t="inlineStr">
        <is>
          <t>tblManufacturerIDCrosswalk</t>
        </is>
      </c>
      <c r="I8" t="inlineStr"/>
      <c r="J8" t="inlineStr">
        <is>
          <t>No Supported Match</t>
        </is>
      </c>
      <c r="K8" t="inlineStr">
        <is>
          <t>None</t>
        </is>
      </c>
      <c r="L8" t="inlineStr">
        <is>
          <t>Crosswalk Pending</t>
        </is>
      </c>
      <c r="M8" t="inlineStr">
        <is>
          <t>Open</t>
        </is>
      </c>
      <c r="N8" t="inlineStr"/>
    </row>
    <row r="9">
      <c r="A9" t="inlineStr">
        <is>
          <t>FKEX00008</t>
        </is>
      </c>
      <c r="B9" t="inlineStr">
        <is>
          <t>15 LL_Device</t>
        </is>
      </c>
      <c r="C9" t="inlineStr">
        <is>
          <t>tblDeviceModel</t>
        </is>
      </c>
      <c r="D9" t="n">
        <v>4</v>
      </c>
      <c r="E9" t="inlineStr">
        <is>
          <t>MOD000003</t>
        </is>
      </c>
      <c r="F9" t="inlineStr">
        <is>
          <t>DeviceFamilyID</t>
        </is>
      </c>
      <c r="G9" t="inlineStr">
        <is>
          <t>DF001</t>
        </is>
      </c>
      <c r="H9" t="inlineStr">
        <is>
          <t>tblDeviceFamilyIDCrosswalk</t>
        </is>
      </c>
      <c r="I9" t="inlineStr"/>
      <c r="J9" t="inlineStr">
        <is>
          <t>tblDeviceModel</t>
        </is>
      </c>
      <c r="K9" t="inlineStr">
        <is>
          <t>Exact ID</t>
        </is>
      </c>
      <c r="L9" t="inlineStr">
        <is>
          <t>Crosswalk Pending</t>
        </is>
      </c>
      <c r="M9" t="inlineStr">
        <is>
          <t>Open</t>
        </is>
      </c>
      <c r="N9" t="inlineStr"/>
    </row>
    <row r="10">
      <c r="A10" t="inlineStr">
        <is>
          <t>FKEX00009</t>
        </is>
      </c>
      <c r="B10" t="inlineStr">
        <is>
          <t>15 LL_Device</t>
        </is>
      </c>
      <c r="C10" t="inlineStr">
        <is>
          <t>tblDeviceModel</t>
        </is>
      </c>
      <c r="D10" t="n">
        <v>4</v>
      </c>
      <c r="E10" t="inlineStr">
        <is>
          <t>MOD000003</t>
        </is>
      </c>
      <c r="F10" t="inlineStr">
        <is>
          <t>DeviceTypeID</t>
        </is>
      </c>
      <c r="G10" t="inlineStr">
        <is>
          <t>DT001</t>
        </is>
      </c>
      <c r="H10" t="inlineStr">
        <is>
          <t>tblDeviceTypeIDCrosswalk</t>
        </is>
      </c>
      <c r="I10" t="inlineStr"/>
      <c r="J10" t="inlineStr">
        <is>
          <t>No Supported Match</t>
        </is>
      </c>
      <c r="K10" t="inlineStr">
        <is>
          <t>None</t>
        </is>
      </c>
      <c r="L10" t="inlineStr">
        <is>
          <t>Crosswalk Pending</t>
        </is>
      </c>
      <c r="M10" t="inlineStr">
        <is>
          <t>Open</t>
        </is>
      </c>
      <c r="N10" t="inlineStr"/>
    </row>
    <row r="11">
      <c r="A11" t="inlineStr">
        <is>
          <t>FKEX00010</t>
        </is>
      </c>
      <c r="B11" t="inlineStr">
        <is>
          <t>15 LL_Device</t>
        </is>
      </c>
      <c r="C11" t="inlineStr">
        <is>
          <t>tblDeviceModel</t>
        </is>
      </c>
      <c r="D11" t="n">
        <v>5</v>
      </c>
      <c r="E11" t="inlineStr">
        <is>
          <t>MOD000004</t>
        </is>
      </c>
      <c r="F11" t="inlineStr">
        <is>
          <t>ManufacturerID</t>
        </is>
      </c>
      <c r="G11" t="inlineStr">
        <is>
          <t>MFG001</t>
        </is>
      </c>
      <c r="H11" t="inlineStr">
        <is>
          <t>tblManufacturerIDCrosswalk</t>
        </is>
      </c>
      <c r="I11" t="inlineStr"/>
      <c r="J11" t="inlineStr">
        <is>
          <t>No Supported Match</t>
        </is>
      </c>
      <c r="K11" t="inlineStr">
        <is>
          <t>None</t>
        </is>
      </c>
      <c r="L11" t="inlineStr">
        <is>
          <t>Crosswalk Pending</t>
        </is>
      </c>
      <c r="M11" t="inlineStr">
        <is>
          <t>Open</t>
        </is>
      </c>
      <c r="N11" t="inlineStr"/>
    </row>
    <row r="12">
      <c r="A12" t="inlineStr">
        <is>
          <t>FKEX00011</t>
        </is>
      </c>
      <c r="B12" t="inlineStr">
        <is>
          <t>15 LL_Device</t>
        </is>
      </c>
      <c r="C12" t="inlineStr">
        <is>
          <t>tblDeviceModel</t>
        </is>
      </c>
      <c r="D12" t="n">
        <v>5</v>
      </c>
      <c r="E12" t="inlineStr">
        <is>
          <t>MOD000004</t>
        </is>
      </c>
      <c r="F12" t="inlineStr">
        <is>
          <t>DeviceFamilyID</t>
        </is>
      </c>
      <c r="G12" t="inlineStr">
        <is>
          <t>DF001</t>
        </is>
      </c>
      <c r="H12" t="inlineStr">
        <is>
          <t>tblDeviceFamilyIDCrosswalk</t>
        </is>
      </c>
      <c r="I12" t="inlineStr"/>
      <c r="J12" t="inlineStr">
        <is>
          <t>tblDeviceModel</t>
        </is>
      </c>
      <c r="K12" t="inlineStr">
        <is>
          <t>Exact ID</t>
        </is>
      </c>
      <c r="L12" t="inlineStr">
        <is>
          <t>Crosswalk Pending</t>
        </is>
      </c>
      <c r="M12" t="inlineStr">
        <is>
          <t>Open</t>
        </is>
      </c>
      <c r="N12" t="inlineStr"/>
    </row>
    <row r="13">
      <c r="A13" t="inlineStr">
        <is>
          <t>FKEX00012</t>
        </is>
      </c>
      <c r="B13" t="inlineStr">
        <is>
          <t>15 LL_Device</t>
        </is>
      </c>
      <c r="C13" t="inlineStr">
        <is>
          <t>tblDeviceModel</t>
        </is>
      </c>
      <c r="D13" t="n">
        <v>5</v>
      </c>
      <c r="E13" t="inlineStr">
        <is>
          <t>MOD000004</t>
        </is>
      </c>
      <c r="F13" t="inlineStr">
        <is>
          <t>DeviceTypeID</t>
        </is>
      </c>
      <c r="G13" t="inlineStr">
        <is>
          <t>DT001</t>
        </is>
      </c>
      <c r="H13" t="inlineStr">
        <is>
          <t>tblDeviceTypeIDCrosswalk</t>
        </is>
      </c>
      <c r="I13" t="inlineStr"/>
      <c r="J13" t="inlineStr">
        <is>
          <t>No Supported Match</t>
        </is>
      </c>
      <c r="K13" t="inlineStr">
        <is>
          <t>None</t>
        </is>
      </c>
      <c r="L13" t="inlineStr">
        <is>
          <t>Crosswalk Pending</t>
        </is>
      </c>
      <c r="M13" t="inlineStr">
        <is>
          <t>Open</t>
        </is>
      </c>
      <c r="N13" t="inlineStr"/>
    </row>
    <row r="14">
      <c r="A14" t="inlineStr">
        <is>
          <t>FKEX00013</t>
        </is>
      </c>
      <c r="B14" t="inlineStr">
        <is>
          <t>15 LL_Device</t>
        </is>
      </c>
      <c r="C14" t="inlineStr">
        <is>
          <t>tblDeviceModel</t>
        </is>
      </c>
      <c r="D14" t="n">
        <v>6</v>
      </c>
      <c r="E14" t="inlineStr">
        <is>
          <t>MOD000005</t>
        </is>
      </c>
      <c r="F14" t="inlineStr">
        <is>
          <t>ManufacturerID</t>
        </is>
      </c>
      <c r="G14" t="inlineStr">
        <is>
          <t>MFG001</t>
        </is>
      </c>
      <c r="H14" t="inlineStr">
        <is>
          <t>tblManufacturerIDCrosswalk</t>
        </is>
      </c>
      <c r="I14" t="inlineStr"/>
      <c r="J14" t="inlineStr">
        <is>
          <t>No Supported Match</t>
        </is>
      </c>
      <c r="K14" t="inlineStr">
        <is>
          <t>None</t>
        </is>
      </c>
      <c r="L14" t="inlineStr">
        <is>
          <t>Crosswalk Pending</t>
        </is>
      </c>
      <c r="M14" t="inlineStr">
        <is>
          <t>Open</t>
        </is>
      </c>
      <c r="N14" t="inlineStr"/>
    </row>
    <row r="15">
      <c r="A15" t="inlineStr">
        <is>
          <t>FKEX00014</t>
        </is>
      </c>
      <c r="B15" t="inlineStr">
        <is>
          <t>15 LL_Device</t>
        </is>
      </c>
      <c r="C15" t="inlineStr">
        <is>
          <t>tblDeviceModel</t>
        </is>
      </c>
      <c r="D15" t="n">
        <v>6</v>
      </c>
      <c r="E15" t="inlineStr">
        <is>
          <t>MOD000005</t>
        </is>
      </c>
      <c r="F15" t="inlineStr">
        <is>
          <t>DeviceFamilyID</t>
        </is>
      </c>
      <c r="G15" t="inlineStr">
        <is>
          <t>DF001</t>
        </is>
      </c>
      <c r="H15" t="inlineStr">
        <is>
          <t>tblDeviceFamilyIDCrosswalk</t>
        </is>
      </c>
      <c r="I15" t="inlineStr"/>
      <c r="J15" t="inlineStr">
        <is>
          <t>tblDeviceModel</t>
        </is>
      </c>
      <c r="K15" t="inlineStr">
        <is>
          <t>Exact ID</t>
        </is>
      </c>
      <c r="L15" t="inlineStr">
        <is>
          <t>Crosswalk Pending</t>
        </is>
      </c>
      <c r="M15" t="inlineStr">
        <is>
          <t>Open</t>
        </is>
      </c>
      <c r="N15" t="inlineStr"/>
    </row>
    <row r="16">
      <c r="A16" t="inlineStr">
        <is>
          <t>FKEX00015</t>
        </is>
      </c>
      <c r="B16" t="inlineStr">
        <is>
          <t>15 LL_Device</t>
        </is>
      </c>
      <c r="C16" t="inlineStr">
        <is>
          <t>tblDeviceModel</t>
        </is>
      </c>
      <c r="D16" t="n">
        <v>6</v>
      </c>
      <c r="E16" t="inlineStr">
        <is>
          <t>MOD000005</t>
        </is>
      </c>
      <c r="F16" t="inlineStr">
        <is>
          <t>DeviceTypeID</t>
        </is>
      </c>
      <c r="G16" t="inlineStr">
        <is>
          <t>DT001</t>
        </is>
      </c>
      <c r="H16" t="inlineStr">
        <is>
          <t>tblDeviceTypeIDCrosswalk</t>
        </is>
      </c>
      <c r="I16" t="inlineStr"/>
      <c r="J16" t="inlineStr">
        <is>
          <t>No Supported Match</t>
        </is>
      </c>
      <c r="K16" t="inlineStr">
        <is>
          <t>None</t>
        </is>
      </c>
      <c r="L16" t="inlineStr">
        <is>
          <t>Crosswalk Pending</t>
        </is>
      </c>
      <c r="M16" t="inlineStr">
        <is>
          <t>Open</t>
        </is>
      </c>
      <c r="N16" t="inlineStr"/>
    </row>
    <row r="17">
      <c r="A17" t="inlineStr">
        <is>
          <t>FKEX00016</t>
        </is>
      </c>
      <c r="B17" t="inlineStr">
        <is>
          <t>15 LL_Device</t>
        </is>
      </c>
      <c r="C17" t="inlineStr">
        <is>
          <t>tblDeviceModel</t>
        </is>
      </c>
      <c r="D17" t="n">
        <v>7</v>
      </c>
      <c r="E17" t="inlineStr">
        <is>
          <t>MOD000006</t>
        </is>
      </c>
      <c r="F17" t="inlineStr">
        <is>
          <t>ManufacturerID</t>
        </is>
      </c>
      <c r="G17" t="inlineStr">
        <is>
          <t>MFG001</t>
        </is>
      </c>
      <c r="H17" t="inlineStr">
        <is>
          <t>tblManufacturerIDCrosswalk</t>
        </is>
      </c>
      <c r="I17" t="inlineStr"/>
      <c r="J17" t="inlineStr">
        <is>
          <t>No Supported Match</t>
        </is>
      </c>
      <c r="K17" t="inlineStr">
        <is>
          <t>None</t>
        </is>
      </c>
      <c r="L17" t="inlineStr">
        <is>
          <t>Crosswalk Pending</t>
        </is>
      </c>
      <c r="M17" t="inlineStr">
        <is>
          <t>Open</t>
        </is>
      </c>
      <c r="N17" t="inlineStr"/>
    </row>
    <row r="18">
      <c r="A18" t="inlineStr">
        <is>
          <t>FKEX00017</t>
        </is>
      </c>
      <c r="B18" t="inlineStr">
        <is>
          <t>15 LL_Device</t>
        </is>
      </c>
      <c r="C18" t="inlineStr">
        <is>
          <t>tblDeviceModel</t>
        </is>
      </c>
      <c r="D18" t="n">
        <v>7</v>
      </c>
      <c r="E18" t="inlineStr">
        <is>
          <t>MOD000006</t>
        </is>
      </c>
      <c r="F18" t="inlineStr">
        <is>
          <t>DeviceFamilyID</t>
        </is>
      </c>
      <c r="G18" t="inlineStr">
        <is>
          <t>DF001</t>
        </is>
      </c>
      <c r="H18" t="inlineStr">
        <is>
          <t>tblDeviceFamilyIDCrosswalk</t>
        </is>
      </c>
      <c r="I18" t="inlineStr"/>
      <c r="J18" t="inlineStr">
        <is>
          <t>tblDeviceModel</t>
        </is>
      </c>
      <c r="K18" t="inlineStr">
        <is>
          <t>Exact ID</t>
        </is>
      </c>
      <c r="L18" t="inlineStr">
        <is>
          <t>Crosswalk Pending</t>
        </is>
      </c>
      <c r="M18" t="inlineStr">
        <is>
          <t>Open</t>
        </is>
      </c>
      <c r="N18" t="inlineStr"/>
    </row>
    <row r="19">
      <c r="A19" t="inlineStr">
        <is>
          <t>FKEX00018</t>
        </is>
      </c>
      <c r="B19" t="inlineStr">
        <is>
          <t>15 LL_Device</t>
        </is>
      </c>
      <c r="C19" t="inlineStr">
        <is>
          <t>tblDeviceModel</t>
        </is>
      </c>
      <c r="D19" t="n">
        <v>7</v>
      </c>
      <c r="E19" t="inlineStr">
        <is>
          <t>MOD000006</t>
        </is>
      </c>
      <c r="F19" t="inlineStr">
        <is>
          <t>DeviceTypeID</t>
        </is>
      </c>
      <c r="G19" t="inlineStr">
        <is>
          <t>DT001</t>
        </is>
      </c>
      <c r="H19" t="inlineStr">
        <is>
          <t>tblDeviceTypeIDCrosswalk</t>
        </is>
      </c>
      <c r="I19" t="inlineStr"/>
      <c r="J19" t="inlineStr">
        <is>
          <t>No Supported Match</t>
        </is>
      </c>
      <c r="K19" t="inlineStr">
        <is>
          <t>None</t>
        </is>
      </c>
      <c r="L19" t="inlineStr">
        <is>
          <t>Crosswalk Pending</t>
        </is>
      </c>
      <c r="M19" t="inlineStr">
        <is>
          <t>Open</t>
        </is>
      </c>
      <c r="N19" t="inlineStr"/>
    </row>
    <row r="20">
      <c r="A20" t="inlineStr">
        <is>
          <t>FKEX00019</t>
        </is>
      </c>
      <c r="B20" t="inlineStr">
        <is>
          <t>15 LL_Device</t>
        </is>
      </c>
      <c r="C20" t="inlineStr">
        <is>
          <t>tblDeviceModel</t>
        </is>
      </c>
      <c r="D20" t="n">
        <v>8</v>
      </c>
      <c r="E20" t="inlineStr">
        <is>
          <t>MOD000007</t>
        </is>
      </c>
      <c r="F20" t="inlineStr">
        <is>
          <t>ManufacturerID</t>
        </is>
      </c>
      <c r="G20" t="inlineStr">
        <is>
          <t>MFG001</t>
        </is>
      </c>
      <c r="H20" t="inlineStr">
        <is>
          <t>tblManufacturerIDCrosswalk</t>
        </is>
      </c>
      <c r="I20" t="inlineStr"/>
      <c r="J20" t="inlineStr">
        <is>
          <t>No Supported Match</t>
        </is>
      </c>
      <c r="K20" t="inlineStr">
        <is>
          <t>None</t>
        </is>
      </c>
      <c r="L20" t="inlineStr">
        <is>
          <t>Crosswalk Pending</t>
        </is>
      </c>
      <c r="M20" t="inlineStr">
        <is>
          <t>Open</t>
        </is>
      </c>
      <c r="N20" t="inlineStr"/>
    </row>
    <row r="21">
      <c r="A21" t="inlineStr">
        <is>
          <t>FKEX00020</t>
        </is>
      </c>
      <c r="B21" t="inlineStr">
        <is>
          <t>15 LL_Device</t>
        </is>
      </c>
      <c r="C21" t="inlineStr">
        <is>
          <t>tblDeviceModel</t>
        </is>
      </c>
      <c r="D21" t="n">
        <v>8</v>
      </c>
      <c r="E21" t="inlineStr">
        <is>
          <t>MOD000007</t>
        </is>
      </c>
      <c r="F21" t="inlineStr">
        <is>
          <t>DeviceFamilyID</t>
        </is>
      </c>
      <c r="G21" t="inlineStr">
        <is>
          <t>DF001</t>
        </is>
      </c>
      <c r="H21" t="inlineStr">
        <is>
          <t>tblDeviceFamilyIDCrosswalk</t>
        </is>
      </c>
      <c r="I21" t="inlineStr"/>
      <c r="J21" t="inlineStr">
        <is>
          <t>tblDeviceModel</t>
        </is>
      </c>
      <c r="K21" t="inlineStr">
        <is>
          <t>Exact ID</t>
        </is>
      </c>
      <c r="L21" t="inlineStr">
        <is>
          <t>Crosswalk Pending</t>
        </is>
      </c>
      <c r="M21" t="inlineStr">
        <is>
          <t>Open</t>
        </is>
      </c>
      <c r="N21" t="inlineStr"/>
    </row>
    <row r="22">
      <c r="A22" t="inlineStr">
        <is>
          <t>FKEX00021</t>
        </is>
      </c>
      <c r="B22" t="inlineStr">
        <is>
          <t>15 LL_Device</t>
        </is>
      </c>
      <c r="C22" t="inlineStr">
        <is>
          <t>tblDeviceModel</t>
        </is>
      </c>
      <c r="D22" t="n">
        <v>8</v>
      </c>
      <c r="E22" t="inlineStr">
        <is>
          <t>MOD000007</t>
        </is>
      </c>
      <c r="F22" t="inlineStr">
        <is>
          <t>DeviceTypeID</t>
        </is>
      </c>
      <c r="G22" t="inlineStr">
        <is>
          <t>DT001</t>
        </is>
      </c>
      <c r="H22" t="inlineStr">
        <is>
          <t>tblDeviceTypeIDCrosswalk</t>
        </is>
      </c>
      <c r="I22" t="inlineStr"/>
      <c r="J22" t="inlineStr">
        <is>
          <t>No Supported Match</t>
        </is>
      </c>
      <c r="K22" t="inlineStr">
        <is>
          <t>None</t>
        </is>
      </c>
      <c r="L22" t="inlineStr">
        <is>
          <t>Crosswalk Pending</t>
        </is>
      </c>
      <c r="M22" t="inlineStr">
        <is>
          <t>Open</t>
        </is>
      </c>
      <c r="N22" t="inlineStr"/>
    </row>
    <row r="23">
      <c r="A23" t="inlineStr">
        <is>
          <t>FKEX00022</t>
        </is>
      </c>
      <c r="B23" t="inlineStr">
        <is>
          <t>15 LL_Device</t>
        </is>
      </c>
      <c r="C23" t="inlineStr">
        <is>
          <t>tblDeviceModel</t>
        </is>
      </c>
      <c r="D23" t="n">
        <v>9</v>
      </c>
      <c r="E23" t="inlineStr">
        <is>
          <t>MOD000008</t>
        </is>
      </c>
      <c r="F23" t="inlineStr">
        <is>
          <t>ManufacturerID</t>
        </is>
      </c>
      <c r="G23" t="inlineStr">
        <is>
          <t>MFG001</t>
        </is>
      </c>
      <c r="H23" t="inlineStr">
        <is>
          <t>tblManufacturerIDCrosswalk</t>
        </is>
      </c>
      <c r="I23" t="inlineStr"/>
      <c r="J23" t="inlineStr">
        <is>
          <t>No Supported Match</t>
        </is>
      </c>
      <c r="K23" t="inlineStr">
        <is>
          <t>None</t>
        </is>
      </c>
      <c r="L23" t="inlineStr">
        <is>
          <t>Crosswalk Pending</t>
        </is>
      </c>
      <c r="M23" t="inlineStr">
        <is>
          <t>Open</t>
        </is>
      </c>
      <c r="N23" t="inlineStr"/>
    </row>
    <row r="24">
      <c r="A24" t="inlineStr">
        <is>
          <t>FKEX00023</t>
        </is>
      </c>
      <c r="B24" t="inlineStr">
        <is>
          <t>15 LL_Device</t>
        </is>
      </c>
      <c r="C24" t="inlineStr">
        <is>
          <t>tblDeviceModel</t>
        </is>
      </c>
      <c r="D24" t="n">
        <v>9</v>
      </c>
      <c r="E24" t="inlineStr">
        <is>
          <t>MOD000008</t>
        </is>
      </c>
      <c r="F24" t="inlineStr">
        <is>
          <t>DeviceFamilyID</t>
        </is>
      </c>
      <c r="G24" t="inlineStr">
        <is>
          <t>DF001</t>
        </is>
      </c>
      <c r="H24" t="inlineStr">
        <is>
          <t>tblDeviceFamilyIDCrosswalk</t>
        </is>
      </c>
      <c r="I24" t="inlineStr"/>
      <c r="J24" t="inlineStr">
        <is>
          <t>tblDeviceModel</t>
        </is>
      </c>
      <c r="K24" t="inlineStr">
        <is>
          <t>Exact ID</t>
        </is>
      </c>
      <c r="L24" t="inlineStr">
        <is>
          <t>Crosswalk Pending</t>
        </is>
      </c>
      <c r="M24" t="inlineStr">
        <is>
          <t>Open</t>
        </is>
      </c>
      <c r="N24" t="inlineStr"/>
    </row>
    <row r="25">
      <c r="A25" t="inlineStr">
        <is>
          <t>FKEX00024</t>
        </is>
      </c>
      <c r="B25" t="inlineStr">
        <is>
          <t>15 LL_Device</t>
        </is>
      </c>
      <c r="C25" t="inlineStr">
        <is>
          <t>tblDeviceModel</t>
        </is>
      </c>
      <c r="D25" t="n">
        <v>9</v>
      </c>
      <c r="E25" t="inlineStr">
        <is>
          <t>MOD000008</t>
        </is>
      </c>
      <c r="F25" t="inlineStr">
        <is>
          <t>DeviceTypeID</t>
        </is>
      </c>
      <c r="G25" t="inlineStr">
        <is>
          <t>DT001</t>
        </is>
      </c>
      <c r="H25" t="inlineStr">
        <is>
          <t>tblDeviceTypeIDCrosswalk</t>
        </is>
      </c>
      <c r="I25" t="inlineStr"/>
      <c r="J25" t="inlineStr">
        <is>
          <t>No Supported Match</t>
        </is>
      </c>
      <c r="K25" t="inlineStr">
        <is>
          <t>None</t>
        </is>
      </c>
      <c r="L25" t="inlineStr">
        <is>
          <t>Crosswalk Pending</t>
        </is>
      </c>
      <c r="M25" t="inlineStr">
        <is>
          <t>Open</t>
        </is>
      </c>
      <c r="N25" t="inlineStr"/>
    </row>
    <row r="26">
      <c r="A26" t="inlineStr">
        <is>
          <t>FKEX00025</t>
        </is>
      </c>
      <c r="B26" t="inlineStr">
        <is>
          <t>15 LL_Device</t>
        </is>
      </c>
      <c r="C26" t="inlineStr">
        <is>
          <t>tblDeviceModel</t>
        </is>
      </c>
      <c r="D26" t="n">
        <v>10</v>
      </c>
      <c r="E26" t="inlineStr">
        <is>
          <t>MOD000009</t>
        </is>
      </c>
      <c r="F26" t="inlineStr">
        <is>
          <t>ManufacturerID</t>
        </is>
      </c>
      <c r="G26" t="inlineStr">
        <is>
          <t>MFG001</t>
        </is>
      </c>
      <c r="H26" t="inlineStr">
        <is>
          <t>tblManufacturerIDCrosswalk</t>
        </is>
      </c>
      <c r="I26" t="inlineStr"/>
      <c r="J26" t="inlineStr">
        <is>
          <t>No Supported Match</t>
        </is>
      </c>
      <c r="K26" t="inlineStr">
        <is>
          <t>None</t>
        </is>
      </c>
      <c r="L26" t="inlineStr">
        <is>
          <t>Crosswalk Pending</t>
        </is>
      </c>
      <c r="M26" t="inlineStr">
        <is>
          <t>Open</t>
        </is>
      </c>
      <c r="N26" t="inlineStr"/>
    </row>
    <row r="27">
      <c r="A27" t="inlineStr">
        <is>
          <t>FKEX00026</t>
        </is>
      </c>
      <c r="B27" t="inlineStr">
        <is>
          <t>15 LL_Device</t>
        </is>
      </c>
      <c r="C27" t="inlineStr">
        <is>
          <t>tblDeviceModel</t>
        </is>
      </c>
      <c r="D27" t="n">
        <v>10</v>
      </c>
      <c r="E27" t="inlineStr">
        <is>
          <t>MOD000009</t>
        </is>
      </c>
      <c r="F27" t="inlineStr">
        <is>
          <t>DeviceFamilyID</t>
        </is>
      </c>
      <c r="G27" t="inlineStr">
        <is>
          <t>DF001</t>
        </is>
      </c>
      <c r="H27" t="inlineStr">
        <is>
          <t>tblDeviceFamilyIDCrosswalk</t>
        </is>
      </c>
      <c r="I27" t="inlineStr"/>
      <c r="J27" t="inlineStr">
        <is>
          <t>tblDeviceModel</t>
        </is>
      </c>
      <c r="K27" t="inlineStr">
        <is>
          <t>Exact ID</t>
        </is>
      </c>
      <c r="L27" t="inlineStr">
        <is>
          <t>Crosswalk Pending</t>
        </is>
      </c>
      <c r="M27" t="inlineStr">
        <is>
          <t>Open</t>
        </is>
      </c>
      <c r="N27" t="inlineStr"/>
    </row>
    <row r="28">
      <c r="A28" t="inlineStr">
        <is>
          <t>FKEX00027</t>
        </is>
      </c>
      <c r="B28" t="inlineStr">
        <is>
          <t>15 LL_Device</t>
        </is>
      </c>
      <c r="C28" t="inlineStr">
        <is>
          <t>tblDeviceModel</t>
        </is>
      </c>
      <c r="D28" t="n">
        <v>10</v>
      </c>
      <c r="E28" t="inlineStr">
        <is>
          <t>MOD000009</t>
        </is>
      </c>
      <c r="F28" t="inlineStr">
        <is>
          <t>DeviceTypeID</t>
        </is>
      </c>
      <c r="G28" t="inlineStr">
        <is>
          <t>DT001</t>
        </is>
      </c>
      <c r="H28" t="inlineStr">
        <is>
          <t>tblDeviceTypeIDCrosswalk</t>
        </is>
      </c>
      <c r="I28" t="inlineStr"/>
      <c r="J28" t="inlineStr">
        <is>
          <t>No Supported Match</t>
        </is>
      </c>
      <c r="K28" t="inlineStr">
        <is>
          <t>None</t>
        </is>
      </c>
      <c r="L28" t="inlineStr">
        <is>
          <t>Crosswalk Pending</t>
        </is>
      </c>
      <c r="M28" t="inlineStr">
        <is>
          <t>Open</t>
        </is>
      </c>
      <c r="N28" t="inlineStr"/>
    </row>
    <row r="29">
      <c r="A29" t="inlineStr">
        <is>
          <t>FKEX00028</t>
        </is>
      </c>
      <c r="B29" t="inlineStr">
        <is>
          <t>15 LL_Device</t>
        </is>
      </c>
      <c r="C29" t="inlineStr">
        <is>
          <t>tblDeviceModel</t>
        </is>
      </c>
      <c r="D29" t="n">
        <v>11</v>
      </c>
      <c r="E29" t="inlineStr">
        <is>
          <t>MOD000010</t>
        </is>
      </c>
      <c r="F29" t="inlineStr">
        <is>
          <t>ManufacturerID</t>
        </is>
      </c>
      <c r="G29" t="inlineStr">
        <is>
          <t>MFG001</t>
        </is>
      </c>
      <c r="H29" t="inlineStr">
        <is>
          <t>tblManufacturerIDCrosswalk</t>
        </is>
      </c>
      <c r="I29" t="inlineStr"/>
      <c r="J29" t="inlineStr">
        <is>
          <t>No Supported Match</t>
        </is>
      </c>
      <c r="K29" t="inlineStr">
        <is>
          <t>None</t>
        </is>
      </c>
      <c r="L29" t="inlineStr">
        <is>
          <t>Crosswalk Pending</t>
        </is>
      </c>
      <c r="M29" t="inlineStr">
        <is>
          <t>Open</t>
        </is>
      </c>
      <c r="N29" t="inlineStr"/>
    </row>
    <row r="30">
      <c r="A30" t="inlineStr">
        <is>
          <t>FKEX00029</t>
        </is>
      </c>
      <c r="B30" t="inlineStr">
        <is>
          <t>15 LL_Device</t>
        </is>
      </c>
      <c r="C30" t="inlineStr">
        <is>
          <t>tblDeviceModel</t>
        </is>
      </c>
      <c r="D30" t="n">
        <v>11</v>
      </c>
      <c r="E30" t="inlineStr">
        <is>
          <t>MOD000010</t>
        </is>
      </c>
      <c r="F30" t="inlineStr">
        <is>
          <t>DeviceFamilyID</t>
        </is>
      </c>
      <c r="G30" t="inlineStr">
        <is>
          <t>DF001</t>
        </is>
      </c>
      <c r="H30" t="inlineStr">
        <is>
          <t>tblDeviceFamilyIDCrosswalk</t>
        </is>
      </c>
      <c r="I30" t="inlineStr"/>
      <c r="J30" t="inlineStr">
        <is>
          <t>tblDeviceModel</t>
        </is>
      </c>
      <c r="K30" t="inlineStr">
        <is>
          <t>Exact ID</t>
        </is>
      </c>
      <c r="L30" t="inlineStr">
        <is>
          <t>Crosswalk Pending</t>
        </is>
      </c>
      <c r="M30" t="inlineStr">
        <is>
          <t>Open</t>
        </is>
      </c>
      <c r="N30" t="inlineStr"/>
    </row>
    <row r="31">
      <c r="A31" t="inlineStr">
        <is>
          <t>FKEX00030</t>
        </is>
      </c>
      <c r="B31" t="inlineStr">
        <is>
          <t>15 LL_Device</t>
        </is>
      </c>
      <c r="C31" t="inlineStr">
        <is>
          <t>tblDeviceModel</t>
        </is>
      </c>
      <c r="D31" t="n">
        <v>11</v>
      </c>
      <c r="E31" t="inlineStr">
        <is>
          <t>MOD000010</t>
        </is>
      </c>
      <c r="F31" t="inlineStr">
        <is>
          <t>DeviceTypeID</t>
        </is>
      </c>
      <c r="G31" t="inlineStr">
        <is>
          <t>DT001</t>
        </is>
      </c>
      <c r="H31" t="inlineStr">
        <is>
          <t>tblDeviceTypeIDCrosswalk</t>
        </is>
      </c>
      <c r="I31" t="inlineStr"/>
      <c r="J31" t="inlineStr">
        <is>
          <t>No Supported Match</t>
        </is>
      </c>
      <c r="K31" t="inlineStr">
        <is>
          <t>None</t>
        </is>
      </c>
      <c r="L31" t="inlineStr">
        <is>
          <t>Crosswalk Pending</t>
        </is>
      </c>
      <c r="M31" t="inlineStr">
        <is>
          <t>Open</t>
        </is>
      </c>
      <c r="N31" t="inlineStr"/>
    </row>
    <row r="32">
      <c r="A32" t="inlineStr">
        <is>
          <t>FKEX00031</t>
        </is>
      </c>
      <c r="B32" t="inlineStr">
        <is>
          <t>15 LL_Device</t>
        </is>
      </c>
      <c r="C32" t="inlineStr">
        <is>
          <t>tblDeviceModel</t>
        </is>
      </c>
      <c r="D32" t="n">
        <v>12</v>
      </c>
      <c r="E32" t="inlineStr">
        <is>
          <t>MOD000011</t>
        </is>
      </c>
      <c r="F32" t="inlineStr">
        <is>
          <t>ManufacturerID</t>
        </is>
      </c>
      <c r="G32" t="inlineStr">
        <is>
          <t>MFG001</t>
        </is>
      </c>
      <c r="H32" t="inlineStr">
        <is>
          <t>tblManufacturerIDCrosswalk</t>
        </is>
      </c>
      <c r="I32" t="inlineStr"/>
      <c r="J32" t="inlineStr">
        <is>
          <t>No Supported Match</t>
        </is>
      </c>
      <c r="K32" t="inlineStr">
        <is>
          <t>None</t>
        </is>
      </c>
      <c r="L32" t="inlineStr">
        <is>
          <t>Crosswalk Pending</t>
        </is>
      </c>
      <c r="M32" t="inlineStr">
        <is>
          <t>Open</t>
        </is>
      </c>
      <c r="N32" t="inlineStr"/>
    </row>
    <row r="33">
      <c r="A33" t="inlineStr">
        <is>
          <t>FKEX00032</t>
        </is>
      </c>
      <c r="B33" t="inlineStr">
        <is>
          <t>15 LL_Device</t>
        </is>
      </c>
      <c r="C33" t="inlineStr">
        <is>
          <t>tblDeviceModel</t>
        </is>
      </c>
      <c r="D33" t="n">
        <v>12</v>
      </c>
      <c r="E33" t="inlineStr">
        <is>
          <t>MOD000011</t>
        </is>
      </c>
      <c r="F33" t="inlineStr">
        <is>
          <t>DeviceFamilyID</t>
        </is>
      </c>
      <c r="G33" t="inlineStr">
        <is>
          <t>DF001</t>
        </is>
      </c>
      <c r="H33" t="inlineStr">
        <is>
          <t>tblDeviceFamilyIDCrosswalk</t>
        </is>
      </c>
      <c r="I33" t="inlineStr"/>
      <c r="J33" t="inlineStr">
        <is>
          <t>tblDeviceModel</t>
        </is>
      </c>
      <c r="K33" t="inlineStr">
        <is>
          <t>Exact ID</t>
        </is>
      </c>
      <c r="L33" t="inlineStr">
        <is>
          <t>Crosswalk Pending</t>
        </is>
      </c>
      <c r="M33" t="inlineStr">
        <is>
          <t>Open</t>
        </is>
      </c>
      <c r="N33" t="inlineStr"/>
    </row>
    <row r="34">
      <c r="A34" t="inlineStr">
        <is>
          <t>FKEX00033</t>
        </is>
      </c>
      <c r="B34" t="inlineStr">
        <is>
          <t>15 LL_Device</t>
        </is>
      </c>
      <c r="C34" t="inlineStr">
        <is>
          <t>tblDeviceModel</t>
        </is>
      </c>
      <c r="D34" t="n">
        <v>12</v>
      </c>
      <c r="E34" t="inlineStr">
        <is>
          <t>MOD000011</t>
        </is>
      </c>
      <c r="F34" t="inlineStr">
        <is>
          <t>DeviceTypeID</t>
        </is>
      </c>
      <c r="G34" t="inlineStr">
        <is>
          <t>DT001</t>
        </is>
      </c>
      <c r="H34" t="inlineStr">
        <is>
          <t>tblDeviceTypeIDCrosswalk</t>
        </is>
      </c>
      <c r="I34" t="inlineStr"/>
      <c r="J34" t="inlineStr">
        <is>
          <t>No Supported Match</t>
        </is>
      </c>
      <c r="K34" t="inlineStr">
        <is>
          <t>None</t>
        </is>
      </c>
      <c r="L34" t="inlineStr">
        <is>
          <t>Crosswalk Pending</t>
        </is>
      </c>
      <c r="M34" t="inlineStr">
        <is>
          <t>Open</t>
        </is>
      </c>
      <c r="N34" t="inlineStr"/>
    </row>
    <row r="35">
      <c r="A35" t="inlineStr">
        <is>
          <t>FKEX00034</t>
        </is>
      </c>
      <c r="B35" t="inlineStr">
        <is>
          <t>15 LL_Device</t>
        </is>
      </c>
      <c r="C35" t="inlineStr">
        <is>
          <t>tblDeviceModel</t>
        </is>
      </c>
      <c r="D35" t="n">
        <v>13</v>
      </c>
      <c r="E35" t="inlineStr">
        <is>
          <t>MOD000012</t>
        </is>
      </c>
      <c r="F35" t="inlineStr">
        <is>
          <t>ManufacturerID</t>
        </is>
      </c>
      <c r="G35" t="inlineStr">
        <is>
          <t>MFG001</t>
        </is>
      </c>
      <c r="H35" t="inlineStr">
        <is>
          <t>tblManufacturerIDCrosswalk</t>
        </is>
      </c>
      <c r="I35" t="inlineStr"/>
      <c r="J35" t="inlineStr">
        <is>
          <t>No Supported Match</t>
        </is>
      </c>
      <c r="K35" t="inlineStr">
        <is>
          <t>None</t>
        </is>
      </c>
      <c r="L35" t="inlineStr">
        <is>
          <t>Crosswalk Pending</t>
        </is>
      </c>
      <c r="M35" t="inlineStr">
        <is>
          <t>Open</t>
        </is>
      </c>
      <c r="N35" t="inlineStr"/>
    </row>
    <row r="36">
      <c r="A36" t="inlineStr">
        <is>
          <t>FKEX00035</t>
        </is>
      </c>
      <c r="B36" t="inlineStr">
        <is>
          <t>15 LL_Device</t>
        </is>
      </c>
      <c r="C36" t="inlineStr">
        <is>
          <t>tblDeviceModel</t>
        </is>
      </c>
      <c r="D36" t="n">
        <v>13</v>
      </c>
      <c r="E36" t="inlineStr">
        <is>
          <t>MOD000012</t>
        </is>
      </c>
      <c r="F36" t="inlineStr">
        <is>
          <t>DeviceFamilyID</t>
        </is>
      </c>
      <c r="G36" t="inlineStr">
        <is>
          <t>DF001</t>
        </is>
      </c>
      <c r="H36" t="inlineStr">
        <is>
          <t>tblDeviceFamilyIDCrosswalk</t>
        </is>
      </c>
      <c r="I36" t="inlineStr"/>
      <c r="J36" t="inlineStr">
        <is>
          <t>tblDeviceModel</t>
        </is>
      </c>
      <c r="K36" t="inlineStr">
        <is>
          <t>Exact ID</t>
        </is>
      </c>
      <c r="L36" t="inlineStr">
        <is>
          <t>Crosswalk Pending</t>
        </is>
      </c>
      <c r="M36" t="inlineStr">
        <is>
          <t>Open</t>
        </is>
      </c>
      <c r="N36" t="inlineStr"/>
    </row>
    <row r="37">
      <c r="A37" t="inlineStr">
        <is>
          <t>FKEX00036</t>
        </is>
      </c>
      <c r="B37" t="inlineStr">
        <is>
          <t>15 LL_Device</t>
        </is>
      </c>
      <c r="C37" t="inlineStr">
        <is>
          <t>tblDeviceModel</t>
        </is>
      </c>
      <c r="D37" t="n">
        <v>13</v>
      </c>
      <c r="E37" t="inlineStr">
        <is>
          <t>MOD000012</t>
        </is>
      </c>
      <c r="F37" t="inlineStr">
        <is>
          <t>DeviceTypeID</t>
        </is>
      </c>
      <c r="G37" t="inlineStr">
        <is>
          <t>DT001</t>
        </is>
      </c>
      <c r="H37" t="inlineStr">
        <is>
          <t>tblDeviceTypeIDCrosswalk</t>
        </is>
      </c>
      <c r="I37" t="inlineStr"/>
      <c r="J37" t="inlineStr">
        <is>
          <t>No Supported Match</t>
        </is>
      </c>
      <c r="K37" t="inlineStr">
        <is>
          <t>None</t>
        </is>
      </c>
      <c r="L37" t="inlineStr">
        <is>
          <t>Crosswalk Pending</t>
        </is>
      </c>
      <c r="M37" t="inlineStr">
        <is>
          <t>Open</t>
        </is>
      </c>
      <c r="N37" t="inlineStr"/>
    </row>
    <row r="38">
      <c r="A38" t="inlineStr">
        <is>
          <t>FKEX00037</t>
        </is>
      </c>
      <c r="B38" t="inlineStr">
        <is>
          <t>15 LL_Device</t>
        </is>
      </c>
      <c r="C38" t="inlineStr">
        <is>
          <t>tblDeviceModel</t>
        </is>
      </c>
      <c r="D38" t="n">
        <v>14</v>
      </c>
      <c r="E38" t="inlineStr">
        <is>
          <t>MOD000013</t>
        </is>
      </c>
      <c r="F38" t="inlineStr">
        <is>
          <t>ManufacturerID</t>
        </is>
      </c>
      <c r="G38" t="inlineStr">
        <is>
          <t>MFG001</t>
        </is>
      </c>
      <c r="H38" t="inlineStr">
        <is>
          <t>tblManufacturerIDCrosswalk</t>
        </is>
      </c>
      <c r="I38" t="inlineStr"/>
      <c r="J38" t="inlineStr">
        <is>
          <t>No Supported Match</t>
        </is>
      </c>
      <c r="K38" t="inlineStr">
        <is>
          <t>None</t>
        </is>
      </c>
      <c r="L38" t="inlineStr">
        <is>
          <t>Crosswalk Pending</t>
        </is>
      </c>
      <c r="M38" t="inlineStr">
        <is>
          <t>Open</t>
        </is>
      </c>
      <c r="N38" t="inlineStr"/>
    </row>
    <row r="39">
      <c r="A39" t="inlineStr">
        <is>
          <t>FKEX00038</t>
        </is>
      </c>
      <c r="B39" t="inlineStr">
        <is>
          <t>15 LL_Device</t>
        </is>
      </c>
      <c r="C39" t="inlineStr">
        <is>
          <t>tblDeviceModel</t>
        </is>
      </c>
      <c r="D39" t="n">
        <v>14</v>
      </c>
      <c r="E39" t="inlineStr">
        <is>
          <t>MOD000013</t>
        </is>
      </c>
      <c r="F39" t="inlineStr">
        <is>
          <t>DeviceFamilyID</t>
        </is>
      </c>
      <c r="G39" t="inlineStr">
        <is>
          <t>DF001</t>
        </is>
      </c>
      <c r="H39" t="inlineStr">
        <is>
          <t>tblDeviceFamilyIDCrosswalk</t>
        </is>
      </c>
      <c r="I39" t="inlineStr"/>
      <c r="J39" t="inlineStr">
        <is>
          <t>tblDeviceModel</t>
        </is>
      </c>
      <c r="K39" t="inlineStr">
        <is>
          <t>Exact ID</t>
        </is>
      </c>
      <c r="L39" t="inlineStr">
        <is>
          <t>Crosswalk Pending</t>
        </is>
      </c>
      <c r="M39" t="inlineStr">
        <is>
          <t>Open</t>
        </is>
      </c>
      <c r="N39" t="inlineStr"/>
    </row>
    <row r="40">
      <c r="A40" t="inlineStr">
        <is>
          <t>FKEX00039</t>
        </is>
      </c>
      <c r="B40" t="inlineStr">
        <is>
          <t>15 LL_Device</t>
        </is>
      </c>
      <c r="C40" t="inlineStr">
        <is>
          <t>tblDeviceModel</t>
        </is>
      </c>
      <c r="D40" t="n">
        <v>14</v>
      </c>
      <c r="E40" t="inlineStr">
        <is>
          <t>MOD000013</t>
        </is>
      </c>
      <c r="F40" t="inlineStr">
        <is>
          <t>DeviceTypeID</t>
        </is>
      </c>
      <c r="G40" t="inlineStr">
        <is>
          <t>DT001</t>
        </is>
      </c>
      <c r="H40" t="inlineStr">
        <is>
          <t>tblDeviceTypeIDCrosswalk</t>
        </is>
      </c>
      <c r="I40" t="inlineStr"/>
      <c r="J40" t="inlineStr">
        <is>
          <t>No Supported Match</t>
        </is>
      </c>
      <c r="K40" t="inlineStr">
        <is>
          <t>None</t>
        </is>
      </c>
      <c r="L40" t="inlineStr">
        <is>
          <t>Crosswalk Pending</t>
        </is>
      </c>
      <c r="M40" t="inlineStr">
        <is>
          <t>Open</t>
        </is>
      </c>
      <c r="N40" t="inlineStr"/>
    </row>
    <row r="41">
      <c r="A41" t="inlineStr">
        <is>
          <t>FKEX00040</t>
        </is>
      </c>
      <c r="B41" t="inlineStr">
        <is>
          <t>15 LL_Device</t>
        </is>
      </c>
      <c r="C41" t="inlineStr">
        <is>
          <t>tblDeviceModel</t>
        </is>
      </c>
      <c r="D41" t="n">
        <v>15</v>
      </c>
      <c r="E41" t="inlineStr">
        <is>
          <t>MOD000014</t>
        </is>
      </c>
      <c r="F41" t="inlineStr">
        <is>
          <t>ManufacturerID</t>
        </is>
      </c>
      <c r="G41" t="inlineStr">
        <is>
          <t>MFG001</t>
        </is>
      </c>
      <c r="H41" t="inlineStr">
        <is>
          <t>tblManufacturerIDCrosswalk</t>
        </is>
      </c>
      <c r="I41" t="inlineStr"/>
      <c r="J41" t="inlineStr">
        <is>
          <t>No Supported Match</t>
        </is>
      </c>
      <c r="K41" t="inlineStr">
        <is>
          <t>None</t>
        </is>
      </c>
      <c r="L41" t="inlineStr">
        <is>
          <t>Crosswalk Pending</t>
        </is>
      </c>
      <c r="M41" t="inlineStr">
        <is>
          <t>Open</t>
        </is>
      </c>
      <c r="N41" t="inlineStr"/>
    </row>
    <row r="42">
      <c r="A42" t="inlineStr">
        <is>
          <t>FKEX00041</t>
        </is>
      </c>
      <c r="B42" t="inlineStr">
        <is>
          <t>15 LL_Device</t>
        </is>
      </c>
      <c r="C42" t="inlineStr">
        <is>
          <t>tblDeviceModel</t>
        </is>
      </c>
      <c r="D42" t="n">
        <v>15</v>
      </c>
      <c r="E42" t="inlineStr">
        <is>
          <t>MOD000014</t>
        </is>
      </c>
      <c r="F42" t="inlineStr">
        <is>
          <t>DeviceFamilyID</t>
        </is>
      </c>
      <c r="G42" t="inlineStr">
        <is>
          <t>DF001</t>
        </is>
      </c>
      <c r="H42" t="inlineStr">
        <is>
          <t>tblDeviceFamilyIDCrosswalk</t>
        </is>
      </c>
      <c r="I42" t="inlineStr"/>
      <c r="J42" t="inlineStr">
        <is>
          <t>tblDeviceModel</t>
        </is>
      </c>
      <c r="K42" t="inlineStr">
        <is>
          <t>Exact ID</t>
        </is>
      </c>
      <c r="L42" t="inlineStr">
        <is>
          <t>Crosswalk Pending</t>
        </is>
      </c>
      <c r="M42" t="inlineStr">
        <is>
          <t>Open</t>
        </is>
      </c>
      <c r="N42" t="inlineStr"/>
    </row>
    <row r="43">
      <c r="A43" t="inlineStr">
        <is>
          <t>FKEX00042</t>
        </is>
      </c>
      <c r="B43" t="inlineStr">
        <is>
          <t>15 LL_Device</t>
        </is>
      </c>
      <c r="C43" t="inlineStr">
        <is>
          <t>tblDeviceModel</t>
        </is>
      </c>
      <c r="D43" t="n">
        <v>15</v>
      </c>
      <c r="E43" t="inlineStr">
        <is>
          <t>MOD000014</t>
        </is>
      </c>
      <c r="F43" t="inlineStr">
        <is>
          <t>DeviceTypeID</t>
        </is>
      </c>
      <c r="G43" t="inlineStr">
        <is>
          <t>DT001</t>
        </is>
      </c>
      <c r="H43" t="inlineStr">
        <is>
          <t>tblDeviceTypeIDCrosswalk</t>
        </is>
      </c>
      <c r="I43" t="inlineStr"/>
      <c r="J43" t="inlineStr">
        <is>
          <t>No Supported Match</t>
        </is>
      </c>
      <c r="K43" t="inlineStr">
        <is>
          <t>None</t>
        </is>
      </c>
      <c r="L43" t="inlineStr">
        <is>
          <t>Crosswalk Pending</t>
        </is>
      </c>
      <c r="M43" t="inlineStr">
        <is>
          <t>Open</t>
        </is>
      </c>
      <c r="N43" t="inlineStr"/>
    </row>
    <row r="44">
      <c r="A44" t="inlineStr">
        <is>
          <t>FKEX00043</t>
        </is>
      </c>
      <c r="B44" t="inlineStr">
        <is>
          <t>15 LL_Device</t>
        </is>
      </c>
      <c r="C44" t="inlineStr">
        <is>
          <t>tblDeviceModel</t>
        </is>
      </c>
      <c r="D44" t="n">
        <v>16</v>
      </c>
      <c r="E44" t="inlineStr">
        <is>
          <t>MOD000015</t>
        </is>
      </c>
      <c r="F44" t="inlineStr">
        <is>
          <t>ManufacturerID</t>
        </is>
      </c>
      <c r="G44" t="inlineStr">
        <is>
          <t>MFG001</t>
        </is>
      </c>
      <c r="H44" t="inlineStr">
        <is>
          <t>tblManufacturerIDCrosswalk</t>
        </is>
      </c>
      <c r="I44" t="inlineStr"/>
      <c r="J44" t="inlineStr">
        <is>
          <t>No Supported Match</t>
        </is>
      </c>
      <c r="K44" t="inlineStr">
        <is>
          <t>None</t>
        </is>
      </c>
      <c r="L44" t="inlineStr">
        <is>
          <t>Crosswalk Pending</t>
        </is>
      </c>
      <c r="M44" t="inlineStr">
        <is>
          <t>Open</t>
        </is>
      </c>
      <c r="N44" t="inlineStr"/>
    </row>
    <row r="45">
      <c r="A45" t="inlineStr">
        <is>
          <t>FKEX00044</t>
        </is>
      </c>
      <c r="B45" t="inlineStr">
        <is>
          <t>15 LL_Device</t>
        </is>
      </c>
      <c r="C45" t="inlineStr">
        <is>
          <t>tblDeviceModel</t>
        </is>
      </c>
      <c r="D45" t="n">
        <v>16</v>
      </c>
      <c r="E45" t="inlineStr">
        <is>
          <t>MOD000015</t>
        </is>
      </c>
      <c r="F45" t="inlineStr">
        <is>
          <t>DeviceFamilyID</t>
        </is>
      </c>
      <c r="G45" t="inlineStr">
        <is>
          <t>DF001</t>
        </is>
      </c>
      <c r="H45" t="inlineStr">
        <is>
          <t>tblDeviceFamilyIDCrosswalk</t>
        </is>
      </c>
      <c r="I45" t="inlineStr"/>
      <c r="J45" t="inlineStr">
        <is>
          <t>tblDeviceModel</t>
        </is>
      </c>
      <c r="K45" t="inlineStr">
        <is>
          <t>Exact ID</t>
        </is>
      </c>
      <c r="L45" t="inlineStr">
        <is>
          <t>Crosswalk Pending</t>
        </is>
      </c>
      <c r="M45" t="inlineStr">
        <is>
          <t>Open</t>
        </is>
      </c>
      <c r="N45" t="inlineStr"/>
    </row>
    <row r="46">
      <c r="A46" t="inlineStr">
        <is>
          <t>FKEX00045</t>
        </is>
      </c>
      <c r="B46" t="inlineStr">
        <is>
          <t>15 LL_Device</t>
        </is>
      </c>
      <c r="C46" t="inlineStr">
        <is>
          <t>tblDeviceModel</t>
        </is>
      </c>
      <c r="D46" t="n">
        <v>16</v>
      </c>
      <c r="E46" t="inlineStr">
        <is>
          <t>MOD000015</t>
        </is>
      </c>
      <c r="F46" t="inlineStr">
        <is>
          <t>DeviceTypeID</t>
        </is>
      </c>
      <c r="G46" t="inlineStr">
        <is>
          <t>DT001</t>
        </is>
      </c>
      <c r="H46" t="inlineStr">
        <is>
          <t>tblDeviceTypeIDCrosswalk</t>
        </is>
      </c>
      <c r="I46" t="inlineStr"/>
      <c r="J46" t="inlineStr">
        <is>
          <t>No Supported Match</t>
        </is>
      </c>
      <c r="K46" t="inlineStr">
        <is>
          <t>None</t>
        </is>
      </c>
      <c r="L46" t="inlineStr">
        <is>
          <t>Crosswalk Pending</t>
        </is>
      </c>
      <c r="M46" t="inlineStr">
        <is>
          <t>Open</t>
        </is>
      </c>
      <c r="N46" t="inlineStr"/>
    </row>
    <row r="47">
      <c r="A47" t="inlineStr">
        <is>
          <t>FKEX00046</t>
        </is>
      </c>
      <c r="B47" t="inlineStr">
        <is>
          <t>15 LL_Device</t>
        </is>
      </c>
      <c r="C47" t="inlineStr">
        <is>
          <t>tblDeviceModel</t>
        </is>
      </c>
      <c r="D47" t="n">
        <v>17</v>
      </c>
      <c r="E47" t="inlineStr">
        <is>
          <t>MOD000016</t>
        </is>
      </c>
      <c r="F47" t="inlineStr">
        <is>
          <t>ManufacturerID</t>
        </is>
      </c>
      <c r="G47" t="inlineStr">
        <is>
          <t>MFG001</t>
        </is>
      </c>
      <c r="H47" t="inlineStr">
        <is>
          <t>tblManufacturerIDCrosswalk</t>
        </is>
      </c>
      <c r="I47" t="inlineStr"/>
      <c r="J47" t="inlineStr">
        <is>
          <t>No Supported Match</t>
        </is>
      </c>
      <c r="K47" t="inlineStr">
        <is>
          <t>None</t>
        </is>
      </c>
      <c r="L47" t="inlineStr">
        <is>
          <t>Crosswalk Pending</t>
        </is>
      </c>
      <c r="M47" t="inlineStr">
        <is>
          <t>Open</t>
        </is>
      </c>
      <c r="N47" t="inlineStr"/>
    </row>
    <row r="48">
      <c r="A48" t="inlineStr">
        <is>
          <t>FKEX00047</t>
        </is>
      </c>
      <c r="B48" t="inlineStr">
        <is>
          <t>15 LL_Device</t>
        </is>
      </c>
      <c r="C48" t="inlineStr">
        <is>
          <t>tblDeviceModel</t>
        </is>
      </c>
      <c r="D48" t="n">
        <v>17</v>
      </c>
      <c r="E48" t="inlineStr">
        <is>
          <t>MOD000016</t>
        </is>
      </c>
      <c r="F48" t="inlineStr">
        <is>
          <t>DeviceFamilyID</t>
        </is>
      </c>
      <c r="G48" t="inlineStr">
        <is>
          <t>DF001</t>
        </is>
      </c>
      <c r="H48" t="inlineStr">
        <is>
          <t>tblDeviceFamilyIDCrosswalk</t>
        </is>
      </c>
      <c r="I48" t="inlineStr"/>
      <c r="J48" t="inlineStr">
        <is>
          <t>tblDeviceModel</t>
        </is>
      </c>
      <c r="K48" t="inlineStr">
        <is>
          <t>Exact ID</t>
        </is>
      </c>
      <c r="L48" t="inlineStr">
        <is>
          <t>Crosswalk Pending</t>
        </is>
      </c>
      <c r="M48" t="inlineStr">
        <is>
          <t>Open</t>
        </is>
      </c>
      <c r="N48" t="inlineStr"/>
    </row>
    <row r="49">
      <c r="A49" t="inlineStr">
        <is>
          <t>FKEX00048</t>
        </is>
      </c>
      <c r="B49" t="inlineStr">
        <is>
          <t>15 LL_Device</t>
        </is>
      </c>
      <c r="C49" t="inlineStr">
        <is>
          <t>tblDeviceModel</t>
        </is>
      </c>
      <c r="D49" t="n">
        <v>17</v>
      </c>
      <c r="E49" t="inlineStr">
        <is>
          <t>MOD000016</t>
        </is>
      </c>
      <c r="F49" t="inlineStr">
        <is>
          <t>DeviceTypeID</t>
        </is>
      </c>
      <c r="G49" t="inlineStr">
        <is>
          <t>DT001</t>
        </is>
      </c>
      <c r="H49" t="inlineStr">
        <is>
          <t>tblDeviceTypeIDCrosswalk</t>
        </is>
      </c>
      <c r="I49" t="inlineStr"/>
      <c r="J49" t="inlineStr">
        <is>
          <t>No Supported Match</t>
        </is>
      </c>
      <c r="K49" t="inlineStr">
        <is>
          <t>None</t>
        </is>
      </c>
      <c r="L49" t="inlineStr">
        <is>
          <t>Crosswalk Pending</t>
        </is>
      </c>
      <c r="M49" t="inlineStr">
        <is>
          <t>Open</t>
        </is>
      </c>
      <c r="N49" t="inlineStr"/>
    </row>
    <row r="50">
      <c r="A50" t="inlineStr">
        <is>
          <t>FKEX00049</t>
        </is>
      </c>
      <c r="B50" t="inlineStr">
        <is>
          <t>15 LL_Device</t>
        </is>
      </c>
      <c r="C50" t="inlineStr">
        <is>
          <t>tblDeviceModel</t>
        </is>
      </c>
      <c r="D50" t="n">
        <v>18</v>
      </c>
      <c r="E50" t="inlineStr">
        <is>
          <t>MOD000017</t>
        </is>
      </c>
      <c r="F50" t="inlineStr">
        <is>
          <t>ManufacturerID</t>
        </is>
      </c>
      <c r="G50" t="inlineStr">
        <is>
          <t>MFG001</t>
        </is>
      </c>
      <c r="H50" t="inlineStr">
        <is>
          <t>tblManufacturerIDCrosswalk</t>
        </is>
      </c>
      <c r="I50" t="inlineStr"/>
      <c r="J50" t="inlineStr">
        <is>
          <t>No Supported Match</t>
        </is>
      </c>
      <c r="K50" t="inlineStr">
        <is>
          <t>None</t>
        </is>
      </c>
      <c r="L50" t="inlineStr">
        <is>
          <t>Crosswalk Pending</t>
        </is>
      </c>
      <c r="M50" t="inlineStr">
        <is>
          <t>Open</t>
        </is>
      </c>
      <c r="N50" t="inlineStr"/>
    </row>
    <row r="51">
      <c r="A51" t="inlineStr">
        <is>
          <t>FKEX00050</t>
        </is>
      </c>
      <c r="B51" t="inlineStr">
        <is>
          <t>15 LL_Device</t>
        </is>
      </c>
      <c r="C51" t="inlineStr">
        <is>
          <t>tblDeviceModel</t>
        </is>
      </c>
      <c r="D51" t="n">
        <v>18</v>
      </c>
      <c r="E51" t="inlineStr">
        <is>
          <t>MOD000017</t>
        </is>
      </c>
      <c r="F51" t="inlineStr">
        <is>
          <t>DeviceFamilyID</t>
        </is>
      </c>
      <c r="G51" t="inlineStr">
        <is>
          <t>DF001</t>
        </is>
      </c>
      <c r="H51" t="inlineStr">
        <is>
          <t>tblDeviceFamilyIDCrosswalk</t>
        </is>
      </c>
      <c r="I51" t="inlineStr"/>
      <c r="J51" t="inlineStr">
        <is>
          <t>tblDeviceModel</t>
        </is>
      </c>
      <c r="K51" t="inlineStr">
        <is>
          <t>Exact ID</t>
        </is>
      </c>
      <c r="L51" t="inlineStr">
        <is>
          <t>Crosswalk Pending</t>
        </is>
      </c>
      <c r="M51" t="inlineStr">
        <is>
          <t>Open</t>
        </is>
      </c>
      <c r="N51" t="inlineStr"/>
    </row>
    <row r="52">
      <c r="A52" t="inlineStr">
        <is>
          <t>FKEX00051</t>
        </is>
      </c>
      <c r="B52" t="inlineStr">
        <is>
          <t>15 LL_Device</t>
        </is>
      </c>
      <c r="C52" t="inlineStr">
        <is>
          <t>tblDeviceModel</t>
        </is>
      </c>
      <c r="D52" t="n">
        <v>18</v>
      </c>
      <c r="E52" t="inlineStr">
        <is>
          <t>MOD000017</t>
        </is>
      </c>
      <c r="F52" t="inlineStr">
        <is>
          <t>DeviceTypeID</t>
        </is>
      </c>
      <c r="G52" t="inlineStr">
        <is>
          <t>DT001</t>
        </is>
      </c>
      <c r="H52" t="inlineStr">
        <is>
          <t>tblDeviceTypeIDCrosswalk</t>
        </is>
      </c>
      <c r="I52" t="inlineStr"/>
      <c r="J52" t="inlineStr">
        <is>
          <t>No Supported Match</t>
        </is>
      </c>
      <c r="K52" t="inlineStr">
        <is>
          <t>None</t>
        </is>
      </c>
      <c r="L52" t="inlineStr">
        <is>
          <t>Crosswalk Pending</t>
        </is>
      </c>
      <c r="M52" t="inlineStr">
        <is>
          <t>Open</t>
        </is>
      </c>
      <c r="N52" t="inlineStr"/>
    </row>
    <row r="53">
      <c r="A53" t="inlineStr">
        <is>
          <t>FKEX00052</t>
        </is>
      </c>
      <c r="B53" t="inlineStr">
        <is>
          <t>15 LL_Device</t>
        </is>
      </c>
      <c r="C53" t="inlineStr">
        <is>
          <t>tblDeviceModel</t>
        </is>
      </c>
      <c r="D53" t="n">
        <v>19</v>
      </c>
      <c r="E53" t="inlineStr">
        <is>
          <t>MOD000018</t>
        </is>
      </c>
      <c r="F53" t="inlineStr">
        <is>
          <t>ManufacturerID</t>
        </is>
      </c>
      <c r="G53" t="inlineStr">
        <is>
          <t>MFG001</t>
        </is>
      </c>
      <c r="H53" t="inlineStr">
        <is>
          <t>tblManufacturerIDCrosswalk</t>
        </is>
      </c>
      <c r="I53" t="inlineStr"/>
      <c r="J53" t="inlineStr">
        <is>
          <t>No Supported Match</t>
        </is>
      </c>
      <c r="K53" t="inlineStr">
        <is>
          <t>None</t>
        </is>
      </c>
      <c r="L53" t="inlineStr">
        <is>
          <t>Crosswalk Pending</t>
        </is>
      </c>
      <c r="M53" t="inlineStr">
        <is>
          <t>Open</t>
        </is>
      </c>
      <c r="N53" t="inlineStr"/>
    </row>
    <row r="54">
      <c r="A54" t="inlineStr">
        <is>
          <t>FKEX00053</t>
        </is>
      </c>
      <c r="B54" t="inlineStr">
        <is>
          <t>15 LL_Device</t>
        </is>
      </c>
      <c r="C54" t="inlineStr">
        <is>
          <t>tblDeviceModel</t>
        </is>
      </c>
      <c r="D54" t="n">
        <v>19</v>
      </c>
      <c r="E54" t="inlineStr">
        <is>
          <t>MOD000018</t>
        </is>
      </c>
      <c r="F54" t="inlineStr">
        <is>
          <t>DeviceFamilyID</t>
        </is>
      </c>
      <c r="G54" t="inlineStr">
        <is>
          <t>DF001</t>
        </is>
      </c>
      <c r="H54" t="inlineStr">
        <is>
          <t>tblDeviceFamilyIDCrosswalk</t>
        </is>
      </c>
      <c r="I54" t="inlineStr"/>
      <c r="J54" t="inlineStr">
        <is>
          <t>tblDeviceModel</t>
        </is>
      </c>
      <c r="K54" t="inlineStr">
        <is>
          <t>Exact ID</t>
        </is>
      </c>
      <c r="L54" t="inlineStr">
        <is>
          <t>Crosswalk Pending</t>
        </is>
      </c>
      <c r="M54" t="inlineStr">
        <is>
          <t>Open</t>
        </is>
      </c>
      <c r="N54" t="inlineStr"/>
    </row>
    <row r="55">
      <c r="A55" t="inlineStr">
        <is>
          <t>FKEX00054</t>
        </is>
      </c>
      <c r="B55" t="inlineStr">
        <is>
          <t>15 LL_Device</t>
        </is>
      </c>
      <c r="C55" t="inlineStr">
        <is>
          <t>tblDeviceModel</t>
        </is>
      </c>
      <c r="D55" t="n">
        <v>19</v>
      </c>
      <c r="E55" t="inlineStr">
        <is>
          <t>MOD000018</t>
        </is>
      </c>
      <c r="F55" t="inlineStr">
        <is>
          <t>DeviceTypeID</t>
        </is>
      </c>
      <c r="G55" t="inlineStr">
        <is>
          <t>DT001</t>
        </is>
      </c>
      <c r="H55" t="inlineStr">
        <is>
          <t>tblDeviceTypeIDCrosswalk</t>
        </is>
      </c>
      <c r="I55" t="inlineStr"/>
      <c r="J55" t="inlineStr">
        <is>
          <t>No Supported Match</t>
        </is>
      </c>
      <c r="K55" t="inlineStr">
        <is>
          <t>None</t>
        </is>
      </c>
      <c r="L55" t="inlineStr">
        <is>
          <t>Crosswalk Pending</t>
        </is>
      </c>
      <c r="M55" t="inlineStr">
        <is>
          <t>Open</t>
        </is>
      </c>
      <c r="N55" t="inlineStr"/>
    </row>
    <row r="56">
      <c r="A56" t="inlineStr">
        <is>
          <t>FKEX00055</t>
        </is>
      </c>
      <c r="B56" t="inlineStr">
        <is>
          <t>15 LL_Device</t>
        </is>
      </c>
      <c r="C56" t="inlineStr">
        <is>
          <t>tblDeviceModel</t>
        </is>
      </c>
      <c r="D56" t="n">
        <v>20</v>
      </c>
      <c r="E56" t="inlineStr">
        <is>
          <t>MOD000019</t>
        </is>
      </c>
      <c r="F56" t="inlineStr">
        <is>
          <t>ManufacturerID</t>
        </is>
      </c>
      <c r="G56" t="inlineStr">
        <is>
          <t>MFG001</t>
        </is>
      </c>
      <c r="H56" t="inlineStr">
        <is>
          <t>tblManufacturerIDCrosswalk</t>
        </is>
      </c>
      <c r="I56" t="inlineStr"/>
      <c r="J56" t="inlineStr">
        <is>
          <t>No Supported Match</t>
        </is>
      </c>
      <c r="K56" t="inlineStr">
        <is>
          <t>None</t>
        </is>
      </c>
      <c r="L56" t="inlineStr">
        <is>
          <t>Crosswalk Pending</t>
        </is>
      </c>
      <c r="M56" t="inlineStr">
        <is>
          <t>Open</t>
        </is>
      </c>
      <c r="N56" t="inlineStr"/>
    </row>
    <row r="57">
      <c r="A57" t="inlineStr">
        <is>
          <t>FKEX00056</t>
        </is>
      </c>
      <c r="B57" t="inlineStr">
        <is>
          <t>15 LL_Device</t>
        </is>
      </c>
      <c r="C57" t="inlineStr">
        <is>
          <t>tblDeviceModel</t>
        </is>
      </c>
      <c r="D57" t="n">
        <v>20</v>
      </c>
      <c r="E57" t="inlineStr">
        <is>
          <t>MOD000019</t>
        </is>
      </c>
      <c r="F57" t="inlineStr">
        <is>
          <t>DeviceFamilyID</t>
        </is>
      </c>
      <c r="G57" t="inlineStr">
        <is>
          <t>DF001</t>
        </is>
      </c>
      <c r="H57" t="inlineStr">
        <is>
          <t>tblDeviceFamilyIDCrosswalk</t>
        </is>
      </c>
      <c r="I57" t="inlineStr"/>
      <c r="J57" t="inlineStr">
        <is>
          <t>tblDeviceModel</t>
        </is>
      </c>
      <c r="K57" t="inlineStr">
        <is>
          <t>Exact ID</t>
        </is>
      </c>
      <c r="L57" t="inlineStr">
        <is>
          <t>Crosswalk Pending</t>
        </is>
      </c>
      <c r="M57" t="inlineStr">
        <is>
          <t>Open</t>
        </is>
      </c>
      <c r="N57" t="inlineStr"/>
    </row>
    <row r="58">
      <c r="A58" t="inlineStr">
        <is>
          <t>FKEX00057</t>
        </is>
      </c>
      <c r="B58" t="inlineStr">
        <is>
          <t>15 LL_Device</t>
        </is>
      </c>
      <c r="C58" t="inlineStr">
        <is>
          <t>tblDeviceModel</t>
        </is>
      </c>
      <c r="D58" t="n">
        <v>20</v>
      </c>
      <c r="E58" t="inlineStr">
        <is>
          <t>MOD000019</t>
        </is>
      </c>
      <c r="F58" t="inlineStr">
        <is>
          <t>DeviceTypeID</t>
        </is>
      </c>
      <c r="G58" t="inlineStr">
        <is>
          <t>DT001</t>
        </is>
      </c>
      <c r="H58" t="inlineStr">
        <is>
          <t>tblDeviceTypeIDCrosswalk</t>
        </is>
      </c>
      <c r="I58" t="inlineStr"/>
      <c r="J58" t="inlineStr">
        <is>
          <t>No Supported Match</t>
        </is>
      </c>
      <c r="K58" t="inlineStr">
        <is>
          <t>None</t>
        </is>
      </c>
      <c r="L58" t="inlineStr">
        <is>
          <t>Crosswalk Pending</t>
        </is>
      </c>
      <c r="M58" t="inlineStr">
        <is>
          <t>Open</t>
        </is>
      </c>
      <c r="N58" t="inlineStr"/>
    </row>
    <row r="59">
      <c r="A59" t="inlineStr">
        <is>
          <t>FKEX00058</t>
        </is>
      </c>
      <c r="B59" t="inlineStr">
        <is>
          <t>15 LL_Device</t>
        </is>
      </c>
      <c r="C59" t="inlineStr">
        <is>
          <t>tblDeviceModel</t>
        </is>
      </c>
      <c r="D59" t="n">
        <v>21</v>
      </c>
      <c r="E59" t="inlineStr">
        <is>
          <t>MOD000020</t>
        </is>
      </c>
      <c r="F59" t="inlineStr">
        <is>
          <t>ManufacturerID</t>
        </is>
      </c>
      <c r="G59" t="inlineStr">
        <is>
          <t>MFG001</t>
        </is>
      </c>
      <c r="H59" t="inlineStr">
        <is>
          <t>tblManufacturerIDCrosswalk</t>
        </is>
      </c>
      <c r="I59" t="inlineStr"/>
      <c r="J59" t="inlineStr">
        <is>
          <t>No Supported Match</t>
        </is>
      </c>
      <c r="K59" t="inlineStr">
        <is>
          <t>None</t>
        </is>
      </c>
      <c r="L59" t="inlineStr">
        <is>
          <t>Crosswalk Pending</t>
        </is>
      </c>
      <c r="M59" t="inlineStr">
        <is>
          <t>Open</t>
        </is>
      </c>
      <c r="N59" t="inlineStr"/>
    </row>
    <row r="60">
      <c r="A60" t="inlineStr">
        <is>
          <t>FKEX00059</t>
        </is>
      </c>
      <c r="B60" t="inlineStr">
        <is>
          <t>15 LL_Device</t>
        </is>
      </c>
      <c r="C60" t="inlineStr">
        <is>
          <t>tblDeviceModel</t>
        </is>
      </c>
      <c r="D60" t="n">
        <v>21</v>
      </c>
      <c r="E60" t="inlineStr">
        <is>
          <t>MOD000020</t>
        </is>
      </c>
      <c r="F60" t="inlineStr">
        <is>
          <t>DeviceFamilyID</t>
        </is>
      </c>
      <c r="G60" t="inlineStr">
        <is>
          <t>DF001</t>
        </is>
      </c>
      <c r="H60" t="inlineStr">
        <is>
          <t>tblDeviceFamilyIDCrosswalk</t>
        </is>
      </c>
      <c r="I60" t="inlineStr"/>
      <c r="J60" t="inlineStr">
        <is>
          <t>tblDeviceModel</t>
        </is>
      </c>
      <c r="K60" t="inlineStr">
        <is>
          <t>Exact ID</t>
        </is>
      </c>
      <c r="L60" t="inlineStr">
        <is>
          <t>Crosswalk Pending</t>
        </is>
      </c>
      <c r="M60" t="inlineStr">
        <is>
          <t>Open</t>
        </is>
      </c>
      <c r="N60" t="inlineStr"/>
    </row>
    <row r="61">
      <c r="A61" t="inlineStr">
        <is>
          <t>FKEX00060</t>
        </is>
      </c>
      <c r="B61" t="inlineStr">
        <is>
          <t>15 LL_Device</t>
        </is>
      </c>
      <c r="C61" t="inlineStr">
        <is>
          <t>tblDeviceModel</t>
        </is>
      </c>
      <c r="D61" t="n">
        <v>21</v>
      </c>
      <c r="E61" t="inlineStr">
        <is>
          <t>MOD000020</t>
        </is>
      </c>
      <c r="F61" t="inlineStr">
        <is>
          <t>DeviceTypeID</t>
        </is>
      </c>
      <c r="G61" t="inlineStr">
        <is>
          <t>DT001</t>
        </is>
      </c>
      <c r="H61" t="inlineStr">
        <is>
          <t>tblDeviceTypeIDCrosswalk</t>
        </is>
      </c>
      <c r="I61" t="inlineStr"/>
      <c r="J61" t="inlineStr">
        <is>
          <t>No Supported Match</t>
        </is>
      </c>
      <c r="K61" t="inlineStr">
        <is>
          <t>None</t>
        </is>
      </c>
      <c r="L61" t="inlineStr">
        <is>
          <t>Crosswalk Pending</t>
        </is>
      </c>
      <c r="M61" t="inlineStr">
        <is>
          <t>Open</t>
        </is>
      </c>
      <c r="N61" t="inlineStr"/>
    </row>
    <row r="62">
      <c r="A62" t="inlineStr">
        <is>
          <t>FKEX00061</t>
        </is>
      </c>
      <c r="B62" t="inlineStr">
        <is>
          <t>15 LL_Device</t>
        </is>
      </c>
      <c r="C62" t="inlineStr">
        <is>
          <t>tblDeviceModel</t>
        </is>
      </c>
      <c r="D62" t="n">
        <v>22</v>
      </c>
      <c r="E62" t="inlineStr">
        <is>
          <t>MOD000021</t>
        </is>
      </c>
      <c r="F62" t="inlineStr">
        <is>
          <t>ManufacturerID</t>
        </is>
      </c>
      <c r="G62" t="inlineStr">
        <is>
          <t>MFG001</t>
        </is>
      </c>
      <c r="H62" t="inlineStr">
        <is>
          <t>tblManufacturerIDCrosswalk</t>
        </is>
      </c>
      <c r="I62" t="inlineStr"/>
      <c r="J62" t="inlineStr">
        <is>
          <t>No Supported Match</t>
        </is>
      </c>
      <c r="K62" t="inlineStr">
        <is>
          <t>None</t>
        </is>
      </c>
      <c r="L62" t="inlineStr">
        <is>
          <t>Crosswalk Pending</t>
        </is>
      </c>
      <c r="M62" t="inlineStr">
        <is>
          <t>Open</t>
        </is>
      </c>
      <c r="N62" t="inlineStr"/>
    </row>
    <row r="63">
      <c r="A63" t="inlineStr">
        <is>
          <t>FKEX00062</t>
        </is>
      </c>
      <c r="B63" t="inlineStr">
        <is>
          <t>15 LL_Device</t>
        </is>
      </c>
      <c r="C63" t="inlineStr">
        <is>
          <t>tblDeviceModel</t>
        </is>
      </c>
      <c r="D63" t="n">
        <v>22</v>
      </c>
      <c r="E63" t="inlineStr">
        <is>
          <t>MOD000021</t>
        </is>
      </c>
      <c r="F63" t="inlineStr">
        <is>
          <t>DeviceFamilyID</t>
        </is>
      </c>
      <c r="G63" t="inlineStr">
        <is>
          <t>DF001</t>
        </is>
      </c>
      <c r="H63" t="inlineStr">
        <is>
          <t>tblDeviceFamilyIDCrosswalk</t>
        </is>
      </c>
      <c r="I63" t="inlineStr"/>
      <c r="J63" t="inlineStr">
        <is>
          <t>tblDeviceModel</t>
        </is>
      </c>
      <c r="K63" t="inlineStr">
        <is>
          <t>Exact ID</t>
        </is>
      </c>
      <c r="L63" t="inlineStr">
        <is>
          <t>Crosswalk Pending</t>
        </is>
      </c>
      <c r="M63" t="inlineStr">
        <is>
          <t>Open</t>
        </is>
      </c>
      <c r="N63" t="inlineStr"/>
    </row>
    <row r="64">
      <c r="A64" t="inlineStr">
        <is>
          <t>FKEX00063</t>
        </is>
      </c>
      <c r="B64" t="inlineStr">
        <is>
          <t>15 LL_Device</t>
        </is>
      </c>
      <c r="C64" t="inlineStr">
        <is>
          <t>tblDeviceModel</t>
        </is>
      </c>
      <c r="D64" t="n">
        <v>22</v>
      </c>
      <c r="E64" t="inlineStr">
        <is>
          <t>MOD000021</t>
        </is>
      </c>
      <c r="F64" t="inlineStr">
        <is>
          <t>DeviceTypeID</t>
        </is>
      </c>
      <c r="G64" t="inlineStr">
        <is>
          <t>DT001</t>
        </is>
      </c>
      <c r="H64" t="inlineStr">
        <is>
          <t>tblDeviceTypeIDCrosswalk</t>
        </is>
      </c>
      <c r="I64" t="inlineStr"/>
      <c r="J64" t="inlineStr">
        <is>
          <t>No Supported Match</t>
        </is>
      </c>
      <c r="K64" t="inlineStr">
        <is>
          <t>None</t>
        </is>
      </c>
      <c r="L64" t="inlineStr">
        <is>
          <t>Crosswalk Pending</t>
        </is>
      </c>
      <c r="M64" t="inlineStr">
        <is>
          <t>Open</t>
        </is>
      </c>
      <c r="N64" t="inlineStr"/>
    </row>
    <row r="65">
      <c r="A65" t="inlineStr">
        <is>
          <t>FKEX00064</t>
        </is>
      </c>
      <c r="B65" t="inlineStr">
        <is>
          <t>15 LL_Device</t>
        </is>
      </c>
      <c r="C65" t="inlineStr">
        <is>
          <t>tblDeviceModel</t>
        </is>
      </c>
      <c r="D65" t="n">
        <v>23</v>
      </c>
      <c r="E65" t="inlineStr">
        <is>
          <t>MOD000022</t>
        </is>
      </c>
      <c r="F65" t="inlineStr">
        <is>
          <t>ManufacturerID</t>
        </is>
      </c>
      <c r="G65" t="inlineStr">
        <is>
          <t>MFG001</t>
        </is>
      </c>
      <c r="H65" t="inlineStr">
        <is>
          <t>tblManufacturerIDCrosswalk</t>
        </is>
      </c>
      <c r="I65" t="inlineStr"/>
      <c r="J65" t="inlineStr">
        <is>
          <t>No Supported Match</t>
        </is>
      </c>
      <c r="K65" t="inlineStr">
        <is>
          <t>None</t>
        </is>
      </c>
      <c r="L65" t="inlineStr">
        <is>
          <t>Crosswalk Pending</t>
        </is>
      </c>
      <c r="M65" t="inlineStr">
        <is>
          <t>Open</t>
        </is>
      </c>
      <c r="N65" t="inlineStr"/>
    </row>
    <row r="66">
      <c r="A66" t="inlineStr">
        <is>
          <t>FKEX00065</t>
        </is>
      </c>
      <c r="B66" t="inlineStr">
        <is>
          <t>15 LL_Device</t>
        </is>
      </c>
      <c r="C66" t="inlineStr">
        <is>
          <t>tblDeviceModel</t>
        </is>
      </c>
      <c r="D66" t="n">
        <v>23</v>
      </c>
      <c r="E66" t="inlineStr">
        <is>
          <t>MOD000022</t>
        </is>
      </c>
      <c r="F66" t="inlineStr">
        <is>
          <t>DeviceFamilyID</t>
        </is>
      </c>
      <c r="G66" t="inlineStr">
        <is>
          <t>DF001</t>
        </is>
      </c>
      <c r="H66" t="inlineStr">
        <is>
          <t>tblDeviceFamilyIDCrosswalk</t>
        </is>
      </c>
      <c r="I66" t="inlineStr"/>
      <c r="J66" t="inlineStr">
        <is>
          <t>tblDeviceModel</t>
        </is>
      </c>
      <c r="K66" t="inlineStr">
        <is>
          <t>Exact ID</t>
        </is>
      </c>
      <c r="L66" t="inlineStr">
        <is>
          <t>Crosswalk Pending</t>
        </is>
      </c>
      <c r="M66" t="inlineStr">
        <is>
          <t>Open</t>
        </is>
      </c>
      <c r="N66" t="inlineStr"/>
    </row>
    <row r="67">
      <c r="A67" t="inlineStr">
        <is>
          <t>FKEX00066</t>
        </is>
      </c>
      <c r="B67" t="inlineStr">
        <is>
          <t>15 LL_Device</t>
        </is>
      </c>
      <c r="C67" t="inlineStr">
        <is>
          <t>tblDeviceModel</t>
        </is>
      </c>
      <c r="D67" t="n">
        <v>23</v>
      </c>
      <c r="E67" t="inlineStr">
        <is>
          <t>MOD000022</t>
        </is>
      </c>
      <c r="F67" t="inlineStr">
        <is>
          <t>DeviceTypeID</t>
        </is>
      </c>
      <c r="G67" t="inlineStr">
        <is>
          <t>DT001</t>
        </is>
      </c>
      <c r="H67" t="inlineStr">
        <is>
          <t>tblDeviceTypeIDCrosswalk</t>
        </is>
      </c>
      <c r="I67" t="inlineStr"/>
      <c r="J67" t="inlineStr">
        <is>
          <t>No Supported Match</t>
        </is>
      </c>
      <c r="K67" t="inlineStr">
        <is>
          <t>None</t>
        </is>
      </c>
      <c r="L67" t="inlineStr">
        <is>
          <t>Crosswalk Pending</t>
        </is>
      </c>
      <c r="M67" t="inlineStr">
        <is>
          <t>Open</t>
        </is>
      </c>
      <c r="N67" t="inlineStr"/>
    </row>
    <row r="68">
      <c r="A68" t="inlineStr">
        <is>
          <t>FKEX00067</t>
        </is>
      </c>
      <c r="B68" t="inlineStr">
        <is>
          <t>15 LL_Device</t>
        </is>
      </c>
      <c r="C68" t="inlineStr">
        <is>
          <t>tblDeviceModel</t>
        </is>
      </c>
      <c r="D68" t="n">
        <v>24</v>
      </c>
      <c r="E68" t="inlineStr">
        <is>
          <t>MOD000023</t>
        </is>
      </c>
      <c r="F68" t="inlineStr">
        <is>
          <t>ManufacturerID</t>
        </is>
      </c>
      <c r="G68" t="inlineStr">
        <is>
          <t>MFG001</t>
        </is>
      </c>
      <c r="H68" t="inlineStr">
        <is>
          <t>tblManufacturerIDCrosswalk</t>
        </is>
      </c>
      <c r="I68" t="inlineStr"/>
      <c r="J68" t="inlineStr">
        <is>
          <t>No Supported Match</t>
        </is>
      </c>
      <c r="K68" t="inlineStr">
        <is>
          <t>None</t>
        </is>
      </c>
      <c r="L68" t="inlineStr">
        <is>
          <t>Crosswalk Pending</t>
        </is>
      </c>
      <c r="M68" t="inlineStr">
        <is>
          <t>Open</t>
        </is>
      </c>
      <c r="N68" t="inlineStr"/>
    </row>
    <row r="69">
      <c r="A69" t="inlineStr">
        <is>
          <t>FKEX00068</t>
        </is>
      </c>
      <c r="B69" t="inlineStr">
        <is>
          <t>15 LL_Device</t>
        </is>
      </c>
      <c r="C69" t="inlineStr">
        <is>
          <t>tblDeviceModel</t>
        </is>
      </c>
      <c r="D69" t="n">
        <v>24</v>
      </c>
      <c r="E69" t="inlineStr">
        <is>
          <t>MOD000023</t>
        </is>
      </c>
      <c r="F69" t="inlineStr">
        <is>
          <t>DeviceFamilyID</t>
        </is>
      </c>
      <c r="G69" t="inlineStr">
        <is>
          <t>DF001</t>
        </is>
      </c>
      <c r="H69" t="inlineStr">
        <is>
          <t>tblDeviceFamilyIDCrosswalk</t>
        </is>
      </c>
      <c r="I69" t="inlineStr"/>
      <c r="J69" t="inlineStr">
        <is>
          <t>tblDeviceModel</t>
        </is>
      </c>
      <c r="K69" t="inlineStr">
        <is>
          <t>Exact ID</t>
        </is>
      </c>
      <c r="L69" t="inlineStr">
        <is>
          <t>Crosswalk Pending</t>
        </is>
      </c>
      <c r="M69" t="inlineStr">
        <is>
          <t>Open</t>
        </is>
      </c>
      <c r="N69" t="inlineStr"/>
    </row>
    <row r="70">
      <c r="A70" t="inlineStr">
        <is>
          <t>FKEX00069</t>
        </is>
      </c>
      <c r="B70" t="inlineStr">
        <is>
          <t>15 LL_Device</t>
        </is>
      </c>
      <c r="C70" t="inlineStr">
        <is>
          <t>tblDeviceModel</t>
        </is>
      </c>
      <c r="D70" t="n">
        <v>24</v>
      </c>
      <c r="E70" t="inlineStr">
        <is>
          <t>MOD000023</t>
        </is>
      </c>
      <c r="F70" t="inlineStr">
        <is>
          <t>DeviceTypeID</t>
        </is>
      </c>
      <c r="G70" t="inlineStr">
        <is>
          <t>DT001</t>
        </is>
      </c>
      <c r="H70" t="inlineStr">
        <is>
          <t>tblDeviceTypeIDCrosswalk</t>
        </is>
      </c>
      <c r="I70" t="inlineStr"/>
      <c r="J70" t="inlineStr">
        <is>
          <t>No Supported Match</t>
        </is>
      </c>
      <c r="K70" t="inlineStr">
        <is>
          <t>None</t>
        </is>
      </c>
      <c r="L70" t="inlineStr">
        <is>
          <t>Crosswalk Pending</t>
        </is>
      </c>
      <c r="M70" t="inlineStr">
        <is>
          <t>Open</t>
        </is>
      </c>
      <c r="N70" t="inlineStr"/>
    </row>
    <row r="71">
      <c r="A71" t="inlineStr">
        <is>
          <t>FKEX00070</t>
        </is>
      </c>
      <c r="B71" t="inlineStr">
        <is>
          <t>15 LL_Device</t>
        </is>
      </c>
      <c r="C71" t="inlineStr">
        <is>
          <t>tblDeviceModel</t>
        </is>
      </c>
      <c r="D71" t="n">
        <v>25</v>
      </c>
      <c r="E71" t="inlineStr">
        <is>
          <t>MOD000024</t>
        </is>
      </c>
      <c r="F71" t="inlineStr">
        <is>
          <t>ManufacturerID</t>
        </is>
      </c>
      <c r="G71" t="inlineStr">
        <is>
          <t>MFG001</t>
        </is>
      </c>
      <c r="H71" t="inlineStr">
        <is>
          <t>tblManufacturerIDCrosswalk</t>
        </is>
      </c>
      <c r="I71" t="inlineStr"/>
      <c r="J71" t="inlineStr">
        <is>
          <t>No Supported Match</t>
        </is>
      </c>
      <c r="K71" t="inlineStr">
        <is>
          <t>None</t>
        </is>
      </c>
      <c r="L71" t="inlineStr">
        <is>
          <t>Crosswalk Pending</t>
        </is>
      </c>
      <c r="M71" t="inlineStr">
        <is>
          <t>Open</t>
        </is>
      </c>
      <c r="N71" t="inlineStr"/>
    </row>
    <row r="72">
      <c r="A72" t="inlineStr">
        <is>
          <t>FKEX00071</t>
        </is>
      </c>
      <c r="B72" t="inlineStr">
        <is>
          <t>15 LL_Device</t>
        </is>
      </c>
      <c r="C72" t="inlineStr">
        <is>
          <t>tblDeviceModel</t>
        </is>
      </c>
      <c r="D72" t="n">
        <v>25</v>
      </c>
      <c r="E72" t="inlineStr">
        <is>
          <t>MOD000024</t>
        </is>
      </c>
      <c r="F72" t="inlineStr">
        <is>
          <t>DeviceFamilyID</t>
        </is>
      </c>
      <c r="G72" t="inlineStr">
        <is>
          <t>DF001</t>
        </is>
      </c>
      <c r="H72" t="inlineStr">
        <is>
          <t>tblDeviceFamilyIDCrosswalk</t>
        </is>
      </c>
      <c r="I72" t="inlineStr"/>
      <c r="J72" t="inlineStr">
        <is>
          <t>tblDeviceModel</t>
        </is>
      </c>
      <c r="K72" t="inlineStr">
        <is>
          <t>Exact ID</t>
        </is>
      </c>
      <c r="L72" t="inlineStr">
        <is>
          <t>Crosswalk Pending</t>
        </is>
      </c>
      <c r="M72" t="inlineStr">
        <is>
          <t>Open</t>
        </is>
      </c>
      <c r="N72" t="inlineStr"/>
    </row>
    <row r="73">
      <c r="A73" t="inlineStr">
        <is>
          <t>FKEX00072</t>
        </is>
      </c>
      <c r="B73" t="inlineStr">
        <is>
          <t>15 LL_Device</t>
        </is>
      </c>
      <c r="C73" t="inlineStr">
        <is>
          <t>tblDeviceModel</t>
        </is>
      </c>
      <c r="D73" t="n">
        <v>25</v>
      </c>
      <c r="E73" t="inlineStr">
        <is>
          <t>MOD000024</t>
        </is>
      </c>
      <c r="F73" t="inlineStr">
        <is>
          <t>DeviceTypeID</t>
        </is>
      </c>
      <c r="G73" t="inlineStr">
        <is>
          <t>DT001</t>
        </is>
      </c>
      <c r="H73" t="inlineStr">
        <is>
          <t>tblDeviceTypeIDCrosswalk</t>
        </is>
      </c>
      <c r="I73" t="inlineStr"/>
      <c r="J73" t="inlineStr">
        <is>
          <t>No Supported Match</t>
        </is>
      </c>
      <c r="K73" t="inlineStr">
        <is>
          <t>None</t>
        </is>
      </c>
      <c r="L73" t="inlineStr">
        <is>
          <t>Crosswalk Pending</t>
        </is>
      </c>
      <c r="M73" t="inlineStr">
        <is>
          <t>Open</t>
        </is>
      </c>
      <c r="N73" t="inlineStr"/>
    </row>
    <row r="74">
      <c r="A74" t="inlineStr">
        <is>
          <t>FKEX00073</t>
        </is>
      </c>
      <c r="B74" t="inlineStr">
        <is>
          <t>15 LL_Device</t>
        </is>
      </c>
      <c r="C74" t="inlineStr">
        <is>
          <t>tblDeviceModel</t>
        </is>
      </c>
      <c r="D74" t="n">
        <v>26</v>
      </c>
      <c r="E74" t="inlineStr">
        <is>
          <t>MOD000025</t>
        </is>
      </c>
      <c r="F74" t="inlineStr">
        <is>
          <t>ManufacturerID</t>
        </is>
      </c>
      <c r="G74" t="inlineStr">
        <is>
          <t>MFG001</t>
        </is>
      </c>
      <c r="H74" t="inlineStr">
        <is>
          <t>tblManufacturerIDCrosswalk</t>
        </is>
      </c>
      <c r="I74" t="inlineStr"/>
      <c r="J74" t="inlineStr">
        <is>
          <t>No Supported Match</t>
        </is>
      </c>
      <c r="K74" t="inlineStr">
        <is>
          <t>None</t>
        </is>
      </c>
      <c r="L74" t="inlineStr">
        <is>
          <t>Crosswalk Pending</t>
        </is>
      </c>
      <c r="M74" t="inlineStr">
        <is>
          <t>Open</t>
        </is>
      </c>
      <c r="N74" t="inlineStr"/>
    </row>
    <row r="75">
      <c r="A75" t="inlineStr">
        <is>
          <t>FKEX00074</t>
        </is>
      </c>
      <c r="B75" t="inlineStr">
        <is>
          <t>15 LL_Device</t>
        </is>
      </c>
      <c r="C75" t="inlineStr">
        <is>
          <t>tblDeviceModel</t>
        </is>
      </c>
      <c r="D75" t="n">
        <v>26</v>
      </c>
      <c r="E75" t="inlineStr">
        <is>
          <t>MOD000025</t>
        </is>
      </c>
      <c r="F75" t="inlineStr">
        <is>
          <t>DeviceFamilyID</t>
        </is>
      </c>
      <c r="G75" t="inlineStr">
        <is>
          <t>DF001</t>
        </is>
      </c>
      <c r="H75" t="inlineStr">
        <is>
          <t>tblDeviceFamilyIDCrosswalk</t>
        </is>
      </c>
      <c r="I75" t="inlineStr"/>
      <c r="J75" t="inlineStr">
        <is>
          <t>tblDeviceModel</t>
        </is>
      </c>
      <c r="K75" t="inlineStr">
        <is>
          <t>Exact ID</t>
        </is>
      </c>
      <c r="L75" t="inlineStr">
        <is>
          <t>Crosswalk Pending</t>
        </is>
      </c>
      <c r="M75" t="inlineStr">
        <is>
          <t>Open</t>
        </is>
      </c>
      <c r="N75" t="inlineStr"/>
    </row>
    <row r="76">
      <c r="A76" t="inlineStr">
        <is>
          <t>FKEX00075</t>
        </is>
      </c>
      <c r="B76" t="inlineStr">
        <is>
          <t>15 LL_Device</t>
        </is>
      </c>
      <c r="C76" t="inlineStr">
        <is>
          <t>tblDeviceModel</t>
        </is>
      </c>
      <c r="D76" t="n">
        <v>26</v>
      </c>
      <c r="E76" t="inlineStr">
        <is>
          <t>MOD000025</t>
        </is>
      </c>
      <c r="F76" t="inlineStr">
        <is>
          <t>DeviceTypeID</t>
        </is>
      </c>
      <c r="G76" t="inlineStr">
        <is>
          <t>DT001</t>
        </is>
      </c>
      <c r="H76" t="inlineStr">
        <is>
          <t>tblDeviceTypeIDCrosswalk</t>
        </is>
      </c>
      <c r="I76" t="inlineStr"/>
      <c r="J76" t="inlineStr">
        <is>
          <t>No Supported Match</t>
        </is>
      </c>
      <c r="K76" t="inlineStr">
        <is>
          <t>None</t>
        </is>
      </c>
      <c r="L76" t="inlineStr">
        <is>
          <t>Crosswalk Pending</t>
        </is>
      </c>
      <c r="M76" t="inlineStr">
        <is>
          <t>Open</t>
        </is>
      </c>
      <c r="N76" t="inlineStr"/>
    </row>
    <row r="77">
      <c r="A77" t="inlineStr">
        <is>
          <t>FKEX00076</t>
        </is>
      </c>
      <c r="B77" t="inlineStr">
        <is>
          <t>15 LL_Device</t>
        </is>
      </c>
      <c r="C77" t="inlineStr">
        <is>
          <t>tblDeviceModel</t>
        </is>
      </c>
      <c r="D77" t="n">
        <v>27</v>
      </c>
      <c r="E77" t="inlineStr">
        <is>
          <t>MOD000026</t>
        </is>
      </c>
      <c r="F77" t="inlineStr">
        <is>
          <t>ManufacturerID</t>
        </is>
      </c>
      <c r="G77" t="inlineStr">
        <is>
          <t>MFG001</t>
        </is>
      </c>
      <c r="H77" t="inlineStr">
        <is>
          <t>tblManufacturerIDCrosswalk</t>
        </is>
      </c>
      <c r="I77" t="inlineStr"/>
      <c r="J77" t="inlineStr">
        <is>
          <t>No Supported Match</t>
        </is>
      </c>
      <c r="K77" t="inlineStr">
        <is>
          <t>None</t>
        </is>
      </c>
      <c r="L77" t="inlineStr">
        <is>
          <t>Crosswalk Pending</t>
        </is>
      </c>
      <c r="M77" t="inlineStr">
        <is>
          <t>Open</t>
        </is>
      </c>
      <c r="N77" t="inlineStr"/>
    </row>
    <row r="78">
      <c r="A78" t="inlineStr">
        <is>
          <t>FKEX00077</t>
        </is>
      </c>
      <c r="B78" t="inlineStr">
        <is>
          <t>15 LL_Device</t>
        </is>
      </c>
      <c r="C78" t="inlineStr">
        <is>
          <t>tblDeviceModel</t>
        </is>
      </c>
      <c r="D78" t="n">
        <v>27</v>
      </c>
      <c r="E78" t="inlineStr">
        <is>
          <t>MOD000026</t>
        </is>
      </c>
      <c r="F78" t="inlineStr">
        <is>
          <t>DeviceFamilyID</t>
        </is>
      </c>
      <c r="G78" t="inlineStr">
        <is>
          <t>DF001</t>
        </is>
      </c>
      <c r="H78" t="inlineStr">
        <is>
          <t>tblDeviceFamilyIDCrosswalk</t>
        </is>
      </c>
      <c r="I78" t="inlineStr"/>
      <c r="J78" t="inlineStr">
        <is>
          <t>tblDeviceModel</t>
        </is>
      </c>
      <c r="K78" t="inlineStr">
        <is>
          <t>Exact ID</t>
        </is>
      </c>
      <c r="L78" t="inlineStr">
        <is>
          <t>Crosswalk Pending</t>
        </is>
      </c>
      <c r="M78" t="inlineStr">
        <is>
          <t>Open</t>
        </is>
      </c>
      <c r="N78" t="inlineStr"/>
    </row>
    <row r="79">
      <c r="A79" t="inlineStr">
        <is>
          <t>FKEX00078</t>
        </is>
      </c>
      <c r="B79" t="inlineStr">
        <is>
          <t>15 LL_Device</t>
        </is>
      </c>
      <c r="C79" t="inlineStr">
        <is>
          <t>tblDeviceModel</t>
        </is>
      </c>
      <c r="D79" t="n">
        <v>27</v>
      </c>
      <c r="E79" t="inlineStr">
        <is>
          <t>MOD000026</t>
        </is>
      </c>
      <c r="F79" t="inlineStr">
        <is>
          <t>DeviceTypeID</t>
        </is>
      </c>
      <c r="G79" t="inlineStr">
        <is>
          <t>DT001</t>
        </is>
      </c>
      <c r="H79" t="inlineStr">
        <is>
          <t>tblDeviceTypeIDCrosswalk</t>
        </is>
      </c>
      <c r="I79" t="inlineStr"/>
      <c r="J79" t="inlineStr">
        <is>
          <t>No Supported Match</t>
        </is>
      </c>
      <c r="K79" t="inlineStr">
        <is>
          <t>None</t>
        </is>
      </c>
      <c r="L79" t="inlineStr">
        <is>
          <t>Crosswalk Pending</t>
        </is>
      </c>
      <c r="M79" t="inlineStr">
        <is>
          <t>Open</t>
        </is>
      </c>
      <c r="N79" t="inlineStr"/>
    </row>
    <row r="80">
      <c r="A80" t="inlineStr">
        <is>
          <t>FKEX00079</t>
        </is>
      </c>
      <c r="B80" t="inlineStr">
        <is>
          <t>15 LL_Device</t>
        </is>
      </c>
      <c r="C80" t="inlineStr">
        <is>
          <t>tblDeviceModel</t>
        </is>
      </c>
      <c r="D80" t="n">
        <v>28</v>
      </c>
      <c r="E80" t="inlineStr">
        <is>
          <t>MOD000027</t>
        </is>
      </c>
      <c r="F80" t="inlineStr">
        <is>
          <t>ManufacturerID</t>
        </is>
      </c>
      <c r="G80" t="inlineStr">
        <is>
          <t>MFG001</t>
        </is>
      </c>
      <c r="H80" t="inlineStr">
        <is>
          <t>tblManufacturerIDCrosswalk</t>
        </is>
      </c>
      <c r="I80" t="inlineStr"/>
      <c r="J80" t="inlineStr">
        <is>
          <t>No Supported Match</t>
        </is>
      </c>
      <c r="K80" t="inlineStr">
        <is>
          <t>None</t>
        </is>
      </c>
      <c r="L80" t="inlineStr">
        <is>
          <t>Crosswalk Pending</t>
        </is>
      </c>
      <c r="M80" t="inlineStr">
        <is>
          <t>Open</t>
        </is>
      </c>
      <c r="N80" t="inlineStr"/>
    </row>
    <row r="81">
      <c r="A81" t="inlineStr">
        <is>
          <t>FKEX00080</t>
        </is>
      </c>
      <c r="B81" t="inlineStr">
        <is>
          <t>15 LL_Device</t>
        </is>
      </c>
      <c r="C81" t="inlineStr">
        <is>
          <t>tblDeviceModel</t>
        </is>
      </c>
      <c r="D81" t="n">
        <v>28</v>
      </c>
      <c r="E81" t="inlineStr">
        <is>
          <t>MOD000027</t>
        </is>
      </c>
      <c r="F81" t="inlineStr">
        <is>
          <t>DeviceFamilyID</t>
        </is>
      </c>
      <c r="G81" t="inlineStr">
        <is>
          <t>DF001</t>
        </is>
      </c>
      <c r="H81" t="inlineStr">
        <is>
          <t>tblDeviceFamilyIDCrosswalk</t>
        </is>
      </c>
      <c r="I81" t="inlineStr"/>
      <c r="J81" t="inlineStr">
        <is>
          <t>tblDeviceModel</t>
        </is>
      </c>
      <c r="K81" t="inlineStr">
        <is>
          <t>Exact ID</t>
        </is>
      </c>
      <c r="L81" t="inlineStr">
        <is>
          <t>Crosswalk Pending</t>
        </is>
      </c>
      <c r="M81" t="inlineStr">
        <is>
          <t>Open</t>
        </is>
      </c>
      <c r="N81" t="inlineStr"/>
    </row>
    <row r="82">
      <c r="A82" t="inlineStr">
        <is>
          <t>FKEX00081</t>
        </is>
      </c>
      <c r="B82" t="inlineStr">
        <is>
          <t>15 LL_Device</t>
        </is>
      </c>
      <c r="C82" t="inlineStr">
        <is>
          <t>tblDeviceModel</t>
        </is>
      </c>
      <c r="D82" t="n">
        <v>28</v>
      </c>
      <c r="E82" t="inlineStr">
        <is>
          <t>MOD000027</t>
        </is>
      </c>
      <c r="F82" t="inlineStr">
        <is>
          <t>DeviceTypeID</t>
        </is>
      </c>
      <c r="G82" t="inlineStr">
        <is>
          <t>DT001</t>
        </is>
      </c>
      <c r="H82" t="inlineStr">
        <is>
          <t>tblDeviceTypeIDCrosswalk</t>
        </is>
      </c>
      <c r="I82" t="inlineStr"/>
      <c r="J82" t="inlineStr">
        <is>
          <t>No Supported Match</t>
        </is>
      </c>
      <c r="K82" t="inlineStr">
        <is>
          <t>None</t>
        </is>
      </c>
      <c r="L82" t="inlineStr">
        <is>
          <t>Crosswalk Pending</t>
        </is>
      </c>
      <c r="M82" t="inlineStr">
        <is>
          <t>Open</t>
        </is>
      </c>
      <c r="N82" t="inlineStr"/>
    </row>
    <row r="83">
      <c r="A83" t="inlineStr">
        <is>
          <t>FKEX00082</t>
        </is>
      </c>
      <c r="B83" t="inlineStr">
        <is>
          <t>15 LL_Device</t>
        </is>
      </c>
      <c r="C83" t="inlineStr">
        <is>
          <t>tblDeviceModel</t>
        </is>
      </c>
      <c r="D83" t="n">
        <v>29</v>
      </c>
      <c r="E83" t="inlineStr">
        <is>
          <t>MOD000028</t>
        </is>
      </c>
      <c r="F83" t="inlineStr">
        <is>
          <t>ManufacturerID</t>
        </is>
      </c>
      <c r="G83" t="inlineStr">
        <is>
          <t>MFG001</t>
        </is>
      </c>
      <c r="H83" t="inlineStr">
        <is>
          <t>tblManufacturerIDCrosswalk</t>
        </is>
      </c>
      <c r="I83" t="inlineStr"/>
      <c r="J83" t="inlineStr">
        <is>
          <t>No Supported Match</t>
        </is>
      </c>
      <c r="K83" t="inlineStr">
        <is>
          <t>None</t>
        </is>
      </c>
      <c r="L83" t="inlineStr">
        <is>
          <t>Crosswalk Pending</t>
        </is>
      </c>
      <c r="M83" t="inlineStr">
        <is>
          <t>Open</t>
        </is>
      </c>
      <c r="N83" t="inlineStr"/>
    </row>
    <row r="84">
      <c r="A84" t="inlineStr">
        <is>
          <t>FKEX00083</t>
        </is>
      </c>
      <c r="B84" t="inlineStr">
        <is>
          <t>15 LL_Device</t>
        </is>
      </c>
      <c r="C84" t="inlineStr">
        <is>
          <t>tblDeviceModel</t>
        </is>
      </c>
      <c r="D84" t="n">
        <v>29</v>
      </c>
      <c r="E84" t="inlineStr">
        <is>
          <t>MOD000028</t>
        </is>
      </c>
      <c r="F84" t="inlineStr">
        <is>
          <t>DeviceFamilyID</t>
        </is>
      </c>
      <c r="G84" t="inlineStr">
        <is>
          <t>DF001</t>
        </is>
      </c>
      <c r="H84" t="inlineStr">
        <is>
          <t>tblDeviceFamilyIDCrosswalk</t>
        </is>
      </c>
      <c r="I84" t="inlineStr"/>
      <c r="J84" t="inlineStr">
        <is>
          <t>tblDeviceModel</t>
        </is>
      </c>
      <c r="K84" t="inlineStr">
        <is>
          <t>Exact ID</t>
        </is>
      </c>
      <c r="L84" t="inlineStr">
        <is>
          <t>Crosswalk Pending</t>
        </is>
      </c>
      <c r="M84" t="inlineStr">
        <is>
          <t>Open</t>
        </is>
      </c>
      <c r="N84" t="inlineStr"/>
    </row>
    <row r="85">
      <c r="A85" t="inlineStr">
        <is>
          <t>FKEX00084</t>
        </is>
      </c>
      <c r="B85" t="inlineStr">
        <is>
          <t>15 LL_Device</t>
        </is>
      </c>
      <c r="C85" t="inlineStr">
        <is>
          <t>tblDeviceModel</t>
        </is>
      </c>
      <c r="D85" t="n">
        <v>29</v>
      </c>
      <c r="E85" t="inlineStr">
        <is>
          <t>MOD000028</t>
        </is>
      </c>
      <c r="F85" t="inlineStr">
        <is>
          <t>DeviceTypeID</t>
        </is>
      </c>
      <c r="G85" t="inlineStr">
        <is>
          <t>DT001</t>
        </is>
      </c>
      <c r="H85" t="inlineStr">
        <is>
          <t>tblDeviceTypeIDCrosswalk</t>
        </is>
      </c>
      <c r="I85" t="inlineStr"/>
      <c r="J85" t="inlineStr">
        <is>
          <t>No Supported Match</t>
        </is>
      </c>
      <c r="K85" t="inlineStr">
        <is>
          <t>None</t>
        </is>
      </c>
      <c r="L85" t="inlineStr">
        <is>
          <t>Crosswalk Pending</t>
        </is>
      </c>
      <c r="M85" t="inlineStr">
        <is>
          <t>Open</t>
        </is>
      </c>
      <c r="N85" t="inlineStr"/>
    </row>
    <row r="86">
      <c r="A86" t="inlineStr">
        <is>
          <t>FKEX00085</t>
        </is>
      </c>
      <c r="B86" t="inlineStr">
        <is>
          <t>15 LL_Device</t>
        </is>
      </c>
      <c r="C86" t="inlineStr">
        <is>
          <t>tblDeviceModel</t>
        </is>
      </c>
      <c r="D86" t="n">
        <v>30</v>
      </c>
      <c r="E86" t="inlineStr">
        <is>
          <t>MOD000029</t>
        </is>
      </c>
      <c r="F86" t="inlineStr">
        <is>
          <t>ManufacturerID</t>
        </is>
      </c>
      <c r="G86" t="inlineStr">
        <is>
          <t>MFG001</t>
        </is>
      </c>
      <c r="H86" t="inlineStr">
        <is>
          <t>tblManufacturerIDCrosswalk</t>
        </is>
      </c>
      <c r="I86" t="inlineStr"/>
      <c r="J86" t="inlineStr">
        <is>
          <t>No Supported Match</t>
        </is>
      </c>
      <c r="K86" t="inlineStr">
        <is>
          <t>None</t>
        </is>
      </c>
      <c r="L86" t="inlineStr">
        <is>
          <t>Crosswalk Pending</t>
        </is>
      </c>
      <c r="M86" t="inlineStr">
        <is>
          <t>Open</t>
        </is>
      </c>
      <c r="N86" t="inlineStr"/>
    </row>
    <row r="87">
      <c r="A87" t="inlineStr">
        <is>
          <t>FKEX00086</t>
        </is>
      </c>
      <c r="B87" t="inlineStr">
        <is>
          <t>15 LL_Device</t>
        </is>
      </c>
      <c r="C87" t="inlineStr">
        <is>
          <t>tblDeviceModel</t>
        </is>
      </c>
      <c r="D87" t="n">
        <v>30</v>
      </c>
      <c r="E87" t="inlineStr">
        <is>
          <t>MOD000029</t>
        </is>
      </c>
      <c r="F87" t="inlineStr">
        <is>
          <t>DeviceFamilyID</t>
        </is>
      </c>
      <c r="G87" t="inlineStr">
        <is>
          <t>DF001</t>
        </is>
      </c>
      <c r="H87" t="inlineStr">
        <is>
          <t>tblDeviceFamilyIDCrosswalk</t>
        </is>
      </c>
      <c r="I87" t="inlineStr"/>
      <c r="J87" t="inlineStr">
        <is>
          <t>tblDeviceModel</t>
        </is>
      </c>
      <c r="K87" t="inlineStr">
        <is>
          <t>Exact ID</t>
        </is>
      </c>
      <c r="L87" t="inlineStr">
        <is>
          <t>Crosswalk Pending</t>
        </is>
      </c>
      <c r="M87" t="inlineStr">
        <is>
          <t>Open</t>
        </is>
      </c>
      <c r="N87" t="inlineStr"/>
    </row>
    <row r="88">
      <c r="A88" t="inlineStr">
        <is>
          <t>FKEX00087</t>
        </is>
      </c>
      <c r="B88" t="inlineStr">
        <is>
          <t>15 LL_Device</t>
        </is>
      </c>
      <c r="C88" t="inlineStr">
        <is>
          <t>tblDeviceModel</t>
        </is>
      </c>
      <c r="D88" t="n">
        <v>30</v>
      </c>
      <c r="E88" t="inlineStr">
        <is>
          <t>MOD000029</t>
        </is>
      </c>
      <c r="F88" t="inlineStr">
        <is>
          <t>DeviceTypeID</t>
        </is>
      </c>
      <c r="G88" t="inlineStr">
        <is>
          <t>DT001</t>
        </is>
      </c>
      <c r="H88" t="inlineStr">
        <is>
          <t>tblDeviceTypeIDCrosswalk</t>
        </is>
      </c>
      <c r="I88" t="inlineStr"/>
      <c r="J88" t="inlineStr">
        <is>
          <t>No Supported Match</t>
        </is>
      </c>
      <c r="K88" t="inlineStr">
        <is>
          <t>None</t>
        </is>
      </c>
      <c r="L88" t="inlineStr">
        <is>
          <t>Crosswalk Pending</t>
        </is>
      </c>
      <c r="M88" t="inlineStr">
        <is>
          <t>Open</t>
        </is>
      </c>
      <c r="N88" t="inlineStr"/>
    </row>
    <row r="89">
      <c r="A89" t="inlineStr">
        <is>
          <t>FKEX00088</t>
        </is>
      </c>
      <c r="B89" t="inlineStr">
        <is>
          <t>15 LL_Device</t>
        </is>
      </c>
      <c r="C89" t="inlineStr">
        <is>
          <t>tblDeviceModel</t>
        </is>
      </c>
      <c r="D89" t="n">
        <v>31</v>
      </c>
      <c r="E89" t="inlineStr">
        <is>
          <t>MOD000030</t>
        </is>
      </c>
      <c r="F89" t="inlineStr">
        <is>
          <t>ManufacturerID</t>
        </is>
      </c>
      <c r="G89" t="inlineStr">
        <is>
          <t>MFG001</t>
        </is>
      </c>
      <c r="H89" t="inlineStr">
        <is>
          <t>tblManufacturerIDCrosswalk</t>
        </is>
      </c>
      <c r="I89" t="inlineStr"/>
      <c r="J89" t="inlineStr">
        <is>
          <t>No Supported Match</t>
        </is>
      </c>
      <c r="K89" t="inlineStr">
        <is>
          <t>None</t>
        </is>
      </c>
      <c r="L89" t="inlineStr">
        <is>
          <t>Crosswalk Pending</t>
        </is>
      </c>
      <c r="M89" t="inlineStr">
        <is>
          <t>Open</t>
        </is>
      </c>
      <c r="N89" t="inlineStr"/>
    </row>
    <row r="90">
      <c r="A90" t="inlineStr">
        <is>
          <t>FKEX00089</t>
        </is>
      </c>
      <c r="B90" t="inlineStr">
        <is>
          <t>15 LL_Device</t>
        </is>
      </c>
      <c r="C90" t="inlineStr">
        <is>
          <t>tblDeviceModel</t>
        </is>
      </c>
      <c r="D90" t="n">
        <v>31</v>
      </c>
      <c r="E90" t="inlineStr">
        <is>
          <t>MOD000030</t>
        </is>
      </c>
      <c r="F90" t="inlineStr">
        <is>
          <t>DeviceFamilyID</t>
        </is>
      </c>
      <c r="G90" t="inlineStr">
        <is>
          <t>DF001</t>
        </is>
      </c>
      <c r="H90" t="inlineStr">
        <is>
          <t>tblDeviceFamilyIDCrosswalk</t>
        </is>
      </c>
      <c r="I90" t="inlineStr"/>
      <c r="J90" t="inlineStr">
        <is>
          <t>tblDeviceModel</t>
        </is>
      </c>
      <c r="K90" t="inlineStr">
        <is>
          <t>Exact ID</t>
        </is>
      </c>
      <c r="L90" t="inlineStr">
        <is>
          <t>Crosswalk Pending</t>
        </is>
      </c>
      <c r="M90" t="inlineStr">
        <is>
          <t>Open</t>
        </is>
      </c>
      <c r="N90" t="inlineStr"/>
    </row>
    <row r="91">
      <c r="A91" t="inlineStr">
        <is>
          <t>FKEX00090</t>
        </is>
      </c>
      <c r="B91" t="inlineStr">
        <is>
          <t>15 LL_Device</t>
        </is>
      </c>
      <c r="C91" t="inlineStr">
        <is>
          <t>tblDeviceModel</t>
        </is>
      </c>
      <c r="D91" t="n">
        <v>31</v>
      </c>
      <c r="E91" t="inlineStr">
        <is>
          <t>MOD000030</t>
        </is>
      </c>
      <c r="F91" t="inlineStr">
        <is>
          <t>DeviceTypeID</t>
        </is>
      </c>
      <c r="G91" t="inlineStr">
        <is>
          <t>DT001</t>
        </is>
      </c>
      <c r="H91" t="inlineStr">
        <is>
          <t>tblDeviceTypeIDCrosswalk</t>
        </is>
      </c>
      <c r="I91" t="inlineStr"/>
      <c r="J91" t="inlineStr">
        <is>
          <t>No Supported Match</t>
        </is>
      </c>
      <c r="K91" t="inlineStr">
        <is>
          <t>None</t>
        </is>
      </c>
      <c r="L91" t="inlineStr">
        <is>
          <t>Crosswalk Pending</t>
        </is>
      </c>
      <c r="M91" t="inlineStr">
        <is>
          <t>Open</t>
        </is>
      </c>
      <c r="N91" t="inlineStr"/>
    </row>
    <row r="92">
      <c r="A92" t="inlineStr">
        <is>
          <t>FKEX00091</t>
        </is>
      </c>
      <c r="B92" t="inlineStr">
        <is>
          <t>15 LL_Device</t>
        </is>
      </c>
      <c r="C92" t="inlineStr">
        <is>
          <t>tblDeviceModel</t>
        </is>
      </c>
      <c r="D92" t="n">
        <v>32</v>
      </c>
      <c r="E92" t="inlineStr">
        <is>
          <t>MOD000031</t>
        </is>
      </c>
      <c r="F92" t="inlineStr">
        <is>
          <t>ManufacturerID</t>
        </is>
      </c>
      <c r="G92" t="inlineStr">
        <is>
          <t>MFG001</t>
        </is>
      </c>
      <c r="H92" t="inlineStr">
        <is>
          <t>tblManufacturerIDCrosswalk</t>
        </is>
      </c>
      <c r="I92" t="inlineStr"/>
      <c r="J92" t="inlineStr">
        <is>
          <t>No Supported Match</t>
        </is>
      </c>
      <c r="K92" t="inlineStr">
        <is>
          <t>None</t>
        </is>
      </c>
      <c r="L92" t="inlineStr">
        <is>
          <t>Crosswalk Pending</t>
        </is>
      </c>
      <c r="M92" t="inlineStr">
        <is>
          <t>Open</t>
        </is>
      </c>
      <c r="N92" t="inlineStr"/>
    </row>
    <row r="93">
      <c r="A93" t="inlineStr">
        <is>
          <t>FKEX00092</t>
        </is>
      </c>
      <c r="B93" t="inlineStr">
        <is>
          <t>15 LL_Device</t>
        </is>
      </c>
      <c r="C93" t="inlineStr">
        <is>
          <t>tblDeviceModel</t>
        </is>
      </c>
      <c r="D93" t="n">
        <v>32</v>
      </c>
      <c r="E93" t="inlineStr">
        <is>
          <t>MOD000031</t>
        </is>
      </c>
      <c r="F93" t="inlineStr">
        <is>
          <t>DeviceFamilyID</t>
        </is>
      </c>
      <c r="G93" t="inlineStr">
        <is>
          <t>DF001</t>
        </is>
      </c>
      <c r="H93" t="inlineStr">
        <is>
          <t>tblDeviceFamilyIDCrosswalk</t>
        </is>
      </c>
      <c r="I93" t="inlineStr"/>
      <c r="J93" t="inlineStr">
        <is>
          <t>tblDeviceModel</t>
        </is>
      </c>
      <c r="K93" t="inlineStr">
        <is>
          <t>Exact ID</t>
        </is>
      </c>
      <c r="L93" t="inlineStr">
        <is>
          <t>Crosswalk Pending</t>
        </is>
      </c>
      <c r="M93" t="inlineStr">
        <is>
          <t>Open</t>
        </is>
      </c>
      <c r="N93" t="inlineStr"/>
    </row>
    <row r="94">
      <c r="A94" t="inlineStr">
        <is>
          <t>FKEX00093</t>
        </is>
      </c>
      <c r="B94" t="inlineStr">
        <is>
          <t>15 LL_Device</t>
        </is>
      </c>
      <c r="C94" t="inlineStr">
        <is>
          <t>tblDeviceModel</t>
        </is>
      </c>
      <c r="D94" t="n">
        <v>32</v>
      </c>
      <c r="E94" t="inlineStr">
        <is>
          <t>MOD000031</t>
        </is>
      </c>
      <c r="F94" t="inlineStr">
        <is>
          <t>DeviceTypeID</t>
        </is>
      </c>
      <c r="G94" t="inlineStr">
        <is>
          <t>DT001</t>
        </is>
      </c>
      <c r="H94" t="inlineStr">
        <is>
          <t>tblDeviceTypeIDCrosswalk</t>
        </is>
      </c>
      <c r="I94" t="inlineStr"/>
      <c r="J94" t="inlineStr">
        <is>
          <t>No Supported Match</t>
        </is>
      </c>
      <c r="K94" t="inlineStr">
        <is>
          <t>None</t>
        </is>
      </c>
      <c r="L94" t="inlineStr">
        <is>
          <t>Crosswalk Pending</t>
        </is>
      </c>
      <c r="M94" t="inlineStr">
        <is>
          <t>Open</t>
        </is>
      </c>
      <c r="N94" t="inlineStr"/>
    </row>
    <row r="95">
      <c r="A95" t="inlineStr">
        <is>
          <t>FKEX00094</t>
        </is>
      </c>
      <c r="B95" t="inlineStr">
        <is>
          <t>15 LL_Device</t>
        </is>
      </c>
      <c r="C95" t="inlineStr">
        <is>
          <t>tblDeviceModel</t>
        </is>
      </c>
      <c r="D95" t="n">
        <v>33</v>
      </c>
      <c r="E95" t="inlineStr">
        <is>
          <t>MOD000032</t>
        </is>
      </c>
      <c r="F95" t="inlineStr">
        <is>
          <t>ManufacturerID</t>
        </is>
      </c>
      <c r="G95" t="inlineStr">
        <is>
          <t>MFG001</t>
        </is>
      </c>
      <c r="H95" t="inlineStr">
        <is>
          <t>tblManufacturerIDCrosswalk</t>
        </is>
      </c>
      <c r="I95" t="inlineStr"/>
      <c r="J95" t="inlineStr">
        <is>
          <t>No Supported Match</t>
        </is>
      </c>
      <c r="K95" t="inlineStr">
        <is>
          <t>None</t>
        </is>
      </c>
      <c r="L95" t="inlineStr">
        <is>
          <t>Crosswalk Pending</t>
        </is>
      </c>
      <c r="M95" t="inlineStr">
        <is>
          <t>Open</t>
        </is>
      </c>
      <c r="N95" t="inlineStr"/>
    </row>
    <row r="96">
      <c r="A96" t="inlineStr">
        <is>
          <t>FKEX00095</t>
        </is>
      </c>
      <c r="B96" t="inlineStr">
        <is>
          <t>15 LL_Device</t>
        </is>
      </c>
      <c r="C96" t="inlineStr">
        <is>
          <t>tblDeviceModel</t>
        </is>
      </c>
      <c r="D96" t="n">
        <v>33</v>
      </c>
      <c r="E96" t="inlineStr">
        <is>
          <t>MOD000032</t>
        </is>
      </c>
      <c r="F96" t="inlineStr">
        <is>
          <t>DeviceFamilyID</t>
        </is>
      </c>
      <c r="G96" t="inlineStr">
        <is>
          <t>DF001</t>
        </is>
      </c>
      <c r="H96" t="inlineStr">
        <is>
          <t>tblDeviceFamilyIDCrosswalk</t>
        </is>
      </c>
      <c r="I96" t="inlineStr"/>
      <c r="J96" t="inlineStr">
        <is>
          <t>tblDeviceModel</t>
        </is>
      </c>
      <c r="K96" t="inlineStr">
        <is>
          <t>Exact ID</t>
        </is>
      </c>
      <c r="L96" t="inlineStr">
        <is>
          <t>Crosswalk Pending</t>
        </is>
      </c>
      <c r="M96" t="inlineStr">
        <is>
          <t>Open</t>
        </is>
      </c>
      <c r="N96" t="inlineStr"/>
    </row>
    <row r="97">
      <c r="A97" t="inlineStr">
        <is>
          <t>FKEX00096</t>
        </is>
      </c>
      <c r="B97" t="inlineStr">
        <is>
          <t>15 LL_Device</t>
        </is>
      </c>
      <c r="C97" t="inlineStr">
        <is>
          <t>tblDeviceModel</t>
        </is>
      </c>
      <c r="D97" t="n">
        <v>33</v>
      </c>
      <c r="E97" t="inlineStr">
        <is>
          <t>MOD000032</t>
        </is>
      </c>
      <c r="F97" t="inlineStr">
        <is>
          <t>DeviceTypeID</t>
        </is>
      </c>
      <c r="G97" t="inlineStr">
        <is>
          <t>DT001</t>
        </is>
      </c>
      <c r="H97" t="inlineStr">
        <is>
          <t>tblDeviceTypeIDCrosswalk</t>
        </is>
      </c>
      <c r="I97" t="inlineStr"/>
      <c r="J97" t="inlineStr">
        <is>
          <t>No Supported Match</t>
        </is>
      </c>
      <c r="K97" t="inlineStr">
        <is>
          <t>None</t>
        </is>
      </c>
      <c r="L97" t="inlineStr">
        <is>
          <t>Crosswalk Pending</t>
        </is>
      </c>
      <c r="M97" t="inlineStr">
        <is>
          <t>Open</t>
        </is>
      </c>
      <c r="N97" t="inlineStr"/>
    </row>
    <row r="98">
      <c r="A98" t="inlineStr">
        <is>
          <t>FKEX00097</t>
        </is>
      </c>
      <c r="B98" t="inlineStr">
        <is>
          <t>15 LL_Device</t>
        </is>
      </c>
      <c r="C98" t="inlineStr">
        <is>
          <t>tblDeviceModel</t>
        </is>
      </c>
      <c r="D98" t="n">
        <v>34</v>
      </c>
      <c r="E98" t="inlineStr">
        <is>
          <t>MOD000033</t>
        </is>
      </c>
      <c r="F98" t="inlineStr">
        <is>
          <t>ManufacturerID</t>
        </is>
      </c>
      <c r="G98" t="inlineStr">
        <is>
          <t>MFG001</t>
        </is>
      </c>
      <c r="H98" t="inlineStr">
        <is>
          <t>tblManufacturerIDCrosswalk</t>
        </is>
      </c>
      <c r="I98" t="inlineStr"/>
      <c r="J98" t="inlineStr">
        <is>
          <t>No Supported Match</t>
        </is>
      </c>
      <c r="K98" t="inlineStr">
        <is>
          <t>None</t>
        </is>
      </c>
      <c r="L98" t="inlineStr">
        <is>
          <t>Crosswalk Pending</t>
        </is>
      </c>
      <c r="M98" t="inlineStr">
        <is>
          <t>Open</t>
        </is>
      </c>
      <c r="N98" t="inlineStr"/>
    </row>
    <row r="99">
      <c r="A99" t="inlineStr">
        <is>
          <t>FKEX00098</t>
        </is>
      </c>
      <c r="B99" t="inlineStr">
        <is>
          <t>15 LL_Device</t>
        </is>
      </c>
      <c r="C99" t="inlineStr">
        <is>
          <t>tblDeviceModel</t>
        </is>
      </c>
      <c r="D99" t="n">
        <v>34</v>
      </c>
      <c r="E99" t="inlineStr">
        <is>
          <t>MOD000033</t>
        </is>
      </c>
      <c r="F99" t="inlineStr">
        <is>
          <t>DeviceFamilyID</t>
        </is>
      </c>
      <c r="G99" t="inlineStr">
        <is>
          <t>DF001</t>
        </is>
      </c>
      <c r="H99" t="inlineStr">
        <is>
          <t>tblDeviceFamilyIDCrosswalk</t>
        </is>
      </c>
      <c r="I99" t="inlineStr"/>
      <c r="J99" t="inlineStr">
        <is>
          <t>tblDeviceModel</t>
        </is>
      </c>
      <c r="K99" t="inlineStr">
        <is>
          <t>Exact ID</t>
        </is>
      </c>
      <c r="L99" t="inlineStr">
        <is>
          <t>Crosswalk Pending</t>
        </is>
      </c>
      <c r="M99" t="inlineStr">
        <is>
          <t>Open</t>
        </is>
      </c>
      <c r="N99" t="inlineStr"/>
    </row>
    <row r="100">
      <c r="A100" t="inlineStr">
        <is>
          <t>FKEX00099</t>
        </is>
      </c>
      <c r="B100" t="inlineStr">
        <is>
          <t>15 LL_Device</t>
        </is>
      </c>
      <c r="C100" t="inlineStr">
        <is>
          <t>tblDeviceModel</t>
        </is>
      </c>
      <c r="D100" t="n">
        <v>34</v>
      </c>
      <c r="E100" t="inlineStr">
        <is>
          <t>MOD000033</t>
        </is>
      </c>
      <c r="F100" t="inlineStr">
        <is>
          <t>DeviceTypeID</t>
        </is>
      </c>
      <c r="G100" t="inlineStr">
        <is>
          <t>DT001</t>
        </is>
      </c>
      <c r="H100" t="inlineStr">
        <is>
          <t>tblDeviceTypeIDCrosswalk</t>
        </is>
      </c>
      <c r="I100" t="inlineStr"/>
      <c r="J100" t="inlineStr">
        <is>
          <t>No Supported Match</t>
        </is>
      </c>
      <c r="K100" t="inlineStr">
        <is>
          <t>None</t>
        </is>
      </c>
      <c r="L100" t="inlineStr">
        <is>
          <t>Crosswalk Pending</t>
        </is>
      </c>
      <c r="M100" t="inlineStr">
        <is>
          <t>Open</t>
        </is>
      </c>
      <c r="N100" t="inlineStr"/>
    </row>
    <row r="101">
      <c r="A101" t="inlineStr">
        <is>
          <t>FKEX00100</t>
        </is>
      </c>
      <c r="B101" t="inlineStr">
        <is>
          <t>15 LL_Device</t>
        </is>
      </c>
      <c r="C101" t="inlineStr">
        <is>
          <t>tblDeviceModel</t>
        </is>
      </c>
      <c r="D101" t="n">
        <v>35</v>
      </c>
      <c r="E101" t="inlineStr">
        <is>
          <t>MOD000034</t>
        </is>
      </c>
      <c r="F101" t="inlineStr">
        <is>
          <t>ManufacturerID</t>
        </is>
      </c>
      <c r="G101" t="inlineStr">
        <is>
          <t>MFG001</t>
        </is>
      </c>
      <c r="H101" t="inlineStr">
        <is>
          <t>tblManufacturerIDCrosswalk</t>
        </is>
      </c>
      <c r="I101" t="inlineStr"/>
      <c r="J101" t="inlineStr">
        <is>
          <t>No Supported Match</t>
        </is>
      </c>
      <c r="K101" t="inlineStr">
        <is>
          <t>None</t>
        </is>
      </c>
      <c r="L101" t="inlineStr">
        <is>
          <t>Crosswalk Pending</t>
        </is>
      </c>
      <c r="M101" t="inlineStr">
        <is>
          <t>Open</t>
        </is>
      </c>
      <c r="N101" t="inlineStr"/>
    </row>
    <row r="102">
      <c r="A102" t="inlineStr">
        <is>
          <t>FKEX00101</t>
        </is>
      </c>
      <c r="B102" t="inlineStr">
        <is>
          <t>15 LL_Device</t>
        </is>
      </c>
      <c r="C102" t="inlineStr">
        <is>
          <t>tblDeviceModel</t>
        </is>
      </c>
      <c r="D102" t="n">
        <v>35</v>
      </c>
      <c r="E102" t="inlineStr">
        <is>
          <t>MOD000034</t>
        </is>
      </c>
      <c r="F102" t="inlineStr">
        <is>
          <t>DeviceFamilyID</t>
        </is>
      </c>
      <c r="G102" t="inlineStr">
        <is>
          <t>DF001</t>
        </is>
      </c>
      <c r="H102" t="inlineStr">
        <is>
          <t>tblDeviceFamilyIDCrosswalk</t>
        </is>
      </c>
      <c r="I102" t="inlineStr"/>
      <c r="J102" t="inlineStr">
        <is>
          <t>tblDeviceModel</t>
        </is>
      </c>
      <c r="K102" t="inlineStr">
        <is>
          <t>Exact ID</t>
        </is>
      </c>
      <c r="L102" t="inlineStr">
        <is>
          <t>Crosswalk Pending</t>
        </is>
      </c>
      <c r="M102" t="inlineStr">
        <is>
          <t>Open</t>
        </is>
      </c>
      <c r="N102" t="inlineStr"/>
    </row>
    <row r="103">
      <c r="A103" t="inlineStr">
        <is>
          <t>FKEX00102</t>
        </is>
      </c>
      <c r="B103" t="inlineStr">
        <is>
          <t>15 LL_Device</t>
        </is>
      </c>
      <c r="C103" t="inlineStr">
        <is>
          <t>tblDeviceModel</t>
        </is>
      </c>
      <c r="D103" t="n">
        <v>35</v>
      </c>
      <c r="E103" t="inlineStr">
        <is>
          <t>MOD000034</t>
        </is>
      </c>
      <c r="F103" t="inlineStr">
        <is>
          <t>DeviceTypeID</t>
        </is>
      </c>
      <c r="G103" t="inlineStr">
        <is>
          <t>DT001</t>
        </is>
      </c>
      <c r="H103" t="inlineStr">
        <is>
          <t>tblDeviceTypeIDCrosswalk</t>
        </is>
      </c>
      <c r="I103" t="inlineStr"/>
      <c r="J103" t="inlineStr">
        <is>
          <t>No Supported Match</t>
        </is>
      </c>
      <c r="K103" t="inlineStr">
        <is>
          <t>None</t>
        </is>
      </c>
      <c r="L103" t="inlineStr">
        <is>
          <t>Crosswalk Pending</t>
        </is>
      </c>
      <c r="M103" t="inlineStr">
        <is>
          <t>Open</t>
        </is>
      </c>
      <c r="N103" t="inlineStr"/>
    </row>
    <row r="104">
      <c r="A104" t="inlineStr">
        <is>
          <t>FKEX00103</t>
        </is>
      </c>
      <c r="B104" t="inlineStr">
        <is>
          <t>15 LL_Device</t>
        </is>
      </c>
      <c r="C104" t="inlineStr">
        <is>
          <t>tblDeviceModel</t>
        </is>
      </c>
      <c r="D104" t="n">
        <v>36</v>
      </c>
      <c r="E104" t="inlineStr">
        <is>
          <t>MOD000035</t>
        </is>
      </c>
      <c r="F104" t="inlineStr">
        <is>
          <t>ManufacturerID</t>
        </is>
      </c>
      <c r="G104" t="inlineStr">
        <is>
          <t>MFG001</t>
        </is>
      </c>
      <c r="H104" t="inlineStr">
        <is>
          <t>tblManufacturerIDCrosswalk</t>
        </is>
      </c>
      <c r="I104" t="inlineStr"/>
      <c r="J104" t="inlineStr">
        <is>
          <t>No Supported Match</t>
        </is>
      </c>
      <c r="K104" t="inlineStr">
        <is>
          <t>None</t>
        </is>
      </c>
      <c r="L104" t="inlineStr">
        <is>
          <t>Crosswalk Pending</t>
        </is>
      </c>
      <c r="M104" t="inlineStr">
        <is>
          <t>Open</t>
        </is>
      </c>
      <c r="N104" t="inlineStr"/>
    </row>
    <row r="105">
      <c r="A105" t="inlineStr">
        <is>
          <t>FKEX00104</t>
        </is>
      </c>
      <c r="B105" t="inlineStr">
        <is>
          <t>15 LL_Device</t>
        </is>
      </c>
      <c r="C105" t="inlineStr">
        <is>
          <t>tblDeviceModel</t>
        </is>
      </c>
      <c r="D105" t="n">
        <v>36</v>
      </c>
      <c r="E105" t="inlineStr">
        <is>
          <t>MOD000035</t>
        </is>
      </c>
      <c r="F105" t="inlineStr">
        <is>
          <t>DeviceFamilyID</t>
        </is>
      </c>
      <c r="G105" t="inlineStr">
        <is>
          <t>DF001</t>
        </is>
      </c>
      <c r="H105" t="inlineStr">
        <is>
          <t>tblDeviceFamilyIDCrosswalk</t>
        </is>
      </c>
      <c r="I105" t="inlineStr"/>
      <c r="J105" t="inlineStr">
        <is>
          <t>tblDeviceModel</t>
        </is>
      </c>
      <c r="K105" t="inlineStr">
        <is>
          <t>Exact ID</t>
        </is>
      </c>
      <c r="L105" t="inlineStr">
        <is>
          <t>Crosswalk Pending</t>
        </is>
      </c>
      <c r="M105" t="inlineStr">
        <is>
          <t>Open</t>
        </is>
      </c>
      <c r="N105" t="inlineStr"/>
    </row>
    <row r="106">
      <c r="A106" t="inlineStr">
        <is>
          <t>FKEX00105</t>
        </is>
      </c>
      <c r="B106" t="inlineStr">
        <is>
          <t>15 LL_Device</t>
        </is>
      </c>
      <c r="C106" t="inlineStr">
        <is>
          <t>tblDeviceModel</t>
        </is>
      </c>
      <c r="D106" t="n">
        <v>36</v>
      </c>
      <c r="E106" t="inlineStr">
        <is>
          <t>MOD000035</t>
        </is>
      </c>
      <c r="F106" t="inlineStr">
        <is>
          <t>DeviceTypeID</t>
        </is>
      </c>
      <c r="G106" t="inlineStr">
        <is>
          <t>DT001</t>
        </is>
      </c>
      <c r="H106" t="inlineStr">
        <is>
          <t>tblDeviceTypeIDCrosswalk</t>
        </is>
      </c>
      <c r="I106" t="inlineStr"/>
      <c r="J106" t="inlineStr">
        <is>
          <t>No Supported Match</t>
        </is>
      </c>
      <c r="K106" t="inlineStr">
        <is>
          <t>None</t>
        </is>
      </c>
      <c r="L106" t="inlineStr">
        <is>
          <t>Crosswalk Pending</t>
        </is>
      </c>
      <c r="M106" t="inlineStr">
        <is>
          <t>Open</t>
        </is>
      </c>
      <c r="N106" t="inlineStr"/>
    </row>
    <row r="107">
      <c r="A107" t="inlineStr">
        <is>
          <t>FKEX00106</t>
        </is>
      </c>
      <c r="B107" t="inlineStr">
        <is>
          <t>15 LL_Device</t>
        </is>
      </c>
      <c r="C107" t="inlineStr">
        <is>
          <t>tblDeviceModel</t>
        </is>
      </c>
      <c r="D107" t="n">
        <v>37</v>
      </c>
      <c r="F107" t="inlineStr">
        <is>
          <t>ManufacturerID</t>
        </is>
      </c>
      <c r="H107" t="inlineStr">
        <is>
          <t>tblManufacturerIDCrosswalk</t>
        </is>
      </c>
      <c r="I107" t="inlineStr"/>
      <c r="J107" t="inlineStr">
        <is>
          <t>No Supported Match</t>
        </is>
      </c>
      <c r="K107" t="inlineStr">
        <is>
          <t>None</t>
        </is>
      </c>
      <c r="L107" t="inlineStr">
        <is>
          <t>Blank Foreign Key</t>
        </is>
      </c>
      <c r="M107" t="inlineStr">
        <is>
          <t>Open</t>
        </is>
      </c>
      <c r="N107" t="inlineStr"/>
    </row>
    <row r="108">
      <c r="A108" t="inlineStr">
        <is>
          <t>FKEX00107</t>
        </is>
      </c>
      <c r="B108" t="inlineStr">
        <is>
          <t>15 LL_Device</t>
        </is>
      </c>
      <c r="C108" t="inlineStr">
        <is>
          <t>tblDeviceModel</t>
        </is>
      </c>
      <c r="D108" t="n">
        <v>37</v>
      </c>
      <c r="F108" t="inlineStr">
        <is>
          <t>DeviceFamilyID</t>
        </is>
      </c>
      <c r="H108" t="inlineStr">
        <is>
          <t>tblDeviceFamilyIDCrosswalk</t>
        </is>
      </c>
      <c r="I108" t="inlineStr"/>
      <c r="J108" t="inlineStr">
        <is>
          <t>No Supported Match</t>
        </is>
      </c>
      <c r="K108" t="inlineStr">
        <is>
          <t>None</t>
        </is>
      </c>
      <c r="L108" t="inlineStr">
        <is>
          <t>Blank Foreign Key</t>
        </is>
      </c>
      <c r="M108" t="inlineStr">
        <is>
          <t>Open</t>
        </is>
      </c>
      <c r="N108" t="inlineStr"/>
    </row>
    <row r="109">
      <c r="A109" t="inlineStr">
        <is>
          <t>FKEX00108</t>
        </is>
      </c>
      <c r="B109" t="inlineStr">
        <is>
          <t>15 LL_Device</t>
        </is>
      </c>
      <c r="C109" t="inlineStr">
        <is>
          <t>tblDeviceModel</t>
        </is>
      </c>
      <c r="D109" t="n">
        <v>37</v>
      </c>
      <c r="F109" t="inlineStr">
        <is>
          <t>DeviceTypeID</t>
        </is>
      </c>
      <c r="H109" t="inlineStr">
        <is>
          <t>tblDeviceTypeIDCrosswalk</t>
        </is>
      </c>
      <c r="I109" t="inlineStr"/>
      <c r="J109" t="inlineStr">
        <is>
          <t>No Supported Match</t>
        </is>
      </c>
      <c r="K109" t="inlineStr">
        <is>
          <t>None</t>
        </is>
      </c>
      <c r="L109" t="inlineStr">
        <is>
          <t>Blank Foreign Key</t>
        </is>
      </c>
      <c r="M109" t="inlineStr">
        <is>
          <t>Open</t>
        </is>
      </c>
      <c r="N109" t="inlineStr"/>
    </row>
    <row r="110">
      <c r="A110" t="inlineStr">
        <is>
          <t>FKEX00109</t>
        </is>
      </c>
      <c r="B110" t="inlineStr">
        <is>
          <t>15 LL_Device</t>
        </is>
      </c>
      <c r="C110" t="inlineStr">
        <is>
          <t>tblDeviceModel</t>
        </is>
      </c>
      <c r="D110" t="n">
        <v>38</v>
      </c>
      <c r="F110" t="inlineStr">
        <is>
          <t>ManufacturerID</t>
        </is>
      </c>
      <c r="H110" t="inlineStr">
        <is>
          <t>tblManufacturerIDCrosswalk</t>
        </is>
      </c>
      <c r="I110" t="inlineStr"/>
      <c r="J110" t="inlineStr">
        <is>
          <t>No Supported Match</t>
        </is>
      </c>
      <c r="K110" t="inlineStr">
        <is>
          <t>None</t>
        </is>
      </c>
      <c r="L110" t="inlineStr">
        <is>
          <t>Blank Foreign Key</t>
        </is>
      </c>
      <c r="M110" t="inlineStr">
        <is>
          <t>Open</t>
        </is>
      </c>
      <c r="N110" t="inlineStr"/>
    </row>
    <row r="111">
      <c r="A111" t="inlineStr">
        <is>
          <t>FKEX00110</t>
        </is>
      </c>
      <c r="B111" t="inlineStr">
        <is>
          <t>15 LL_Device</t>
        </is>
      </c>
      <c r="C111" t="inlineStr">
        <is>
          <t>tblDeviceModel</t>
        </is>
      </c>
      <c r="D111" t="n">
        <v>38</v>
      </c>
      <c r="F111" t="inlineStr">
        <is>
          <t>DeviceFamilyID</t>
        </is>
      </c>
      <c r="H111" t="inlineStr">
        <is>
          <t>tblDeviceFamilyIDCrosswalk</t>
        </is>
      </c>
      <c r="I111" t="inlineStr"/>
      <c r="J111" t="inlineStr">
        <is>
          <t>No Supported Match</t>
        </is>
      </c>
      <c r="K111" t="inlineStr">
        <is>
          <t>None</t>
        </is>
      </c>
      <c r="L111" t="inlineStr">
        <is>
          <t>Blank Foreign Key</t>
        </is>
      </c>
      <c r="M111" t="inlineStr">
        <is>
          <t>Open</t>
        </is>
      </c>
      <c r="N111" t="inlineStr"/>
    </row>
    <row r="112">
      <c r="A112" t="inlineStr">
        <is>
          <t>FKEX00111</t>
        </is>
      </c>
      <c r="B112" t="inlineStr">
        <is>
          <t>15 LL_Device</t>
        </is>
      </c>
      <c r="C112" t="inlineStr">
        <is>
          <t>tblDeviceModel</t>
        </is>
      </c>
      <c r="D112" t="n">
        <v>38</v>
      </c>
      <c r="F112" t="inlineStr">
        <is>
          <t>DeviceTypeID</t>
        </is>
      </c>
      <c r="H112" t="inlineStr">
        <is>
          <t>tblDeviceTypeIDCrosswalk</t>
        </is>
      </c>
      <c r="I112" t="inlineStr"/>
      <c r="J112" t="inlineStr">
        <is>
          <t>No Supported Match</t>
        </is>
      </c>
      <c r="K112" t="inlineStr">
        <is>
          <t>None</t>
        </is>
      </c>
      <c r="L112" t="inlineStr">
        <is>
          <t>Blank Foreign Key</t>
        </is>
      </c>
      <c r="M112" t="inlineStr">
        <is>
          <t>Open</t>
        </is>
      </c>
      <c r="N112" t="inlineStr"/>
    </row>
    <row r="113">
      <c r="A113" t="inlineStr">
        <is>
          <t>FKEX00112</t>
        </is>
      </c>
      <c r="B113" t="inlineStr">
        <is>
          <t>15 LL_Device</t>
        </is>
      </c>
      <c r="C113" t="inlineStr">
        <is>
          <t>tblDeviceModel</t>
        </is>
      </c>
      <c r="D113" t="n">
        <v>39</v>
      </c>
      <c r="E113" t="inlineStr">
        <is>
          <t>MOD000036</t>
        </is>
      </c>
      <c r="F113" t="inlineStr">
        <is>
          <t>ManufacturerID</t>
        </is>
      </c>
      <c r="G113" t="inlineStr">
        <is>
          <t>MFG001</t>
        </is>
      </c>
      <c r="H113" t="inlineStr">
        <is>
          <t>tblManufacturerIDCrosswalk</t>
        </is>
      </c>
      <c r="I113" t="inlineStr"/>
      <c r="J113" t="inlineStr">
        <is>
          <t>No Supported Match</t>
        </is>
      </c>
      <c r="K113" t="inlineStr">
        <is>
          <t>None</t>
        </is>
      </c>
      <c r="L113" t="inlineStr">
        <is>
          <t>Crosswalk Pending</t>
        </is>
      </c>
      <c r="M113" t="inlineStr">
        <is>
          <t>Open</t>
        </is>
      </c>
      <c r="N113" t="inlineStr"/>
    </row>
    <row r="114">
      <c r="A114" t="inlineStr">
        <is>
          <t>FKEX00113</t>
        </is>
      </c>
      <c r="B114" t="inlineStr">
        <is>
          <t>15 LL_Device</t>
        </is>
      </c>
      <c r="C114" t="inlineStr">
        <is>
          <t>tblDeviceModel</t>
        </is>
      </c>
      <c r="D114" t="n">
        <v>39</v>
      </c>
      <c r="E114" t="inlineStr">
        <is>
          <t>MOD000036</t>
        </is>
      </c>
      <c r="F114" t="inlineStr">
        <is>
          <t>DeviceFamilyID</t>
        </is>
      </c>
      <c r="G114" t="inlineStr">
        <is>
          <t>DF001</t>
        </is>
      </c>
      <c r="H114" t="inlineStr">
        <is>
          <t>tblDeviceFamilyIDCrosswalk</t>
        </is>
      </c>
      <c r="I114" t="inlineStr"/>
      <c r="J114" t="inlineStr">
        <is>
          <t>tblDeviceModel</t>
        </is>
      </c>
      <c r="K114" t="inlineStr">
        <is>
          <t>Exact ID</t>
        </is>
      </c>
      <c r="L114" t="inlineStr">
        <is>
          <t>Crosswalk Pending</t>
        </is>
      </c>
      <c r="M114" t="inlineStr">
        <is>
          <t>Open</t>
        </is>
      </c>
      <c r="N114" t="inlineStr"/>
    </row>
    <row r="115">
      <c r="A115" t="inlineStr">
        <is>
          <t>FKEX00114</t>
        </is>
      </c>
      <c r="B115" t="inlineStr">
        <is>
          <t>15 LL_Device</t>
        </is>
      </c>
      <c r="C115" t="inlineStr">
        <is>
          <t>tblDeviceModel</t>
        </is>
      </c>
      <c r="D115" t="n">
        <v>39</v>
      </c>
      <c r="E115" t="inlineStr">
        <is>
          <t>MOD000036</t>
        </is>
      </c>
      <c r="F115" t="inlineStr">
        <is>
          <t>DeviceTypeID</t>
        </is>
      </c>
      <c r="G115" t="inlineStr">
        <is>
          <t>DT001</t>
        </is>
      </c>
      <c r="H115" t="inlineStr">
        <is>
          <t>tblDeviceTypeIDCrosswalk</t>
        </is>
      </c>
      <c r="I115" t="inlineStr"/>
      <c r="J115" t="inlineStr">
        <is>
          <t>No Supported Match</t>
        </is>
      </c>
      <c r="K115" t="inlineStr">
        <is>
          <t>None</t>
        </is>
      </c>
      <c r="L115" t="inlineStr">
        <is>
          <t>Crosswalk Pending</t>
        </is>
      </c>
      <c r="M115" t="inlineStr">
        <is>
          <t>Open</t>
        </is>
      </c>
      <c r="N115" t="inlineStr"/>
    </row>
    <row r="116">
      <c r="A116" t="inlineStr">
        <is>
          <t>FKEX00115</t>
        </is>
      </c>
      <c r="B116" t="inlineStr">
        <is>
          <t>15 LL_Device</t>
        </is>
      </c>
      <c r="C116" t="inlineStr">
        <is>
          <t>tblDeviceModel</t>
        </is>
      </c>
      <c r="D116" t="n">
        <v>40</v>
      </c>
      <c r="E116" t="inlineStr">
        <is>
          <t>MOD000037</t>
        </is>
      </c>
      <c r="F116" t="inlineStr">
        <is>
          <t>ManufacturerID</t>
        </is>
      </c>
      <c r="G116" t="inlineStr">
        <is>
          <t>MFG001</t>
        </is>
      </c>
      <c r="H116" t="inlineStr">
        <is>
          <t>tblManufacturerIDCrosswalk</t>
        </is>
      </c>
      <c r="I116" t="inlineStr"/>
      <c r="J116" t="inlineStr">
        <is>
          <t>No Supported Match</t>
        </is>
      </c>
      <c r="K116" t="inlineStr">
        <is>
          <t>None</t>
        </is>
      </c>
      <c r="L116" t="inlineStr">
        <is>
          <t>Crosswalk Pending</t>
        </is>
      </c>
      <c r="M116" t="inlineStr">
        <is>
          <t>Open</t>
        </is>
      </c>
      <c r="N116" t="inlineStr"/>
    </row>
    <row r="117">
      <c r="A117" t="inlineStr">
        <is>
          <t>FKEX00116</t>
        </is>
      </c>
      <c r="B117" t="inlineStr">
        <is>
          <t>15 LL_Device</t>
        </is>
      </c>
      <c r="C117" t="inlineStr">
        <is>
          <t>tblDeviceModel</t>
        </is>
      </c>
      <c r="D117" t="n">
        <v>40</v>
      </c>
      <c r="E117" t="inlineStr">
        <is>
          <t>MOD000037</t>
        </is>
      </c>
      <c r="F117" t="inlineStr">
        <is>
          <t>DeviceFamilyID</t>
        </is>
      </c>
      <c r="G117" t="inlineStr">
        <is>
          <t>DF001</t>
        </is>
      </c>
      <c r="H117" t="inlineStr">
        <is>
          <t>tblDeviceFamilyIDCrosswalk</t>
        </is>
      </c>
      <c r="I117" t="inlineStr"/>
      <c r="J117" t="inlineStr">
        <is>
          <t>tblDeviceModel</t>
        </is>
      </c>
      <c r="K117" t="inlineStr">
        <is>
          <t>Exact ID</t>
        </is>
      </c>
      <c r="L117" t="inlineStr">
        <is>
          <t>Crosswalk Pending</t>
        </is>
      </c>
      <c r="M117" t="inlineStr">
        <is>
          <t>Open</t>
        </is>
      </c>
      <c r="N117" t="inlineStr"/>
    </row>
    <row r="118">
      <c r="A118" t="inlineStr">
        <is>
          <t>FKEX00117</t>
        </is>
      </c>
      <c r="B118" t="inlineStr">
        <is>
          <t>15 LL_Device</t>
        </is>
      </c>
      <c r="C118" t="inlineStr">
        <is>
          <t>tblDeviceModel</t>
        </is>
      </c>
      <c r="D118" t="n">
        <v>40</v>
      </c>
      <c r="E118" t="inlineStr">
        <is>
          <t>MOD000037</t>
        </is>
      </c>
      <c r="F118" t="inlineStr">
        <is>
          <t>DeviceTypeID</t>
        </is>
      </c>
      <c r="G118" t="inlineStr">
        <is>
          <t>DT001</t>
        </is>
      </c>
      <c r="H118" t="inlineStr">
        <is>
          <t>tblDeviceTypeIDCrosswalk</t>
        </is>
      </c>
      <c r="I118" t="inlineStr"/>
      <c r="J118" t="inlineStr">
        <is>
          <t>No Supported Match</t>
        </is>
      </c>
      <c r="K118" t="inlineStr">
        <is>
          <t>None</t>
        </is>
      </c>
      <c r="L118" t="inlineStr">
        <is>
          <t>Crosswalk Pending</t>
        </is>
      </c>
      <c r="M118" t="inlineStr">
        <is>
          <t>Open</t>
        </is>
      </c>
      <c r="N118" t="inlineStr"/>
    </row>
    <row r="119">
      <c r="A119" t="inlineStr">
        <is>
          <t>FKEX00118</t>
        </is>
      </c>
      <c r="B119" t="inlineStr">
        <is>
          <t>15 LL_Device</t>
        </is>
      </c>
      <c r="C119" t="inlineStr">
        <is>
          <t>tblDeviceModel</t>
        </is>
      </c>
      <c r="D119" t="n">
        <v>41</v>
      </c>
      <c r="E119" t="inlineStr">
        <is>
          <t>MOD000038</t>
        </is>
      </c>
      <c r="F119" t="inlineStr">
        <is>
          <t>ManufacturerID</t>
        </is>
      </c>
      <c r="G119" t="inlineStr">
        <is>
          <t>MFG001</t>
        </is>
      </c>
      <c r="H119" t="inlineStr">
        <is>
          <t>tblManufacturerIDCrosswalk</t>
        </is>
      </c>
      <c r="I119" t="inlineStr"/>
      <c r="J119" t="inlineStr">
        <is>
          <t>No Supported Match</t>
        </is>
      </c>
      <c r="K119" t="inlineStr">
        <is>
          <t>None</t>
        </is>
      </c>
      <c r="L119" t="inlineStr">
        <is>
          <t>Crosswalk Pending</t>
        </is>
      </c>
      <c r="M119" t="inlineStr">
        <is>
          <t>Open</t>
        </is>
      </c>
      <c r="N119" t="inlineStr"/>
    </row>
    <row r="120">
      <c r="A120" t="inlineStr">
        <is>
          <t>FKEX00119</t>
        </is>
      </c>
      <c r="B120" t="inlineStr">
        <is>
          <t>15 LL_Device</t>
        </is>
      </c>
      <c r="C120" t="inlineStr">
        <is>
          <t>tblDeviceModel</t>
        </is>
      </c>
      <c r="D120" t="n">
        <v>41</v>
      </c>
      <c r="E120" t="inlineStr">
        <is>
          <t>MOD000038</t>
        </is>
      </c>
      <c r="F120" t="inlineStr">
        <is>
          <t>DeviceFamilyID</t>
        </is>
      </c>
      <c r="G120" t="inlineStr">
        <is>
          <t>DF001</t>
        </is>
      </c>
      <c r="H120" t="inlineStr">
        <is>
          <t>tblDeviceFamilyIDCrosswalk</t>
        </is>
      </c>
      <c r="I120" t="inlineStr"/>
      <c r="J120" t="inlineStr">
        <is>
          <t>tblDeviceModel</t>
        </is>
      </c>
      <c r="K120" t="inlineStr">
        <is>
          <t>Exact ID</t>
        </is>
      </c>
      <c r="L120" t="inlineStr">
        <is>
          <t>Crosswalk Pending</t>
        </is>
      </c>
      <c r="M120" t="inlineStr">
        <is>
          <t>Open</t>
        </is>
      </c>
      <c r="N120" t="inlineStr"/>
    </row>
    <row r="121">
      <c r="A121" t="inlineStr">
        <is>
          <t>FKEX00120</t>
        </is>
      </c>
      <c r="B121" t="inlineStr">
        <is>
          <t>15 LL_Device</t>
        </is>
      </c>
      <c r="C121" t="inlineStr">
        <is>
          <t>tblDeviceModel</t>
        </is>
      </c>
      <c r="D121" t="n">
        <v>41</v>
      </c>
      <c r="E121" t="inlineStr">
        <is>
          <t>MOD000038</t>
        </is>
      </c>
      <c r="F121" t="inlineStr">
        <is>
          <t>DeviceTypeID</t>
        </is>
      </c>
      <c r="G121" t="inlineStr">
        <is>
          <t>DT001</t>
        </is>
      </c>
      <c r="H121" t="inlineStr">
        <is>
          <t>tblDeviceTypeIDCrosswalk</t>
        </is>
      </c>
      <c r="I121" t="inlineStr"/>
      <c r="J121" t="inlineStr">
        <is>
          <t>No Supported Match</t>
        </is>
      </c>
      <c r="K121" t="inlineStr">
        <is>
          <t>None</t>
        </is>
      </c>
      <c r="L121" t="inlineStr">
        <is>
          <t>Crosswalk Pending</t>
        </is>
      </c>
      <c r="M121" t="inlineStr">
        <is>
          <t>Open</t>
        </is>
      </c>
      <c r="N121" t="inlineStr"/>
    </row>
    <row r="122">
      <c r="A122" t="inlineStr">
        <is>
          <t>FKEX00121</t>
        </is>
      </c>
      <c r="B122" t="inlineStr">
        <is>
          <t>15 LL_Device</t>
        </is>
      </c>
      <c r="C122" t="inlineStr">
        <is>
          <t>tblDeviceModel</t>
        </is>
      </c>
      <c r="D122" t="n">
        <v>42</v>
      </c>
      <c r="E122" t="inlineStr">
        <is>
          <t>MOD000039</t>
        </is>
      </c>
      <c r="F122" t="inlineStr">
        <is>
          <t>ManufacturerID</t>
        </is>
      </c>
      <c r="G122" t="inlineStr">
        <is>
          <t>MFG001</t>
        </is>
      </c>
      <c r="H122" t="inlineStr">
        <is>
          <t>tblManufacturerIDCrosswalk</t>
        </is>
      </c>
      <c r="I122" t="inlineStr"/>
      <c r="J122" t="inlineStr">
        <is>
          <t>No Supported Match</t>
        </is>
      </c>
      <c r="K122" t="inlineStr">
        <is>
          <t>None</t>
        </is>
      </c>
      <c r="L122" t="inlineStr">
        <is>
          <t>Crosswalk Pending</t>
        </is>
      </c>
      <c r="M122" t="inlineStr">
        <is>
          <t>Open</t>
        </is>
      </c>
      <c r="N122" t="inlineStr"/>
    </row>
    <row r="123">
      <c r="A123" t="inlineStr">
        <is>
          <t>FKEX00122</t>
        </is>
      </c>
      <c r="B123" t="inlineStr">
        <is>
          <t>15 LL_Device</t>
        </is>
      </c>
      <c r="C123" t="inlineStr">
        <is>
          <t>tblDeviceModel</t>
        </is>
      </c>
      <c r="D123" t="n">
        <v>42</v>
      </c>
      <c r="E123" t="inlineStr">
        <is>
          <t>MOD000039</t>
        </is>
      </c>
      <c r="F123" t="inlineStr">
        <is>
          <t>DeviceFamilyID</t>
        </is>
      </c>
      <c r="G123" t="inlineStr">
        <is>
          <t>DF001</t>
        </is>
      </c>
      <c r="H123" t="inlineStr">
        <is>
          <t>tblDeviceFamilyIDCrosswalk</t>
        </is>
      </c>
      <c r="I123" t="inlineStr"/>
      <c r="J123" t="inlineStr">
        <is>
          <t>tblDeviceModel</t>
        </is>
      </c>
      <c r="K123" t="inlineStr">
        <is>
          <t>Exact ID</t>
        </is>
      </c>
      <c r="L123" t="inlineStr">
        <is>
          <t>Crosswalk Pending</t>
        </is>
      </c>
      <c r="M123" t="inlineStr">
        <is>
          <t>Open</t>
        </is>
      </c>
      <c r="N123" t="inlineStr"/>
    </row>
    <row r="124">
      <c r="A124" t="inlineStr">
        <is>
          <t>FKEX00123</t>
        </is>
      </c>
      <c r="B124" t="inlineStr">
        <is>
          <t>15 LL_Device</t>
        </is>
      </c>
      <c r="C124" t="inlineStr">
        <is>
          <t>tblDeviceModel</t>
        </is>
      </c>
      <c r="D124" t="n">
        <v>42</v>
      </c>
      <c r="E124" t="inlineStr">
        <is>
          <t>MOD000039</t>
        </is>
      </c>
      <c r="F124" t="inlineStr">
        <is>
          <t>DeviceTypeID</t>
        </is>
      </c>
      <c r="G124" t="inlineStr">
        <is>
          <t>DT001</t>
        </is>
      </c>
      <c r="H124" t="inlineStr">
        <is>
          <t>tblDeviceTypeIDCrosswalk</t>
        </is>
      </c>
      <c r="I124" t="inlineStr"/>
      <c r="J124" t="inlineStr">
        <is>
          <t>No Supported Match</t>
        </is>
      </c>
      <c r="K124" t="inlineStr">
        <is>
          <t>None</t>
        </is>
      </c>
      <c r="L124" t="inlineStr">
        <is>
          <t>Crosswalk Pending</t>
        </is>
      </c>
      <c r="M124" t="inlineStr">
        <is>
          <t>Open</t>
        </is>
      </c>
      <c r="N124" t="inlineStr"/>
    </row>
    <row r="125">
      <c r="A125" t="inlineStr">
        <is>
          <t>FKEX00124</t>
        </is>
      </c>
      <c r="B125" t="inlineStr">
        <is>
          <t>15 LL_Device</t>
        </is>
      </c>
      <c r="C125" t="inlineStr">
        <is>
          <t>tblDeviceModel</t>
        </is>
      </c>
      <c r="D125" t="n">
        <v>43</v>
      </c>
      <c r="E125" t="inlineStr">
        <is>
          <t>MOD000040</t>
        </is>
      </c>
      <c r="F125" t="inlineStr">
        <is>
          <t>ManufacturerID</t>
        </is>
      </c>
      <c r="G125" t="inlineStr">
        <is>
          <t>MFG001</t>
        </is>
      </c>
      <c r="H125" t="inlineStr">
        <is>
          <t>tblManufacturerIDCrosswalk</t>
        </is>
      </c>
      <c r="I125" t="inlineStr"/>
      <c r="J125" t="inlineStr">
        <is>
          <t>No Supported Match</t>
        </is>
      </c>
      <c r="K125" t="inlineStr">
        <is>
          <t>None</t>
        </is>
      </c>
      <c r="L125" t="inlineStr">
        <is>
          <t>Crosswalk Pending</t>
        </is>
      </c>
      <c r="M125" t="inlineStr">
        <is>
          <t>Open</t>
        </is>
      </c>
      <c r="N125" t="inlineStr"/>
    </row>
    <row r="126">
      <c r="A126" t="inlineStr">
        <is>
          <t>FKEX00125</t>
        </is>
      </c>
      <c r="B126" t="inlineStr">
        <is>
          <t>15 LL_Device</t>
        </is>
      </c>
      <c r="C126" t="inlineStr">
        <is>
          <t>tblDeviceModel</t>
        </is>
      </c>
      <c r="D126" t="n">
        <v>43</v>
      </c>
      <c r="E126" t="inlineStr">
        <is>
          <t>MOD000040</t>
        </is>
      </c>
      <c r="F126" t="inlineStr">
        <is>
          <t>DeviceFamilyID</t>
        </is>
      </c>
      <c r="G126" t="inlineStr">
        <is>
          <t>DF001</t>
        </is>
      </c>
      <c r="H126" t="inlineStr">
        <is>
          <t>tblDeviceFamilyIDCrosswalk</t>
        </is>
      </c>
      <c r="I126" t="inlineStr"/>
      <c r="J126" t="inlineStr">
        <is>
          <t>tblDeviceModel</t>
        </is>
      </c>
      <c r="K126" t="inlineStr">
        <is>
          <t>Exact ID</t>
        </is>
      </c>
      <c r="L126" t="inlineStr">
        <is>
          <t>Crosswalk Pending</t>
        </is>
      </c>
      <c r="M126" t="inlineStr">
        <is>
          <t>Open</t>
        </is>
      </c>
      <c r="N126" t="inlineStr"/>
    </row>
    <row r="127">
      <c r="A127" t="inlineStr">
        <is>
          <t>FKEX00126</t>
        </is>
      </c>
      <c r="B127" t="inlineStr">
        <is>
          <t>15 LL_Device</t>
        </is>
      </c>
      <c r="C127" t="inlineStr">
        <is>
          <t>tblDeviceModel</t>
        </is>
      </c>
      <c r="D127" t="n">
        <v>43</v>
      </c>
      <c r="E127" t="inlineStr">
        <is>
          <t>MOD000040</t>
        </is>
      </c>
      <c r="F127" t="inlineStr">
        <is>
          <t>DeviceTypeID</t>
        </is>
      </c>
      <c r="G127" t="inlineStr">
        <is>
          <t>DT001</t>
        </is>
      </c>
      <c r="H127" t="inlineStr">
        <is>
          <t>tblDeviceTypeIDCrosswalk</t>
        </is>
      </c>
      <c r="I127" t="inlineStr"/>
      <c r="J127" t="inlineStr">
        <is>
          <t>No Supported Match</t>
        </is>
      </c>
      <c r="K127" t="inlineStr">
        <is>
          <t>None</t>
        </is>
      </c>
      <c r="L127" t="inlineStr">
        <is>
          <t>Crosswalk Pending</t>
        </is>
      </c>
      <c r="M127" t="inlineStr">
        <is>
          <t>Open</t>
        </is>
      </c>
      <c r="N127" t="inlineStr"/>
    </row>
    <row r="128">
      <c r="A128" t="inlineStr">
        <is>
          <t>FKEX00127</t>
        </is>
      </c>
      <c r="B128" t="inlineStr">
        <is>
          <t>15 LL_Device</t>
        </is>
      </c>
      <c r="C128" t="inlineStr">
        <is>
          <t>tblDeviceModel</t>
        </is>
      </c>
      <c r="D128" t="n">
        <v>44</v>
      </c>
      <c r="E128" t="inlineStr">
        <is>
          <t>MOD000041</t>
        </is>
      </c>
      <c r="F128" t="inlineStr">
        <is>
          <t>ManufacturerID</t>
        </is>
      </c>
      <c r="G128" t="inlineStr">
        <is>
          <t>MFG001</t>
        </is>
      </c>
      <c r="H128" t="inlineStr">
        <is>
          <t>tblManufacturerIDCrosswalk</t>
        </is>
      </c>
      <c r="I128" t="inlineStr"/>
      <c r="J128" t="inlineStr">
        <is>
          <t>No Supported Match</t>
        </is>
      </c>
      <c r="K128" t="inlineStr">
        <is>
          <t>None</t>
        </is>
      </c>
      <c r="L128" t="inlineStr">
        <is>
          <t>Crosswalk Pending</t>
        </is>
      </c>
      <c r="M128" t="inlineStr">
        <is>
          <t>Open</t>
        </is>
      </c>
      <c r="N128" t="inlineStr"/>
    </row>
    <row r="129">
      <c r="A129" t="inlineStr">
        <is>
          <t>FKEX00128</t>
        </is>
      </c>
      <c r="B129" t="inlineStr">
        <is>
          <t>15 LL_Device</t>
        </is>
      </c>
      <c r="C129" t="inlineStr">
        <is>
          <t>tblDeviceModel</t>
        </is>
      </c>
      <c r="D129" t="n">
        <v>44</v>
      </c>
      <c r="E129" t="inlineStr">
        <is>
          <t>MOD000041</t>
        </is>
      </c>
      <c r="F129" t="inlineStr">
        <is>
          <t>DeviceFamilyID</t>
        </is>
      </c>
      <c r="G129" t="inlineStr">
        <is>
          <t>DF001</t>
        </is>
      </c>
      <c r="H129" t="inlineStr">
        <is>
          <t>tblDeviceFamilyIDCrosswalk</t>
        </is>
      </c>
      <c r="I129" t="inlineStr"/>
      <c r="J129" t="inlineStr">
        <is>
          <t>tblDeviceModel</t>
        </is>
      </c>
      <c r="K129" t="inlineStr">
        <is>
          <t>Exact ID</t>
        </is>
      </c>
      <c r="L129" t="inlineStr">
        <is>
          <t>Crosswalk Pending</t>
        </is>
      </c>
      <c r="M129" t="inlineStr">
        <is>
          <t>Open</t>
        </is>
      </c>
      <c r="N129" t="inlineStr"/>
    </row>
    <row r="130">
      <c r="A130" t="inlineStr">
        <is>
          <t>FKEX00129</t>
        </is>
      </c>
      <c r="B130" t="inlineStr">
        <is>
          <t>15 LL_Device</t>
        </is>
      </c>
      <c r="C130" t="inlineStr">
        <is>
          <t>tblDeviceModel</t>
        </is>
      </c>
      <c r="D130" t="n">
        <v>44</v>
      </c>
      <c r="E130" t="inlineStr">
        <is>
          <t>MOD000041</t>
        </is>
      </c>
      <c r="F130" t="inlineStr">
        <is>
          <t>DeviceTypeID</t>
        </is>
      </c>
      <c r="G130" t="inlineStr">
        <is>
          <t>DT001</t>
        </is>
      </c>
      <c r="H130" t="inlineStr">
        <is>
          <t>tblDeviceTypeIDCrosswalk</t>
        </is>
      </c>
      <c r="I130" t="inlineStr"/>
      <c r="J130" t="inlineStr">
        <is>
          <t>No Supported Match</t>
        </is>
      </c>
      <c r="K130" t="inlineStr">
        <is>
          <t>None</t>
        </is>
      </c>
      <c r="L130" t="inlineStr">
        <is>
          <t>Crosswalk Pending</t>
        </is>
      </c>
      <c r="M130" t="inlineStr">
        <is>
          <t>Open</t>
        </is>
      </c>
      <c r="N130" t="inlineStr"/>
    </row>
    <row r="131">
      <c r="A131" t="inlineStr">
        <is>
          <t>FKEX00130</t>
        </is>
      </c>
      <c r="B131" t="inlineStr">
        <is>
          <t>15 LL_Device</t>
        </is>
      </c>
      <c r="C131" t="inlineStr">
        <is>
          <t>tblDeviceModel</t>
        </is>
      </c>
      <c r="D131" t="n">
        <v>45</v>
      </c>
      <c r="E131" t="inlineStr">
        <is>
          <t>MOD000042</t>
        </is>
      </c>
      <c r="F131" t="inlineStr">
        <is>
          <t>ManufacturerID</t>
        </is>
      </c>
      <c r="G131" t="inlineStr">
        <is>
          <t>MFG001</t>
        </is>
      </c>
      <c r="H131" t="inlineStr">
        <is>
          <t>tblManufacturerIDCrosswalk</t>
        </is>
      </c>
      <c r="I131" t="inlineStr"/>
      <c r="J131" t="inlineStr">
        <is>
          <t>No Supported Match</t>
        </is>
      </c>
      <c r="K131" t="inlineStr">
        <is>
          <t>None</t>
        </is>
      </c>
      <c r="L131" t="inlineStr">
        <is>
          <t>Crosswalk Pending</t>
        </is>
      </c>
      <c r="M131" t="inlineStr">
        <is>
          <t>Open</t>
        </is>
      </c>
      <c r="N131" t="inlineStr"/>
    </row>
    <row r="132">
      <c r="A132" t="inlineStr">
        <is>
          <t>FKEX00131</t>
        </is>
      </c>
      <c r="B132" t="inlineStr">
        <is>
          <t>15 LL_Device</t>
        </is>
      </c>
      <c r="C132" t="inlineStr">
        <is>
          <t>tblDeviceModel</t>
        </is>
      </c>
      <c r="D132" t="n">
        <v>45</v>
      </c>
      <c r="E132" t="inlineStr">
        <is>
          <t>MOD000042</t>
        </is>
      </c>
      <c r="F132" t="inlineStr">
        <is>
          <t>DeviceFamilyID</t>
        </is>
      </c>
      <c r="G132" t="inlineStr">
        <is>
          <t>DF001</t>
        </is>
      </c>
      <c r="H132" t="inlineStr">
        <is>
          <t>tblDeviceFamilyIDCrosswalk</t>
        </is>
      </c>
      <c r="I132" t="inlineStr"/>
      <c r="J132" t="inlineStr">
        <is>
          <t>tblDeviceModel</t>
        </is>
      </c>
      <c r="K132" t="inlineStr">
        <is>
          <t>Exact ID</t>
        </is>
      </c>
      <c r="L132" t="inlineStr">
        <is>
          <t>Crosswalk Pending</t>
        </is>
      </c>
      <c r="M132" t="inlineStr">
        <is>
          <t>Open</t>
        </is>
      </c>
      <c r="N132" t="inlineStr"/>
    </row>
    <row r="133">
      <c r="A133" t="inlineStr">
        <is>
          <t>FKEX00132</t>
        </is>
      </c>
      <c r="B133" t="inlineStr">
        <is>
          <t>15 LL_Device</t>
        </is>
      </c>
      <c r="C133" t="inlineStr">
        <is>
          <t>tblDeviceModel</t>
        </is>
      </c>
      <c r="D133" t="n">
        <v>45</v>
      </c>
      <c r="E133" t="inlineStr">
        <is>
          <t>MOD000042</t>
        </is>
      </c>
      <c r="F133" t="inlineStr">
        <is>
          <t>DeviceTypeID</t>
        </is>
      </c>
      <c r="G133" t="inlineStr">
        <is>
          <t>DT001</t>
        </is>
      </c>
      <c r="H133" t="inlineStr">
        <is>
          <t>tblDeviceTypeIDCrosswalk</t>
        </is>
      </c>
      <c r="I133" t="inlineStr"/>
      <c r="J133" t="inlineStr">
        <is>
          <t>No Supported Match</t>
        </is>
      </c>
      <c r="K133" t="inlineStr">
        <is>
          <t>None</t>
        </is>
      </c>
      <c r="L133" t="inlineStr">
        <is>
          <t>Crosswalk Pending</t>
        </is>
      </c>
      <c r="M133" t="inlineStr">
        <is>
          <t>Open</t>
        </is>
      </c>
      <c r="N133" t="inlineStr"/>
    </row>
    <row r="134">
      <c r="A134" t="inlineStr">
        <is>
          <t>FKEX00133</t>
        </is>
      </c>
      <c r="B134" t="inlineStr">
        <is>
          <t>15 LL_Device</t>
        </is>
      </c>
      <c r="C134" t="inlineStr">
        <is>
          <t>tblDeviceModel</t>
        </is>
      </c>
      <c r="D134" t="n">
        <v>46</v>
      </c>
      <c r="E134" t="inlineStr">
        <is>
          <t>MOD000043</t>
        </is>
      </c>
      <c r="F134" t="inlineStr">
        <is>
          <t>ManufacturerID</t>
        </is>
      </c>
      <c r="G134" t="inlineStr">
        <is>
          <t>MFG001</t>
        </is>
      </c>
      <c r="H134" t="inlineStr">
        <is>
          <t>tblManufacturerIDCrosswalk</t>
        </is>
      </c>
      <c r="I134" t="inlineStr"/>
      <c r="J134" t="inlineStr">
        <is>
          <t>No Supported Match</t>
        </is>
      </c>
      <c r="K134" t="inlineStr">
        <is>
          <t>None</t>
        </is>
      </c>
      <c r="L134" t="inlineStr">
        <is>
          <t>Crosswalk Pending</t>
        </is>
      </c>
      <c r="M134" t="inlineStr">
        <is>
          <t>Open</t>
        </is>
      </c>
      <c r="N134" t="inlineStr"/>
    </row>
    <row r="135">
      <c r="A135" t="inlineStr">
        <is>
          <t>FKEX00134</t>
        </is>
      </c>
      <c r="B135" t="inlineStr">
        <is>
          <t>15 LL_Device</t>
        </is>
      </c>
      <c r="C135" t="inlineStr">
        <is>
          <t>tblDeviceModel</t>
        </is>
      </c>
      <c r="D135" t="n">
        <v>46</v>
      </c>
      <c r="E135" t="inlineStr">
        <is>
          <t>MOD000043</t>
        </is>
      </c>
      <c r="F135" t="inlineStr">
        <is>
          <t>DeviceFamilyID</t>
        </is>
      </c>
      <c r="G135" t="inlineStr">
        <is>
          <t>DF001</t>
        </is>
      </c>
      <c r="H135" t="inlineStr">
        <is>
          <t>tblDeviceFamilyIDCrosswalk</t>
        </is>
      </c>
      <c r="I135" t="inlineStr"/>
      <c r="J135" t="inlineStr">
        <is>
          <t>tblDeviceModel</t>
        </is>
      </c>
      <c r="K135" t="inlineStr">
        <is>
          <t>Exact ID</t>
        </is>
      </c>
      <c r="L135" t="inlineStr">
        <is>
          <t>Crosswalk Pending</t>
        </is>
      </c>
      <c r="M135" t="inlineStr">
        <is>
          <t>Open</t>
        </is>
      </c>
      <c r="N135" t="inlineStr"/>
    </row>
    <row r="136">
      <c r="A136" t="inlineStr">
        <is>
          <t>FKEX00135</t>
        </is>
      </c>
      <c r="B136" t="inlineStr">
        <is>
          <t>15 LL_Device</t>
        </is>
      </c>
      <c r="C136" t="inlineStr">
        <is>
          <t>tblDeviceModel</t>
        </is>
      </c>
      <c r="D136" t="n">
        <v>46</v>
      </c>
      <c r="E136" t="inlineStr">
        <is>
          <t>MOD000043</t>
        </is>
      </c>
      <c r="F136" t="inlineStr">
        <is>
          <t>DeviceTypeID</t>
        </is>
      </c>
      <c r="G136" t="inlineStr">
        <is>
          <t>DT001</t>
        </is>
      </c>
      <c r="H136" t="inlineStr">
        <is>
          <t>tblDeviceTypeIDCrosswalk</t>
        </is>
      </c>
      <c r="I136" t="inlineStr"/>
      <c r="J136" t="inlineStr">
        <is>
          <t>No Supported Match</t>
        </is>
      </c>
      <c r="K136" t="inlineStr">
        <is>
          <t>None</t>
        </is>
      </c>
      <c r="L136" t="inlineStr">
        <is>
          <t>Crosswalk Pending</t>
        </is>
      </c>
      <c r="M136" t="inlineStr">
        <is>
          <t>Open</t>
        </is>
      </c>
      <c r="N136" t="inlineStr"/>
    </row>
    <row r="137">
      <c r="A137" t="inlineStr">
        <is>
          <t>FKEX00136</t>
        </is>
      </c>
      <c r="B137" t="inlineStr">
        <is>
          <t>15 LL_Device</t>
        </is>
      </c>
      <c r="C137" t="inlineStr">
        <is>
          <t>tblDeviceModel</t>
        </is>
      </c>
      <c r="D137" t="n">
        <v>47</v>
      </c>
      <c r="E137" t="inlineStr">
        <is>
          <t>MOD000044</t>
        </is>
      </c>
      <c r="F137" t="inlineStr">
        <is>
          <t>ManufacturerID</t>
        </is>
      </c>
      <c r="G137" t="inlineStr">
        <is>
          <t>MFG001</t>
        </is>
      </c>
      <c r="H137" t="inlineStr">
        <is>
          <t>tblManufacturerIDCrosswalk</t>
        </is>
      </c>
      <c r="I137" t="inlineStr"/>
      <c r="J137" t="inlineStr">
        <is>
          <t>No Supported Match</t>
        </is>
      </c>
      <c r="K137" t="inlineStr">
        <is>
          <t>None</t>
        </is>
      </c>
      <c r="L137" t="inlineStr">
        <is>
          <t>Crosswalk Pending</t>
        </is>
      </c>
      <c r="M137" t="inlineStr">
        <is>
          <t>Open</t>
        </is>
      </c>
      <c r="N137" t="inlineStr"/>
    </row>
    <row r="138">
      <c r="A138" t="inlineStr">
        <is>
          <t>FKEX00137</t>
        </is>
      </c>
      <c r="B138" t="inlineStr">
        <is>
          <t>15 LL_Device</t>
        </is>
      </c>
      <c r="C138" t="inlineStr">
        <is>
          <t>tblDeviceModel</t>
        </is>
      </c>
      <c r="D138" t="n">
        <v>47</v>
      </c>
      <c r="E138" t="inlineStr">
        <is>
          <t>MOD000044</t>
        </is>
      </c>
      <c r="F138" t="inlineStr">
        <is>
          <t>DeviceFamilyID</t>
        </is>
      </c>
      <c r="G138" t="inlineStr">
        <is>
          <t>DF001</t>
        </is>
      </c>
      <c r="H138" t="inlineStr">
        <is>
          <t>tblDeviceFamilyIDCrosswalk</t>
        </is>
      </c>
      <c r="I138" t="inlineStr"/>
      <c r="J138" t="inlineStr">
        <is>
          <t>tblDeviceModel</t>
        </is>
      </c>
      <c r="K138" t="inlineStr">
        <is>
          <t>Exact ID</t>
        </is>
      </c>
      <c r="L138" t="inlineStr">
        <is>
          <t>Crosswalk Pending</t>
        </is>
      </c>
      <c r="M138" t="inlineStr">
        <is>
          <t>Open</t>
        </is>
      </c>
      <c r="N138" t="inlineStr"/>
    </row>
    <row r="139">
      <c r="A139" t="inlineStr">
        <is>
          <t>FKEX00138</t>
        </is>
      </c>
      <c r="B139" t="inlineStr">
        <is>
          <t>15 LL_Device</t>
        </is>
      </c>
      <c r="C139" t="inlineStr">
        <is>
          <t>tblDeviceModel</t>
        </is>
      </c>
      <c r="D139" t="n">
        <v>47</v>
      </c>
      <c r="E139" t="inlineStr">
        <is>
          <t>MOD000044</t>
        </is>
      </c>
      <c r="F139" t="inlineStr">
        <is>
          <t>DeviceTypeID</t>
        </is>
      </c>
      <c r="G139" t="inlineStr">
        <is>
          <t>DT001</t>
        </is>
      </c>
      <c r="H139" t="inlineStr">
        <is>
          <t>tblDeviceTypeIDCrosswalk</t>
        </is>
      </c>
      <c r="I139" t="inlineStr"/>
      <c r="J139" t="inlineStr">
        <is>
          <t>No Supported Match</t>
        </is>
      </c>
      <c r="K139" t="inlineStr">
        <is>
          <t>None</t>
        </is>
      </c>
      <c r="L139" t="inlineStr">
        <is>
          <t>Crosswalk Pending</t>
        </is>
      </c>
      <c r="M139" t="inlineStr">
        <is>
          <t>Open</t>
        </is>
      </c>
      <c r="N139" t="inlineStr"/>
    </row>
    <row r="140">
      <c r="A140" t="inlineStr">
        <is>
          <t>FKEX00139</t>
        </is>
      </c>
      <c r="B140" t="inlineStr">
        <is>
          <t>15 LL_Device</t>
        </is>
      </c>
      <c r="C140" t="inlineStr">
        <is>
          <t>tblDeviceModel</t>
        </is>
      </c>
      <c r="D140" t="n">
        <v>48</v>
      </c>
      <c r="E140" t="inlineStr">
        <is>
          <t>MOD000045</t>
        </is>
      </c>
      <c r="F140" t="inlineStr">
        <is>
          <t>ManufacturerID</t>
        </is>
      </c>
      <c r="G140" t="inlineStr">
        <is>
          <t>MFG001</t>
        </is>
      </c>
      <c r="H140" t="inlineStr">
        <is>
          <t>tblManufacturerIDCrosswalk</t>
        </is>
      </c>
      <c r="I140" t="inlineStr"/>
      <c r="J140" t="inlineStr">
        <is>
          <t>No Supported Match</t>
        </is>
      </c>
      <c r="K140" t="inlineStr">
        <is>
          <t>None</t>
        </is>
      </c>
      <c r="L140" t="inlineStr">
        <is>
          <t>Crosswalk Pending</t>
        </is>
      </c>
      <c r="M140" t="inlineStr">
        <is>
          <t>Open</t>
        </is>
      </c>
      <c r="N140" t="inlineStr"/>
    </row>
    <row r="141">
      <c r="A141" t="inlineStr">
        <is>
          <t>FKEX00140</t>
        </is>
      </c>
      <c r="B141" t="inlineStr">
        <is>
          <t>15 LL_Device</t>
        </is>
      </c>
      <c r="C141" t="inlineStr">
        <is>
          <t>tblDeviceModel</t>
        </is>
      </c>
      <c r="D141" t="n">
        <v>48</v>
      </c>
      <c r="E141" t="inlineStr">
        <is>
          <t>MOD000045</t>
        </is>
      </c>
      <c r="F141" t="inlineStr">
        <is>
          <t>DeviceFamilyID</t>
        </is>
      </c>
      <c r="G141" t="inlineStr">
        <is>
          <t>DF001</t>
        </is>
      </c>
      <c r="H141" t="inlineStr">
        <is>
          <t>tblDeviceFamilyIDCrosswalk</t>
        </is>
      </c>
      <c r="I141" t="inlineStr"/>
      <c r="J141" t="inlineStr">
        <is>
          <t>tblDeviceModel</t>
        </is>
      </c>
      <c r="K141" t="inlineStr">
        <is>
          <t>Exact ID</t>
        </is>
      </c>
      <c r="L141" t="inlineStr">
        <is>
          <t>Crosswalk Pending</t>
        </is>
      </c>
      <c r="M141" t="inlineStr">
        <is>
          <t>Open</t>
        </is>
      </c>
      <c r="N141" t="inlineStr"/>
    </row>
    <row r="142">
      <c r="A142" t="inlineStr">
        <is>
          <t>FKEX00141</t>
        </is>
      </c>
      <c r="B142" t="inlineStr">
        <is>
          <t>15 LL_Device</t>
        </is>
      </c>
      <c r="C142" t="inlineStr">
        <is>
          <t>tblDeviceModel</t>
        </is>
      </c>
      <c r="D142" t="n">
        <v>48</v>
      </c>
      <c r="E142" t="inlineStr">
        <is>
          <t>MOD000045</t>
        </is>
      </c>
      <c r="F142" t="inlineStr">
        <is>
          <t>DeviceTypeID</t>
        </is>
      </c>
      <c r="G142" t="inlineStr">
        <is>
          <t>DT001</t>
        </is>
      </c>
      <c r="H142" t="inlineStr">
        <is>
          <t>tblDeviceTypeIDCrosswalk</t>
        </is>
      </c>
      <c r="I142" t="inlineStr"/>
      <c r="J142" t="inlineStr">
        <is>
          <t>No Supported Match</t>
        </is>
      </c>
      <c r="K142" t="inlineStr">
        <is>
          <t>None</t>
        </is>
      </c>
      <c r="L142" t="inlineStr">
        <is>
          <t>Crosswalk Pending</t>
        </is>
      </c>
      <c r="M142" t="inlineStr">
        <is>
          <t>Open</t>
        </is>
      </c>
      <c r="N142" t="inlineStr"/>
    </row>
    <row r="143">
      <c r="A143" t="inlineStr">
        <is>
          <t>FKEX00142</t>
        </is>
      </c>
      <c r="B143" t="inlineStr">
        <is>
          <t>15 LL_Device</t>
        </is>
      </c>
      <c r="C143" t="inlineStr">
        <is>
          <t>tblDeviceModel</t>
        </is>
      </c>
      <c r="D143" t="n">
        <v>49</v>
      </c>
      <c r="E143" t="inlineStr">
        <is>
          <t>MOD000046</t>
        </is>
      </c>
      <c r="F143" t="inlineStr">
        <is>
          <t>ManufacturerID</t>
        </is>
      </c>
      <c r="G143" t="inlineStr">
        <is>
          <t>MFG001</t>
        </is>
      </c>
      <c r="H143" t="inlineStr">
        <is>
          <t>tblManufacturerIDCrosswalk</t>
        </is>
      </c>
      <c r="I143" t="inlineStr"/>
      <c r="J143" t="inlineStr">
        <is>
          <t>No Supported Match</t>
        </is>
      </c>
      <c r="K143" t="inlineStr">
        <is>
          <t>None</t>
        </is>
      </c>
      <c r="L143" t="inlineStr">
        <is>
          <t>Crosswalk Pending</t>
        </is>
      </c>
      <c r="M143" t="inlineStr">
        <is>
          <t>Open</t>
        </is>
      </c>
      <c r="N143" t="inlineStr"/>
    </row>
    <row r="144">
      <c r="A144" t="inlineStr">
        <is>
          <t>FKEX00143</t>
        </is>
      </c>
      <c r="B144" t="inlineStr">
        <is>
          <t>15 LL_Device</t>
        </is>
      </c>
      <c r="C144" t="inlineStr">
        <is>
          <t>tblDeviceModel</t>
        </is>
      </c>
      <c r="D144" t="n">
        <v>49</v>
      </c>
      <c r="E144" t="inlineStr">
        <is>
          <t>MOD000046</t>
        </is>
      </c>
      <c r="F144" t="inlineStr">
        <is>
          <t>DeviceFamilyID</t>
        </is>
      </c>
      <c r="G144" t="inlineStr">
        <is>
          <t>DF001</t>
        </is>
      </c>
      <c r="H144" t="inlineStr">
        <is>
          <t>tblDeviceFamilyIDCrosswalk</t>
        </is>
      </c>
      <c r="I144" t="inlineStr"/>
      <c r="J144" t="inlineStr">
        <is>
          <t>tblDeviceModel</t>
        </is>
      </c>
      <c r="K144" t="inlineStr">
        <is>
          <t>Exact ID</t>
        </is>
      </c>
      <c r="L144" t="inlineStr">
        <is>
          <t>Crosswalk Pending</t>
        </is>
      </c>
      <c r="M144" t="inlineStr">
        <is>
          <t>Open</t>
        </is>
      </c>
      <c r="N144" t="inlineStr"/>
    </row>
    <row r="145">
      <c r="A145" t="inlineStr">
        <is>
          <t>FKEX00144</t>
        </is>
      </c>
      <c r="B145" t="inlineStr">
        <is>
          <t>15 LL_Device</t>
        </is>
      </c>
      <c r="C145" t="inlineStr">
        <is>
          <t>tblDeviceModel</t>
        </is>
      </c>
      <c r="D145" t="n">
        <v>49</v>
      </c>
      <c r="E145" t="inlineStr">
        <is>
          <t>MOD000046</t>
        </is>
      </c>
      <c r="F145" t="inlineStr">
        <is>
          <t>DeviceTypeID</t>
        </is>
      </c>
      <c r="G145" t="inlineStr">
        <is>
          <t>DT001</t>
        </is>
      </c>
      <c r="H145" t="inlineStr">
        <is>
          <t>tblDeviceTypeIDCrosswalk</t>
        </is>
      </c>
      <c r="I145" t="inlineStr"/>
      <c r="J145" t="inlineStr">
        <is>
          <t>No Supported Match</t>
        </is>
      </c>
      <c r="K145" t="inlineStr">
        <is>
          <t>None</t>
        </is>
      </c>
      <c r="L145" t="inlineStr">
        <is>
          <t>Crosswalk Pending</t>
        </is>
      </c>
      <c r="M145" t="inlineStr">
        <is>
          <t>Open</t>
        </is>
      </c>
      <c r="N145" t="inlineStr"/>
    </row>
    <row r="146">
      <c r="A146" t="inlineStr">
        <is>
          <t>FKEX00145</t>
        </is>
      </c>
      <c r="B146" t="inlineStr">
        <is>
          <t>15 LL_Device</t>
        </is>
      </c>
      <c r="C146" t="inlineStr">
        <is>
          <t>tblDeviceModel</t>
        </is>
      </c>
      <c r="D146" t="n">
        <v>50</v>
      </c>
      <c r="E146" t="inlineStr">
        <is>
          <t>MOD000047</t>
        </is>
      </c>
      <c r="F146" t="inlineStr">
        <is>
          <t>ManufacturerID</t>
        </is>
      </c>
      <c r="G146" t="inlineStr">
        <is>
          <t>MFG001</t>
        </is>
      </c>
      <c r="H146" t="inlineStr">
        <is>
          <t>tblManufacturerIDCrosswalk</t>
        </is>
      </c>
      <c r="I146" t="inlineStr"/>
      <c r="J146" t="inlineStr">
        <is>
          <t>No Supported Match</t>
        </is>
      </c>
      <c r="K146" t="inlineStr">
        <is>
          <t>None</t>
        </is>
      </c>
      <c r="L146" t="inlineStr">
        <is>
          <t>Crosswalk Pending</t>
        </is>
      </c>
      <c r="M146" t="inlineStr">
        <is>
          <t>Open</t>
        </is>
      </c>
      <c r="N146" t="inlineStr"/>
    </row>
    <row r="147">
      <c r="A147" t="inlineStr">
        <is>
          <t>FKEX00146</t>
        </is>
      </c>
      <c r="B147" t="inlineStr">
        <is>
          <t>15 LL_Device</t>
        </is>
      </c>
      <c r="C147" t="inlineStr">
        <is>
          <t>tblDeviceModel</t>
        </is>
      </c>
      <c r="D147" t="n">
        <v>50</v>
      </c>
      <c r="E147" t="inlineStr">
        <is>
          <t>MOD000047</t>
        </is>
      </c>
      <c r="F147" t="inlineStr">
        <is>
          <t>DeviceFamilyID</t>
        </is>
      </c>
      <c r="G147" t="inlineStr">
        <is>
          <t>DF001</t>
        </is>
      </c>
      <c r="H147" t="inlineStr">
        <is>
          <t>tblDeviceFamilyIDCrosswalk</t>
        </is>
      </c>
      <c r="I147" t="inlineStr"/>
      <c r="J147" t="inlineStr">
        <is>
          <t>tblDeviceModel</t>
        </is>
      </c>
      <c r="K147" t="inlineStr">
        <is>
          <t>Exact ID</t>
        </is>
      </c>
      <c r="L147" t="inlineStr">
        <is>
          <t>Crosswalk Pending</t>
        </is>
      </c>
      <c r="M147" t="inlineStr">
        <is>
          <t>Open</t>
        </is>
      </c>
      <c r="N147" t="inlineStr"/>
    </row>
    <row r="148">
      <c r="A148" t="inlineStr">
        <is>
          <t>FKEX00147</t>
        </is>
      </c>
      <c r="B148" t="inlineStr">
        <is>
          <t>15 LL_Device</t>
        </is>
      </c>
      <c r="C148" t="inlineStr">
        <is>
          <t>tblDeviceModel</t>
        </is>
      </c>
      <c r="D148" t="n">
        <v>50</v>
      </c>
      <c r="E148" t="inlineStr">
        <is>
          <t>MOD000047</t>
        </is>
      </c>
      <c r="F148" t="inlineStr">
        <is>
          <t>DeviceTypeID</t>
        </is>
      </c>
      <c r="G148" t="inlineStr">
        <is>
          <t>DT001</t>
        </is>
      </c>
      <c r="H148" t="inlineStr">
        <is>
          <t>tblDeviceTypeIDCrosswalk</t>
        </is>
      </c>
      <c r="I148" t="inlineStr"/>
      <c r="J148" t="inlineStr">
        <is>
          <t>No Supported Match</t>
        </is>
      </c>
      <c r="K148" t="inlineStr">
        <is>
          <t>None</t>
        </is>
      </c>
      <c r="L148" t="inlineStr">
        <is>
          <t>Crosswalk Pending</t>
        </is>
      </c>
      <c r="M148" t="inlineStr">
        <is>
          <t>Open</t>
        </is>
      </c>
      <c r="N148" t="inlineStr"/>
    </row>
    <row r="149">
      <c r="A149" t="inlineStr">
        <is>
          <t>FKEX00148</t>
        </is>
      </c>
      <c r="B149" t="inlineStr">
        <is>
          <t>15 LL_Device</t>
        </is>
      </c>
      <c r="C149" t="inlineStr">
        <is>
          <t>tblDeviceModel</t>
        </is>
      </c>
      <c r="D149" t="n">
        <v>51</v>
      </c>
      <c r="E149" t="inlineStr">
        <is>
          <t>MOD000048</t>
        </is>
      </c>
      <c r="F149" t="inlineStr">
        <is>
          <t>ManufacturerID</t>
        </is>
      </c>
      <c r="G149" t="inlineStr">
        <is>
          <t>MFG001</t>
        </is>
      </c>
      <c r="H149" t="inlineStr">
        <is>
          <t>tblManufacturerIDCrosswalk</t>
        </is>
      </c>
      <c r="I149" t="inlineStr"/>
      <c r="J149" t="inlineStr">
        <is>
          <t>No Supported Match</t>
        </is>
      </c>
      <c r="K149" t="inlineStr">
        <is>
          <t>None</t>
        </is>
      </c>
      <c r="L149" t="inlineStr">
        <is>
          <t>Crosswalk Pending</t>
        </is>
      </c>
      <c r="M149" t="inlineStr">
        <is>
          <t>Open</t>
        </is>
      </c>
      <c r="N149" t="inlineStr"/>
    </row>
    <row r="150">
      <c r="A150" t="inlineStr">
        <is>
          <t>FKEX00149</t>
        </is>
      </c>
      <c r="B150" t="inlineStr">
        <is>
          <t>15 LL_Device</t>
        </is>
      </c>
      <c r="C150" t="inlineStr">
        <is>
          <t>tblDeviceModel</t>
        </is>
      </c>
      <c r="D150" t="n">
        <v>51</v>
      </c>
      <c r="E150" t="inlineStr">
        <is>
          <t>MOD000048</t>
        </is>
      </c>
      <c r="F150" t="inlineStr">
        <is>
          <t>DeviceFamilyID</t>
        </is>
      </c>
      <c r="G150" t="inlineStr">
        <is>
          <t>DF002</t>
        </is>
      </c>
      <c r="H150" t="inlineStr">
        <is>
          <t>tblDeviceFamilyIDCrosswalk</t>
        </is>
      </c>
      <c r="I150" t="inlineStr"/>
      <c r="J150" t="inlineStr">
        <is>
          <t>tblDeviceModel</t>
        </is>
      </c>
      <c r="K150" t="inlineStr">
        <is>
          <t>Exact ID</t>
        </is>
      </c>
      <c r="L150" t="inlineStr">
        <is>
          <t>Crosswalk Pending</t>
        </is>
      </c>
      <c r="M150" t="inlineStr">
        <is>
          <t>Open</t>
        </is>
      </c>
      <c r="N150" t="inlineStr"/>
    </row>
    <row r="151">
      <c r="A151" t="inlineStr">
        <is>
          <t>FKEX00150</t>
        </is>
      </c>
      <c r="B151" t="inlineStr">
        <is>
          <t>15 LL_Device</t>
        </is>
      </c>
      <c r="C151" t="inlineStr">
        <is>
          <t>tblDeviceModel</t>
        </is>
      </c>
      <c r="D151" t="n">
        <v>51</v>
      </c>
      <c r="E151" t="inlineStr">
        <is>
          <t>MOD000048</t>
        </is>
      </c>
      <c r="F151" t="inlineStr">
        <is>
          <t>DeviceTypeID</t>
        </is>
      </c>
      <c r="G151" t="inlineStr">
        <is>
          <t>DT002</t>
        </is>
      </c>
      <c r="H151" t="inlineStr">
        <is>
          <t>tblDeviceTypeIDCrosswalk</t>
        </is>
      </c>
      <c r="I151" t="inlineStr"/>
      <c r="J151" t="inlineStr">
        <is>
          <t>No Supported Match</t>
        </is>
      </c>
      <c r="K151" t="inlineStr">
        <is>
          <t>None</t>
        </is>
      </c>
      <c r="L151" t="inlineStr">
        <is>
          <t>Crosswalk Pending</t>
        </is>
      </c>
      <c r="M151" t="inlineStr">
        <is>
          <t>Open</t>
        </is>
      </c>
      <c r="N151" t="inlineStr"/>
    </row>
    <row r="152">
      <c r="A152" t="inlineStr">
        <is>
          <t>FKEX00151</t>
        </is>
      </c>
      <c r="B152" t="inlineStr">
        <is>
          <t>15 LL_Device</t>
        </is>
      </c>
      <c r="C152" t="inlineStr">
        <is>
          <t>tblDeviceModel</t>
        </is>
      </c>
      <c r="D152" t="n">
        <v>52</v>
      </c>
      <c r="E152" t="inlineStr">
        <is>
          <t>MOD000049</t>
        </is>
      </c>
      <c r="F152" t="inlineStr">
        <is>
          <t>ManufacturerID</t>
        </is>
      </c>
      <c r="G152" t="inlineStr">
        <is>
          <t>MFG001</t>
        </is>
      </c>
      <c r="H152" t="inlineStr">
        <is>
          <t>tblManufacturerIDCrosswalk</t>
        </is>
      </c>
      <c r="I152" t="inlineStr"/>
      <c r="J152" t="inlineStr">
        <is>
          <t>No Supported Match</t>
        </is>
      </c>
      <c r="K152" t="inlineStr">
        <is>
          <t>None</t>
        </is>
      </c>
      <c r="L152" t="inlineStr">
        <is>
          <t>Crosswalk Pending</t>
        </is>
      </c>
      <c r="M152" t="inlineStr">
        <is>
          <t>Open</t>
        </is>
      </c>
      <c r="N152" t="inlineStr"/>
    </row>
    <row r="153">
      <c r="A153" t="inlineStr">
        <is>
          <t>FKEX00152</t>
        </is>
      </c>
      <c r="B153" t="inlineStr">
        <is>
          <t>15 LL_Device</t>
        </is>
      </c>
      <c r="C153" t="inlineStr">
        <is>
          <t>tblDeviceModel</t>
        </is>
      </c>
      <c r="D153" t="n">
        <v>52</v>
      </c>
      <c r="E153" t="inlineStr">
        <is>
          <t>MOD000049</t>
        </is>
      </c>
      <c r="F153" t="inlineStr">
        <is>
          <t>DeviceFamilyID</t>
        </is>
      </c>
      <c r="G153" t="inlineStr">
        <is>
          <t>DF002</t>
        </is>
      </c>
      <c r="H153" t="inlineStr">
        <is>
          <t>tblDeviceFamilyIDCrosswalk</t>
        </is>
      </c>
      <c r="I153" t="inlineStr"/>
      <c r="J153" t="inlineStr">
        <is>
          <t>tblDeviceModel</t>
        </is>
      </c>
      <c r="K153" t="inlineStr">
        <is>
          <t>Exact ID</t>
        </is>
      </c>
      <c r="L153" t="inlineStr">
        <is>
          <t>Crosswalk Pending</t>
        </is>
      </c>
      <c r="M153" t="inlineStr">
        <is>
          <t>Open</t>
        </is>
      </c>
      <c r="N153" t="inlineStr"/>
    </row>
    <row r="154">
      <c r="A154" t="inlineStr">
        <is>
          <t>FKEX00153</t>
        </is>
      </c>
      <c r="B154" t="inlineStr">
        <is>
          <t>15 LL_Device</t>
        </is>
      </c>
      <c r="C154" t="inlineStr">
        <is>
          <t>tblDeviceModel</t>
        </is>
      </c>
      <c r="D154" t="n">
        <v>52</v>
      </c>
      <c r="E154" t="inlineStr">
        <is>
          <t>MOD000049</t>
        </is>
      </c>
      <c r="F154" t="inlineStr">
        <is>
          <t>DeviceTypeID</t>
        </is>
      </c>
      <c r="G154" t="inlineStr">
        <is>
          <t>DT002</t>
        </is>
      </c>
      <c r="H154" t="inlineStr">
        <is>
          <t>tblDeviceTypeIDCrosswalk</t>
        </is>
      </c>
      <c r="I154" t="inlineStr"/>
      <c r="J154" t="inlineStr">
        <is>
          <t>No Supported Match</t>
        </is>
      </c>
      <c r="K154" t="inlineStr">
        <is>
          <t>None</t>
        </is>
      </c>
      <c r="L154" t="inlineStr">
        <is>
          <t>Crosswalk Pending</t>
        </is>
      </c>
      <c r="M154" t="inlineStr">
        <is>
          <t>Open</t>
        </is>
      </c>
      <c r="N154" t="inlineStr"/>
    </row>
    <row r="155">
      <c r="A155" t="inlineStr">
        <is>
          <t>FKEX00154</t>
        </is>
      </c>
      <c r="B155" t="inlineStr">
        <is>
          <t>15 LL_Device</t>
        </is>
      </c>
      <c r="C155" t="inlineStr">
        <is>
          <t>tblDeviceModel</t>
        </is>
      </c>
      <c r="D155" t="n">
        <v>53</v>
      </c>
      <c r="E155" t="inlineStr">
        <is>
          <t>MOD000050</t>
        </is>
      </c>
      <c r="F155" t="inlineStr">
        <is>
          <t>ManufacturerID</t>
        </is>
      </c>
      <c r="G155" t="inlineStr">
        <is>
          <t>MFG001</t>
        </is>
      </c>
      <c r="H155" t="inlineStr">
        <is>
          <t>tblManufacturerIDCrosswalk</t>
        </is>
      </c>
      <c r="I155" t="inlineStr"/>
      <c r="J155" t="inlineStr">
        <is>
          <t>No Supported Match</t>
        </is>
      </c>
      <c r="K155" t="inlineStr">
        <is>
          <t>None</t>
        </is>
      </c>
      <c r="L155" t="inlineStr">
        <is>
          <t>Crosswalk Pending</t>
        </is>
      </c>
      <c r="M155" t="inlineStr">
        <is>
          <t>Open</t>
        </is>
      </c>
      <c r="N155" t="inlineStr"/>
    </row>
    <row r="156">
      <c r="A156" t="inlineStr">
        <is>
          <t>FKEX00155</t>
        </is>
      </c>
      <c r="B156" t="inlineStr">
        <is>
          <t>15 LL_Device</t>
        </is>
      </c>
      <c r="C156" t="inlineStr">
        <is>
          <t>tblDeviceModel</t>
        </is>
      </c>
      <c r="D156" t="n">
        <v>53</v>
      </c>
      <c r="E156" t="inlineStr">
        <is>
          <t>MOD000050</t>
        </is>
      </c>
      <c r="F156" t="inlineStr">
        <is>
          <t>DeviceFamilyID</t>
        </is>
      </c>
      <c r="G156" t="inlineStr">
        <is>
          <t>DF002</t>
        </is>
      </c>
      <c r="H156" t="inlineStr">
        <is>
          <t>tblDeviceFamilyIDCrosswalk</t>
        </is>
      </c>
      <c r="I156" t="inlineStr"/>
      <c r="J156" t="inlineStr">
        <is>
          <t>tblDeviceModel</t>
        </is>
      </c>
      <c r="K156" t="inlineStr">
        <is>
          <t>Exact ID</t>
        </is>
      </c>
      <c r="L156" t="inlineStr">
        <is>
          <t>Crosswalk Pending</t>
        </is>
      </c>
      <c r="M156" t="inlineStr">
        <is>
          <t>Open</t>
        </is>
      </c>
      <c r="N156" t="inlineStr"/>
    </row>
    <row r="157">
      <c r="A157" t="inlineStr">
        <is>
          <t>FKEX00156</t>
        </is>
      </c>
      <c r="B157" t="inlineStr">
        <is>
          <t>15 LL_Device</t>
        </is>
      </c>
      <c r="C157" t="inlineStr">
        <is>
          <t>tblDeviceModel</t>
        </is>
      </c>
      <c r="D157" t="n">
        <v>53</v>
      </c>
      <c r="E157" t="inlineStr">
        <is>
          <t>MOD000050</t>
        </is>
      </c>
      <c r="F157" t="inlineStr">
        <is>
          <t>DeviceTypeID</t>
        </is>
      </c>
      <c r="G157" t="inlineStr">
        <is>
          <t>DT002</t>
        </is>
      </c>
      <c r="H157" t="inlineStr">
        <is>
          <t>tblDeviceTypeIDCrosswalk</t>
        </is>
      </c>
      <c r="I157" t="inlineStr"/>
      <c r="J157" t="inlineStr">
        <is>
          <t>No Supported Match</t>
        </is>
      </c>
      <c r="K157" t="inlineStr">
        <is>
          <t>None</t>
        </is>
      </c>
      <c r="L157" t="inlineStr">
        <is>
          <t>Crosswalk Pending</t>
        </is>
      </c>
      <c r="M157" t="inlineStr">
        <is>
          <t>Open</t>
        </is>
      </c>
      <c r="N157" t="inlineStr"/>
    </row>
    <row r="158">
      <c r="A158" t="inlineStr">
        <is>
          <t>FKEX00157</t>
        </is>
      </c>
      <c r="B158" t="inlineStr">
        <is>
          <t>15 LL_Device</t>
        </is>
      </c>
      <c r="C158" t="inlineStr">
        <is>
          <t>tblDeviceModel</t>
        </is>
      </c>
      <c r="D158" t="n">
        <v>54</v>
      </c>
      <c r="E158" t="inlineStr">
        <is>
          <t>MOD000051</t>
        </is>
      </c>
      <c r="F158" t="inlineStr">
        <is>
          <t>ManufacturerID</t>
        </is>
      </c>
      <c r="G158" t="inlineStr">
        <is>
          <t>MFG001</t>
        </is>
      </c>
      <c r="H158" t="inlineStr">
        <is>
          <t>tblManufacturerIDCrosswalk</t>
        </is>
      </c>
      <c r="I158" t="inlineStr"/>
      <c r="J158" t="inlineStr">
        <is>
          <t>No Supported Match</t>
        </is>
      </c>
      <c r="K158" t="inlineStr">
        <is>
          <t>None</t>
        </is>
      </c>
      <c r="L158" t="inlineStr">
        <is>
          <t>Crosswalk Pending</t>
        </is>
      </c>
      <c r="M158" t="inlineStr">
        <is>
          <t>Open</t>
        </is>
      </c>
      <c r="N158" t="inlineStr"/>
    </row>
    <row r="159">
      <c r="A159" t="inlineStr">
        <is>
          <t>FKEX00158</t>
        </is>
      </c>
      <c r="B159" t="inlineStr">
        <is>
          <t>15 LL_Device</t>
        </is>
      </c>
      <c r="C159" t="inlineStr">
        <is>
          <t>tblDeviceModel</t>
        </is>
      </c>
      <c r="D159" t="n">
        <v>54</v>
      </c>
      <c r="E159" t="inlineStr">
        <is>
          <t>MOD000051</t>
        </is>
      </c>
      <c r="F159" t="inlineStr">
        <is>
          <t>DeviceFamilyID</t>
        </is>
      </c>
      <c r="G159" t="inlineStr">
        <is>
          <t>DF002</t>
        </is>
      </c>
      <c r="H159" t="inlineStr">
        <is>
          <t>tblDeviceFamilyIDCrosswalk</t>
        </is>
      </c>
      <c r="I159" t="inlineStr"/>
      <c r="J159" t="inlineStr">
        <is>
          <t>tblDeviceModel</t>
        </is>
      </c>
      <c r="K159" t="inlineStr">
        <is>
          <t>Exact ID</t>
        </is>
      </c>
      <c r="L159" t="inlineStr">
        <is>
          <t>Crosswalk Pending</t>
        </is>
      </c>
      <c r="M159" t="inlineStr">
        <is>
          <t>Open</t>
        </is>
      </c>
      <c r="N159" t="inlineStr"/>
    </row>
    <row r="160">
      <c r="A160" t="inlineStr">
        <is>
          <t>FKEX00159</t>
        </is>
      </c>
      <c r="B160" t="inlineStr">
        <is>
          <t>15 LL_Device</t>
        </is>
      </c>
      <c r="C160" t="inlineStr">
        <is>
          <t>tblDeviceModel</t>
        </is>
      </c>
      <c r="D160" t="n">
        <v>54</v>
      </c>
      <c r="E160" t="inlineStr">
        <is>
          <t>MOD000051</t>
        </is>
      </c>
      <c r="F160" t="inlineStr">
        <is>
          <t>DeviceTypeID</t>
        </is>
      </c>
      <c r="G160" t="inlineStr">
        <is>
          <t>DT002</t>
        </is>
      </c>
      <c r="H160" t="inlineStr">
        <is>
          <t>tblDeviceTypeIDCrosswalk</t>
        </is>
      </c>
      <c r="I160" t="inlineStr"/>
      <c r="J160" t="inlineStr">
        <is>
          <t>No Supported Match</t>
        </is>
      </c>
      <c r="K160" t="inlineStr">
        <is>
          <t>None</t>
        </is>
      </c>
      <c r="L160" t="inlineStr">
        <is>
          <t>Crosswalk Pending</t>
        </is>
      </c>
      <c r="M160" t="inlineStr">
        <is>
          <t>Open</t>
        </is>
      </c>
      <c r="N160" t="inlineStr"/>
    </row>
    <row r="161">
      <c r="A161" t="inlineStr">
        <is>
          <t>FKEX00160</t>
        </is>
      </c>
      <c r="B161" t="inlineStr">
        <is>
          <t>15 LL_Device</t>
        </is>
      </c>
      <c r="C161" t="inlineStr">
        <is>
          <t>tblDeviceModel</t>
        </is>
      </c>
      <c r="D161" t="n">
        <v>55</v>
      </c>
      <c r="E161" t="inlineStr">
        <is>
          <t>MOD000052</t>
        </is>
      </c>
      <c r="F161" t="inlineStr">
        <is>
          <t>ManufacturerID</t>
        </is>
      </c>
      <c r="G161" t="inlineStr">
        <is>
          <t>MFG001</t>
        </is>
      </c>
      <c r="H161" t="inlineStr">
        <is>
          <t>tblManufacturerIDCrosswalk</t>
        </is>
      </c>
      <c r="I161" t="inlineStr"/>
      <c r="J161" t="inlineStr">
        <is>
          <t>No Supported Match</t>
        </is>
      </c>
      <c r="K161" t="inlineStr">
        <is>
          <t>None</t>
        </is>
      </c>
      <c r="L161" t="inlineStr">
        <is>
          <t>Crosswalk Pending</t>
        </is>
      </c>
      <c r="M161" t="inlineStr">
        <is>
          <t>Open</t>
        </is>
      </c>
      <c r="N161" t="inlineStr"/>
    </row>
    <row r="162">
      <c r="A162" t="inlineStr">
        <is>
          <t>FKEX00161</t>
        </is>
      </c>
      <c r="B162" t="inlineStr">
        <is>
          <t>15 LL_Device</t>
        </is>
      </c>
      <c r="C162" t="inlineStr">
        <is>
          <t>tblDeviceModel</t>
        </is>
      </c>
      <c r="D162" t="n">
        <v>55</v>
      </c>
      <c r="E162" t="inlineStr">
        <is>
          <t>MOD000052</t>
        </is>
      </c>
      <c r="F162" t="inlineStr">
        <is>
          <t>DeviceFamilyID</t>
        </is>
      </c>
      <c r="G162" t="inlineStr">
        <is>
          <t>DF002</t>
        </is>
      </c>
      <c r="H162" t="inlineStr">
        <is>
          <t>tblDeviceFamilyIDCrosswalk</t>
        </is>
      </c>
      <c r="I162" t="inlineStr"/>
      <c r="J162" t="inlineStr">
        <is>
          <t>tblDeviceModel</t>
        </is>
      </c>
      <c r="K162" t="inlineStr">
        <is>
          <t>Exact ID</t>
        </is>
      </c>
      <c r="L162" t="inlineStr">
        <is>
          <t>Crosswalk Pending</t>
        </is>
      </c>
      <c r="M162" t="inlineStr">
        <is>
          <t>Open</t>
        </is>
      </c>
      <c r="N162" t="inlineStr"/>
    </row>
    <row r="163">
      <c r="A163" t="inlineStr">
        <is>
          <t>FKEX00162</t>
        </is>
      </c>
      <c r="B163" t="inlineStr">
        <is>
          <t>15 LL_Device</t>
        </is>
      </c>
      <c r="C163" t="inlineStr">
        <is>
          <t>tblDeviceModel</t>
        </is>
      </c>
      <c r="D163" t="n">
        <v>55</v>
      </c>
      <c r="E163" t="inlineStr">
        <is>
          <t>MOD000052</t>
        </is>
      </c>
      <c r="F163" t="inlineStr">
        <is>
          <t>DeviceTypeID</t>
        </is>
      </c>
      <c r="G163" t="inlineStr">
        <is>
          <t>DT002</t>
        </is>
      </c>
      <c r="H163" t="inlineStr">
        <is>
          <t>tblDeviceTypeIDCrosswalk</t>
        </is>
      </c>
      <c r="I163" t="inlineStr"/>
      <c r="J163" t="inlineStr">
        <is>
          <t>No Supported Match</t>
        </is>
      </c>
      <c r="K163" t="inlineStr">
        <is>
          <t>None</t>
        </is>
      </c>
      <c r="L163" t="inlineStr">
        <is>
          <t>Crosswalk Pending</t>
        </is>
      </c>
      <c r="M163" t="inlineStr">
        <is>
          <t>Open</t>
        </is>
      </c>
      <c r="N163" t="inlineStr"/>
    </row>
    <row r="164">
      <c r="A164" t="inlineStr">
        <is>
          <t>FKEX00163</t>
        </is>
      </c>
      <c r="B164" t="inlineStr">
        <is>
          <t>15 LL_Device</t>
        </is>
      </c>
      <c r="C164" t="inlineStr">
        <is>
          <t>tblDeviceModel</t>
        </is>
      </c>
      <c r="D164" t="n">
        <v>56</v>
      </c>
      <c r="E164" t="inlineStr">
        <is>
          <t>MOD000053</t>
        </is>
      </c>
      <c r="F164" t="inlineStr">
        <is>
          <t>ManufacturerID</t>
        </is>
      </c>
      <c r="G164" t="inlineStr">
        <is>
          <t>MFG001</t>
        </is>
      </c>
      <c r="H164" t="inlineStr">
        <is>
          <t>tblManufacturerIDCrosswalk</t>
        </is>
      </c>
      <c r="I164" t="inlineStr"/>
      <c r="J164" t="inlineStr">
        <is>
          <t>No Supported Match</t>
        </is>
      </c>
      <c r="K164" t="inlineStr">
        <is>
          <t>None</t>
        </is>
      </c>
      <c r="L164" t="inlineStr">
        <is>
          <t>Crosswalk Pending</t>
        </is>
      </c>
      <c r="M164" t="inlineStr">
        <is>
          <t>Open</t>
        </is>
      </c>
      <c r="N164" t="inlineStr"/>
    </row>
    <row r="165">
      <c r="A165" t="inlineStr">
        <is>
          <t>FKEX00164</t>
        </is>
      </c>
      <c r="B165" t="inlineStr">
        <is>
          <t>15 LL_Device</t>
        </is>
      </c>
      <c r="C165" t="inlineStr">
        <is>
          <t>tblDeviceModel</t>
        </is>
      </c>
      <c r="D165" t="n">
        <v>56</v>
      </c>
      <c r="E165" t="inlineStr">
        <is>
          <t>MOD000053</t>
        </is>
      </c>
      <c r="F165" t="inlineStr">
        <is>
          <t>DeviceFamilyID</t>
        </is>
      </c>
      <c r="G165" t="inlineStr">
        <is>
          <t>DF002</t>
        </is>
      </c>
      <c r="H165" t="inlineStr">
        <is>
          <t>tblDeviceFamilyIDCrosswalk</t>
        </is>
      </c>
      <c r="I165" t="inlineStr"/>
      <c r="J165" t="inlineStr">
        <is>
          <t>tblDeviceModel</t>
        </is>
      </c>
      <c r="K165" t="inlineStr">
        <is>
          <t>Exact ID</t>
        </is>
      </c>
      <c r="L165" t="inlineStr">
        <is>
          <t>Crosswalk Pending</t>
        </is>
      </c>
      <c r="M165" t="inlineStr">
        <is>
          <t>Open</t>
        </is>
      </c>
      <c r="N165" t="inlineStr"/>
    </row>
    <row r="166">
      <c r="A166" t="inlineStr">
        <is>
          <t>FKEX00165</t>
        </is>
      </c>
      <c r="B166" t="inlineStr">
        <is>
          <t>15 LL_Device</t>
        </is>
      </c>
      <c r="C166" t="inlineStr">
        <is>
          <t>tblDeviceModel</t>
        </is>
      </c>
      <c r="D166" t="n">
        <v>56</v>
      </c>
      <c r="E166" t="inlineStr">
        <is>
          <t>MOD000053</t>
        </is>
      </c>
      <c r="F166" t="inlineStr">
        <is>
          <t>DeviceTypeID</t>
        </is>
      </c>
      <c r="G166" t="inlineStr">
        <is>
          <t>DT002</t>
        </is>
      </c>
      <c r="H166" t="inlineStr">
        <is>
          <t>tblDeviceTypeIDCrosswalk</t>
        </is>
      </c>
      <c r="I166" t="inlineStr"/>
      <c r="J166" t="inlineStr">
        <is>
          <t>No Supported Match</t>
        </is>
      </c>
      <c r="K166" t="inlineStr">
        <is>
          <t>None</t>
        </is>
      </c>
      <c r="L166" t="inlineStr">
        <is>
          <t>Crosswalk Pending</t>
        </is>
      </c>
      <c r="M166" t="inlineStr">
        <is>
          <t>Open</t>
        </is>
      </c>
      <c r="N166" t="inlineStr"/>
    </row>
    <row r="167">
      <c r="A167" t="inlineStr">
        <is>
          <t>FKEX00166</t>
        </is>
      </c>
      <c r="B167" t="inlineStr">
        <is>
          <t>15 LL_Device</t>
        </is>
      </c>
      <c r="C167" t="inlineStr">
        <is>
          <t>tblDeviceModel</t>
        </is>
      </c>
      <c r="D167" t="n">
        <v>57</v>
      </c>
      <c r="E167" t="inlineStr">
        <is>
          <t>MOD000054</t>
        </is>
      </c>
      <c r="F167" t="inlineStr">
        <is>
          <t>ManufacturerID</t>
        </is>
      </c>
      <c r="G167" t="inlineStr">
        <is>
          <t>MFG001</t>
        </is>
      </c>
      <c r="H167" t="inlineStr">
        <is>
          <t>tblManufacturerIDCrosswalk</t>
        </is>
      </c>
      <c r="I167" t="inlineStr"/>
      <c r="J167" t="inlineStr">
        <is>
          <t>No Supported Match</t>
        </is>
      </c>
      <c r="K167" t="inlineStr">
        <is>
          <t>None</t>
        </is>
      </c>
      <c r="L167" t="inlineStr">
        <is>
          <t>Crosswalk Pending</t>
        </is>
      </c>
      <c r="M167" t="inlineStr">
        <is>
          <t>Open</t>
        </is>
      </c>
      <c r="N167" t="inlineStr"/>
    </row>
    <row r="168">
      <c r="A168" t="inlineStr">
        <is>
          <t>FKEX00167</t>
        </is>
      </c>
      <c r="B168" t="inlineStr">
        <is>
          <t>15 LL_Device</t>
        </is>
      </c>
      <c r="C168" t="inlineStr">
        <is>
          <t>tblDeviceModel</t>
        </is>
      </c>
      <c r="D168" t="n">
        <v>57</v>
      </c>
      <c r="E168" t="inlineStr">
        <is>
          <t>MOD000054</t>
        </is>
      </c>
      <c r="F168" t="inlineStr">
        <is>
          <t>DeviceFamilyID</t>
        </is>
      </c>
      <c r="G168" t="inlineStr">
        <is>
          <t>DF002</t>
        </is>
      </c>
      <c r="H168" t="inlineStr">
        <is>
          <t>tblDeviceFamilyIDCrosswalk</t>
        </is>
      </c>
      <c r="I168" t="inlineStr"/>
      <c r="J168" t="inlineStr">
        <is>
          <t>tblDeviceModel</t>
        </is>
      </c>
      <c r="K168" t="inlineStr">
        <is>
          <t>Exact ID</t>
        </is>
      </c>
      <c r="L168" t="inlineStr">
        <is>
          <t>Crosswalk Pending</t>
        </is>
      </c>
      <c r="M168" t="inlineStr">
        <is>
          <t>Open</t>
        </is>
      </c>
      <c r="N168" t="inlineStr"/>
    </row>
    <row r="169">
      <c r="A169" t="inlineStr">
        <is>
          <t>FKEX00168</t>
        </is>
      </c>
      <c r="B169" t="inlineStr">
        <is>
          <t>15 LL_Device</t>
        </is>
      </c>
      <c r="C169" t="inlineStr">
        <is>
          <t>tblDeviceModel</t>
        </is>
      </c>
      <c r="D169" t="n">
        <v>57</v>
      </c>
      <c r="E169" t="inlineStr">
        <is>
          <t>MOD000054</t>
        </is>
      </c>
      <c r="F169" t="inlineStr">
        <is>
          <t>DeviceTypeID</t>
        </is>
      </c>
      <c r="G169" t="inlineStr">
        <is>
          <t>DT002</t>
        </is>
      </c>
      <c r="H169" t="inlineStr">
        <is>
          <t>tblDeviceTypeIDCrosswalk</t>
        </is>
      </c>
      <c r="I169" t="inlineStr"/>
      <c r="J169" t="inlineStr">
        <is>
          <t>No Supported Match</t>
        </is>
      </c>
      <c r="K169" t="inlineStr">
        <is>
          <t>None</t>
        </is>
      </c>
      <c r="L169" t="inlineStr">
        <is>
          <t>Crosswalk Pending</t>
        </is>
      </c>
      <c r="M169" t="inlineStr">
        <is>
          <t>Open</t>
        </is>
      </c>
      <c r="N169" t="inlineStr"/>
    </row>
    <row r="170">
      <c r="A170" t="inlineStr">
        <is>
          <t>FKEX00169</t>
        </is>
      </c>
      <c r="B170" t="inlineStr">
        <is>
          <t>15 LL_Device</t>
        </is>
      </c>
      <c r="C170" t="inlineStr">
        <is>
          <t>tblDeviceModel</t>
        </is>
      </c>
      <c r="D170" t="n">
        <v>58</v>
      </c>
      <c r="E170" t="inlineStr">
        <is>
          <t>MOD000055</t>
        </is>
      </c>
      <c r="F170" t="inlineStr">
        <is>
          <t>ManufacturerID</t>
        </is>
      </c>
      <c r="G170" t="inlineStr">
        <is>
          <t>MFG001</t>
        </is>
      </c>
      <c r="H170" t="inlineStr">
        <is>
          <t>tblManufacturerIDCrosswalk</t>
        </is>
      </c>
      <c r="I170" t="inlineStr"/>
      <c r="J170" t="inlineStr">
        <is>
          <t>No Supported Match</t>
        </is>
      </c>
      <c r="K170" t="inlineStr">
        <is>
          <t>None</t>
        </is>
      </c>
      <c r="L170" t="inlineStr">
        <is>
          <t>Crosswalk Pending</t>
        </is>
      </c>
      <c r="M170" t="inlineStr">
        <is>
          <t>Open</t>
        </is>
      </c>
      <c r="N170" t="inlineStr"/>
    </row>
    <row r="171">
      <c r="A171" t="inlineStr">
        <is>
          <t>FKEX00170</t>
        </is>
      </c>
      <c r="B171" t="inlineStr">
        <is>
          <t>15 LL_Device</t>
        </is>
      </c>
      <c r="C171" t="inlineStr">
        <is>
          <t>tblDeviceModel</t>
        </is>
      </c>
      <c r="D171" t="n">
        <v>58</v>
      </c>
      <c r="E171" t="inlineStr">
        <is>
          <t>MOD000055</t>
        </is>
      </c>
      <c r="F171" t="inlineStr">
        <is>
          <t>DeviceFamilyID</t>
        </is>
      </c>
      <c r="G171" t="inlineStr">
        <is>
          <t>DF002</t>
        </is>
      </c>
      <c r="H171" t="inlineStr">
        <is>
          <t>tblDeviceFamilyIDCrosswalk</t>
        </is>
      </c>
      <c r="I171" t="inlineStr"/>
      <c r="J171" t="inlineStr">
        <is>
          <t>tblDeviceModel</t>
        </is>
      </c>
      <c r="K171" t="inlineStr">
        <is>
          <t>Exact ID</t>
        </is>
      </c>
      <c r="L171" t="inlineStr">
        <is>
          <t>Crosswalk Pending</t>
        </is>
      </c>
      <c r="M171" t="inlineStr">
        <is>
          <t>Open</t>
        </is>
      </c>
      <c r="N171" t="inlineStr"/>
    </row>
    <row r="172">
      <c r="A172" t="inlineStr">
        <is>
          <t>FKEX00171</t>
        </is>
      </c>
      <c r="B172" t="inlineStr">
        <is>
          <t>15 LL_Device</t>
        </is>
      </c>
      <c r="C172" t="inlineStr">
        <is>
          <t>tblDeviceModel</t>
        </is>
      </c>
      <c r="D172" t="n">
        <v>58</v>
      </c>
      <c r="E172" t="inlineStr">
        <is>
          <t>MOD000055</t>
        </is>
      </c>
      <c r="F172" t="inlineStr">
        <is>
          <t>DeviceTypeID</t>
        </is>
      </c>
      <c r="G172" t="inlineStr">
        <is>
          <t>DT002</t>
        </is>
      </c>
      <c r="H172" t="inlineStr">
        <is>
          <t>tblDeviceTypeIDCrosswalk</t>
        </is>
      </c>
      <c r="I172" t="inlineStr"/>
      <c r="J172" t="inlineStr">
        <is>
          <t>No Supported Match</t>
        </is>
      </c>
      <c r="K172" t="inlineStr">
        <is>
          <t>None</t>
        </is>
      </c>
      <c r="L172" t="inlineStr">
        <is>
          <t>Crosswalk Pending</t>
        </is>
      </c>
      <c r="M172" t="inlineStr">
        <is>
          <t>Open</t>
        </is>
      </c>
      <c r="N172" t="inlineStr"/>
    </row>
    <row r="173">
      <c r="A173" t="inlineStr">
        <is>
          <t>FKEX00172</t>
        </is>
      </c>
      <c r="B173" t="inlineStr">
        <is>
          <t>15 LL_Device</t>
        </is>
      </c>
      <c r="C173" t="inlineStr">
        <is>
          <t>tblDeviceModel</t>
        </is>
      </c>
      <c r="D173" t="n">
        <v>59</v>
      </c>
      <c r="E173" t="inlineStr">
        <is>
          <t>MOD000056</t>
        </is>
      </c>
      <c r="F173" t="inlineStr">
        <is>
          <t>ManufacturerID</t>
        </is>
      </c>
      <c r="G173" t="inlineStr">
        <is>
          <t>MFG001</t>
        </is>
      </c>
      <c r="H173" t="inlineStr">
        <is>
          <t>tblManufacturerIDCrosswalk</t>
        </is>
      </c>
      <c r="I173" t="inlineStr"/>
      <c r="J173" t="inlineStr">
        <is>
          <t>No Supported Match</t>
        </is>
      </c>
      <c r="K173" t="inlineStr">
        <is>
          <t>None</t>
        </is>
      </c>
      <c r="L173" t="inlineStr">
        <is>
          <t>Crosswalk Pending</t>
        </is>
      </c>
      <c r="M173" t="inlineStr">
        <is>
          <t>Open</t>
        </is>
      </c>
      <c r="N173" t="inlineStr"/>
    </row>
    <row r="174">
      <c r="A174" t="inlineStr">
        <is>
          <t>FKEX00173</t>
        </is>
      </c>
      <c r="B174" t="inlineStr">
        <is>
          <t>15 LL_Device</t>
        </is>
      </c>
      <c r="C174" t="inlineStr">
        <is>
          <t>tblDeviceModel</t>
        </is>
      </c>
      <c r="D174" t="n">
        <v>59</v>
      </c>
      <c r="E174" t="inlineStr">
        <is>
          <t>MOD000056</t>
        </is>
      </c>
      <c r="F174" t="inlineStr">
        <is>
          <t>DeviceFamilyID</t>
        </is>
      </c>
      <c r="G174" t="inlineStr">
        <is>
          <t>DF002</t>
        </is>
      </c>
      <c r="H174" t="inlineStr">
        <is>
          <t>tblDeviceFamilyIDCrosswalk</t>
        </is>
      </c>
      <c r="I174" t="inlineStr"/>
      <c r="J174" t="inlineStr">
        <is>
          <t>tblDeviceModel</t>
        </is>
      </c>
      <c r="K174" t="inlineStr">
        <is>
          <t>Exact ID</t>
        </is>
      </c>
      <c r="L174" t="inlineStr">
        <is>
          <t>Crosswalk Pending</t>
        </is>
      </c>
      <c r="M174" t="inlineStr">
        <is>
          <t>Open</t>
        </is>
      </c>
      <c r="N174" t="inlineStr"/>
    </row>
    <row r="175">
      <c r="A175" t="inlineStr">
        <is>
          <t>FKEX00174</t>
        </is>
      </c>
      <c r="B175" t="inlineStr">
        <is>
          <t>15 LL_Device</t>
        </is>
      </c>
      <c r="C175" t="inlineStr">
        <is>
          <t>tblDeviceModel</t>
        </is>
      </c>
      <c r="D175" t="n">
        <v>59</v>
      </c>
      <c r="E175" t="inlineStr">
        <is>
          <t>MOD000056</t>
        </is>
      </c>
      <c r="F175" t="inlineStr">
        <is>
          <t>DeviceTypeID</t>
        </is>
      </c>
      <c r="G175" t="inlineStr">
        <is>
          <t>DT002</t>
        </is>
      </c>
      <c r="H175" t="inlineStr">
        <is>
          <t>tblDeviceTypeIDCrosswalk</t>
        </is>
      </c>
      <c r="I175" t="inlineStr"/>
      <c r="J175" t="inlineStr">
        <is>
          <t>No Supported Match</t>
        </is>
      </c>
      <c r="K175" t="inlineStr">
        <is>
          <t>None</t>
        </is>
      </c>
      <c r="L175" t="inlineStr">
        <is>
          <t>Crosswalk Pending</t>
        </is>
      </c>
      <c r="M175" t="inlineStr">
        <is>
          <t>Open</t>
        </is>
      </c>
      <c r="N175" t="inlineStr"/>
    </row>
    <row r="176">
      <c r="A176" t="inlineStr">
        <is>
          <t>FKEX00175</t>
        </is>
      </c>
      <c r="B176" t="inlineStr">
        <is>
          <t>15 LL_Device</t>
        </is>
      </c>
      <c r="C176" t="inlineStr">
        <is>
          <t>tblDeviceModel</t>
        </is>
      </c>
      <c r="D176" t="n">
        <v>60</v>
      </c>
      <c r="E176" t="inlineStr">
        <is>
          <t>MOD000057</t>
        </is>
      </c>
      <c r="F176" t="inlineStr">
        <is>
          <t>ManufacturerID</t>
        </is>
      </c>
      <c r="G176" t="inlineStr">
        <is>
          <t>MFG001</t>
        </is>
      </c>
      <c r="H176" t="inlineStr">
        <is>
          <t>tblManufacturerIDCrosswalk</t>
        </is>
      </c>
      <c r="I176" t="inlineStr"/>
      <c r="J176" t="inlineStr">
        <is>
          <t>No Supported Match</t>
        </is>
      </c>
      <c r="K176" t="inlineStr">
        <is>
          <t>None</t>
        </is>
      </c>
      <c r="L176" t="inlineStr">
        <is>
          <t>Crosswalk Pending</t>
        </is>
      </c>
      <c r="M176" t="inlineStr">
        <is>
          <t>Open</t>
        </is>
      </c>
      <c r="N176" t="inlineStr"/>
    </row>
    <row r="177">
      <c r="A177" t="inlineStr">
        <is>
          <t>FKEX00176</t>
        </is>
      </c>
      <c r="B177" t="inlineStr">
        <is>
          <t>15 LL_Device</t>
        </is>
      </c>
      <c r="C177" t="inlineStr">
        <is>
          <t>tblDeviceModel</t>
        </is>
      </c>
      <c r="D177" t="n">
        <v>60</v>
      </c>
      <c r="E177" t="inlineStr">
        <is>
          <t>MOD000057</t>
        </is>
      </c>
      <c r="F177" t="inlineStr">
        <is>
          <t>DeviceFamilyID</t>
        </is>
      </c>
      <c r="G177" t="inlineStr">
        <is>
          <t>DF002</t>
        </is>
      </c>
      <c r="H177" t="inlineStr">
        <is>
          <t>tblDeviceFamilyIDCrosswalk</t>
        </is>
      </c>
      <c r="I177" t="inlineStr"/>
      <c r="J177" t="inlineStr">
        <is>
          <t>tblDeviceModel</t>
        </is>
      </c>
      <c r="K177" t="inlineStr">
        <is>
          <t>Exact ID</t>
        </is>
      </c>
      <c r="L177" t="inlineStr">
        <is>
          <t>Crosswalk Pending</t>
        </is>
      </c>
      <c r="M177" t="inlineStr">
        <is>
          <t>Open</t>
        </is>
      </c>
      <c r="N177" t="inlineStr"/>
    </row>
    <row r="178">
      <c r="A178" t="inlineStr">
        <is>
          <t>FKEX00177</t>
        </is>
      </c>
      <c r="B178" t="inlineStr">
        <is>
          <t>15 LL_Device</t>
        </is>
      </c>
      <c r="C178" t="inlineStr">
        <is>
          <t>tblDeviceModel</t>
        </is>
      </c>
      <c r="D178" t="n">
        <v>60</v>
      </c>
      <c r="E178" t="inlineStr">
        <is>
          <t>MOD000057</t>
        </is>
      </c>
      <c r="F178" t="inlineStr">
        <is>
          <t>DeviceTypeID</t>
        </is>
      </c>
      <c r="G178" t="inlineStr">
        <is>
          <t>DT002</t>
        </is>
      </c>
      <c r="H178" t="inlineStr">
        <is>
          <t>tblDeviceTypeIDCrosswalk</t>
        </is>
      </c>
      <c r="I178" t="inlineStr"/>
      <c r="J178" t="inlineStr">
        <is>
          <t>No Supported Match</t>
        </is>
      </c>
      <c r="K178" t="inlineStr">
        <is>
          <t>None</t>
        </is>
      </c>
      <c r="L178" t="inlineStr">
        <is>
          <t>Crosswalk Pending</t>
        </is>
      </c>
      <c r="M178" t="inlineStr">
        <is>
          <t>Open</t>
        </is>
      </c>
      <c r="N178" t="inlineStr"/>
    </row>
    <row r="179">
      <c r="A179" t="inlineStr">
        <is>
          <t>FKEX00178</t>
        </is>
      </c>
      <c r="B179" t="inlineStr">
        <is>
          <t>15 LL_Device</t>
        </is>
      </c>
      <c r="C179" t="inlineStr">
        <is>
          <t>tblDeviceModel</t>
        </is>
      </c>
      <c r="D179" t="n">
        <v>61</v>
      </c>
      <c r="E179" t="inlineStr">
        <is>
          <t>MOD000058</t>
        </is>
      </c>
      <c r="F179" t="inlineStr">
        <is>
          <t>ManufacturerID</t>
        </is>
      </c>
      <c r="G179" t="inlineStr">
        <is>
          <t>MFG001</t>
        </is>
      </c>
      <c r="H179" t="inlineStr">
        <is>
          <t>tblManufacturerIDCrosswalk</t>
        </is>
      </c>
      <c r="I179" t="inlineStr"/>
      <c r="J179" t="inlineStr">
        <is>
          <t>No Supported Match</t>
        </is>
      </c>
      <c r="K179" t="inlineStr">
        <is>
          <t>None</t>
        </is>
      </c>
      <c r="L179" t="inlineStr">
        <is>
          <t>Crosswalk Pending</t>
        </is>
      </c>
      <c r="M179" t="inlineStr">
        <is>
          <t>Open</t>
        </is>
      </c>
      <c r="N179" t="inlineStr"/>
    </row>
    <row r="180">
      <c r="A180" t="inlineStr">
        <is>
          <t>FKEX00179</t>
        </is>
      </c>
      <c r="B180" t="inlineStr">
        <is>
          <t>15 LL_Device</t>
        </is>
      </c>
      <c r="C180" t="inlineStr">
        <is>
          <t>tblDeviceModel</t>
        </is>
      </c>
      <c r="D180" t="n">
        <v>61</v>
      </c>
      <c r="E180" t="inlineStr">
        <is>
          <t>MOD000058</t>
        </is>
      </c>
      <c r="F180" t="inlineStr">
        <is>
          <t>DeviceFamilyID</t>
        </is>
      </c>
      <c r="G180" t="inlineStr">
        <is>
          <t>DF004</t>
        </is>
      </c>
      <c r="H180" t="inlineStr">
        <is>
          <t>tblDeviceFamilyIDCrosswalk</t>
        </is>
      </c>
      <c r="I180" t="inlineStr"/>
      <c r="J180" t="inlineStr">
        <is>
          <t>tblDeviceModel</t>
        </is>
      </c>
      <c r="K180" t="inlineStr">
        <is>
          <t>Exact ID</t>
        </is>
      </c>
      <c r="L180" t="inlineStr">
        <is>
          <t>Crosswalk Pending</t>
        </is>
      </c>
      <c r="M180" t="inlineStr">
        <is>
          <t>Open</t>
        </is>
      </c>
      <c r="N180" t="inlineStr"/>
    </row>
    <row r="181">
      <c r="A181" t="inlineStr">
        <is>
          <t>FKEX00180</t>
        </is>
      </c>
      <c r="B181" t="inlineStr">
        <is>
          <t>15 LL_Device</t>
        </is>
      </c>
      <c r="C181" t="inlineStr">
        <is>
          <t>tblDeviceModel</t>
        </is>
      </c>
      <c r="D181" t="n">
        <v>61</v>
      </c>
      <c r="E181" t="inlineStr">
        <is>
          <t>MOD000058</t>
        </is>
      </c>
      <c r="F181" t="inlineStr">
        <is>
          <t>DeviceTypeID</t>
        </is>
      </c>
      <c r="G181" t="inlineStr">
        <is>
          <t>DT002</t>
        </is>
      </c>
      <c r="H181" t="inlineStr">
        <is>
          <t>tblDeviceTypeIDCrosswalk</t>
        </is>
      </c>
      <c r="I181" t="inlineStr"/>
      <c r="J181" t="inlineStr">
        <is>
          <t>No Supported Match</t>
        </is>
      </c>
      <c r="K181" t="inlineStr">
        <is>
          <t>None</t>
        </is>
      </c>
      <c r="L181" t="inlineStr">
        <is>
          <t>Crosswalk Pending</t>
        </is>
      </c>
      <c r="M181" t="inlineStr">
        <is>
          <t>Open</t>
        </is>
      </c>
      <c r="N181" t="inlineStr"/>
    </row>
    <row r="182">
      <c r="A182" t="inlineStr">
        <is>
          <t>FKEX00181</t>
        </is>
      </c>
      <c r="B182" t="inlineStr">
        <is>
          <t>15 LL_Device</t>
        </is>
      </c>
      <c r="C182" t="inlineStr">
        <is>
          <t>tblDeviceModel</t>
        </is>
      </c>
      <c r="D182" t="n">
        <v>62</v>
      </c>
      <c r="E182" t="inlineStr">
        <is>
          <t>MOD000059</t>
        </is>
      </c>
      <c r="F182" t="inlineStr">
        <is>
          <t>ManufacturerID</t>
        </is>
      </c>
      <c r="G182" t="inlineStr">
        <is>
          <t>MFG001</t>
        </is>
      </c>
      <c r="H182" t="inlineStr">
        <is>
          <t>tblManufacturerIDCrosswalk</t>
        </is>
      </c>
      <c r="I182" t="inlineStr"/>
      <c r="J182" t="inlineStr">
        <is>
          <t>No Supported Match</t>
        </is>
      </c>
      <c r="K182" t="inlineStr">
        <is>
          <t>None</t>
        </is>
      </c>
      <c r="L182" t="inlineStr">
        <is>
          <t>Crosswalk Pending</t>
        </is>
      </c>
      <c r="M182" t="inlineStr">
        <is>
          <t>Open</t>
        </is>
      </c>
      <c r="N182" t="inlineStr"/>
    </row>
    <row r="183">
      <c r="A183" t="inlineStr">
        <is>
          <t>FKEX00182</t>
        </is>
      </c>
      <c r="B183" t="inlineStr">
        <is>
          <t>15 LL_Device</t>
        </is>
      </c>
      <c r="C183" t="inlineStr">
        <is>
          <t>tblDeviceModel</t>
        </is>
      </c>
      <c r="D183" t="n">
        <v>62</v>
      </c>
      <c r="E183" t="inlineStr">
        <is>
          <t>MOD000059</t>
        </is>
      </c>
      <c r="F183" t="inlineStr">
        <is>
          <t>DeviceFamilyID</t>
        </is>
      </c>
      <c r="G183" t="inlineStr">
        <is>
          <t>DF004</t>
        </is>
      </c>
      <c r="H183" t="inlineStr">
        <is>
          <t>tblDeviceFamilyIDCrosswalk</t>
        </is>
      </c>
      <c r="I183" t="inlineStr"/>
      <c r="J183" t="inlineStr">
        <is>
          <t>tblDeviceModel</t>
        </is>
      </c>
      <c r="K183" t="inlineStr">
        <is>
          <t>Exact ID</t>
        </is>
      </c>
      <c r="L183" t="inlineStr">
        <is>
          <t>Crosswalk Pending</t>
        </is>
      </c>
      <c r="M183" t="inlineStr">
        <is>
          <t>Open</t>
        </is>
      </c>
      <c r="N183" t="inlineStr"/>
    </row>
    <row r="184">
      <c r="A184" t="inlineStr">
        <is>
          <t>FKEX00183</t>
        </is>
      </c>
      <c r="B184" t="inlineStr">
        <is>
          <t>15 LL_Device</t>
        </is>
      </c>
      <c r="C184" t="inlineStr">
        <is>
          <t>tblDeviceModel</t>
        </is>
      </c>
      <c r="D184" t="n">
        <v>62</v>
      </c>
      <c r="E184" t="inlineStr">
        <is>
          <t>MOD000059</t>
        </is>
      </c>
      <c r="F184" t="inlineStr">
        <is>
          <t>DeviceTypeID</t>
        </is>
      </c>
      <c r="G184" t="inlineStr">
        <is>
          <t>DT002</t>
        </is>
      </c>
      <c r="H184" t="inlineStr">
        <is>
          <t>tblDeviceTypeIDCrosswalk</t>
        </is>
      </c>
      <c r="I184" t="inlineStr"/>
      <c r="J184" t="inlineStr">
        <is>
          <t>No Supported Match</t>
        </is>
      </c>
      <c r="K184" t="inlineStr">
        <is>
          <t>None</t>
        </is>
      </c>
      <c r="L184" t="inlineStr">
        <is>
          <t>Crosswalk Pending</t>
        </is>
      </c>
      <c r="M184" t="inlineStr">
        <is>
          <t>Open</t>
        </is>
      </c>
      <c r="N184" t="inlineStr"/>
    </row>
    <row r="185">
      <c r="A185" t="inlineStr">
        <is>
          <t>FKEX00184</t>
        </is>
      </c>
      <c r="B185" t="inlineStr">
        <is>
          <t>15 LL_Device</t>
        </is>
      </c>
      <c r="C185" t="inlineStr">
        <is>
          <t>tblDeviceModel</t>
        </is>
      </c>
      <c r="D185" t="n">
        <v>63</v>
      </c>
      <c r="E185" t="inlineStr">
        <is>
          <t>MOD000060</t>
        </is>
      </c>
      <c r="F185" t="inlineStr">
        <is>
          <t>ManufacturerID</t>
        </is>
      </c>
      <c r="G185" t="inlineStr">
        <is>
          <t>MFG001</t>
        </is>
      </c>
      <c r="H185" t="inlineStr">
        <is>
          <t>tblManufacturerIDCrosswalk</t>
        </is>
      </c>
      <c r="I185" t="inlineStr"/>
      <c r="J185" t="inlineStr">
        <is>
          <t>No Supported Match</t>
        </is>
      </c>
      <c r="K185" t="inlineStr">
        <is>
          <t>None</t>
        </is>
      </c>
      <c r="L185" t="inlineStr">
        <is>
          <t>Crosswalk Pending</t>
        </is>
      </c>
      <c r="M185" t="inlineStr">
        <is>
          <t>Open</t>
        </is>
      </c>
      <c r="N185" t="inlineStr"/>
    </row>
    <row r="186">
      <c r="A186" t="inlineStr">
        <is>
          <t>FKEX00185</t>
        </is>
      </c>
      <c r="B186" t="inlineStr">
        <is>
          <t>15 LL_Device</t>
        </is>
      </c>
      <c r="C186" t="inlineStr">
        <is>
          <t>tblDeviceModel</t>
        </is>
      </c>
      <c r="D186" t="n">
        <v>63</v>
      </c>
      <c r="E186" t="inlineStr">
        <is>
          <t>MOD000060</t>
        </is>
      </c>
      <c r="F186" t="inlineStr">
        <is>
          <t>DeviceFamilyID</t>
        </is>
      </c>
      <c r="G186" t="inlineStr">
        <is>
          <t>DF004</t>
        </is>
      </c>
      <c r="H186" t="inlineStr">
        <is>
          <t>tblDeviceFamilyIDCrosswalk</t>
        </is>
      </c>
      <c r="I186" t="inlineStr"/>
      <c r="J186" t="inlineStr">
        <is>
          <t>tblDeviceModel</t>
        </is>
      </c>
      <c r="K186" t="inlineStr">
        <is>
          <t>Exact ID</t>
        </is>
      </c>
      <c r="L186" t="inlineStr">
        <is>
          <t>Crosswalk Pending</t>
        </is>
      </c>
      <c r="M186" t="inlineStr">
        <is>
          <t>Open</t>
        </is>
      </c>
      <c r="N186" t="inlineStr"/>
    </row>
    <row r="187">
      <c r="A187" t="inlineStr">
        <is>
          <t>FKEX00186</t>
        </is>
      </c>
      <c r="B187" t="inlineStr">
        <is>
          <t>15 LL_Device</t>
        </is>
      </c>
      <c r="C187" t="inlineStr">
        <is>
          <t>tblDeviceModel</t>
        </is>
      </c>
      <c r="D187" t="n">
        <v>63</v>
      </c>
      <c r="E187" t="inlineStr">
        <is>
          <t>MOD000060</t>
        </is>
      </c>
      <c r="F187" t="inlineStr">
        <is>
          <t>DeviceTypeID</t>
        </is>
      </c>
      <c r="G187" t="inlineStr">
        <is>
          <t>DT002</t>
        </is>
      </c>
      <c r="H187" t="inlineStr">
        <is>
          <t>tblDeviceTypeIDCrosswalk</t>
        </is>
      </c>
      <c r="I187" t="inlineStr"/>
      <c r="J187" t="inlineStr">
        <is>
          <t>No Supported Match</t>
        </is>
      </c>
      <c r="K187" t="inlineStr">
        <is>
          <t>None</t>
        </is>
      </c>
      <c r="L187" t="inlineStr">
        <is>
          <t>Crosswalk Pending</t>
        </is>
      </c>
      <c r="M187" t="inlineStr">
        <is>
          <t>Open</t>
        </is>
      </c>
      <c r="N187" t="inlineStr"/>
    </row>
    <row r="188">
      <c r="A188" t="inlineStr">
        <is>
          <t>FKEX00187</t>
        </is>
      </c>
      <c r="B188" t="inlineStr">
        <is>
          <t>15 LL_Device</t>
        </is>
      </c>
      <c r="C188" t="inlineStr">
        <is>
          <t>tblDeviceModel</t>
        </is>
      </c>
      <c r="D188" t="n">
        <v>64</v>
      </c>
      <c r="E188" t="inlineStr">
        <is>
          <t>MOD000061</t>
        </is>
      </c>
      <c r="F188" t="inlineStr">
        <is>
          <t>ManufacturerID</t>
        </is>
      </c>
      <c r="G188" t="inlineStr">
        <is>
          <t>MFG001</t>
        </is>
      </c>
      <c r="H188" t="inlineStr">
        <is>
          <t>tblManufacturerIDCrosswalk</t>
        </is>
      </c>
      <c r="I188" t="inlineStr"/>
      <c r="J188" t="inlineStr">
        <is>
          <t>No Supported Match</t>
        </is>
      </c>
      <c r="K188" t="inlineStr">
        <is>
          <t>None</t>
        </is>
      </c>
      <c r="L188" t="inlineStr">
        <is>
          <t>Crosswalk Pending</t>
        </is>
      </c>
      <c r="M188" t="inlineStr">
        <is>
          <t>Open</t>
        </is>
      </c>
      <c r="N188" t="inlineStr"/>
    </row>
    <row r="189">
      <c r="A189" t="inlineStr">
        <is>
          <t>FKEX00188</t>
        </is>
      </c>
      <c r="B189" t="inlineStr">
        <is>
          <t>15 LL_Device</t>
        </is>
      </c>
      <c r="C189" t="inlineStr">
        <is>
          <t>tblDeviceModel</t>
        </is>
      </c>
      <c r="D189" t="n">
        <v>64</v>
      </c>
      <c r="E189" t="inlineStr">
        <is>
          <t>MOD000061</t>
        </is>
      </c>
      <c r="F189" t="inlineStr">
        <is>
          <t>DeviceFamilyID</t>
        </is>
      </c>
      <c r="G189" t="inlineStr">
        <is>
          <t>DF004</t>
        </is>
      </c>
      <c r="H189" t="inlineStr">
        <is>
          <t>tblDeviceFamilyIDCrosswalk</t>
        </is>
      </c>
      <c r="I189" t="inlineStr"/>
      <c r="J189" t="inlineStr">
        <is>
          <t>tblDeviceModel</t>
        </is>
      </c>
      <c r="K189" t="inlineStr">
        <is>
          <t>Exact ID</t>
        </is>
      </c>
      <c r="L189" t="inlineStr">
        <is>
          <t>Crosswalk Pending</t>
        </is>
      </c>
      <c r="M189" t="inlineStr">
        <is>
          <t>Open</t>
        </is>
      </c>
      <c r="N189" t="inlineStr"/>
    </row>
    <row r="190">
      <c r="A190" t="inlineStr">
        <is>
          <t>FKEX00189</t>
        </is>
      </c>
      <c r="B190" t="inlineStr">
        <is>
          <t>15 LL_Device</t>
        </is>
      </c>
      <c r="C190" t="inlineStr">
        <is>
          <t>tblDeviceModel</t>
        </is>
      </c>
      <c r="D190" t="n">
        <v>64</v>
      </c>
      <c r="E190" t="inlineStr">
        <is>
          <t>MOD000061</t>
        </is>
      </c>
      <c r="F190" t="inlineStr">
        <is>
          <t>DeviceTypeID</t>
        </is>
      </c>
      <c r="G190" t="inlineStr">
        <is>
          <t>DT002</t>
        </is>
      </c>
      <c r="H190" t="inlineStr">
        <is>
          <t>tblDeviceTypeIDCrosswalk</t>
        </is>
      </c>
      <c r="I190" t="inlineStr"/>
      <c r="J190" t="inlineStr">
        <is>
          <t>No Supported Match</t>
        </is>
      </c>
      <c r="K190" t="inlineStr">
        <is>
          <t>None</t>
        </is>
      </c>
      <c r="L190" t="inlineStr">
        <is>
          <t>Crosswalk Pending</t>
        </is>
      </c>
      <c r="M190" t="inlineStr">
        <is>
          <t>Open</t>
        </is>
      </c>
      <c r="N190" t="inlineStr"/>
    </row>
    <row r="191">
      <c r="A191" t="inlineStr">
        <is>
          <t>FKEX00190</t>
        </is>
      </c>
      <c r="B191" t="inlineStr">
        <is>
          <t>15 LL_Device</t>
        </is>
      </c>
      <c r="C191" t="inlineStr">
        <is>
          <t>tblDeviceModel</t>
        </is>
      </c>
      <c r="D191" t="n">
        <v>65</v>
      </c>
      <c r="E191" t="inlineStr">
        <is>
          <t>MOD000062</t>
        </is>
      </c>
      <c r="F191" t="inlineStr">
        <is>
          <t>ManufacturerID</t>
        </is>
      </c>
      <c r="G191" t="inlineStr">
        <is>
          <t>MFG001</t>
        </is>
      </c>
      <c r="H191" t="inlineStr">
        <is>
          <t>tblManufacturerIDCrosswalk</t>
        </is>
      </c>
      <c r="I191" t="inlineStr"/>
      <c r="J191" t="inlineStr">
        <is>
          <t>No Supported Match</t>
        </is>
      </c>
      <c r="K191" t="inlineStr">
        <is>
          <t>None</t>
        </is>
      </c>
      <c r="L191" t="inlineStr">
        <is>
          <t>Crosswalk Pending</t>
        </is>
      </c>
      <c r="M191" t="inlineStr">
        <is>
          <t>Open</t>
        </is>
      </c>
      <c r="N191" t="inlineStr"/>
    </row>
    <row r="192">
      <c r="A192" t="inlineStr">
        <is>
          <t>FKEX00191</t>
        </is>
      </c>
      <c r="B192" t="inlineStr">
        <is>
          <t>15 LL_Device</t>
        </is>
      </c>
      <c r="C192" t="inlineStr">
        <is>
          <t>tblDeviceModel</t>
        </is>
      </c>
      <c r="D192" t="n">
        <v>65</v>
      </c>
      <c r="E192" t="inlineStr">
        <is>
          <t>MOD000062</t>
        </is>
      </c>
      <c r="F192" t="inlineStr">
        <is>
          <t>DeviceFamilyID</t>
        </is>
      </c>
      <c r="G192" t="inlineStr">
        <is>
          <t>DF004</t>
        </is>
      </c>
      <c r="H192" t="inlineStr">
        <is>
          <t>tblDeviceFamilyIDCrosswalk</t>
        </is>
      </c>
      <c r="I192" t="inlineStr"/>
      <c r="J192" t="inlineStr">
        <is>
          <t>tblDeviceModel</t>
        </is>
      </c>
      <c r="K192" t="inlineStr">
        <is>
          <t>Exact ID</t>
        </is>
      </c>
      <c r="L192" t="inlineStr">
        <is>
          <t>Crosswalk Pending</t>
        </is>
      </c>
      <c r="M192" t="inlineStr">
        <is>
          <t>Open</t>
        </is>
      </c>
      <c r="N192" t="inlineStr"/>
    </row>
    <row r="193">
      <c r="A193" t="inlineStr">
        <is>
          <t>FKEX00192</t>
        </is>
      </c>
      <c r="B193" t="inlineStr">
        <is>
          <t>15 LL_Device</t>
        </is>
      </c>
      <c r="C193" t="inlineStr">
        <is>
          <t>tblDeviceModel</t>
        </is>
      </c>
      <c r="D193" t="n">
        <v>65</v>
      </c>
      <c r="E193" t="inlineStr">
        <is>
          <t>MOD000062</t>
        </is>
      </c>
      <c r="F193" t="inlineStr">
        <is>
          <t>DeviceTypeID</t>
        </is>
      </c>
      <c r="G193" t="inlineStr">
        <is>
          <t>DT002</t>
        </is>
      </c>
      <c r="H193" t="inlineStr">
        <is>
          <t>tblDeviceTypeIDCrosswalk</t>
        </is>
      </c>
      <c r="I193" t="inlineStr"/>
      <c r="J193" t="inlineStr">
        <is>
          <t>No Supported Match</t>
        </is>
      </c>
      <c r="K193" t="inlineStr">
        <is>
          <t>None</t>
        </is>
      </c>
      <c r="L193" t="inlineStr">
        <is>
          <t>Crosswalk Pending</t>
        </is>
      </c>
      <c r="M193" t="inlineStr">
        <is>
          <t>Open</t>
        </is>
      </c>
      <c r="N193" t="inlineStr"/>
    </row>
    <row r="194">
      <c r="A194" t="inlineStr">
        <is>
          <t>FKEX00193</t>
        </is>
      </c>
      <c r="B194" t="inlineStr">
        <is>
          <t>15 LL_Device</t>
        </is>
      </c>
      <c r="C194" t="inlineStr">
        <is>
          <t>tblDeviceModel</t>
        </is>
      </c>
      <c r="D194" t="n">
        <v>66</v>
      </c>
      <c r="E194" t="inlineStr">
        <is>
          <t>MOD000063</t>
        </is>
      </c>
      <c r="F194" t="inlineStr">
        <is>
          <t>ManufacturerID</t>
        </is>
      </c>
      <c r="G194" t="inlineStr">
        <is>
          <t>MFG001</t>
        </is>
      </c>
      <c r="H194" t="inlineStr">
        <is>
          <t>tblManufacturerIDCrosswalk</t>
        </is>
      </c>
      <c r="I194" t="inlineStr"/>
      <c r="J194" t="inlineStr">
        <is>
          <t>No Supported Match</t>
        </is>
      </c>
      <c r="K194" t="inlineStr">
        <is>
          <t>None</t>
        </is>
      </c>
      <c r="L194" t="inlineStr">
        <is>
          <t>Crosswalk Pending</t>
        </is>
      </c>
      <c r="M194" t="inlineStr">
        <is>
          <t>Open</t>
        </is>
      </c>
      <c r="N194" t="inlineStr"/>
    </row>
    <row r="195">
      <c r="A195" t="inlineStr">
        <is>
          <t>FKEX00194</t>
        </is>
      </c>
      <c r="B195" t="inlineStr">
        <is>
          <t>15 LL_Device</t>
        </is>
      </c>
      <c r="C195" t="inlineStr">
        <is>
          <t>tblDeviceModel</t>
        </is>
      </c>
      <c r="D195" t="n">
        <v>66</v>
      </c>
      <c r="E195" t="inlineStr">
        <is>
          <t>MOD000063</t>
        </is>
      </c>
      <c r="F195" t="inlineStr">
        <is>
          <t>DeviceFamilyID</t>
        </is>
      </c>
      <c r="G195" t="inlineStr">
        <is>
          <t>DF004</t>
        </is>
      </c>
      <c r="H195" t="inlineStr">
        <is>
          <t>tblDeviceFamilyIDCrosswalk</t>
        </is>
      </c>
      <c r="I195" t="inlineStr"/>
      <c r="J195" t="inlineStr">
        <is>
          <t>tblDeviceModel</t>
        </is>
      </c>
      <c r="K195" t="inlineStr">
        <is>
          <t>Exact ID</t>
        </is>
      </c>
      <c r="L195" t="inlineStr">
        <is>
          <t>Crosswalk Pending</t>
        </is>
      </c>
      <c r="M195" t="inlineStr">
        <is>
          <t>Open</t>
        </is>
      </c>
      <c r="N195" t="inlineStr"/>
    </row>
    <row r="196">
      <c r="A196" t="inlineStr">
        <is>
          <t>FKEX00195</t>
        </is>
      </c>
      <c r="B196" t="inlineStr">
        <is>
          <t>15 LL_Device</t>
        </is>
      </c>
      <c r="C196" t="inlineStr">
        <is>
          <t>tblDeviceModel</t>
        </is>
      </c>
      <c r="D196" t="n">
        <v>66</v>
      </c>
      <c r="E196" t="inlineStr">
        <is>
          <t>MOD000063</t>
        </is>
      </c>
      <c r="F196" t="inlineStr">
        <is>
          <t>DeviceTypeID</t>
        </is>
      </c>
      <c r="G196" t="inlineStr">
        <is>
          <t>DT002</t>
        </is>
      </c>
      <c r="H196" t="inlineStr">
        <is>
          <t>tblDeviceTypeIDCrosswalk</t>
        </is>
      </c>
      <c r="I196" t="inlineStr"/>
      <c r="J196" t="inlineStr">
        <is>
          <t>No Supported Match</t>
        </is>
      </c>
      <c r="K196" t="inlineStr">
        <is>
          <t>None</t>
        </is>
      </c>
      <c r="L196" t="inlineStr">
        <is>
          <t>Crosswalk Pending</t>
        </is>
      </c>
      <c r="M196" t="inlineStr">
        <is>
          <t>Open</t>
        </is>
      </c>
      <c r="N196" t="inlineStr"/>
    </row>
    <row r="197">
      <c r="A197" t="inlineStr">
        <is>
          <t>FKEX00196</t>
        </is>
      </c>
      <c r="B197" t="inlineStr">
        <is>
          <t>15 LL_Device</t>
        </is>
      </c>
      <c r="C197" t="inlineStr">
        <is>
          <t>tblDeviceModel</t>
        </is>
      </c>
      <c r="D197" t="n">
        <v>67</v>
      </c>
      <c r="E197" t="inlineStr">
        <is>
          <t>MOD000064</t>
        </is>
      </c>
      <c r="F197" t="inlineStr">
        <is>
          <t>ManufacturerID</t>
        </is>
      </c>
      <c r="G197" t="inlineStr">
        <is>
          <t>MFG001</t>
        </is>
      </c>
      <c r="H197" t="inlineStr">
        <is>
          <t>tblManufacturerIDCrosswalk</t>
        </is>
      </c>
      <c r="I197" t="inlineStr"/>
      <c r="J197" t="inlineStr">
        <is>
          <t>No Supported Match</t>
        </is>
      </c>
      <c r="K197" t="inlineStr">
        <is>
          <t>None</t>
        </is>
      </c>
      <c r="L197" t="inlineStr">
        <is>
          <t>Crosswalk Pending</t>
        </is>
      </c>
      <c r="M197" t="inlineStr">
        <is>
          <t>Open</t>
        </is>
      </c>
      <c r="N197" t="inlineStr"/>
    </row>
    <row r="198">
      <c r="A198" t="inlineStr">
        <is>
          <t>FKEX00197</t>
        </is>
      </c>
      <c r="B198" t="inlineStr">
        <is>
          <t>15 LL_Device</t>
        </is>
      </c>
      <c r="C198" t="inlineStr">
        <is>
          <t>tblDeviceModel</t>
        </is>
      </c>
      <c r="D198" t="n">
        <v>67</v>
      </c>
      <c r="E198" t="inlineStr">
        <is>
          <t>MOD000064</t>
        </is>
      </c>
      <c r="F198" t="inlineStr">
        <is>
          <t>DeviceFamilyID</t>
        </is>
      </c>
      <c r="G198" t="inlineStr">
        <is>
          <t>DF003</t>
        </is>
      </c>
      <c r="H198" t="inlineStr">
        <is>
          <t>tblDeviceFamilyIDCrosswalk</t>
        </is>
      </c>
      <c r="I198" t="inlineStr"/>
      <c r="J198" t="inlineStr">
        <is>
          <t>tblDeviceModel</t>
        </is>
      </c>
      <c r="K198" t="inlineStr">
        <is>
          <t>Exact ID</t>
        </is>
      </c>
      <c r="L198" t="inlineStr">
        <is>
          <t>Crosswalk Pending</t>
        </is>
      </c>
      <c r="M198" t="inlineStr">
        <is>
          <t>Open</t>
        </is>
      </c>
      <c r="N198" t="inlineStr"/>
    </row>
    <row r="199">
      <c r="A199" t="inlineStr">
        <is>
          <t>FKEX00198</t>
        </is>
      </c>
      <c r="B199" t="inlineStr">
        <is>
          <t>15 LL_Device</t>
        </is>
      </c>
      <c r="C199" t="inlineStr">
        <is>
          <t>tblDeviceModel</t>
        </is>
      </c>
      <c r="D199" t="n">
        <v>67</v>
      </c>
      <c r="E199" t="inlineStr">
        <is>
          <t>MOD000064</t>
        </is>
      </c>
      <c r="F199" t="inlineStr">
        <is>
          <t>DeviceTypeID</t>
        </is>
      </c>
      <c r="G199" t="inlineStr">
        <is>
          <t>DT002</t>
        </is>
      </c>
      <c r="H199" t="inlineStr">
        <is>
          <t>tblDeviceTypeIDCrosswalk</t>
        </is>
      </c>
      <c r="I199" t="inlineStr"/>
      <c r="J199" t="inlineStr">
        <is>
          <t>No Supported Match</t>
        </is>
      </c>
      <c r="K199" t="inlineStr">
        <is>
          <t>None</t>
        </is>
      </c>
      <c r="L199" t="inlineStr">
        <is>
          <t>Crosswalk Pending</t>
        </is>
      </c>
      <c r="M199" t="inlineStr">
        <is>
          <t>Open</t>
        </is>
      </c>
      <c r="N199" t="inlineStr"/>
    </row>
    <row r="200">
      <c r="A200" t="inlineStr">
        <is>
          <t>FKEX00199</t>
        </is>
      </c>
      <c r="B200" t="inlineStr">
        <is>
          <t>15 LL_Device</t>
        </is>
      </c>
      <c r="C200" t="inlineStr">
        <is>
          <t>tblDeviceModel</t>
        </is>
      </c>
      <c r="D200" t="n">
        <v>68</v>
      </c>
      <c r="E200" t="inlineStr">
        <is>
          <t>MOD000065</t>
        </is>
      </c>
      <c r="F200" t="inlineStr">
        <is>
          <t>ManufacturerID</t>
        </is>
      </c>
      <c r="G200" t="inlineStr">
        <is>
          <t>MFG001</t>
        </is>
      </c>
      <c r="H200" t="inlineStr">
        <is>
          <t>tblManufacturerIDCrosswalk</t>
        </is>
      </c>
      <c r="I200" t="inlineStr"/>
      <c r="J200" t="inlineStr">
        <is>
          <t>No Supported Match</t>
        </is>
      </c>
      <c r="K200" t="inlineStr">
        <is>
          <t>None</t>
        </is>
      </c>
      <c r="L200" t="inlineStr">
        <is>
          <t>Crosswalk Pending</t>
        </is>
      </c>
      <c r="M200" t="inlineStr">
        <is>
          <t>Open</t>
        </is>
      </c>
      <c r="N200" t="inlineStr"/>
    </row>
    <row r="201">
      <c r="A201" t="inlineStr">
        <is>
          <t>FKEX00200</t>
        </is>
      </c>
      <c r="B201" t="inlineStr">
        <is>
          <t>15 LL_Device</t>
        </is>
      </c>
      <c r="C201" t="inlineStr">
        <is>
          <t>tblDeviceModel</t>
        </is>
      </c>
      <c r="D201" t="n">
        <v>68</v>
      </c>
      <c r="E201" t="inlineStr">
        <is>
          <t>MOD000065</t>
        </is>
      </c>
      <c r="F201" t="inlineStr">
        <is>
          <t>DeviceFamilyID</t>
        </is>
      </c>
      <c r="G201" t="inlineStr">
        <is>
          <t>DF003</t>
        </is>
      </c>
      <c r="H201" t="inlineStr">
        <is>
          <t>tblDeviceFamilyIDCrosswalk</t>
        </is>
      </c>
      <c r="I201" t="inlineStr"/>
      <c r="J201" t="inlineStr">
        <is>
          <t>tblDeviceModel</t>
        </is>
      </c>
      <c r="K201" t="inlineStr">
        <is>
          <t>Exact ID</t>
        </is>
      </c>
      <c r="L201" t="inlineStr">
        <is>
          <t>Crosswalk Pending</t>
        </is>
      </c>
      <c r="M201" t="inlineStr">
        <is>
          <t>Open</t>
        </is>
      </c>
      <c r="N201" t="inlineStr"/>
    </row>
    <row r="202">
      <c r="A202" t="inlineStr">
        <is>
          <t>FKEX00201</t>
        </is>
      </c>
      <c r="B202" t="inlineStr">
        <is>
          <t>15 LL_Device</t>
        </is>
      </c>
      <c r="C202" t="inlineStr">
        <is>
          <t>tblDeviceModel</t>
        </is>
      </c>
      <c r="D202" t="n">
        <v>68</v>
      </c>
      <c r="E202" t="inlineStr">
        <is>
          <t>MOD000065</t>
        </is>
      </c>
      <c r="F202" t="inlineStr">
        <is>
          <t>DeviceTypeID</t>
        </is>
      </c>
      <c r="G202" t="inlineStr">
        <is>
          <t>DT002</t>
        </is>
      </c>
      <c r="H202" t="inlineStr">
        <is>
          <t>tblDeviceTypeIDCrosswalk</t>
        </is>
      </c>
      <c r="I202" t="inlineStr"/>
      <c r="J202" t="inlineStr">
        <is>
          <t>No Supported Match</t>
        </is>
      </c>
      <c r="K202" t="inlineStr">
        <is>
          <t>None</t>
        </is>
      </c>
      <c r="L202" t="inlineStr">
        <is>
          <t>Crosswalk Pending</t>
        </is>
      </c>
      <c r="M202" t="inlineStr">
        <is>
          <t>Open</t>
        </is>
      </c>
      <c r="N202" t="inlineStr"/>
    </row>
    <row r="203">
      <c r="A203" t="inlineStr">
        <is>
          <t>FKEX00202</t>
        </is>
      </c>
      <c r="B203" t="inlineStr">
        <is>
          <t>15 LL_Device</t>
        </is>
      </c>
      <c r="C203" t="inlineStr">
        <is>
          <t>tblDeviceModel</t>
        </is>
      </c>
      <c r="D203" t="n">
        <v>69</v>
      </c>
      <c r="E203" t="inlineStr">
        <is>
          <t>MOD000066</t>
        </is>
      </c>
      <c r="F203" t="inlineStr">
        <is>
          <t>ManufacturerID</t>
        </is>
      </c>
      <c r="G203" t="inlineStr">
        <is>
          <t>MFG001</t>
        </is>
      </c>
      <c r="H203" t="inlineStr">
        <is>
          <t>tblManufacturerIDCrosswalk</t>
        </is>
      </c>
      <c r="I203" t="inlineStr"/>
      <c r="J203" t="inlineStr">
        <is>
          <t>No Supported Match</t>
        </is>
      </c>
      <c r="K203" t="inlineStr">
        <is>
          <t>None</t>
        </is>
      </c>
      <c r="L203" t="inlineStr">
        <is>
          <t>Crosswalk Pending</t>
        </is>
      </c>
      <c r="M203" t="inlineStr">
        <is>
          <t>Open</t>
        </is>
      </c>
      <c r="N203" t="inlineStr"/>
    </row>
    <row r="204">
      <c r="A204" t="inlineStr">
        <is>
          <t>FKEX00203</t>
        </is>
      </c>
      <c r="B204" t="inlineStr">
        <is>
          <t>15 LL_Device</t>
        </is>
      </c>
      <c r="C204" t="inlineStr">
        <is>
          <t>tblDeviceModel</t>
        </is>
      </c>
      <c r="D204" t="n">
        <v>69</v>
      </c>
      <c r="E204" t="inlineStr">
        <is>
          <t>MOD000066</t>
        </is>
      </c>
      <c r="F204" t="inlineStr">
        <is>
          <t>DeviceFamilyID</t>
        </is>
      </c>
      <c r="G204" t="inlineStr">
        <is>
          <t>DF003</t>
        </is>
      </c>
      <c r="H204" t="inlineStr">
        <is>
          <t>tblDeviceFamilyIDCrosswalk</t>
        </is>
      </c>
      <c r="I204" t="inlineStr"/>
      <c r="J204" t="inlineStr">
        <is>
          <t>tblDeviceModel</t>
        </is>
      </c>
      <c r="K204" t="inlineStr">
        <is>
          <t>Exact ID</t>
        </is>
      </c>
      <c r="L204" t="inlineStr">
        <is>
          <t>Crosswalk Pending</t>
        </is>
      </c>
      <c r="M204" t="inlineStr">
        <is>
          <t>Open</t>
        </is>
      </c>
      <c r="N204" t="inlineStr"/>
    </row>
    <row r="205">
      <c r="A205" t="inlineStr">
        <is>
          <t>FKEX00204</t>
        </is>
      </c>
      <c r="B205" t="inlineStr">
        <is>
          <t>15 LL_Device</t>
        </is>
      </c>
      <c r="C205" t="inlineStr">
        <is>
          <t>tblDeviceModel</t>
        </is>
      </c>
      <c r="D205" t="n">
        <v>69</v>
      </c>
      <c r="E205" t="inlineStr">
        <is>
          <t>MOD000066</t>
        </is>
      </c>
      <c r="F205" t="inlineStr">
        <is>
          <t>DeviceTypeID</t>
        </is>
      </c>
      <c r="G205" t="inlineStr">
        <is>
          <t>DT002</t>
        </is>
      </c>
      <c r="H205" t="inlineStr">
        <is>
          <t>tblDeviceTypeIDCrosswalk</t>
        </is>
      </c>
      <c r="I205" t="inlineStr"/>
      <c r="J205" t="inlineStr">
        <is>
          <t>No Supported Match</t>
        </is>
      </c>
      <c r="K205" t="inlineStr">
        <is>
          <t>None</t>
        </is>
      </c>
      <c r="L205" t="inlineStr">
        <is>
          <t>Crosswalk Pending</t>
        </is>
      </c>
      <c r="M205" t="inlineStr">
        <is>
          <t>Open</t>
        </is>
      </c>
      <c r="N205" t="inlineStr"/>
    </row>
    <row r="206">
      <c r="A206" t="inlineStr">
        <is>
          <t>FKEX00205</t>
        </is>
      </c>
      <c r="B206" t="inlineStr">
        <is>
          <t>15 LL_Device</t>
        </is>
      </c>
      <c r="C206" t="inlineStr">
        <is>
          <t>tblDeviceModel</t>
        </is>
      </c>
      <c r="D206" t="n">
        <v>70</v>
      </c>
      <c r="E206" t="inlineStr">
        <is>
          <t>MOD000067</t>
        </is>
      </c>
      <c r="F206" t="inlineStr">
        <is>
          <t>ManufacturerID</t>
        </is>
      </c>
      <c r="G206" t="inlineStr">
        <is>
          <t>MFG001</t>
        </is>
      </c>
      <c r="H206" t="inlineStr">
        <is>
          <t>tblManufacturerIDCrosswalk</t>
        </is>
      </c>
      <c r="I206" t="inlineStr"/>
      <c r="J206" t="inlineStr">
        <is>
          <t>No Supported Match</t>
        </is>
      </c>
      <c r="K206" t="inlineStr">
        <is>
          <t>None</t>
        </is>
      </c>
      <c r="L206" t="inlineStr">
        <is>
          <t>Crosswalk Pending</t>
        </is>
      </c>
      <c r="M206" t="inlineStr">
        <is>
          <t>Open</t>
        </is>
      </c>
      <c r="N206" t="inlineStr"/>
    </row>
    <row r="207">
      <c r="A207" t="inlineStr">
        <is>
          <t>FKEX00206</t>
        </is>
      </c>
      <c r="B207" t="inlineStr">
        <is>
          <t>15 LL_Device</t>
        </is>
      </c>
      <c r="C207" t="inlineStr">
        <is>
          <t>tblDeviceModel</t>
        </is>
      </c>
      <c r="D207" t="n">
        <v>70</v>
      </c>
      <c r="E207" t="inlineStr">
        <is>
          <t>MOD000067</t>
        </is>
      </c>
      <c r="F207" t="inlineStr">
        <is>
          <t>DeviceFamilyID</t>
        </is>
      </c>
      <c r="G207" t="inlineStr">
        <is>
          <t>DF003</t>
        </is>
      </c>
      <c r="H207" t="inlineStr">
        <is>
          <t>tblDeviceFamilyIDCrosswalk</t>
        </is>
      </c>
      <c r="I207" t="inlineStr"/>
      <c r="J207" t="inlineStr">
        <is>
          <t>tblDeviceModel</t>
        </is>
      </c>
      <c r="K207" t="inlineStr">
        <is>
          <t>Exact ID</t>
        </is>
      </c>
      <c r="L207" t="inlineStr">
        <is>
          <t>Crosswalk Pending</t>
        </is>
      </c>
      <c r="M207" t="inlineStr">
        <is>
          <t>Open</t>
        </is>
      </c>
      <c r="N207" t="inlineStr"/>
    </row>
    <row r="208">
      <c r="A208" t="inlineStr">
        <is>
          <t>FKEX00207</t>
        </is>
      </c>
      <c r="B208" t="inlineStr">
        <is>
          <t>15 LL_Device</t>
        </is>
      </c>
      <c r="C208" t="inlineStr">
        <is>
          <t>tblDeviceModel</t>
        </is>
      </c>
      <c r="D208" t="n">
        <v>70</v>
      </c>
      <c r="E208" t="inlineStr">
        <is>
          <t>MOD000067</t>
        </is>
      </c>
      <c r="F208" t="inlineStr">
        <is>
          <t>DeviceTypeID</t>
        </is>
      </c>
      <c r="G208" t="inlineStr">
        <is>
          <t>DT002</t>
        </is>
      </c>
      <c r="H208" t="inlineStr">
        <is>
          <t>tblDeviceTypeIDCrosswalk</t>
        </is>
      </c>
      <c r="I208" t="inlineStr"/>
      <c r="J208" t="inlineStr">
        <is>
          <t>No Supported Match</t>
        </is>
      </c>
      <c r="K208" t="inlineStr">
        <is>
          <t>None</t>
        </is>
      </c>
      <c r="L208" t="inlineStr">
        <is>
          <t>Crosswalk Pending</t>
        </is>
      </c>
      <c r="M208" t="inlineStr">
        <is>
          <t>Open</t>
        </is>
      </c>
      <c r="N208" t="inlineStr"/>
    </row>
    <row r="209">
      <c r="A209" t="inlineStr">
        <is>
          <t>FKEX00208</t>
        </is>
      </c>
      <c r="B209" t="inlineStr">
        <is>
          <t>15 LL_Device</t>
        </is>
      </c>
      <c r="C209" t="inlineStr">
        <is>
          <t>tblDeviceModel</t>
        </is>
      </c>
      <c r="D209" t="n">
        <v>71</v>
      </c>
      <c r="E209" t="inlineStr">
        <is>
          <t>MOD000068</t>
        </is>
      </c>
      <c r="F209" t="inlineStr">
        <is>
          <t>ManufacturerID</t>
        </is>
      </c>
      <c r="G209" t="inlineStr">
        <is>
          <t>MFG001</t>
        </is>
      </c>
      <c r="H209" t="inlineStr">
        <is>
          <t>tblManufacturerIDCrosswalk</t>
        </is>
      </c>
      <c r="I209" t="inlineStr"/>
      <c r="J209" t="inlineStr">
        <is>
          <t>No Supported Match</t>
        </is>
      </c>
      <c r="K209" t="inlineStr">
        <is>
          <t>None</t>
        </is>
      </c>
      <c r="L209" t="inlineStr">
        <is>
          <t>Crosswalk Pending</t>
        </is>
      </c>
      <c r="M209" t="inlineStr">
        <is>
          <t>Open</t>
        </is>
      </c>
      <c r="N209" t="inlineStr"/>
    </row>
    <row r="210">
      <c r="A210" t="inlineStr">
        <is>
          <t>FKEX00209</t>
        </is>
      </c>
      <c r="B210" t="inlineStr">
        <is>
          <t>15 LL_Device</t>
        </is>
      </c>
      <c r="C210" t="inlineStr">
        <is>
          <t>tblDeviceModel</t>
        </is>
      </c>
      <c r="D210" t="n">
        <v>71</v>
      </c>
      <c r="E210" t="inlineStr">
        <is>
          <t>MOD000068</t>
        </is>
      </c>
      <c r="F210" t="inlineStr">
        <is>
          <t>DeviceFamilyID</t>
        </is>
      </c>
      <c r="G210" t="inlineStr">
        <is>
          <t>DF003</t>
        </is>
      </c>
      <c r="H210" t="inlineStr">
        <is>
          <t>tblDeviceFamilyIDCrosswalk</t>
        </is>
      </c>
      <c r="I210" t="inlineStr"/>
      <c r="J210" t="inlineStr">
        <is>
          <t>tblDeviceModel</t>
        </is>
      </c>
      <c r="K210" t="inlineStr">
        <is>
          <t>Exact ID</t>
        </is>
      </c>
      <c r="L210" t="inlineStr">
        <is>
          <t>Crosswalk Pending</t>
        </is>
      </c>
      <c r="M210" t="inlineStr">
        <is>
          <t>Open</t>
        </is>
      </c>
      <c r="N210" t="inlineStr"/>
    </row>
    <row r="211">
      <c r="A211" t="inlineStr">
        <is>
          <t>FKEX00210</t>
        </is>
      </c>
      <c r="B211" t="inlineStr">
        <is>
          <t>15 LL_Device</t>
        </is>
      </c>
      <c r="C211" t="inlineStr">
        <is>
          <t>tblDeviceModel</t>
        </is>
      </c>
      <c r="D211" t="n">
        <v>71</v>
      </c>
      <c r="E211" t="inlineStr">
        <is>
          <t>MOD000068</t>
        </is>
      </c>
      <c r="F211" t="inlineStr">
        <is>
          <t>DeviceTypeID</t>
        </is>
      </c>
      <c r="G211" t="inlineStr">
        <is>
          <t>DT002</t>
        </is>
      </c>
      <c r="H211" t="inlineStr">
        <is>
          <t>tblDeviceTypeIDCrosswalk</t>
        </is>
      </c>
      <c r="I211" t="inlineStr"/>
      <c r="J211" t="inlineStr">
        <is>
          <t>No Supported Match</t>
        </is>
      </c>
      <c r="K211" t="inlineStr">
        <is>
          <t>None</t>
        </is>
      </c>
      <c r="L211" t="inlineStr">
        <is>
          <t>Crosswalk Pending</t>
        </is>
      </c>
      <c r="M211" t="inlineStr">
        <is>
          <t>Open</t>
        </is>
      </c>
      <c r="N211" t="inlineStr"/>
    </row>
    <row r="212">
      <c r="A212" t="inlineStr">
        <is>
          <t>FKEX00211</t>
        </is>
      </c>
      <c r="B212" t="inlineStr">
        <is>
          <t>15 LL_Device</t>
        </is>
      </c>
      <c r="C212" t="inlineStr">
        <is>
          <t>tblDeviceModel</t>
        </is>
      </c>
      <c r="D212" t="n">
        <v>72</v>
      </c>
      <c r="E212" t="inlineStr">
        <is>
          <t>MOD000069</t>
        </is>
      </c>
      <c r="F212" t="inlineStr">
        <is>
          <t>ManufacturerID</t>
        </is>
      </c>
      <c r="G212" t="inlineStr">
        <is>
          <t>MFG001</t>
        </is>
      </c>
      <c r="H212" t="inlineStr">
        <is>
          <t>tblManufacturerIDCrosswalk</t>
        </is>
      </c>
      <c r="I212" t="inlineStr"/>
      <c r="J212" t="inlineStr">
        <is>
          <t>No Supported Match</t>
        </is>
      </c>
      <c r="K212" t="inlineStr">
        <is>
          <t>None</t>
        </is>
      </c>
      <c r="L212" t="inlineStr">
        <is>
          <t>Crosswalk Pending</t>
        </is>
      </c>
      <c r="M212" t="inlineStr">
        <is>
          <t>Open</t>
        </is>
      </c>
      <c r="N212" t="inlineStr"/>
    </row>
    <row r="213">
      <c r="A213" t="inlineStr">
        <is>
          <t>FKEX00212</t>
        </is>
      </c>
      <c r="B213" t="inlineStr">
        <is>
          <t>15 LL_Device</t>
        </is>
      </c>
      <c r="C213" t="inlineStr">
        <is>
          <t>tblDeviceModel</t>
        </is>
      </c>
      <c r="D213" t="n">
        <v>72</v>
      </c>
      <c r="E213" t="inlineStr">
        <is>
          <t>MOD000069</t>
        </is>
      </c>
      <c r="F213" t="inlineStr">
        <is>
          <t>DeviceFamilyID</t>
        </is>
      </c>
      <c r="G213" t="inlineStr">
        <is>
          <t>DF003</t>
        </is>
      </c>
      <c r="H213" t="inlineStr">
        <is>
          <t>tblDeviceFamilyIDCrosswalk</t>
        </is>
      </c>
      <c r="I213" t="inlineStr"/>
      <c r="J213" t="inlineStr">
        <is>
          <t>tblDeviceModel</t>
        </is>
      </c>
      <c r="K213" t="inlineStr">
        <is>
          <t>Exact ID</t>
        </is>
      </c>
      <c r="L213" t="inlineStr">
        <is>
          <t>Crosswalk Pending</t>
        </is>
      </c>
      <c r="M213" t="inlineStr">
        <is>
          <t>Open</t>
        </is>
      </c>
      <c r="N213" t="inlineStr"/>
    </row>
    <row r="214">
      <c r="A214" t="inlineStr">
        <is>
          <t>FKEX00213</t>
        </is>
      </c>
      <c r="B214" t="inlineStr">
        <is>
          <t>15 LL_Device</t>
        </is>
      </c>
      <c r="C214" t="inlineStr">
        <is>
          <t>tblDeviceModel</t>
        </is>
      </c>
      <c r="D214" t="n">
        <v>72</v>
      </c>
      <c r="E214" t="inlineStr">
        <is>
          <t>MOD000069</t>
        </is>
      </c>
      <c r="F214" t="inlineStr">
        <is>
          <t>DeviceTypeID</t>
        </is>
      </c>
      <c r="G214" t="inlineStr">
        <is>
          <t>DT002</t>
        </is>
      </c>
      <c r="H214" t="inlineStr">
        <is>
          <t>tblDeviceTypeIDCrosswalk</t>
        </is>
      </c>
      <c r="I214" t="inlineStr"/>
      <c r="J214" t="inlineStr">
        <is>
          <t>No Supported Match</t>
        </is>
      </c>
      <c r="K214" t="inlineStr">
        <is>
          <t>None</t>
        </is>
      </c>
      <c r="L214" t="inlineStr">
        <is>
          <t>Crosswalk Pending</t>
        </is>
      </c>
      <c r="M214" t="inlineStr">
        <is>
          <t>Open</t>
        </is>
      </c>
      <c r="N214" t="inlineStr"/>
    </row>
    <row r="215">
      <c r="A215" t="inlineStr">
        <is>
          <t>FKEX00214</t>
        </is>
      </c>
      <c r="B215" t="inlineStr">
        <is>
          <t>15 LL_Device</t>
        </is>
      </c>
      <c r="C215" t="inlineStr">
        <is>
          <t>tblDeviceModel</t>
        </is>
      </c>
      <c r="D215" t="n">
        <v>73</v>
      </c>
      <c r="E215" t="inlineStr">
        <is>
          <t>MOD000070</t>
        </is>
      </c>
      <c r="F215" t="inlineStr">
        <is>
          <t>ManufacturerID</t>
        </is>
      </c>
      <c r="G215" t="inlineStr">
        <is>
          <t>MFG001</t>
        </is>
      </c>
      <c r="H215" t="inlineStr">
        <is>
          <t>tblManufacturerIDCrosswalk</t>
        </is>
      </c>
      <c r="I215" t="inlineStr"/>
      <c r="J215" t="inlineStr">
        <is>
          <t>No Supported Match</t>
        </is>
      </c>
      <c r="K215" t="inlineStr">
        <is>
          <t>None</t>
        </is>
      </c>
      <c r="L215" t="inlineStr">
        <is>
          <t>Crosswalk Pending</t>
        </is>
      </c>
      <c r="M215" t="inlineStr">
        <is>
          <t>Open</t>
        </is>
      </c>
      <c r="N215" t="inlineStr"/>
    </row>
    <row r="216">
      <c r="A216" t="inlineStr">
        <is>
          <t>FKEX00215</t>
        </is>
      </c>
      <c r="B216" t="inlineStr">
        <is>
          <t>15 LL_Device</t>
        </is>
      </c>
      <c r="C216" t="inlineStr">
        <is>
          <t>tblDeviceModel</t>
        </is>
      </c>
      <c r="D216" t="n">
        <v>73</v>
      </c>
      <c r="E216" t="inlineStr">
        <is>
          <t>MOD000070</t>
        </is>
      </c>
      <c r="F216" t="inlineStr">
        <is>
          <t>DeviceFamilyID</t>
        </is>
      </c>
      <c r="G216" t="inlineStr">
        <is>
          <t>DF003</t>
        </is>
      </c>
      <c r="H216" t="inlineStr">
        <is>
          <t>tblDeviceFamilyIDCrosswalk</t>
        </is>
      </c>
      <c r="I216" t="inlineStr"/>
      <c r="J216" t="inlineStr">
        <is>
          <t>tblDeviceModel</t>
        </is>
      </c>
      <c r="K216" t="inlineStr">
        <is>
          <t>Exact ID</t>
        </is>
      </c>
      <c r="L216" t="inlineStr">
        <is>
          <t>Crosswalk Pending</t>
        </is>
      </c>
      <c r="M216" t="inlineStr">
        <is>
          <t>Open</t>
        </is>
      </c>
      <c r="N216" t="inlineStr"/>
    </row>
    <row r="217">
      <c r="A217" t="inlineStr">
        <is>
          <t>FKEX00216</t>
        </is>
      </c>
      <c r="B217" t="inlineStr">
        <is>
          <t>15 LL_Device</t>
        </is>
      </c>
      <c r="C217" t="inlineStr">
        <is>
          <t>tblDeviceModel</t>
        </is>
      </c>
      <c r="D217" t="n">
        <v>73</v>
      </c>
      <c r="E217" t="inlineStr">
        <is>
          <t>MOD000070</t>
        </is>
      </c>
      <c r="F217" t="inlineStr">
        <is>
          <t>DeviceTypeID</t>
        </is>
      </c>
      <c r="G217" t="inlineStr">
        <is>
          <t>DT002</t>
        </is>
      </c>
      <c r="H217" t="inlineStr">
        <is>
          <t>tblDeviceTypeIDCrosswalk</t>
        </is>
      </c>
      <c r="I217" t="inlineStr"/>
      <c r="J217" t="inlineStr">
        <is>
          <t>No Supported Match</t>
        </is>
      </c>
      <c r="K217" t="inlineStr">
        <is>
          <t>None</t>
        </is>
      </c>
      <c r="L217" t="inlineStr">
        <is>
          <t>Crosswalk Pending</t>
        </is>
      </c>
      <c r="M217" t="inlineStr">
        <is>
          <t>Open</t>
        </is>
      </c>
      <c r="N217" t="inlineStr"/>
    </row>
    <row r="218">
      <c r="A218" t="inlineStr">
        <is>
          <t>FKEX00217</t>
        </is>
      </c>
      <c r="B218" t="inlineStr">
        <is>
          <t>15 LL_Device</t>
        </is>
      </c>
      <c r="C218" t="inlineStr">
        <is>
          <t>tblDeviceModel</t>
        </is>
      </c>
      <c r="D218" t="n">
        <v>74</v>
      </c>
      <c r="E218" t="inlineStr">
        <is>
          <t>MOD000071</t>
        </is>
      </c>
      <c r="F218" t="inlineStr">
        <is>
          <t>ManufacturerID</t>
        </is>
      </c>
      <c r="G218" t="inlineStr">
        <is>
          <t>MFG001</t>
        </is>
      </c>
      <c r="H218" t="inlineStr">
        <is>
          <t>tblManufacturerIDCrosswalk</t>
        </is>
      </c>
      <c r="I218" t="inlineStr"/>
      <c r="J218" t="inlineStr">
        <is>
          <t>No Supported Match</t>
        </is>
      </c>
      <c r="K218" t="inlineStr">
        <is>
          <t>None</t>
        </is>
      </c>
      <c r="L218" t="inlineStr">
        <is>
          <t>Crosswalk Pending</t>
        </is>
      </c>
      <c r="M218" t="inlineStr">
        <is>
          <t>Open</t>
        </is>
      </c>
      <c r="N218" t="inlineStr"/>
    </row>
    <row r="219">
      <c r="A219" t="inlineStr">
        <is>
          <t>FKEX00218</t>
        </is>
      </c>
      <c r="B219" t="inlineStr">
        <is>
          <t>15 LL_Device</t>
        </is>
      </c>
      <c r="C219" t="inlineStr">
        <is>
          <t>tblDeviceModel</t>
        </is>
      </c>
      <c r="D219" t="n">
        <v>74</v>
      </c>
      <c r="E219" t="inlineStr">
        <is>
          <t>MOD000071</t>
        </is>
      </c>
      <c r="F219" t="inlineStr">
        <is>
          <t>DeviceFamilyID</t>
        </is>
      </c>
      <c r="G219" t="inlineStr">
        <is>
          <t>DF005</t>
        </is>
      </c>
      <c r="H219" t="inlineStr">
        <is>
          <t>tblDeviceFamilyIDCrosswalk</t>
        </is>
      </c>
      <c r="I219" t="inlineStr"/>
      <c r="J219" t="inlineStr">
        <is>
          <t>tblDeviceModel</t>
        </is>
      </c>
      <c r="K219" t="inlineStr">
        <is>
          <t>Exact ID</t>
        </is>
      </c>
      <c r="L219" t="inlineStr">
        <is>
          <t>Crosswalk Pending</t>
        </is>
      </c>
      <c r="M219" t="inlineStr">
        <is>
          <t>Open</t>
        </is>
      </c>
      <c r="N219" t="inlineStr"/>
    </row>
    <row r="220">
      <c r="A220" t="inlineStr">
        <is>
          <t>FKEX00219</t>
        </is>
      </c>
      <c r="B220" t="inlineStr">
        <is>
          <t>15 LL_Device</t>
        </is>
      </c>
      <c r="C220" t="inlineStr">
        <is>
          <t>tblDeviceModel</t>
        </is>
      </c>
      <c r="D220" t="n">
        <v>74</v>
      </c>
      <c r="E220" t="inlineStr">
        <is>
          <t>MOD000071</t>
        </is>
      </c>
      <c r="F220" t="inlineStr">
        <is>
          <t>DeviceTypeID</t>
        </is>
      </c>
      <c r="G220" t="inlineStr">
        <is>
          <t>DT002</t>
        </is>
      </c>
      <c r="H220" t="inlineStr">
        <is>
          <t>tblDeviceTypeIDCrosswalk</t>
        </is>
      </c>
      <c r="I220" t="inlineStr"/>
      <c r="J220" t="inlineStr">
        <is>
          <t>No Supported Match</t>
        </is>
      </c>
      <c r="K220" t="inlineStr">
        <is>
          <t>None</t>
        </is>
      </c>
      <c r="L220" t="inlineStr">
        <is>
          <t>Crosswalk Pending</t>
        </is>
      </c>
      <c r="M220" t="inlineStr">
        <is>
          <t>Open</t>
        </is>
      </c>
      <c r="N220" t="inlineStr"/>
    </row>
    <row r="221">
      <c r="A221" t="inlineStr">
        <is>
          <t>FKEX00220</t>
        </is>
      </c>
      <c r="B221" t="inlineStr">
        <is>
          <t>15 LL_Device</t>
        </is>
      </c>
      <c r="C221" t="inlineStr">
        <is>
          <t>tblDeviceModel</t>
        </is>
      </c>
      <c r="D221" t="n">
        <v>75</v>
      </c>
      <c r="E221" t="inlineStr">
        <is>
          <t>MOD000072</t>
        </is>
      </c>
      <c r="F221" t="inlineStr">
        <is>
          <t>ManufacturerID</t>
        </is>
      </c>
      <c r="G221" t="inlineStr">
        <is>
          <t>MFG001</t>
        </is>
      </c>
      <c r="H221" t="inlineStr">
        <is>
          <t>tblManufacturerIDCrosswalk</t>
        </is>
      </c>
      <c r="I221" t="inlineStr"/>
      <c r="J221" t="inlineStr">
        <is>
          <t>No Supported Match</t>
        </is>
      </c>
      <c r="K221" t="inlineStr">
        <is>
          <t>None</t>
        </is>
      </c>
      <c r="L221" t="inlineStr">
        <is>
          <t>Crosswalk Pending</t>
        </is>
      </c>
      <c r="M221" t="inlineStr">
        <is>
          <t>Open</t>
        </is>
      </c>
      <c r="N221" t="inlineStr"/>
    </row>
    <row r="222">
      <c r="A222" t="inlineStr">
        <is>
          <t>FKEX00221</t>
        </is>
      </c>
      <c r="B222" t="inlineStr">
        <is>
          <t>15 LL_Device</t>
        </is>
      </c>
      <c r="C222" t="inlineStr">
        <is>
          <t>tblDeviceModel</t>
        </is>
      </c>
      <c r="D222" t="n">
        <v>75</v>
      </c>
      <c r="E222" t="inlineStr">
        <is>
          <t>MOD000072</t>
        </is>
      </c>
      <c r="F222" t="inlineStr">
        <is>
          <t>DeviceFamilyID</t>
        </is>
      </c>
      <c r="G222" t="inlineStr">
        <is>
          <t>DF005</t>
        </is>
      </c>
      <c r="H222" t="inlineStr">
        <is>
          <t>tblDeviceFamilyIDCrosswalk</t>
        </is>
      </c>
      <c r="I222" t="inlineStr"/>
      <c r="J222" t="inlineStr">
        <is>
          <t>tblDeviceModel</t>
        </is>
      </c>
      <c r="K222" t="inlineStr">
        <is>
          <t>Exact ID</t>
        </is>
      </c>
      <c r="L222" t="inlineStr">
        <is>
          <t>Crosswalk Pending</t>
        </is>
      </c>
      <c r="M222" t="inlineStr">
        <is>
          <t>Open</t>
        </is>
      </c>
      <c r="N222" t="inlineStr"/>
    </row>
    <row r="223">
      <c r="A223" t="inlineStr">
        <is>
          <t>FKEX00222</t>
        </is>
      </c>
      <c r="B223" t="inlineStr">
        <is>
          <t>15 LL_Device</t>
        </is>
      </c>
      <c r="C223" t="inlineStr">
        <is>
          <t>tblDeviceModel</t>
        </is>
      </c>
      <c r="D223" t="n">
        <v>75</v>
      </c>
      <c r="E223" t="inlineStr">
        <is>
          <t>MOD000072</t>
        </is>
      </c>
      <c r="F223" t="inlineStr">
        <is>
          <t>DeviceTypeID</t>
        </is>
      </c>
      <c r="G223" t="inlineStr">
        <is>
          <t>DT002</t>
        </is>
      </c>
      <c r="H223" t="inlineStr">
        <is>
          <t>tblDeviceTypeIDCrosswalk</t>
        </is>
      </c>
      <c r="I223" t="inlineStr"/>
      <c r="J223" t="inlineStr">
        <is>
          <t>No Supported Match</t>
        </is>
      </c>
      <c r="K223" t="inlineStr">
        <is>
          <t>None</t>
        </is>
      </c>
      <c r="L223" t="inlineStr">
        <is>
          <t>Crosswalk Pending</t>
        </is>
      </c>
      <c r="M223" t="inlineStr">
        <is>
          <t>Open</t>
        </is>
      </c>
      <c r="N223" t="inlineStr"/>
    </row>
    <row r="224">
      <c r="A224" t="inlineStr">
        <is>
          <t>FKEX00223</t>
        </is>
      </c>
      <c r="B224" t="inlineStr">
        <is>
          <t>15 LL_Device</t>
        </is>
      </c>
      <c r="C224" t="inlineStr">
        <is>
          <t>tblDeviceModel</t>
        </is>
      </c>
      <c r="D224" t="n">
        <v>76</v>
      </c>
      <c r="E224" t="inlineStr">
        <is>
          <t>MOD000073</t>
        </is>
      </c>
      <c r="F224" t="inlineStr">
        <is>
          <t>ManufacturerID</t>
        </is>
      </c>
      <c r="G224" t="inlineStr">
        <is>
          <t>MFG001</t>
        </is>
      </c>
      <c r="H224" t="inlineStr">
        <is>
          <t>tblManufacturerIDCrosswalk</t>
        </is>
      </c>
      <c r="I224" t="inlineStr"/>
      <c r="J224" t="inlineStr">
        <is>
          <t>No Supported Match</t>
        </is>
      </c>
      <c r="K224" t="inlineStr">
        <is>
          <t>None</t>
        </is>
      </c>
      <c r="L224" t="inlineStr">
        <is>
          <t>Crosswalk Pending</t>
        </is>
      </c>
      <c r="M224" t="inlineStr">
        <is>
          <t>Open</t>
        </is>
      </c>
      <c r="N224" t="inlineStr"/>
    </row>
    <row r="225">
      <c r="A225" t="inlineStr">
        <is>
          <t>FKEX00224</t>
        </is>
      </c>
      <c r="B225" t="inlineStr">
        <is>
          <t>15 LL_Device</t>
        </is>
      </c>
      <c r="C225" t="inlineStr">
        <is>
          <t>tblDeviceModel</t>
        </is>
      </c>
      <c r="D225" t="n">
        <v>76</v>
      </c>
      <c r="E225" t="inlineStr">
        <is>
          <t>MOD000073</t>
        </is>
      </c>
      <c r="F225" t="inlineStr">
        <is>
          <t>DeviceFamilyID</t>
        </is>
      </c>
      <c r="G225" t="inlineStr">
        <is>
          <t>DF005</t>
        </is>
      </c>
      <c r="H225" t="inlineStr">
        <is>
          <t>tblDeviceFamilyIDCrosswalk</t>
        </is>
      </c>
      <c r="I225" t="inlineStr"/>
      <c r="J225" t="inlineStr">
        <is>
          <t>tblDeviceModel</t>
        </is>
      </c>
      <c r="K225" t="inlineStr">
        <is>
          <t>Exact ID</t>
        </is>
      </c>
      <c r="L225" t="inlineStr">
        <is>
          <t>Crosswalk Pending</t>
        </is>
      </c>
      <c r="M225" t="inlineStr">
        <is>
          <t>Open</t>
        </is>
      </c>
      <c r="N225" t="inlineStr"/>
    </row>
    <row r="226">
      <c r="A226" t="inlineStr">
        <is>
          <t>FKEX00225</t>
        </is>
      </c>
      <c r="B226" t="inlineStr">
        <is>
          <t>15 LL_Device</t>
        </is>
      </c>
      <c r="C226" t="inlineStr">
        <is>
          <t>tblDeviceModel</t>
        </is>
      </c>
      <c r="D226" t="n">
        <v>76</v>
      </c>
      <c r="E226" t="inlineStr">
        <is>
          <t>MOD000073</t>
        </is>
      </c>
      <c r="F226" t="inlineStr">
        <is>
          <t>DeviceTypeID</t>
        </is>
      </c>
      <c r="G226" t="inlineStr">
        <is>
          <t>DT002</t>
        </is>
      </c>
      <c r="H226" t="inlineStr">
        <is>
          <t>tblDeviceTypeIDCrosswalk</t>
        </is>
      </c>
      <c r="I226" t="inlineStr"/>
      <c r="J226" t="inlineStr">
        <is>
          <t>No Supported Match</t>
        </is>
      </c>
      <c r="K226" t="inlineStr">
        <is>
          <t>None</t>
        </is>
      </c>
      <c r="L226" t="inlineStr">
        <is>
          <t>Crosswalk Pending</t>
        </is>
      </c>
      <c r="M226" t="inlineStr">
        <is>
          <t>Open</t>
        </is>
      </c>
      <c r="N226" t="inlineStr"/>
    </row>
    <row r="227">
      <c r="A227" t="inlineStr">
        <is>
          <t>FKEX00226</t>
        </is>
      </c>
      <c r="B227" t="inlineStr">
        <is>
          <t>15 LL_Device</t>
        </is>
      </c>
      <c r="C227" t="inlineStr">
        <is>
          <t>tblDeviceModel</t>
        </is>
      </c>
      <c r="D227" t="n">
        <v>77</v>
      </c>
      <c r="E227" t="inlineStr">
        <is>
          <t>MOD000074</t>
        </is>
      </c>
      <c r="F227" t="inlineStr">
        <is>
          <t>ManufacturerID</t>
        </is>
      </c>
      <c r="G227" t="inlineStr">
        <is>
          <t>MFG001</t>
        </is>
      </c>
      <c r="H227" t="inlineStr">
        <is>
          <t>tblManufacturerIDCrosswalk</t>
        </is>
      </c>
      <c r="I227" t="inlineStr"/>
      <c r="J227" t="inlineStr">
        <is>
          <t>No Supported Match</t>
        </is>
      </c>
      <c r="K227" t="inlineStr">
        <is>
          <t>None</t>
        </is>
      </c>
      <c r="L227" t="inlineStr">
        <is>
          <t>Crosswalk Pending</t>
        </is>
      </c>
      <c r="M227" t="inlineStr">
        <is>
          <t>Open</t>
        </is>
      </c>
      <c r="N227" t="inlineStr"/>
    </row>
    <row r="228">
      <c r="A228" t="inlineStr">
        <is>
          <t>FKEX00227</t>
        </is>
      </c>
      <c r="B228" t="inlineStr">
        <is>
          <t>15 LL_Device</t>
        </is>
      </c>
      <c r="C228" t="inlineStr">
        <is>
          <t>tblDeviceModel</t>
        </is>
      </c>
      <c r="D228" t="n">
        <v>77</v>
      </c>
      <c r="E228" t="inlineStr">
        <is>
          <t>MOD000074</t>
        </is>
      </c>
      <c r="F228" t="inlineStr">
        <is>
          <t>DeviceFamilyID</t>
        </is>
      </c>
      <c r="G228" t="inlineStr">
        <is>
          <t>DF005</t>
        </is>
      </c>
      <c r="H228" t="inlineStr">
        <is>
          <t>tblDeviceFamilyIDCrosswalk</t>
        </is>
      </c>
      <c r="I228" t="inlineStr"/>
      <c r="J228" t="inlineStr">
        <is>
          <t>tblDeviceModel</t>
        </is>
      </c>
      <c r="K228" t="inlineStr">
        <is>
          <t>Exact ID</t>
        </is>
      </c>
      <c r="L228" t="inlineStr">
        <is>
          <t>Crosswalk Pending</t>
        </is>
      </c>
      <c r="M228" t="inlineStr">
        <is>
          <t>Open</t>
        </is>
      </c>
      <c r="N228" t="inlineStr"/>
    </row>
    <row r="229">
      <c r="A229" t="inlineStr">
        <is>
          <t>FKEX00228</t>
        </is>
      </c>
      <c r="B229" t="inlineStr">
        <is>
          <t>15 LL_Device</t>
        </is>
      </c>
      <c r="C229" t="inlineStr">
        <is>
          <t>tblDeviceModel</t>
        </is>
      </c>
      <c r="D229" t="n">
        <v>77</v>
      </c>
      <c r="E229" t="inlineStr">
        <is>
          <t>MOD000074</t>
        </is>
      </c>
      <c r="F229" t="inlineStr">
        <is>
          <t>DeviceTypeID</t>
        </is>
      </c>
      <c r="G229" t="inlineStr">
        <is>
          <t>DT002</t>
        </is>
      </c>
      <c r="H229" t="inlineStr">
        <is>
          <t>tblDeviceTypeIDCrosswalk</t>
        </is>
      </c>
      <c r="I229" t="inlineStr"/>
      <c r="J229" t="inlineStr">
        <is>
          <t>No Supported Match</t>
        </is>
      </c>
      <c r="K229" t="inlineStr">
        <is>
          <t>None</t>
        </is>
      </c>
      <c r="L229" t="inlineStr">
        <is>
          <t>Crosswalk Pending</t>
        </is>
      </c>
      <c r="M229" t="inlineStr">
        <is>
          <t>Open</t>
        </is>
      </c>
      <c r="N229" t="inlineStr"/>
    </row>
    <row r="230">
      <c r="A230" t="inlineStr">
        <is>
          <t>FKEX00229</t>
        </is>
      </c>
      <c r="B230" t="inlineStr">
        <is>
          <t>15 LL_Device</t>
        </is>
      </c>
      <c r="C230" t="inlineStr">
        <is>
          <t>tblDeviceModel</t>
        </is>
      </c>
      <c r="D230" t="n">
        <v>78</v>
      </c>
      <c r="E230" t="inlineStr">
        <is>
          <t>MOD000075</t>
        </is>
      </c>
      <c r="F230" t="inlineStr">
        <is>
          <t>ManufacturerID</t>
        </is>
      </c>
      <c r="G230" t="inlineStr">
        <is>
          <t>MFG001</t>
        </is>
      </c>
      <c r="H230" t="inlineStr">
        <is>
          <t>tblManufacturerIDCrosswalk</t>
        </is>
      </c>
      <c r="I230" t="inlineStr"/>
      <c r="J230" t="inlineStr">
        <is>
          <t>No Supported Match</t>
        </is>
      </c>
      <c r="K230" t="inlineStr">
        <is>
          <t>None</t>
        </is>
      </c>
      <c r="L230" t="inlineStr">
        <is>
          <t>Crosswalk Pending</t>
        </is>
      </c>
      <c r="M230" t="inlineStr">
        <is>
          <t>Open</t>
        </is>
      </c>
      <c r="N230" t="inlineStr"/>
    </row>
    <row r="231">
      <c r="A231" t="inlineStr">
        <is>
          <t>FKEX00230</t>
        </is>
      </c>
      <c r="B231" t="inlineStr">
        <is>
          <t>15 LL_Device</t>
        </is>
      </c>
      <c r="C231" t="inlineStr">
        <is>
          <t>tblDeviceModel</t>
        </is>
      </c>
      <c r="D231" t="n">
        <v>78</v>
      </c>
      <c r="E231" t="inlineStr">
        <is>
          <t>MOD000075</t>
        </is>
      </c>
      <c r="F231" t="inlineStr">
        <is>
          <t>DeviceFamilyID</t>
        </is>
      </c>
      <c r="G231" t="inlineStr">
        <is>
          <t>DF005</t>
        </is>
      </c>
      <c r="H231" t="inlineStr">
        <is>
          <t>tblDeviceFamilyIDCrosswalk</t>
        </is>
      </c>
      <c r="I231" t="inlineStr"/>
      <c r="J231" t="inlineStr">
        <is>
          <t>tblDeviceModel</t>
        </is>
      </c>
      <c r="K231" t="inlineStr">
        <is>
          <t>Exact ID</t>
        </is>
      </c>
      <c r="L231" t="inlineStr">
        <is>
          <t>Crosswalk Pending</t>
        </is>
      </c>
      <c r="M231" t="inlineStr">
        <is>
          <t>Open</t>
        </is>
      </c>
      <c r="N231" t="inlineStr"/>
    </row>
    <row r="232">
      <c r="A232" t="inlineStr">
        <is>
          <t>FKEX00231</t>
        </is>
      </c>
      <c r="B232" t="inlineStr">
        <is>
          <t>15 LL_Device</t>
        </is>
      </c>
      <c r="C232" t="inlineStr">
        <is>
          <t>tblDeviceModel</t>
        </is>
      </c>
      <c r="D232" t="n">
        <v>78</v>
      </c>
      <c r="E232" t="inlineStr">
        <is>
          <t>MOD000075</t>
        </is>
      </c>
      <c r="F232" t="inlineStr">
        <is>
          <t>DeviceTypeID</t>
        </is>
      </c>
      <c r="G232" t="inlineStr">
        <is>
          <t>DT002</t>
        </is>
      </c>
      <c r="H232" t="inlineStr">
        <is>
          <t>tblDeviceTypeIDCrosswalk</t>
        </is>
      </c>
      <c r="I232" t="inlineStr"/>
      <c r="J232" t="inlineStr">
        <is>
          <t>No Supported Match</t>
        </is>
      </c>
      <c r="K232" t="inlineStr">
        <is>
          <t>None</t>
        </is>
      </c>
      <c r="L232" t="inlineStr">
        <is>
          <t>Crosswalk Pending</t>
        </is>
      </c>
      <c r="M232" t="inlineStr">
        <is>
          <t>Open</t>
        </is>
      </c>
      <c r="N232" t="inlineStr"/>
    </row>
    <row r="233">
      <c r="A233" t="inlineStr">
        <is>
          <t>FKEX00232</t>
        </is>
      </c>
      <c r="B233" t="inlineStr">
        <is>
          <t>15 LL_Device</t>
        </is>
      </c>
      <c r="C233" t="inlineStr">
        <is>
          <t>tblDeviceModel</t>
        </is>
      </c>
      <c r="D233" t="n">
        <v>79</v>
      </c>
      <c r="E233" t="inlineStr">
        <is>
          <t>MOD000076</t>
        </is>
      </c>
      <c r="F233" t="inlineStr">
        <is>
          <t>ManufacturerID</t>
        </is>
      </c>
      <c r="G233" t="inlineStr">
        <is>
          <t>MFG001</t>
        </is>
      </c>
      <c r="H233" t="inlineStr">
        <is>
          <t>tblManufacturerIDCrosswalk</t>
        </is>
      </c>
      <c r="I233" t="inlineStr"/>
      <c r="J233" t="inlineStr">
        <is>
          <t>No Supported Match</t>
        </is>
      </c>
      <c r="K233" t="inlineStr">
        <is>
          <t>None</t>
        </is>
      </c>
      <c r="L233" t="inlineStr">
        <is>
          <t>Crosswalk Pending</t>
        </is>
      </c>
      <c r="M233" t="inlineStr">
        <is>
          <t>Open</t>
        </is>
      </c>
      <c r="N233" t="inlineStr"/>
    </row>
    <row r="234">
      <c r="A234" t="inlineStr">
        <is>
          <t>FKEX00233</t>
        </is>
      </c>
      <c r="B234" t="inlineStr">
        <is>
          <t>15 LL_Device</t>
        </is>
      </c>
      <c r="C234" t="inlineStr">
        <is>
          <t>tblDeviceModel</t>
        </is>
      </c>
      <c r="D234" t="n">
        <v>79</v>
      </c>
      <c r="E234" t="inlineStr">
        <is>
          <t>MOD000076</t>
        </is>
      </c>
      <c r="F234" t="inlineStr">
        <is>
          <t>DeviceFamilyID</t>
        </is>
      </c>
      <c r="G234" t="inlineStr">
        <is>
          <t>DF005</t>
        </is>
      </c>
      <c r="H234" t="inlineStr">
        <is>
          <t>tblDeviceFamilyIDCrosswalk</t>
        </is>
      </c>
      <c r="I234" t="inlineStr"/>
      <c r="J234" t="inlineStr">
        <is>
          <t>tblDeviceModel</t>
        </is>
      </c>
      <c r="K234" t="inlineStr">
        <is>
          <t>Exact ID</t>
        </is>
      </c>
      <c r="L234" t="inlineStr">
        <is>
          <t>Crosswalk Pending</t>
        </is>
      </c>
      <c r="M234" t="inlineStr">
        <is>
          <t>Open</t>
        </is>
      </c>
      <c r="N234" t="inlineStr"/>
    </row>
    <row r="235">
      <c r="A235" t="inlineStr">
        <is>
          <t>FKEX00234</t>
        </is>
      </c>
      <c r="B235" t="inlineStr">
        <is>
          <t>15 LL_Device</t>
        </is>
      </c>
      <c r="C235" t="inlineStr">
        <is>
          <t>tblDeviceModel</t>
        </is>
      </c>
      <c r="D235" t="n">
        <v>79</v>
      </c>
      <c r="E235" t="inlineStr">
        <is>
          <t>MOD000076</t>
        </is>
      </c>
      <c r="F235" t="inlineStr">
        <is>
          <t>DeviceTypeID</t>
        </is>
      </c>
      <c r="G235" t="inlineStr">
        <is>
          <t>DT002</t>
        </is>
      </c>
      <c r="H235" t="inlineStr">
        <is>
          <t>tblDeviceTypeIDCrosswalk</t>
        </is>
      </c>
      <c r="I235" t="inlineStr"/>
      <c r="J235" t="inlineStr">
        <is>
          <t>No Supported Match</t>
        </is>
      </c>
      <c r="K235" t="inlineStr">
        <is>
          <t>None</t>
        </is>
      </c>
      <c r="L235" t="inlineStr">
        <is>
          <t>Crosswalk Pending</t>
        </is>
      </c>
      <c r="M235" t="inlineStr">
        <is>
          <t>Open</t>
        </is>
      </c>
      <c r="N235" t="inlineStr"/>
    </row>
    <row r="236">
      <c r="A236" t="inlineStr">
        <is>
          <t>FKEX00235</t>
        </is>
      </c>
      <c r="B236" t="inlineStr">
        <is>
          <t>15 LL_Device</t>
        </is>
      </c>
      <c r="C236" t="inlineStr">
        <is>
          <t>tblDeviceModel</t>
        </is>
      </c>
      <c r="D236" t="n">
        <v>80</v>
      </c>
      <c r="E236" t="inlineStr">
        <is>
          <t>MOD000077</t>
        </is>
      </c>
      <c r="F236" t="inlineStr">
        <is>
          <t>ManufacturerID</t>
        </is>
      </c>
      <c r="G236" t="inlineStr">
        <is>
          <t>MFG001</t>
        </is>
      </c>
      <c r="H236" t="inlineStr">
        <is>
          <t>tblManufacturerIDCrosswalk</t>
        </is>
      </c>
      <c r="I236" t="inlineStr"/>
      <c r="J236" t="inlineStr">
        <is>
          <t>No Supported Match</t>
        </is>
      </c>
      <c r="K236" t="inlineStr">
        <is>
          <t>None</t>
        </is>
      </c>
      <c r="L236" t="inlineStr">
        <is>
          <t>Crosswalk Pending</t>
        </is>
      </c>
      <c r="M236" t="inlineStr">
        <is>
          <t>Open</t>
        </is>
      </c>
      <c r="N236" t="inlineStr"/>
    </row>
    <row r="237">
      <c r="A237" t="inlineStr">
        <is>
          <t>FKEX00236</t>
        </is>
      </c>
      <c r="B237" t="inlineStr">
        <is>
          <t>15 LL_Device</t>
        </is>
      </c>
      <c r="C237" t="inlineStr">
        <is>
          <t>tblDeviceModel</t>
        </is>
      </c>
      <c r="D237" t="n">
        <v>80</v>
      </c>
      <c r="E237" t="inlineStr">
        <is>
          <t>MOD000077</t>
        </is>
      </c>
      <c r="F237" t="inlineStr">
        <is>
          <t>DeviceFamilyID</t>
        </is>
      </c>
      <c r="G237" t="inlineStr">
        <is>
          <t>DF005</t>
        </is>
      </c>
      <c r="H237" t="inlineStr">
        <is>
          <t>tblDeviceFamilyIDCrosswalk</t>
        </is>
      </c>
      <c r="I237" t="inlineStr"/>
      <c r="J237" t="inlineStr">
        <is>
          <t>tblDeviceModel</t>
        </is>
      </c>
      <c r="K237" t="inlineStr">
        <is>
          <t>Exact ID</t>
        </is>
      </c>
      <c r="L237" t="inlineStr">
        <is>
          <t>Crosswalk Pending</t>
        </is>
      </c>
      <c r="M237" t="inlineStr">
        <is>
          <t>Open</t>
        </is>
      </c>
      <c r="N237" t="inlineStr"/>
    </row>
    <row r="238">
      <c r="A238" t="inlineStr">
        <is>
          <t>FKEX00237</t>
        </is>
      </c>
      <c r="B238" t="inlineStr">
        <is>
          <t>15 LL_Device</t>
        </is>
      </c>
      <c r="C238" t="inlineStr">
        <is>
          <t>tblDeviceModel</t>
        </is>
      </c>
      <c r="D238" t="n">
        <v>80</v>
      </c>
      <c r="E238" t="inlineStr">
        <is>
          <t>MOD000077</t>
        </is>
      </c>
      <c r="F238" t="inlineStr">
        <is>
          <t>DeviceTypeID</t>
        </is>
      </c>
      <c r="G238" t="inlineStr">
        <is>
          <t>DT002</t>
        </is>
      </c>
      <c r="H238" t="inlineStr">
        <is>
          <t>tblDeviceTypeIDCrosswalk</t>
        </is>
      </c>
      <c r="I238" t="inlineStr"/>
      <c r="J238" t="inlineStr">
        <is>
          <t>No Supported Match</t>
        </is>
      </c>
      <c r="K238" t="inlineStr">
        <is>
          <t>None</t>
        </is>
      </c>
      <c r="L238" t="inlineStr">
        <is>
          <t>Crosswalk Pending</t>
        </is>
      </c>
      <c r="M238" t="inlineStr">
        <is>
          <t>Open</t>
        </is>
      </c>
      <c r="N238" t="inlineStr"/>
    </row>
    <row r="239">
      <c r="A239" t="inlineStr">
        <is>
          <t>FKEX00238</t>
        </is>
      </c>
      <c r="B239" t="inlineStr">
        <is>
          <t>15 LL_Device</t>
        </is>
      </c>
      <c r="C239" t="inlineStr">
        <is>
          <t>tblDeviceModel</t>
        </is>
      </c>
      <c r="D239" t="n">
        <v>81</v>
      </c>
      <c r="E239" t="inlineStr">
        <is>
          <t>MOD000078</t>
        </is>
      </c>
      <c r="F239" t="inlineStr">
        <is>
          <t>ManufacturerID</t>
        </is>
      </c>
      <c r="G239" t="inlineStr">
        <is>
          <t>MFG001</t>
        </is>
      </c>
      <c r="H239" t="inlineStr">
        <is>
          <t>tblManufacturerIDCrosswalk</t>
        </is>
      </c>
      <c r="I239" t="inlineStr"/>
      <c r="J239" t="inlineStr">
        <is>
          <t>No Supported Match</t>
        </is>
      </c>
      <c r="K239" t="inlineStr">
        <is>
          <t>None</t>
        </is>
      </c>
      <c r="L239" t="inlineStr">
        <is>
          <t>Crosswalk Pending</t>
        </is>
      </c>
      <c r="M239" t="inlineStr">
        <is>
          <t>Open</t>
        </is>
      </c>
      <c r="N239" t="inlineStr"/>
    </row>
    <row r="240">
      <c r="A240" t="inlineStr">
        <is>
          <t>FKEX00239</t>
        </is>
      </c>
      <c r="B240" t="inlineStr">
        <is>
          <t>15 LL_Device</t>
        </is>
      </c>
      <c r="C240" t="inlineStr">
        <is>
          <t>tblDeviceModel</t>
        </is>
      </c>
      <c r="D240" t="n">
        <v>81</v>
      </c>
      <c r="E240" t="inlineStr">
        <is>
          <t>MOD000078</t>
        </is>
      </c>
      <c r="F240" t="inlineStr">
        <is>
          <t>DeviceFamilyID</t>
        </is>
      </c>
      <c r="G240" t="inlineStr">
        <is>
          <t>DF005</t>
        </is>
      </c>
      <c r="H240" t="inlineStr">
        <is>
          <t>tblDeviceFamilyIDCrosswalk</t>
        </is>
      </c>
      <c r="I240" t="inlineStr"/>
      <c r="J240" t="inlineStr">
        <is>
          <t>tblDeviceModel</t>
        </is>
      </c>
      <c r="K240" t="inlineStr">
        <is>
          <t>Exact ID</t>
        </is>
      </c>
      <c r="L240" t="inlineStr">
        <is>
          <t>Crosswalk Pending</t>
        </is>
      </c>
      <c r="M240" t="inlineStr">
        <is>
          <t>Open</t>
        </is>
      </c>
      <c r="N240" t="inlineStr"/>
    </row>
    <row r="241">
      <c r="A241" t="inlineStr">
        <is>
          <t>FKEX00240</t>
        </is>
      </c>
      <c r="B241" t="inlineStr">
        <is>
          <t>15 LL_Device</t>
        </is>
      </c>
      <c r="C241" t="inlineStr">
        <is>
          <t>tblDeviceModel</t>
        </is>
      </c>
      <c r="D241" t="n">
        <v>81</v>
      </c>
      <c r="E241" t="inlineStr">
        <is>
          <t>MOD000078</t>
        </is>
      </c>
      <c r="F241" t="inlineStr">
        <is>
          <t>DeviceTypeID</t>
        </is>
      </c>
      <c r="G241" t="inlineStr">
        <is>
          <t>DT002</t>
        </is>
      </c>
      <c r="H241" t="inlineStr">
        <is>
          <t>tblDeviceTypeIDCrosswalk</t>
        </is>
      </c>
      <c r="I241" t="inlineStr"/>
      <c r="J241" t="inlineStr">
        <is>
          <t>No Supported Match</t>
        </is>
      </c>
      <c r="K241" t="inlineStr">
        <is>
          <t>None</t>
        </is>
      </c>
      <c r="L241" t="inlineStr">
        <is>
          <t>Crosswalk Pending</t>
        </is>
      </c>
      <c r="M241" t="inlineStr">
        <is>
          <t>Open</t>
        </is>
      </c>
      <c r="N241" t="inlineStr"/>
    </row>
    <row r="242">
      <c r="A242" t="inlineStr">
        <is>
          <t>FKEX00241</t>
        </is>
      </c>
      <c r="B242" t="inlineStr">
        <is>
          <t>15 LL_Device</t>
        </is>
      </c>
      <c r="C242" t="inlineStr">
        <is>
          <t>tblDeviceModel</t>
        </is>
      </c>
      <c r="D242" t="n">
        <v>82</v>
      </c>
      <c r="E242" t="inlineStr">
        <is>
          <t>MOD000079</t>
        </is>
      </c>
      <c r="F242" t="inlineStr">
        <is>
          <t>ManufacturerID</t>
        </is>
      </c>
      <c r="G242" t="inlineStr">
        <is>
          <t>MFG001</t>
        </is>
      </c>
      <c r="H242" t="inlineStr">
        <is>
          <t>tblManufacturerIDCrosswalk</t>
        </is>
      </c>
      <c r="I242" t="inlineStr"/>
      <c r="J242" t="inlineStr">
        <is>
          <t>No Supported Match</t>
        </is>
      </c>
      <c r="K242" t="inlineStr">
        <is>
          <t>None</t>
        </is>
      </c>
      <c r="L242" t="inlineStr">
        <is>
          <t>Crosswalk Pending</t>
        </is>
      </c>
      <c r="M242" t="inlineStr">
        <is>
          <t>Open</t>
        </is>
      </c>
      <c r="N242" t="inlineStr"/>
    </row>
    <row r="243">
      <c r="A243" t="inlineStr">
        <is>
          <t>FKEX00242</t>
        </is>
      </c>
      <c r="B243" t="inlineStr">
        <is>
          <t>15 LL_Device</t>
        </is>
      </c>
      <c r="C243" t="inlineStr">
        <is>
          <t>tblDeviceModel</t>
        </is>
      </c>
      <c r="D243" t="n">
        <v>82</v>
      </c>
      <c r="E243" t="inlineStr">
        <is>
          <t>MOD000079</t>
        </is>
      </c>
      <c r="F243" t="inlineStr">
        <is>
          <t>DeviceFamilyID</t>
        </is>
      </c>
      <c r="G243" t="inlineStr">
        <is>
          <t>DF005</t>
        </is>
      </c>
      <c r="H243" t="inlineStr">
        <is>
          <t>tblDeviceFamilyIDCrosswalk</t>
        </is>
      </c>
      <c r="I243" t="inlineStr"/>
      <c r="J243" t="inlineStr">
        <is>
          <t>tblDeviceModel</t>
        </is>
      </c>
      <c r="K243" t="inlineStr">
        <is>
          <t>Exact ID</t>
        </is>
      </c>
      <c r="L243" t="inlineStr">
        <is>
          <t>Crosswalk Pending</t>
        </is>
      </c>
      <c r="M243" t="inlineStr">
        <is>
          <t>Open</t>
        </is>
      </c>
      <c r="N243" t="inlineStr"/>
    </row>
    <row r="244">
      <c r="A244" t="inlineStr">
        <is>
          <t>FKEX00243</t>
        </is>
      </c>
      <c r="B244" t="inlineStr">
        <is>
          <t>15 LL_Device</t>
        </is>
      </c>
      <c r="C244" t="inlineStr">
        <is>
          <t>tblDeviceModel</t>
        </is>
      </c>
      <c r="D244" t="n">
        <v>82</v>
      </c>
      <c r="E244" t="inlineStr">
        <is>
          <t>MOD000079</t>
        </is>
      </c>
      <c r="F244" t="inlineStr">
        <is>
          <t>DeviceTypeID</t>
        </is>
      </c>
      <c r="G244" t="inlineStr">
        <is>
          <t>DT002</t>
        </is>
      </c>
      <c r="H244" t="inlineStr">
        <is>
          <t>tblDeviceTypeIDCrosswalk</t>
        </is>
      </c>
      <c r="I244" t="inlineStr"/>
      <c r="J244" t="inlineStr">
        <is>
          <t>No Supported Match</t>
        </is>
      </c>
      <c r="K244" t="inlineStr">
        <is>
          <t>None</t>
        </is>
      </c>
      <c r="L244" t="inlineStr">
        <is>
          <t>Crosswalk Pending</t>
        </is>
      </c>
      <c r="M244" t="inlineStr">
        <is>
          <t>Open</t>
        </is>
      </c>
      <c r="N244" t="inlineStr"/>
    </row>
    <row r="245">
      <c r="A245" t="inlineStr">
        <is>
          <t>FKEX00244</t>
        </is>
      </c>
      <c r="B245" t="inlineStr">
        <is>
          <t>15 LL_Device</t>
        </is>
      </c>
      <c r="C245" t="inlineStr">
        <is>
          <t>tblDeviceModel</t>
        </is>
      </c>
      <c r="D245" t="n">
        <v>83</v>
      </c>
      <c r="E245" t="inlineStr">
        <is>
          <t>MOD000080</t>
        </is>
      </c>
      <c r="F245" t="inlineStr">
        <is>
          <t>ManufacturerID</t>
        </is>
      </c>
      <c r="G245" t="inlineStr">
        <is>
          <t>MFG001</t>
        </is>
      </c>
      <c r="H245" t="inlineStr">
        <is>
          <t>tblManufacturerIDCrosswalk</t>
        </is>
      </c>
      <c r="I245" t="inlineStr"/>
      <c r="J245" t="inlineStr">
        <is>
          <t>No Supported Match</t>
        </is>
      </c>
      <c r="K245" t="inlineStr">
        <is>
          <t>None</t>
        </is>
      </c>
      <c r="L245" t="inlineStr">
        <is>
          <t>Crosswalk Pending</t>
        </is>
      </c>
      <c r="M245" t="inlineStr">
        <is>
          <t>Open</t>
        </is>
      </c>
      <c r="N245" t="inlineStr"/>
    </row>
    <row r="246">
      <c r="A246" t="inlineStr">
        <is>
          <t>FKEX00245</t>
        </is>
      </c>
      <c r="B246" t="inlineStr">
        <is>
          <t>15 LL_Device</t>
        </is>
      </c>
      <c r="C246" t="inlineStr">
        <is>
          <t>tblDeviceModel</t>
        </is>
      </c>
      <c r="D246" t="n">
        <v>83</v>
      </c>
      <c r="E246" t="inlineStr">
        <is>
          <t>MOD000080</t>
        </is>
      </c>
      <c r="F246" t="inlineStr">
        <is>
          <t>DeviceFamilyID</t>
        </is>
      </c>
      <c r="G246" t="inlineStr">
        <is>
          <t>DF005</t>
        </is>
      </c>
      <c r="H246" t="inlineStr">
        <is>
          <t>tblDeviceFamilyIDCrosswalk</t>
        </is>
      </c>
      <c r="I246" t="inlineStr"/>
      <c r="J246" t="inlineStr">
        <is>
          <t>tblDeviceModel</t>
        </is>
      </c>
      <c r="K246" t="inlineStr">
        <is>
          <t>Exact ID</t>
        </is>
      </c>
      <c r="L246" t="inlineStr">
        <is>
          <t>Crosswalk Pending</t>
        </is>
      </c>
      <c r="M246" t="inlineStr">
        <is>
          <t>Open</t>
        </is>
      </c>
      <c r="N246" t="inlineStr"/>
    </row>
    <row r="247">
      <c r="A247" t="inlineStr">
        <is>
          <t>FKEX00246</t>
        </is>
      </c>
      <c r="B247" t="inlineStr">
        <is>
          <t>15 LL_Device</t>
        </is>
      </c>
      <c r="C247" t="inlineStr">
        <is>
          <t>tblDeviceModel</t>
        </is>
      </c>
      <c r="D247" t="n">
        <v>83</v>
      </c>
      <c r="E247" t="inlineStr">
        <is>
          <t>MOD000080</t>
        </is>
      </c>
      <c r="F247" t="inlineStr">
        <is>
          <t>DeviceTypeID</t>
        </is>
      </c>
      <c r="G247" t="inlineStr">
        <is>
          <t>DT002</t>
        </is>
      </c>
      <c r="H247" t="inlineStr">
        <is>
          <t>tblDeviceTypeIDCrosswalk</t>
        </is>
      </c>
      <c r="I247" t="inlineStr"/>
      <c r="J247" t="inlineStr">
        <is>
          <t>No Supported Match</t>
        </is>
      </c>
      <c r="K247" t="inlineStr">
        <is>
          <t>None</t>
        </is>
      </c>
      <c r="L247" t="inlineStr">
        <is>
          <t>Crosswalk Pending</t>
        </is>
      </c>
      <c r="M247" t="inlineStr">
        <is>
          <t>Open</t>
        </is>
      </c>
      <c r="N247" t="inlineStr"/>
    </row>
    <row r="248">
      <c r="A248" t="inlineStr">
        <is>
          <t>FKEX00247</t>
        </is>
      </c>
      <c r="B248" t="inlineStr">
        <is>
          <t>15 LL_Device</t>
        </is>
      </c>
      <c r="C248" t="inlineStr">
        <is>
          <t>tblDeviceModel</t>
        </is>
      </c>
      <c r="D248" t="n">
        <v>84</v>
      </c>
      <c r="E248" t="inlineStr">
        <is>
          <t>MOD000081</t>
        </is>
      </c>
      <c r="F248" t="inlineStr">
        <is>
          <t>ManufacturerID</t>
        </is>
      </c>
      <c r="G248" t="inlineStr">
        <is>
          <t>MFG001</t>
        </is>
      </c>
      <c r="H248" t="inlineStr">
        <is>
          <t>tblManufacturerIDCrosswalk</t>
        </is>
      </c>
      <c r="I248" t="inlineStr"/>
      <c r="J248" t="inlineStr">
        <is>
          <t>No Supported Match</t>
        </is>
      </c>
      <c r="K248" t="inlineStr">
        <is>
          <t>None</t>
        </is>
      </c>
      <c r="L248" t="inlineStr">
        <is>
          <t>Crosswalk Pending</t>
        </is>
      </c>
      <c r="M248" t="inlineStr">
        <is>
          <t>Open</t>
        </is>
      </c>
      <c r="N248" t="inlineStr"/>
    </row>
    <row r="249">
      <c r="A249" t="inlineStr">
        <is>
          <t>FKEX00248</t>
        </is>
      </c>
      <c r="B249" t="inlineStr">
        <is>
          <t>15 LL_Device</t>
        </is>
      </c>
      <c r="C249" t="inlineStr">
        <is>
          <t>tblDeviceModel</t>
        </is>
      </c>
      <c r="D249" t="n">
        <v>84</v>
      </c>
      <c r="E249" t="inlineStr">
        <is>
          <t>MOD000081</t>
        </is>
      </c>
      <c r="F249" t="inlineStr">
        <is>
          <t>DeviceFamilyID</t>
        </is>
      </c>
      <c r="G249" t="inlineStr">
        <is>
          <t>DF005</t>
        </is>
      </c>
      <c r="H249" t="inlineStr">
        <is>
          <t>tblDeviceFamilyIDCrosswalk</t>
        </is>
      </c>
      <c r="I249" t="inlineStr"/>
      <c r="J249" t="inlineStr">
        <is>
          <t>tblDeviceModel</t>
        </is>
      </c>
      <c r="K249" t="inlineStr">
        <is>
          <t>Exact ID</t>
        </is>
      </c>
      <c r="L249" t="inlineStr">
        <is>
          <t>Crosswalk Pending</t>
        </is>
      </c>
      <c r="M249" t="inlineStr">
        <is>
          <t>Open</t>
        </is>
      </c>
      <c r="N249" t="inlineStr"/>
    </row>
    <row r="250">
      <c r="A250" t="inlineStr">
        <is>
          <t>FKEX00249</t>
        </is>
      </c>
      <c r="B250" t="inlineStr">
        <is>
          <t>15 LL_Device</t>
        </is>
      </c>
      <c r="C250" t="inlineStr">
        <is>
          <t>tblDeviceModel</t>
        </is>
      </c>
      <c r="D250" t="n">
        <v>84</v>
      </c>
      <c r="E250" t="inlineStr">
        <is>
          <t>MOD000081</t>
        </is>
      </c>
      <c r="F250" t="inlineStr">
        <is>
          <t>DeviceTypeID</t>
        </is>
      </c>
      <c r="G250" t="inlineStr">
        <is>
          <t>DT002</t>
        </is>
      </c>
      <c r="H250" t="inlineStr">
        <is>
          <t>tblDeviceTypeIDCrosswalk</t>
        </is>
      </c>
      <c r="I250" t="inlineStr"/>
      <c r="J250" t="inlineStr">
        <is>
          <t>No Supported Match</t>
        </is>
      </c>
      <c r="K250" t="inlineStr">
        <is>
          <t>None</t>
        </is>
      </c>
      <c r="L250" t="inlineStr">
        <is>
          <t>Crosswalk Pending</t>
        </is>
      </c>
      <c r="M250" t="inlineStr">
        <is>
          <t>Open</t>
        </is>
      </c>
      <c r="N250" t="inlineStr"/>
    </row>
    <row r="251">
      <c r="A251" t="inlineStr">
        <is>
          <t>FKEX00250</t>
        </is>
      </c>
      <c r="B251" t="inlineStr">
        <is>
          <t>15 LL_Device</t>
        </is>
      </c>
      <c r="C251" t="inlineStr">
        <is>
          <t>tblDeviceModel</t>
        </is>
      </c>
      <c r="D251" t="n">
        <v>85</v>
      </c>
      <c r="E251" t="inlineStr">
        <is>
          <t>MOD000082</t>
        </is>
      </c>
      <c r="F251" t="inlineStr">
        <is>
          <t>ManufacturerID</t>
        </is>
      </c>
      <c r="G251" t="inlineStr">
        <is>
          <t>MFG001</t>
        </is>
      </c>
      <c r="H251" t="inlineStr">
        <is>
          <t>tblManufacturerIDCrosswalk</t>
        </is>
      </c>
      <c r="I251" t="inlineStr"/>
      <c r="J251" t="inlineStr">
        <is>
          <t>No Supported Match</t>
        </is>
      </c>
      <c r="K251" t="inlineStr">
        <is>
          <t>None</t>
        </is>
      </c>
      <c r="L251" t="inlineStr">
        <is>
          <t>Crosswalk Pending</t>
        </is>
      </c>
      <c r="M251" t="inlineStr">
        <is>
          <t>Open</t>
        </is>
      </c>
      <c r="N251" t="inlineStr"/>
    </row>
    <row r="252">
      <c r="A252" t="inlineStr">
        <is>
          <t>FKEX00251</t>
        </is>
      </c>
      <c r="B252" t="inlineStr">
        <is>
          <t>15 LL_Device</t>
        </is>
      </c>
      <c r="C252" t="inlineStr">
        <is>
          <t>tblDeviceModel</t>
        </is>
      </c>
      <c r="D252" t="n">
        <v>85</v>
      </c>
      <c r="E252" t="inlineStr">
        <is>
          <t>MOD000082</t>
        </is>
      </c>
      <c r="F252" t="inlineStr">
        <is>
          <t>DeviceFamilyID</t>
        </is>
      </c>
      <c r="G252" t="inlineStr">
        <is>
          <t>DF005</t>
        </is>
      </c>
      <c r="H252" t="inlineStr">
        <is>
          <t>tblDeviceFamilyIDCrosswalk</t>
        </is>
      </c>
      <c r="I252" t="inlineStr"/>
      <c r="J252" t="inlineStr">
        <is>
          <t>tblDeviceModel</t>
        </is>
      </c>
      <c r="K252" t="inlineStr">
        <is>
          <t>Exact ID</t>
        </is>
      </c>
      <c r="L252" t="inlineStr">
        <is>
          <t>Crosswalk Pending</t>
        </is>
      </c>
      <c r="M252" t="inlineStr">
        <is>
          <t>Open</t>
        </is>
      </c>
      <c r="N252" t="inlineStr"/>
    </row>
    <row r="253">
      <c r="A253" t="inlineStr">
        <is>
          <t>FKEX00252</t>
        </is>
      </c>
      <c r="B253" t="inlineStr">
        <is>
          <t>15 LL_Device</t>
        </is>
      </c>
      <c r="C253" t="inlineStr">
        <is>
          <t>tblDeviceModel</t>
        </is>
      </c>
      <c r="D253" t="n">
        <v>85</v>
      </c>
      <c r="E253" t="inlineStr">
        <is>
          <t>MOD000082</t>
        </is>
      </c>
      <c r="F253" t="inlineStr">
        <is>
          <t>DeviceTypeID</t>
        </is>
      </c>
      <c r="G253" t="inlineStr">
        <is>
          <t>DT002</t>
        </is>
      </c>
      <c r="H253" t="inlineStr">
        <is>
          <t>tblDeviceTypeIDCrosswalk</t>
        </is>
      </c>
      <c r="I253" t="inlineStr"/>
      <c r="J253" t="inlineStr">
        <is>
          <t>No Supported Match</t>
        </is>
      </c>
      <c r="K253" t="inlineStr">
        <is>
          <t>None</t>
        </is>
      </c>
      <c r="L253" t="inlineStr">
        <is>
          <t>Crosswalk Pending</t>
        </is>
      </c>
      <c r="M253" t="inlineStr">
        <is>
          <t>Open</t>
        </is>
      </c>
      <c r="N253" t="inlineStr"/>
    </row>
    <row r="254">
      <c r="A254" t="inlineStr">
        <is>
          <t>FKEX00253</t>
        </is>
      </c>
      <c r="B254" t="inlineStr">
        <is>
          <t>15 LL_Device</t>
        </is>
      </c>
      <c r="C254" t="inlineStr">
        <is>
          <t>tblDeviceModel</t>
        </is>
      </c>
      <c r="D254" t="n">
        <v>86</v>
      </c>
      <c r="E254" t="inlineStr">
        <is>
          <t>MOD000083</t>
        </is>
      </c>
      <c r="F254" t="inlineStr">
        <is>
          <t>ManufacturerID</t>
        </is>
      </c>
      <c r="G254" t="inlineStr">
        <is>
          <t>MFG001</t>
        </is>
      </c>
      <c r="H254" t="inlineStr">
        <is>
          <t>tblManufacturerIDCrosswalk</t>
        </is>
      </c>
      <c r="I254" t="inlineStr"/>
      <c r="J254" t="inlineStr">
        <is>
          <t>No Supported Match</t>
        </is>
      </c>
      <c r="K254" t="inlineStr">
        <is>
          <t>None</t>
        </is>
      </c>
      <c r="L254" t="inlineStr">
        <is>
          <t>Crosswalk Pending</t>
        </is>
      </c>
      <c r="M254" t="inlineStr">
        <is>
          <t>Open</t>
        </is>
      </c>
      <c r="N254" t="inlineStr"/>
    </row>
    <row r="255">
      <c r="A255" t="inlineStr">
        <is>
          <t>FKEX00254</t>
        </is>
      </c>
      <c r="B255" t="inlineStr">
        <is>
          <t>15 LL_Device</t>
        </is>
      </c>
      <c r="C255" t="inlineStr">
        <is>
          <t>tblDeviceModel</t>
        </is>
      </c>
      <c r="D255" t="n">
        <v>86</v>
      </c>
      <c r="E255" t="inlineStr">
        <is>
          <t>MOD000083</t>
        </is>
      </c>
      <c r="F255" t="inlineStr">
        <is>
          <t>DeviceFamilyID</t>
        </is>
      </c>
      <c r="G255" t="inlineStr">
        <is>
          <t>DF005</t>
        </is>
      </c>
      <c r="H255" t="inlineStr">
        <is>
          <t>tblDeviceFamilyIDCrosswalk</t>
        </is>
      </c>
      <c r="I255" t="inlineStr"/>
      <c r="J255" t="inlineStr">
        <is>
          <t>tblDeviceModel</t>
        </is>
      </c>
      <c r="K255" t="inlineStr">
        <is>
          <t>Exact ID</t>
        </is>
      </c>
      <c r="L255" t="inlineStr">
        <is>
          <t>Crosswalk Pending</t>
        </is>
      </c>
      <c r="M255" t="inlineStr">
        <is>
          <t>Open</t>
        </is>
      </c>
      <c r="N255" t="inlineStr"/>
    </row>
    <row r="256">
      <c r="A256" t="inlineStr">
        <is>
          <t>FKEX00255</t>
        </is>
      </c>
      <c r="B256" t="inlineStr">
        <is>
          <t>15 LL_Device</t>
        </is>
      </c>
      <c r="C256" t="inlineStr">
        <is>
          <t>tblDeviceModel</t>
        </is>
      </c>
      <c r="D256" t="n">
        <v>86</v>
      </c>
      <c r="E256" t="inlineStr">
        <is>
          <t>MOD000083</t>
        </is>
      </c>
      <c r="F256" t="inlineStr">
        <is>
          <t>DeviceTypeID</t>
        </is>
      </c>
      <c r="G256" t="inlineStr">
        <is>
          <t>DT002</t>
        </is>
      </c>
      <c r="H256" t="inlineStr">
        <is>
          <t>tblDeviceTypeIDCrosswalk</t>
        </is>
      </c>
      <c r="I256" t="inlineStr"/>
      <c r="J256" t="inlineStr">
        <is>
          <t>No Supported Match</t>
        </is>
      </c>
      <c r="K256" t="inlineStr">
        <is>
          <t>None</t>
        </is>
      </c>
      <c r="L256" t="inlineStr">
        <is>
          <t>Crosswalk Pending</t>
        </is>
      </c>
      <c r="M256" t="inlineStr">
        <is>
          <t>Open</t>
        </is>
      </c>
      <c r="N256" t="inlineStr"/>
    </row>
    <row r="257">
      <c r="A257" t="inlineStr">
        <is>
          <t>FKEX00256</t>
        </is>
      </c>
      <c r="B257" t="inlineStr">
        <is>
          <t>15 LL_Device</t>
        </is>
      </c>
      <c r="C257" t="inlineStr">
        <is>
          <t>tblDeviceModel</t>
        </is>
      </c>
      <c r="D257" t="n">
        <v>87</v>
      </c>
      <c r="E257" t="inlineStr">
        <is>
          <t>MOD000084</t>
        </is>
      </c>
      <c r="F257" t="inlineStr">
        <is>
          <t>ManufacturerID</t>
        </is>
      </c>
      <c r="G257" t="inlineStr">
        <is>
          <t>MFG001</t>
        </is>
      </c>
      <c r="H257" t="inlineStr">
        <is>
          <t>tblManufacturerIDCrosswalk</t>
        </is>
      </c>
      <c r="I257" t="inlineStr"/>
      <c r="J257" t="inlineStr">
        <is>
          <t>No Supported Match</t>
        </is>
      </c>
      <c r="K257" t="inlineStr">
        <is>
          <t>None</t>
        </is>
      </c>
      <c r="L257" t="inlineStr">
        <is>
          <t>Crosswalk Pending</t>
        </is>
      </c>
      <c r="M257" t="inlineStr">
        <is>
          <t>Open</t>
        </is>
      </c>
      <c r="N257" t="inlineStr"/>
    </row>
    <row r="258">
      <c r="A258" t="inlineStr">
        <is>
          <t>FKEX00257</t>
        </is>
      </c>
      <c r="B258" t="inlineStr">
        <is>
          <t>15 LL_Device</t>
        </is>
      </c>
      <c r="C258" t="inlineStr">
        <is>
          <t>tblDeviceModel</t>
        </is>
      </c>
      <c r="D258" t="n">
        <v>87</v>
      </c>
      <c r="E258" t="inlineStr">
        <is>
          <t>MOD000084</t>
        </is>
      </c>
      <c r="F258" t="inlineStr">
        <is>
          <t>DeviceFamilyID</t>
        </is>
      </c>
      <c r="G258" t="inlineStr">
        <is>
          <t>DF005</t>
        </is>
      </c>
      <c r="H258" t="inlineStr">
        <is>
          <t>tblDeviceFamilyIDCrosswalk</t>
        </is>
      </c>
      <c r="I258" t="inlineStr"/>
      <c r="J258" t="inlineStr">
        <is>
          <t>tblDeviceModel</t>
        </is>
      </c>
      <c r="K258" t="inlineStr">
        <is>
          <t>Exact ID</t>
        </is>
      </c>
      <c r="L258" t="inlineStr">
        <is>
          <t>Crosswalk Pending</t>
        </is>
      </c>
      <c r="M258" t="inlineStr">
        <is>
          <t>Open</t>
        </is>
      </c>
      <c r="N258" t="inlineStr"/>
    </row>
    <row r="259">
      <c r="A259" t="inlineStr">
        <is>
          <t>FKEX00258</t>
        </is>
      </c>
      <c r="B259" t="inlineStr">
        <is>
          <t>15 LL_Device</t>
        </is>
      </c>
      <c r="C259" t="inlineStr">
        <is>
          <t>tblDeviceModel</t>
        </is>
      </c>
      <c r="D259" t="n">
        <v>87</v>
      </c>
      <c r="E259" t="inlineStr">
        <is>
          <t>MOD000084</t>
        </is>
      </c>
      <c r="F259" t="inlineStr">
        <is>
          <t>DeviceTypeID</t>
        </is>
      </c>
      <c r="G259" t="inlineStr">
        <is>
          <t>DT002</t>
        </is>
      </c>
      <c r="H259" t="inlineStr">
        <is>
          <t>tblDeviceTypeIDCrosswalk</t>
        </is>
      </c>
      <c r="I259" t="inlineStr"/>
      <c r="J259" t="inlineStr">
        <is>
          <t>No Supported Match</t>
        </is>
      </c>
      <c r="K259" t="inlineStr">
        <is>
          <t>None</t>
        </is>
      </c>
      <c r="L259" t="inlineStr">
        <is>
          <t>Crosswalk Pending</t>
        </is>
      </c>
      <c r="M259" t="inlineStr">
        <is>
          <t>Open</t>
        </is>
      </c>
      <c r="N259" t="inlineStr"/>
    </row>
    <row r="260">
      <c r="A260" t="inlineStr">
        <is>
          <t>FKEX00259</t>
        </is>
      </c>
      <c r="B260" t="inlineStr">
        <is>
          <t>15 LL_Device</t>
        </is>
      </c>
      <c r="C260" t="inlineStr">
        <is>
          <t>tblDeviceModel</t>
        </is>
      </c>
      <c r="D260" t="n">
        <v>88</v>
      </c>
      <c r="E260" t="inlineStr">
        <is>
          <t>MOD000085</t>
        </is>
      </c>
      <c r="F260" t="inlineStr">
        <is>
          <t>ManufacturerID</t>
        </is>
      </c>
      <c r="G260" t="inlineStr">
        <is>
          <t>MFG001</t>
        </is>
      </c>
      <c r="H260" t="inlineStr">
        <is>
          <t>tblManufacturerIDCrosswalk</t>
        </is>
      </c>
      <c r="I260" t="inlineStr"/>
      <c r="J260" t="inlineStr">
        <is>
          <t>No Supported Match</t>
        </is>
      </c>
      <c r="K260" t="inlineStr">
        <is>
          <t>None</t>
        </is>
      </c>
      <c r="L260" t="inlineStr">
        <is>
          <t>Crosswalk Pending</t>
        </is>
      </c>
      <c r="M260" t="inlineStr">
        <is>
          <t>Open</t>
        </is>
      </c>
      <c r="N260" t="inlineStr"/>
    </row>
    <row r="261">
      <c r="A261" t="inlineStr">
        <is>
          <t>FKEX00260</t>
        </is>
      </c>
      <c r="B261" t="inlineStr">
        <is>
          <t>15 LL_Device</t>
        </is>
      </c>
      <c r="C261" t="inlineStr">
        <is>
          <t>tblDeviceModel</t>
        </is>
      </c>
      <c r="D261" t="n">
        <v>88</v>
      </c>
      <c r="E261" t="inlineStr">
        <is>
          <t>MOD000085</t>
        </is>
      </c>
      <c r="F261" t="inlineStr">
        <is>
          <t>DeviceFamilyID</t>
        </is>
      </c>
      <c r="G261" t="inlineStr">
        <is>
          <t>DF006</t>
        </is>
      </c>
      <c r="H261" t="inlineStr">
        <is>
          <t>tblDeviceFamilyIDCrosswalk</t>
        </is>
      </c>
      <c r="I261" t="inlineStr"/>
      <c r="J261" t="inlineStr">
        <is>
          <t>tblDeviceModel</t>
        </is>
      </c>
      <c r="K261" t="inlineStr">
        <is>
          <t>Exact ID</t>
        </is>
      </c>
      <c r="L261" t="inlineStr">
        <is>
          <t>Crosswalk Pending</t>
        </is>
      </c>
      <c r="M261" t="inlineStr">
        <is>
          <t>Open</t>
        </is>
      </c>
      <c r="N261" t="inlineStr"/>
    </row>
    <row r="262">
      <c r="A262" t="inlineStr">
        <is>
          <t>FKEX00261</t>
        </is>
      </c>
      <c r="B262" t="inlineStr">
        <is>
          <t>15 LL_Device</t>
        </is>
      </c>
      <c r="C262" t="inlineStr">
        <is>
          <t>tblDeviceModel</t>
        </is>
      </c>
      <c r="D262" t="n">
        <v>88</v>
      </c>
      <c r="E262" t="inlineStr">
        <is>
          <t>MOD000085</t>
        </is>
      </c>
      <c r="F262" t="inlineStr">
        <is>
          <t>DeviceTypeID</t>
        </is>
      </c>
      <c r="G262" t="inlineStr">
        <is>
          <t>DT003</t>
        </is>
      </c>
      <c r="H262" t="inlineStr">
        <is>
          <t>tblDeviceTypeIDCrosswalk</t>
        </is>
      </c>
      <c r="I262" t="inlineStr"/>
      <c r="J262" t="inlineStr">
        <is>
          <t>No Supported Match</t>
        </is>
      </c>
      <c r="K262" t="inlineStr">
        <is>
          <t>None</t>
        </is>
      </c>
      <c r="L262" t="inlineStr">
        <is>
          <t>Crosswalk Pending</t>
        </is>
      </c>
      <c r="M262" t="inlineStr">
        <is>
          <t>Open</t>
        </is>
      </c>
      <c r="N262" t="inlineStr"/>
    </row>
    <row r="263">
      <c r="A263" t="inlineStr">
        <is>
          <t>FKEX00262</t>
        </is>
      </c>
      <c r="B263" t="inlineStr">
        <is>
          <t>15 LL_Device</t>
        </is>
      </c>
      <c r="C263" t="inlineStr">
        <is>
          <t>tblDeviceModel</t>
        </is>
      </c>
      <c r="D263" t="n">
        <v>89</v>
      </c>
      <c r="E263" t="inlineStr">
        <is>
          <t>MOD000086</t>
        </is>
      </c>
      <c r="F263" t="inlineStr">
        <is>
          <t>ManufacturerID</t>
        </is>
      </c>
      <c r="G263" t="inlineStr">
        <is>
          <t>MFG001</t>
        </is>
      </c>
      <c r="H263" t="inlineStr">
        <is>
          <t>tblManufacturerIDCrosswalk</t>
        </is>
      </c>
      <c r="I263" t="inlineStr"/>
      <c r="J263" t="inlineStr">
        <is>
          <t>No Supported Match</t>
        </is>
      </c>
      <c r="K263" t="inlineStr">
        <is>
          <t>None</t>
        </is>
      </c>
      <c r="L263" t="inlineStr">
        <is>
          <t>Crosswalk Pending</t>
        </is>
      </c>
      <c r="M263" t="inlineStr">
        <is>
          <t>Open</t>
        </is>
      </c>
      <c r="N263" t="inlineStr"/>
    </row>
    <row r="264">
      <c r="A264" t="inlineStr">
        <is>
          <t>FKEX00263</t>
        </is>
      </c>
      <c r="B264" t="inlineStr">
        <is>
          <t>15 LL_Device</t>
        </is>
      </c>
      <c r="C264" t="inlineStr">
        <is>
          <t>tblDeviceModel</t>
        </is>
      </c>
      <c r="D264" t="n">
        <v>89</v>
      </c>
      <c r="E264" t="inlineStr">
        <is>
          <t>MOD000086</t>
        </is>
      </c>
      <c r="F264" t="inlineStr">
        <is>
          <t>DeviceFamilyID</t>
        </is>
      </c>
      <c r="G264" t="inlineStr">
        <is>
          <t>DF006</t>
        </is>
      </c>
      <c r="H264" t="inlineStr">
        <is>
          <t>tblDeviceFamilyIDCrosswalk</t>
        </is>
      </c>
      <c r="I264" t="inlineStr"/>
      <c r="J264" t="inlineStr">
        <is>
          <t>tblDeviceModel</t>
        </is>
      </c>
      <c r="K264" t="inlineStr">
        <is>
          <t>Exact ID</t>
        </is>
      </c>
      <c r="L264" t="inlineStr">
        <is>
          <t>Crosswalk Pending</t>
        </is>
      </c>
      <c r="M264" t="inlineStr">
        <is>
          <t>Open</t>
        </is>
      </c>
      <c r="N264" t="inlineStr"/>
    </row>
    <row r="265">
      <c r="A265" t="inlineStr">
        <is>
          <t>FKEX00264</t>
        </is>
      </c>
      <c r="B265" t="inlineStr">
        <is>
          <t>15 LL_Device</t>
        </is>
      </c>
      <c r="C265" t="inlineStr">
        <is>
          <t>tblDeviceModel</t>
        </is>
      </c>
      <c r="D265" t="n">
        <v>89</v>
      </c>
      <c r="E265" t="inlineStr">
        <is>
          <t>MOD000086</t>
        </is>
      </c>
      <c r="F265" t="inlineStr">
        <is>
          <t>DeviceTypeID</t>
        </is>
      </c>
      <c r="G265" t="inlineStr">
        <is>
          <t>DT003</t>
        </is>
      </c>
      <c r="H265" t="inlineStr">
        <is>
          <t>tblDeviceTypeIDCrosswalk</t>
        </is>
      </c>
      <c r="I265" t="inlineStr"/>
      <c r="J265" t="inlineStr">
        <is>
          <t>No Supported Match</t>
        </is>
      </c>
      <c r="K265" t="inlineStr">
        <is>
          <t>None</t>
        </is>
      </c>
      <c r="L265" t="inlineStr">
        <is>
          <t>Crosswalk Pending</t>
        </is>
      </c>
      <c r="M265" t="inlineStr">
        <is>
          <t>Open</t>
        </is>
      </c>
      <c r="N265" t="inlineStr"/>
    </row>
    <row r="266">
      <c r="A266" t="inlineStr">
        <is>
          <t>FKEX00265</t>
        </is>
      </c>
      <c r="B266" t="inlineStr">
        <is>
          <t>15 LL_Device</t>
        </is>
      </c>
      <c r="C266" t="inlineStr">
        <is>
          <t>tblDeviceModel</t>
        </is>
      </c>
      <c r="D266" t="n">
        <v>90</v>
      </c>
      <c r="E266" t="inlineStr">
        <is>
          <t>MOD000087</t>
        </is>
      </c>
      <c r="F266" t="inlineStr">
        <is>
          <t>ManufacturerID</t>
        </is>
      </c>
      <c r="G266" t="inlineStr">
        <is>
          <t>MFG001</t>
        </is>
      </c>
      <c r="H266" t="inlineStr">
        <is>
          <t>tblManufacturerIDCrosswalk</t>
        </is>
      </c>
      <c r="I266" t="inlineStr"/>
      <c r="J266" t="inlineStr">
        <is>
          <t>No Supported Match</t>
        </is>
      </c>
      <c r="K266" t="inlineStr">
        <is>
          <t>None</t>
        </is>
      </c>
      <c r="L266" t="inlineStr">
        <is>
          <t>Crosswalk Pending</t>
        </is>
      </c>
      <c r="M266" t="inlineStr">
        <is>
          <t>Open</t>
        </is>
      </c>
      <c r="N266" t="inlineStr"/>
    </row>
    <row r="267">
      <c r="A267" t="inlineStr">
        <is>
          <t>FKEX00266</t>
        </is>
      </c>
      <c r="B267" t="inlineStr">
        <is>
          <t>15 LL_Device</t>
        </is>
      </c>
      <c r="C267" t="inlineStr">
        <is>
          <t>tblDeviceModel</t>
        </is>
      </c>
      <c r="D267" t="n">
        <v>90</v>
      </c>
      <c r="E267" t="inlineStr">
        <is>
          <t>MOD000087</t>
        </is>
      </c>
      <c r="F267" t="inlineStr">
        <is>
          <t>DeviceFamilyID</t>
        </is>
      </c>
      <c r="G267" t="inlineStr">
        <is>
          <t>DF006</t>
        </is>
      </c>
      <c r="H267" t="inlineStr">
        <is>
          <t>tblDeviceFamilyIDCrosswalk</t>
        </is>
      </c>
      <c r="I267" t="inlineStr"/>
      <c r="J267" t="inlineStr">
        <is>
          <t>tblDeviceModel</t>
        </is>
      </c>
      <c r="K267" t="inlineStr">
        <is>
          <t>Exact ID</t>
        </is>
      </c>
      <c r="L267" t="inlineStr">
        <is>
          <t>Crosswalk Pending</t>
        </is>
      </c>
      <c r="M267" t="inlineStr">
        <is>
          <t>Open</t>
        </is>
      </c>
      <c r="N267" t="inlineStr"/>
    </row>
    <row r="268">
      <c r="A268" t="inlineStr">
        <is>
          <t>FKEX00267</t>
        </is>
      </c>
      <c r="B268" t="inlineStr">
        <is>
          <t>15 LL_Device</t>
        </is>
      </c>
      <c r="C268" t="inlineStr">
        <is>
          <t>tblDeviceModel</t>
        </is>
      </c>
      <c r="D268" t="n">
        <v>90</v>
      </c>
      <c r="E268" t="inlineStr">
        <is>
          <t>MOD000087</t>
        </is>
      </c>
      <c r="F268" t="inlineStr">
        <is>
          <t>DeviceTypeID</t>
        </is>
      </c>
      <c r="G268" t="inlineStr">
        <is>
          <t>DT003</t>
        </is>
      </c>
      <c r="H268" t="inlineStr">
        <is>
          <t>tblDeviceTypeIDCrosswalk</t>
        </is>
      </c>
      <c r="I268" t="inlineStr"/>
      <c r="J268" t="inlineStr">
        <is>
          <t>No Supported Match</t>
        </is>
      </c>
      <c r="K268" t="inlineStr">
        <is>
          <t>None</t>
        </is>
      </c>
      <c r="L268" t="inlineStr">
        <is>
          <t>Crosswalk Pending</t>
        </is>
      </c>
      <c r="M268" t="inlineStr">
        <is>
          <t>Open</t>
        </is>
      </c>
      <c r="N268" t="inlineStr"/>
    </row>
    <row r="269">
      <c r="A269" t="inlineStr">
        <is>
          <t>FKEX00268</t>
        </is>
      </c>
      <c r="B269" t="inlineStr">
        <is>
          <t>15 LL_Device</t>
        </is>
      </c>
      <c r="C269" t="inlineStr">
        <is>
          <t>tblDeviceModel</t>
        </is>
      </c>
      <c r="D269" t="n">
        <v>91</v>
      </c>
      <c r="E269" t="inlineStr">
        <is>
          <t>MOD000088</t>
        </is>
      </c>
      <c r="F269" t="inlineStr">
        <is>
          <t>ManufacturerID</t>
        </is>
      </c>
      <c r="G269" t="inlineStr">
        <is>
          <t>MFG001</t>
        </is>
      </c>
      <c r="H269" t="inlineStr">
        <is>
          <t>tblManufacturerIDCrosswalk</t>
        </is>
      </c>
      <c r="I269" t="inlineStr"/>
      <c r="J269" t="inlineStr">
        <is>
          <t>No Supported Match</t>
        </is>
      </c>
      <c r="K269" t="inlineStr">
        <is>
          <t>None</t>
        </is>
      </c>
      <c r="L269" t="inlineStr">
        <is>
          <t>Crosswalk Pending</t>
        </is>
      </c>
      <c r="M269" t="inlineStr">
        <is>
          <t>Open</t>
        </is>
      </c>
      <c r="N269" t="inlineStr"/>
    </row>
    <row r="270">
      <c r="A270" t="inlineStr">
        <is>
          <t>FKEX00269</t>
        </is>
      </c>
      <c r="B270" t="inlineStr">
        <is>
          <t>15 LL_Device</t>
        </is>
      </c>
      <c r="C270" t="inlineStr">
        <is>
          <t>tblDeviceModel</t>
        </is>
      </c>
      <c r="D270" t="n">
        <v>91</v>
      </c>
      <c r="E270" t="inlineStr">
        <is>
          <t>MOD000088</t>
        </is>
      </c>
      <c r="F270" t="inlineStr">
        <is>
          <t>DeviceFamilyID</t>
        </is>
      </c>
      <c r="G270" t="inlineStr">
        <is>
          <t>DF007</t>
        </is>
      </c>
      <c r="H270" t="inlineStr">
        <is>
          <t>tblDeviceFamilyIDCrosswalk</t>
        </is>
      </c>
      <c r="I270" t="inlineStr"/>
      <c r="J270" t="inlineStr">
        <is>
          <t>tblDeviceModel</t>
        </is>
      </c>
      <c r="K270" t="inlineStr">
        <is>
          <t>Exact ID</t>
        </is>
      </c>
      <c r="L270" t="inlineStr">
        <is>
          <t>Crosswalk Pending</t>
        </is>
      </c>
      <c r="M270" t="inlineStr">
        <is>
          <t>Open</t>
        </is>
      </c>
      <c r="N270" t="inlineStr"/>
    </row>
    <row r="271">
      <c r="A271" t="inlineStr">
        <is>
          <t>FKEX00270</t>
        </is>
      </c>
      <c r="B271" t="inlineStr">
        <is>
          <t>15 LL_Device</t>
        </is>
      </c>
      <c r="C271" t="inlineStr">
        <is>
          <t>tblDeviceModel</t>
        </is>
      </c>
      <c r="D271" t="n">
        <v>91</v>
      </c>
      <c r="E271" t="inlineStr">
        <is>
          <t>MOD000088</t>
        </is>
      </c>
      <c r="F271" t="inlineStr">
        <is>
          <t>DeviceTypeID</t>
        </is>
      </c>
      <c r="G271" t="inlineStr">
        <is>
          <t>DT003</t>
        </is>
      </c>
      <c r="H271" t="inlineStr">
        <is>
          <t>tblDeviceTypeIDCrosswalk</t>
        </is>
      </c>
      <c r="I271" t="inlineStr"/>
      <c r="J271" t="inlineStr">
        <is>
          <t>No Supported Match</t>
        </is>
      </c>
      <c r="K271" t="inlineStr">
        <is>
          <t>None</t>
        </is>
      </c>
      <c r="L271" t="inlineStr">
        <is>
          <t>Crosswalk Pending</t>
        </is>
      </c>
      <c r="M271" t="inlineStr">
        <is>
          <t>Open</t>
        </is>
      </c>
      <c r="N271" t="inlineStr"/>
    </row>
    <row r="272">
      <c r="A272" t="inlineStr">
        <is>
          <t>FKEX00271</t>
        </is>
      </c>
      <c r="B272" t="inlineStr">
        <is>
          <t>15 LL_Device</t>
        </is>
      </c>
      <c r="C272" t="inlineStr">
        <is>
          <t>tblDeviceModel</t>
        </is>
      </c>
      <c r="D272" t="n">
        <v>92</v>
      </c>
      <c r="E272" t="inlineStr">
        <is>
          <t>MOD000089</t>
        </is>
      </c>
      <c r="F272" t="inlineStr">
        <is>
          <t>ManufacturerID</t>
        </is>
      </c>
      <c r="G272" t="inlineStr">
        <is>
          <t>MFG001</t>
        </is>
      </c>
      <c r="H272" t="inlineStr">
        <is>
          <t>tblManufacturerIDCrosswalk</t>
        </is>
      </c>
      <c r="I272" t="inlineStr"/>
      <c r="J272" t="inlineStr">
        <is>
          <t>No Supported Match</t>
        </is>
      </c>
      <c r="K272" t="inlineStr">
        <is>
          <t>None</t>
        </is>
      </c>
      <c r="L272" t="inlineStr">
        <is>
          <t>Crosswalk Pending</t>
        </is>
      </c>
      <c r="M272" t="inlineStr">
        <is>
          <t>Open</t>
        </is>
      </c>
      <c r="N272" t="inlineStr"/>
    </row>
    <row r="273">
      <c r="A273" t="inlineStr">
        <is>
          <t>FKEX00272</t>
        </is>
      </c>
      <c r="B273" t="inlineStr">
        <is>
          <t>15 LL_Device</t>
        </is>
      </c>
      <c r="C273" t="inlineStr">
        <is>
          <t>tblDeviceModel</t>
        </is>
      </c>
      <c r="D273" t="n">
        <v>92</v>
      </c>
      <c r="E273" t="inlineStr">
        <is>
          <t>MOD000089</t>
        </is>
      </c>
      <c r="F273" t="inlineStr">
        <is>
          <t>DeviceFamilyID</t>
        </is>
      </c>
      <c r="G273" t="inlineStr">
        <is>
          <t>DF007</t>
        </is>
      </c>
      <c r="H273" t="inlineStr">
        <is>
          <t>tblDeviceFamilyIDCrosswalk</t>
        </is>
      </c>
      <c r="I273" t="inlineStr"/>
      <c r="J273" t="inlineStr">
        <is>
          <t>tblDeviceModel</t>
        </is>
      </c>
      <c r="K273" t="inlineStr">
        <is>
          <t>Exact ID</t>
        </is>
      </c>
      <c r="L273" t="inlineStr">
        <is>
          <t>Crosswalk Pending</t>
        </is>
      </c>
      <c r="M273" t="inlineStr">
        <is>
          <t>Open</t>
        </is>
      </c>
      <c r="N273" t="inlineStr"/>
    </row>
    <row r="274">
      <c r="A274" t="inlineStr">
        <is>
          <t>FKEX00273</t>
        </is>
      </c>
      <c r="B274" t="inlineStr">
        <is>
          <t>15 LL_Device</t>
        </is>
      </c>
      <c r="C274" t="inlineStr">
        <is>
          <t>tblDeviceModel</t>
        </is>
      </c>
      <c r="D274" t="n">
        <v>92</v>
      </c>
      <c r="E274" t="inlineStr">
        <is>
          <t>MOD000089</t>
        </is>
      </c>
      <c r="F274" t="inlineStr">
        <is>
          <t>DeviceTypeID</t>
        </is>
      </c>
      <c r="G274" t="inlineStr">
        <is>
          <t>DT003</t>
        </is>
      </c>
      <c r="H274" t="inlineStr">
        <is>
          <t>tblDeviceTypeIDCrosswalk</t>
        </is>
      </c>
      <c r="I274" t="inlineStr"/>
      <c r="J274" t="inlineStr">
        <is>
          <t>No Supported Match</t>
        </is>
      </c>
      <c r="K274" t="inlineStr">
        <is>
          <t>None</t>
        </is>
      </c>
      <c r="L274" t="inlineStr">
        <is>
          <t>Crosswalk Pending</t>
        </is>
      </c>
      <c r="M274" t="inlineStr">
        <is>
          <t>Open</t>
        </is>
      </c>
      <c r="N274" t="inlineStr"/>
    </row>
    <row r="275">
      <c r="A275" t="inlineStr">
        <is>
          <t>FKEX00274</t>
        </is>
      </c>
      <c r="B275" t="inlineStr">
        <is>
          <t>15 LL_Device</t>
        </is>
      </c>
      <c r="C275" t="inlineStr">
        <is>
          <t>tblDeviceModel</t>
        </is>
      </c>
      <c r="D275" t="n">
        <v>93</v>
      </c>
      <c r="E275" t="inlineStr">
        <is>
          <t>MOD000090</t>
        </is>
      </c>
      <c r="F275" t="inlineStr">
        <is>
          <t>ManufacturerID</t>
        </is>
      </c>
      <c r="G275" t="inlineStr">
        <is>
          <t>MFG001</t>
        </is>
      </c>
      <c r="H275" t="inlineStr">
        <is>
          <t>tblManufacturerIDCrosswalk</t>
        </is>
      </c>
      <c r="I275" t="inlineStr"/>
      <c r="J275" t="inlineStr">
        <is>
          <t>No Supported Match</t>
        </is>
      </c>
      <c r="K275" t="inlineStr">
        <is>
          <t>None</t>
        </is>
      </c>
      <c r="L275" t="inlineStr">
        <is>
          <t>Crosswalk Pending</t>
        </is>
      </c>
      <c r="M275" t="inlineStr">
        <is>
          <t>Open</t>
        </is>
      </c>
      <c r="N275" t="inlineStr"/>
    </row>
    <row r="276">
      <c r="A276" t="inlineStr">
        <is>
          <t>FKEX00275</t>
        </is>
      </c>
      <c r="B276" t="inlineStr">
        <is>
          <t>15 LL_Device</t>
        </is>
      </c>
      <c r="C276" t="inlineStr">
        <is>
          <t>tblDeviceModel</t>
        </is>
      </c>
      <c r="D276" t="n">
        <v>93</v>
      </c>
      <c r="E276" t="inlineStr">
        <is>
          <t>MOD000090</t>
        </is>
      </c>
      <c r="F276" t="inlineStr">
        <is>
          <t>DeviceFamilyID</t>
        </is>
      </c>
      <c r="G276" t="inlineStr">
        <is>
          <t>DF007</t>
        </is>
      </c>
      <c r="H276" t="inlineStr">
        <is>
          <t>tblDeviceFamilyIDCrosswalk</t>
        </is>
      </c>
      <c r="I276" t="inlineStr"/>
      <c r="J276" t="inlineStr">
        <is>
          <t>tblDeviceModel</t>
        </is>
      </c>
      <c r="K276" t="inlineStr">
        <is>
          <t>Exact ID</t>
        </is>
      </c>
      <c r="L276" t="inlineStr">
        <is>
          <t>Crosswalk Pending</t>
        </is>
      </c>
      <c r="M276" t="inlineStr">
        <is>
          <t>Open</t>
        </is>
      </c>
      <c r="N276" t="inlineStr"/>
    </row>
    <row r="277">
      <c r="A277" t="inlineStr">
        <is>
          <t>FKEX00276</t>
        </is>
      </c>
      <c r="B277" t="inlineStr">
        <is>
          <t>15 LL_Device</t>
        </is>
      </c>
      <c r="C277" t="inlineStr">
        <is>
          <t>tblDeviceModel</t>
        </is>
      </c>
      <c r="D277" t="n">
        <v>93</v>
      </c>
      <c r="E277" t="inlineStr">
        <is>
          <t>MOD000090</t>
        </is>
      </c>
      <c r="F277" t="inlineStr">
        <is>
          <t>DeviceTypeID</t>
        </is>
      </c>
      <c r="G277" t="inlineStr">
        <is>
          <t>DT003</t>
        </is>
      </c>
      <c r="H277" t="inlineStr">
        <is>
          <t>tblDeviceTypeIDCrosswalk</t>
        </is>
      </c>
      <c r="I277" t="inlineStr"/>
      <c r="J277" t="inlineStr">
        <is>
          <t>No Supported Match</t>
        </is>
      </c>
      <c r="K277" t="inlineStr">
        <is>
          <t>None</t>
        </is>
      </c>
      <c r="L277" t="inlineStr">
        <is>
          <t>Crosswalk Pending</t>
        </is>
      </c>
      <c r="M277" t="inlineStr">
        <is>
          <t>Open</t>
        </is>
      </c>
      <c r="N277" t="inlineStr"/>
    </row>
    <row r="278">
      <c r="A278" t="inlineStr">
        <is>
          <t>FKEX00277</t>
        </is>
      </c>
      <c r="B278" t="inlineStr">
        <is>
          <t>15 LL_Device</t>
        </is>
      </c>
      <c r="C278" t="inlineStr">
        <is>
          <t>tblDeviceModel</t>
        </is>
      </c>
      <c r="D278" t="n">
        <v>94</v>
      </c>
      <c r="E278" t="inlineStr">
        <is>
          <t>MOD000091</t>
        </is>
      </c>
      <c r="F278" t="inlineStr">
        <is>
          <t>ManufacturerID</t>
        </is>
      </c>
      <c r="G278" t="inlineStr">
        <is>
          <t>MFG001</t>
        </is>
      </c>
      <c r="H278" t="inlineStr">
        <is>
          <t>tblManufacturerIDCrosswalk</t>
        </is>
      </c>
      <c r="I278" t="inlineStr"/>
      <c r="J278" t="inlineStr">
        <is>
          <t>No Supported Match</t>
        </is>
      </c>
      <c r="K278" t="inlineStr">
        <is>
          <t>None</t>
        </is>
      </c>
      <c r="L278" t="inlineStr">
        <is>
          <t>Crosswalk Pending</t>
        </is>
      </c>
      <c r="M278" t="inlineStr">
        <is>
          <t>Open</t>
        </is>
      </c>
      <c r="N278" t="inlineStr"/>
    </row>
    <row r="279">
      <c r="A279" t="inlineStr">
        <is>
          <t>FKEX00278</t>
        </is>
      </c>
      <c r="B279" t="inlineStr">
        <is>
          <t>15 LL_Device</t>
        </is>
      </c>
      <c r="C279" t="inlineStr">
        <is>
          <t>tblDeviceModel</t>
        </is>
      </c>
      <c r="D279" t="n">
        <v>94</v>
      </c>
      <c r="E279" t="inlineStr">
        <is>
          <t>MOD000091</t>
        </is>
      </c>
      <c r="F279" t="inlineStr">
        <is>
          <t>DeviceFamilyID</t>
        </is>
      </c>
      <c r="G279" t="inlineStr">
        <is>
          <t>DF007</t>
        </is>
      </c>
      <c r="H279" t="inlineStr">
        <is>
          <t>tblDeviceFamilyIDCrosswalk</t>
        </is>
      </c>
      <c r="I279" t="inlineStr"/>
      <c r="J279" t="inlineStr">
        <is>
          <t>tblDeviceModel</t>
        </is>
      </c>
      <c r="K279" t="inlineStr">
        <is>
          <t>Exact ID</t>
        </is>
      </c>
      <c r="L279" t="inlineStr">
        <is>
          <t>Crosswalk Pending</t>
        </is>
      </c>
      <c r="M279" t="inlineStr">
        <is>
          <t>Open</t>
        </is>
      </c>
      <c r="N279" t="inlineStr"/>
    </row>
    <row r="280">
      <c r="A280" t="inlineStr">
        <is>
          <t>FKEX00279</t>
        </is>
      </c>
      <c r="B280" t="inlineStr">
        <is>
          <t>15 LL_Device</t>
        </is>
      </c>
      <c r="C280" t="inlineStr">
        <is>
          <t>tblDeviceModel</t>
        </is>
      </c>
      <c r="D280" t="n">
        <v>94</v>
      </c>
      <c r="E280" t="inlineStr">
        <is>
          <t>MOD000091</t>
        </is>
      </c>
      <c r="F280" t="inlineStr">
        <is>
          <t>DeviceTypeID</t>
        </is>
      </c>
      <c r="G280" t="inlineStr">
        <is>
          <t>DT003</t>
        </is>
      </c>
      <c r="H280" t="inlineStr">
        <is>
          <t>tblDeviceTypeIDCrosswalk</t>
        </is>
      </c>
      <c r="I280" t="inlineStr"/>
      <c r="J280" t="inlineStr">
        <is>
          <t>No Supported Match</t>
        </is>
      </c>
      <c r="K280" t="inlineStr">
        <is>
          <t>None</t>
        </is>
      </c>
      <c r="L280" t="inlineStr">
        <is>
          <t>Crosswalk Pending</t>
        </is>
      </c>
      <c r="M280" t="inlineStr">
        <is>
          <t>Open</t>
        </is>
      </c>
      <c r="N280" t="inlineStr"/>
    </row>
    <row r="281">
      <c r="A281" t="inlineStr">
        <is>
          <t>FKEX00280</t>
        </is>
      </c>
      <c r="B281" t="inlineStr">
        <is>
          <t>15 LL_Device</t>
        </is>
      </c>
      <c r="C281" t="inlineStr">
        <is>
          <t>tblDeviceModel</t>
        </is>
      </c>
      <c r="D281" t="n">
        <v>95</v>
      </c>
      <c r="E281" t="inlineStr">
        <is>
          <t>MOD000092</t>
        </is>
      </c>
      <c r="F281" t="inlineStr">
        <is>
          <t>ManufacturerID</t>
        </is>
      </c>
      <c r="G281" t="inlineStr">
        <is>
          <t>MFG001</t>
        </is>
      </c>
      <c r="H281" t="inlineStr">
        <is>
          <t>tblManufacturerIDCrosswalk</t>
        </is>
      </c>
      <c r="I281" t="inlineStr"/>
      <c r="J281" t="inlineStr">
        <is>
          <t>No Supported Match</t>
        </is>
      </c>
      <c r="K281" t="inlineStr">
        <is>
          <t>None</t>
        </is>
      </c>
      <c r="L281" t="inlineStr">
        <is>
          <t>Crosswalk Pending</t>
        </is>
      </c>
      <c r="M281" t="inlineStr">
        <is>
          <t>Open</t>
        </is>
      </c>
      <c r="N281" t="inlineStr"/>
    </row>
    <row r="282">
      <c r="A282" t="inlineStr">
        <is>
          <t>FKEX00281</t>
        </is>
      </c>
      <c r="B282" t="inlineStr">
        <is>
          <t>15 LL_Device</t>
        </is>
      </c>
      <c r="C282" t="inlineStr">
        <is>
          <t>tblDeviceModel</t>
        </is>
      </c>
      <c r="D282" t="n">
        <v>95</v>
      </c>
      <c r="E282" t="inlineStr">
        <is>
          <t>MOD000092</t>
        </is>
      </c>
      <c r="F282" t="inlineStr">
        <is>
          <t>DeviceFamilyID</t>
        </is>
      </c>
      <c r="G282" t="inlineStr">
        <is>
          <t>DF007</t>
        </is>
      </c>
      <c r="H282" t="inlineStr">
        <is>
          <t>tblDeviceFamilyIDCrosswalk</t>
        </is>
      </c>
      <c r="I282" t="inlineStr"/>
      <c r="J282" t="inlineStr">
        <is>
          <t>tblDeviceModel</t>
        </is>
      </c>
      <c r="K282" t="inlineStr">
        <is>
          <t>Exact ID</t>
        </is>
      </c>
      <c r="L282" t="inlineStr">
        <is>
          <t>Crosswalk Pending</t>
        </is>
      </c>
      <c r="M282" t="inlineStr">
        <is>
          <t>Open</t>
        </is>
      </c>
      <c r="N282" t="inlineStr"/>
    </row>
    <row r="283">
      <c r="A283" t="inlineStr">
        <is>
          <t>FKEX00282</t>
        </is>
      </c>
      <c r="B283" t="inlineStr">
        <is>
          <t>15 LL_Device</t>
        </is>
      </c>
      <c r="C283" t="inlineStr">
        <is>
          <t>tblDeviceModel</t>
        </is>
      </c>
      <c r="D283" t="n">
        <v>95</v>
      </c>
      <c r="E283" t="inlineStr">
        <is>
          <t>MOD000092</t>
        </is>
      </c>
      <c r="F283" t="inlineStr">
        <is>
          <t>DeviceTypeID</t>
        </is>
      </c>
      <c r="G283" t="inlineStr">
        <is>
          <t>DT003</t>
        </is>
      </c>
      <c r="H283" t="inlineStr">
        <is>
          <t>tblDeviceTypeIDCrosswalk</t>
        </is>
      </c>
      <c r="I283" t="inlineStr"/>
      <c r="J283" t="inlineStr">
        <is>
          <t>No Supported Match</t>
        </is>
      </c>
      <c r="K283" t="inlineStr">
        <is>
          <t>None</t>
        </is>
      </c>
      <c r="L283" t="inlineStr">
        <is>
          <t>Crosswalk Pending</t>
        </is>
      </c>
      <c r="M283" t="inlineStr">
        <is>
          <t>Open</t>
        </is>
      </c>
      <c r="N283" t="inlineStr"/>
    </row>
    <row r="284">
      <c r="A284" t="inlineStr">
        <is>
          <t>FKEX00283</t>
        </is>
      </c>
      <c r="B284" t="inlineStr">
        <is>
          <t>15 LL_Device</t>
        </is>
      </c>
      <c r="C284" t="inlineStr">
        <is>
          <t>tblDeviceModel</t>
        </is>
      </c>
      <c r="D284" t="n">
        <v>96</v>
      </c>
      <c r="E284" t="inlineStr">
        <is>
          <t>MOD000093</t>
        </is>
      </c>
      <c r="F284" t="inlineStr">
        <is>
          <t>ManufacturerID</t>
        </is>
      </c>
      <c r="G284" t="inlineStr">
        <is>
          <t>MFG001</t>
        </is>
      </c>
      <c r="H284" t="inlineStr">
        <is>
          <t>tblManufacturerIDCrosswalk</t>
        </is>
      </c>
      <c r="I284" t="inlineStr"/>
      <c r="J284" t="inlineStr">
        <is>
          <t>No Supported Match</t>
        </is>
      </c>
      <c r="K284" t="inlineStr">
        <is>
          <t>None</t>
        </is>
      </c>
      <c r="L284" t="inlineStr">
        <is>
          <t>Crosswalk Pending</t>
        </is>
      </c>
      <c r="M284" t="inlineStr">
        <is>
          <t>Open</t>
        </is>
      </c>
      <c r="N284" t="inlineStr"/>
    </row>
    <row r="285">
      <c r="A285" t="inlineStr">
        <is>
          <t>FKEX00284</t>
        </is>
      </c>
      <c r="B285" t="inlineStr">
        <is>
          <t>15 LL_Device</t>
        </is>
      </c>
      <c r="C285" t="inlineStr">
        <is>
          <t>tblDeviceModel</t>
        </is>
      </c>
      <c r="D285" t="n">
        <v>96</v>
      </c>
      <c r="E285" t="inlineStr">
        <is>
          <t>MOD000093</t>
        </is>
      </c>
      <c r="F285" t="inlineStr">
        <is>
          <t>DeviceFamilyID</t>
        </is>
      </c>
      <c r="G285" t="inlineStr">
        <is>
          <t>DF007</t>
        </is>
      </c>
      <c r="H285" t="inlineStr">
        <is>
          <t>tblDeviceFamilyIDCrosswalk</t>
        </is>
      </c>
      <c r="I285" t="inlineStr"/>
      <c r="J285" t="inlineStr">
        <is>
          <t>tblDeviceModel</t>
        </is>
      </c>
      <c r="K285" t="inlineStr">
        <is>
          <t>Exact ID</t>
        </is>
      </c>
      <c r="L285" t="inlineStr">
        <is>
          <t>Crosswalk Pending</t>
        </is>
      </c>
      <c r="M285" t="inlineStr">
        <is>
          <t>Open</t>
        </is>
      </c>
      <c r="N285" t="inlineStr"/>
    </row>
    <row r="286">
      <c r="A286" t="inlineStr">
        <is>
          <t>FKEX00285</t>
        </is>
      </c>
      <c r="B286" t="inlineStr">
        <is>
          <t>15 LL_Device</t>
        </is>
      </c>
      <c r="C286" t="inlineStr">
        <is>
          <t>tblDeviceModel</t>
        </is>
      </c>
      <c r="D286" t="n">
        <v>96</v>
      </c>
      <c r="E286" t="inlineStr">
        <is>
          <t>MOD000093</t>
        </is>
      </c>
      <c r="F286" t="inlineStr">
        <is>
          <t>DeviceTypeID</t>
        </is>
      </c>
      <c r="G286" t="inlineStr">
        <is>
          <t>DT003</t>
        </is>
      </c>
      <c r="H286" t="inlineStr">
        <is>
          <t>tblDeviceTypeIDCrosswalk</t>
        </is>
      </c>
      <c r="I286" t="inlineStr"/>
      <c r="J286" t="inlineStr">
        <is>
          <t>No Supported Match</t>
        </is>
      </c>
      <c r="K286" t="inlineStr">
        <is>
          <t>None</t>
        </is>
      </c>
      <c r="L286" t="inlineStr">
        <is>
          <t>Crosswalk Pending</t>
        </is>
      </c>
      <c r="M286" t="inlineStr">
        <is>
          <t>Open</t>
        </is>
      </c>
      <c r="N286" t="inlineStr"/>
    </row>
    <row r="287">
      <c r="A287" t="inlineStr">
        <is>
          <t>FKEX00286</t>
        </is>
      </c>
      <c r="B287" t="inlineStr">
        <is>
          <t>15 LL_Device</t>
        </is>
      </c>
      <c r="C287" t="inlineStr">
        <is>
          <t>tblDeviceModel</t>
        </is>
      </c>
      <c r="D287" t="n">
        <v>97</v>
      </c>
      <c r="E287" t="inlineStr">
        <is>
          <t>MOD000094</t>
        </is>
      </c>
      <c r="F287" t="inlineStr">
        <is>
          <t>ManufacturerID</t>
        </is>
      </c>
      <c r="G287" t="inlineStr">
        <is>
          <t>MFG001</t>
        </is>
      </c>
      <c r="H287" t="inlineStr">
        <is>
          <t>tblManufacturerIDCrosswalk</t>
        </is>
      </c>
      <c r="I287" t="inlineStr"/>
      <c r="J287" t="inlineStr">
        <is>
          <t>No Supported Match</t>
        </is>
      </c>
      <c r="K287" t="inlineStr">
        <is>
          <t>None</t>
        </is>
      </c>
      <c r="L287" t="inlineStr">
        <is>
          <t>Crosswalk Pending</t>
        </is>
      </c>
      <c r="M287" t="inlineStr">
        <is>
          <t>Open</t>
        </is>
      </c>
      <c r="N287" t="inlineStr"/>
    </row>
    <row r="288">
      <c r="A288" t="inlineStr">
        <is>
          <t>FKEX00287</t>
        </is>
      </c>
      <c r="B288" t="inlineStr">
        <is>
          <t>15 LL_Device</t>
        </is>
      </c>
      <c r="C288" t="inlineStr">
        <is>
          <t>tblDeviceModel</t>
        </is>
      </c>
      <c r="D288" t="n">
        <v>97</v>
      </c>
      <c r="E288" t="inlineStr">
        <is>
          <t>MOD000094</t>
        </is>
      </c>
      <c r="F288" t="inlineStr">
        <is>
          <t>DeviceFamilyID</t>
        </is>
      </c>
      <c r="G288" t="inlineStr">
        <is>
          <t>DF007</t>
        </is>
      </c>
      <c r="H288" t="inlineStr">
        <is>
          <t>tblDeviceFamilyIDCrosswalk</t>
        </is>
      </c>
      <c r="I288" t="inlineStr"/>
      <c r="J288" t="inlineStr">
        <is>
          <t>tblDeviceModel</t>
        </is>
      </c>
      <c r="K288" t="inlineStr">
        <is>
          <t>Exact ID</t>
        </is>
      </c>
      <c r="L288" t="inlineStr">
        <is>
          <t>Crosswalk Pending</t>
        </is>
      </c>
      <c r="M288" t="inlineStr">
        <is>
          <t>Open</t>
        </is>
      </c>
      <c r="N288" t="inlineStr"/>
    </row>
    <row r="289">
      <c r="A289" t="inlineStr">
        <is>
          <t>FKEX00288</t>
        </is>
      </c>
      <c r="B289" t="inlineStr">
        <is>
          <t>15 LL_Device</t>
        </is>
      </c>
      <c r="C289" t="inlineStr">
        <is>
          <t>tblDeviceModel</t>
        </is>
      </c>
      <c r="D289" t="n">
        <v>97</v>
      </c>
      <c r="E289" t="inlineStr">
        <is>
          <t>MOD000094</t>
        </is>
      </c>
      <c r="F289" t="inlineStr">
        <is>
          <t>DeviceTypeID</t>
        </is>
      </c>
      <c r="G289" t="inlineStr">
        <is>
          <t>DT003</t>
        </is>
      </c>
      <c r="H289" t="inlineStr">
        <is>
          <t>tblDeviceTypeIDCrosswalk</t>
        </is>
      </c>
      <c r="I289" t="inlineStr"/>
      <c r="J289" t="inlineStr">
        <is>
          <t>No Supported Match</t>
        </is>
      </c>
      <c r="K289" t="inlineStr">
        <is>
          <t>None</t>
        </is>
      </c>
      <c r="L289" t="inlineStr">
        <is>
          <t>Crosswalk Pending</t>
        </is>
      </c>
      <c r="M289" t="inlineStr">
        <is>
          <t>Open</t>
        </is>
      </c>
      <c r="N289" t="inlineStr"/>
    </row>
    <row r="290">
      <c r="A290" t="inlineStr">
        <is>
          <t>FKEX00289</t>
        </is>
      </c>
      <c r="B290" t="inlineStr">
        <is>
          <t>15 LL_Device</t>
        </is>
      </c>
      <c r="C290" t="inlineStr">
        <is>
          <t>tblDeviceModel</t>
        </is>
      </c>
      <c r="D290" t="n">
        <v>98</v>
      </c>
      <c r="E290" t="inlineStr">
        <is>
          <t>MOD000095</t>
        </is>
      </c>
      <c r="F290" t="inlineStr">
        <is>
          <t>ManufacturerID</t>
        </is>
      </c>
      <c r="G290" t="inlineStr">
        <is>
          <t>MFG001</t>
        </is>
      </c>
      <c r="H290" t="inlineStr">
        <is>
          <t>tblManufacturerIDCrosswalk</t>
        </is>
      </c>
      <c r="I290" t="inlineStr"/>
      <c r="J290" t="inlineStr">
        <is>
          <t>No Supported Match</t>
        </is>
      </c>
      <c r="K290" t="inlineStr">
        <is>
          <t>None</t>
        </is>
      </c>
      <c r="L290" t="inlineStr">
        <is>
          <t>Crosswalk Pending</t>
        </is>
      </c>
      <c r="M290" t="inlineStr">
        <is>
          <t>Open</t>
        </is>
      </c>
      <c r="N290" t="inlineStr"/>
    </row>
    <row r="291">
      <c r="A291" t="inlineStr">
        <is>
          <t>FKEX00290</t>
        </is>
      </c>
      <c r="B291" t="inlineStr">
        <is>
          <t>15 LL_Device</t>
        </is>
      </c>
      <c r="C291" t="inlineStr">
        <is>
          <t>tblDeviceModel</t>
        </is>
      </c>
      <c r="D291" t="n">
        <v>98</v>
      </c>
      <c r="E291" t="inlineStr">
        <is>
          <t>MOD000095</t>
        </is>
      </c>
      <c r="F291" t="inlineStr">
        <is>
          <t>DeviceFamilyID</t>
        </is>
      </c>
      <c r="G291" t="inlineStr">
        <is>
          <t>DF007</t>
        </is>
      </c>
      <c r="H291" t="inlineStr">
        <is>
          <t>tblDeviceFamilyIDCrosswalk</t>
        </is>
      </c>
      <c r="I291" t="inlineStr"/>
      <c r="J291" t="inlineStr">
        <is>
          <t>tblDeviceModel</t>
        </is>
      </c>
      <c r="K291" t="inlineStr">
        <is>
          <t>Exact ID</t>
        </is>
      </c>
      <c r="L291" t="inlineStr">
        <is>
          <t>Crosswalk Pending</t>
        </is>
      </c>
      <c r="M291" t="inlineStr">
        <is>
          <t>Open</t>
        </is>
      </c>
      <c r="N291" t="inlineStr"/>
    </row>
    <row r="292">
      <c r="A292" t="inlineStr">
        <is>
          <t>FKEX00291</t>
        </is>
      </c>
      <c r="B292" t="inlineStr">
        <is>
          <t>15 LL_Device</t>
        </is>
      </c>
      <c r="C292" t="inlineStr">
        <is>
          <t>tblDeviceModel</t>
        </is>
      </c>
      <c r="D292" t="n">
        <v>98</v>
      </c>
      <c r="E292" t="inlineStr">
        <is>
          <t>MOD000095</t>
        </is>
      </c>
      <c r="F292" t="inlineStr">
        <is>
          <t>DeviceTypeID</t>
        </is>
      </c>
      <c r="G292" t="inlineStr">
        <is>
          <t>DT003</t>
        </is>
      </c>
      <c r="H292" t="inlineStr">
        <is>
          <t>tblDeviceTypeIDCrosswalk</t>
        </is>
      </c>
      <c r="I292" t="inlineStr"/>
      <c r="J292" t="inlineStr">
        <is>
          <t>No Supported Match</t>
        </is>
      </c>
      <c r="K292" t="inlineStr">
        <is>
          <t>None</t>
        </is>
      </c>
      <c r="L292" t="inlineStr">
        <is>
          <t>Crosswalk Pending</t>
        </is>
      </c>
      <c r="M292" t="inlineStr">
        <is>
          <t>Open</t>
        </is>
      </c>
      <c r="N292" t="inlineStr"/>
    </row>
    <row r="293">
      <c r="A293" t="inlineStr">
        <is>
          <t>FKEX00292</t>
        </is>
      </c>
      <c r="B293" t="inlineStr">
        <is>
          <t>15 LL_Device</t>
        </is>
      </c>
      <c r="C293" t="inlineStr">
        <is>
          <t>tblDeviceModel</t>
        </is>
      </c>
      <c r="D293" t="n">
        <v>99</v>
      </c>
      <c r="E293" t="inlineStr">
        <is>
          <t>MOD000096</t>
        </is>
      </c>
      <c r="F293" t="inlineStr">
        <is>
          <t>ManufacturerID</t>
        </is>
      </c>
      <c r="G293" t="inlineStr">
        <is>
          <t>MFG001</t>
        </is>
      </c>
      <c r="H293" t="inlineStr">
        <is>
          <t>tblManufacturerIDCrosswalk</t>
        </is>
      </c>
      <c r="I293" t="inlineStr"/>
      <c r="J293" t="inlineStr">
        <is>
          <t>No Supported Match</t>
        </is>
      </c>
      <c r="K293" t="inlineStr">
        <is>
          <t>None</t>
        </is>
      </c>
      <c r="L293" t="inlineStr">
        <is>
          <t>Crosswalk Pending</t>
        </is>
      </c>
      <c r="M293" t="inlineStr">
        <is>
          <t>Open</t>
        </is>
      </c>
      <c r="N293" t="inlineStr"/>
    </row>
    <row r="294">
      <c r="A294" t="inlineStr">
        <is>
          <t>FKEX00293</t>
        </is>
      </c>
      <c r="B294" t="inlineStr">
        <is>
          <t>15 LL_Device</t>
        </is>
      </c>
      <c r="C294" t="inlineStr">
        <is>
          <t>tblDeviceModel</t>
        </is>
      </c>
      <c r="D294" t="n">
        <v>99</v>
      </c>
      <c r="E294" t="inlineStr">
        <is>
          <t>MOD000096</t>
        </is>
      </c>
      <c r="F294" t="inlineStr">
        <is>
          <t>DeviceFamilyID</t>
        </is>
      </c>
      <c r="G294" t="inlineStr">
        <is>
          <t>DF007</t>
        </is>
      </c>
      <c r="H294" t="inlineStr">
        <is>
          <t>tblDeviceFamilyIDCrosswalk</t>
        </is>
      </c>
      <c r="I294" t="inlineStr"/>
      <c r="J294" t="inlineStr">
        <is>
          <t>tblDeviceModel</t>
        </is>
      </c>
      <c r="K294" t="inlineStr">
        <is>
          <t>Exact ID</t>
        </is>
      </c>
      <c r="L294" t="inlineStr">
        <is>
          <t>Crosswalk Pending</t>
        </is>
      </c>
      <c r="M294" t="inlineStr">
        <is>
          <t>Open</t>
        </is>
      </c>
      <c r="N294" t="inlineStr"/>
    </row>
    <row r="295">
      <c r="A295" t="inlineStr">
        <is>
          <t>FKEX00294</t>
        </is>
      </c>
      <c r="B295" t="inlineStr">
        <is>
          <t>15 LL_Device</t>
        </is>
      </c>
      <c r="C295" t="inlineStr">
        <is>
          <t>tblDeviceModel</t>
        </is>
      </c>
      <c r="D295" t="n">
        <v>99</v>
      </c>
      <c r="E295" t="inlineStr">
        <is>
          <t>MOD000096</t>
        </is>
      </c>
      <c r="F295" t="inlineStr">
        <is>
          <t>DeviceTypeID</t>
        </is>
      </c>
      <c r="G295" t="inlineStr">
        <is>
          <t>DT003</t>
        </is>
      </c>
      <c r="H295" t="inlineStr">
        <is>
          <t>tblDeviceTypeIDCrosswalk</t>
        </is>
      </c>
      <c r="I295" t="inlineStr"/>
      <c r="J295" t="inlineStr">
        <is>
          <t>No Supported Match</t>
        </is>
      </c>
      <c r="K295" t="inlineStr">
        <is>
          <t>None</t>
        </is>
      </c>
      <c r="L295" t="inlineStr">
        <is>
          <t>Crosswalk Pending</t>
        </is>
      </c>
      <c r="M295" t="inlineStr">
        <is>
          <t>Open</t>
        </is>
      </c>
      <c r="N295" t="inlineStr"/>
    </row>
    <row r="296">
      <c r="A296" t="inlineStr">
        <is>
          <t>FKEX00295</t>
        </is>
      </c>
      <c r="B296" t="inlineStr">
        <is>
          <t>15 LL_Device</t>
        </is>
      </c>
      <c r="C296" t="inlineStr">
        <is>
          <t>tblDeviceModel</t>
        </is>
      </c>
      <c r="D296" t="n">
        <v>100</v>
      </c>
      <c r="E296" t="inlineStr">
        <is>
          <t>MOD000097</t>
        </is>
      </c>
      <c r="F296" t="inlineStr">
        <is>
          <t>ManufacturerID</t>
        </is>
      </c>
      <c r="G296" t="inlineStr">
        <is>
          <t>MFG001</t>
        </is>
      </c>
      <c r="H296" t="inlineStr">
        <is>
          <t>tblManufacturerIDCrosswalk</t>
        </is>
      </c>
      <c r="I296" t="inlineStr"/>
      <c r="J296" t="inlineStr">
        <is>
          <t>No Supported Match</t>
        </is>
      </c>
      <c r="K296" t="inlineStr">
        <is>
          <t>None</t>
        </is>
      </c>
      <c r="L296" t="inlineStr">
        <is>
          <t>Crosswalk Pending</t>
        </is>
      </c>
      <c r="M296" t="inlineStr">
        <is>
          <t>Open</t>
        </is>
      </c>
      <c r="N296" t="inlineStr"/>
    </row>
    <row r="297">
      <c r="A297" t="inlineStr">
        <is>
          <t>FKEX00296</t>
        </is>
      </c>
      <c r="B297" t="inlineStr">
        <is>
          <t>15 LL_Device</t>
        </is>
      </c>
      <c r="C297" t="inlineStr">
        <is>
          <t>tblDeviceModel</t>
        </is>
      </c>
      <c r="D297" t="n">
        <v>100</v>
      </c>
      <c r="E297" t="inlineStr">
        <is>
          <t>MOD000097</t>
        </is>
      </c>
      <c r="F297" t="inlineStr">
        <is>
          <t>DeviceFamilyID</t>
        </is>
      </c>
      <c r="G297" t="inlineStr">
        <is>
          <t>DF008</t>
        </is>
      </c>
      <c r="H297" t="inlineStr">
        <is>
          <t>tblDeviceFamilyIDCrosswalk</t>
        </is>
      </c>
      <c r="I297" t="inlineStr"/>
      <c r="J297" t="inlineStr">
        <is>
          <t>tblDeviceModel</t>
        </is>
      </c>
      <c r="K297" t="inlineStr">
        <is>
          <t>Exact ID</t>
        </is>
      </c>
      <c r="L297" t="inlineStr">
        <is>
          <t>Crosswalk Pending</t>
        </is>
      </c>
      <c r="M297" t="inlineStr">
        <is>
          <t>Open</t>
        </is>
      </c>
      <c r="N297" t="inlineStr"/>
    </row>
    <row r="298">
      <c r="A298" t="inlineStr">
        <is>
          <t>FKEX00297</t>
        </is>
      </c>
      <c r="B298" t="inlineStr">
        <is>
          <t>15 LL_Device</t>
        </is>
      </c>
      <c r="C298" t="inlineStr">
        <is>
          <t>tblDeviceModel</t>
        </is>
      </c>
      <c r="D298" t="n">
        <v>100</v>
      </c>
      <c r="E298" t="inlineStr">
        <is>
          <t>MOD000097</t>
        </is>
      </c>
      <c r="F298" t="inlineStr">
        <is>
          <t>DeviceTypeID</t>
        </is>
      </c>
      <c r="G298" t="inlineStr">
        <is>
          <t>DT003</t>
        </is>
      </c>
      <c r="H298" t="inlineStr">
        <is>
          <t>tblDeviceTypeIDCrosswalk</t>
        </is>
      </c>
      <c r="I298" t="inlineStr"/>
      <c r="J298" t="inlineStr">
        <is>
          <t>No Supported Match</t>
        </is>
      </c>
      <c r="K298" t="inlineStr">
        <is>
          <t>None</t>
        </is>
      </c>
      <c r="L298" t="inlineStr">
        <is>
          <t>Crosswalk Pending</t>
        </is>
      </c>
      <c r="M298" t="inlineStr">
        <is>
          <t>Open</t>
        </is>
      </c>
      <c r="N298" t="inlineStr"/>
    </row>
    <row r="299">
      <c r="A299" t="inlineStr">
        <is>
          <t>FKEX00298</t>
        </is>
      </c>
      <c r="B299" t="inlineStr">
        <is>
          <t>15 LL_Device</t>
        </is>
      </c>
      <c r="C299" t="inlineStr">
        <is>
          <t>tblDeviceModel</t>
        </is>
      </c>
      <c r="D299" t="n">
        <v>101</v>
      </c>
      <c r="E299" t="inlineStr">
        <is>
          <t>MOD000098</t>
        </is>
      </c>
      <c r="F299" t="inlineStr">
        <is>
          <t>ManufacturerID</t>
        </is>
      </c>
      <c r="G299" t="inlineStr">
        <is>
          <t>MFG001</t>
        </is>
      </c>
      <c r="H299" t="inlineStr">
        <is>
          <t>tblManufacturerIDCrosswalk</t>
        </is>
      </c>
      <c r="I299" t="inlineStr"/>
      <c r="J299" t="inlineStr">
        <is>
          <t>No Supported Match</t>
        </is>
      </c>
      <c r="K299" t="inlineStr">
        <is>
          <t>None</t>
        </is>
      </c>
      <c r="L299" t="inlineStr">
        <is>
          <t>Crosswalk Pending</t>
        </is>
      </c>
      <c r="M299" t="inlineStr">
        <is>
          <t>Open</t>
        </is>
      </c>
      <c r="N299" t="inlineStr"/>
    </row>
    <row r="300">
      <c r="A300" t="inlineStr">
        <is>
          <t>FKEX00299</t>
        </is>
      </c>
      <c r="B300" t="inlineStr">
        <is>
          <t>15 LL_Device</t>
        </is>
      </c>
      <c r="C300" t="inlineStr">
        <is>
          <t>tblDeviceModel</t>
        </is>
      </c>
      <c r="D300" t="n">
        <v>101</v>
      </c>
      <c r="E300" t="inlineStr">
        <is>
          <t>MOD000098</t>
        </is>
      </c>
      <c r="F300" t="inlineStr">
        <is>
          <t>DeviceFamilyID</t>
        </is>
      </c>
      <c r="G300" t="inlineStr">
        <is>
          <t>DF008</t>
        </is>
      </c>
      <c r="H300" t="inlineStr">
        <is>
          <t>tblDeviceFamilyIDCrosswalk</t>
        </is>
      </c>
      <c r="I300" t="inlineStr"/>
      <c r="J300" t="inlineStr">
        <is>
          <t>tblDeviceModel</t>
        </is>
      </c>
      <c r="K300" t="inlineStr">
        <is>
          <t>Exact ID</t>
        </is>
      </c>
      <c r="L300" t="inlineStr">
        <is>
          <t>Crosswalk Pending</t>
        </is>
      </c>
      <c r="M300" t="inlineStr">
        <is>
          <t>Open</t>
        </is>
      </c>
      <c r="N300" t="inlineStr"/>
    </row>
    <row r="301">
      <c r="A301" t="inlineStr">
        <is>
          <t>FKEX00300</t>
        </is>
      </c>
      <c r="B301" t="inlineStr">
        <is>
          <t>15 LL_Device</t>
        </is>
      </c>
      <c r="C301" t="inlineStr">
        <is>
          <t>tblDeviceModel</t>
        </is>
      </c>
      <c r="D301" t="n">
        <v>101</v>
      </c>
      <c r="E301" t="inlineStr">
        <is>
          <t>MOD000098</t>
        </is>
      </c>
      <c r="F301" t="inlineStr">
        <is>
          <t>DeviceTypeID</t>
        </is>
      </c>
      <c r="G301" t="inlineStr">
        <is>
          <t>DT003</t>
        </is>
      </c>
      <c r="H301" t="inlineStr">
        <is>
          <t>tblDeviceTypeIDCrosswalk</t>
        </is>
      </c>
      <c r="I301" t="inlineStr"/>
      <c r="J301" t="inlineStr">
        <is>
          <t>No Supported Match</t>
        </is>
      </c>
      <c r="K301" t="inlineStr">
        <is>
          <t>None</t>
        </is>
      </c>
      <c r="L301" t="inlineStr">
        <is>
          <t>Crosswalk Pending</t>
        </is>
      </c>
      <c r="M301" t="inlineStr">
        <is>
          <t>Open</t>
        </is>
      </c>
      <c r="N301" t="inlineStr"/>
    </row>
    <row r="302">
      <c r="A302" t="inlineStr">
        <is>
          <t>FKEX00301</t>
        </is>
      </c>
      <c r="B302" t="inlineStr">
        <is>
          <t>15 LL_Device</t>
        </is>
      </c>
      <c r="C302" t="inlineStr">
        <is>
          <t>tblDeviceModel</t>
        </is>
      </c>
      <c r="D302" t="n">
        <v>102</v>
      </c>
      <c r="E302" t="inlineStr">
        <is>
          <t>MOD000099</t>
        </is>
      </c>
      <c r="F302" t="inlineStr">
        <is>
          <t>ManufacturerID</t>
        </is>
      </c>
      <c r="G302" t="inlineStr">
        <is>
          <t>MFG001</t>
        </is>
      </c>
      <c r="H302" t="inlineStr">
        <is>
          <t>tblManufacturerIDCrosswalk</t>
        </is>
      </c>
      <c r="I302" t="inlineStr"/>
      <c r="J302" t="inlineStr">
        <is>
          <t>No Supported Match</t>
        </is>
      </c>
      <c r="K302" t="inlineStr">
        <is>
          <t>None</t>
        </is>
      </c>
      <c r="L302" t="inlineStr">
        <is>
          <t>Crosswalk Pending</t>
        </is>
      </c>
      <c r="M302" t="inlineStr">
        <is>
          <t>Open</t>
        </is>
      </c>
      <c r="N302" t="inlineStr"/>
    </row>
    <row r="303">
      <c r="A303" t="inlineStr">
        <is>
          <t>FKEX00302</t>
        </is>
      </c>
      <c r="B303" t="inlineStr">
        <is>
          <t>15 LL_Device</t>
        </is>
      </c>
      <c r="C303" t="inlineStr">
        <is>
          <t>tblDeviceModel</t>
        </is>
      </c>
      <c r="D303" t="n">
        <v>102</v>
      </c>
      <c r="E303" t="inlineStr">
        <is>
          <t>MOD000099</t>
        </is>
      </c>
      <c r="F303" t="inlineStr">
        <is>
          <t>DeviceFamilyID</t>
        </is>
      </c>
      <c r="G303" t="inlineStr">
        <is>
          <t>DF008</t>
        </is>
      </c>
      <c r="H303" t="inlineStr">
        <is>
          <t>tblDeviceFamilyIDCrosswalk</t>
        </is>
      </c>
      <c r="I303" t="inlineStr"/>
      <c r="J303" t="inlineStr">
        <is>
          <t>tblDeviceModel</t>
        </is>
      </c>
      <c r="K303" t="inlineStr">
        <is>
          <t>Exact ID</t>
        </is>
      </c>
      <c r="L303" t="inlineStr">
        <is>
          <t>Crosswalk Pending</t>
        </is>
      </c>
      <c r="M303" t="inlineStr">
        <is>
          <t>Open</t>
        </is>
      </c>
      <c r="N303" t="inlineStr"/>
    </row>
    <row r="304">
      <c r="A304" t="inlineStr">
        <is>
          <t>FKEX00303</t>
        </is>
      </c>
      <c r="B304" t="inlineStr">
        <is>
          <t>15 LL_Device</t>
        </is>
      </c>
      <c r="C304" t="inlineStr">
        <is>
          <t>tblDeviceModel</t>
        </is>
      </c>
      <c r="D304" t="n">
        <v>102</v>
      </c>
      <c r="E304" t="inlineStr">
        <is>
          <t>MOD000099</t>
        </is>
      </c>
      <c r="F304" t="inlineStr">
        <is>
          <t>DeviceTypeID</t>
        </is>
      </c>
      <c r="G304" t="inlineStr">
        <is>
          <t>DT003</t>
        </is>
      </c>
      <c r="H304" t="inlineStr">
        <is>
          <t>tblDeviceTypeIDCrosswalk</t>
        </is>
      </c>
      <c r="I304" t="inlineStr"/>
      <c r="J304" t="inlineStr">
        <is>
          <t>No Supported Match</t>
        </is>
      </c>
      <c r="K304" t="inlineStr">
        <is>
          <t>None</t>
        </is>
      </c>
      <c r="L304" t="inlineStr">
        <is>
          <t>Crosswalk Pending</t>
        </is>
      </c>
      <c r="M304" t="inlineStr">
        <is>
          <t>Open</t>
        </is>
      </c>
      <c r="N304" t="inlineStr"/>
    </row>
    <row r="305">
      <c r="A305" t="inlineStr">
        <is>
          <t>FKEX00304</t>
        </is>
      </c>
      <c r="B305" t="inlineStr">
        <is>
          <t>15 LL_Device</t>
        </is>
      </c>
      <c r="C305" t="inlineStr">
        <is>
          <t>tblDeviceModel</t>
        </is>
      </c>
      <c r="D305" t="n">
        <v>103</v>
      </c>
      <c r="E305" t="inlineStr">
        <is>
          <t>MOD000100</t>
        </is>
      </c>
      <c r="F305" t="inlineStr">
        <is>
          <t>ManufacturerID</t>
        </is>
      </c>
      <c r="G305" t="inlineStr">
        <is>
          <t>MFG001</t>
        </is>
      </c>
      <c r="H305" t="inlineStr">
        <is>
          <t>tblManufacturerIDCrosswalk</t>
        </is>
      </c>
      <c r="I305" t="inlineStr"/>
      <c r="J305" t="inlineStr">
        <is>
          <t>No Supported Match</t>
        </is>
      </c>
      <c r="K305" t="inlineStr">
        <is>
          <t>None</t>
        </is>
      </c>
      <c r="L305" t="inlineStr">
        <is>
          <t>Crosswalk Pending</t>
        </is>
      </c>
      <c r="M305" t="inlineStr">
        <is>
          <t>Open</t>
        </is>
      </c>
      <c r="N305" t="inlineStr"/>
    </row>
    <row r="306">
      <c r="A306" t="inlineStr">
        <is>
          <t>FKEX00305</t>
        </is>
      </c>
      <c r="B306" t="inlineStr">
        <is>
          <t>15 LL_Device</t>
        </is>
      </c>
      <c r="C306" t="inlineStr">
        <is>
          <t>tblDeviceModel</t>
        </is>
      </c>
      <c r="D306" t="n">
        <v>103</v>
      </c>
      <c r="E306" t="inlineStr">
        <is>
          <t>MOD000100</t>
        </is>
      </c>
      <c r="F306" t="inlineStr">
        <is>
          <t>DeviceFamilyID</t>
        </is>
      </c>
      <c r="G306" t="inlineStr">
        <is>
          <t>DF008</t>
        </is>
      </c>
      <c r="H306" t="inlineStr">
        <is>
          <t>tblDeviceFamilyIDCrosswalk</t>
        </is>
      </c>
      <c r="I306" t="inlineStr"/>
      <c r="J306" t="inlineStr">
        <is>
          <t>tblDeviceModel</t>
        </is>
      </c>
      <c r="K306" t="inlineStr">
        <is>
          <t>Exact ID</t>
        </is>
      </c>
      <c r="L306" t="inlineStr">
        <is>
          <t>Crosswalk Pending</t>
        </is>
      </c>
      <c r="M306" t="inlineStr">
        <is>
          <t>Open</t>
        </is>
      </c>
      <c r="N306" t="inlineStr"/>
    </row>
    <row r="307">
      <c r="A307" t="inlineStr">
        <is>
          <t>FKEX00306</t>
        </is>
      </c>
      <c r="B307" t="inlineStr">
        <is>
          <t>15 LL_Device</t>
        </is>
      </c>
      <c r="C307" t="inlineStr">
        <is>
          <t>tblDeviceModel</t>
        </is>
      </c>
      <c r="D307" t="n">
        <v>103</v>
      </c>
      <c r="E307" t="inlineStr">
        <is>
          <t>MOD000100</t>
        </is>
      </c>
      <c r="F307" t="inlineStr">
        <is>
          <t>DeviceTypeID</t>
        </is>
      </c>
      <c r="G307" t="inlineStr">
        <is>
          <t>DT003</t>
        </is>
      </c>
      <c r="H307" t="inlineStr">
        <is>
          <t>tblDeviceTypeIDCrosswalk</t>
        </is>
      </c>
      <c r="I307" t="inlineStr"/>
      <c r="J307" t="inlineStr">
        <is>
          <t>No Supported Match</t>
        </is>
      </c>
      <c r="K307" t="inlineStr">
        <is>
          <t>None</t>
        </is>
      </c>
      <c r="L307" t="inlineStr">
        <is>
          <t>Crosswalk Pending</t>
        </is>
      </c>
      <c r="M307" t="inlineStr">
        <is>
          <t>Open</t>
        </is>
      </c>
      <c r="N307" t="inlineStr"/>
    </row>
    <row r="308">
      <c r="A308" t="inlineStr">
        <is>
          <t>FKEX00307</t>
        </is>
      </c>
      <c r="B308" t="inlineStr">
        <is>
          <t>15 LL_Device</t>
        </is>
      </c>
      <c r="C308" t="inlineStr">
        <is>
          <t>tblDeviceModel</t>
        </is>
      </c>
      <c r="D308" t="n">
        <v>104</v>
      </c>
      <c r="E308" t="inlineStr">
        <is>
          <t>MOD000101</t>
        </is>
      </c>
      <c r="F308" t="inlineStr">
        <is>
          <t>ManufacturerID</t>
        </is>
      </c>
      <c r="G308" t="inlineStr">
        <is>
          <t>MFG001</t>
        </is>
      </c>
      <c r="H308" t="inlineStr">
        <is>
          <t>tblManufacturerIDCrosswalk</t>
        </is>
      </c>
      <c r="I308" t="inlineStr"/>
      <c r="J308" t="inlineStr">
        <is>
          <t>No Supported Match</t>
        </is>
      </c>
      <c r="K308" t="inlineStr">
        <is>
          <t>None</t>
        </is>
      </c>
      <c r="L308" t="inlineStr">
        <is>
          <t>Crosswalk Pending</t>
        </is>
      </c>
      <c r="M308" t="inlineStr">
        <is>
          <t>Open</t>
        </is>
      </c>
      <c r="N308" t="inlineStr"/>
    </row>
    <row r="309">
      <c r="A309" t="inlineStr">
        <is>
          <t>FKEX00308</t>
        </is>
      </c>
      <c r="B309" t="inlineStr">
        <is>
          <t>15 LL_Device</t>
        </is>
      </c>
      <c r="C309" t="inlineStr">
        <is>
          <t>tblDeviceModel</t>
        </is>
      </c>
      <c r="D309" t="n">
        <v>104</v>
      </c>
      <c r="E309" t="inlineStr">
        <is>
          <t>MOD000101</t>
        </is>
      </c>
      <c r="F309" t="inlineStr">
        <is>
          <t>DeviceFamilyID</t>
        </is>
      </c>
      <c r="G309" t="inlineStr">
        <is>
          <t>DF008</t>
        </is>
      </c>
      <c r="H309" t="inlineStr">
        <is>
          <t>tblDeviceFamilyIDCrosswalk</t>
        </is>
      </c>
      <c r="I309" t="inlineStr"/>
      <c r="J309" t="inlineStr">
        <is>
          <t>tblDeviceModel</t>
        </is>
      </c>
      <c r="K309" t="inlineStr">
        <is>
          <t>Exact ID</t>
        </is>
      </c>
      <c r="L309" t="inlineStr">
        <is>
          <t>Crosswalk Pending</t>
        </is>
      </c>
      <c r="M309" t="inlineStr">
        <is>
          <t>Open</t>
        </is>
      </c>
      <c r="N309" t="inlineStr"/>
    </row>
    <row r="310">
      <c r="A310" t="inlineStr">
        <is>
          <t>FKEX00309</t>
        </is>
      </c>
      <c r="B310" t="inlineStr">
        <is>
          <t>15 LL_Device</t>
        </is>
      </c>
      <c r="C310" t="inlineStr">
        <is>
          <t>tblDeviceModel</t>
        </is>
      </c>
      <c r="D310" t="n">
        <v>104</v>
      </c>
      <c r="E310" t="inlineStr">
        <is>
          <t>MOD000101</t>
        </is>
      </c>
      <c r="F310" t="inlineStr">
        <is>
          <t>DeviceTypeID</t>
        </is>
      </c>
      <c r="G310" t="inlineStr">
        <is>
          <t>DT003</t>
        </is>
      </c>
      <c r="H310" t="inlineStr">
        <is>
          <t>tblDeviceTypeIDCrosswalk</t>
        </is>
      </c>
      <c r="I310" t="inlineStr"/>
      <c r="J310" t="inlineStr">
        <is>
          <t>No Supported Match</t>
        </is>
      </c>
      <c r="K310" t="inlineStr">
        <is>
          <t>None</t>
        </is>
      </c>
      <c r="L310" t="inlineStr">
        <is>
          <t>Crosswalk Pending</t>
        </is>
      </c>
      <c r="M310" t="inlineStr">
        <is>
          <t>Open</t>
        </is>
      </c>
      <c r="N310" t="inlineStr"/>
    </row>
    <row r="311">
      <c r="A311" t="inlineStr">
        <is>
          <t>FKEX00310</t>
        </is>
      </c>
      <c r="B311" t="inlineStr">
        <is>
          <t>15 LL_Device</t>
        </is>
      </c>
      <c r="C311" t="inlineStr">
        <is>
          <t>tblDeviceModel</t>
        </is>
      </c>
      <c r="D311" t="n">
        <v>105</v>
      </c>
      <c r="E311" t="inlineStr">
        <is>
          <t>MOD000102</t>
        </is>
      </c>
      <c r="F311" t="inlineStr">
        <is>
          <t>ManufacturerID</t>
        </is>
      </c>
      <c r="G311" t="inlineStr">
        <is>
          <t>MFG001</t>
        </is>
      </c>
      <c r="H311" t="inlineStr">
        <is>
          <t>tblManufacturerIDCrosswalk</t>
        </is>
      </c>
      <c r="I311" t="inlineStr"/>
      <c r="J311" t="inlineStr">
        <is>
          <t>No Supported Match</t>
        </is>
      </c>
      <c r="K311" t="inlineStr">
        <is>
          <t>None</t>
        </is>
      </c>
      <c r="L311" t="inlineStr">
        <is>
          <t>Crosswalk Pending</t>
        </is>
      </c>
      <c r="M311" t="inlineStr">
        <is>
          <t>Open</t>
        </is>
      </c>
      <c r="N311" t="inlineStr"/>
    </row>
    <row r="312">
      <c r="A312" t="inlineStr">
        <is>
          <t>FKEX00311</t>
        </is>
      </c>
      <c r="B312" t="inlineStr">
        <is>
          <t>15 LL_Device</t>
        </is>
      </c>
      <c r="C312" t="inlineStr">
        <is>
          <t>tblDeviceModel</t>
        </is>
      </c>
      <c r="D312" t="n">
        <v>105</v>
      </c>
      <c r="E312" t="inlineStr">
        <is>
          <t>MOD000102</t>
        </is>
      </c>
      <c r="F312" t="inlineStr">
        <is>
          <t>DeviceFamilyID</t>
        </is>
      </c>
      <c r="G312" t="inlineStr">
        <is>
          <t>DF008</t>
        </is>
      </c>
      <c r="H312" t="inlineStr">
        <is>
          <t>tblDeviceFamilyIDCrosswalk</t>
        </is>
      </c>
      <c r="I312" t="inlineStr"/>
      <c r="J312" t="inlineStr">
        <is>
          <t>tblDeviceModel</t>
        </is>
      </c>
      <c r="K312" t="inlineStr">
        <is>
          <t>Exact ID</t>
        </is>
      </c>
      <c r="L312" t="inlineStr">
        <is>
          <t>Crosswalk Pending</t>
        </is>
      </c>
      <c r="M312" t="inlineStr">
        <is>
          <t>Open</t>
        </is>
      </c>
      <c r="N312" t="inlineStr"/>
    </row>
    <row r="313">
      <c r="A313" t="inlineStr">
        <is>
          <t>FKEX00312</t>
        </is>
      </c>
      <c r="B313" t="inlineStr">
        <is>
          <t>15 LL_Device</t>
        </is>
      </c>
      <c r="C313" t="inlineStr">
        <is>
          <t>tblDeviceModel</t>
        </is>
      </c>
      <c r="D313" t="n">
        <v>105</v>
      </c>
      <c r="E313" t="inlineStr">
        <is>
          <t>MOD000102</t>
        </is>
      </c>
      <c r="F313" t="inlineStr">
        <is>
          <t>DeviceTypeID</t>
        </is>
      </c>
      <c r="G313" t="inlineStr">
        <is>
          <t>DT003</t>
        </is>
      </c>
      <c r="H313" t="inlineStr">
        <is>
          <t>tblDeviceTypeIDCrosswalk</t>
        </is>
      </c>
      <c r="I313" t="inlineStr"/>
      <c r="J313" t="inlineStr">
        <is>
          <t>No Supported Match</t>
        </is>
      </c>
      <c r="K313" t="inlineStr">
        <is>
          <t>None</t>
        </is>
      </c>
      <c r="L313" t="inlineStr">
        <is>
          <t>Crosswalk Pending</t>
        </is>
      </c>
      <c r="M313" t="inlineStr">
        <is>
          <t>Open</t>
        </is>
      </c>
      <c r="N313" t="inlineStr"/>
    </row>
    <row r="314">
      <c r="A314" t="inlineStr">
        <is>
          <t>FKEX00313</t>
        </is>
      </c>
      <c r="B314" t="inlineStr">
        <is>
          <t>15 LL_Device</t>
        </is>
      </c>
      <c r="C314" t="inlineStr">
        <is>
          <t>tblDeviceModel</t>
        </is>
      </c>
      <c r="D314" t="n">
        <v>106</v>
      </c>
      <c r="E314" t="inlineStr">
        <is>
          <t>MOD000103</t>
        </is>
      </c>
      <c r="F314" t="inlineStr">
        <is>
          <t>ManufacturerID</t>
        </is>
      </c>
      <c r="G314" t="inlineStr">
        <is>
          <t>MFG001</t>
        </is>
      </c>
      <c r="H314" t="inlineStr">
        <is>
          <t>tblManufacturerIDCrosswalk</t>
        </is>
      </c>
      <c r="I314" t="inlineStr"/>
      <c r="J314" t="inlineStr">
        <is>
          <t>No Supported Match</t>
        </is>
      </c>
      <c r="K314" t="inlineStr">
        <is>
          <t>None</t>
        </is>
      </c>
      <c r="L314" t="inlineStr">
        <is>
          <t>Crosswalk Pending</t>
        </is>
      </c>
      <c r="M314" t="inlineStr">
        <is>
          <t>Open</t>
        </is>
      </c>
      <c r="N314" t="inlineStr"/>
    </row>
    <row r="315">
      <c r="A315" t="inlineStr">
        <is>
          <t>FKEX00314</t>
        </is>
      </c>
      <c r="B315" t="inlineStr">
        <is>
          <t>15 LL_Device</t>
        </is>
      </c>
      <c r="C315" t="inlineStr">
        <is>
          <t>tblDeviceModel</t>
        </is>
      </c>
      <c r="D315" t="n">
        <v>106</v>
      </c>
      <c r="E315" t="inlineStr">
        <is>
          <t>MOD000103</t>
        </is>
      </c>
      <c r="F315" t="inlineStr">
        <is>
          <t>DeviceFamilyID</t>
        </is>
      </c>
      <c r="G315" t="inlineStr">
        <is>
          <t>DF009</t>
        </is>
      </c>
      <c r="H315" t="inlineStr">
        <is>
          <t>tblDeviceFamilyIDCrosswalk</t>
        </is>
      </c>
      <c r="I315" t="inlineStr"/>
      <c r="J315" t="inlineStr">
        <is>
          <t>tblDeviceModel</t>
        </is>
      </c>
      <c r="K315" t="inlineStr">
        <is>
          <t>Exact ID</t>
        </is>
      </c>
      <c r="L315" t="inlineStr">
        <is>
          <t>Crosswalk Pending</t>
        </is>
      </c>
      <c r="M315" t="inlineStr">
        <is>
          <t>Open</t>
        </is>
      </c>
      <c r="N315" t="inlineStr"/>
    </row>
    <row r="316">
      <c r="A316" t="inlineStr">
        <is>
          <t>FKEX00315</t>
        </is>
      </c>
      <c r="B316" t="inlineStr">
        <is>
          <t>15 LL_Device</t>
        </is>
      </c>
      <c r="C316" t="inlineStr">
        <is>
          <t>tblDeviceModel</t>
        </is>
      </c>
      <c r="D316" t="n">
        <v>106</v>
      </c>
      <c r="E316" t="inlineStr">
        <is>
          <t>MOD000103</t>
        </is>
      </c>
      <c r="F316" t="inlineStr">
        <is>
          <t>DeviceTypeID</t>
        </is>
      </c>
      <c r="G316" t="inlineStr">
        <is>
          <t>DT004</t>
        </is>
      </c>
      <c r="H316" t="inlineStr">
        <is>
          <t>tblDeviceTypeIDCrosswalk</t>
        </is>
      </c>
      <c r="I316" t="inlineStr"/>
      <c r="J316" t="inlineStr">
        <is>
          <t>No Supported Match</t>
        </is>
      </c>
      <c r="K316" t="inlineStr">
        <is>
          <t>None</t>
        </is>
      </c>
      <c r="L316" t="inlineStr">
        <is>
          <t>Crosswalk Pending</t>
        </is>
      </c>
      <c r="M316" t="inlineStr">
        <is>
          <t>Open</t>
        </is>
      </c>
      <c r="N316" t="inlineStr"/>
    </row>
    <row r="317">
      <c r="A317" t="inlineStr">
        <is>
          <t>FKEX00316</t>
        </is>
      </c>
      <c r="B317" t="inlineStr">
        <is>
          <t>15 LL_Device</t>
        </is>
      </c>
      <c r="C317" t="inlineStr">
        <is>
          <t>tblDeviceModel</t>
        </is>
      </c>
      <c r="D317" t="n">
        <v>107</v>
      </c>
      <c r="E317" t="inlineStr">
        <is>
          <t>MOD000104</t>
        </is>
      </c>
      <c r="F317" t="inlineStr">
        <is>
          <t>ManufacturerID</t>
        </is>
      </c>
      <c r="G317" t="inlineStr">
        <is>
          <t>MFG001</t>
        </is>
      </c>
      <c r="H317" t="inlineStr">
        <is>
          <t>tblManufacturerIDCrosswalk</t>
        </is>
      </c>
      <c r="I317" t="inlineStr"/>
      <c r="J317" t="inlineStr">
        <is>
          <t>No Supported Match</t>
        </is>
      </c>
      <c r="K317" t="inlineStr">
        <is>
          <t>None</t>
        </is>
      </c>
      <c r="L317" t="inlineStr">
        <is>
          <t>Crosswalk Pending</t>
        </is>
      </c>
      <c r="M317" t="inlineStr">
        <is>
          <t>Open</t>
        </is>
      </c>
      <c r="N317" t="inlineStr"/>
    </row>
    <row r="318">
      <c r="A318" t="inlineStr">
        <is>
          <t>FKEX00317</t>
        </is>
      </c>
      <c r="B318" t="inlineStr">
        <is>
          <t>15 LL_Device</t>
        </is>
      </c>
      <c r="C318" t="inlineStr">
        <is>
          <t>tblDeviceModel</t>
        </is>
      </c>
      <c r="D318" t="n">
        <v>107</v>
      </c>
      <c r="E318" t="inlineStr">
        <is>
          <t>MOD000104</t>
        </is>
      </c>
      <c r="F318" t="inlineStr">
        <is>
          <t>DeviceFamilyID</t>
        </is>
      </c>
      <c r="G318" t="inlineStr">
        <is>
          <t>DF009</t>
        </is>
      </c>
      <c r="H318" t="inlineStr">
        <is>
          <t>tblDeviceFamilyIDCrosswalk</t>
        </is>
      </c>
      <c r="I318" t="inlineStr"/>
      <c r="J318" t="inlineStr">
        <is>
          <t>tblDeviceModel</t>
        </is>
      </c>
      <c r="K318" t="inlineStr">
        <is>
          <t>Exact ID</t>
        </is>
      </c>
      <c r="L318" t="inlineStr">
        <is>
          <t>Crosswalk Pending</t>
        </is>
      </c>
      <c r="M318" t="inlineStr">
        <is>
          <t>Open</t>
        </is>
      </c>
      <c r="N318" t="inlineStr"/>
    </row>
    <row r="319">
      <c r="A319" t="inlineStr">
        <is>
          <t>FKEX00318</t>
        </is>
      </c>
      <c r="B319" t="inlineStr">
        <is>
          <t>15 LL_Device</t>
        </is>
      </c>
      <c r="C319" t="inlineStr">
        <is>
          <t>tblDeviceModel</t>
        </is>
      </c>
      <c r="D319" t="n">
        <v>107</v>
      </c>
      <c r="E319" t="inlineStr">
        <is>
          <t>MOD000104</t>
        </is>
      </c>
      <c r="F319" t="inlineStr">
        <is>
          <t>DeviceTypeID</t>
        </is>
      </c>
      <c r="G319" t="inlineStr">
        <is>
          <t>DT004</t>
        </is>
      </c>
      <c r="H319" t="inlineStr">
        <is>
          <t>tblDeviceTypeIDCrosswalk</t>
        </is>
      </c>
      <c r="I319" t="inlineStr"/>
      <c r="J319" t="inlineStr">
        <is>
          <t>No Supported Match</t>
        </is>
      </c>
      <c r="K319" t="inlineStr">
        <is>
          <t>None</t>
        </is>
      </c>
      <c r="L319" t="inlineStr">
        <is>
          <t>Crosswalk Pending</t>
        </is>
      </c>
      <c r="M319" t="inlineStr">
        <is>
          <t>Open</t>
        </is>
      </c>
      <c r="N319" t="inlineStr"/>
    </row>
    <row r="320">
      <c r="A320" t="inlineStr">
        <is>
          <t>FKEX00319</t>
        </is>
      </c>
      <c r="B320" t="inlineStr">
        <is>
          <t>15 LL_Device</t>
        </is>
      </c>
      <c r="C320" t="inlineStr">
        <is>
          <t>tblDeviceModel</t>
        </is>
      </c>
      <c r="D320" t="n">
        <v>108</v>
      </c>
      <c r="E320" t="inlineStr">
        <is>
          <t>MOD000105</t>
        </is>
      </c>
      <c r="F320" t="inlineStr">
        <is>
          <t>ManufacturerID</t>
        </is>
      </c>
      <c r="G320" t="inlineStr">
        <is>
          <t>MFG001</t>
        </is>
      </c>
      <c r="H320" t="inlineStr">
        <is>
          <t>tblManufacturerIDCrosswalk</t>
        </is>
      </c>
      <c r="I320" t="inlineStr"/>
      <c r="J320" t="inlineStr">
        <is>
          <t>No Supported Match</t>
        </is>
      </c>
      <c r="K320" t="inlineStr">
        <is>
          <t>None</t>
        </is>
      </c>
      <c r="L320" t="inlineStr">
        <is>
          <t>Crosswalk Pending</t>
        </is>
      </c>
      <c r="M320" t="inlineStr">
        <is>
          <t>Open</t>
        </is>
      </c>
      <c r="N320" t="inlineStr"/>
    </row>
    <row r="321">
      <c r="A321" t="inlineStr">
        <is>
          <t>FKEX00320</t>
        </is>
      </c>
      <c r="B321" t="inlineStr">
        <is>
          <t>15 LL_Device</t>
        </is>
      </c>
      <c r="C321" t="inlineStr">
        <is>
          <t>tblDeviceModel</t>
        </is>
      </c>
      <c r="D321" t="n">
        <v>108</v>
      </c>
      <c r="E321" t="inlineStr">
        <is>
          <t>MOD000105</t>
        </is>
      </c>
      <c r="F321" t="inlineStr">
        <is>
          <t>DeviceFamilyID</t>
        </is>
      </c>
      <c r="G321" t="inlineStr">
        <is>
          <t>DF009</t>
        </is>
      </c>
      <c r="H321" t="inlineStr">
        <is>
          <t>tblDeviceFamilyIDCrosswalk</t>
        </is>
      </c>
      <c r="I321" t="inlineStr"/>
      <c r="J321" t="inlineStr">
        <is>
          <t>tblDeviceModel</t>
        </is>
      </c>
      <c r="K321" t="inlineStr">
        <is>
          <t>Exact ID</t>
        </is>
      </c>
      <c r="L321" t="inlineStr">
        <is>
          <t>Crosswalk Pending</t>
        </is>
      </c>
      <c r="M321" t="inlineStr">
        <is>
          <t>Open</t>
        </is>
      </c>
      <c r="N321" t="inlineStr"/>
    </row>
    <row r="322">
      <c r="A322" t="inlineStr">
        <is>
          <t>FKEX00321</t>
        </is>
      </c>
      <c r="B322" t="inlineStr">
        <is>
          <t>15 LL_Device</t>
        </is>
      </c>
      <c r="C322" t="inlineStr">
        <is>
          <t>tblDeviceModel</t>
        </is>
      </c>
      <c r="D322" t="n">
        <v>108</v>
      </c>
      <c r="E322" t="inlineStr">
        <is>
          <t>MOD000105</t>
        </is>
      </c>
      <c r="F322" t="inlineStr">
        <is>
          <t>DeviceTypeID</t>
        </is>
      </c>
      <c r="G322" t="inlineStr">
        <is>
          <t>DT004</t>
        </is>
      </c>
      <c r="H322" t="inlineStr">
        <is>
          <t>tblDeviceTypeIDCrosswalk</t>
        </is>
      </c>
      <c r="I322" t="inlineStr"/>
      <c r="J322" t="inlineStr">
        <is>
          <t>No Supported Match</t>
        </is>
      </c>
      <c r="K322" t="inlineStr">
        <is>
          <t>None</t>
        </is>
      </c>
      <c r="L322" t="inlineStr">
        <is>
          <t>Crosswalk Pending</t>
        </is>
      </c>
      <c r="M322" t="inlineStr">
        <is>
          <t>Open</t>
        </is>
      </c>
      <c r="N322" t="inlineStr"/>
    </row>
    <row r="323">
      <c r="A323" t="inlineStr">
        <is>
          <t>FKEX00322</t>
        </is>
      </c>
      <c r="B323" t="inlineStr">
        <is>
          <t>15 LL_Device</t>
        </is>
      </c>
      <c r="C323" t="inlineStr">
        <is>
          <t>tblDeviceModel</t>
        </is>
      </c>
      <c r="D323" t="n">
        <v>109</v>
      </c>
      <c r="E323" t="inlineStr">
        <is>
          <t>MOD000106</t>
        </is>
      </c>
      <c r="F323" t="inlineStr">
        <is>
          <t>ManufacturerID</t>
        </is>
      </c>
      <c r="G323" t="inlineStr">
        <is>
          <t>MFG001</t>
        </is>
      </c>
      <c r="H323" t="inlineStr">
        <is>
          <t>tblManufacturerIDCrosswalk</t>
        </is>
      </c>
      <c r="I323" t="inlineStr"/>
      <c r="J323" t="inlineStr">
        <is>
          <t>No Supported Match</t>
        </is>
      </c>
      <c r="K323" t="inlineStr">
        <is>
          <t>None</t>
        </is>
      </c>
      <c r="L323" t="inlineStr">
        <is>
          <t>Crosswalk Pending</t>
        </is>
      </c>
      <c r="M323" t="inlineStr">
        <is>
          <t>Open</t>
        </is>
      </c>
      <c r="N323" t="inlineStr"/>
    </row>
    <row r="324">
      <c r="A324" t="inlineStr">
        <is>
          <t>FKEX00323</t>
        </is>
      </c>
      <c r="B324" t="inlineStr">
        <is>
          <t>15 LL_Device</t>
        </is>
      </c>
      <c r="C324" t="inlineStr">
        <is>
          <t>tblDeviceModel</t>
        </is>
      </c>
      <c r="D324" t="n">
        <v>109</v>
      </c>
      <c r="E324" t="inlineStr">
        <is>
          <t>MOD000106</t>
        </is>
      </c>
      <c r="F324" t="inlineStr">
        <is>
          <t>DeviceFamilyID</t>
        </is>
      </c>
      <c r="G324" t="inlineStr">
        <is>
          <t>DF009</t>
        </is>
      </c>
      <c r="H324" t="inlineStr">
        <is>
          <t>tblDeviceFamilyIDCrosswalk</t>
        </is>
      </c>
      <c r="I324" t="inlineStr"/>
      <c r="J324" t="inlineStr">
        <is>
          <t>tblDeviceModel</t>
        </is>
      </c>
      <c r="K324" t="inlineStr">
        <is>
          <t>Exact ID</t>
        </is>
      </c>
      <c r="L324" t="inlineStr">
        <is>
          <t>Crosswalk Pending</t>
        </is>
      </c>
      <c r="M324" t="inlineStr">
        <is>
          <t>Open</t>
        </is>
      </c>
      <c r="N324" t="inlineStr"/>
    </row>
    <row r="325">
      <c r="A325" t="inlineStr">
        <is>
          <t>FKEX00324</t>
        </is>
      </c>
      <c r="B325" t="inlineStr">
        <is>
          <t>15 LL_Device</t>
        </is>
      </c>
      <c r="C325" t="inlineStr">
        <is>
          <t>tblDeviceModel</t>
        </is>
      </c>
      <c r="D325" t="n">
        <v>109</v>
      </c>
      <c r="E325" t="inlineStr">
        <is>
          <t>MOD000106</t>
        </is>
      </c>
      <c r="F325" t="inlineStr">
        <is>
          <t>DeviceTypeID</t>
        </is>
      </c>
      <c r="G325" t="inlineStr">
        <is>
          <t>DT004</t>
        </is>
      </c>
      <c r="H325" t="inlineStr">
        <is>
          <t>tblDeviceTypeIDCrosswalk</t>
        </is>
      </c>
      <c r="I325" t="inlineStr"/>
      <c r="J325" t="inlineStr">
        <is>
          <t>No Supported Match</t>
        </is>
      </c>
      <c r="K325" t="inlineStr">
        <is>
          <t>None</t>
        </is>
      </c>
      <c r="L325" t="inlineStr">
        <is>
          <t>Crosswalk Pending</t>
        </is>
      </c>
      <c r="M325" t="inlineStr">
        <is>
          <t>Open</t>
        </is>
      </c>
      <c r="N325" t="inlineStr"/>
    </row>
    <row r="326">
      <c r="A326" t="inlineStr">
        <is>
          <t>FKEX00325</t>
        </is>
      </c>
      <c r="B326" t="inlineStr">
        <is>
          <t>15 LL_Device</t>
        </is>
      </c>
      <c r="C326" t="inlineStr">
        <is>
          <t>tblDeviceModel</t>
        </is>
      </c>
      <c r="D326" t="n">
        <v>110</v>
      </c>
      <c r="E326" t="inlineStr">
        <is>
          <t>MOD000107</t>
        </is>
      </c>
      <c r="F326" t="inlineStr">
        <is>
          <t>ManufacturerID</t>
        </is>
      </c>
      <c r="G326" t="inlineStr">
        <is>
          <t>MFG001</t>
        </is>
      </c>
      <c r="H326" t="inlineStr">
        <is>
          <t>tblManufacturerIDCrosswalk</t>
        </is>
      </c>
      <c r="I326" t="inlineStr"/>
      <c r="J326" t="inlineStr">
        <is>
          <t>No Supported Match</t>
        </is>
      </c>
      <c r="K326" t="inlineStr">
        <is>
          <t>None</t>
        </is>
      </c>
      <c r="L326" t="inlineStr">
        <is>
          <t>Crosswalk Pending</t>
        </is>
      </c>
      <c r="M326" t="inlineStr">
        <is>
          <t>Open</t>
        </is>
      </c>
      <c r="N326" t="inlineStr"/>
    </row>
    <row r="327">
      <c r="A327" t="inlineStr">
        <is>
          <t>FKEX00326</t>
        </is>
      </c>
      <c r="B327" t="inlineStr">
        <is>
          <t>15 LL_Device</t>
        </is>
      </c>
      <c r="C327" t="inlineStr">
        <is>
          <t>tblDeviceModel</t>
        </is>
      </c>
      <c r="D327" t="n">
        <v>110</v>
      </c>
      <c r="E327" t="inlineStr">
        <is>
          <t>MOD000107</t>
        </is>
      </c>
      <c r="F327" t="inlineStr">
        <is>
          <t>DeviceFamilyID</t>
        </is>
      </c>
      <c r="G327" t="inlineStr">
        <is>
          <t>DF009</t>
        </is>
      </c>
      <c r="H327" t="inlineStr">
        <is>
          <t>tblDeviceFamilyIDCrosswalk</t>
        </is>
      </c>
      <c r="I327" t="inlineStr"/>
      <c r="J327" t="inlineStr">
        <is>
          <t>tblDeviceModel</t>
        </is>
      </c>
      <c r="K327" t="inlineStr">
        <is>
          <t>Exact ID</t>
        </is>
      </c>
      <c r="L327" t="inlineStr">
        <is>
          <t>Crosswalk Pending</t>
        </is>
      </c>
      <c r="M327" t="inlineStr">
        <is>
          <t>Open</t>
        </is>
      </c>
      <c r="N327" t="inlineStr"/>
    </row>
    <row r="328">
      <c r="A328" t="inlineStr">
        <is>
          <t>FKEX00327</t>
        </is>
      </c>
      <c r="B328" t="inlineStr">
        <is>
          <t>15 LL_Device</t>
        </is>
      </c>
      <c r="C328" t="inlineStr">
        <is>
          <t>tblDeviceModel</t>
        </is>
      </c>
      <c r="D328" t="n">
        <v>110</v>
      </c>
      <c r="E328" t="inlineStr">
        <is>
          <t>MOD000107</t>
        </is>
      </c>
      <c r="F328" t="inlineStr">
        <is>
          <t>DeviceTypeID</t>
        </is>
      </c>
      <c r="G328" t="inlineStr">
        <is>
          <t>DT004</t>
        </is>
      </c>
      <c r="H328" t="inlineStr">
        <is>
          <t>tblDeviceTypeIDCrosswalk</t>
        </is>
      </c>
      <c r="I328" t="inlineStr"/>
      <c r="J328" t="inlineStr">
        <is>
          <t>No Supported Match</t>
        </is>
      </c>
      <c r="K328" t="inlineStr">
        <is>
          <t>None</t>
        </is>
      </c>
      <c r="L328" t="inlineStr">
        <is>
          <t>Crosswalk Pending</t>
        </is>
      </c>
      <c r="M328" t="inlineStr">
        <is>
          <t>Open</t>
        </is>
      </c>
      <c r="N328" t="inlineStr"/>
    </row>
    <row r="329">
      <c r="A329" t="inlineStr">
        <is>
          <t>FKEX00328</t>
        </is>
      </c>
      <c r="B329" t="inlineStr">
        <is>
          <t>15 LL_Device</t>
        </is>
      </c>
      <c r="C329" t="inlineStr">
        <is>
          <t>tblDeviceModel</t>
        </is>
      </c>
      <c r="D329" t="n">
        <v>111</v>
      </c>
      <c r="E329" t="inlineStr">
        <is>
          <t>MOD000108</t>
        </is>
      </c>
      <c r="F329" t="inlineStr">
        <is>
          <t>ManufacturerID</t>
        </is>
      </c>
      <c r="G329" t="inlineStr">
        <is>
          <t>MFG001</t>
        </is>
      </c>
      <c r="H329" t="inlineStr">
        <is>
          <t>tblManufacturerIDCrosswalk</t>
        </is>
      </c>
      <c r="I329" t="inlineStr"/>
      <c r="J329" t="inlineStr">
        <is>
          <t>No Supported Match</t>
        </is>
      </c>
      <c r="K329" t="inlineStr">
        <is>
          <t>None</t>
        </is>
      </c>
      <c r="L329" t="inlineStr">
        <is>
          <t>Crosswalk Pending</t>
        </is>
      </c>
      <c r="M329" t="inlineStr">
        <is>
          <t>Open</t>
        </is>
      </c>
      <c r="N329" t="inlineStr"/>
    </row>
    <row r="330">
      <c r="A330" t="inlineStr">
        <is>
          <t>FKEX00329</t>
        </is>
      </c>
      <c r="B330" t="inlineStr">
        <is>
          <t>15 LL_Device</t>
        </is>
      </c>
      <c r="C330" t="inlineStr">
        <is>
          <t>tblDeviceModel</t>
        </is>
      </c>
      <c r="D330" t="n">
        <v>111</v>
      </c>
      <c r="E330" t="inlineStr">
        <is>
          <t>MOD000108</t>
        </is>
      </c>
      <c r="F330" t="inlineStr">
        <is>
          <t>DeviceFamilyID</t>
        </is>
      </c>
      <c r="G330" t="inlineStr">
        <is>
          <t>DF009</t>
        </is>
      </c>
      <c r="H330" t="inlineStr">
        <is>
          <t>tblDeviceFamilyIDCrosswalk</t>
        </is>
      </c>
      <c r="I330" t="inlineStr"/>
      <c r="J330" t="inlineStr">
        <is>
          <t>tblDeviceModel</t>
        </is>
      </c>
      <c r="K330" t="inlineStr">
        <is>
          <t>Exact ID</t>
        </is>
      </c>
      <c r="L330" t="inlineStr">
        <is>
          <t>Crosswalk Pending</t>
        </is>
      </c>
      <c r="M330" t="inlineStr">
        <is>
          <t>Open</t>
        </is>
      </c>
      <c r="N330" t="inlineStr"/>
    </row>
    <row r="331">
      <c r="A331" t="inlineStr">
        <is>
          <t>FKEX00330</t>
        </is>
      </c>
      <c r="B331" t="inlineStr">
        <is>
          <t>15 LL_Device</t>
        </is>
      </c>
      <c r="C331" t="inlineStr">
        <is>
          <t>tblDeviceModel</t>
        </is>
      </c>
      <c r="D331" t="n">
        <v>111</v>
      </c>
      <c r="E331" t="inlineStr">
        <is>
          <t>MOD000108</t>
        </is>
      </c>
      <c r="F331" t="inlineStr">
        <is>
          <t>DeviceTypeID</t>
        </is>
      </c>
      <c r="G331" t="inlineStr">
        <is>
          <t>DT004</t>
        </is>
      </c>
      <c r="H331" t="inlineStr">
        <is>
          <t>tblDeviceTypeIDCrosswalk</t>
        </is>
      </c>
      <c r="I331" t="inlineStr"/>
      <c r="J331" t="inlineStr">
        <is>
          <t>No Supported Match</t>
        </is>
      </c>
      <c r="K331" t="inlineStr">
        <is>
          <t>None</t>
        </is>
      </c>
      <c r="L331" t="inlineStr">
        <is>
          <t>Crosswalk Pending</t>
        </is>
      </c>
      <c r="M331" t="inlineStr">
        <is>
          <t>Open</t>
        </is>
      </c>
      <c r="N331" t="inlineStr"/>
    </row>
    <row r="332">
      <c r="A332" t="inlineStr">
        <is>
          <t>FKEX00331</t>
        </is>
      </c>
      <c r="B332" t="inlineStr">
        <is>
          <t>15 LL_Device</t>
        </is>
      </c>
      <c r="C332" t="inlineStr">
        <is>
          <t>tblDeviceModel</t>
        </is>
      </c>
      <c r="D332" t="n">
        <v>112</v>
      </c>
      <c r="E332" t="inlineStr">
        <is>
          <t>MOD000109</t>
        </is>
      </c>
      <c r="F332" t="inlineStr">
        <is>
          <t>ManufacturerID</t>
        </is>
      </c>
      <c r="G332" t="inlineStr">
        <is>
          <t>MFG001</t>
        </is>
      </c>
      <c r="H332" t="inlineStr">
        <is>
          <t>tblManufacturerIDCrosswalk</t>
        </is>
      </c>
      <c r="I332" t="inlineStr"/>
      <c r="J332" t="inlineStr">
        <is>
          <t>No Supported Match</t>
        </is>
      </c>
      <c r="K332" t="inlineStr">
        <is>
          <t>None</t>
        </is>
      </c>
      <c r="L332" t="inlineStr">
        <is>
          <t>Crosswalk Pending</t>
        </is>
      </c>
      <c r="M332" t="inlineStr">
        <is>
          <t>Open</t>
        </is>
      </c>
      <c r="N332" t="inlineStr"/>
    </row>
    <row r="333">
      <c r="A333" t="inlineStr">
        <is>
          <t>FKEX00332</t>
        </is>
      </c>
      <c r="B333" t="inlineStr">
        <is>
          <t>15 LL_Device</t>
        </is>
      </c>
      <c r="C333" t="inlineStr">
        <is>
          <t>tblDeviceModel</t>
        </is>
      </c>
      <c r="D333" t="n">
        <v>112</v>
      </c>
      <c r="E333" t="inlineStr">
        <is>
          <t>MOD000109</t>
        </is>
      </c>
      <c r="F333" t="inlineStr">
        <is>
          <t>DeviceFamilyID</t>
        </is>
      </c>
      <c r="G333" t="inlineStr">
        <is>
          <t>DF009</t>
        </is>
      </c>
      <c r="H333" t="inlineStr">
        <is>
          <t>tblDeviceFamilyIDCrosswalk</t>
        </is>
      </c>
      <c r="I333" t="inlineStr"/>
      <c r="J333" t="inlineStr">
        <is>
          <t>tblDeviceModel</t>
        </is>
      </c>
      <c r="K333" t="inlineStr">
        <is>
          <t>Exact ID</t>
        </is>
      </c>
      <c r="L333" t="inlineStr">
        <is>
          <t>Crosswalk Pending</t>
        </is>
      </c>
      <c r="M333" t="inlineStr">
        <is>
          <t>Open</t>
        </is>
      </c>
      <c r="N333" t="inlineStr"/>
    </row>
    <row r="334">
      <c r="A334" t="inlineStr">
        <is>
          <t>FKEX00333</t>
        </is>
      </c>
      <c r="B334" t="inlineStr">
        <is>
          <t>15 LL_Device</t>
        </is>
      </c>
      <c r="C334" t="inlineStr">
        <is>
          <t>tblDeviceModel</t>
        </is>
      </c>
      <c r="D334" t="n">
        <v>112</v>
      </c>
      <c r="E334" t="inlineStr">
        <is>
          <t>MOD000109</t>
        </is>
      </c>
      <c r="F334" t="inlineStr">
        <is>
          <t>DeviceTypeID</t>
        </is>
      </c>
      <c r="G334" t="inlineStr">
        <is>
          <t>DT004</t>
        </is>
      </c>
      <c r="H334" t="inlineStr">
        <is>
          <t>tblDeviceTypeIDCrosswalk</t>
        </is>
      </c>
      <c r="I334" t="inlineStr"/>
      <c r="J334" t="inlineStr">
        <is>
          <t>No Supported Match</t>
        </is>
      </c>
      <c r="K334" t="inlineStr">
        <is>
          <t>None</t>
        </is>
      </c>
      <c r="L334" t="inlineStr">
        <is>
          <t>Crosswalk Pending</t>
        </is>
      </c>
      <c r="M334" t="inlineStr">
        <is>
          <t>Open</t>
        </is>
      </c>
      <c r="N334" t="inlineStr"/>
    </row>
    <row r="335">
      <c r="A335" t="inlineStr">
        <is>
          <t>FKEX00334</t>
        </is>
      </c>
      <c r="B335" t="inlineStr">
        <is>
          <t>15 LL_Device</t>
        </is>
      </c>
      <c r="C335" t="inlineStr">
        <is>
          <t>tblDeviceModel</t>
        </is>
      </c>
      <c r="D335" t="n">
        <v>113</v>
      </c>
      <c r="E335" t="inlineStr">
        <is>
          <t>MOD000110</t>
        </is>
      </c>
      <c r="F335" t="inlineStr">
        <is>
          <t>ManufacturerID</t>
        </is>
      </c>
      <c r="G335" t="inlineStr">
        <is>
          <t>MFG001</t>
        </is>
      </c>
      <c r="H335" t="inlineStr">
        <is>
          <t>tblManufacturerIDCrosswalk</t>
        </is>
      </c>
      <c r="I335" t="inlineStr"/>
      <c r="J335" t="inlineStr">
        <is>
          <t>No Supported Match</t>
        </is>
      </c>
      <c r="K335" t="inlineStr">
        <is>
          <t>None</t>
        </is>
      </c>
      <c r="L335" t="inlineStr">
        <is>
          <t>Crosswalk Pending</t>
        </is>
      </c>
      <c r="M335" t="inlineStr">
        <is>
          <t>Open</t>
        </is>
      </c>
      <c r="N335" t="inlineStr"/>
    </row>
    <row r="336">
      <c r="A336" t="inlineStr">
        <is>
          <t>FKEX00335</t>
        </is>
      </c>
      <c r="B336" t="inlineStr">
        <is>
          <t>15 LL_Device</t>
        </is>
      </c>
      <c r="C336" t="inlineStr">
        <is>
          <t>tblDeviceModel</t>
        </is>
      </c>
      <c r="D336" t="n">
        <v>113</v>
      </c>
      <c r="E336" t="inlineStr">
        <is>
          <t>MOD000110</t>
        </is>
      </c>
      <c r="F336" t="inlineStr">
        <is>
          <t>DeviceFamilyID</t>
        </is>
      </c>
      <c r="G336" t="inlineStr">
        <is>
          <t>DF009</t>
        </is>
      </c>
      <c r="H336" t="inlineStr">
        <is>
          <t>tblDeviceFamilyIDCrosswalk</t>
        </is>
      </c>
      <c r="I336" t="inlineStr"/>
      <c r="J336" t="inlineStr">
        <is>
          <t>tblDeviceModel</t>
        </is>
      </c>
      <c r="K336" t="inlineStr">
        <is>
          <t>Exact ID</t>
        </is>
      </c>
      <c r="L336" t="inlineStr">
        <is>
          <t>Crosswalk Pending</t>
        </is>
      </c>
      <c r="M336" t="inlineStr">
        <is>
          <t>Open</t>
        </is>
      </c>
      <c r="N336" t="inlineStr"/>
    </row>
    <row r="337">
      <c r="A337" t="inlineStr">
        <is>
          <t>FKEX00336</t>
        </is>
      </c>
      <c r="B337" t="inlineStr">
        <is>
          <t>15 LL_Device</t>
        </is>
      </c>
      <c r="C337" t="inlineStr">
        <is>
          <t>tblDeviceModel</t>
        </is>
      </c>
      <c r="D337" t="n">
        <v>113</v>
      </c>
      <c r="E337" t="inlineStr">
        <is>
          <t>MOD000110</t>
        </is>
      </c>
      <c r="F337" t="inlineStr">
        <is>
          <t>DeviceTypeID</t>
        </is>
      </c>
      <c r="G337" t="inlineStr">
        <is>
          <t>DT004</t>
        </is>
      </c>
      <c r="H337" t="inlineStr">
        <is>
          <t>tblDeviceTypeIDCrosswalk</t>
        </is>
      </c>
      <c r="I337" t="inlineStr"/>
      <c r="J337" t="inlineStr">
        <is>
          <t>No Supported Match</t>
        </is>
      </c>
      <c r="K337" t="inlineStr">
        <is>
          <t>None</t>
        </is>
      </c>
      <c r="L337" t="inlineStr">
        <is>
          <t>Crosswalk Pending</t>
        </is>
      </c>
      <c r="M337" t="inlineStr">
        <is>
          <t>Open</t>
        </is>
      </c>
      <c r="N337" t="inlineStr"/>
    </row>
    <row r="338">
      <c r="A338" t="inlineStr">
        <is>
          <t>FKEX00337</t>
        </is>
      </c>
      <c r="B338" t="inlineStr">
        <is>
          <t>15 LL_Device</t>
        </is>
      </c>
      <c r="C338" t="inlineStr">
        <is>
          <t>tblDeviceModel</t>
        </is>
      </c>
      <c r="D338" t="n">
        <v>114</v>
      </c>
      <c r="E338" t="inlineStr">
        <is>
          <t>MOD000111</t>
        </is>
      </c>
      <c r="F338" t="inlineStr">
        <is>
          <t>ManufacturerID</t>
        </is>
      </c>
      <c r="G338" t="inlineStr">
        <is>
          <t>MFG001</t>
        </is>
      </c>
      <c r="H338" t="inlineStr">
        <is>
          <t>tblManufacturerIDCrosswalk</t>
        </is>
      </c>
      <c r="I338" t="inlineStr"/>
      <c r="J338" t="inlineStr">
        <is>
          <t>No Supported Match</t>
        </is>
      </c>
      <c r="K338" t="inlineStr">
        <is>
          <t>None</t>
        </is>
      </c>
      <c r="L338" t="inlineStr">
        <is>
          <t>Crosswalk Pending</t>
        </is>
      </c>
      <c r="M338" t="inlineStr">
        <is>
          <t>Open</t>
        </is>
      </c>
      <c r="N338" t="inlineStr"/>
    </row>
    <row r="339">
      <c r="A339" t="inlineStr">
        <is>
          <t>FKEX00338</t>
        </is>
      </c>
      <c r="B339" t="inlineStr">
        <is>
          <t>15 LL_Device</t>
        </is>
      </c>
      <c r="C339" t="inlineStr">
        <is>
          <t>tblDeviceModel</t>
        </is>
      </c>
      <c r="D339" t="n">
        <v>114</v>
      </c>
      <c r="E339" t="inlineStr">
        <is>
          <t>MOD000111</t>
        </is>
      </c>
      <c r="F339" t="inlineStr">
        <is>
          <t>DeviceFamilyID</t>
        </is>
      </c>
      <c r="G339" t="inlineStr">
        <is>
          <t>DF009</t>
        </is>
      </c>
      <c r="H339" t="inlineStr">
        <is>
          <t>tblDeviceFamilyIDCrosswalk</t>
        </is>
      </c>
      <c r="I339" t="inlineStr"/>
      <c r="J339" t="inlineStr">
        <is>
          <t>tblDeviceModel</t>
        </is>
      </c>
      <c r="K339" t="inlineStr">
        <is>
          <t>Exact ID</t>
        </is>
      </c>
      <c r="L339" t="inlineStr">
        <is>
          <t>Crosswalk Pending</t>
        </is>
      </c>
      <c r="M339" t="inlineStr">
        <is>
          <t>Open</t>
        </is>
      </c>
      <c r="N339" t="inlineStr"/>
    </row>
    <row r="340">
      <c r="A340" t="inlineStr">
        <is>
          <t>FKEX00339</t>
        </is>
      </c>
      <c r="B340" t="inlineStr">
        <is>
          <t>15 LL_Device</t>
        </is>
      </c>
      <c r="C340" t="inlineStr">
        <is>
          <t>tblDeviceModel</t>
        </is>
      </c>
      <c r="D340" t="n">
        <v>114</v>
      </c>
      <c r="E340" t="inlineStr">
        <is>
          <t>MOD000111</t>
        </is>
      </c>
      <c r="F340" t="inlineStr">
        <is>
          <t>DeviceTypeID</t>
        </is>
      </c>
      <c r="G340" t="inlineStr">
        <is>
          <t>DT004</t>
        </is>
      </c>
      <c r="H340" t="inlineStr">
        <is>
          <t>tblDeviceTypeIDCrosswalk</t>
        </is>
      </c>
      <c r="I340" t="inlineStr"/>
      <c r="J340" t="inlineStr">
        <is>
          <t>No Supported Match</t>
        </is>
      </c>
      <c r="K340" t="inlineStr">
        <is>
          <t>None</t>
        </is>
      </c>
      <c r="L340" t="inlineStr">
        <is>
          <t>Crosswalk Pending</t>
        </is>
      </c>
      <c r="M340" t="inlineStr">
        <is>
          <t>Open</t>
        </is>
      </c>
      <c r="N340" t="inlineStr"/>
    </row>
    <row r="341">
      <c r="A341" t="inlineStr">
        <is>
          <t>FKEX00340</t>
        </is>
      </c>
      <c r="B341" t="inlineStr">
        <is>
          <t>15 LL_Device</t>
        </is>
      </c>
      <c r="C341" t="inlineStr">
        <is>
          <t>tblDeviceModel</t>
        </is>
      </c>
      <c r="D341" t="n">
        <v>115</v>
      </c>
      <c r="E341" t="inlineStr">
        <is>
          <t>MOD000112</t>
        </is>
      </c>
      <c r="F341" t="inlineStr">
        <is>
          <t>ManufacturerID</t>
        </is>
      </c>
      <c r="G341" t="inlineStr">
        <is>
          <t>MFG001</t>
        </is>
      </c>
      <c r="H341" t="inlineStr">
        <is>
          <t>tblManufacturerIDCrosswalk</t>
        </is>
      </c>
      <c r="I341" t="inlineStr"/>
      <c r="J341" t="inlineStr">
        <is>
          <t>No Supported Match</t>
        </is>
      </c>
      <c r="K341" t="inlineStr">
        <is>
          <t>None</t>
        </is>
      </c>
      <c r="L341" t="inlineStr">
        <is>
          <t>Crosswalk Pending</t>
        </is>
      </c>
      <c r="M341" t="inlineStr">
        <is>
          <t>Open</t>
        </is>
      </c>
      <c r="N341" t="inlineStr"/>
    </row>
    <row r="342">
      <c r="A342" t="inlineStr">
        <is>
          <t>FKEX00341</t>
        </is>
      </c>
      <c r="B342" t="inlineStr">
        <is>
          <t>15 LL_Device</t>
        </is>
      </c>
      <c r="C342" t="inlineStr">
        <is>
          <t>tblDeviceModel</t>
        </is>
      </c>
      <c r="D342" t="n">
        <v>115</v>
      </c>
      <c r="E342" t="inlineStr">
        <is>
          <t>MOD000112</t>
        </is>
      </c>
      <c r="F342" t="inlineStr">
        <is>
          <t>DeviceFamilyID</t>
        </is>
      </c>
      <c r="G342" t="inlineStr">
        <is>
          <t>DF010</t>
        </is>
      </c>
      <c r="H342" t="inlineStr">
        <is>
          <t>tblDeviceFamilyIDCrosswalk</t>
        </is>
      </c>
      <c r="I342" t="inlineStr"/>
      <c r="J342" t="inlineStr">
        <is>
          <t>tblDeviceModel</t>
        </is>
      </c>
      <c r="K342" t="inlineStr">
        <is>
          <t>Exact ID</t>
        </is>
      </c>
      <c r="L342" t="inlineStr">
        <is>
          <t>Crosswalk Pending</t>
        </is>
      </c>
      <c r="M342" t="inlineStr">
        <is>
          <t>Open</t>
        </is>
      </c>
      <c r="N342" t="inlineStr"/>
    </row>
    <row r="343">
      <c r="A343" t="inlineStr">
        <is>
          <t>FKEX00342</t>
        </is>
      </c>
      <c r="B343" t="inlineStr">
        <is>
          <t>15 LL_Device</t>
        </is>
      </c>
      <c r="C343" t="inlineStr">
        <is>
          <t>tblDeviceModel</t>
        </is>
      </c>
      <c r="D343" t="n">
        <v>115</v>
      </c>
      <c r="E343" t="inlineStr">
        <is>
          <t>MOD000112</t>
        </is>
      </c>
      <c r="F343" t="inlineStr">
        <is>
          <t>DeviceTypeID</t>
        </is>
      </c>
      <c r="G343" t="inlineStr">
        <is>
          <t>DT004</t>
        </is>
      </c>
      <c r="H343" t="inlineStr">
        <is>
          <t>tblDeviceTypeIDCrosswalk</t>
        </is>
      </c>
      <c r="I343" t="inlineStr"/>
      <c r="J343" t="inlineStr">
        <is>
          <t>No Supported Match</t>
        </is>
      </c>
      <c r="K343" t="inlineStr">
        <is>
          <t>None</t>
        </is>
      </c>
      <c r="L343" t="inlineStr">
        <is>
          <t>Crosswalk Pending</t>
        </is>
      </c>
      <c r="M343" t="inlineStr">
        <is>
          <t>Open</t>
        </is>
      </c>
      <c r="N343" t="inlineStr"/>
    </row>
    <row r="344">
      <c r="A344" t="inlineStr">
        <is>
          <t>FKEX00343</t>
        </is>
      </c>
      <c r="B344" t="inlineStr">
        <is>
          <t>15 LL_Device</t>
        </is>
      </c>
      <c r="C344" t="inlineStr">
        <is>
          <t>tblDeviceModel</t>
        </is>
      </c>
      <c r="D344" t="n">
        <v>116</v>
      </c>
      <c r="E344" t="inlineStr">
        <is>
          <t>MOD000113</t>
        </is>
      </c>
      <c r="F344" t="inlineStr">
        <is>
          <t>ManufacturerID</t>
        </is>
      </c>
      <c r="G344" t="inlineStr">
        <is>
          <t>MFG001</t>
        </is>
      </c>
      <c r="H344" t="inlineStr">
        <is>
          <t>tblManufacturerIDCrosswalk</t>
        </is>
      </c>
      <c r="I344" t="inlineStr"/>
      <c r="J344" t="inlineStr">
        <is>
          <t>No Supported Match</t>
        </is>
      </c>
      <c r="K344" t="inlineStr">
        <is>
          <t>None</t>
        </is>
      </c>
      <c r="L344" t="inlineStr">
        <is>
          <t>Crosswalk Pending</t>
        </is>
      </c>
      <c r="M344" t="inlineStr">
        <is>
          <t>Open</t>
        </is>
      </c>
      <c r="N344" t="inlineStr"/>
    </row>
    <row r="345">
      <c r="A345" t="inlineStr">
        <is>
          <t>FKEX00344</t>
        </is>
      </c>
      <c r="B345" t="inlineStr">
        <is>
          <t>15 LL_Device</t>
        </is>
      </c>
      <c r="C345" t="inlineStr">
        <is>
          <t>tblDeviceModel</t>
        </is>
      </c>
      <c r="D345" t="n">
        <v>116</v>
      </c>
      <c r="E345" t="inlineStr">
        <is>
          <t>MOD000113</t>
        </is>
      </c>
      <c r="F345" t="inlineStr">
        <is>
          <t>DeviceFamilyID</t>
        </is>
      </c>
      <c r="G345" t="inlineStr">
        <is>
          <t>DF011</t>
        </is>
      </c>
      <c r="H345" t="inlineStr">
        <is>
          <t>tblDeviceFamilyIDCrosswalk</t>
        </is>
      </c>
      <c r="I345" t="inlineStr"/>
      <c r="J345" t="inlineStr">
        <is>
          <t>tblDeviceModel</t>
        </is>
      </c>
      <c r="K345" t="inlineStr">
        <is>
          <t>Exact ID</t>
        </is>
      </c>
      <c r="L345" t="inlineStr">
        <is>
          <t>Crosswalk Pending</t>
        </is>
      </c>
      <c r="M345" t="inlineStr">
        <is>
          <t>Open</t>
        </is>
      </c>
      <c r="N345" t="inlineStr"/>
    </row>
    <row r="346">
      <c r="A346" t="inlineStr">
        <is>
          <t>FKEX00345</t>
        </is>
      </c>
      <c r="B346" t="inlineStr">
        <is>
          <t>15 LL_Device</t>
        </is>
      </c>
      <c r="C346" t="inlineStr">
        <is>
          <t>tblDeviceModel</t>
        </is>
      </c>
      <c r="D346" t="n">
        <v>116</v>
      </c>
      <c r="E346" t="inlineStr">
        <is>
          <t>MOD000113</t>
        </is>
      </c>
      <c r="F346" t="inlineStr">
        <is>
          <t>DeviceTypeID</t>
        </is>
      </c>
      <c r="G346" t="inlineStr">
        <is>
          <t>DT004</t>
        </is>
      </c>
      <c r="H346" t="inlineStr">
        <is>
          <t>tblDeviceTypeIDCrosswalk</t>
        </is>
      </c>
      <c r="I346" t="inlineStr"/>
      <c r="J346" t="inlineStr">
        <is>
          <t>No Supported Match</t>
        </is>
      </c>
      <c r="K346" t="inlineStr">
        <is>
          <t>None</t>
        </is>
      </c>
      <c r="L346" t="inlineStr">
        <is>
          <t>Crosswalk Pending</t>
        </is>
      </c>
      <c r="M346" t="inlineStr">
        <is>
          <t>Open</t>
        </is>
      </c>
      <c r="N346" t="inlineStr"/>
    </row>
    <row r="347">
      <c r="A347" t="inlineStr">
        <is>
          <t>FKEX00346</t>
        </is>
      </c>
      <c r="B347" t="inlineStr">
        <is>
          <t>15 LL_Device</t>
        </is>
      </c>
      <c r="C347" t="inlineStr">
        <is>
          <t>tblDeviceModel</t>
        </is>
      </c>
      <c r="D347" t="n">
        <v>117</v>
      </c>
      <c r="E347" t="inlineStr">
        <is>
          <t>MOD000114</t>
        </is>
      </c>
      <c r="F347" t="inlineStr">
        <is>
          <t>ManufacturerID</t>
        </is>
      </c>
      <c r="G347" t="inlineStr">
        <is>
          <t>MFG001</t>
        </is>
      </c>
      <c r="H347" t="inlineStr">
        <is>
          <t>tblManufacturerIDCrosswalk</t>
        </is>
      </c>
      <c r="I347" t="inlineStr"/>
      <c r="J347" t="inlineStr">
        <is>
          <t>No Supported Match</t>
        </is>
      </c>
      <c r="K347" t="inlineStr">
        <is>
          <t>None</t>
        </is>
      </c>
      <c r="L347" t="inlineStr">
        <is>
          <t>Crosswalk Pending</t>
        </is>
      </c>
      <c r="M347" t="inlineStr">
        <is>
          <t>Open</t>
        </is>
      </c>
      <c r="N347" t="inlineStr"/>
    </row>
    <row r="348">
      <c r="A348" t="inlineStr">
        <is>
          <t>FKEX00347</t>
        </is>
      </c>
      <c r="B348" t="inlineStr">
        <is>
          <t>15 LL_Device</t>
        </is>
      </c>
      <c r="C348" t="inlineStr">
        <is>
          <t>tblDeviceModel</t>
        </is>
      </c>
      <c r="D348" t="n">
        <v>117</v>
      </c>
      <c r="E348" t="inlineStr">
        <is>
          <t>MOD000114</t>
        </is>
      </c>
      <c r="F348" t="inlineStr">
        <is>
          <t>DeviceFamilyID</t>
        </is>
      </c>
      <c r="G348" t="inlineStr">
        <is>
          <t>DF011</t>
        </is>
      </c>
      <c r="H348" t="inlineStr">
        <is>
          <t>tblDeviceFamilyIDCrosswalk</t>
        </is>
      </c>
      <c r="I348" t="inlineStr"/>
      <c r="J348" t="inlineStr">
        <is>
          <t>tblDeviceModel</t>
        </is>
      </c>
      <c r="K348" t="inlineStr">
        <is>
          <t>Exact ID</t>
        </is>
      </c>
      <c r="L348" t="inlineStr">
        <is>
          <t>Crosswalk Pending</t>
        </is>
      </c>
      <c r="M348" t="inlineStr">
        <is>
          <t>Open</t>
        </is>
      </c>
      <c r="N348" t="inlineStr"/>
    </row>
    <row r="349">
      <c r="A349" t="inlineStr">
        <is>
          <t>FKEX00348</t>
        </is>
      </c>
      <c r="B349" t="inlineStr">
        <is>
          <t>15 LL_Device</t>
        </is>
      </c>
      <c r="C349" t="inlineStr">
        <is>
          <t>tblDeviceModel</t>
        </is>
      </c>
      <c r="D349" t="n">
        <v>117</v>
      </c>
      <c r="E349" t="inlineStr">
        <is>
          <t>MOD000114</t>
        </is>
      </c>
      <c r="F349" t="inlineStr">
        <is>
          <t>DeviceTypeID</t>
        </is>
      </c>
      <c r="G349" t="inlineStr">
        <is>
          <t>DT004</t>
        </is>
      </c>
      <c r="H349" t="inlineStr">
        <is>
          <t>tblDeviceTypeIDCrosswalk</t>
        </is>
      </c>
      <c r="I349" t="inlineStr"/>
      <c r="J349" t="inlineStr">
        <is>
          <t>No Supported Match</t>
        </is>
      </c>
      <c r="K349" t="inlineStr">
        <is>
          <t>None</t>
        </is>
      </c>
      <c r="L349" t="inlineStr">
        <is>
          <t>Crosswalk Pending</t>
        </is>
      </c>
      <c r="M349" t="inlineStr">
        <is>
          <t>Open</t>
        </is>
      </c>
      <c r="N349" t="inlineStr"/>
    </row>
    <row r="350">
      <c r="A350" t="inlineStr">
        <is>
          <t>FKEX00349</t>
        </is>
      </c>
      <c r="B350" t="inlineStr">
        <is>
          <t>15 LL_Device</t>
        </is>
      </c>
      <c r="C350" t="inlineStr">
        <is>
          <t>tblDeviceModel</t>
        </is>
      </c>
      <c r="D350" t="n">
        <v>118</v>
      </c>
      <c r="E350" t="inlineStr">
        <is>
          <t>MOD000115</t>
        </is>
      </c>
      <c r="F350" t="inlineStr">
        <is>
          <t>ManufacturerID</t>
        </is>
      </c>
      <c r="G350" t="inlineStr">
        <is>
          <t>MFG001</t>
        </is>
      </c>
      <c r="H350" t="inlineStr">
        <is>
          <t>tblManufacturerIDCrosswalk</t>
        </is>
      </c>
      <c r="I350" t="inlineStr"/>
      <c r="J350" t="inlineStr">
        <is>
          <t>No Supported Match</t>
        </is>
      </c>
      <c r="K350" t="inlineStr">
        <is>
          <t>None</t>
        </is>
      </c>
      <c r="L350" t="inlineStr">
        <is>
          <t>Crosswalk Pending</t>
        </is>
      </c>
      <c r="M350" t="inlineStr">
        <is>
          <t>Open</t>
        </is>
      </c>
      <c r="N350" t="inlineStr"/>
    </row>
    <row r="351">
      <c r="A351" t="inlineStr">
        <is>
          <t>FKEX00350</t>
        </is>
      </c>
      <c r="B351" t="inlineStr">
        <is>
          <t>15 LL_Device</t>
        </is>
      </c>
      <c r="C351" t="inlineStr">
        <is>
          <t>tblDeviceModel</t>
        </is>
      </c>
      <c r="D351" t="n">
        <v>118</v>
      </c>
      <c r="E351" t="inlineStr">
        <is>
          <t>MOD000115</t>
        </is>
      </c>
      <c r="F351" t="inlineStr">
        <is>
          <t>DeviceFamilyID</t>
        </is>
      </c>
      <c r="G351" t="inlineStr">
        <is>
          <t>DF011</t>
        </is>
      </c>
      <c r="H351" t="inlineStr">
        <is>
          <t>tblDeviceFamilyIDCrosswalk</t>
        </is>
      </c>
      <c r="I351" t="inlineStr"/>
      <c r="J351" t="inlineStr">
        <is>
          <t>tblDeviceModel</t>
        </is>
      </c>
      <c r="K351" t="inlineStr">
        <is>
          <t>Exact ID</t>
        </is>
      </c>
      <c r="L351" t="inlineStr">
        <is>
          <t>Crosswalk Pending</t>
        </is>
      </c>
      <c r="M351" t="inlineStr">
        <is>
          <t>Open</t>
        </is>
      </c>
      <c r="N351" t="inlineStr"/>
    </row>
    <row r="352">
      <c r="A352" t="inlineStr">
        <is>
          <t>FKEX00351</t>
        </is>
      </c>
      <c r="B352" t="inlineStr">
        <is>
          <t>15 LL_Device</t>
        </is>
      </c>
      <c r="C352" t="inlineStr">
        <is>
          <t>tblDeviceModel</t>
        </is>
      </c>
      <c r="D352" t="n">
        <v>118</v>
      </c>
      <c r="E352" t="inlineStr">
        <is>
          <t>MOD000115</t>
        </is>
      </c>
      <c r="F352" t="inlineStr">
        <is>
          <t>DeviceTypeID</t>
        </is>
      </c>
      <c r="G352" t="inlineStr">
        <is>
          <t>DT004</t>
        </is>
      </c>
      <c r="H352" t="inlineStr">
        <is>
          <t>tblDeviceTypeIDCrosswalk</t>
        </is>
      </c>
      <c r="I352" t="inlineStr"/>
      <c r="J352" t="inlineStr">
        <is>
          <t>No Supported Match</t>
        </is>
      </c>
      <c r="K352" t="inlineStr">
        <is>
          <t>None</t>
        </is>
      </c>
      <c r="L352" t="inlineStr">
        <is>
          <t>Crosswalk Pending</t>
        </is>
      </c>
      <c r="M352" t="inlineStr">
        <is>
          <t>Open</t>
        </is>
      </c>
      <c r="N352" t="inlineStr"/>
    </row>
    <row r="353">
      <c r="A353" t="inlineStr">
        <is>
          <t>FKEX00352</t>
        </is>
      </c>
      <c r="B353" t="inlineStr">
        <is>
          <t>15 LL_Device</t>
        </is>
      </c>
      <c r="C353" t="inlineStr">
        <is>
          <t>tblDeviceModel</t>
        </is>
      </c>
      <c r="D353" t="n">
        <v>119</v>
      </c>
      <c r="E353" t="inlineStr">
        <is>
          <t>MOD000116</t>
        </is>
      </c>
      <c r="F353" t="inlineStr">
        <is>
          <t>ManufacturerID</t>
        </is>
      </c>
      <c r="G353" t="inlineStr">
        <is>
          <t>MFG001</t>
        </is>
      </c>
      <c r="H353" t="inlineStr">
        <is>
          <t>tblManufacturerIDCrosswalk</t>
        </is>
      </c>
      <c r="I353" t="inlineStr"/>
      <c r="J353" t="inlineStr">
        <is>
          <t>No Supported Match</t>
        </is>
      </c>
      <c r="K353" t="inlineStr">
        <is>
          <t>None</t>
        </is>
      </c>
      <c r="L353" t="inlineStr">
        <is>
          <t>Crosswalk Pending</t>
        </is>
      </c>
      <c r="M353" t="inlineStr">
        <is>
          <t>Open</t>
        </is>
      </c>
      <c r="N353" t="inlineStr"/>
    </row>
    <row r="354">
      <c r="A354" t="inlineStr">
        <is>
          <t>FKEX00353</t>
        </is>
      </c>
      <c r="B354" t="inlineStr">
        <is>
          <t>15 LL_Device</t>
        </is>
      </c>
      <c r="C354" t="inlineStr">
        <is>
          <t>tblDeviceModel</t>
        </is>
      </c>
      <c r="D354" t="n">
        <v>119</v>
      </c>
      <c r="E354" t="inlineStr">
        <is>
          <t>MOD000116</t>
        </is>
      </c>
      <c r="F354" t="inlineStr">
        <is>
          <t>DeviceFamilyID</t>
        </is>
      </c>
      <c r="G354" t="inlineStr">
        <is>
          <t>DF011</t>
        </is>
      </c>
      <c r="H354" t="inlineStr">
        <is>
          <t>tblDeviceFamilyIDCrosswalk</t>
        </is>
      </c>
      <c r="I354" t="inlineStr"/>
      <c r="J354" t="inlineStr">
        <is>
          <t>tblDeviceModel</t>
        </is>
      </c>
      <c r="K354" t="inlineStr">
        <is>
          <t>Exact ID</t>
        </is>
      </c>
      <c r="L354" t="inlineStr">
        <is>
          <t>Crosswalk Pending</t>
        </is>
      </c>
      <c r="M354" t="inlineStr">
        <is>
          <t>Open</t>
        </is>
      </c>
      <c r="N354" t="inlineStr"/>
    </row>
    <row r="355">
      <c r="A355" t="inlineStr">
        <is>
          <t>FKEX00354</t>
        </is>
      </c>
      <c r="B355" t="inlineStr">
        <is>
          <t>15 LL_Device</t>
        </is>
      </c>
      <c r="C355" t="inlineStr">
        <is>
          <t>tblDeviceModel</t>
        </is>
      </c>
      <c r="D355" t="n">
        <v>119</v>
      </c>
      <c r="E355" t="inlineStr">
        <is>
          <t>MOD000116</t>
        </is>
      </c>
      <c r="F355" t="inlineStr">
        <is>
          <t>DeviceTypeID</t>
        </is>
      </c>
      <c r="G355" t="inlineStr">
        <is>
          <t>DT004</t>
        </is>
      </c>
      <c r="H355" t="inlineStr">
        <is>
          <t>tblDeviceTypeIDCrosswalk</t>
        </is>
      </c>
      <c r="I355" t="inlineStr"/>
      <c r="J355" t="inlineStr">
        <is>
          <t>No Supported Match</t>
        </is>
      </c>
      <c r="K355" t="inlineStr">
        <is>
          <t>None</t>
        </is>
      </c>
      <c r="L355" t="inlineStr">
        <is>
          <t>Crosswalk Pending</t>
        </is>
      </c>
      <c r="M355" t="inlineStr">
        <is>
          <t>Open</t>
        </is>
      </c>
      <c r="N355" t="inlineStr"/>
    </row>
    <row r="356">
      <c r="A356" t="inlineStr">
        <is>
          <t>FKEX00355</t>
        </is>
      </c>
      <c r="B356" t="inlineStr">
        <is>
          <t>15 LL_Device</t>
        </is>
      </c>
      <c r="C356" t="inlineStr">
        <is>
          <t>tblDeviceModel</t>
        </is>
      </c>
      <c r="D356" t="n">
        <v>120</v>
      </c>
      <c r="E356" t="inlineStr">
        <is>
          <t>MOD000117</t>
        </is>
      </c>
      <c r="F356" t="inlineStr">
        <is>
          <t>ManufacturerID</t>
        </is>
      </c>
      <c r="G356" t="inlineStr">
        <is>
          <t>MFG001</t>
        </is>
      </c>
      <c r="H356" t="inlineStr">
        <is>
          <t>tblManufacturerIDCrosswalk</t>
        </is>
      </c>
      <c r="I356" t="inlineStr"/>
      <c r="J356" t="inlineStr">
        <is>
          <t>No Supported Match</t>
        </is>
      </c>
      <c r="K356" t="inlineStr">
        <is>
          <t>None</t>
        </is>
      </c>
      <c r="L356" t="inlineStr">
        <is>
          <t>Crosswalk Pending</t>
        </is>
      </c>
      <c r="M356" t="inlineStr">
        <is>
          <t>Open</t>
        </is>
      </c>
      <c r="N356" t="inlineStr"/>
    </row>
    <row r="357">
      <c r="A357" t="inlineStr">
        <is>
          <t>FKEX00356</t>
        </is>
      </c>
      <c r="B357" t="inlineStr">
        <is>
          <t>15 LL_Device</t>
        </is>
      </c>
      <c r="C357" t="inlineStr">
        <is>
          <t>tblDeviceModel</t>
        </is>
      </c>
      <c r="D357" t="n">
        <v>120</v>
      </c>
      <c r="E357" t="inlineStr">
        <is>
          <t>MOD000117</t>
        </is>
      </c>
      <c r="F357" t="inlineStr">
        <is>
          <t>DeviceFamilyID</t>
        </is>
      </c>
      <c r="G357" t="inlineStr">
        <is>
          <t>DF012</t>
        </is>
      </c>
      <c r="H357" t="inlineStr">
        <is>
          <t>tblDeviceFamilyIDCrosswalk</t>
        </is>
      </c>
      <c r="I357" t="inlineStr"/>
      <c r="J357" t="inlineStr">
        <is>
          <t>tblDeviceModel</t>
        </is>
      </c>
      <c r="K357" t="inlineStr">
        <is>
          <t>Exact ID</t>
        </is>
      </c>
      <c r="L357" t="inlineStr">
        <is>
          <t>Crosswalk Pending</t>
        </is>
      </c>
      <c r="M357" t="inlineStr">
        <is>
          <t>Open</t>
        </is>
      </c>
      <c r="N357" t="inlineStr"/>
    </row>
    <row r="358">
      <c r="A358" t="inlineStr">
        <is>
          <t>FKEX00357</t>
        </is>
      </c>
      <c r="B358" t="inlineStr">
        <is>
          <t>15 LL_Device</t>
        </is>
      </c>
      <c r="C358" t="inlineStr">
        <is>
          <t>tblDeviceModel</t>
        </is>
      </c>
      <c r="D358" t="n">
        <v>120</v>
      </c>
      <c r="E358" t="inlineStr">
        <is>
          <t>MOD000117</t>
        </is>
      </c>
      <c r="F358" t="inlineStr">
        <is>
          <t>DeviceTypeID</t>
        </is>
      </c>
      <c r="G358" t="inlineStr">
        <is>
          <t>DT004</t>
        </is>
      </c>
      <c r="H358" t="inlineStr">
        <is>
          <t>tblDeviceTypeIDCrosswalk</t>
        </is>
      </c>
      <c r="I358" t="inlineStr"/>
      <c r="J358" t="inlineStr">
        <is>
          <t>No Supported Match</t>
        </is>
      </c>
      <c r="K358" t="inlineStr">
        <is>
          <t>None</t>
        </is>
      </c>
      <c r="L358" t="inlineStr">
        <is>
          <t>Crosswalk Pending</t>
        </is>
      </c>
      <c r="M358" t="inlineStr">
        <is>
          <t>Open</t>
        </is>
      </c>
      <c r="N358" t="inlineStr"/>
    </row>
    <row r="359">
      <c r="A359" t="inlineStr">
        <is>
          <t>FKEX00358</t>
        </is>
      </c>
      <c r="B359" t="inlineStr">
        <is>
          <t>15 LL_Device</t>
        </is>
      </c>
      <c r="C359" t="inlineStr">
        <is>
          <t>tblDeviceModel</t>
        </is>
      </c>
      <c r="D359" t="n">
        <v>121</v>
      </c>
      <c r="E359" t="inlineStr">
        <is>
          <t>MOD000118</t>
        </is>
      </c>
      <c r="F359" t="inlineStr">
        <is>
          <t>ManufacturerID</t>
        </is>
      </c>
      <c r="G359" t="inlineStr">
        <is>
          <t>MFG001</t>
        </is>
      </c>
      <c r="H359" t="inlineStr">
        <is>
          <t>tblManufacturerIDCrosswalk</t>
        </is>
      </c>
      <c r="I359" t="inlineStr"/>
      <c r="J359" t="inlineStr">
        <is>
          <t>No Supported Match</t>
        </is>
      </c>
      <c r="K359" t="inlineStr">
        <is>
          <t>None</t>
        </is>
      </c>
      <c r="L359" t="inlineStr">
        <is>
          <t>Crosswalk Pending</t>
        </is>
      </c>
      <c r="M359" t="inlineStr">
        <is>
          <t>Open</t>
        </is>
      </c>
      <c r="N359" t="inlineStr"/>
    </row>
    <row r="360">
      <c r="A360" t="inlineStr">
        <is>
          <t>FKEX00359</t>
        </is>
      </c>
      <c r="B360" t="inlineStr">
        <is>
          <t>15 LL_Device</t>
        </is>
      </c>
      <c r="C360" t="inlineStr">
        <is>
          <t>tblDeviceModel</t>
        </is>
      </c>
      <c r="D360" t="n">
        <v>121</v>
      </c>
      <c r="E360" t="inlineStr">
        <is>
          <t>MOD000118</t>
        </is>
      </c>
      <c r="F360" t="inlineStr">
        <is>
          <t>DeviceFamilyID</t>
        </is>
      </c>
      <c r="G360" t="inlineStr">
        <is>
          <t>DF012</t>
        </is>
      </c>
      <c r="H360" t="inlineStr">
        <is>
          <t>tblDeviceFamilyIDCrosswalk</t>
        </is>
      </c>
      <c r="I360" t="inlineStr"/>
      <c r="J360" t="inlineStr">
        <is>
          <t>tblDeviceModel</t>
        </is>
      </c>
      <c r="K360" t="inlineStr">
        <is>
          <t>Exact ID</t>
        </is>
      </c>
      <c r="L360" t="inlineStr">
        <is>
          <t>Crosswalk Pending</t>
        </is>
      </c>
      <c r="M360" t="inlineStr">
        <is>
          <t>Open</t>
        </is>
      </c>
      <c r="N360" t="inlineStr"/>
    </row>
    <row r="361">
      <c r="A361" t="inlineStr">
        <is>
          <t>FKEX00360</t>
        </is>
      </c>
      <c r="B361" t="inlineStr">
        <is>
          <t>15 LL_Device</t>
        </is>
      </c>
      <c r="C361" t="inlineStr">
        <is>
          <t>tblDeviceModel</t>
        </is>
      </c>
      <c r="D361" t="n">
        <v>121</v>
      </c>
      <c r="E361" t="inlineStr">
        <is>
          <t>MOD000118</t>
        </is>
      </c>
      <c r="F361" t="inlineStr">
        <is>
          <t>DeviceTypeID</t>
        </is>
      </c>
      <c r="G361" t="inlineStr">
        <is>
          <t>DT004</t>
        </is>
      </c>
      <c r="H361" t="inlineStr">
        <is>
          <t>tblDeviceTypeIDCrosswalk</t>
        </is>
      </c>
      <c r="I361" t="inlineStr"/>
      <c r="J361" t="inlineStr">
        <is>
          <t>No Supported Match</t>
        </is>
      </c>
      <c r="K361" t="inlineStr">
        <is>
          <t>None</t>
        </is>
      </c>
      <c r="L361" t="inlineStr">
        <is>
          <t>Crosswalk Pending</t>
        </is>
      </c>
      <c r="M361" t="inlineStr">
        <is>
          <t>Open</t>
        </is>
      </c>
      <c r="N361" t="inlineStr"/>
    </row>
    <row r="362">
      <c r="A362" t="inlineStr">
        <is>
          <t>FKEX00361</t>
        </is>
      </c>
      <c r="B362" t="inlineStr">
        <is>
          <t>15 LL_Device</t>
        </is>
      </c>
      <c r="C362" t="inlineStr">
        <is>
          <t>tblDeviceModel</t>
        </is>
      </c>
      <c r="D362" t="n">
        <v>122</v>
      </c>
      <c r="E362" t="inlineStr">
        <is>
          <t>MOD000119</t>
        </is>
      </c>
      <c r="F362" t="inlineStr">
        <is>
          <t>ManufacturerID</t>
        </is>
      </c>
      <c r="G362" t="inlineStr">
        <is>
          <t>MFG001</t>
        </is>
      </c>
      <c r="H362" t="inlineStr">
        <is>
          <t>tblManufacturerIDCrosswalk</t>
        </is>
      </c>
      <c r="I362" t="inlineStr"/>
      <c r="J362" t="inlineStr">
        <is>
          <t>No Supported Match</t>
        </is>
      </c>
      <c r="K362" t="inlineStr">
        <is>
          <t>None</t>
        </is>
      </c>
      <c r="L362" t="inlineStr">
        <is>
          <t>Crosswalk Pending</t>
        </is>
      </c>
      <c r="M362" t="inlineStr">
        <is>
          <t>Open</t>
        </is>
      </c>
      <c r="N362" t="inlineStr"/>
    </row>
    <row r="363">
      <c r="A363" t="inlineStr">
        <is>
          <t>FKEX00362</t>
        </is>
      </c>
      <c r="B363" t="inlineStr">
        <is>
          <t>15 LL_Device</t>
        </is>
      </c>
      <c r="C363" t="inlineStr">
        <is>
          <t>tblDeviceModel</t>
        </is>
      </c>
      <c r="D363" t="n">
        <v>122</v>
      </c>
      <c r="E363" t="inlineStr">
        <is>
          <t>MOD000119</t>
        </is>
      </c>
      <c r="F363" t="inlineStr">
        <is>
          <t>DeviceFamilyID</t>
        </is>
      </c>
      <c r="G363" t="inlineStr">
        <is>
          <t>DF012</t>
        </is>
      </c>
      <c r="H363" t="inlineStr">
        <is>
          <t>tblDeviceFamilyIDCrosswalk</t>
        </is>
      </c>
      <c r="I363" t="inlineStr"/>
      <c r="J363" t="inlineStr">
        <is>
          <t>tblDeviceModel</t>
        </is>
      </c>
      <c r="K363" t="inlineStr">
        <is>
          <t>Exact ID</t>
        </is>
      </c>
      <c r="L363" t="inlineStr">
        <is>
          <t>Crosswalk Pending</t>
        </is>
      </c>
      <c r="M363" t="inlineStr">
        <is>
          <t>Open</t>
        </is>
      </c>
      <c r="N363" t="inlineStr"/>
    </row>
    <row r="364">
      <c r="A364" t="inlineStr">
        <is>
          <t>FKEX00363</t>
        </is>
      </c>
      <c r="B364" t="inlineStr">
        <is>
          <t>15 LL_Device</t>
        </is>
      </c>
      <c r="C364" t="inlineStr">
        <is>
          <t>tblDeviceModel</t>
        </is>
      </c>
      <c r="D364" t="n">
        <v>122</v>
      </c>
      <c r="E364" t="inlineStr">
        <is>
          <t>MOD000119</t>
        </is>
      </c>
      <c r="F364" t="inlineStr">
        <is>
          <t>DeviceTypeID</t>
        </is>
      </c>
      <c r="G364" t="inlineStr">
        <is>
          <t>DT004</t>
        </is>
      </c>
      <c r="H364" t="inlineStr">
        <is>
          <t>tblDeviceTypeIDCrosswalk</t>
        </is>
      </c>
      <c r="I364" t="inlineStr"/>
      <c r="J364" t="inlineStr">
        <is>
          <t>No Supported Match</t>
        </is>
      </c>
      <c r="K364" t="inlineStr">
        <is>
          <t>None</t>
        </is>
      </c>
      <c r="L364" t="inlineStr">
        <is>
          <t>Crosswalk Pending</t>
        </is>
      </c>
      <c r="M364" t="inlineStr">
        <is>
          <t>Open</t>
        </is>
      </c>
      <c r="N364" t="inlineStr"/>
    </row>
    <row r="365">
      <c r="A365" t="inlineStr">
        <is>
          <t>FKEX00364</t>
        </is>
      </c>
      <c r="B365" t="inlineStr">
        <is>
          <t>15 LL_Device</t>
        </is>
      </c>
      <c r="C365" t="inlineStr">
        <is>
          <t>tblDeviceModel</t>
        </is>
      </c>
      <c r="D365" t="n">
        <v>123</v>
      </c>
      <c r="E365" t="inlineStr">
        <is>
          <t>MOD000120</t>
        </is>
      </c>
      <c r="F365" t="inlineStr">
        <is>
          <t>ManufacturerID</t>
        </is>
      </c>
      <c r="G365" t="inlineStr">
        <is>
          <t>MFG001</t>
        </is>
      </c>
      <c r="H365" t="inlineStr">
        <is>
          <t>tblManufacturerIDCrosswalk</t>
        </is>
      </c>
      <c r="I365" t="inlineStr"/>
      <c r="J365" t="inlineStr">
        <is>
          <t>No Supported Match</t>
        </is>
      </c>
      <c r="K365" t="inlineStr">
        <is>
          <t>None</t>
        </is>
      </c>
      <c r="L365" t="inlineStr">
        <is>
          <t>Crosswalk Pending</t>
        </is>
      </c>
      <c r="M365" t="inlineStr">
        <is>
          <t>Open</t>
        </is>
      </c>
      <c r="N365" t="inlineStr"/>
    </row>
    <row r="366">
      <c r="A366" t="inlineStr">
        <is>
          <t>FKEX00365</t>
        </is>
      </c>
      <c r="B366" t="inlineStr">
        <is>
          <t>15 LL_Device</t>
        </is>
      </c>
      <c r="C366" t="inlineStr">
        <is>
          <t>tblDeviceModel</t>
        </is>
      </c>
      <c r="D366" t="n">
        <v>123</v>
      </c>
      <c r="E366" t="inlineStr">
        <is>
          <t>MOD000120</t>
        </is>
      </c>
      <c r="F366" t="inlineStr">
        <is>
          <t>DeviceFamilyID</t>
        </is>
      </c>
      <c r="G366" t="inlineStr">
        <is>
          <t>DF012</t>
        </is>
      </c>
      <c r="H366" t="inlineStr">
        <is>
          <t>tblDeviceFamilyIDCrosswalk</t>
        </is>
      </c>
      <c r="I366" t="inlineStr"/>
      <c r="J366" t="inlineStr">
        <is>
          <t>tblDeviceModel</t>
        </is>
      </c>
      <c r="K366" t="inlineStr">
        <is>
          <t>Exact ID</t>
        </is>
      </c>
      <c r="L366" t="inlineStr">
        <is>
          <t>Crosswalk Pending</t>
        </is>
      </c>
      <c r="M366" t="inlineStr">
        <is>
          <t>Open</t>
        </is>
      </c>
      <c r="N366" t="inlineStr"/>
    </row>
    <row r="367">
      <c r="A367" t="inlineStr">
        <is>
          <t>FKEX00366</t>
        </is>
      </c>
      <c r="B367" t="inlineStr">
        <is>
          <t>15 LL_Device</t>
        </is>
      </c>
      <c r="C367" t="inlineStr">
        <is>
          <t>tblDeviceModel</t>
        </is>
      </c>
      <c r="D367" t="n">
        <v>123</v>
      </c>
      <c r="E367" t="inlineStr">
        <is>
          <t>MOD000120</t>
        </is>
      </c>
      <c r="F367" t="inlineStr">
        <is>
          <t>DeviceTypeID</t>
        </is>
      </c>
      <c r="G367" t="inlineStr">
        <is>
          <t>DT004</t>
        </is>
      </c>
      <c r="H367" t="inlineStr">
        <is>
          <t>tblDeviceTypeIDCrosswalk</t>
        </is>
      </c>
      <c r="I367" t="inlineStr"/>
      <c r="J367" t="inlineStr">
        <is>
          <t>No Supported Match</t>
        </is>
      </c>
      <c r="K367" t="inlineStr">
        <is>
          <t>None</t>
        </is>
      </c>
      <c r="L367" t="inlineStr">
        <is>
          <t>Crosswalk Pending</t>
        </is>
      </c>
      <c r="M367" t="inlineStr">
        <is>
          <t>Open</t>
        </is>
      </c>
      <c r="N367" t="inlineStr"/>
    </row>
    <row r="368">
      <c r="A368" t="inlineStr">
        <is>
          <t>FKEX00367</t>
        </is>
      </c>
      <c r="B368" t="inlineStr">
        <is>
          <t>15 LL_Device</t>
        </is>
      </c>
      <c r="C368" t="inlineStr">
        <is>
          <t>tblDeviceModel</t>
        </is>
      </c>
      <c r="D368" t="n">
        <v>124</v>
      </c>
      <c r="E368" t="inlineStr">
        <is>
          <t>MOD000121</t>
        </is>
      </c>
      <c r="F368" t="inlineStr">
        <is>
          <t>ManufacturerID</t>
        </is>
      </c>
      <c r="G368" t="inlineStr">
        <is>
          <t>MFG001</t>
        </is>
      </c>
      <c r="H368" t="inlineStr">
        <is>
          <t>tblManufacturerIDCrosswalk</t>
        </is>
      </c>
      <c r="I368" t="inlineStr"/>
      <c r="J368" t="inlineStr">
        <is>
          <t>No Supported Match</t>
        </is>
      </c>
      <c r="K368" t="inlineStr">
        <is>
          <t>None</t>
        </is>
      </c>
      <c r="L368" t="inlineStr">
        <is>
          <t>Crosswalk Pending</t>
        </is>
      </c>
      <c r="M368" t="inlineStr">
        <is>
          <t>Open</t>
        </is>
      </c>
      <c r="N368" t="inlineStr"/>
    </row>
    <row r="369">
      <c r="A369" t="inlineStr">
        <is>
          <t>FKEX00368</t>
        </is>
      </c>
      <c r="B369" t="inlineStr">
        <is>
          <t>15 LL_Device</t>
        </is>
      </c>
      <c r="C369" t="inlineStr">
        <is>
          <t>tblDeviceModel</t>
        </is>
      </c>
      <c r="D369" t="n">
        <v>124</v>
      </c>
      <c r="E369" t="inlineStr">
        <is>
          <t>MOD000121</t>
        </is>
      </c>
      <c r="F369" t="inlineStr">
        <is>
          <t>DeviceFamilyID</t>
        </is>
      </c>
      <c r="G369" t="inlineStr">
        <is>
          <t>DF013</t>
        </is>
      </c>
      <c r="H369" t="inlineStr">
        <is>
          <t>tblDeviceFamilyIDCrosswalk</t>
        </is>
      </c>
      <c r="I369" t="inlineStr"/>
      <c r="J369" t="inlineStr">
        <is>
          <t>tblDeviceModel</t>
        </is>
      </c>
      <c r="K369" t="inlineStr">
        <is>
          <t>Exact ID</t>
        </is>
      </c>
      <c r="L369" t="inlineStr">
        <is>
          <t>Crosswalk Pending</t>
        </is>
      </c>
      <c r="M369" t="inlineStr">
        <is>
          <t>Open</t>
        </is>
      </c>
      <c r="N369" t="inlineStr"/>
    </row>
    <row r="370">
      <c r="A370" t="inlineStr">
        <is>
          <t>FKEX00369</t>
        </is>
      </c>
      <c r="B370" t="inlineStr">
        <is>
          <t>15 LL_Device</t>
        </is>
      </c>
      <c r="C370" t="inlineStr">
        <is>
          <t>tblDeviceModel</t>
        </is>
      </c>
      <c r="D370" t="n">
        <v>124</v>
      </c>
      <c r="E370" t="inlineStr">
        <is>
          <t>MOD000121</t>
        </is>
      </c>
      <c r="F370" t="inlineStr">
        <is>
          <t>DeviceTypeID</t>
        </is>
      </c>
      <c r="G370" t="inlineStr">
        <is>
          <t>DT004</t>
        </is>
      </c>
      <c r="H370" t="inlineStr">
        <is>
          <t>tblDeviceTypeIDCrosswalk</t>
        </is>
      </c>
      <c r="I370" t="inlineStr"/>
      <c r="J370" t="inlineStr">
        <is>
          <t>No Supported Match</t>
        </is>
      </c>
      <c r="K370" t="inlineStr">
        <is>
          <t>None</t>
        </is>
      </c>
      <c r="L370" t="inlineStr">
        <is>
          <t>Crosswalk Pending</t>
        </is>
      </c>
      <c r="M370" t="inlineStr">
        <is>
          <t>Open</t>
        </is>
      </c>
      <c r="N370" t="inlineStr"/>
    </row>
    <row r="371">
      <c r="A371" t="inlineStr">
        <is>
          <t>FKEX00370</t>
        </is>
      </c>
      <c r="B371" t="inlineStr">
        <is>
          <t>15 LL_Device</t>
        </is>
      </c>
      <c r="C371" t="inlineStr">
        <is>
          <t>tblDeviceModel</t>
        </is>
      </c>
      <c r="D371" t="n">
        <v>125</v>
      </c>
      <c r="E371" t="inlineStr">
        <is>
          <t>MOD000122</t>
        </is>
      </c>
      <c r="F371" t="inlineStr">
        <is>
          <t>ManufacturerID</t>
        </is>
      </c>
      <c r="G371" t="inlineStr">
        <is>
          <t>MFG001</t>
        </is>
      </c>
      <c r="H371" t="inlineStr">
        <is>
          <t>tblManufacturerIDCrosswalk</t>
        </is>
      </c>
      <c r="I371" t="inlineStr"/>
      <c r="J371" t="inlineStr">
        <is>
          <t>No Supported Match</t>
        </is>
      </c>
      <c r="K371" t="inlineStr">
        <is>
          <t>None</t>
        </is>
      </c>
      <c r="L371" t="inlineStr">
        <is>
          <t>Crosswalk Pending</t>
        </is>
      </c>
      <c r="M371" t="inlineStr">
        <is>
          <t>Open</t>
        </is>
      </c>
      <c r="N371" t="inlineStr"/>
    </row>
    <row r="372">
      <c r="A372" t="inlineStr">
        <is>
          <t>FKEX00371</t>
        </is>
      </c>
      <c r="B372" t="inlineStr">
        <is>
          <t>15 LL_Device</t>
        </is>
      </c>
      <c r="C372" t="inlineStr">
        <is>
          <t>tblDeviceModel</t>
        </is>
      </c>
      <c r="D372" t="n">
        <v>125</v>
      </c>
      <c r="E372" t="inlineStr">
        <is>
          <t>MOD000122</t>
        </is>
      </c>
      <c r="F372" t="inlineStr">
        <is>
          <t>DeviceFamilyID</t>
        </is>
      </c>
      <c r="G372" t="inlineStr">
        <is>
          <t>DF013</t>
        </is>
      </c>
      <c r="H372" t="inlineStr">
        <is>
          <t>tblDeviceFamilyIDCrosswalk</t>
        </is>
      </c>
      <c r="I372" t="inlineStr"/>
      <c r="J372" t="inlineStr">
        <is>
          <t>tblDeviceModel</t>
        </is>
      </c>
      <c r="K372" t="inlineStr">
        <is>
          <t>Exact ID</t>
        </is>
      </c>
      <c r="L372" t="inlineStr">
        <is>
          <t>Crosswalk Pending</t>
        </is>
      </c>
      <c r="M372" t="inlineStr">
        <is>
          <t>Open</t>
        </is>
      </c>
      <c r="N372" t="inlineStr"/>
    </row>
    <row r="373">
      <c r="A373" t="inlineStr">
        <is>
          <t>FKEX00372</t>
        </is>
      </c>
      <c r="B373" t="inlineStr">
        <is>
          <t>15 LL_Device</t>
        </is>
      </c>
      <c r="C373" t="inlineStr">
        <is>
          <t>tblDeviceModel</t>
        </is>
      </c>
      <c r="D373" t="n">
        <v>125</v>
      </c>
      <c r="E373" t="inlineStr">
        <is>
          <t>MOD000122</t>
        </is>
      </c>
      <c r="F373" t="inlineStr">
        <is>
          <t>DeviceTypeID</t>
        </is>
      </c>
      <c r="G373" t="inlineStr">
        <is>
          <t>DT004</t>
        </is>
      </c>
      <c r="H373" t="inlineStr">
        <is>
          <t>tblDeviceTypeIDCrosswalk</t>
        </is>
      </c>
      <c r="I373" t="inlineStr"/>
      <c r="J373" t="inlineStr">
        <is>
          <t>No Supported Match</t>
        </is>
      </c>
      <c r="K373" t="inlineStr">
        <is>
          <t>None</t>
        </is>
      </c>
      <c r="L373" t="inlineStr">
        <is>
          <t>Crosswalk Pending</t>
        </is>
      </c>
      <c r="M373" t="inlineStr">
        <is>
          <t>Open</t>
        </is>
      </c>
      <c r="N373" t="inlineStr"/>
    </row>
    <row r="374">
      <c r="A374" t="inlineStr">
        <is>
          <t>FKEX00373</t>
        </is>
      </c>
      <c r="B374" t="inlineStr">
        <is>
          <t>15 LL_Device</t>
        </is>
      </c>
      <c r="C374" t="inlineStr">
        <is>
          <t>tblDeviceModel</t>
        </is>
      </c>
      <c r="D374" t="n">
        <v>126</v>
      </c>
      <c r="E374" t="inlineStr">
        <is>
          <t>MOD000123</t>
        </is>
      </c>
      <c r="F374" t="inlineStr">
        <is>
          <t>ManufacturerID</t>
        </is>
      </c>
      <c r="G374" t="inlineStr">
        <is>
          <t>MFG001</t>
        </is>
      </c>
      <c r="H374" t="inlineStr">
        <is>
          <t>tblManufacturerIDCrosswalk</t>
        </is>
      </c>
      <c r="I374" t="inlineStr"/>
      <c r="J374" t="inlineStr">
        <is>
          <t>No Supported Match</t>
        </is>
      </c>
      <c r="K374" t="inlineStr">
        <is>
          <t>None</t>
        </is>
      </c>
      <c r="L374" t="inlineStr">
        <is>
          <t>Crosswalk Pending</t>
        </is>
      </c>
      <c r="M374" t="inlineStr">
        <is>
          <t>Open</t>
        </is>
      </c>
      <c r="N374" t="inlineStr"/>
    </row>
    <row r="375">
      <c r="A375" t="inlineStr">
        <is>
          <t>FKEX00374</t>
        </is>
      </c>
      <c r="B375" t="inlineStr">
        <is>
          <t>15 LL_Device</t>
        </is>
      </c>
      <c r="C375" t="inlineStr">
        <is>
          <t>tblDeviceModel</t>
        </is>
      </c>
      <c r="D375" t="n">
        <v>126</v>
      </c>
      <c r="E375" t="inlineStr">
        <is>
          <t>MOD000123</t>
        </is>
      </c>
      <c r="F375" t="inlineStr">
        <is>
          <t>DeviceFamilyID</t>
        </is>
      </c>
      <c r="G375" t="inlineStr">
        <is>
          <t>DF013</t>
        </is>
      </c>
      <c r="H375" t="inlineStr">
        <is>
          <t>tblDeviceFamilyIDCrosswalk</t>
        </is>
      </c>
      <c r="I375" t="inlineStr"/>
      <c r="J375" t="inlineStr">
        <is>
          <t>tblDeviceModel</t>
        </is>
      </c>
      <c r="K375" t="inlineStr">
        <is>
          <t>Exact ID</t>
        </is>
      </c>
      <c r="L375" t="inlineStr">
        <is>
          <t>Crosswalk Pending</t>
        </is>
      </c>
      <c r="M375" t="inlineStr">
        <is>
          <t>Open</t>
        </is>
      </c>
      <c r="N375" t="inlineStr"/>
    </row>
    <row r="376">
      <c r="A376" t="inlineStr">
        <is>
          <t>FKEX00375</t>
        </is>
      </c>
      <c r="B376" t="inlineStr">
        <is>
          <t>15 LL_Device</t>
        </is>
      </c>
      <c r="C376" t="inlineStr">
        <is>
          <t>tblDeviceModel</t>
        </is>
      </c>
      <c r="D376" t="n">
        <v>126</v>
      </c>
      <c r="E376" t="inlineStr">
        <is>
          <t>MOD000123</t>
        </is>
      </c>
      <c r="F376" t="inlineStr">
        <is>
          <t>DeviceTypeID</t>
        </is>
      </c>
      <c r="G376" t="inlineStr">
        <is>
          <t>DT004</t>
        </is>
      </c>
      <c r="H376" t="inlineStr">
        <is>
          <t>tblDeviceTypeIDCrosswalk</t>
        </is>
      </c>
      <c r="I376" t="inlineStr"/>
      <c r="J376" t="inlineStr">
        <is>
          <t>No Supported Match</t>
        </is>
      </c>
      <c r="K376" t="inlineStr">
        <is>
          <t>None</t>
        </is>
      </c>
      <c r="L376" t="inlineStr">
        <is>
          <t>Crosswalk Pending</t>
        </is>
      </c>
      <c r="M376" t="inlineStr">
        <is>
          <t>Open</t>
        </is>
      </c>
      <c r="N376" t="inlineStr"/>
    </row>
    <row r="377">
      <c r="A377" t="inlineStr">
        <is>
          <t>FKEX00376</t>
        </is>
      </c>
      <c r="B377" t="inlineStr">
        <is>
          <t>15 LL_Device</t>
        </is>
      </c>
      <c r="C377" t="inlineStr">
        <is>
          <t>tblDeviceModel</t>
        </is>
      </c>
      <c r="D377" t="n">
        <v>127</v>
      </c>
      <c r="E377" t="inlineStr">
        <is>
          <t>MOD000124</t>
        </is>
      </c>
      <c r="F377" t="inlineStr">
        <is>
          <t>ManufacturerID</t>
        </is>
      </c>
      <c r="G377" t="inlineStr">
        <is>
          <t>MFG001</t>
        </is>
      </c>
      <c r="H377" t="inlineStr">
        <is>
          <t>tblManufacturerIDCrosswalk</t>
        </is>
      </c>
      <c r="I377" t="inlineStr"/>
      <c r="J377" t="inlineStr">
        <is>
          <t>No Supported Match</t>
        </is>
      </c>
      <c r="K377" t="inlineStr">
        <is>
          <t>None</t>
        </is>
      </c>
      <c r="L377" t="inlineStr">
        <is>
          <t>Crosswalk Pending</t>
        </is>
      </c>
      <c r="M377" t="inlineStr">
        <is>
          <t>Open</t>
        </is>
      </c>
      <c r="N377" t="inlineStr"/>
    </row>
    <row r="378">
      <c r="A378" t="inlineStr">
        <is>
          <t>FKEX00377</t>
        </is>
      </c>
      <c r="B378" t="inlineStr">
        <is>
          <t>15 LL_Device</t>
        </is>
      </c>
      <c r="C378" t="inlineStr">
        <is>
          <t>tblDeviceModel</t>
        </is>
      </c>
      <c r="D378" t="n">
        <v>127</v>
      </c>
      <c r="E378" t="inlineStr">
        <is>
          <t>MOD000124</t>
        </is>
      </c>
      <c r="F378" t="inlineStr">
        <is>
          <t>DeviceFamilyID</t>
        </is>
      </c>
      <c r="G378" t="inlineStr">
        <is>
          <t>DF014</t>
        </is>
      </c>
      <c r="H378" t="inlineStr">
        <is>
          <t>tblDeviceFamilyIDCrosswalk</t>
        </is>
      </c>
      <c r="I378" t="inlineStr"/>
      <c r="J378" t="inlineStr">
        <is>
          <t>tblDeviceModel</t>
        </is>
      </c>
      <c r="K378" t="inlineStr">
        <is>
          <t>Exact ID</t>
        </is>
      </c>
      <c r="L378" t="inlineStr">
        <is>
          <t>Crosswalk Pending</t>
        </is>
      </c>
      <c r="M378" t="inlineStr">
        <is>
          <t>Open</t>
        </is>
      </c>
      <c r="N378" t="inlineStr"/>
    </row>
    <row r="379">
      <c r="A379" t="inlineStr">
        <is>
          <t>FKEX00378</t>
        </is>
      </c>
      <c r="B379" t="inlineStr">
        <is>
          <t>15 LL_Device</t>
        </is>
      </c>
      <c r="C379" t="inlineStr">
        <is>
          <t>tblDeviceModel</t>
        </is>
      </c>
      <c r="D379" t="n">
        <v>127</v>
      </c>
      <c r="E379" t="inlineStr">
        <is>
          <t>MOD000124</t>
        </is>
      </c>
      <c r="F379" t="inlineStr">
        <is>
          <t>DeviceTypeID</t>
        </is>
      </c>
      <c r="G379" t="inlineStr">
        <is>
          <t>DT005</t>
        </is>
      </c>
      <c r="H379" t="inlineStr">
        <is>
          <t>tblDeviceTypeIDCrosswalk</t>
        </is>
      </c>
      <c r="I379" t="inlineStr"/>
      <c r="J379" t="inlineStr">
        <is>
          <t>No Supported Match</t>
        </is>
      </c>
      <c r="K379" t="inlineStr">
        <is>
          <t>None</t>
        </is>
      </c>
      <c r="L379" t="inlineStr">
        <is>
          <t>Crosswalk Pending</t>
        </is>
      </c>
      <c r="M379" t="inlineStr">
        <is>
          <t>Open</t>
        </is>
      </c>
      <c r="N379" t="inlineStr"/>
    </row>
    <row r="380">
      <c r="A380" t="inlineStr">
        <is>
          <t>FKEX00379</t>
        </is>
      </c>
      <c r="B380" t="inlineStr">
        <is>
          <t>15 LL_Device</t>
        </is>
      </c>
      <c r="C380" t="inlineStr">
        <is>
          <t>tblDeviceModel</t>
        </is>
      </c>
      <c r="D380" t="n">
        <v>128</v>
      </c>
      <c r="E380" t="inlineStr">
        <is>
          <t>MOD000125</t>
        </is>
      </c>
      <c r="F380" t="inlineStr">
        <is>
          <t>ManufacturerID</t>
        </is>
      </c>
      <c r="G380" t="inlineStr">
        <is>
          <t>MFG001</t>
        </is>
      </c>
      <c r="H380" t="inlineStr">
        <is>
          <t>tblManufacturerIDCrosswalk</t>
        </is>
      </c>
      <c r="I380" t="inlineStr"/>
      <c r="J380" t="inlineStr">
        <is>
          <t>No Supported Match</t>
        </is>
      </c>
      <c r="K380" t="inlineStr">
        <is>
          <t>None</t>
        </is>
      </c>
      <c r="L380" t="inlineStr">
        <is>
          <t>Crosswalk Pending</t>
        </is>
      </c>
      <c r="M380" t="inlineStr">
        <is>
          <t>Open</t>
        </is>
      </c>
      <c r="N380" t="inlineStr"/>
    </row>
    <row r="381">
      <c r="A381" t="inlineStr">
        <is>
          <t>FKEX00380</t>
        </is>
      </c>
      <c r="B381" t="inlineStr">
        <is>
          <t>15 LL_Device</t>
        </is>
      </c>
      <c r="C381" t="inlineStr">
        <is>
          <t>tblDeviceModel</t>
        </is>
      </c>
      <c r="D381" t="n">
        <v>128</v>
      </c>
      <c r="E381" t="inlineStr">
        <is>
          <t>MOD000125</t>
        </is>
      </c>
      <c r="F381" t="inlineStr">
        <is>
          <t>DeviceFamilyID</t>
        </is>
      </c>
      <c r="G381" t="inlineStr">
        <is>
          <t>DF014</t>
        </is>
      </c>
      <c r="H381" t="inlineStr">
        <is>
          <t>tblDeviceFamilyIDCrosswalk</t>
        </is>
      </c>
      <c r="I381" t="inlineStr"/>
      <c r="J381" t="inlineStr">
        <is>
          <t>tblDeviceModel</t>
        </is>
      </c>
      <c r="K381" t="inlineStr">
        <is>
          <t>Exact ID</t>
        </is>
      </c>
      <c r="L381" t="inlineStr">
        <is>
          <t>Crosswalk Pending</t>
        </is>
      </c>
      <c r="M381" t="inlineStr">
        <is>
          <t>Open</t>
        </is>
      </c>
      <c r="N381" t="inlineStr"/>
    </row>
    <row r="382">
      <c r="A382" t="inlineStr">
        <is>
          <t>FKEX00381</t>
        </is>
      </c>
      <c r="B382" t="inlineStr">
        <is>
          <t>15 LL_Device</t>
        </is>
      </c>
      <c r="C382" t="inlineStr">
        <is>
          <t>tblDeviceModel</t>
        </is>
      </c>
      <c r="D382" t="n">
        <v>128</v>
      </c>
      <c r="E382" t="inlineStr">
        <is>
          <t>MOD000125</t>
        </is>
      </c>
      <c r="F382" t="inlineStr">
        <is>
          <t>DeviceTypeID</t>
        </is>
      </c>
      <c r="G382" t="inlineStr">
        <is>
          <t>DT005</t>
        </is>
      </c>
      <c r="H382" t="inlineStr">
        <is>
          <t>tblDeviceTypeIDCrosswalk</t>
        </is>
      </c>
      <c r="I382" t="inlineStr"/>
      <c r="J382" t="inlineStr">
        <is>
          <t>No Supported Match</t>
        </is>
      </c>
      <c r="K382" t="inlineStr">
        <is>
          <t>None</t>
        </is>
      </c>
      <c r="L382" t="inlineStr">
        <is>
          <t>Crosswalk Pending</t>
        </is>
      </c>
      <c r="M382" t="inlineStr">
        <is>
          <t>Open</t>
        </is>
      </c>
      <c r="N382" t="inlineStr"/>
    </row>
    <row r="383">
      <c r="A383" t="inlineStr">
        <is>
          <t>FKEX00382</t>
        </is>
      </c>
      <c r="B383" t="inlineStr">
        <is>
          <t>15 LL_Device</t>
        </is>
      </c>
      <c r="C383" t="inlineStr">
        <is>
          <t>tblDeviceModel</t>
        </is>
      </c>
      <c r="D383" t="n">
        <v>129</v>
      </c>
      <c r="E383" t="inlineStr">
        <is>
          <t>MOD000126</t>
        </is>
      </c>
      <c r="F383" t="inlineStr">
        <is>
          <t>ManufacturerID</t>
        </is>
      </c>
      <c r="G383" t="inlineStr">
        <is>
          <t>MFG001</t>
        </is>
      </c>
      <c r="H383" t="inlineStr">
        <is>
          <t>tblManufacturerIDCrosswalk</t>
        </is>
      </c>
      <c r="I383" t="inlineStr"/>
      <c r="J383" t="inlineStr">
        <is>
          <t>No Supported Match</t>
        </is>
      </c>
      <c r="K383" t="inlineStr">
        <is>
          <t>None</t>
        </is>
      </c>
      <c r="L383" t="inlineStr">
        <is>
          <t>Crosswalk Pending</t>
        </is>
      </c>
      <c r="M383" t="inlineStr">
        <is>
          <t>Open</t>
        </is>
      </c>
      <c r="N383" t="inlineStr"/>
    </row>
    <row r="384">
      <c r="A384" t="inlineStr">
        <is>
          <t>FKEX00383</t>
        </is>
      </c>
      <c r="B384" t="inlineStr">
        <is>
          <t>15 LL_Device</t>
        </is>
      </c>
      <c r="C384" t="inlineStr">
        <is>
          <t>tblDeviceModel</t>
        </is>
      </c>
      <c r="D384" t="n">
        <v>129</v>
      </c>
      <c r="E384" t="inlineStr">
        <is>
          <t>MOD000126</t>
        </is>
      </c>
      <c r="F384" t="inlineStr">
        <is>
          <t>DeviceFamilyID</t>
        </is>
      </c>
      <c r="G384" t="inlineStr">
        <is>
          <t>DF014</t>
        </is>
      </c>
      <c r="H384" t="inlineStr">
        <is>
          <t>tblDeviceFamilyIDCrosswalk</t>
        </is>
      </c>
      <c r="I384" t="inlineStr"/>
      <c r="J384" t="inlineStr">
        <is>
          <t>tblDeviceModel</t>
        </is>
      </c>
      <c r="K384" t="inlineStr">
        <is>
          <t>Exact ID</t>
        </is>
      </c>
      <c r="L384" t="inlineStr">
        <is>
          <t>Crosswalk Pending</t>
        </is>
      </c>
      <c r="M384" t="inlineStr">
        <is>
          <t>Open</t>
        </is>
      </c>
      <c r="N384" t="inlineStr"/>
    </row>
    <row r="385">
      <c r="A385" t="inlineStr">
        <is>
          <t>FKEX00384</t>
        </is>
      </c>
      <c r="B385" t="inlineStr">
        <is>
          <t>15 LL_Device</t>
        </is>
      </c>
      <c r="C385" t="inlineStr">
        <is>
          <t>tblDeviceModel</t>
        </is>
      </c>
      <c r="D385" t="n">
        <v>129</v>
      </c>
      <c r="E385" t="inlineStr">
        <is>
          <t>MOD000126</t>
        </is>
      </c>
      <c r="F385" t="inlineStr">
        <is>
          <t>DeviceTypeID</t>
        </is>
      </c>
      <c r="G385" t="inlineStr">
        <is>
          <t>DT005</t>
        </is>
      </c>
      <c r="H385" t="inlineStr">
        <is>
          <t>tblDeviceTypeIDCrosswalk</t>
        </is>
      </c>
      <c r="I385" t="inlineStr"/>
      <c r="J385" t="inlineStr">
        <is>
          <t>No Supported Match</t>
        </is>
      </c>
      <c r="K385" t="inlineStr">
        <is>
          <t>None</t>
        </is>
      </c>
      <c r="L385" t="inlineStr">
        <is>
          <t>Crosswalk Pending</t>
        </is>
      </c>
      <c r="M385" t="inlineStr">
        <is>
          <t>Open</t>
        </is>
      </c>
      <c r="N385" t="inlineStr"/>
    </row>
    <row r="386">
      <c r="A386" t="inlineStr">
        <is>
          <t>FKEX00385</t>
        </is>
      </c>
      <c r="B386" t="inlineStr">
        <is>
          <t>15 LL_Device</t>
        </is>
      </c>
      <c r="C386" t="inlineStr">
        <is>
          <t>tblDeviceModel</t>
        </is>
      </c>
      <c r="D386" t="n">
        <v>130</v>
      </c>
      <c r="E386" t="inlineStr">
        <is>
          <t>MOD000127</t>
        </is>
      </c>
      <c r="F386" t="inlineStr">
        <is>
          <t>ManufacturerID</t>
        </is>
      </c>
      <c r="G386" t="inlineStr">
        <is>
          <t>MFG001</t>
        </is>
      </c>
      <c r="H386" t="inlineStr">
        <is>
          <t>tblManufacturerIDCrosswalk</t>
        </is>
      </c>
      <c r="I386" t="inlineStr"/>
      <c r="J386" t="inlineStr">
        <is>
          <t>No Supported Match</t>
        </is>
      </c>
      <c r="K386" t="inlineStr">
        <is>
          <t>None</t>
        </is>
      </c>
      <c r="L386" t="inlineStr">
        <is>
          <t>Crosswalk Pending</t>
        </is>
      </c>
      <c r="M386" t="inlineStr">
        <is>
          <t>Open</t>
        </is>
      </c>
      <c r="N386" t="inlineStr"/>
    </row>
    <row r="387">
      <c r="A387" t="inlineStr">
        <is>
          <t>FKEX00386</t>
        </is>
      </c>
      <c r="B387" t="inlineStr">
        <is>
          <t>15 LL_Device</t>
        </is>
      </c>
      <c r="C387" t="inlineStr">
        <is>
          <t>tblDeviceModel</t>
        </is>
      </c>
      <c r="D387" t="n">
        <v>130</v>
      </c>
      <c r="E387" t="inlineStr">
        <is>
          <t>MOD000127</t>
        </is>
      </c>
      <c r="F387" t="inlineStr">
        <is>
          <t>DeviceFamilyID</t>
        </is>
      </c>
      <c r="G387" t="inlineStr">
        <is>
          <t>DF014</t>
        </is>
      </c>
      <c r="H387" t="inlineStr">
        <is>
          <t>tblDeviceFamilyIDCrosswalk</t>
        </is>
      </c>
      <c r="I387" t="inlineStr"/>
      <c r="J387" t="inlineStr">
        <is>
          <t>tblDeviceModel</t>
        </is>
      </c>
      <c r="K387" t="inlineStr">
        <is>
          <t>Exact ID</t>
        </is>
      </c>
      <c r="L387" t="inlineStr">
        <is>
          <t>Crosswalk Pending</t>
        </is>
      </c>
      <c r="M387" t="inlineStr">
        <is>
          <t>Open</t>
        </is>
      </c>
      <c r="N387" t="inlineStr"/>
    </row>
    <row r="388">
      <c r="A388" t="inlineStr">
        <is>
          <t>FKEX00387</t>
        </is>
      </c>
      <c r="B388" t="inlineStr">
        <is>
          <t>15 LL_Device</t>
        </is>
      </c>
      <c r="C388" t="inlineStr">
        <is>
          <t>tblDeviceModel</t>
        </is>
      </c>
      <c r="D388" t="n">
        <v>130</v>
      </c>
      <c r="E388" t="inlineStr">
        <is>
          <t>MOD000127</t>
        </is>
      </c>
      <c r="F388" t="inlineStr">
        <is>
          <t>DeviceTypeID</t>
        </is>
      </c>
      <c r="G388" t="inlineStr">
        <is>
          <t>DT005</t>
        </is>
      </c>
      <c r="H388" t="inlineStr">
        <is>
          <t>tblDeviceTypeIDCrosswalk</t>
        </is>
      </c>
      <c r="I388" t="inlineStr"/>
      <c r="J388" t="inlineStr">
        <is>
          <t>No Supported Match</t>
        </is>
      </c>
      <c r="K388" t="inlineStr">
        <is>
          <t>None</t>
        </is>
      </c>
      <c r="L388" t="inlineStr">
        <is>
          <t>Crosswalk Pending</t>
        </is>
      </c>
      <c r="M388" t="inlineStr">
        <is>
          <t>Open</t>
        </is>
      </c>
      <c r="N388" t="inlineStr"/>
    </row>
    <row r="389">
      <c r="A389" t="inlineStr">
        <is>
          <t>FKEX00388</t>
        </is>
      </c>
      <c r="B389" t="inlineStr">
        <is>
          <t>15 LL_Device</t>
        </is>
      </c>
      <c r="C389" t="inlineStr">
        <is>
          <t>tblDeviceModel</t>
        </is>
      </c>
      <c r="D389" t="n">
        <v>131</v>
      </c>
      <c r="E389" t="inlineStr">
        <is>
          <t>MOD000128</t>
        </is>
      </c>
      <c r="F389" t="inlineStr">
        <is>
          <t>ManufacturerID</t>
        </is>
      </c>
      <c r="G389" t="inlineStr">
        <is>
          <t>MFG001</t>
        </is>
      </c>
      <c r="H389" t="inlineStr">
        <is>
          <t>tblManufacturerIDCrosswalk</t>
        </is>
      </c>
      <c r="I389" t="inlineStr"/>
      <c r="J389" t="inlineStr">
        <is>
          <t>No Supported Match</t>
        </is>
      </c>
      <c r="K389" t="inlineStr">
        <is>
          <t>None</t>
        </is>
      </c>
      <c r="L389" t="inlineStr">
        <is>
          <t>Crosswalk Pending</t>
        </is>
      </c>
      <c r="M389" t="inlineStr">
        <is>
          <t>Open</t>
        </is>
      </c>
      <c r="N389" t="inlineStr"/>
    </row>
    <row r="390">
      <c r="A390" t="inlineStr">
        <is>
          <t>FKEX00389</t>
        </is>
      </c>
      <c r="B390" t="inlineStr">
        <is>
          <t>15 LL_Device</t>
        </is>
      </c>
      <c r="C390" t="inlineStr">
        <is>
          <t>tblDeviceModel</t>
        </is>
      </c>
      <c r="D390" t="n">
        <v>131</v>
      </c>
      <c r="E390" t="inlineStr">
        <is>
          <t>MOD000128</t>
        </is>
      </c>
      <c r="F390" t="inlineStr">
        <is>
          <t>DeviceFamilyID</t>
        </is>
      </c>
      <c r="G390" t="inlineStr">
        <is>
          <t>DF014</t>
        </is>
      </c>
      <c r="H390" t="inlineStr">
        <is>
          <t>tblDeviceFamilyIDCrosswalk</t>
        </is>
      </c>
      <c r="I390" t="inlineStr"/>
      <c r="J390" t="inlineStr">
        <is>
          <t>tblDeviceModel</t>
        </is>
      </c>
      <c r="K390" t="inlineStr">
        <is>
          <t>Exact ID</t>
        </is>
      </c>
      <c r="L390" t="inlineStr">
        <is>
          <t>Crosswalk Pending</t>
        </is>
      </c>
      <c r="M390" t="inlineStr">
        <is>
          <t>Open</t>
        </is>
      </c>
      <c r="N390" t="inlineStr"/>
    </row>
    <row r="391">
      <c r="A391" t="inlineStr">
        <is>
          <t>FKEX00390</t>
        </is>
      </c>
      <c r="B391" t="inlineStr">
        <is>
          <t>15 LL_Device</t>
        </is>
      </c>
      <c r="C391" t="inlineStr">
        <is>
          <t>tblDeviceModel</t>
        </is>
      </c>
      <c r="D391" t="n">
        <v>131</v>
      </c>
      <c r="E391" t="inlineStr">
        <is>
          <t>MOD000128</t>
        </is>
      </c>
      <c r="F391" t="inlineStr">
        <is>
          <t>DeviceTypeID</t>
        </is>
      </c>
      <c r="G391" t="inlineStr">
        <is>
          <t>DT005</t>
        </is>
      </c>
      <c r="H391" t="inlineStr">
        <is>
          <t>tblDeviceTypeIDCrosswalk</t>
        </is>
      </c>
      <c r="I391" t="inlineStr"/>
      <c r="J391" t="inlineStr">
        <is>
          <t>No Supported Match</t>
        </is>
      </c>
      <c r="K391" t="inlineStr">
        <is>
          <t>None</t>
        </is>
      </c>
      <c r="L391" t="inlineStr">
        <is>
          <t>Crosswalk Pending</t>
        </is>
      </c>
      <c r="M391" t="inlineStr">
        <is>
          <t>Open</t>
        </is>
      </c>
      <c r="N391" t="inlineStr"/>
    </row>
    <row r="392">
      <c r="A392" t="inlineStr">
        <is>
          <t>FKEX00391</t>
        </is>
      </c>
      <c r="B392" t="inlineStr">
        <is>
          <t>15 LL_Device</t>
        </is>
      </c>
      <c r="C392" t="inlineStr">
        <is>
          <t>tblDeviceModel</t>
        </is>
      </c>
      <c r="D392" t="n">
        <v>132</v>
      </c>
      <c r="E392" t="inlineStr">
        <is>
          <t>MOD000129</t>
        </is>
      </c>
      <c r="F392" t="inlineStr">
        <is>
          <t>ManufacturerID</t>
        </is>
      </c>
      <c r="G392" t="inlineStr">
        <is>
          <t>MFG001</t>
        </is>
      </c>
      <c r="H392" t="inlineStr">
        <is>
          <t>tblManufacturerIDCrosswalk</t>
        </is>
      </c>
      <c r="I392" t="inlineStr"/>
      <c r="J392" t="inlineStr">
        <is>
          <t>No Supported Match</t>
        </is>
      </c>
      <c r="K392" t="inlineStr">
        <is>
          <t>None</t>
        </is>
      </c>
      <c r="L392" t="inlineStr">
        <is>
          <t>Crosswalk Pending</t>
        </is>
      </c>
      <c r="M392" t="inlineStr">
        <is>
          <t>Open</t>
        </is>
      </c>
      <c r="N392" t="inlineStr"/>
    </row>
    <row r="393">
      <c r="A393" t="inlineStr">
        <is>
          <t>FKEX00392</t>
        </is>
      </c>
      <c r="B393" t="inlineStr">
        <is>
          <t>15 LL_Device</t>
        </is>
      </c>
      <c r="C393" t="inlineStr">
        <is>
          <t>tblDeviceModel</t>
        </is>
      </c>
      <c r="D393" t="n">
        <v>132</v>
      </c>
      <c r="E393" t="inlineStr">
        <is>
          <t>MOD000129</t>
        </is>
      </c>
      <c r="F393" t="inlineStr">
        <is>
          <t>DeviceFamilyID</t>
        </is>
      </c>
      <c r="G393" t="inlineStr">
        <is>
          <t>DF014</t>
        </is>
      </c>
      <c r="H393" t="inlineStr">
        <is>
          <t>tblDeviceFamilyIDCrosswalk</t>
        </is>
      </c>
      <c r="I393" t="inlineStr"/>
      <c r="J393" t="inlineStr">
        <is>
          <t>tblDeviceModel</t>
        </is>
      </c>
      <c r="K393" t="inlineStr">
        <is>
          <t>Exact ID</t>
        </is>
      </c>
      <c r="L393" t="inlineStr">
        <is>
          <t>Crosswalk Pending</t>
        </is>
      </c>
      <c r="M393" t="inlineStr">
        <is>
          <t>Open</t>
        </is>
      </c>
      <c r="N393" t="inlineStr"/>
    </row>
    <row r="394">
      <c r="A394" t="inlineStr">
        <is>
          <t>FKEX00393</t>
        </is>
      </c>
      <c r="B394" t="inlineStr">
        <is>
          <t>15 LL_Device</t>
        </is>
      </c>
      <c r="C394" t="inlineStr">
        <is>
          <t>tblDeviceModel</t>
        </is>
      </c>
      <c r="D394" t="n">
        <v>132</v>
      </c>
      <c r="E394" t="inlineStr">
        <is>
          <t>MOD000129</t>
        </is>
      </c>
      <c r="F394" t="inlineStr">
        <is>
          <t>DeviceTypeID</t>
        </is>
      </c>
      <c r="G394" t="inlineStr">
        <is>
          <t>DT005</t>
        </is>
      </c>
      <c r="H394" t="inlineStr">
        <is>
          <t>tblDeviceTypeIDCrosswalk</t>
        </is>
      </c>
      <c r="I394" t="inlineStr"/>
      <c r="J394" t="inlineStr">
        <is>
          <t>No Supported Match</t>
        </is>
      </c>
      <c r="K394" t="inlineStr">
        <is>
          <t>None</t>
        </is>
      </c>
      <c r="L394" t="inlineStr">
        <is>
          <t>Crosswalk Pending</t>
        </is>
      </c>
      <c r="M394" t="inlineStr">
        <is>
          <t>Open</t>
        </is>
      </c>
      <c r="N394" t="inlineStr"/>
    </row>
    <row r="395">
      <c r="A395" t="inlineStr">
        <is>
          <t>FKEX00394</t>
        </is>
      </c>
      <c r="B395" t="inlineStr">
        <is>
          <t>15 LL_Device</t>
        </is>
      </c>
      <c r="C395" t="inlineStr">
        <is>
          <t>tblDeviceModel</t>
        </is>
      </c>
      <c r="D395" t="n">
        <v>133</v>
      </c>
      <c r="E395" t="inlineStr">
        <is>
          <t>MOD000130</t>
        </is>
      </c>
      <c r="F395" t="inlineStr">
        <is>
          <t>ManufacturerID</t>
        </is>
      </c>
      <c r="G395" t="inlineStr">
        <is>
          <t>MFG001</t>
        </is>
      </c>
      <c r="H395" t="inlineStr">
        <is>
          <t>tblManufacturerIDCrosswalk</t>
        </is>
      </c>
      <c r="I395" t="inlineStr"/>
      <c r="J395" t="inlineStr">
        <is>
          <t>No Supported Match</t>
        </is>
      </c>
      <c r="K395" t="inlineStr">
        <is>
          <t>None</t>
        </is>
      </c>
      <c r="L395" t="inlineStr">
        <is>
          <t>Crosswalk Pending</t>
        </is>
      </c>
      <c r="M395" t="inlineStr">
        <is>
          <t>Open</t>
        </is>
      </c>
      <c r="N395" t="inlineStr"/>
    </row>
    <row r="396">
      <c r="A396" t="inlineStr">
        <is>
          <t>FKEX00395</t>
        </is>
      </c>
      <c r="B396" t="inlineStr">
        <is>
          <t>15 LL_Device</t>
        </is>
      </c>
      <c r="C396" t="inlineStr">
        <is>
          <t>tblDeviceModel</t>
        </is>
      </c>
      <c r="D396" t="n">
        <v>133</v>
      </c>
      <c r="E396" t="inlineStr">
        <is>
          <t>MOD000130</t>
        </is>
      </c>
      <c r="F396" t="inlineStr">
        <is>
          <t>DeviceFamilyID</t>
        </is>
      </c>
      <c r="G396" t="inlineStr">
        <is>
          <t>DF014</t>
        </is>
      </c>
      <c r="H396" t="inlineStr">
        <is>
          <t>tblDeviceFamilyIDCrosswalk</t>
        </is>
      </c>
      <c r="I396" t="inlineStr"/>
      <c r="J396" t="inlineStr">
        <is>
          <t>tblDeviceModel</t>
        </is>
      </c>
      <c r="K396" t="inlineStr">
        <is>
          <t>Exact ID</t>
        </is>
      </c>
      <c r="L396" t="inlineStr">
        <is>
          <t>Crosswalk Pending</t>
        </is>
      </c>
      <c r="M396" t="inlineStr">
        <is>
          <t>Open</t>
        </is>
      </c>
      <c r="N396" t="inlineStr"/>
    </row>
    <row r="397">
      <c r="A397" t="inlineStr">
        <is>
          <t>FKEX00396</t>
        </is>
      </c>
      <c r="B397" t="inlineStr">
        <is>
          <t>15 LL_Device</t>
        </is>
      </c>
      <c r="C397" t="inlineStr">
        <is>
          <t>tblDeviceModel</t>
        </is>
      </c>
      <c r="D397" t="n">
        <v>133</v>
      </c>
      <c r="E397" t="inlineStr">
        <is>
          <t>MOD000130</t>
        </is>
      </c>
      <c r="F397" t="inlineStr">
        <is>
          <t>DeviceTypeID</t>
        </is>
      </c>
      <c r="G397" t="inlineStr">
        <is>
          <t>DT005</t>
        </is>
      </c>
      <c r="H397" t="inlineStr">
        <is>
          <t>tblDeviceTypeIDCrosswalk</t>
        </is>
      </c>
      <c r="I397" t="inlineStr"/>
      <c r="J397" t="inlineStr">
        <is>
          <t>No Supported Match</t>
        </is>
      </c>
      <c r="K397" t="inlineStr">
        <is>
          <t>None</t>
        </is>
      </c>
      <c r="L397" t="inlineStr">
        <is>
          <t>Crosswalk Pending</t>
        </is>
      </c>
      <c r="M397" t="inlineStr">
        <is>
          <t>Open</t>
        </is>
      </c>
      <c r="N397" t="inlineStr"/>
    </row>
    <row r="398">
      <c r="A398" t="inlineStr">
        <is>
          <t>FKEX00397</t>
        </is>
      </c>
      <c r="B398" t="inlineStr">
        <is>
          <t>15 LL_Device</t>
        </is>
      </c>
      <c r="C398" t="inlineStr">
        <is>
          <t>tblDeviceModel</t>
        </is>
      </c>
      <c r="D398" t="n">
        <v>134</v>
      </c>
      <c r="E398" t="inlineStr">
        <is>
          <t>MOD000131</t>
        </is>
      </c>
      <c r="F398" t="inlineStr">
        <is>
          <t>ManufacturerID</t>
        </is>
      </c>
      <c r="G398" t="inlineStr">
        <is>
          <t>MFG001</t>
        </is>
      </c>
      <c r="H398" t="inlineStr">
        <is>
          <t>tblManufacturerIDCrosswalk</t>
        </is>
      </c>
      <c r="I398" t="inlineStr"/>
      <c r="J398" t="inlineStr">
        <is>
          <t>No Supported Match</t>
        </is>
      </c>
      <c r="K398" t="inlineStr">
        <is>
          <t>None</t>
        </is>
      </c>
      <c r="L398" t="inlineStr">
        <is>
          <t>Crosswalk Pending</t>
        </is>
      </c>
      <c r="M398" t="inlineStr">
        <is>
          <t>Open</t>
        </is>
      </c>
      <c r="N398" t="inlineStr"/>
    </row>
    <row r="399">
      <c r="A399" t="inlineStr">
        <is>
          <t>FKEX00398</t>
        </is>
      </c>
      <c r="B399" t="inlineStr">
        <is>
          <t>15 LL_Device</t>
        </is>
      </c>
      <c r="C399" t="inlineStr">
        <is>
          <t>tblDeviceModel</t>
        </is>
      </c>
      <c r="D399" t="n">
        <v>134</v>
      </c>
      <c r="E399" t="inlineStr">
        <is>
          <t>MOD000131</t>
        </is>
      </c>
      <c r="F399" t="inlineStr">
        <is>
          <t>DeviceFamilyID</t>
        </is>
      </c>
      <c r="G399" t="inlineStr">
        <is>
          <t>DF014</t>
        </is>
      </c>
      <c r="H399" t="inlineStr">
        <is>
          <t>tblDeviceFamilyIDCrosswalk</t>
        </is>
      </c>
      <c r="I399" t="inlineStr"/>
      <c r="J399" t="inlineStr">
        <is>
          <t>tblDeviceModel</t>
        </is>
      </c>
      <c r="K399" t="inlineStr">
        <is>
          <t>Exact ID</t>
        </is>
      </c>
      <c r="L399" t="inlineStr">
        <is>
          <t>Crosswalk Pending</t>
        </is>
      </c>
      <c r="M399" t="inlineStr">
        <is>
          <t>Open</t>
        </is>
      </c>
      <c r="N399" t="inlineStr"/>
    </row>
    <row r="400">
      <c r="A400" t="inlineStr">
        <is>
          <t>FKEX00399</t>
        </is>
      </c>
      <c r="B400" t="inlineStr">
        <is>
          <t>15 LL_Device</t>
        </is>
      </c>
      <c r="C400" t="inlineStr">
        <is>
          <t>tblDeviceModel</t>
        </is>
      </c>
      <c r="D400" t="n">
        <v>134</v>
      </c>
      <c r="E400" t="inlineStr">
        <is>
          <t>MOD000131</t>
        </is>
      </c>
      <c r="F400" t="inlineStr">
        <is>
          <t>DeviceTypeID</t>
        </is>
      </c>
      <c r="G400" t="inlineStr">
        <is>
          <t>DT005</t>
        </is>
      </c>
      <c r="H400" t="inlineStr">
        <is>
          <t>tblDeviceTypeIDCrosswalk</t>
        </is>
      </c>
      <c r="I400" t="inlineStr"/>
      <c r="J400" t="inlineStr">
        <is>
          <t>No Supported Match</t>
        </is>
      </c>
      <c r="K400" t="inlineStr">
        <is>
          <t>None</t>
        </is>
      </c>
      <c r="L400" t="inlineStr">
        <is>
          <t>Crosswalk Pending</t>
        </is>
      </c>
      <c r="M400" t="inlineStr">
        <is>
          <t>Open</t>
        </is>
      </c>
      <c r="N400" t="inlineStr"/>
    </row>
    <row r="401">
      <c r="A401" t="inlineStr">
        <is>
          <t>FKEX00400</t>
        </is>
      </c>
      <c r="B401" t="inlineStr">
        <is>
          <t>15 LL_Device</t>
        </is>
      </c>
      <c r="C401" t="inlineStr">
        <is>
          <t>tblDeviceModel</t>
        </is>
      </c>
      <c r="D401" t="n">
        <v>135</v>
      </c>
      <c r="E401" t="inlineStr">
        <is>
          <t>MOD000132</t>
        </is>
      </c>
      <c r="F401" t="inlineStr">
        <is>
          <t>ManufacturerID</t>
        </is>
      </c>
      <c r="G401" t="inlineStr">
        <is>
          <t>MFG001</t>
        </is>
      </c>
      <c r="H401" t="inlineStr">
        <is>
          <t>tblManufacturerIDCrosswalk</t>
        </is>
      </c>
      <c r="I401" t="inlineStr"/>
      <c r="J401" t="inlineStr">
        <is>
          <t>No Supported Match</t>
        </is>
      </c>
      <c r="K401" t="inlineStr">
        <is>
          <t>None</t>
        </is>
      </c>
      <c r="L401" t="inlineStr">
        <is>
          <t>Crosswalk Pending</t>
        </is>
      </c>
      <c r="M401" t="inlineStr">
        <is>
          <t>Open</t>
        </is>
      </c>
      <c r="N401" t="inlineStr"/>
    </row>
    <row r="402">
      <c r="A402" t="inlineStr">
        <is>
          <t>FKEX00401</t>
        </is>
      </c>
      <c r="B402" t="inlineStr">
        <is>
          <t>15 LL_Device</t>
        </is>
      </c>
      <c r="C402" t="inlineStr">
        <is>
          <t>tblDeviceModel</t>
        </is>
      </c>
      <c r="D402" t="n">
        <v>135</v>
      </c>
      <c r="E402" t="inlineStr">
        <is>
          <t>MOD000132</t>
        </is>
      </c>
      <c r="F402" t="inlineStr">
        <is>
          <t>DeviceFamilyID</t>
        </is>
      </c>
      <c r="G402" t="inlineStr">
        <is>
          <t>DF014</t>
        </is>
      </c>
      <c r="H402" t="inlineStr">
        <is>
          <t>tblDeviceFamilyIDCrosswalk</t>
        </is>
      </c>
      <c r="I402" t="inlineStr"/>
      <c r="J402" t="inlineStr">
        <is>
          <t>tblDeviceModel</t>
        </is>
      </c>
      <c r="K402" t="inlineStr">
        <is>
          <t>Exact ID</t>
        </is>
      </c>
      <c r="L402" t="inlineStr">
        <is>
          <t>Crosswalk Pending</t>
        </is>
      </c>
      <c r="M402" t="inlineStr">
        <is>
          <t>Open</t>
        </is>
      </c>
      <c r="N402" t="inlineStr"/>
    </row>
    <row r="403">
      <c r="A403" t="inlineStr">
        <is>
          <t>FKEX00402</t>
        </is>
      </c>
      <c r="B403" t="inlineStr">
        <is>
          <t>15 LL_Device</t>
        </is>
      </c>
      <c r="C403" t="inlineStr">
        <is>
          <t>tblDeviceModel</t>
        </is>
      </c>
      <c r="D403" t="n">
        <v>135</v>
      </c>
      <c r="E403" t="inlineStr">
        <is>
          <t>MOD000132</t>
        </is>
      </c>
      <c r="F403" t="inlineStr">
        <is>
          <t>DeviceTypeID</t>
        </is>
      </c>
      <c r="G403" t="inlineStr">
        <is>
          <t>DT005</t>
        </is>
      </c>
      <c r="H403" t="inlineStr">
        <is>
          <t>tblDeviceTypeIDCrosswalk</t>
        </is>
      </c>
      <c r="I403" t="inlineStr"/>
      <c r="J403" t="inlineStr">
        <is>
          <t>No Supported Match</t>
        </is>
      </c>
      <c r="K403" t="inlineStr">
        <is>
          <t>None</t>
        </is>
      </c>
      <c r="L403" t="inlineStr">
        <is>
          <t>Crosswalk Pending</t>
        </is>
      </c>
      <c r="M403" t="inlineStr">
        <is>
          <t>Open</t>
        </is>
      </c>
      <c r="N403" t="inlineStr"/>
    </row>
    <row r="404">
      <c r="A404" t="inlineStr">
        <is>
          <t>FKEX00403</t>
        </is>
      </c>
      <c r="B404" t="inlineStr">
        <is>
          <t>15 LL_Device</t>
        </is>
      </c>
      <c r="C404" t="inlineStr">
        <is>
          <t>tblDeviceModel</t>
        </is>
      </c>
      <c r="D404" t="n">
        <v>136</v>
      </c>
      <c r="E404" t="inlineStr">
        <is>
          <t>MOD000133</t>
        </is>
      </c>
      <c r="F404" t="inlineStr">
        <is>
          <t>ManufacturerID</t>
        </is>
      </c>
      <c r="G404" t="inlineStr">
        <is>
          <t>MFG001</t>
        </is>
      </c>
      <c r="H404" t="inlineStr">
        <is>
          <t>tblManufacturerIDCrosswalk</t>
        </is>
      </c>
      <c r="I404" t="inlineStr"/>
      <c r="J404" t="inlineStr">
        <is>
          <t>No Supported Match</t>
        </is>
      </c>
      <c r="K404" t="inlineStr">
        <is>
          <t>None</t>
        </is>
      </c>
      <c r="L404" t="inlineStr">
        <is>
          <t>Crosswalk Pending</t>
        </is>
      </c>
      <c r="M404" t="inlineStr">
        <is>
          <t>Open</t>
        </is>
      </c>
      <c r="N404" t="inlineStr"/>
    </row>
    <row r="405">
      <c r="A405" t="inlineStr">
        <is>
          <t>FKEX00404</t>
        </is>
      </c>
      <c r="B405" t="inlineStr">
        <is>
          <t>15 LL_Device</t>
        </is>
      </c>
      <c r="C405" t="inlineStr">
        <is>
          <t>tblDeviceModel</t>
        </is>
      </c>
      <c r="D405" t="n">
        <v>136</v>
      </c>
      <c r="E405" t="inlineStr">
        <is>
          <t>MOD000133</t>
        </is>
      </c>
      <c r="F405" t="inlineStr">
        <is>
          <t>DeviceFamilyID</t>
        </is>
      </c>
      <c r="G405" t="inlineStr">
        <is>
          <t>DF014</t>
        </is>
      </c>
      <c r="H405" t="inlineStr">
        <is>
          <t>tblDeviceFamilyIDCrosswalk</t>
        </is>
      </c>
      <c r="I405" t="inlineStr"/>
      <c r="J405" t="inlineStr">
        <is>
          <t>tblDeviceModel</t>
        </is>
      </c>
      <c r="K405" t="inlineStr">
        <is>
          <t>Exact ID</t>
        </is>
      </c>
      <c r="L405" t="inlineStr">
        <is>
          <t>Crosswalk Pending</t>
        </is>
      </c>
      <c r="M405" t="inlineStr">
        <is>
          <t>Open</t>
        </is>
      </c>
      <c r="N405" t="inlineStr"/>
    </row>
    <row r="406">
      <c r="A406" t="inlineStr">
        <is>
          <t>FKEX00405</t>
        </is>
      </c>
      <c r="B406" t="inlineStr">
        <is>
          <t>15 LL_Device</t>
        </is>
      </c>
      <c r="C406" t="inlineStr">
        <is>
          <t>tblDeviceModel</t>
        </is>
      </c>
      <c r="D406" t="n">
        <v>136</v>
      </c>
      <c r="E406" t="inlineStr">
        <is>
          <t>MOD000133</t>
        </is>
      </c>
      <c r="F406" t="inlineStr">
        <is>
          <t>DeviceTypeID</t>
        </is>
      </c>
      <c r="G406" t="inlineStr">
        <is>
          <t>DT005</t>
        </is>
      </c>
      <c r="H406" t="inlineStr">
        <is>
          <t>tblDeviceTypeIDCrosswalk</t>
        </is>
      </c>
      <c r="I406" t="inlineStr"/>
      <c r="J406" t="inlineStr">
        <is>
          <t>No Supported Match</t>
        </is>
      </c>
      <c r="K406" t="inlineStr">
        <is>
          <t>None</t>
        </is>
      </c>
      <c r="L406" t="inlineStr">
        <is>
          <t>Crosswalk Pending</t>
        </is>
      </c>
      <c r="M406" t="inlineStr">
        <is>
          <t>Open</t>
        </is>
      </c>
      <c r="N406" t="inlineStr"/>
    </row>
    <row r="407">
      <c r="A407" t="inlineStr">
        <is>
          <t>FKEX00406</t>
        </is>
      </c>
      <c r="B407" t="inlineStr">
        <is>
          <t>15 LL_Device</t>
        </is>
      </c>
      <c r="C407" t="inlineStr">
        <is>
          <t>tblDeviceModel</t>
        </is>
      </c>
      <c r="D407" t="n">
        <v>137</v>
      </c>
      <c r="E407" t="inlineStr">
        <is>
          <t>MOD000134</t>
        </is>
      </c>
      <c r="F407" t="inlineStr">
        <is>
          <t>ManufacturerID</t>
        </is>
      </c>
      <c r="G407" t="inlineStr">
        <is>
          <t>MFG001</t>
        </is>
      </c>
      <c r="H407" t="inlineStr">
        <is>
          <t>tblManufacturerIDCrosswalk</t>
        </is>
      </c>
      <c r="I407" t="inlineStr"/>
      <c r="J407" t="inlineStr">
        <is>
          <t>No Supported Match</t>
        </is>
      </c>
      <c r="K407" t="inlineStr">
        <is>
          <t>None</t>
        </is>
      </c>
      <c r="L407" t="inlineStr">
        <is>
          <t>Crosswalk Pending</t>
        </is>
      </c>
      <c r="M407" t="inlineStr">
        <is>
          <t>Open</t>
        </is>
      </c>
      <c r="N407" t="inlineStr"/>
    </row>
    <row r="408">
      <c r="A408" t="inlineStr">
        <is>
          <t>FKEX00407</t>
        </is>
      </c>
      <c r="B408" t="inlineStr">
        <is>
          <t>15 LL_Device</t>
        </is>
      </c>
      <c r="C408" t="inlineStr">
        <is>
          <t>tblDeviceModel</t>
        </is>
      </c>
      <c r="D408" t="n">
        <v>137</v>
      </c>
      <c r="E408" t="inlineStr">
        <is>
          <t>MOD000134</t>
        </is>
      </c>
      <c r="F408" t="inlineStr">
        <is>
          <t>DeviceFamilyID</t>
        </is>
      </c>
      <c r="G408" t="inlineStr">
        <is>
          <t>DF014</t>
        </is>
      </c>
      <c r="H408" t="inlineStr">
        <is>
          <t>tblDeviceFamilyIDCrosswalk</t>
        </is>
      </c>
      <c r="I408" t="inlineStr"/>
      <c r="J408" t="inlineStr">
        <is>
          <t>tblDeviceModel</t>
        </is>
      </c>
      <c r="K408" t="inlineStr">
        <is>
          <t>Exact ID</t>
        </is>
      </c>
      <c r="L408" t="inlineStr">
        <is>
          <t>Crosswalk Pending</t>
        </is>
      </c>
      <c r="M408" t="inlineStr">
        <is>
          <t>Open</t>
        </is>
      </c>
      <c r="N408" t="inlineStr"/>
    </row>
    <row r="409">
      <c r="A409" t="inlineStr">
        <is>
          <t>FKEX00408</t>
        </is>
      </c>
      <c r="B409" t="inlineStr">
        <is>
          <t>15 LL_Device</t>
        </is>
      </c>
      <c r="C409" t="inlineStr">
        <is>
          <t>tblDeviceModel</t>
        </is>
      </c>
      <c r="D409" t="n">
        <v>137</v>
      </c>
      <c r="E409" t="inlineStr">
        <is>
          <t>MOD000134</t>
        </is>
      </c>
      <c r="F409" t="inlineStr">
        <is>
          <t>DeviceTypeID</t>
        </is>
      </c>
      <c r="G409" t="inlineStr">
        <is>
          <t>DT005</t>
        </is>
      </c>
      <c r="H409" t="inlineStr">
        <is>
          <t>tblDeviceTypeIDCrosswalk</t>
        </is>
      </c>
      <c r="I409" t="inlineStr"/>
      <c r="J409" t="inlineStr">
        <is>
          <t>No Supported Match</t>
        </is>
      </c>
      <c r="K409" t="inlineStr">
        <is>
          <t>None</t>
        </is>
      </c>
      <c r="L409" t="inlineStr">
        <is>
          <t>Crosswalk Pending</t>
        </is>
      </c>
      <c r="M409" t="inlineStr">
        <is>
          <t>Open</t>
        </is>
      </c>
      <c r="N409" t="inlineStr"/>
    </row>
    <row r="410">
      <c r="A410" t="inlineStr">
        <is>
          <t>FKEX00409</t>
        </is>
      </c>
      <c r="B410" t="inlineStr">
        <is>
          <t>15 LL_Device</t>
        </is>
      </c>
      <c r="C410" t="inlineStr">
        <is>
          <t>tblDeviceModel</t>
        </is>
      </c>
      <c r="D410" t="n">
        <v>138</v>
      </c>
      <c r="E410" t="inlineStr">
        <is>
          <t>MOD000135</t>
        </is>
      </c>
      <c r="F410" t="inlineStr">
        <is>
          <t>ManufacturerID</t>
        </is>
      </c>
      <c r="G410" t="inlineStr">
        <is>
          <t>MFG001</t>
        </is>
      </c>
      <c r="H410" t="inlineStr">
        <is>
          <t>tblManufacturerIDCrosswalk</t>
        </is>
      </c>
      <c r="I410" t="inlineStr"/>
      <c r="J410" t="inlineStr">
        <is>
          <t>No Supported Match</t>
        </is>
      </c>
      <c r="K410" t="inlineStr">
        <is>
          <t>None</t>
        </is>
      </c>
      <c r="L410" t="inlineStr">
        <is>
          <t>Crosswalk Pending</t>
        </is>
      </c>
      <c r="M410" t="inlineStr">
        <is>
          <t>Open</t>
        </is>
      </c>
      <c r="N410" t="inlineStr"/>
    </row>
    <row r="411">
      <c r="A411" t="inlineStr">
        <is>
          <t>FKEX00410</t>
        </is>
      </c>
      <c r="B411" t="inlineStr">
        <is>
          <t>15 LL_Device</t>
        </is>
      </c>
      <c r="C411" t="inlineStr">
        <is>
          <t>tblDeviceModel</t>
        </is>
      </c>
      <c r="D411" t="n">
        <v>138</v>
      </c>
      <c r="E411" t="inlineStr">
        <is>
          <t>MOD000135</t>
        </is>
      </c>
      <c r="F411" t="inlineStr">
        <is>
          <t>DeviceFamilyID</t>
        </is>
      </c>
      <c r="G411" t="inlineStr">
        <is>
          <t>DF014</t>
        </is>
      </c>
      <c r="H411" t="inlineStr">
        <is>
          <t>tblDeviceFamilyIDCrosswalk</t>
        </is>
      </c>
      <c r="I411" t="inlineStr"/>
      <c r="J411" t="inlineStr">
        <is>
          <t>tblDeviceModel</t>
        </is>
      </c>
      <c r="K411" t="inlineStr">
        <is>
          <t>Exact ID</t>
        </is>
      </c>
      <c r="L411" t="inlineStr">
        <is>
          <t>Crosswalk Pending</t>
        </is>
      </c>
      <c r="M411" t="inlineStr">
        <is>
          <t>Open</t>
        </is>
      </c>
      <c r="N411" t="inlineStr"/>
    </row>
    <row r="412">
      <c r="A412" t="inlineStr">
        <is>
          <t>FKEX00411</t>
        </is>
      </c>
      <c r="B412" t="inlineStr">
        <is>
          <t>15 LL_Device</t>
        </is>
      </c>
      <c r="C412" t="inlineStr">
        <is>
          <t>tblDeviceModel</t>
        </is>
      </c>
      <c r="D412" t="n">
        <v>138</v>
      </c>
      <c r="E412" t="inlineStr">
        <is>
          <t>MOD000135</t>
        </is>
      </c>
      <c r="F412" t="inlineStr">
        <is>
          <t>DeviceTypeID</t>
        </is>
      </c>
      <c r="G412" t="inlineStr">
        <is>
          <t>DT005</t>
        </is>
      </c>
      <c r="H412" t="inlineStr">
        <is>
          <t>tblDeviceTypeIDCrosswalk</t>
        </is>
      </c>
      <c r="I412" t="inlineStr"/>
      <c r="J412" t="inlineStr">
        <is>
          <t>No Supported Match</t>
        </is>
      </c>
      <c r="K412" t="inlineStr">
        <is>
          <t>None</t>
        </is>
      </c>
      <c r="L412" t="inlineStr">
        <is>
          <t>Crosswalk Pending</t>
        </is>
      </c>
      <c r="M412" t="inlineStr">
        <is>
          <t>Open</t>
        </is>
      </c>
      <c r="N412" t="inlineStr"/>
    </row>
    <row r="413">
      <c r="A413" t="inlineStr">
        <is>
          <t>FKEX00412</t>
        </is>
      </c>
      <c r="B413" t="inlineStr">
        <is>
          <t>15 LL_Device</t>
        </is>
      </c>
      <c r="C413" t="inlineStr">
        <is>
          <t>tblDeviceModel</t>
        </is>
      </c>
      <c r="D413" t="n">
        <v>139</v>
      </c>
      <c r="E413" t="inlineStr">
        <is>
          <t>MOD000136</t>
        </is>
      </c>
      <c r="F413" t="inlineStr">
        <is>
          <t>ManufacturerID</t>
        </is>
      </c>
      <c r="G413" t="inlineStr">
        <is>
          <t>MFG001</t>
        </is>
      </c>
      <c r="H413" t="inlineStr">
        <is>
          <t>tblManufacturerIDCrosswalk</t>
        </is>
      </c>
      <c r="I413" t="inlineStr"/>
      <c r="J413" t="inlineStr">
        <is>
          <t>No Supported Match</t>
        </is>
      </c>
      <c r="K413" t="inlineStr">
        <is>
          <t>None</t>
        </is>
      </c>
      <c r="L413" t="inlineStr">
        <is>
          <t>Crosswalk Pending</t>
        </is>
      </c>
      <c r="M413" t="inlineStr">
        <is>
          <t>Open</t>
        </is>
      </c>
      <c r="N413" t="inlineStr"/>
    </row>
    <row r="414">
      <c r="A414" t="inlineStr">
        <is>
          <t>FKEX00413</t>
        </is>
      </c>
      <c r="B414" t="inlineStr">
        <is>
          <t>15 LL_Device</t>
        </is>
      </c>
      <c r="C414" t="inlineStr">
        <is>
          <t>tblDeviceModel</t>
        </is>
      </c>
      <c r="D414" t="n">
        <v>139</v>
      </c>
      <c r="E414" t="inlineStr">
        <is>
          <t>MOD000136</t>
        </is>
      </c>
      <c r="F414" t="inlineStr">
        <is>
          <t>DeviceFamilyID</t>
        </is>
      </c>
      <c r="G414" t="inlineStr">
        <is>
          <t>DF014</t>
        </is>
      </c>
      <c r="H414" t="inlineStr">
        <is>
          <t>tblDeviceFamilyIDCrosswalk</t>
        </is>
      </c>
      <c r="I414" t="inlineStr"/>
      <c r="J414" t="inlineStr">
        <is>
          <t>tblDeviceModel</t>
        </is>
      </c>
      <c r="K414" t="inlineStr">
        <is>
          <t>Exact ID</t>
        </is>
      </c>
      <c r="L414" t="inlineStr">
        <is>
          <t>Crosswalk Pending</t>
        </is>
      </c>
      <c r="M414" t="inlineStr">
        <is>
          <t>Open</t>
        </is>
      </c>
      <c r="N414" t="inlineStr"/>
    </row>
    <row r="415">
      <c r="A415" t="inlineStr">
        <is>
          <t>FKEX00414</t>
        </is>
      </c>
      <c r="B415" t="inlineStr">
        <is>
          <t>15 LL_Device</t>
        </is>
      </c>
      <c r="C415" t="inlineStr">
        <is>
          <t>tblDeviceModel</t>
        </is>
      </c>
      <c r="D415" t="n">
        <v>139</v>
      </c>
      <c r="E415" t="inlineStr">
        <is>
          <t>MOD000136</t>
        </is>
      </c>
      <c r="F415" t="inlineStr">
        <is>
          <t>DeviceTypeID</t>
        </is>
      </c>
      <c r="G415" t="inlineStr">
        <is>
          <t>DT005</t>
        </is>
      </c>
      <c r="H415" t="inlineStr">
        <is>
          <t>tblDeviceTypeIDCrosswalk</t>
        </is>
      </c>
      <c r="I415" t="inlineStr"/>
      <c r="J415" t="inlineStr">
        <is>
          <t>No Supported Match</t>
        </is>
      </c>
      <c r="K415" t="inlineStr">
        <is>
          <t>None</t>
        </is>
      </c>
      <c r="L415" t="inlineStr">
        <is>
          <t>Crosswalk Pending</t>
        </is>
      </c>
      <c r="M415" t="inlineStr">
        <is>
          <t>Open</t>
        </is>
      </c>
      <c r="N415" t="inlineStr"/>
    </row>
    <row r="416">
      <c r="A416" t="inlineStr">
        <is>
          <t>FKEX00415</t>
        </is>
      </c>
      <c r="B416" t="inlineStr">
        <is>
          <t>15 LL_Device</t>
        </is>
      </c>
      <c r="C416" t="inlineStr">
        <is>
          <t>tblDeviceModel</t>
        </is>
      </c>
      <c r="D416" t="n">
        <v>140</v>
      </c>
      <c r="E416" t="inlineStr">
        <is>
          <t>MOD000137</t>
        </is>
      </c>
      <c r="F416" t="inlineStr">
        <is>
          <t>ManufacturerID</t>
        </is>
      </c>
      <c r="G416" t="inlineStr">
        <is>
          <t>MFG001</t>
        </is>
      </c>
      <c r="H416" t="inlineStr">
        <is>
          <t>tblManufacturerIDCrosswalk</t>
        </is>
      </c>
      <c r="I416" t="inlineStr"/>
      <c r="J416" t="inlineStr">
        <is>
          <t>No Supported Match</t>
        </is>
      </c>
      <c r="K416" t="inlineStr">
        <is>
          <t>None</t>
        </is>
      </c>
      <c r="L416" t="inlineStr">
        <is>
          <t>Crosswalk Pending</t>
        </is>
      </c>
      <c r="M416" t="inlineStr">
        <is>
          <t>Open</t>
        </is>
      </c>
      <c r="N416" t="inlineStr"/>
    </row>
    <row r="417">
      <c r="A417" t="inlineStr">
        <is>
          <t>FKEX00416</t>
        </is>
      </c>
      <c r="B417" t="inlineStr">
        <is>
          <t>15 LL_Device</t>
        </is>
      </c>
      <c r="C417" t="inlineStr">
        <is>
          <t>tblDeviceModel</t>
        </is>
      </c>
      <c r="D417" t="n">
        <v>140</v>
      </c>
      <c r="E417" t="inlineStr">
        <is>
          <t>MOD000137</t>
        </is>
      </c>
      <c r="F417" t="inlineStr">
        <is>
          <t>DeviceFamilyID</t>
        </is>
      </c>
      <c r="G417" t="inlineStr">
        <is>
          <t>DF014</t>
        </is>
      </c>
      <c r="H417" t="inlineStr">
        <is>
          <t>tblDeviceFamilyIDCrosswalk</t>
        </is>
      </c>
      <c r="I417" t="inlineStr"/>
      <c r="J417" t="inlineStr">
        <is>
          <t>tblDeviceModel</t>
        </is>
      </c>
      <c r="K417" t="inlineStr">
        <is>
          <t>Exact ID</t>
        </is>
      </c>
      <c r="L417" t="inlineStr">
        <is>
          <t>Crosswalk Pending</t>
        </is>
      </c>
      <c r="M417" t="inlineStr">
        <is>
          <t>Open</t>
        </is>
      </c>
      <c r="N417" t="inlineStr"/>
    </row>
    <row r="418">
      <c r="A418" t="inlineStr">
        <is>
          <t>FKEX00417</t>
        </is>
      </c>
      <c r="B418" t="inlineStr">
        <is>
          <t>15 LL_Device</t>
        </is>
      </c>
      <c r="C418" t="inlineStr">
        <is>
          <t>tblDeviceModel</t>
        </is>
      </c>
      <c r="D418" t="n">
        <v>140</v>
      </c>
      <c r="E418" t="inlineStr">
        <is>
          <t>MOD000137</t>
        </is>
      </c>
      <c r="F418" t="inlineStr">
        <is>
          <t>DeviceTypeID</t>
        </is>
      </c>
      <c r="G418" t="inlineStr">
        <is>
          <t>DT005</t>
        </is>
      </c>
      <c r="H418" t="inlineStr">
        <is>
          <t>tblDeviceTypeIDCrosswalk</t>
        </is>
      </c>
      <c r="I418" t="inlineStr"/>
      <c r="J418" t="inlineStr">
        <is>
          <t>No Supported Match</t>
        </is>
      </c>
      <c r="K418" t="inlineStr">
        <is>
          <t>None</t>
        </is>
      </c>
      <c r="L418" t="inlineStr">
        <is>
          <t>Crosswalk Pending</t>
        </is>
      </c>
      <c r="M418" t="inlineStr">
        <is>
          <t>Open</t>
        </is>
      </c>
      <c r="N418" t="inlineStr"/>
    </row>
    <row r="419">
      <c r="A419" t="inlineStr">
        <is>
          <t>FKEX00418</t>
        </is>
      </c>
      <c r="B419" t="inlineStr">
        <is>
          <t>15 LL_Device</t>
        </is>
      </c>
      <c r="C419" t="inlineStr">
        <is>
          <t>tblDeviceModel</t>
        </is>
      </c>
      <c r="D419" t="n">
        <v>141</v>
      </c>
      <c r="E419" t="inlineStr">
        <is>
          <t>MOD000138</t>
        </is>
      </c>
      <c r="F419" t="inlineStr">
        <is>
          <t>ManufacturerID</t>
        </is>
      </c>
      <c r="G419" t="inlineStr">
        <is>
          <t>MFG001</t>
        </is>
      </c>
      <c r="H419" t="inlineStr">
        <is>
          <t>tblManufacturerIDCrosswalk</t>
        </is>
      </c>
      <c r="I419" t="inlineStr"/>
      <c r="J419" t="inlineStr">
        <is>
          <t>No Supported Match</t>
        </is>
      </c>
      <c r="K419" t="inlineStr">
        <is>
          <t>None</t>
        </is>
      </c>
      <c r="L419" t="inlineStr">
        <is>
          <t>Crosswalk Pending</t>
        </is>
      </c>
      <c r="M419" t="inlineStr">
        <is>
          <t>Open</t>
        </is>
      </c>
      <c r="N419" t="inlineStr"/>
    </row>
    <row r="420">
      <c r="A420" t="inlineStr">
        <is>
          <t>FKEX00419</t>
        </is>
      </c>
      <c r="B420" t="inlineStr">
        <is>
          <t>15 LL_Device</t>
        </is>
      </c>
      <c r="C420" t="inlineStr">
        <is>
          <t>tblDeviceModel</t>
        </is>
      </c>
      <c r="D420" t="n">
        <v>141</v>
      </c>
      <c r="E420" t="inlineStr">
        <is>
          <t>MOD000138</t>
        </is>
      </c>
      <c r="F420" t="inlineStr">
        <is>
          <t>DeviceFamilyID</t>
        </is>
      </c>
      <c r="G420" t="inlineStr">
        <is>
          <t>DF014</t>
        </is>
      </c>
      <c r="H420" t="inlineStr">
        <is>
          <t>tblDeviceFamilyIDCrosswalk</t>
        </is>
      </c>
      <c r="I420" t="inlineStr"/>
      <c r="J420" t="inlineStr">
        <is>
          <t>tblDeviceModel</t>
        </is>
      </c>
      <c r="K420" t="inlineStr">
        <is>
          <t>Exact ID</t>
        </is>
      </c>
      <c r="L420" t="inlineStr">
        <is>
          <t>Crosswalk Pending</t>
        </is>
      </c>
      <c r="M420" t="inlineStr">
        <is>
          <t>Open</t>
        </is>
      </c>
      <c r="N420" t="inlineStr"/>
    </row>
    <row r="421">
      <c r="A421" t="inlineStr">
        <is>
          <t>FKEX00420</t>
        </is>
      </c>
      <c r="B421" t="inlineStr">
        <is>
          <t>15 LL_Device</t>
        </is>
      </c>
      <c r="C421" t="inlineStr">
        <is>
          <t>tblDeviceModel</t>
        </is>
      </c>
      <c r="D421" t="n">
        <v>141</v>
      </c>
      <c r="E421" t="inlineStr">
        <is>
          <t>MOD000138</t>
        </is>
      </c>
      <c r="F421" t="inlineStr">
        <is>
          <t>DeviceTypeID</t>
        </is>
      </c>
      <c r="G421" t="inlineStr">
        <is>
          <t>DT005</t>
        </is>
      </c>
      <c r="H421" t="inlineStr">
        <is>
          <t>tblDeviceTypeIDCrosswalk</t>
        </is>
      </c>
      <c r="I421" t="inlineStr"/>
      <c r="J421" t="inlineStr">
        <is>
          <t>No Supported Match</t>
        </is>
      </c>
      <c r="K421" t="inlineStr">
        <is>
          <t>None</t>
        </is>
      </c>
      <c r="L421" t="inlineStr">
        <is>
          <t>Crosswalk Pending</t>
        </is>
      </c>
      <c r="M421" t="inlineStr">
        <is>
          <t>Open</t>
        </is>
      </c>
      <c r="N421" t="inlineStr"/>
    </row>
    <row r="422">
      <c r="A422" t="inlineStr">
        <is>
          <t>FKEX00421</t>
        </is>
      </c>
      <c r="B422" t="inlineStr">
        <is>
          <t>15 LL_Device</t>
        </is>
      </c>
      <c r="C422" t="inlineStr">
        <is>
          <t>tblDeviceModel</t>
        </is>
      </c>
      <c r="D422" t="n">
        <v>142</v>
      </c>
      <c r="E422" t="inlineStr">
        <is>
          <t>MOD000139</t>
        </is>
      </c>
      <c r="F422" t="inlineStr">
        <is>
          <t>ManufacturerID</t>
        </is>
      </c>
      <c r="G422" t="inlineStr">
        <is>
          <t>MFG001</t>
        </is>
      </c>
      <c r="H422" t="inlineStr">
        <is>
          <t>tblManufacturerIDCrosswalk</t>
        </is>
      </c>
      <c r="I422" t="inlineStr"/>
      <c r="J422" t="inlineStr">
        <is>
          <t>No Supported Match</t>
        </is>
      </c>
      <c r="K422" t="inlineStr">
        <is>
          <t>None</t>
        </is>
      </c>
      <c r="L422" t="inlineStr">
        <is>
          <t>Crosswalk Pending</t>
        </is>
      </c>
      <c r="M422" t="inlineStr">
        <is>
          <t>Open</t>
        </is>
      </c>
      <c r="N422" t="inlineStr"/>
    </row>
    <row r="423">
      <c r="A423" t="inlineStr">
        <is>
          <t>FKEX00422</t>
        </is>
      </c>
      <c r="B423" t="inlineStr">
        <is>
          <t>15 LL_Device</t>
        </is>
      </c>
      <c r="C423" t="inlineStr">
        <is>
          <t>tblDeviceModel</t>
        </is>
      </c>
      <c r="D423" t="n">
        <v>142</v>
      </c>
      <c r="E423" t="inlineStr">
        <is>
          <t>MOD000139</t>
        </is>
      </c>
      <c r="F423" t="inlineStr">
        <is>
          <t>DeviceFamilyID</t>
        </is>
      </c>
      <c r="G423" t="inlineStr">
        <is>
          <t>DF015</t>
        </is>
      </c>
      <c r="H423" t="inlineStr">
        <is>
          <t>tblDeviceFamilyIDCrosswalk</t>
        </is>
      </c>
      <c r="I423" t="inlineStr"/>
      <c r="J423" t="inlineStr">
        <is>
          <t>tblDeviceModel</t>
        </is>
      </c>
      <c r="K423" t="inlineStr">
        <is>
          <t>Exact ID</t>
        </is>
      </c>
      <c r="L423" t="inlineStr">
        <is>
          <t>Crosswalk Pending</t>
        </is>
      </c>
      <c r="M423" t="inlineStr">
        <is>
          <t>Open</t>
        </is>
      </c>
      <c r="N423" t="inlineStr"/>
    </row>
    <row r="424">
      <c r="A424" t="inlineStr">
        <is>
          <t>FKEX00423</t>
        </is>
      </c>
      <c r="B424" t="inlineStr">
        <is>
          <t>15 LL_Device</t>
        </is>
      </c>
      <c r="C424" t="inlineStr">
        <is>
          <t>tblDeviceModel</t>
        </is>
      </c>
      <c r="D424" t="n">
        <v>142</v>
      </c>
      <c r="E424" t="inlineStr">
        <is>
          <t>MOD000139</t>
        </is>
      </c>
      <c r="F424" t="inlineStr">
        <is>
          <t>DeviceTypeID</t>
        </is>
      </c>
      <c r="G424" t="inlineStr">
        <is>
          <t>DT006</t>
        </is>
      </c>
      <c r="H424" t="inlineStr">
        <is>
          <t>tblDeviceTypeIDCrosswalk</t>
        </is>
      </c>
      <c r="I424" t="inlineStr"/>
      <c r="J424" t="inlineStr">
        <is>
          <t>No Supported Match</t>
        </is>
      </c>
      <c r="K424" t="inlineStr">
        <is>
          <t>None</t>
        </is>
      </c>
      <c r="L424" t="inlineStr">
        <is>
          <t>Crosswalk Pending</t>
        </is>
      </c>
      <c r="M424" t="inlineStr">
        <is>
          <t>Open</t>
        </is>
      </c>
      <c r="N424" t="inlineStr"/>
    </row>
    <row r="425">
      <c r="A425" t="inlineStr">
        <is>
          <t>FKEX00424</t>
        </is>
      </c>
      <c r="B425" t="inlineStr">
        <is>
          <t>15 LL_Device</t>
        </is>
      </c>
      <c r="C425" t="inlineStr">
        <is>
          <t>tblDeviceModel</t>
        </is>
      </c>
      <c r="D425" t="n">
        <v>143</v>
      </c>
      <c r="E425" t="inlineStr">
        <is>
          <t>MOD000140</t>
        </is>
      </c>
      <c r="F425" t="inlineStr">
        <is>
          <t>ManufacturerID</t>
        </is>
      </c>
      <c r="G425" t="inlineStr">
        <is>
          <t>MFG001</t>
        </is>
      </c>
      <c r="H425" t="inlineStr">
        <is>
          <t>tblManufacturerIDCrosswalk</t>
        </is>
      </c>
      <c r="I425" t="inlineStr"/>
      <c r="J425" t="inlineStr">
        <is>
          <t>No Supported Match</t>
        </is>
      </c>
      <c r="K425" t="inlineStr">
        <is>
          <t>None</t>
        </is>
      </c>
      <c r="L425" t="inlineStr">
        <is>
          <t>Crosswalk Pending</t>
        </is>
      </c>
      <c r="M425" t="inlineStr">
        <is>
          <t>Open</t>
        </is>
      </c>
      <c r="N425" t="inlineStr"/>
    </row>
    <row r="426">
      <c r="A426" t="inlineStr">
        <is>
          <t>FKEX00425</t>
        </is>
      </c>
      <c r="B426" t="inlineStr">
        <is>
          <t>15 LL_Device</t>
        </is>
      </c>
      <c r="C426" t="inlineStr">
        <is>
          <t>tblDeviceModel</t>
        </is>
      </c>
      <c r="D426" t="n">
        <v>143</v>
      </c>
      <c r="E426" t="inlineStr">
        <is>
          <t>MOD000140</t>
        </is>
      </c>
      <c r="F426" t="inlineStr">
        <is>
          <t>DeviceFamilyID</t>
        </is>
      </c>
      <c r="G426" t="inlineStr">
        <is>
          <t>DF015</t>
        </is>
      </c>
      <c r="H426" t="inlineStr">
        <is>
          <t>tblDeviceFamilyIDCrosswalk</t>
        </is>
      </c>
      <c r="I426" t="inlineStr"/>
      <c r="J426" t="inlineStr">
        <is>
          <t>tblDeviceModel</t>
        </is>
      </c>
      <c r="K426" t="inlineStr">
        <is>
          <t>Exact ID</t>
        </is>
      </c>
      <c r="L426" t="inlineStr">
        <is>
          <t>Crosswalk Pending</t>
        </is>
      </c>
      <c r="M426" t="inlineStr">
        <is>
          <t>Open</t>
        </is>
      </c>
      <c r="N426" t="inlineStr"/>
    </row>
    <row r="427">
      <c r="A427" t="inlineStr">
        <is>
          <t>FKEX00426</t>
        </is>
      </c>
      <c r="B427" t="inlineStr">
        <is>
          <t>15 LL_Device</t>
        </is>
      </c>
      <c r="C427" t="inlineStr">
        <is>
          <t>tblDeviceModel</t>
        </is>
      </c>
      <c r="D427" t="n">
        <v>143</v>
      </c>
      <c r="E427" t="inlineStr">
        <is>
          <t>MOD000140</t>
        </is>
      </c>
      <c r="F427" t="inlineStr">
        <is>
          <t>DeviceTypeID</t>
        </is>
      </c>
      <c r="G427" t="inlineStr">
        <is>
          <t>DT006</t>
        </is>
      </c>
      <c r="H427" t="inlineStr">
        <is>
          <t>tblDeviceTypeIDCrosswalk</t>
        </is>
      </c>
      <c r="I427" t="inlineStr"/>
      <c r="J427" t="inlineStr">
        <is>
          <t>No Supported Match</t>
        </is>
      </c>
      <c r="K427" t="inlineStr">
        <is>
          <t>None</t>
        </is>
      </c>
      <c r="L427" t="inlineStr">
        <is>
          <t>Crosswalk Pending</t>
        </is>
      </c>
      <c r="M427" t="inlineStr">
        <is>
          <t>Open</t>
        </is>
      </c>
      <c r="N427" t="inlineStr"/>
    </row>
    <row r="428">
      <c r="A428" t="inlineStr">
        <is>
          <t>FKEX00427</t>
        </is>
      </c>
      <c r="B428" t="inlineStr">
        <is>
          <t>15 LL_Device</t>
        </is>
      </c>
      <c r="C428" t="inlineStr">
        <is>
          <t>tblDeviceModel</t>
        </is>
      </c>
      <c r="D428" t="n">
        <v>144</v>
      </c>
      <c r="E428" t="inlineStr">
        <is>
          <t>MOD000141</t>
        </is>
      </c>
      <c r="F428" t="inlineStr">
        <is>
          <t>ManufacturerID</t>
        </is>
      </c>
      <c r="G428" t="inlineStr">
        <is>
          <t>MFG001</t>
        </is>
      </c>
      <c r="H428" t="inlineStr">
        <is>
          <t>tblManufacturerIDCrosswalk</t>
        </is>
      </c>
      <c r="I428" t="inlineStr"/>
      <c r="J428" t="inlineStr">
        <is>
          <t>No Supported Match</t>
        </is>
      </c>
      <c r="K428" t="inlineStr">
        <is>
          <t>None</t>
        </is>
      </c>
      <c r="L428" t="inlineStr">
        <is>
          <t>Crosswalk Pending</t>
        </is>
      </c>
      <c r="M428" t="inlineStr">
        <is>
          <t>Open</t>
        </is>
      </c>
      <c r="N428" t="inlineStr"/>
    </row>
    <row r="429">
      <c r="A429" t="inlineStr">
        <is>
          <t>FKEX00428</t>
        </is>
      </c>
      <c r="B429" t="inlineStr">
        <is>
          <t>15 LL_Device</t>
        </is>
      </c>
      <c r="C429" t="inlineStr">
        <is>
          <t>tblDeviceModel</t>
        </is>
      </c>
      <c r="D429" t="n">
        <v>144</v>
      </c>
      <c r="E429" t="inlineStr">
        <is>
          <t>MOD000141</t>
        </is>
      </c>
      <c r="F429" t="inlineStr">
        <is>
          <t>DeviceFamilyID</t>
        </is>
      </c>
      <c r="G429" t="inlineStr">
        <is>
          <t>DF015</t>
        </is>
      </c>
      <c r="H429" t="inlineStr">
        <is>
          <t>tblDeviceFamilyIDCrosswalk</t>
        </is>
      </c>
      <c r="I429" t="inlineStr"/>
      <c r="J429" t="inlineStr">
        <is>
          <t>tblDeviceModel</t>
        </is>
      </c>
      <c r="K429" t="inlineStr">
        <is>
          <t>Exact ID</t>
        </is>
      </c>
      <c r="L429" t="inlineStr">
        <is>
          <t>Crosswalk Pending</t>
        </is>
      </c>
      <c r="M429" t="inlineStr">
        <is>
          <t>Open</t>
        </is>
      </c>
      <c r="N429" t="inlineStr"/>
    </row>
    <row r="430">
      <c r="A430" t="inlineStr">
        <is>
          <t>FKEX00429</t>
        </is>
      </c>
      <c r="B430" t="inlineStr">
        <is>
          <t>15 LL_Device</t>
        </is>
      </c>
      <c r="C430" t="inlineStr">
        <is>
          <t>tblDeviceModel</t>
        </is>
      </c>
      <c r="D430" t="n">
        <v>144</v>
      </c>
      <c r="E430" t="inlineStr">
        <is>
          <t>MOD000141</t>
        </is>
      </c>
      <c r="F430" t="inlineStr">
        <is>
          <t>DeviceTypeID</t>
        </is>
      </c>
      <c r="G430" t="inlineStr">
        <is>
          <t>DT006</t>
        </is>
      </c>
      <c r="H430" t="inlineStr">
        <is>
          <t>tblDeviceTypeIDCrosswalk</t>
        </is>
      </c>
      <c r="I430" t="inlineStr"/>
      <c r="J430" t="inlineStr">
        <is>
          <t>No Supported Match</t>
        </is>
      </c>
      <c r="K430" t="inlineStr">
        <is>
          <t>None</t>
        </is>
      </c>
      <c r="L430" t="inlineStr">
        <is>
          <t>Crosswalk Pending</t>
        </is>
      </c>
      <c r="M430" t="inlineStr">
        <is>
          <t>Open</t>
        </is>
      </c>
      <c r="N430" t="inlineStr"/>
    </row>
    <row r="431">
      <c r="A431" t="inlineStr">
        <is>
          <t>FKEX00430</t>
        </is>
      </c>
      <c r="B431" t="inlineStr">
        <is>
          <t>15 LL_Device</t>
        </is>
      </c>
      <c r="C431" t="inlineStr">
        <is>
          <t>tblDeviceModel</t>
        </is>
      </c>
      <c r="D431" t="n">
        <v>145</v>
      </c>
      <c r="E431" t="inlineStr">
        <is>
          <t>MOD000142</t>
        </is>
      </c>
      <c r="F431" t="inlineStr">
        <is>
          <t>ManufacturerID</t>
        </is>
      </c>
      <c r="G431" t="inlineStr">
        <is>
          <t>MFG001</t>
        </is>
      </c>
      <c r="H431" t="inlineStr">
        <is>
          <t>tblManufacturerIDCrosswalk</t>
        </is>
      </c>
      <c r="I431" t="inlineStr"/>
      <c r="J431" t="inlineStr">
        <is>
          <t>No Supported Match</t>
        </is>
      </c>
      <c r="K431" t="inlineStr">
        <is>
          <t>None</t>
        </is>
      </c>
      <c r="L431" t="inlineStr">
        <is>
          <t>Crosswalk Pending</t>
        </is>
      </c>
      <c r="M431" t="inlineStr">
        <is>
          <t>Open</t>
        </is>
      </c>
      <c r="N431" t="inlineStr"/>
    </row>
    <row r="432">
      <c r="A432" t="inlineStr">
        <is>
          <t>FKEX00431</t>
        </is>
      </c>
      <c r="B432" t="inlineStr">
        <is>
          <t>15 LL_Device</t>
        </is>
      </c>
      <c r="C432" t="inlineStr">
        <is>
          <t>tblDeviceModel</t>
        </is>
      </c>
      <c r="D432" t="n">
        <v>145</v>
      </c>
      <c r="E432" t="inlineStr">
        <is>
          <t>MOD000142</t>
        </is>
      </c>
      <c r="F432" t="inlineStr">
        <is>
          <t>DeviceFamilyID</t>
        </is>
      </c>
      <c r="G432" t="inlineStr">
        <is>
          <t>DF015</t>
        </is>
      </c>
      <c r="H432" t="inlineStr">
        <is>
          <t>tblDeviceFamilyIDCrosswalk</t>
        </is>
      </c>
      <c r="I432" t="inlineStr"/>
      <c r="J432" t="inlineStr">
        <is>
          <t>tblDeviceModel</t>
        </is>
      </c>
      <c r="K432" t="inlineStr">
        <is>
          <t>Exact ID</t>
        </is>
      </c>
      <c r="L432" t="inlineStr">
        <is>
          <t>Crosswalk Pending</t>
        </is>
      </c>
      <c r="M432" t="inlineStr">
        <is>
          <t>Open</t>
        </is>
      </c>
      <c r="N432" t="inlineStr"/>
    </row>
    <row r="433">
      <c r="A433" t="inlineStr">
        <is>
          <t>FKEX00432</t>
        </is>
      </c>
      <c r="B433" t="inlineStr">
        <is>
          <t>15 LL_Device</t>
        </is>
      </c>
      <c r="C433" t="inlineStr">
        <is>
          <t>tblDeviceModel</t>
        </is>
      </c>
      <c r="D433" t="n">
        <v>145</v>
      </c>
      <c r="E433" t="inlineStr">
        <is>
          <t>MOD000142</t>
        </is>
      </c>
      <c r="F433" t="inlineStr">
        <is>
          <t>DeviceTypeID</t>
        </is>
      </c>
      <c r="G433" t="inlineStr">
        <is>
          <t>DT006</t>
        </is>
      </c>
      <c r="H433" t="inlineStr">
        <is>
          <t>tblDeviceTypeIDCrosswalk</t>
        </is>
      </c>
      <c r="I433" t="inlineStr"/>
      <c r="J433" t="inlineStr">
        <is>
          <t>No Supported Match</t>
        </is>
      </c>
      <c r="K433" t="inlineStr">
        <is>
          <t>None</t>
        </is>
      </c>
      <c r="L433" t="inlineStr">
        <is>
          <t>Crosswalk Pending</t>
        </is>
      </c>
      <c r="M433" t="inlineStr">
        <is>
          <t>Open</t>
        </is>
      </c>
      <c r="N433" t="inlineStr"/>
    </row>
    <row r="434">
      <c r="A434" t="inlineStr">
        <is>
          <t>FKEX00433</t>
        </is>
      </c>
      <c r="B434" t="inlineStr">
        <is>
          <t>15 LL_Device</t>
        </is>
      </c>
      <c r="C434" t="inlineStr">
        <is>
          <t>tblDeviceModel</t>
        </is>
      </c>
      <c r="D434" t="n">
        <v>146</v>
      </c>
      <c r="E434" t="inlineStr">
        <is>
          <t>MOD000143</t>
        </is>
      </c>
      <c r="F434" t="inlineStr">
        <is>
          <t>ManufacturerID</t>
        </is>
      </c>
      <c r="G434" t="inlineStr">
        <is>
          <t>MFG001</t>
        </is>
      </c>
      <c r="H434" t="inlineStr">
        <is>
          <t>tblManufacturerIDCrosswalk</t>
        </is>
      </c>
      <c r="I434" t="inlineStr"/>
      <c r="J434" t="inlineStr">
        <is>
          <t>No Supported Match</t>
        </is>
      </c>
      <c r="K434" t="inlineStr">
        <is>
          <t>None</t>
        </is>
      </c>
      <c r="L434" t="inlineStr">
        <is>
          <t>Crosswalk Pending</t>
        </is>
      </c>
      <c r="M434" t="inlineStr">
        <is>
          <t>Open</t>
        </is>
      </c>
      <c r="N434" t="inlineStr"/>
    </row>
    <row r="435">
      <c r="A435" t="inlineStr">
        <is>
          <t>FKEX00434</t>
        </is>
      </c>
      <c r="B435" t="inlineStr">
        <is>
          <t>15 LL_Device</t>
        </is>
      </c>
      <c r="C435" t="inlineStr">
        <is>
          <t>tblDeviceModel</t>
        </is>
      </c>
      <c r="D435" t="n">
        <v>146</v>
      </c>
      <c r="E435" t="inlineStr">
        <is>
          <t>MOD000143</t>
        </is>
      </c>
      <c r="F435" t="inlineStr">
        <is>
          <t>DeviceFamilyID</t>
        </is>
      </c>
      <c r="G435" t="inlineStr">
        <is>
          <t>DF015</t>
        </is>
      </c>
      <c r="H435" t="inlineStr">
        <is>
          <t>tblDeviceFamilyIDCrosswalk</t>
        </is>
      </c>
      <c r="I435" t="inlineStr"/>
      <c r="J435" t="inlineStr">
        <is>
          <t>tblDeviceModel</t>
        </is>
      </c>
      <c r="K435" t="inlineStr">
        <is>
          <t>Exact ID</t>
        </is>
      </c>
      <c r="L435" t="inlineStr">
        <is>
          <t>Crosswalk Pending</t>
        </is>
      </c>
      <c r="M435" t="inlineStr">
        <is>
          <t>Open</t>
        </is>
      </c>
      <c r="N435" t="inlineStr"/>
    </row>
    <row r="436">
      <c r="A436" t="inlineStr">
        <is>
          <t>FKEX00435</t>
        </is>
      </c>
      <c r="B436" t="inlineStr">
        <is>
          <t>15 LL_Device</t>
        </is>
      </c>
      <c r="C436" t="inlineStr">
        <is>
          <t>tblDeviceModel</t>
        </is>
      </c>
      <c r="D436" t="n">
        <v>146</v>
      </c>
      <c r="E436" t="inlineStr">
        <is>
          <t>MOD000143</t>
        </is>
      </c>
      <c r="F436" t="inlineStr">
        <is>
          <t>DeviceTypeID</t>
        </is>
      </c>
      <c r="G436" t="inlineStr">
        <is>
          <t>DT006</t>
        </is>
      </c>
      <c r="H436" t="inlineStr">
        <is>
          <t>tblDeviceTypeIDCrosswalk</t>
        </is>
      </c>
      <c r="I436" t="inlineStr"/>
      <c r="J436" t="inlineStr">
        <is>
          <t>No Supported Match</t>
        </is>
      </c>
      <c r="K436" t="inlineStr">
        <is>
          <t>None</t>
        </is>
      </c>
      <c r="L436" t="inlineStr">
        <is>
          <t>Crosswalk Pending</t>
        </is>
      </c>
      <c r="M436" t="inlineStr">
        <is>
          <t>Open</t>
        </is>
      </c>
      <c r="N436" t="inlineStr"/>
    </row>
    <row r="437">
      <c r="A437" t="inlineStr">
        <is>
          <t>FKEX00436</t>
        </is>
      </c>
      <c r="B437" t="inlineStr">
        <is>
          <t>15 LL_Device</t>
        </is>
      </c>
      <c r="C437" t="inlineStr">
        <is>
          <t>tblDeviceModel</t>
        </is>
      </c>
      <c r="D437" t="n">
        <v>147</v>
      </c>
      <c r="E437" t="inlineStr">
        <is>
          <t>MOD000144</t>
        </is>
      </c>
      <c r="F437" t="inlineStr">
        <is>
          <t>ManufacturerID</t>
        </is>
      </c>
      <c r="G437" t="inlineStr">
        <is>
          <t>MFG001</t>
        </is>
      </c>
      <c r="H437" t="inlineStr">
        <is>
          <t>tblManufacturerIDCrosswalk</t>
        </is>
      </c>
      <c r="I437" t="inlineStr"/>
      <c r="J437" t="inlineStr">
        <is>
          <t>No Supported Match</t>
        </is>
      </c>
      <c r="K437" t="inlineStr">
        <is>
          <t>None</t>
        </is>
      </c>
      <c r="L437" t="inlineStr">
        <is>
          <t>Crosswalk Pending</t>
        </is>
      </c>
      <c r="M437" t="inlineStr">
        <is>
          <t>Open</t>
        </is>
      </c>
      <c r="N437" t="inlineStr"/>
    </row>
    <row r="438">
      <c r="A438" t="inlineStr">
        <is>
          <t>FKEX00437</t>
        </is>
      </c>
      <c r="B438" t="inlineStr">
        <is>
          <t>15 LL_Device</t>
        </is>
      </c>
      <c r="C438" t="inlineStr">
        <is>
          <t>tblDeviceModel</t>
        </is>
      </c>
      <c r="D438" t="n">
        <v>147</v>
      </c>
      <c r="E438" t="inlineStr">
        <is>
          <t>MOD000144</t>
        </is>
      </c>
      <c r="F438" t="inlineStr">
        <is>
          <t>DeviceFamilyID</t>
        </is>
      </c>
      <c r="G438" t="inlineStr">
        <is>
          <t>DF015</t>
        </is>
      </c>
      <c r="H438" t="inlineStr">
        <is>
          <t>tblDeviceFamilyIDCrosswalk</t>
        </is>
      </c>
      <c r="I438" t="inlineStr"/>
      <c r="J438" t="inlineStr">
        <is>
          <t>tblDeviceModel</t>
        </is>
      </c>
      <c r="K438" t="inlineStr">
        <is>
          <t>Exact ID</t>
        </is>
      </c>
      <c r="L438" t="inlineStr">
        <is>
          <t>Crosswalk Pending</t>
        </is>
      </c>
      <c r="M438" t="inlineStr">
        <is>
          <t>Open</t>
        </is>
      </c>
      <c r="N438" t="inlineStr"/>
    </row>
    <row r="439">
      <c r="A439" t="inlineStr">
        <is>
          <t>FKEX00438</t>
        </is>
      </c>
      <c r="B439" t="inlineStr">
        <is>
          <t>15 LL_Device</t>
        </is>
      </c>
      <c r="C439" t="inlineStr">
        <is>
          <t>tblDeviceModel</t>
        </is>
      </c>
      <c r="D439" t="n">
        <v>147</v>
      </c>
      <c r="E439" t="inlineStr">
        <is>
          <t>MOD000144</t>
        </is>
      </c>
      <c r="F439" t="inlineStr">
        <is>
          <t>DeviceTypeID</t>
        </is>
      </c>
      <c r="G439" t="inlineStr">
        <is>
          <t>DT006</t>
        </is>
      </c>
      <c r="H439" t="inlineStr">
        <is>
          <t>tblDeviceTypeIDCrosswalk</t>
        </is>
      </c>
      <c r="I439" t="inlineStr"/>
      <c r="J439" t="inlineStr">
        <is>
          <t>No Supported Match</t>
        </is>
      </c>
      <c r="K439" t="inlineStr">
        <is>
          <t>None</t>
        </is>
      </c>
      <c r="L439" t="inlineStr">
        <is>
          <t>Crosswalk Pending</t>
        </is>
      </c>
      <c r="M439" t="inlineStr">
        <is>
          <t>Open</t>
        </is>
      </c>
      <c r="N439" t="inlineStr"/>
    </row>
    <row r="440">
      <c r="A440" t="inlineStr">
        <is>
          <t>FKEX00439</t>
        </is>
      </c>
      <c r="B440" t="inlineStr">
        <is>
          <t>15 LL_Device</t>
        </is>
      </c>
      <c r="C440" t="inlineStr">
        <is>
          <t>tblDeviceModel</t>
        </is>
      </c>
      <c r="D440" t="n">
        <v>148</v>
      </c>
      <c r="E440" t="inlineStr">
        <is>
          <t>MOD000145</t>
        </is>
      </c>
      <c r="F440" t="inlineStr">
        <is>
          <t>ManufacturerID</t>
        </is>
      </c>
      <c r="G440" t="inlineStr">
        <is>
          <t>MFG001</t>
        </is>
      </c>
      <c r="H440" t="inlineStr">
        <is>
          <t>tblManufacturerIDCrosswalk</t>
        </is>
      </c>
      <c r="I440" t="inlineStr"/>
      <c r="J440" t="inlineStr">
        <is>
          <t>No Supported Match</t>
        </is>
      </c>
      <c r="K440" t="inlineStr">
        <is>
          <t>None</t>
        </is>
      </c>
      <c r="L440" t="inlineStr">
        <is>
          <t>Crosswalk Pending</t>
        </is>
      </c>
      <c r="M440" t="inlineStr">
        <is>
          <t>Open</t>
        </is>
      </c>
      <c r="N440" t="inlineStr"/>
    </row>
    <row r="441">
      <c r="A441" t="inlineStr">
        <is>
          <t>FKEX00440</t>
        </is>
      </c>
      <c r="B441" t="inlineStr">
        <is>
          <t>15 LL_Device</t>
        </is>
      </c>
      <c r="C441" t="inlineStr">
        <is>
          <t>tblDeviceModel</t>
        </is>
      </c>
      <c r="D441" t="n">
        <v>148</v>
      </c>
      <c r="E441" t="inlineStr">
        <is>
          <t>MOD000145</t>
        </is>
      </c>
      <c r="F441" t="inlineStr">
        <is>
          <t>DeviceFamilyID</t>
        </is>
      </c>
      <c r="G441" t="inlineStr">
        <is>
          <t>DF015</t>
        </is>
      </c>
      <c r="H441" t="inlineStr">
        <is>
          <t>tblDeviceFamilyIDCrosswalk</t>
        </is>
      </c>
      <c r="I441" t="inlineStr"/>
      <c r="J441" t="inlineStr">
        <is>
          <t>tblDeviceModel</t>
        </is>
      </c>
      <c r="K441" t="inlineStr">
        <is>
          <t>Exact ID</t>
        </is>
      </c>
      <c r="L441" t="inlineStr">
        <is>
          <t>Crosswalk Pending</t>
        </is>
      </c>
      <c r="M441" t="inlineStr">
        <is>
          <t>Open</t>
        </is>
      </c>
      <c r="N441" t="inlineStr"/>
    </row>
    <row r="442">
      <c r="A442" t="inlineStr">
        <is>
          <t>FKEX00441</t>
        </is>
      </c>
      <c r="B442" t="inlineStr">
        <is>
          <t>15 LL_Device</t>
        </is>
      </c>
      <c r="C442" t="inlineStr">
        <is>
          <t>tblDeviceModel</t>
        </is>
      </c>
      <c r="D442" t="n">
        <v>148</v>
      </c>
      <c r="E442" t="inlineStr">
        <is>
          <t>MOD000145</t>
        </is>
      </c>
      <c r="F442" t="inlineStr">
        <is>
          <t>DeviceTypeID</t>
        </is>
      </c>
      <c r="G442" t="inlineStr">
        <is>
          <t>DT006</t>
        </is>
      </c>
      <c r="H442" t="inlineStr">
        <is>
          <t>tblDeviceTypeIDCrosswalk</t>
        </is>
      </c>
      <c r="I442" t="inlineStr"/>
      <c r="J442" t="inlineStr">
        <is>
          <t>No Supported Match</t>
        </is>
      </c>
      <c r="K442" t="inlineStr">
        <is>
          <t>None</t>
        </is>
      </c>
      <c r="L442" t="inlineStr">
        <is>
          <t>Crosswalk Pending</t>
        </is>
      </c>
      <c r="M442" t="inlineStr">
        <is>
          <t>Open</t>
        </is>
      </c>
      <c r="N442" t="inlineStr"/>
    </row>
    <row r="443">
      <c r="A443" t="inlineStr">
        <is>
          <t>FKEX00442</t>
        </is>
      </c>
      <c r="B443" t="inlineStr">
        <is>
          <t>15 LL_Device</t>
        </is>
      </c>
      <c r="C443" t="inlineStr">
        <is>
          <t>tblDeviceModel</t>
        </is>
      </c>
      <c r="D443" t="n">
        <v>149</v>
      </c>
      <c r="E443" t="inlineStr">
        <is>
          <t>MOD000146</t>
        </is>
      </c>
      <c r="F443" t="inlineStr">
        <is>
          <t>ManufacturerID</t>
        </is>
      </c>
      <c r="G443" t="inlineStr">
        <is>
          <t>MFG001</t>
        </is>
      </c>
      <c r="H443" t="inlineStr">
        <is>
          <t>tblManufacturerIDCrosswalk</t>
        </is>
      </c>
      <c r="I443" t="inlineStr"/>
      <c r="J443" t="inlineStr">
        <is>
          <t>No Supported Match</t>
        </is>
      </c>
      <c r="K443" t="inlineStr">
        <is>
          <t>None</t>
        </is>
      </c>
      <c r="L443" t="inlineStr">
        <is>
          <t>Crosswalk Pending</t>
        </is>
      </c>
      <c r="M443" t="inlineStr">
        <is>
          <t>Open</t>
        </is>
      </c>
      <c r="N443" t="inlineStr"/>
    </row>
    <row r="444">
      <c r="A444" t="inlineStr">
        <is>
          <t>FKEX00443</t>
        </is>
      </c>
      <c r="B444" t="inlineStr">
        <is>
          <t>15 LL_Device</t>
        </is>
      </c>
      <c r="C444" t="inlineStr">
        <is>
          <t>tblDeviceModel</t>
        </is>
      </c>
      <c r="D444" t="n">
        <v>149</v>
      </c>
      <c r="E444" t="inlineStr">
        <is>
          <t>MOD000146</t>
        </is>
      </c>
      <c r="F444" t="inlineStr">
        <is>
          <t>DeviceFamilyID</t>
        </is>
      </c>
      <c r="G444" t="inlineStr">
        <is>
          <t>DF016</t>
        </is>
      </c>
      <c r="H444" t="inlineStr">
        <is>
          <t>tblDeviceFamilyIDCrosswalk</t>
        </is>
      </c>
      <c r="I444" t="inlineStr"/>
      <c r="J444" t="inlineStr">
        <is>
          <t>tblDeviceModel</t>
        </is>
      </c>
      <c r="K444" t="inlineStr">
        <is>
          <t>Exact ID</t>
        </is>
      </c>
      <c r="L444" t="inlineStr">
        <is>
          <t>Crosswalk Pending</t>
        </is>
      </c>
      <c r="M444" t="inlineStr">
        <is>
          <t>Open</t>
        </is>
      </c>
      <c r="N444" t="inlineStr"/>
    </row>
    <row r="445">
      <c r="A445" t="inlineStr">
        <is>
          <t>FKEX00444</t>
        </is>
      </c>
      <c r="B445" t="inlineStr">
        <is>
          <t>15 LL_Device</t>
        </is>
      </c>
      <c r="C445" t="inlineStr">
        <is>
          <t>tblDeviceModel</t>
        </is>
      </c>
      <c r="D445" t="n">
        <v>149</v>
      </c>
      <c r="E445" t="inlineStr">
        <is>
          <t>MOD000146</t>
        </is>
      </c>
      <c r="F445" t="inlineStr">
        <is>
          <t>DeviceTypeID</t>
        </is>
      </c>
      <c r="G445" t="inlineStr">
        <is>
          <t>DT007</t>
        </is>
      </c>
      <c r="H445" t="inlineStr">
        <is>
          <t>tblDeviceTypeIDCrosswalk</t>
        </is>
      </c>
      <c r="I445" t="inlineStr"/>
      <c r="J445" t="inlineStr">
        <is>
          <t>No Supported Match</t>
        </is>
      </c>
      <c r="K445" t="inlineStr">
        <is>
          <t>None</t>
        </is>
      </c>
      <c r="L445" t="inlineStr">
        <is>
          <t>Crosswalk Pending</t>
        </is>
      </c>
      <c r="M445" t="inlineStr">
        <is>
          <t>Open</t>
        </is>
      </c>
      <c r="N445" t="inlineStr"/>
    </row>
    <row r="446">
      <c r="A446" t="inlineStr">
        <is>
          <t>FKEX00445</t>
        </is>
      </c>
      <c r="B446" t="inlineStr">
        <is>
          <t>15 LL_Device</t>
        </is>
      </c>
      <c r="C446" t="inlineStr">
        <is>
          <t>tblDeviceModel</t>
        </is>
      </c>
      <c r="D446" t="n">
        <v>150</v>
      </c>
      <c r="E446" t="inlineStr">
        <is>
          <t>MOD000147</t>
        </is>
      </c>
      <c r="F446" t="inlineStr">
        <is>
          <t>ManufacturerID</t>
        </is>
      </c>
      <c r="G446" t="inlineStr">
        <is>
          <t>MFG002</t>
        </is>
      </c>
      <c r="H446" t="inlineStr">
        <is>
          <t>tblManufacturerIDCrosswalk</t>
        </is>
      </c>
      <c r="I446" t="inlineStr"/>
      <c r="J446" t="inlineStr">
        <is>
          <t>No Supported Match</t>
        </is>
      </c>
      <c r="K446" t="inlineStr">
        <is>
          <t>None</t>
        </is>
      </c>
      <c r="L446" t="inlineStr">
        <is>
          <t>Crosswalk Pending</t>
        </is>
      </c>
      <c r="M446" t="inlineStr">
        <is>
          <t>Open</t>
        </is>
      </c>
      <c r="N446" t="inlineStr"/>
    </row>
    <row r="447">
      <c r="A447" t="inlineStr">
        <is>
          <t>FKEX00446</t>
        </is>
      </c>
      <c r="B447" t="inlineStr">
        <is>
          <t>15 LL_Device</t>
        </is>
      </c>
      <c r="C447" t="inlineStr">
        <is>
          <t>tblDeviceModel</t>
        </is>
      </c>
      <c r="D447" t="n">
        <v>150</v>
      </c>
      <c r="E447" t="inlineStr">
        <is>
          <t>MOD000147</t>
        </is>
      </c>
      <c r="F447" t="inlineStr">
        <is>
          <t>DeviceFamilyID</t>
        </is>
      </c>
      <c r="G447" t="inlineStr">
        <is>
          <t>DF020</t>
        </is>
      </c>
      <c r="H447" t="inlineStr">
        <is>
          <t>tblDeviceFamilyIDCrosswalk</t>
        </is>
      </c>
      <c r="I447" t="inlineStr"/>
      <c r="J447" t="inlineStr">
        <is>
          <t>tblDeviceModel</t>
        </is>
      </c>
      <c r="K447" t="inlineStr">
        <is>
          <t>Exact ID</t>
        </is>
      </c>
      <c r="L447" t="inlineStr">
        <is>
          <t>Crosswalk Pending</t>
        </is>
      </c>
      <c r="M447" t="inlineStr">
        <is>
          <t>Open</t>
        </is>
      </c>
      <c r="N447" t="inlineStr"/>
    </row>
    <row r="448">
      <c r="A448" t="inlineStr">
        <is>
          <t>FKEX00447</t>
        </is>
      </c>
      <c r="B448" t="inlineStr">
        <is>
          <t>15 LL_Device</t>
        </is>
      </c>
      <c r="C448" t="inlineStr">
        <is>
          <t>tblDeviceModel</t>
        </is>
      </c>
      <c r="D448" t="n">
        <v>150</v>
      </c>
      <c r="E448" t="inlineStr">
        <is>
          <t>MOD000147</t>
        </is>
      </c>
      <c r="F448" t="inlineStr">
        <is>
          <t>DeviceTypeID</t>
        </is>
      </c>
      <c r="G448" t="inlineStr">
        <is>
          <t>DT001</t>
        </is>
      </c>
      <c r="H448" t="inlineStr">
        <is>
          <t>tblDeviceTypeIDCrosswalk</t>
        </is>
      </c>
      <c r="I448" t="inlineStr"/>
      <c r="J448" t="inlineStr">
        <is>
          <t>No Supported Match</t>
        </is>
      </c>
      <c r="K448" t="inlineStr">
        <is>
          <t>None</t>
        </is>
      </c>
      <c r="L448" t="inlineStr">
        <is>
          <t>Crosswalk Pending</t>
        </is>
      </c>
      <c r="M448" t="inlineStr">
        <is>
          <t>Open</t>
        </is>
      </c>
      <c r="N448" t="inlineStr"/>
    </row>
    <row r="449">
      <c r="A449" t="inlineStr">
        <is>
          <t>FKEX00448</t>
        </is>
      </c>
      <c r="B449" t="inlineStr">
        <is>
          <t>15 LL_Device</t>
        </is>
      </c>
      <c r="C449" t="inlineStr">
        <is>
          <t>tblDeviceModel</t>
        </is>
      </c>
      <c r="D449" t="n">
        <v>151</v>
      </c>
      <c r="E449" t="inlineStr">
        <is>
          <t>MOD000148</t>
        </is>
      </c>
      <c r="F449" t="inlineStr">
        <is>
          <t>ManufacturerID</t>
        </is>
      </c>
      <c r="G449" t="inlineStr">
        <is>
          <t>MFG002</t>
        </is>
      </c>
      <c r="H449" t="inlineStr">
        <is>
          <t>tblManufacturerIDCrosswalk</t>
        </is>
      </c>
      <c r="I449" t="inlineStr"/>
      <c r="J449" t="inlineStr">
        <is>
          <t>No Supported Match</t>
        </is>
      </c>
      <c r="K449" t="inlineStr">
        <is>
          <t>None</t>
        </is>
      </c>
      <c r="L449" t="inlineStr">
        <is>
          <t>Crosswalk Pending</t>
        </is>
      </c>
      <c r="M449" t="inlineStr">
        <is>
          <t>Open</t>
        </is>
      </c>
      <c r="N449" t="inlineStr"/>
    </row>
    <row r="450">
      <c r="A450" t="inlineStr">
        <is>
          <t>FKEX00449</t>
        </is>
      </c>
      <c r="B450" t="inlineStr">
        <is>
          <t>15 LL_Device</t>
        </is>
      </c>
      <c r="C450" t="inlineStr">
        <is>
          <t>tblDeviceModel</t>
        </is>
      </c>
      <c r="D450" t="n">
        <v>151</v>
      </c>
      <c r="E450" t="inlineStr">
        <is>
          <t>MOD000148</t>
        </is>
      </c>
      <c r="F450" t="inlineStr">
        <is>
          <t>DeviceFamilyID</t>
        </is>
      </c>
      <c r="G450" t="inlineStr">
        <is>
          <t>DF020</t>
        </is>
      </c>
      <c r="H450" t="inlineStr">
        <is>
          <t>tblDeviceFamilyIDCrosswalk</t>
        </is>
      </c>
      <c r="I450" t="inlineStr"/>
      <c r="J450" t="inlineStr">
        <is>
          <t>tblDeviceModel</t>
        </is>
      </c>
      <c r="K450" t="inlineStr">
        <is>
          <t>Exact ID</t>
        </is>
      </c>
      <c r="L450" t="inlineStr">
        <is>
          <t>Crosswalk Pending</t>
        </is>
      </c>
      <c r="M450" t="inlineStr">
        <is>
          <t>Open</t>
        </is>
      </c>
      <c r="N450" t="inlineStr"/>
    </row>
    <row r="451">
      <c r="A451" t="inlineStr">
        <is>
          <t>FKEX00450</t>
        </is>
      </c>
      <c r="B451" t="inlineStr">
        <is>
          <t>15 LL_Device</t>
        </is>
      </c>
      <c r="C451" t="inlineStr">
        <is>
          <t>tblDeviceModel</t>
        </is>
      </c>
      <c r="D451" t="n">
        <v>151</v>
      </c>
      <c r="E451" t="inlineStr">
        <is>
          <t>MOD000148</t>
        </is>
      </c>
      <c r="F451" t="inlineStr">
        <is>
          <t>DeviceTypeID</t>
        </is>
      </c>
      <c r="G451" t="inlineStr">
        <is>
          <t>DT001</t>
        </is>
      </c>
      <c r="H451" t="inlineStr">
        <is>
          <t>tblDeviceTypeIDCrosswalk</t>
        </is>
      </c>
      <c r="I451" t="inlineStr"/>
      <c r="J451" t="inlineStr">
        <is>
          <t>No Supported Match</t>
        </is>
      </c>
      <c r="K451" t="inlineStr">
        <is>
          <t>None</t>
        </is>
      </c>
      <c r="L451" t="inlineStr">
        <is>
          <t>Crosswalk Pending</t>
        </is>
      </c>
      <c r="M451" t="inlineStr">
        <is>
          <t>Open</t>
        </is>
      </c>
      <c r="N451" t="inlineStr"/>
    </row>
    <row r="452">
      <c r="A452" t="inlineStr">
        <is>
          <t>FKEX00451</t>
        </is>
      </c>
      <c r="B452" t="inlineStr">
        <is>
          <t>15 LL_Device</t>
        </is>
      </c>
      <c r="C452" t="inlineStr">
        <is>
          <t>tblDeviceModel</t>
        </is>
      </c>
      <c r="D452" t="n">
        <v>152</v>
      </c>
      <c r="E452" t="inlineStr">
        <is>
          <t>MOD000149</t>
        </is>
      </c>
      <c r="F452" t="inlineStr">
        <is>
          <t>ManufacturerID</t>
        </is>
      </c>
      <c r="G452" t="inlineStr">
        <is>
          <t>MFG002</t>
        </is>
      </c>
      <c r="H452" t="inlineStr">
        <is>
          <t>tblManufacturerIDCrosswalk</t>
        </is>
      </c>
      <c r="I452" t="inlineStr"/>
      <c r="J452" t="inlineStr">
        <is>
          <t>No Supported Match</t>
        </is>
      </c>
      <c r="K452" t="inlineStr">
        <is>
          <t>None</t>
        </is>
      </c>
      <c r="L452" t="inlineStr">
        <is>
          <t>Crosswalk Pending</t>
        </is>
      </c>
      <c r="M452" t="inlineStr">
        <is>
          <t>Open</t>
        </is>
      </c>
      <c r="N452" t="inlineStr"/>
    </row>
    <row r="453">
      <c r="A453" t="inlineStr">
        <is>
          <t>FKEX00452</t>
        </is>
      </c>
      <c r="B453" t="inlineStr">
        <is>
          <t>15 LL_Device</t>
        </is>
      </c>
      <c r="C453" t="inlineStr">
        <is>
          <t>tblDeviceModel</t>
        </is>
      </c>
      <c r="D453" t="n">
        <v>152</v>
      </c>
      <c r="E453" t="inlineStr">
        <is>
          <t>MOD000149</t>
        </is>
      </c>
      <c r="F453" t="inlineStr">
        <is>
          <t>DeviceFamilyID</t>
        </is>
      </c>
      <c r="G453" t="inlineStr">
        <is>
          <t>DF020</t>
        </is>
      </c>
      <c r="H453" t="inlineStr">
        <is>
          <t>tblDeviceFamilyIDCrosswalk</t>
        </is>
      </c>
      <c r="I453" t="inlineStr"/>
      <c r="J453" t="inlineStr">
        <is>
          <t>tblDeviceModel</t>
        </is>
      </c>
      <c r="K453" t="inlineStr">
        <is>
          <t>Exact ID</t>
        </is>
      </c>
      <c r="L453" t="inlineStr">
        <is>
          <t>Crosswalk Pending</t>
        </is>
      </c>
      <c r="M453" t="inlineStr">
        <is>
          <t>Open</t>
        </is>
      </c>
      <c r="N453" t="inlineStr"/>
    </row>
    <row r="454">
      <c r="A454" t="inlineStr">
        <is>
          <t>FKEX00453</t>
        </is>
      </c>
      <c r="B454" t="inlineStr">
        <is>
          <t>15 LL_Device</t>
        </is>
      </c>
      <c r="C454" t="inlineStr">
        <is>
          <t>tblDeviceModel</t>
        </is>
      </c>
      <c r="D454" t="n">
        <v>152</v>
      </c>
      <c r="E454" t="inlineStr">
        <is>
          <t>MOD000149</t>
        </is>
      </c>
      <c r="F454" t="inlineStr">
        <is>
          <t>DeviceTypeID</t>
        </is>
      </c>
      <c r="G454" t="inlineStr">
        <is>
          <t>DT001</t>
        </is>
      </c>
      <c r="H454" t="inlineStr">
        <is>
          <t>tblDeviceTypeIDCrosswalk</t>
        </is>
      </c>
      <c r="I454" t="inlineStr"/>
      <c r="J454" t="inlineStr">
        <is>
          <t>No Supported Match</t>
        </is>
      </c>
      <c r="K454" t="inlineStr">
        <is>
          <t>None</t>
        </is>
      </c>
      <c r="L454" t="inlineStr">
        <is>
          <t>Crosswalk Pending</t>
        </is>
      </c>
      <c r="M454" t="inlineStr">
        <is>
          <t>Open</t>
        </is>
      </c>
      <c r="N454" t="inlineStr"/>
    </row>
    <row r="455">
      <c r="A455" t="inlineStr">
        <is>
          <t>FKEX00454</t>
        </is>
      </c>
      <c r="B455" t="inlineStr">
        <is>
          <t>15 LL_Device</t>
        </is>
      </c>
      <c r="C455" t="inlineStr">
        <is>
          <t>tblDeviceModel</t>
        </is>
      </c>
      <c r="D455" t="n">
        <v>153</v>
      </c>
      <c r="E455" t="inlineStr">
        <is>
          <t>MOD000150</t>
        </is>
      </c>
      <c r="F455" t="inlineStr">
        <is>
          <t>ManufacturerID</t>
        </is>
      </c>
      <c r="G455" t="inlineStr">
        <is>
          <t>MFG002</t>
        </is>
      </c>
      <c r="H455" t="inlineStr">
        <is>
          <t>tblManufacturerIDCrosswalk</t>
        </is>
      </c>
      <c r="I455" t="inlineStr"/>
      <c r="J455" t="inlineStr">
        <is>
          <t>No Supported Match</t>
        </is>
      </c>
      <c r="K455" t="inlineStr">
        <is>
          <t>None</t>
        </is>
      </c>
      <c r="L455" t="inlineStr">
        <is>
          <t>Crosswalk Pending</t>
        </is>
      </c>
      <c r="M455" t="inlineStr">
        <is>
          <t>Open</t>
        </is>
      </c>
      <c r="N455" t="inlineStr"/>
    </row>
    <row r="456">
      <c r="A456" t="inlineStr">
        <is>
          <t>FKEX00455</t>
        </is>
      </c>
      <c r="B456" t="inlineStr">
        <is>
          <t>15 LL_Device</t>
        </is>
      </c>
      <c r="C456" t="inlineStr">
        <is>
          <t>tblDeviceModel</t>
        </is>
      </c>
      <c r="D456" t="n">
        <v>153</v>
      </c>
      <c r="E456" t="inlineStr">
        <is>
          <t>MOD000150</t>
        </is>
      </c>
      <c r="F456" t="inlineStr">
        <is>
          <t>DeviceFamilyID</t>
        </is>
      </c>
      <c r="G456" t="inlineStr">
        <is>
          <t>DF020</t>
        </is>
      </c>
      <c r="H456" t="inlineStr">
        <is>
          <t>tblDeviceFamilyIDCrosswalk</t>
        </is>
      </c>
      <c r="I456" t="inlineStr"/>
      <c r="J456" t="inlineStr">
        <is>
          <t>tblDeviceModel</t>
        </is>
      </c>
      <c r="K456" t="inlineStr">
        <is>
          <t>Exact ID</t>
        </is>
      </c>
      <c r="L456" t="inlineStr">
        <is>
          <t>Crosswalk Pending</t>
        </is>
      </c>
      <c r="M456" t="inlineStr">
        <is>
          <t>Open</t>
        </is>
      </c>
      <c r="N456" t="inlineStr"/>
    </row>
    <row r="457">
      <c r="A457" t="inlineStr">
        <is>
          <t>FKEX00456</t>
        </is>
      </c>
      <c r="B457" t="inlineStr">
        <is>
          <t>15 LL_Device</t>
        </is>
      </c>
      <c r="C457" t="inlineStr">
        <is>
          <t>tblDeviceModel</t>
        </is>
      </c>
      <c r="D457" t="n">
        <v>153</v>
      </c>
      <c r="E457" t="inlineStr">
        <is>
          <t>MOD000150</t>
        </is>
      </c>
      <c r="F457" t="inlineStr">
        <is>
          <t>DeviceTypeID</t>
        </is>
      </c>
      <c r="G457" t="inlineStr">
        <is>
          <t>DT001</t>
        </is>
      </c>
      <c r="H457" t="inlineStr">
        <is>
          <t>tblDeviceTypeIDCrosswalk</t>
        </is>
      </c>
      <c r="I457" t="inlineStr"/>
      <c r="J457" t="inlineStr">
        <is>
          <t>No Supported Match</t>
        </is>
      </c>
      <c r="K457" t="inlineStr">
        <is>
          <t>None</t>
        </is>
      </c>
      <c r="L457" t="inlineStr">
        <is>
          <t>Crosswalk Pending</t>
        </is>
      </c>
      <c r="M457" t="inlineStr">
        <is>
          <t>Open</t>
        </is>
      </c>
      <c r="N457" t="inlineStr"/>
    </row>
    <row r="458">
      <c r="A458" t="inlineStr">
        <is>
          <t>FKEX00457</t>
        </is>
      </c>
      <c r="B458" t="inlineStr">
        <is>
          <t>15 LL_Device</t>
        </is>
      </c>
      <c r="C458" t="inlineStr">
        <is>
          <t>tblDeviceModel</t>
        </is>
      </c>
      <c r="D458" t="n">
        <v>154</v>
      </c>
      <c r="E458" t="inlineStr">
        <is>
          <t>MOD000151</t>
        </is>
      </c>
      <c r="F458" t="inlineStr">
        <is>
          <t>ManufacturerID</t>
        </is>
      </c>
      <c r="G458" t="inlineStr">
        <is>
          <t>MFG002</t>
        </is>
      </c>
      <c r="H458" t="inlineStr">
        <is>
          <t>tblManufacturerIDCrosswalk</t>
        </is>
      </c>
      <c r="I458" t="inlineStr"/>
      <c r="J458" t="inlineStr">
        <is>
          <t>No Supported Match</t>
        </is>
      </c>
      <c r="K458" t="inlineStr">
        <is>
          <t>None</t>
        </is>
      </c>
      <c r="L458" t="inlineStr">
        <is>
          <t>Crosswalk Pending</t>
        </is>
      </c>
      <c r="M458" t="inlineStr">
        <is>
          <t>Open</t>
        </is>
      </c>
      <c r="N458" t="inlineStr"/>
    </row>
    <row r="459">
      <c r="A459" t="inlineStr">
        <is>
          <t>FKEX00458</t>
        </is>
      </c>
      <c r="B459" t="inlineStr">
        <is>
          <t>15 LL_Device</t>
        </is>
      </c>
      <c r="C459" t="inlineStr">
        <is>
          <t>tblDeviceModel</t>
        </is>
      </c>
      <c r="D459" t="n">
        <v>154</v>
      </c>
      <c r="E459" t="inlineStr">
        <is>
          <t>MOD000151</t>
        </is>
      </c>
      <c r="F459" t="inlineStr">
        <is>
          <t>DeviceFamilyID</t>
        </is>
      </c>
      <c r="G459" t="inlineStr">
        <is>
          <t>DF020</t>
        </is>
      </c>
      <c r="H459" t="inlineStr">
        <is>
          <t>tblDeviceFamilyIDCrosswalk</t>
        </is>
      </c>
      <c r="I459" t="inlineStr"/>
      <c r="J459" t="inlineStr">
        <is>
          <t>tblDeviceModel</t>
        </is>
      </c>
      <c r="K459" t="inlineStr">
        <is>
          <t>Exact ID</t>
        </is>
      </c>
      <c r="L459" t="inlineStr">
        <is>
          <t>Crosswalk Pending</t>
        </is>
      </c>
      <c r="M459" t="inlineStr">
        <is>
          <t>Open</t>
        </is>
      </c>
      <c r="N459" t="inlineStr"/>
    </row>
    <row r="460">
      <c r="A460" t="inlineStr">
        <is>
          <t>FKEX00459</t>
        </is>
      </c>
      <c r="B460" t="inlineStr">
        <is>
          <t>15 LL_Device</t>
        </is>
      </c>
      <c r="C460" t="inlineStr">
        <is>
          <t>tblDeviceModel</t>
        </is>
      </c>
      <c r="D460" t="n">
        <v>154</v>
      </c>
      <c r="E460" t="inlineStr">
        <is>
          <t>MOD000151</t>
        </is>
      </c>
      <c r="F460" t="inlineStr">
        <is>
          <t>DeviceTypeID</t>
        </is>
      </c>
      <c r="G460" t="inlineStr">
        <is>
          <t>DT001</t>
        </is>
      </c>
      <c r="H460" t="inlineStr">
        <is>
          <t>tblDeviceTypeIDCrosswalk</t>
        </is>
      </c>
      <c r="I460" t="inlineStr"/>
      <c r="J460" t="inlineStr">
        <is>
          <t>No Supported Match</t>
        </is>
      </c>
      <c r="K460" t="inlineStr">
        <is>
          <t>None</t>
        </is>
      </c>
      <c r="L460" t="inlineStr">
        <is>
          <t>Crosswalk Pending</t>
        </is>
      </c>
      <c r="M460" t="inlineStr">
        <is>
          <t>Open</t>
        </is>
      </c>
      <c r="N460" t="inlineStr"/>
    </row>
    <row r="461">
      <c r="A461" t="inlineStr">
        <is>
          <t>FKEX00460</t>
        </is>
      </c>
      <c r="B461" t="inlineStr">
        <is>
          <t>15 LL_Device</t>
        </is>
      </c>
      <c r="C461" t="inlineStr">
        <is>
          <t>tblDeviceModel</t>
        </is>
      </c>
      <c r="D461" t="n">
        <v>155</v>
      </c>
      <c r="E461" t="inlineStr">
        <is>
          <t>MOD000152</t>
        </is>
      </c>
      <c r="F461" t="inlineStr">
        <is>
          <t>ManufacturerID</t>
        </is>
      </c>
      <c r="G461" t="inlineStr">
        <is>
          <t>MFG002</t>
        </is>
      </c>
      <c r="H461" t="inlineStr">
        <is>
          <t>tblManufacturerIDCrosswalk</t>
        </is>
      </c>
      <c r="I461" t="inlineStr"/>
      <c r="J461" t="inlineStr">
        <is>
          <t>No Supported Match</t>
        </is>
      </c>
      <c r="K461" t="inlineStr">
        <is>
          <t>None</t>
        </is>
      </c>
      <c r="L461" t="inlineStr">
        <is>
          <t>Crosswalk Pending</t>
        </is>
      </c>
      <c r="M461" t="inlineStr">
        <is>
          <t>Open</t>
        </is>
      </c>
      <c r="N461" t="inlineStr"/>
    </row>
    <row r="462">
      <c r="A462" t="inlineStr">
        <is>
          <t>FKEX00461</t>
        </is>
      </c>
      <c r="B462" t="inlineStr">
        <is>
          <t>15 LL_Device</t>
        </is>
      </c>
      <c r="C462" t="inlineStr">
        <is>
          <t>tblDeviceModel</t>
        </is>
      </c>
      <c r="D462" t="n">
        <v>155</v>
      </c>
      <c r="E462" t="inlineStr">
        <is>
          <t>MOD000152</t>
        </is>
      </c>
      <c r="F462" t="inlineStr">
        <is>
          <t>DeviceFamilyID</t>
        </is>
      </c>
      <c r="G462" t="inlineStr">
        <is>
          <t>DF020</t>
        </is>
      </c>
      <c r="H462" t="inlineStr">
        <is>
          <t>tblDeviceFamilyIDCrosswalk</t>
        </is>
      </c>
      <c r="I462" t="inlineStr"/>
      <c r="J462" t="inlineStr">
        <is>
          <t>tblDeviceModel</t>
        </is>
      </c>
      <c r="K462" t="inlineStr">
        <is>
          <t>Exact ID</t>
        </is>
      </c>
      <c r="L462" t="inlineStr">
        <is>
          <t>Crosswalk Pending</t>
        </is>
      </c>
      <c r="M462" t="inlineStr">
        <is>
          <t>Open</t>
        </is>
      </c>
      <c r="N462" t="inlineStr"/>
    </row>
    <row r="463">
      <c r="A463" t="inlineStr">
        <is>
          <t>FKEX00462</t>
        </is>
      </c>
      <c r="B463" t="inlineStr">
        <is>
          <t>15 LL_Device</t>
        </is>
      </c>
      <c r="C463" t="inlineStr">
        <is>
          <t>tblDeviceModel</t>
        </is>
      </c>
      <c r="D463" t="n">
        <v>155</v>
      </c>
      <c r="E463" t="inlineStr">
        <is>
          <t>MOD000152</t>
        </is>
      </c>
      <c r="F463" t="inlineStr">
        <is>
          <t>DeviceTypeID</t>
        </is>
      </c>
      <c r="G463" t="inlineStr">
        <is>
          <t>DT001</t>
        </is>
      </c>
      <c r="H463" t="inlineStr">
        <is>
          <t>tblDeviceTypeIDCrosswalk</t>
        </is>
      </c>
      <c r="I463" t="inlineStr"/>
      <c r="J463" t="inlineStr">
        <is>
          <t>No Supported Match</t>
        </is>
      </c>
      <c r="K463" t="inlineStr">
        <is>
          <t>None</t>
        </is>
      </c>
      <c r="L463" t="inlineStr">
        <is>
          <t>Crosswalk Pending</t>
        </is>
      </c>
      <c r="M463" t="inlineStr">
        <is>
          <t>Open</t>
        </is>
      </c>
      <c r="N463" t="inlineStr"/>
    </row>
    <row r="464">
      <c r="A464" t="inlineStr">
        <is>
          <t>FKEX00463</t>
        </is>
      </c>
      <c r="B464" t="inlineStr">
        <is>
          <t>15 LL_Device</t>
        </is>
      </c>
      <c r="C464" t="inlineStr">
        <is>
          <t>tblDeviceModel</t>
        </is>
      </c>
      <c r="D464" t="n">
        <v>156</v>
      </c>
      <c r="E464" t="inlineStr">
        <is>
          <t>MOD000153</t>
        </is>
      </c>
      <c r="F464" t="inlineStr">
        <is>
          <t>ManufacturerID</t>
        </is>
      </c>
      <c r="G464" t="inlineStr">
        <is>
          <t>MFG002</t>
        </is>
      </c>
      <c r="H464" t="inlineStr">
        <is>
          <t>tblManufacturerIDCrosswalk</t>
        </is>
      </c>
      <c r="I464" t="inlineStr"/>
      <c r="J464" t="inlineStr">
        <is>
          <t>No Supported Match</t>
        </is>
      </c>
      <c r="K464" t="inlineStr">
        <is>
          <t>None</t>
        </is>
      </c>
      <c r="L464" t="inlineStr">
        <is>
          <t>Crosswalk Pending</t>
        </is>
      </c>
      <c r="M464" t="inlineStr">
        <is>
          <t>Open</t>
        </is>
      </c>
      <c r="N464" t="inlineStr"/>
    </row>
    <row r="465">
      <c r="A465" t="inlineStr">
        <is>
          <t>FKEX00464</t>
        </is>
      </c>
      <c r="B465" t="inlineStr">
        <is>
          <t>15 LL_Device</t>
        </is>
      </c>
      <c r="C465" t="inlineStr">
        <is>
          <t>tblDeviceModel</t>
        </is>
      </c>
      <c r="D465" t="n">
        <v>156</v>
      </c>
      <c r="E465" t="inlineStr">
        <is>
          <t>MOD000153</t>
        </is>
      </c>
      <c r="F465" t="inlineStr">
        <is>
          <t>DeviceFamilyID</t>
        </is>
      </c>
      <c r="G465" t="inlineStr">
        <is>
          <t>DF020</t>
        </is>
      </c>
      <c r="H465" t="inlineStr">
        <is>
          <t>tblDeviceFamilyIDCrosswalk</t>
        </is>
      </c>
      <c r="I465" t="inlineStr"/>
      <c r="J465" t="inlineStr">
        <is>
          <t>tblDeviceModel</t>
        </is>
      </c>
      <c r="K465" t="inlineStr">
        <is>
          <t>Exact ID</t>
        </is>
      </c>
      <c r="L465" t="inlineStr">
        <is>
          <t>Crosswalk Pending</t>
        </is>
      </c>
      <c r="M465" t="inlineStr">
        <is>
          <t>Open</t>
        </is>
      </c>
      <c r="N465" t="inlineStr"/>
    </row>
    <row r="466">
      <c r="A466" t="inlineStr">
        <is>
          <t>FKEX00465</t>
        </is>
      </c>
      <c r="B466" t="inlineStr">
        <is>
          <t>15 LL_Device</t>
        </is>
      </c>
      <c r="C466" t="inlineStr">
        <is>
          <t>tblDeviceModel</t>
        </is>
      </c>
      <c r="D466" t="n">
        <v>156</v>
      </c>
      <c r="E466" t="inlineStr">
        <is>
          <t>MOD000153</t>
        </is>
      </c>
      <c r="F466" t="inlineStr">
        <is>
          <t>DeviceTypeID</t>
        </is>
      </c>
      <c r="G466" t="inlineStr">
        <is>
          <t>DT001</t>
        </is>
      </c>
      <c r="H466" t="inlineStr">
        <is>
          <t>tblDeviceTypeIDCrosswalk</t>
        </is>
      </c>
      <c r="I466" t="inlineStr"/>
      <c r="J466" t="inlineStr">
        <is>
          <t>No Supported Match</t>
        </is>
      </c>
      <c r="K466" t="inlineStr">
        <is>
          <t>None</t>
        </is>
      </c>
      <c r="L466" t="inlineStr">
        <is>
          <t>Crosswalk Pending</t>
        </is>
      </c>
      <c r="M466" t="inlineStr">
        <is>
          <t>Open</t>
        </is>
      </c>
      <c r="N466" t="inlineStr"/>
    </row>
    <row r="467">
      <c r="A467" t="inlineStr">
        <is>
          <t>FKEX00466</t>
        </is>
      </c>
      <c r="B467" t="inlineStr">
        <is>
          <t>15 LL_Device</t>
        </is>
      </c>
      <c r="C467" t="inlineStr">
        <is>
          <t>tblDeviceModel</t>
        </is>
      </c>
      <c r="D467" t="n">
        <v>157</v>
      </c>
      <c r="E467" t="inlineStr">
        <is>
          <t>MOD000154</t>
        </is>
      </c>
      <c r="F467" t="inlineStr">
        <is>
          <t>ManufacturerID</t>
        </is>
      </c>
      <c r="G467" t="inlineStr">
        <is>
          <t>MFG002</t>
        </is>
      </c>
      <c r="H467" t="inlineStr">
        <is>
          <t>tblManufacturerIDCrosswalk</t>
        </is>
      </c>
      <c r="I467" t="inlineStr"/>
      <c r="J467" t="inlineStr">
        <is>
          <t>No Supported Match</t>
        </is>
      </c>
      <c r="K467" t="inlineStr">
        <is>
          <t>None</t>
        </is>
      </c>
      <c r="L467" t="inlineStr">
        <is>
          <t>Crosswalk Pending</t>
        </is>
      </c>
      <c r="M467" t="inlineStr">
        <is>
          <t>Open</t>
        </is>
      </c>
      <c r="N467" t="inlineStr"/>
    </row>
    <row r="468">
      <c r="A468" t="inlineStr">
        <is>
          <t>FKEX00467</t>
        </is>
      </c>
      <c r="B468" t="inlineStr">
        <is>
          <t>15 LL_Device</t>
        </is>
      </c>
      <c r="C468" t="inlineStr">
        <is>
          <t>tblDeviceModel</t>
        </is>
      </c>
      <c r="D468" t="n">
        <v>157</v>
      </c>
      <c r="E468" t="inlineStr">
        <is>
          <t>MOD000154</t>
        </is>
      </c>
      <c r="F468" t="inlineStr">
        <is>
          <t>DeviceFamilyID</t>
        </is>
      </c>
      <c r="G468" t="inlineStr">
        <is>
          <t>DF020</t>
        </is>
      </c>
      <c r="H468" t="inlineStr">
        <is>
          <t>tblDeviceFamilyIDCrosswalk</t>
        </is>
      </c>
      <c r="I468" t="inlineStr"/>
      <c r="J468" t="inlineStr">
        <is>
          <t>tblDeviceModel</t>
        </is>
      </c>
      <c r="K468" t="inlineStr">
        <is>
          <t>Exact ID</t>
        </is>
      </c>
      <c r="L468" t="inlineStr">
        <is>
          <t>Crosswalk Pending</t>
        </is>
      </c>
      <c r="M468" t="inlineStr">
        <is>
          <t>Open</t>
        </is>
      </c>
      <c r="N468" t="inlineStr"/>
    </row>
    <row r="469">
      <c r="A469" t="inlineStr">
        <is>
          <t>FKEX00468</t>
        </is>
      </c>
      <c r="B469" t="inlineStr">
        <is>
          <t>15 LL_Device</t>
        </is>
      </c>
      <c r="C469" t="inlineStr">
        <is>
          <t>tblDeviceModel</t>
        </is>
      </c>
      <c r="D469" t="n">
        <v>157</v>
      </c>
      <c r="E469" t="inlineStr">
        <is>
          <t>MOD000154</t>
        </is>
      </c>
      <c r="F469" t="inlineStr">
        <is>
          <t>DeviceTypeID</t>
        </is>
      </c>
      <c r="G469" t="inlineStr">
        <is>
          <t>DT001</t>
        </is>
      </c>
      <c r="H469" t="inlineStr">
        <is>
          <t>tblDeviceTypeIDCrosswalk</t>
        </is>
      </c>
      <c r="I469" t="inlineStr"/>
      <c r="J469" t="inlineStr">
        <is>
          <t>No Supported Match</t>
        </is>
      </c>
      <c r="K469" t="inlineStr">
        <is>
          <t>None</t>
        </is>
      </c>
      <c r="L469" t="inlineStr">
        <is>
          <t>Crosswalk Pending</t>
        </is>
      </c>
      <c r="M469" t="inlineStr">
        <is>
          <t>Open</t>
        </is>
      </c>
      <c r="N469" t="inlineStr"/>
    </row>
    <row r="470">
      <c r="A470" t="inlineStr">
        <is>
          <t>FKEX00469</t>
        </is>
      </c>
      <c r="B470" t="inlineStr">
        <is>
          <t>15 LL_Device</t>
        </is>
      </c>
      <c r="C470" t="inlineStr">
        <is>
          <t>tblDeviceModel</t>
        </is>
      </c>
      <c r="D470" t="n">
        <v>158</v>
      </c>
      <c r="E470" t="inlineStr">
        <is>
          <t>MOD000155</t>
        </is>
      </c>
      <c r="F470" t="inlineStr">
        <is>
          <t>ManufacturerID</t>
        </is>
      </c>
      <c r="G470" t="inlineStr">
        <is>
          <t>MFG002</t>
        </is>
      </c>
      <c r="H470" t="inlineStr">
        <is>
          <t>tblManufacturerIDCrosswalk</t>
        </is>
      </c>
      <c r="I470" t="inlineStr"/>
      <c r="J470" t="inlineStr">
        <is>
          <t>No Supported Match</t>
        </is>
      </c>
      <c r="K470" t="inlineStr">
        <is>
          <t>None</t>
        </is>
      </c>
      <c r="L470" t="inlineStr">
        <is>
          <t>Crosswalk Pending</t>
        </is>
      </c>
      <c r="M470" t="inlineStr">
        <is>
          <t>Open</t>
        </is>
      </c>
      <c r="N470" t="inlineStr"/>
    </row>
    <row r="471">
      <c r="A471" t="inlineStr">
        <is>
          <t>FKEX00470</t>
        </is>
      </c>
      <c r="B471" t="inlineStr">
        <is>
          <t>15 LL_Device</t>
        </is>
      </c>
      <c r="C471" t="inlineStr">
        <is>
          <t>tblDeviceModel</t>
        </is>
      </c>
      <c r="D471" t="n">
        <v>158</v>
      </c>
      <c r="E471" t="inlineStr">
        <is>
          <t>MOD000155</t>
        </is>
      </c>
      <c r="F471" t="inlineStr">
        <is>
          <t>DeviceFamilyID</t>
        </is>
      </c>
      <c r="G471" t="inlineStr">
        <is>
          <t>DF020</t>
        </is>
      </c>
      <c r="H471" t="inlineStr">
        <is>
          <t>tblDeviceFamilyIDCrosswalk</t>
        </is>
      </c>
      <c r="I471" t="inlineStr"/>
      <c r="J471" t="inlineStr">
        <is>
          <t>tblDeviceModel</t>
        </is>
      </c>
      <c r="K471" t="inlineStr">
        <is>
          <t>Exact ID</t>
        </is>
      </c>
      <c r="L471" t="inlineStr">
        <is>
          <t>Crosswalk Pending</t>
        </is>
      </c>
      <c r="M471" t="inlineStr">
        <is>
          <t>Open</t>
        </is>
      </c>
      <c r="N471" t="inlineStr"/>
    </row>
    <row r="472">
      <c r="A472" t="inlineStr">
        <is>
          <t>FKEX00471</t>
        </is>
      </c>
      <c r="B472" t="inlineStr">
        <is>
          <t>15 LL_Device</t>
        </is>
      </c>
      <c r="C472" t="inlineStr">
        <is>
          <t>tblDeviceModel</t>
        </is>
      </c>
      <c r="D472" t="n">
        <v>158</v>
      </c>
      <c r="E472" t="inlineStr">
        <is>
          <t>MOD000155</t>
        </is>
      </c>
      <c r="F472" t="inlineStr">
        <is>
          <t>DeviceTypeID</t>
        </is>
      </c>
      <c r="G472" t="inlineStr">
        <is>
          <t>DT001</t>
        </is>
      </c>
      <c r="H472" t="inlineStr">
        <is>
          <t>tblDeviceTypeIDCrosswalk</t>
        </is>
      </c>
      <c r="I472" t="inlineStr"/>
      <c r="J472" t="inlineStr">
        <is>
          <t>No Supported Match</t>
        </is>
      </c>
      <c r="K472" t="inlineStr">
        <is>
          <t>None</t>
        </is>
      </c>
      <c r="L472" t="inlineStr">
        <is>
          <t>Crosswalk Pending</t>
        </is>
      </c>
      <c r="M472" t="inlineStr">
        <is>
          <t>Open</t>
        </is>
      </c>
      <c r="N472" t="inlineStr"/>
    </row>
    <row r="473">
      <c r="A473" t="inlineStr">
        <is>
          <t>FKEX00472</t>
        </is>
      </c>
      <c r="B473" t="inlineStr">
        <is>
          <t>15 LL_Device</t>
        </is>
      </c>
      <c r="C473" t="inlineStr">
        <is>
          <t>tblDeviceModel</t>
        </is>
      </c>
      <c r="D473" t="n">
        <v>159</v>
      </c>
      <c r="E473" t="inlineStr">
        <is>
          <t>MOD000156</t>
        </is>
      </c>
      <c r="F473" t="inlineStr">
        <is>
          <t>ManufacturerID</t>
        </is>
      </c>
      <c r="G473" t="inlineStr">
        <is>
          <t>MFG002</t>
        </is>
      </c>
      <c r="H473" t="inlineStr">
        <is>
          <t>tblManufacturerIDCrosswalk</t>
        </is>
      </c>
      <c r="I473" t="inlineStr"/>
      <c r="J473" t="inlineStr">
        <is>
          <t>No Supported Match</t>
        </is>
      </c>
      <c r="K473" t="inlineStr">
        <is>
          <t>None</t>
        </is>
      </c>
      <c r="L473" t="inlineStr">
        <is>
          <t>Crosswalk Pending</t>
        </is>
      </c>
      <c r="M473" t="inlineStr">
        <is>
          <t>Open</t>
        </is>
      </c>
      <c r="N473" t="inlineStr"/>
    </row>
    <row r="474">
      <c r="A474" t="inlineStr">
        <is>
          <t>FKEX00473</t>
        </is>
      </c>
      <c r="B474" t="inlineStr">
        <is>
          <t>15 LL_Device</t>
        </is>
      </c>
      <c r="C474" t="inlineStr">
        <is>
          <t>tblDeviceModel</t>
        </is>
      </c>
      <c r="D474" t="n">
        <v>159</v>
      </c>
      <c r="E474" t="inlineStr">
        <is>
          <t>MOD000156</t>
        </is>
      </c>
      <c r="F474" t="inlineStr">
        <is>
          <t>DeviceFamilyID</t>
        </is>
      </c>
      <c r="G474" t="inlineStr">
        <is>
          <t>DF020</t>
        </is>
      </c>
      <c r="H474" t="inlineStr">
        <is>
          <t>tblDeviceFamilyIDCrosswalk</t>
        </is>
      </c>
      <c r="I474" t="inlineStr"/>
      <c r="J474" t="inlineStr">
        <is>
          <t>tblDeviceModel</t>
        </is>
      </c>
      <c r="K474" t="inlineStr">
        <is>
          <t>Exact ID</t>
        </is>
      </c>
      <c r="L474" t="inlineStr">
        <is>
          <t>Crosswalk Pending</t>
        </is>
      </c>
      <c r="M474" t="inlineStr">
        <is>
          <t>Open</t>
        </is>
      </c>
      <c r="N474" t="inlineStr"/>
    </row>
    <row r="475">
      <c r="A475" t="inlineStr">
        <is>
          <t>FKEX00474</t>
        </is>
      </c>
      <c r="B475" t="inlineStr">
        <is>
          <t>15 LL_Device</t>
        </is>
      </c>
      <c r="C475" t="inlineStr">
        <is>
          <t>tblDeviceModel</t>
        </is>
      </c>
      <c r="D475" t="n">
        <v>159</v>
      </c>
      <c r="E475" t="inlineStr">
        <is>
          <t>MOD000156</t>
        </is>
      </c>
      <c r="F475" t="inlineStr">
        <is>
          <t>DeviceTypeID</t>
        </is>
      </c>
      <c r="G475" t="inlineStr">
        <is>
          <t>DT001</t>
        </is>
      </c>
      <c r="H475" t="inlineStr">
        <is>
          <t>tblDeviceTypeIDCrosswalk</t>
        </is>
      </c>
      <c r="I475" t="inlineStr"/>
      <c r="J475" t="inlineStr">
        <is>
          <t>No Supported Match</t>
        </is>
      </c>
      <c r="K475" t="inlineStr">
        <is>
          <t>None</t>
        </is>
      </c>
      <c r="L475" t="inlineStr">
        <is>
          <t>Crosswalk Pending</t>
        </is>
      </c>
      <c r="M475" t="inlineStr">
        <is>
          <t>Open</t>
        </is>
      </c>
      <c r="N475" t="inlineStr"/>
    </row>
    <row r="476">
      <c r="A476" t="inlineStr">
        <is>
          <t>FKEX00475</t>
        </is>
      </c>
      <c r="B476" t="inlineStr">
        <is>
          <t>15 LL_Device</t>
        </is>
      </c>
      <c r="C476" t="inlineStr">
        <is>
          <t>tblDeviceModel</t>
        </is>
      </c>
      <c r="D476" t="n">
        <v>160</v>
      </c>
      <c r="E476" t="inlineStr">
        <is>
          <t>MOD000157</t>
        </is>
      </c>
      <c r="F476" t="inlineStr">
        <is>
          <t>ManufacturerID</t>
        </is>
      </c>
      <c r="G476" t="inlineStr">
        <is>
          <t>MFG002</t>
        </is>
      </c>
      <c r="H476" t="inlineStr">
        <is>
          <t>tblManufacturerIDCrosswalk</t>
        </is>
      </c>
      <c r="I476" t="inlineStr"/>
      <c r="J476" t="inlineStr">
        <is>
          <t>No Supported Match</t>
        </is>
      </c>
      <c r="K476" t="inlineStr">
        <is>
          <t>None</t>
        </is>
      </c>
      <c r="L476" t="inlineStr">
        <is>
          <t>Crosswalk Pending</t>
        </is>
      </c>
      <c r="M476" t="inlineStr">
        <is>
          <t>Open</t>
        </is>
      </c>
      <c r="N476" t="inlineStr"/>
    </row>
    <row r="477">
      <c r="A477" t="inlineStr">
        <is>
          <t>FKEX00476</t>
        </is>
      </c>
      <c r="B477" t="inlineStr">
        <is>
          <t>15 LL_Device</t>
        </is>
      </c>
      <c r="C477" t="inlineStr">
        <is>
          <t>tblDeviceModel</t>
        </is>
      </c>
      <c r="D477" t="n">
        <v>160</v>
      </c>
      <c r="E477" t="inlineStr">
        <is>
          <t>MOD000157</t>
        </is>
      </c>
      <c r="F477" t="inlineStr">
        <is>
          <t>DeviceFamilyID</t>
        </is>
      </c>
      <c r="G477" t="inlineStr">
        <is>
          <t>DF020</t>
        </is>
      </c>
      <c r="H477" t="inlineStr">
        <is>
          <t>tblDeviceFamilyIDCrosswalk</t>
        </is>
      </c>
      <c r="I477" t="inlineStr"/>
      <c r="J477" t="inlineStr">
        <is>
          <t>tblDeviceModel</t>
        </is>
      </c>
      <c r="K477" t="inlineStr">
        <is>
          <t>Exact ID</t>
        </is>
      </c>
      <c r="L477" t="inlineStr">
        <is>
          <t>Crosswalk Pending</t>
        </is>
      </c>
      <c r="M477" t="inlineStr">
        <is>
          <t>Open</t>
        </is>
      </c>
      <c r="N477" t="inlineStr"/>
    </row>
    <row r="478">
      <c r="A478" t="inlineStr">
        <is>
          <t>FKEX00477</t>
        </is>
      </c>
      <c r="B478" t="inlineStr">
        <is>
          <t>15 LL_Device</t>
        </is>
      </c>
      <c r="C478" t="inlineStr">
        <is>
          <t>tblDeviceModel</t>
        </is>
      </c>
      <c r="D478" t="n">
        <v>160</v>
      </c>
      <c r="E478" t="inlineStr">
        <is>
          <t>MOD000157</t>
        </is>
      </c>
      <c r="F478" t="inlineStr">
        <is>
          <t>DeviceTypeID</t>
        </is>
      </c>
      <c r="G478" t="inlineStr">
        <is>
          <t>DT001</t>
        </is>
      </c>
      <c r="H478" t="inlineStr">
        <is>
          <t>tblDeviceTypeIDCrosswalk</t>
        </is>
      </c>
      <c r="I478" t="inlineStr"/>
      <c r="J478" t="inlineStr">
        <is>
          <t>No Supported Match</t>
        </is>
      </c>
      <c r="K478" t="inlineStr">
        <is>
          <t>None</t>
        </is>
      </c>
      <c r="L478" t="inlineStr">
        <is>
          <t>Crosswalk Pending</t>
        </is>
      </c>
      <c r="M478" t="inlineStr">
        <is>
          <t>Open</t>
        </is>
      </c>
      <c r="N478" t="inlineStr"/>
    </row>
    <row r="479">
      <c r="A479" t="inlineStr">
        <is>
          <t>FKEX00478</t>
        </is>
      </c>
      <c r="B479" t="inlineStr">
        <is>
          <t>15 LL_Device</t>
        </is>
      </c>
      <c r="C479" t="inlineStr">
        <is>
          <t>tblDeviceModel</t>
        </is>
      </c>
      <c r="D479" t="n">
        <v>161</v>
      </c>
      <c r="E479" t="inlineStr">
        <is>
          <t>MOD000158</t>
        </is>
      </c>
      <c r="F479" t="inlineStr">
        <is>
          <t>ManufacturerID</t>
        </is>
      </c>
      <c r="G479" t="inlineStr">
        <is>
          <t>MFG002</t>
        </is>
      </c>
      <c r="H479" t="inlineStr">
        <is>
          <t>tblManufacturerIDCrosswalk</t>
        </is>
      </c>
      <c r="I479" t="inlineStr"/>
      <c r="J479" t="inlineStr">
        <is>
          <t>No Supported Match</t>
        </is>
      </c>
      <c r="K479" t="inlineStr">
        <is>
          <t>None</t>
        </is>
      </c>
      <c r="L479" t="inlineStr">
        <is>
          <t>Crosswalk Pending</t>
        </is>
      </c>
      <c r="M479" t="inlineStr">
        <is>
          <t>Open</t>
        </is>
      </c>
      <c r="N479" t="inlineStr"/>
    </row>
    <row r="480">
      <c r="A480" t="inlineStr">
        <is>
          <t>FKEX00479</t>
        </is>
      </c>
      <c r="B480" t="inlineStr">
        <is>
          <t>15 LL_Device</t>
        </is>
      </c>
      <c r="C480" t="inlineStr">
        <is>
          <t>tblDeviceModel</t>
        </is>
      </c>
      <c r="D480" t="n">
        <v>161</v>
      </c>
      <c r="E480" t="inlineStr">
        <is>
          <t>MOD000158</t>
        </is>
      </c>
      <c r="F480" t="inlineStr">
        <is>
          <t>DeviceFamilyID</t>
        </is>
      </c>
      <c r="G480" t="inlineStr">
        <is>
          <t>DF020</t>
        </is>
      </c>
      <c r="H480" t="inlineStr">
        <is>
          <t>tblDeviceFamilyIDCrosswalk</t>
        </is>
      </c>
      <c r="I480" t="inlineStr"/>
      <c r="J480" t="inlineStr">
        <is>
          <t>tblDeviceModel</t>
        </is>
      </c>
      <c r="K480" t="inlineStr">
        <is>
          <t>Exact ID</t>
        </is>
      </c>
      <c r="L480" t="inlineStr">
        <is>
          <t>Crosswalk Pending</t>
        </is>
      </c>
      <c r="M480" t="inlineStr">
        <is>
          <t>Open</t>
        </is>
      </c>
      <c r="N480" t="inlineStr"/>
    </row>
    <row r="481">
      <c r="A481" t="inlineStr">
        <is>
          <t>FKEX00480</t>
        </is>
      </c>
      <c r="B481" t="inlineStr">
        <is>
          <t>15 LL_Device</t>
        </is>
      </c>
      <c r="C481" t="inlineStr">
        <is>
          <t>tblDeviceModel</t>
        </is>
      </c>
      <c r="D481" t="n">
        <v>161</v>
      </c>
      <c r="E481" t="inlineStr">
        <is>
          <t>MOD000158</t>
        </is>
      </c>
      <c r="F481" t="inlineStr">
        <is>
          <t>DeviceTypeID</t>
        </is>
      </c>
      <c r="G481" t="inlineStr">
        <is>
          <t>DT001</t>
        </is>
      </c>
      <c r="H481" t="inlineStr">
        <is>
          <t>tblDeviceTypeIDCrosswalk</t>
        </is>
      </c>
      <c r="I481" t="inlineStr"/>
      <c r="J481" t="inlineStr">
        <is>
          <t>No Supported Match</t>
        </is>
      </c>
      <c r="K481" t="inlineStr">
        <is>
          <t>None</t>
        </is>
      </c>
      <c r="L481" t="inlineStr">
        <is>
          <t>Crosswalk Pending</t>
        </is>
      </c>
      <c r="M481" t="inlineStr">
        <is>
          <t>Open</t>
        </is>
      </c>
      <c r="N481" t="inlineStr"/>
    </row>
    <row r="482">
      <c r="A482" t="inlineStr">
        <is>
          <t>FKEX00481</t>
        </is>
      </c>
      <c r="B482" t="inlineStr">
        <is>
          <t>15 LL_Device</t>
        </is>
      </c>
      <c r="C482" t="inlineStr">
        <is>
          <t>tblDeviceModel</t>
        </is>
      </c>
      <c r="D482" t="n">
        <v>162</v>
      </c>
      <c r="E482" t="inlineStr">
        <is>
          <t>MOD000159</t>
        </is>
      </c>
      <c r="F482" t="inlineStr">
        <is>
          <t>ManufacturerID</t>
        </is>
      </c>
      <c r="G482" t="inlineStr">
        <is>
          <t>MFG002</t>
        </is>
      </c>
      <c r="H482" t="inlineStr">
        <is>
          <t>tblManufacturerIDCrosswalk</t>
        </is>
      </c>
      <c r="I482" t="inlineStr"/>
      <c r="J482" t="inlineStr">
        <is>
          <t>No Supported Match</t>
        </is>
      </c>
      <c r="K482" t="inlineStr">
        <is>
          <t>None</t>
        </is>
      </c>
      <c r="L482" t="inlineStr">
        <is>
          <t>Crosswalk Pending</t>
        </is>
      </c>
      <c r="M482" t="inlineStr">
        <is>
          <t>Open</t>
        </is>
      </c>
      <c r="N482" t="inlineStr"/>
    </row>
    <row r="483">
      <c r="A483" t="inlineStr">
        <is>
          <t>FKEX00482</t>
        </is>
      </c>
      <c r="B483" t="inlineStr">
        <is>
          <t>15 LL_Device</t>
        </is>
      </c>
      <c r="C483" t="inlineStr">
        <is>
          <t>tblDeviceModel</t>
        </is>
      </c>
      <c r="D483" t="n">
        <v>162</v>
      </c>
      <c r="E483" t="inlineStr">
        <is>
          <t>MOD000159</t>
        </is>
      </c>
      <c r="F483" t="inlineStr">
        <is>
          <t>DeviceFamilyID</t>
        </is>
      </c>
      <c r="G483" t="inlineStr">
        <is>
          <t>DF020</t>
        </is>
      </c>
      <c r="H483" t="inlineStr">
        <is>
          <t>tblDeviceFamilyIDCrosswalk</t>
        </is>
      </c>
      <c r="I483" t="inlineStr"/>
      <c r="J483" t="inlineStr">
        <is>
          <t>tblDeviceModel</t>
        </is>
      </c>
      <c r="K483" t="inlineStr">
        <is>
          <t>Exact ID</t>
        </is>
      </c>
      <c r="L483" t="inlineStr">
        <is>
          <t>Crosswalk Pending</t>
        </is>
      </c>
      <c r="M483" t="inlineStr">
        <is>
          <t>Open</t>
        </is>
      </c>
      <c r="N483" t="inlineStr"/>
    </row>
    <row r="484">
      <c r="A484" t="inlineStr">
        <is>
          <t>FKEX00483</t>
        </is>
      </c>
      <c r="B484" t="inlineStr">
        <is>
          <t>15 LL_Device</t>
        </is>
      </c>
      <c r="C484" t="inlineStr">
        <is>
          <t>tblDeviceModel</t>
        </is>
      </c>
      <c r="D484" t="n">
        <v>162</v>
      </c>
      <c r="E484" t="inlineStr">
        <is>
          <t>MOD000159</t>
        </is>
      </c>
      <c r="F484" t="inlineStr">
        <is>
          <t>DeviceTypeID</t>
        </is>
      </c>
      <c r="G484" t="inlineStr">
        <is>
          <t>DT001</t>
        </is>
      </c>
      <c r="H484" t="inlineStr">
        <is>
          <t>tblDeviceTypeIDCrosswalk</t>
        </is>
      </c>
      <c r="I484" t="inlineStr"/>
      <c r="J484" t="inlineStr">
        <is>
          <t>No Supported Match</t>
        </is>
      </c>
      <c r="K484" t="inlineStr">
        <is>
          <t>None</t>
        </is>
      </c>
      <c r="L484" t="inlineStr">
        <is>
          <t>Crosswalk Pending</t>
        </is>
      </c>
      <c r="M484" t="inlineStr">
        <is>
          <t>Open</t>
        </is>
      </c>
      <c r="N484" t="inlineStr"/>
    </row>
    <row r="485">
      <c r="A485" t="inlineStr">
        <is>
          <t>FKEX00484</t>
        </is>
      </c>
      <c r="B485" t="inlineStr">
        <is>
          <t>15 LL_Device</t>
        </is>
      </c>
      <c r="C485" t="inlineStr">
        <is>
          <t>tblDeviceModel</t>
        </is>
      </c>
      <c r="D485" t="n">
        <v>163</v>
      </c>
      <c r="E485" t="inlineStr">
        <is>
          <t>MOD000160</t>
        </is>
      </c>
      <c r="F485" t="inlineStr">
        <is>
          <t>ManufacturerID</t>
        </is>
      </c>
      <c r="G485" t="inlineStr">
        <is>
          <t>MFG002</t>
        </is>
      </c>
      <c r="H485" t="inlineStr">
        <is>
          <t>tblManufacturerIDCrosswalk</t>
        </is>
      </c>
      <c r="I485" t="inlineStr"/>
      <c r="J485" t="inlineStr">
        <is>
          <t>No Supported Match</t>
        </is>
      </c>
      <c r="K485" t="inlineStr">
        <is>
          <t>None</t>
        </is>
      </c>
      <c r="L485" t="inlineStr">
        <is>
          <t>Crosswalk Pending</t>
        </is>
      </c>
      <c r="M485" t="inlineStr">
        <is>
          <t>Open</t>
        </is>
      </c>
      <c r="N485" t="inlineStr"/>
    </row>
    <row r="486">
      <c r="A486" t="inlineStr">
        <is>
          <t>FKEX00485</t>
        </is>
      </c>
      <c r="B486" t="inlineStr">
        <is>
          <t>15 LL_Device</t>
        </is>
      </c>
      <c r="C486" t="inlineStr">
        <is>
          <t>tblDeviceModel</t>
        </is>
      </c>
      <c r="D486" t="n">
        <v>163</v>
      </c>
      <c r="E486" t="inlineStr">
        <is>
          <t>MOD000160</t>
        </is>
      </c>
      <c r="F486" t="inlineStr">
        <is>
          <t>DeviceFamilyID</t>
        </is>
      </c>
      <c r="G486" t="inlineStr">
        <is>
          <t>DF020</t>
        </is>
      </c>
      <c r="H486" t="inlineStr">
        <is>
          <t>tblDeviceFamilyIDCrosswalk</t>
        </is>
      </c>
      <c r="I486" t="inlineStr"/>
      <c r="J486" t="inlineStr">
        <is>
          <t>tblDeviceModel</t>
        </is>
      </c>
      <c r="K486" t="inlineStr">
        <is>
          <t>Exact ID</t>
        </is>
      </c>
      <c r="L486" t="inlineStr">
        <is>
          <t>Crosswalk Pending</t>
        </is>
      </c>
      <c r="M486" t="inlineStr">
        <is>
          <t>Open</t>
        </is>
      </c>
      <c r="N486" t="inlineStr"/>
    </row>
    <row r="487">
      <c r="A487" t="inlineStr">
        <is>
          <t>FKEX00486</t>
        </is>
      </c>
      <c r="B487" t="inlineStr">
        <is>
          <t>15 LL_Device</t>
        </is>
      </c>
      <c r="C487" t="inlineStr">
        <is>
          <t>tblDeviceModel</t>
        </is>
      </c>
      <c r="D487" t="n">
        <v>163</v>
      </c>
      <c r="E487" t="inlineStr">
        <is>
          <t>MOD000160</t>
        </is>
      </c>
      <c r="F487" t="inlineStr">
        <is>
          <t>DeviceTypeID</t>
        </is>
      </c>
      <c r="G487" t="inlineStr">
        <is>
          <t>DT001</t>
        </is>
      </c>
      <c r="H487" t="inlineStr">
        <is>
          <t>tblDeviceTypeIDCrosswalk</t>
        </is>
      </c>
      <c r="I487" t="inlineStr"/>
      <c r="J487" t="inlineStr">
        <is>
          <t>No Supported Match</t>
        </is>
      </c>
      <c r="K487" t="inlineStr">
        <is>
          <t>None</t>
        </is>
      </c>
      <c r="L487" t="inlineStr">
        <is>
          <t>Crosswalk Pending</t>
        </is>
      </c>
      <c r="M487" t="inlineStr">
        <is>
          <t>Open</t>
        </is>
      </c>
      <c r="N487" t="inlineStr"/>
    </row>
    <row r="488">
      <c r="A488" t="inlineStr">
        <is>
          <t>FKEX00487</t>
        </is>
      </c>
      <c r="B488" t="inlineStr">
        <is>
          <t>15 LL_Device</t>
        </is>
      </c>
      <c r="C488" t="inlineStr">
        <is>
          <t>tblDeviceModel</t>
        </is>
      </c>
      <c r="D488" t="n">
        <v>164</v>
      </c>
      <c r="E488" t="inlineStr">
        <is>
          <t>MOD000161</t>
        </is>
      </c>
      <c r="F488" t="inlineStr">
        <is>
          <t>ManufacturerID</t>
        </is>
      </c>
      <c r="G488" t="inlineStr">
        <is>
          <t>MFG002</t>
        </is>
      </c>
      <c r="H488" t="inlineStr">
        <is>
          <t>tblManufacturerIDCrosswalk</t>
        </is>
      </c>
      <c r="I488" t="inlineStr"/>
      <c r="J488" t="inlineStr">
        <is>
          <t>No Supported Match</t>
        </is>
      </c>
      <c r="K488" t="inlineStr">
        <is>
          <t>None</t>
        </is>
      </c>
      <c r="L488" t="inlineStr">
        <is>
          <t>Crosswalk Pending</t>
        </is>
      </c>
      <c r="M488" t="inlineStr">
        <is>
          <t>Open</t>
        </is>
      </c>
      <c r="N488" t="inlineStr"/>
    </row>
    <row r="489">
      <c r="A489" t="inlineStr">
        <is>
          <t>FKEX00488</t>
        </is>
      </c>
      <c r="B489" t="inlineStr">
        <is>
          <t>15 LL_Device</t>
        </is>
      </c>
      <c r="C489" t="inlineStr">
        <is>
          <t>tblDeviceModel</t>
        </is>
      </c>
      <c r="D489" t="n">
        <v>164</v>
      </c>
      <c r="E489" t="inlineStr">
        <is>
          <t>MOD000161</t>
        </is>
      </c>
      <c r="F489" t="inlineStr">
        <is>
          <t>DeviceFamilyID</t>
        </is>
      </c>
      <c r="G489" t="inlineStr">
        <is>
          <t>DF020</t>
        </is>
      </c>
      <c r="H489" t="inlineStr">
        <is>
          <t>tblDeviceFamilyIDCrosswalk</t>
        </is>
      </c>
      <c r="I489" t="inlineStr"/>
      <c r="J489" t="inlineStr">
        <is>
          <t>tblDeviceModel</t>
        </is>
      </c>
      <c r="K489" t="inlineStr">
        <is>
          <t>Exact ID</t>
        </is>
      </c>
      <c r="L489" t="inlineStr">
        <is>
          <t>Crosswalk Pending</t>
        </is>
      </c>
      <c r="M489" t="inlineStr">
        <is>
          <t>Open</t>
        </is>
      </c>
      <c r="N489" t="inlineStr"/>
    </row>
    <row r="490">
      <c r="A490" t="inlineStr">
        <is>
          <t>FKEX00489</t>
        </is>
      </c>
      <c r="B490" t="inlineStr">
        <is>
          <t>15 LL_Device</t>
        </is>
      </c>
      <c r="C490" t="inlineStr">
        <is>
          <t>tblDeviceModel</t>
        </is>
      </c>
      <c r="D490" t="n">
        <v>164</v>
      </c>
      <c r="E490" t="inlineStr">
        <is>
          <t>MOD000161</t>
        </is>
      </c>
      <c r="F490" t="inlineStr">
        <is>
          <t>DeviceTypeID</t>
        </is>
      </c>
      <c r="G490" t="inlineStr">
        <is>
          <t>DT001</t>
        </is>
      </c>
      <c r="H490" t="inlineStr">
        <is>
          <t>tblDeviceTypeIDCrosswalk</t>
        </is>
      </c>
      <c r="I490" t="inlineStr"/>
      <c r="J490" t="inlineStr">
        <is>
          <t>No Supported Match</t>
        </is>
      </c>
      <c r="K490" t="inlineStr">
        <is>
          <t>None</t>
        </is>
      </c>
      <c r="L490" t="inlineStr">
        <is>
          <t>Crosswalk Pending</t>
        </is>
      </c>
      <c r="M490" t="inlineStr">
        <is>
          <t>Open</t>
        </is>
      </c>
      <c r="N490" t="inlineStr"/>
    </row>
    <row r="491">
      <c r="A491" t="inlineStr">
        <is>
          <t>FKEX00490</t>
        </is>
      </c>
      <c r="B491" t="inlineStr">
        <is>
          <t>15 LL_Device</t>
        </is>
      </c>
      <c r="C491" t="inlineStr">
        <is>
          <t>tblDeviceModel</t>
        </is>
      </c>
      <c r="D491" t="n">
        <v>165</v>
      </c>
      <c r="E491" t="inlineStr">
        <is>
          <t>MOD000162</t>
        </is>
      </c>
      <c r="F491" t="inlineStr">
        <is>
          <t>ManufacturerID</t>
        </is>
      </c>
      <c r="G491" t="inlineStr">
        <is>
          <t>MFG002</t>
        </is>
      </c>
      <c r="H491" t="inlineStr">
        <is>
          <t>tblManufacturerIDCrosswalk</t>
        </is>
      </c>
      <c r="I491" t="inlineStr"/>
      <c r="J491" t="inlineStr">
        <is>
          <t>No Supported Match</t>
        </is>
      </c>
      <c r="K491" t="inlineStr">
        <is>
          <t>None</t>
        </is>
      </c>
      <c r="L491" t="inlineStr">
        <is>
          <t>Crosswalk Pending</t>
        </is>
      </c>
      <c r="M491" t="inlineStr">
        <is>
          <t>Open</t>
        </is>
      </c>
      <c r="N491" t="inlineStr"/>
    </row>
    <row r="492">
      <c r="A492" t="inlineStr">
        <is>
          <t>FKEX00491</t>
        </is>
      </c>
      <c r="B492" t="inlineStr">
        <is>
          <t>15 LL_Device</t>
        </is>
      </c>
      <c r="C492" t="inlineStr">
        <is>
          <t>tblDeviceModel</t>
        </is>
      </c>
      <c r="D492" t="n">
        <v>165</v>
      </c>
      <c r="E492" t="inlineStr">
        <is>
          <t>MOD000162</t>
        </is>
      </c>
      <c r="F492" t="inlineStr">
        <is>
          <t>DeviceFamilyID</t>
        </is>
      </c>
      <c r="G492" t="inlineStr">
        <is>
          <t>DF020</t>
        </is>
      </c>
      <c r="H492" t="inlineStr">
        <is>
          <t>tblDeviceFamilyIDCrosswalk</t>
        </is>
      </c>
      <c r="I492" t="inlineStr"/>
      <c r="J492" t="inlineStr">
        <is>
          <t>tblDeviceModel</t>
        </is>
      </c>
      <c r="K492" t="inlineStr">
        <is>
          <t>Exact ID</t>
        </is>
      </c>
      <c r="L492" t="inlineStr">
        <is>
          <t>Crosswalk Pending</t>
        </is>
      </c>
      <c r="M492" t="inlineStr">
        <is>
          <t>Open</t>
        </is>
      </c>
      <c r="N492" t="inlineStr"/>
    </row>
    <row r="493">
      <c r="A493" t="inlineStr">
        <is>
          <t>FKEX00492</t>
        </is>
      </c>
      <c r="B493" t="inlineStr">
        <is>
          <t>15 LL_Device</t>
        </is>
      </c>
      <c r="C493" t="inlineStr">
        <is>
          <t>tblDeviceModel</t>
        </is>
      </c>
      <c r="D493" t="n">
        <v>165</v>
      </c>
      <c r="E493" t="inlineStr">
        <is>
          <t>MOD000162</t>
        </is>
      </c>
      <c r="F493" t="inlineStr">
        <is>
          <t>DeviceTypeID</t>
        </is>
      </c>
      <c r="G493" t="inlineStr">
        <is>
          <t>DT001</t>
        </is>
      </c>
      <c r="H493" t="inlineStr">
        <is>
          <t>tblDeviceTypeIDCrosswalk</t>
        </is>
      </c>
      <c r="I493" t="inlineStr"/>
      <c r="J493" t="inlineStr">
        <is>
          <t>No Supported Match</t>
        </is>
      </c>
      <c r="K493" t="inlineStr">
        <is>
          <t>None</t>
        </is>
      </c>
      <c r="L493" t="inlineStr">
        <is>
          <t>Crosswalk Pending</t>
        </is>
      </c>
      <c r="M493" t="inlineStr">
        <is>
          <t>Open</t>
        </is>
      </c>
      <c r="N493" t="inlineStr"/>
    </row>
    <row r="494">
      <c r="A494" t="inlineStr">
        <is>
          <t>FKEX00493</t>
        </is>
      </c>
      <c r="B494" t="inlineStr">
        <is>
          <t>15 LL_Device</t>
        </is>
      </c>
      <c r="C494" t="inlineStr">
        <is>
          <t>tblDeviceModel</t>
        </is>
      </c>
      <c r="D494" t="n">
        <v>166</v>
      </c>
      <c r="E494" t="inlineStr">
        <is>
          <t>MOD000163</t>
        </is>
      </c>
      <c r="F494" t="inlineStr">
        <is>
          <t>ManufacturerID</t>
        </is>
      </c>
      <c r="G494" t="inlineStr">
        <is>
          <t>MFG002</t>
        </is>
      </c>
      <c r="H494" t="inlineStr">
        <is>
          <t>tblManufacturerIDCrosswalk</t>
        </is>
      </c>
      <c r="I494" t="inlineStr"/>
      <c r="J494" t="inlineStr">
        <is>
          <t>No Supported Match</t>
        </is>
      </c>
      <c r="K494" t="inlineStr">
        <is>
          <t>None</t>
        </is>
      </c>
      <c r="L494" t="inlineStr">
        <is>
          <t>Crosswalk Pending</t>
        </is>
      </c>
      <c r="M494" t="inlineStr">
        <is>
          <t>Open</t>
        </is>
      </c>
      <c r="N494" t="inlineStr"/>
    </row>
    <row r="495">
      <c r="A495" t="inlineStr">
        <is>
          <t>FKEX00494</t>
        </is>
      </c>
      <c r="B495" t="inlineStr">
        <is>
          <t>15 LL_Device</t>
        </is>
      </c>
      <c r="C495" t="inlineStr">
        <is>
          <t>tblDeviceModel</t>
        </is>
      </c>
      <c r="D495" t="n">
        <v>166</v>
      </c>
      <c r="E495" t="inlineStr">
        <is>
          <t>MOD000163</t>
        </is>
      </c>
      <c r="F495" t="inlineStr">
        <is>
          <t>DeviceFamilyID</t>
        </is>
      </c>
      <c r="G495" t="inlineStr">
        <is>
          <t>DF020</t>
        </is>
      </c>
      <c r="H495" t="inlineStr">
        <is>
          <t>tblDeviceFamilyIDCrosswalk</t>
        </is>
      </c>
      <c r="I495" t="inlineStr"/>
      <c r="J495" t="inlineStr">
        <is>
          <t>tblDeviceModel</t>
        </is>
      </c>
      <c r="K495" t="inlineStr">
        <is>
          <t>Exact ID</t>
        </is>
      </c>
      <c r="L495" t="inlineStr">
        <is>
          <t>Crosswalk Pending</t>
        </is>
      </c>
      <c r="M495" t="inlineStr">
        <is>
          <t>Open</t>
        </is>
      </c>
      <c r="N495" t="inlineStr"/>
    </row>
    <row r="496">
      <c r="A496" t="inlineStr">
        <is>
          <t>FKEX00495</t>
        </is>
      </c>
      <c r="B496" t="inlineStr">
        <is>
          <t>15 LL_Device</t>
        </is>
      </c>
      <c r="C496" t="inlineStr">
        <is>
          <t>tblDeviceModel</t>
        </is>
      </c>
      <c r="D496" t="n">
        <v>166</v>
      </c>
      <c r="E496" t="inlineStr">
        <is>
          <t>MOD000163</t>
        </is>
      </c>
      <c r="F496" t="inlineStr">
        <is>
          <t>DeviceTypeID</t>
        </is>
      </c>
      <c r="G496" t="inlineStr">
        <is>
          <t>DT001</t>
        </is>
      </c>
      <c r="H496" t="inlineStr">
        <is>
          <t>tblDeviceTypeIDCrosswalk</t>
        </is>
      </c>
      <c r="I496" t="inlineStr"/>
      <c r="J496" t="inlineStr">
        <is>
          <t>No Supported Match</t>
        </is>
      </c>
      <c r="K496" t="inlineStr">
        <is>
          <t>None</t>
        </is>
      </c>
      <c r="L496" t="inlineStr">
        <is>
          <t>Crosswalk Pending</t>
        </is>
      </c>
      <c r="M496" t="inlineStr">
        <is>
          <t>Open</t>
        </is>
      </c>
      <c r="N496" t="inlineStr"/>
    </row>
    <row r="497">
      <c r="A497" t="inlineStr">
        <is>
          <t>FKEX00496</t>
        </is>
      </c>
      <c r="B497" t="inlineStr">
        <is>
          <t>15 LL_Device</t>
        </is>
      </c>
      <c r="C497" t="inlineStr">
        <is>
          <t>tblDeviceModel</t>
        </is>
      </c>
      <c r="D497" t="n">
        <v>167</v>
      </c>
      <c r="E497" t="inlineStr">
        <is>
          <t>MOD000164</t>
        </is>
      </c>
      <c r="F497" t="inlineStr">
        <is>
          <t>ManufacturerID</t>
        </is>
      </c>
      <c r="G497" t="inlineStr">
        <is>
          <t>MFG002</t>
        </is>
      </c>
      <c r="H497" t="inlineStr">
        <is>
          <t>tblManufacturerIDCrosswalk</t>
        </is>
      </c>
      <c r="I497" t="inlineStr"/>
      <c r="J497" t="inlineStr">
        <is>
          <t>No Supported Match</t>
        </is>
      </c>
      <c r="K497" t="inlineStr">
        <is>
          <t>None</t>
        </is>
      </c>
      <c r="L497" t="inlineStr">
        <is>
          <t>Crosswalk Pending</t>
        </is>
      </c>
      <c r="M497" t="inlineStr">
        <is>
          <t>Open</t>
        </is>
      </c>
      <c r="N497" t="inlineStr"/>
    </row>
    <row r="498">
      <c r="A498" t="inlineStr">
        <is>
          <t>FKEX00497</t>
        </is>
      </c>
      <c r="B498" t="inlineStr">
        <is>
          <t>15 LL_Device</t>
        </is>
      </c>
      <c r="C498" t="inlineStr">
        <is>
          <t>tblDeviceModel</t>
        </is>
      </c>
      <c r="D498" t="n">
        <v>167</v>
      </c>
      <c r="E498" t="inlineStr">
        <is>
          <t>MOD000164</t>
        </is>
      </c>
      <c r="F498" t="inlineStr">
        <is>
          <t>DeviceFamilyID</t>
        </is>
      </c>
      <c r="G498" t="inlineStr">
        <is>
          <t>DF020</t>
        </is>
      </c>
      <c r="H498" t="inlineStr">
        <is>
          <t>tblDeviceFamilyIDCrosswalk</t>
        </is>
      </c>
      <c r="I498" t="inlineStr"/>
      <c r="J498" t="inlineStr">
        <is>
          <t>tblDeviceModel</t>
        </is>
      </c>
      <c r="K498" t="inlineStr">
        <is>
          <t>Exact ID</t>
        </is>
      </c>
      <c r="L498" t="inlineStr">
        <is>
          <t>Crosswalk Pending</t>
        </is>
      </c>
      <c r="M498" t="inlineStr">
        <is>
          <t>Open</t>
        </is>
      </c>
      <c r="N498" t="inlineStr"/>
    </row>
    <row r="499">
      <c r="A499" t="inlineStr">
        <is>
          <t>FKEX00498</t>
        </is>
      </c>
      <c r="B499" t="inlineStr">
        <is>
          <t>15 LL_Device</t>
        </is>
      </c>
      <c r="C499" t="inlineStr">
        <is>
          <t>tblDeviceModel</t>
        </is>
      </c>
      <c r="D499" t="n">
        <v>167</v>
      </c>
      <c r="E499" t="inlineStr">
        <is>
          <t>MOD000164</t>
        </is>
      </c>
      <c r="F499" t="inlineStr">
        <is>
          <t>DeviceTypeID</t>
        </is>
      </c>
      <c r="G499" t="inlineStr">
        <is>
          <t>DT001</t>
        </is>
      </c>
      <c r="H499" t="inlineStr">
        <is>
          <t>tblDeviceTypeIDCrosswalk</t>
        </is>
      </c>
      <c r="I499" t="inlineStr"/>
      <c r="J499" t="inlineStr">
        <is>
          <t>No Supported Match</t>
        </is>
      </c>
      <c r="K499" t="inlineStr">
        <is>
          <t>None</t>
        </is>
      </c>
      <c r="L499" t="inlineStr">
        <is>
          <t>Crosswalk Pending</t>
        </is>
      </c>
      <c r="M499" t="inlineStr">
        <is>
          <t>Open</t>
        </is>
      </c>
      <c r="N499" t="inlineStr"/>
    </row>
    <row r="500">
      <c r="A500" t="inlineStr">
        <is>
          <t>FKEX00499</t>
        </is>
      </c>
      <c r="B500" t="inlineStr">
        <is>
          <t>15 LL_Device</t>
        </is>
      </c>
      <c r="C500" t="inlineStr">
        <is>
          <t>tblDeviceModel</t>
        </is>
      </c>
      <c r="D500" t="n">
        <v>168</v>
      </c>
      <c r="E500" t="inlineStr">
        <is>
          <t>MOD000165</t>
        </is>
      </c>
      <c r="F500" t="inlineStr">
        <is>
          <t>ManufacturerID</t>
        </is>
      </c>
      <c r="G500" t="inlineStr">
        <is>
          <t>MFG002</t>
        </is>
      </c>
      <c r="H500" t="inlineStr">
        <is>
          <t>tblManufacturerIDCrosswalk</t>
        </is>
      </c>
      <c r="I500" t="inlineStr"/>
      <c r="J500" t="inlineStr">
        <is>
          <t>No Supported Match</t>
        </is>
      </c>
      <c r="K500" t="inlineStr">
        <is>
          <t>None</t>
        </is>
      </c>
      <c r="L500" t="inlineStr">
        <is>
          <t>Crosswalk Pending</t>
        </is>
      </c>
      <c r="M500" t="inlineStr">
        <is>
          <t>Open</t>
        </is>
      </c>
      <c r="N500" t="inlineStr"/>
    </row>
    <row r="501">
      <c r="A501" t="inlineStr">
        <is>
          <t>FKEX00500</t>
        </is>
      </c>
      <c r="B501" t="inlineStr">
        <is>
          <t>15 LL_Device</t>
        </is>
      </c>
      <c r="C501" t="inlineStr">
        <is>
          <t>tblDeviceModel</t>
        </is>
      </c>
      <c r="D501" t="n">
        <v>168</v>
      </c>
      <c r="E501" t="inlineStr">
        <is>
          <t>MOD000165</t>
        </is>
      </c>
      <c r="F501" t="inlineStr">
        <is>
          <t>DeviceFamilyID</t>
        </is>
      </c>
      <c r="G501" t="inlineStr">
        <is>
          <t>DF020</t>
        </is>
      </c>
      <c r="H501" t="inlineStr">
        <is>
          <t>tblDeviceFamilyIDCrosswalk</t>
        </is>
      </c>
      <c r="I501" t="inlineStr"/>
      <c r="J501" t="inlineStr">
        <is>
          <t>tblDeviceModel</t>
        </is>
      </c>
      <c r="K501" t="inlineStr">
        <is>
          <t>Exact ID</t>
        </is>
      </c>
      <c r="L501" t="inlineStr">
        <is>
          <t>Crosswalk Pending</t>
        </is>
      </c>
      <c r="M501" t="inlineStr">
        <is>
          <t>Open</t>
        </is>
      </c>
      <c r="N501" t="inlineStr"/>
    </row>
    <row r="502">
      <c r="A502" t="inlineStr">
        <is>
          <t>FKEX00501</t>
        </is>
      </c>
      <c r="B502" t="inlineStr">
        <is>
          <t>15 LL_Device</t>
        </is>
      </c>
      <c r="C502" t="inlineStr">
        <is>
          <t>tblDeviceModel</t>
        </is>
      </c>
      <c r="D502" t="n">
        <v>168</v>
      </c>
      <c r="E502" t="inlineStr">
        <is>
          <t>MOD000165</t>
        </is>
      </c>
      <c r="F502" t="inlineStr">
        <is>
          <t>DeviceTypeID</t>
        </is>
      </c>
      <c r="G502" t="inlineStr">
        <is>
          <t>DT001</t>
        </is>
      </c>
      <c r="H502" t="inlineStr">
        <is>
          <t>tblDeviceTypeIDCrosswalk</t>
        </is>
      </c>
      <c r="I502" t="inlineStr"/>
      <c r="J502" t="inlineStr">
        <is>
          <t>No Supported Match</t>
        </is>
      </c>
      <c r="K502" t="inlineStr">
        <is>
          <t>None</t>
        </is>
      </c>
      <c r="L502" t="inlineStr">
        <is>
          <t>Crosswalk Pending</t>
        </is>
      </c>
      <c r="M502" t="inlineStr">
        <is>
          <t>Open</t>
        </is>
      </c>
      <c r="N502" t="inlineStr"/>
    </row>
    <row r="503">
      <c r="A503" t="inlineStr">
        <is>
          <t>FKEX00502</t>
        </is>
      </c>
      <c r="B503" t="inlineStr">
        <is>
          <t>15 LL_Device</t>
        </is>
      </c>
      <c r="C503" t="inlineStr">
        <is>
          <t>tblDeviceModel</t>
        </is>
      </c>
      <c r="D503" t="n">
        <v>169</v>
      </c>
      <c r="E503" t="inlineStr">
        <is>
          <t>MOD000166</t>
        </is>
      </c>
      <c r="F503" t="inlineStr">
        <is>
          <t>ManufacturerID</t>
        </is>
      </c>
      <c r="G503" t="inlineStr">
        <is>
          <t>MFG002</t>
        </is>
      </c>
      <c r="H503" t="inlineStr">
        <is>
          <t>tblManufacturerIDCrosswalk</t>
        </is>
      </c>
      <c r="I503" t="inlineStr"/>
      <c r="J503" t="inlineStr">
        <is>
          <t>No Supported Match</t>
        </is>
      </c>
      <c r="K503" t="inlineStr">
        <is>
          <t>None</t>
        </is>
      </c>
      <c r="L503" t="inlineStr">
        <is>
          <t>Crosswalk Pending</t>
        </is>
      </c>
      <c r="M503" t="inlineStr">
        <is>
          <t>Open</t>
        </is>
      </c>
      <c r="N503" t="inlineStr"/>
    </row>
    <row r="504">
      <c r="A504" t="inlineStr">
        <is>
          <t>FKEX00503</t>
        </is>
      </c>
      <c r="B504" t="inlineStr">
        <is>
          <t>15 LL_Device</t>
        </is>
      </c>
      <c r="C504" t="inlineStr">
        <is>
          <t>tblDeviceModel</t>
        </is>
      </c>
      <c r="D504" t="n">
        <v>169</v>
      </c>
      <c r="E504" t="inlineStr">
        <is>
          <t>MOD000166</t>
        </is>
      </c>
      <c r="F504" t="inlineStr">
        <is>
          <t>DeviceFamilyID</t>
        </is>
      </c>
      <c r="G504" t="inlineStr">
        <is>
          <t>DF020</t>
        </is>
      </c>
      <c r="H504" t="inlineStr">
        <is>
          <t>tblDeviceFamilyIDCrosswalk</t>
        </is>
      </c>
      <c r="I504" t="inlineStr"/>
      <c r="J504" t="inlineStr">
        <is>
          <t>tblDeviceModel</t>
        </is>
      </c>
      <c r="K504" t="inlineStr">
        <is>
          <t>Exact ID</t>
        </is>
      </c>
      <c r="L504" t="inlineStr">
        <is>
          <t>Crosswalk Pending</t>
        </is>
      </c>
      <c r="M504" t="inlineStr">
        <is>
          <t>Open</t>
        </is>
      </c>
      <c r="N504" t="inlineStr"/>
    </row>
    <row r="505">
      <c r="A505" t="inlineStr">
        <is>
          <t>FKEX00504</t>
        </is>
      </c>
      <c r="B505" t="inlineStr">
        <is>
          <t>15 LL_Device</t>
        </is>
      </c>
      <c r="C505" t="inlineStr">
        <is>
          <t>tblDeviceModel</t>
        </is>
      </c>
      <c r="D505" t="n">
        <v>169</v>
      </c>
      <c r="E505" t="inlineStr">
        <is>
          <t>MOD000166</t>
        </is>
      </c>
      <c r="F505" t="inlineStr">
        <is>
          <t>DeviceTypeID</t>
        </is>
      </c>
      <c r="G505" t="inlineStr">
        <is>
          <t>DT001</t>
        </is>
      </c>
      <c r="H505" t="inlineStr">
        <is>
          <t>tblDeviceTypeIDCrosswalk</t>
        </is>
      </c>
      <c r="I505" t="inlineStr"/>
      <c r="J505" t="inlineStr">
        <is>
          <t>No Supported Match</t>
        </is>
      </c>
      <c r="K505" t="inlineStr">
        <is>
          <t>None</t>
        </is>
      </c>
      <c r="L505" t="inlineStr">
        <is>
          <t>Crosswalk Pending</t>
        </is>
      </c>
      <c r="M505" t="inlineStr">
        <is>
          <t>Open</t>
        </is>
      </c>
      <c r="N505" t="inlineStr"/>
    </row>
    <row r="506">
      <c r="A506" t="inlineStr">
        <is>
          <t>FKEX00505</t>
        </is>
      </c>
      <c r="B506" t="inlineStr">
        <is>
          <t>15 LL_Device</t>
        </is>
      </c>
      <c r="C506" t="inlineStr">
        <is>
          <t>tblDeviceModel</t>
        </is>
      </c>
      <c r="D506" t="n">
        <v>170</v>
      </c>
      <c r="E506" t="inlineStr">
        <is>
          <t>MOD000167</t>
        </is>
      </c>
      <c r="F506" t="inlineStr">
        <is>
          <t>ManufacturerID</t>
        </is>
      </c>
      <c r="G506" t="inlineStr">
        <is>
          <t>MFG002</t>
        </is>
      </c>
      <c r="H506" t="inlineStr">
        <is>
          <t>tblManufacturerIDCrosswalk</t>
        </is>
      </c>
      <c r="I506" t="inlineStr"/>
      <c r="J506" t="inlineStr">
        <is>
          <t>No Supported Match</t>
        </is>
      </c>
      <c r="K506" t="inlineStr">
        <is>
          <t>None</t>
        </is>
      </c>
      <c r="L506" t="inlineStr">
        <is>
          <t>Crosswalk Pending</t>
        </is>
      </c>
      <c r="M506" t="inlineStr">
        <is>
          <t>Open</t>
        </is>
      </c>
      <c r="N506" t="inlineStr"/>
    </row>
    <row r="507">
      <c r="A507" t="inlineStr">
        <is>
          <t>FKEX00506</t>
        </is>
      </c>
      <c r="B507" t="inlineStr">
        <is>
          <t>15 LL_Device</t>
        </is>
      </c>
      <c r="C507" t="inlineStr">
        <is>
          <t>tblDeviceModel</t>
        </is>
      </c>
      <c r="D507" t="n">
        <v>170</v>
      </c>
      <c r="E507" t="inlineStr">
        <is>
          <t>MOD000167</t>
        </is>
      </c>
      <c r="F507" t="inlineStr">
        <is>
          <t>DeviceFamilyID</t>
        </is>
      </c>
      <c r="G507" t="inlineStr">
        <is>
          <t>DF020</t>
        </is>
      </c>
      <c r="H507" t="inlineStr">
        <is>
          <t>tblDeviceFamilyIDCrosswalk</t>
        </is>
      </c>
      <c r="I507" t="inlineStr"/>
      <c r="J507" t="inlineStr">
        <is>
          <t>tblDeviceModel</t>
        </is>
      </c>
      <c r="K507" t="inlineStr">
        <is>
          <t>Exact ID</t>
        </is>
      </c>
      <c r="L507" t="inlineStr">
        <is>
          <t>Crosswalk Pending</t>
        </is>
      </c>
      <c r="M507" t="inlineStr">
        <is>
          <t>Open</t>
        </is>
      </c>
      <c r="N507" t="inlineStr"/>
    </row>
    <row r="508">
      <c r="A508" t="inlineStr">
        <is>
          <t>FKEX00507</t>
        </is>
      </c>
      <c r="B508" t="inlineStr">
        <is>
          <t>15 LL_Device</t>
        </is>
      </c>
      <c r="C508" t="inlineStr">
        <is>
          <t>tblDeviceModel</t>
        </is>
      </c>
      <c r="D508" t="n">
        <v>170</v>
      </c>
      <c r="E508" t="inlineStr">
        <is>
          <t>MOD000167</t>
        </is>
      </c>
      <c r="F508" t="inlineStr">
        <is>
          <t>DeviceTypeID</t>
        </is>
      </c>
      <c r="G508" t="inlineStr">
        <is>
          <t>DT001</t>
        </is>
      </c>
      <c r="H508" t="inlineStr">
        <is>
          <t>tblDeviceTypeIDCrosswalk</t>
        </is>
      </c>
      <c r="I508" t="inlineStr"/>
      <c r="J508" t="inlineStr">
        <is>
          <t>No Supported Match</t>
        </is>
      </c>
      <c r="K508" t="inlineStr">
        <is>
          <t>None</t>
        </is>
      </c>
      <c r="L508" t="inlineStr">
        <is>
          <t>Crosswalk Pending</t>
        </is>
      </c>
      <c r="M508" t="inlineStr">
        <is>
          <t>Open</t>
        </is>
      </c>
      <c r="N508" t="inlineStr"/>
    </row>
    <row r="509">
      <c r="A509" t="inlineStr">
        <is>
          <t>FKEX00508</t>
        </is>
      </c>
      <c r="B509" t="inlineStr">
        <is>
          <t>15 LL_Device</t>
        </is>
      </c>
      <c r="C509" t="inlineStr">
        <is>
          <t>tblDeviceModel</t>
        </is>
      </c>
      <c r="D509" t="n">
        <v>171</v>
      </c>
      <c r="E509" t="inlineStr">
        <is>
          <t>MOD000168</t>
        </is>
      </c>
      <c r="F509" t="inlineStr">
        <is>
          <t>ManufacturerID</t>
        </is>
      </c>
      <c r="G509" t="inlineStr">
        <is>
          <t>MFG002</t>
        </is>
      </c>
      <c r="H509" t="inlineStr">
        <is>
          <t>tblManufacturerIDCrosswalk</t>
        </is>
      </c>
      <c r="I509" t="inlineStr"/>
      <c r="J509" t="inlineStr">
        <is>
          <t>No Supported Match</t>
        </is>
      </c>
      <c r="K509" t="inlineStr">
        <is>
          <t>None</t>
        </is>
      </c>
      <c r="L509" t="inlineStr">
        <is>
          <t>Crosswalk Pending</t>
        </is>
      </c>
      <c r="M509" t="inlineStr">
        <is>
          <t>Open</t>
        </is>
      </c>
      <c r="N509" t="inlineStr"/>
    </row>
    <row r="510">
      <c r="A510" t="inlineStr">
        <is>
          <t>FKEX00509</t>
        </is>
      </c>
      <c r="B510" t="inlineStr">
        <is>
          <t>15 LL_Device</t>
        </is>
      </c>
      <c r="C510" t="inlineStr">
        <is>
          <t>tblDeviceModel</t>
        </is>
      </c>
      <c r="D510" t="n">
        <v>171</v>
      </c>
      <c r="E510" t="inlineStr">
        <is>
          <t>MOD000168</t>
        </is>
      </c>
      <c r="F510" t="inlineStr">
        <is>
          <t>DeviceFamilyID</t>
        </is>
      </c>
      <c r="G510" t="inlineStr">
        <is>
          <t>DF020</t>
        </is>
      </c>
      <c r="H510" t="inlineStr">
        <is>
          <t>tblDeviceFamilyIDCrosswalk</t>
        </is>
      </c>
      <c r="I510" t="inlineStr"/>
      <c r="J510" t="inlineStr">
        <is>
          <t>tblDeviceModel</t>
        </is>
      </c>
      <c r="K510" t="inlineStr">
        <is>
          <t>Exact ID</t>
        </is>
      </c>
      <c r="L510" t="inlineStr">
        <is>
          <t>Crosswalk Pending</t>
        </is>
      </c>
      <c r="M510" t="inlineStr">
        <is>
          <t>Open</t>
        </is>
      </c>
      <c r="N510" t="inlineStr"/>
    </row>
    <row r="511">
      <c r="A511" t="inlineStr">
        <is>
          <t>FKEX00510</t>
        </is>
      </c>
      <c r="B511" t="inlineStr">
        <is>
          <t>15 LL_Device</t>
        </is>
      </c>
      <c r="C511" t="inlineStr">
        <is>
          <t>tblDeviceModel</t>
        </is>
      </c>
      <c r="D511" t="n">
        <v>171</v>
      </c>
      <c r="E511" t="inlineStr">
        <is>
          <t>MOD000168</t>
        </is>
      </c>
      <c r="F511" t="inlineStr">
        <is>
          <t>DeviceTypeID</t>
        </is>
      </c>
      <c r="G511" t="inlineStr">
        <is>
          <t>DT001</t>
        </is>
      </c>
      <c r="H511" t="inlineStr">
        <is>
          <t>tblDeviceTypeIDCrosswalk</t>
        </is>
      </c>
      <c r="I511" t="inlineStr"/>
      <c r="J511" t="inlineStr">
        <is>
          <t>No Supported Match</t>
        </is>
      </c>
      <c r="K511" t="inlineStr">
        <is>
          <t>None</t>
        </is>
      </c>
      <c r="L511" t="inlineStr">
        <is>
          <t>Crosswalk Pending</t>
        </is>
      </c>
      <c r="M511" t="inlineStr">
        <is>
          <t>Open</t>
        </is>
      </c>
      <c r="N511" t="inlineStr"/>
    </row>
    <row r="512">
      <c r="A512" t="inlineStr">
        <is>
          <t>FKEX00511</t>
        </is>
      </c>
      <c r="B512" t="inlineStr">
        <is>
          <t>15 LL_Device</t>
        </is>
      </c>
      <c r="C512" t="inlineStr">
        <is>
          <t>tblDeviceModel</t>
        </is>
      </c>
      <c r="D512" t="n">
        <v>172</v>
      </c>
      <c r="E512" t="inlineStr">
        <is>
          <t>MOD000169</t>
        </is>
      </c>
      <c r="F512" t="inlineStr">
        <is>
          <t>ManufacturerID</t>
        </is>
      </c>
      <c r="G512" t="inlineStr">
        <is>
          <t>MFG002</t>
        </is>
      </c>
      <c r="H512" t="inlineStr">
        <is>
          <t>tblManufacturerIDCrosswalk</t>
        </is>
      </c>
      <c r="I512" t="inlineStr"/>
      <c r="J512" t="inlineStr">
        <is>
          <t>No Supported Match</t>
        </is>
      </c>
      <c r="K512" t="inlineStr">
        <is>
          <t>None</t>
        </is>
      </c>
      <c r="L512" t="inlineStr">
        <is>
          <t>Crosswalk Pending</t>
        </is>
      </c>
      <c r="M512" t="inlineStr">
        <is>
          <t>Open</t>
        </is>
      </c>
      <c r="N512" t="inlineStr"/>
    </row>
    <row r="513">
      <c r="A513" t="inlineStr">
        <is>
          <t>FKEX00512</t>
        </is>
      </c>
      <c r="B513" t="inlineStr">
        <is>
          <t>15 LL_Device</t>
        </is>
      </c>
      <c r="C513" t="inlineStr">
        <is>
          <t>tblDeviceModel</t>
        </is>
      </c>
      <c r="D513" t="n">
        <v>172</v>
      </c>
      <c r="E513" t="inlineStr">
        <is>
          <t>MOD000169</t>
        </is>
      </c>
      <c r="F513" t="inlineStr">
        <is>
          <t>DeviceFamilyID</t>
        </is>
      </c>
      <c r="G513" t="inlineStr">
        <is>
          <t>DF020</t>
        </is>
      </c>
      <c r="H513" t="inlineStr">
        <is>
          <t>tblDeviceFamilyIDCrosswalk</t>
        </is>
      </c>
      <c r="I513" t="inlineStr"/>
      <c r="J513" t="inlineStr">
        <is>
          <t>tblDeviceModel</t>
        </is>
      </c>
      <c r="K513" t="inlineStr">
        <is>
          <t>Exact ID</t>
        </is>
      </c>
      <c r="L513" t="inlineStr">
        <is>
          <t>Crosswalk Pending</t>
        </is>
      </c>
      <c r="M513" t="inlineStr">
        <is>
          <t>Open</t>
        </is>
      </c>
      <c r="N513" t="inlineStr"/>
    </row>
    <row r="514">
      <c r="A514" t="inlineStr">
        <is>
          <t>FKEX00513</t>
        </is>
      </c>
      <c r="B514" t="inlineStr">
        <is>
          <t>15 LL_Device</t>
        </is>
      </c>
      <c r="C514" t="inlineStr">
        <is>
          <t>tblDeviceModel</t>
        </is>
      </c>
      <c r="D514" t="n">
        <v>172</v>
      </c>
      <c r="E514" t="inlineStr">
        <is>
          <t>MOD000169</t>
        </is>
      </c>
      <c r="F514" t="inlineStr">
        <is>
          <t>DeviceTypeID</t>
        </is>
      </c>
      <c r="G514" t="inlineStr">
        <is>
          <t>DT001</t>
        </is>
      </c>
      <c r="H514" t="inlineStr">
        <is>
          <t>tblDeviceTypeIDCrosswalk</t>
        </is>
      </c>
      <c r="I514" t="inlineStr"/>
      <c r="J514" t="inlineStr">
        <is>
          <t>No Supported Match</t>
        </is>
      </c>
      <c r="K514" t="inlineStr">
        <is>
          <t>None</t>
        </is>
      </c>
      <c r="L514" t="inlineStr">
        <is>
          <t>Crosswalk Pending</t>
        </is>
      </c>
      <c r="M514" t="inlineStr">
        <is>
          <t>Open</t>
        </is>
      </c>
      <c r="N514" t="inlineStr"/>
    </row>
    <row r="515">
      <c r="A515" t="inlineStr">
        <is>
          <t>FKEX00514</t>
        </is>
      </c>
      <c r="B515" t="inlineStr">
        <is>
          <t>15 LL_Device</t>
        </is>
      </c>
      <c r="C515" t="inlineStr">
        <is>
          <t>tblDeviceModel</t>
        </is>
      </c>
      <c r="D515" t="n">
        <v>173</v>
      </c>
      <c r="E515" t="inlineStr">
        <is>
          <t>MOD000170</t>
        </is>
      </c>
      <c r="F515" t="inlineStr">
        <is>
          <t>ManufacturerID</t>
        </is>
      </c>
      <c r="G515" t="inlineStr">
        <is>
          <t>MFG002</t>
        </is>
      </c>
      <c r="H515" t="inlineStr">
        <is>
          <t>tblManufacturerIDCrosswalk</t>
        </is>
      </c>
      <c r="I515" t="inlineStr"/>
      <c r="J515" t="inlineStr">
        <is>
          <t>No Supported Match</t>
        </is>
      </c>
      <c r="K515" t="inlineStr">
        <is>
          <t>None</t>
        </is>
      </c>
      <c r="L515" t="inlineStr">
        <is>
          <t>Crosswalk Pending</t>
        </is>
      </c>
      <c r="M515" t="inlineStr">
        <is>
          <t>Open</t>
        </is>
      </c>
      <c r="N515" t="inlineStr"/>
    </row>
    <row r="516">
      <c r="A516" t="inlineStr">
        <is>
          <t>FKEX00515</t>
        </is>
      </c>
      <c r="B516" t="inlineStr">
        <is>
          <t>15 LL_Device</t>
        </is>
      </c>
      <c r="C516" t="inlineStr">
        <is>
          <t>tblDeviceModel</t>
        </is>
      </c>
      <c r="D516" t="n">
        <v>173</v>
      </c>
      <c r="E516" t="inlineStr">
        <is>
          <t>MOD000170</t>
        </is>
      </c>
      <c r="F516" t="inlineStr">
        <is>
          <t>DeviceFamilyID</t>
        </is>
      </c>
      <c r="G516" t="inlineStr">
        <is>
          <t>DF020</t>
        </is>
      </c>
      <c r="H516" t="inlineStr">
        <is>
          <t>tblDeviceFamilyIDCrosswalk</t>
        </is>
      </c>
      <c r="I516" t="inlineStr"/>
      <c r="J516" t="inlineStr">
        <is>
          <t>tblDeviceModel</t>
        </is>
      </c>
      <c r="K516" t="inlineStr">
        <is>
          <t>Exact ID</t>
        </is>
      </c>
      <c r="L516" t="inlineStr">
        <is>
          <t>Crosswalk Pending</t>
        </is>
      </c>
      <c r="M516" t="inlineStr">
        <is>
          <t>Open</t>
        </is>
      </c>
      <c r="N516" t="inlineStr"/>
    </row>
    <row r="517">
      <c r="A517" t="inlineStr">
        <is>
          <t>FKEX00516</t>
        </is>
      </c>
      <c r="B517" t="inlineStr">
        <is>
          <t>15 LL_Device</t>
        </is>
      </c>
      <c r="C517" t="inlineStr">
        <is>
          <t>tblDeviceModel</t>
        </is>
      </c>
      <c r="D517" t="n">
        <v>173</v>
      </c>
      <c r="E517" t="inlineStr">
        <is>
          <t>MOD000170</t>
        </is>
      </c>
      <c r="F517" t="inlineStr">
        <is>
          <t>DeviceTypeID</t>
        </is>
      </c>
      <c r="G517" t="inlineStr">
        <is>
          <t>DT001</t>
        </is>
      </c>
      <c r="H517" t="inlineStr">
        <is>
          <t>tblDeviceTypeIDCrosswalk</t>
        </is>
      </c>
      <c r="I517" t="inlineStr"/>
      <c r="J517" t="inlineStr">
        <is>
          <t>No Supported Match</t>
        </is>
      </c>
      <c r="K517" t="inlineStr">
        <is>
          <t>None</t>
        </is>
      </c>
      <c r="L517" t="inlineStr">
        <is>
          <t>Crosswalk Pending</t>
        </is>
      </c>
      <c r="M517" t="inlineStr">
        <is>
          <t>Open</t>
        </is>
      </c>
      <c r="N517" t="inlineStr"/>
    </row>
    <row r="518">
      <c r="A518" t="inlineStr">
        <is>
          <t>FKEX00517</t>
        </is>
      </c>
      <c r="B518" t="inlineStr">
        <is>
          <t>15 LL_Device</t>
        </is>
      </c>
      <c r="C518" t="inlineStr">
        <is>
          <t>tblDeviceModel</t>
        </is>
      </c>
      <c r="D518" t="n">
        <v>174</v>
      </c>
      <c r="E518" t="inlineStr">
        <is>
          <t>MOD000171</t>
        </is>
      </c>
      <c r="F518" t="inlineStr">
        <is>
          <t>ManufacturerID</t>
        </is>
      </c>
      <c r="G518" t="inlineStr">
        <is>
          <t>MFG002</t>
        </is>
      </c>
      <c r="H518" t="inlineStr">
        <is>
          <t>tblManufacturerIDCrosswalk</t>
        </is>
      </c>
      <c r="I518" t="inlineStr"/>
      <c r="J518" t="inlineStr">
        <is>
          <t>No Supported Match</t>
        </is>
      </c>
      <c r="K518" t="inlineStr">
        <is>
          <t>None</t>
        </is>
      </c>
      <c r="L518" t="inlineStr">
        <is>
          <t>Crosswalk Pending</t>
        </is>
      </c>
      <c r="M518" t="inlineStr">
        <is>
          <t>Open</t>
        </is>
      </c>
      <c r="N518" t="inlineStr"/>
    </row>
    <row r="519">
      <c r="A519" t="inlineStr">
        <is>
          <t>FKEX00518</t>
        </is>
      </c>
      <c r="B519" t="inlineStr">
        <is>
          <t>15 LL_Device</t>
        </is>
      </c>
      <c r="C519" t="inlineStr">
        <is>
          <t>tblDeviceModel</t>
        </is>
      </c>
      <c r="D519" t="n">
        <v>174</v>
      </c>
      <c r="E519" t="inlineStr">
        <is>
          <t>MOD000171</t>
        </is>
      </c>
      <c r="F519" t="inlineStr">
        <is>
          <t>DeviceFamilyID</t>
        </is>
      </c>
      <c r="G519" t="inlineStr">
        <is>
          <t>DF020</t>
        </is>
      </c>
      <c r="H519" t="inlineStr">
        <is>
          <t>tblDeviceFamilyIDCrosswalk</t>
        </is>
      </c>
      <c r="I519" t="inlineStr"/>
      <c r="J519" t="inlineStr">
        <is>
          <t>tblDeviceModel</t>
        </is>
      </c>
      <c r="K519" t="inlineStr">
        <is>
          <t>Exact ID</t>
        </is>
      </c>
      <c r="L519" t="inlineStr">
        <is>
          <t>Crosswalk Pending</t>
        </is>
      </c>
      <c r="M519" t="inlineStr">
        <is>
          <t>Open</t>
        </is>
      </c>
      <c r="N519" t="inlineStr"/>
    </row>
    <row r="520">
      <c r="A520" t="inlineStr">
        <is>
          <t>FKEX00519</t>
        </is>
      </c>
      <c r="B520" t="inlineStr">
        <is>
          <t>15 LL_Device</t>
        </is>
      </c>
      <c r="C520" t="inlineStr">
        <is>
          <t>tblDeviceModel</t>
        </is>
      </c>
      <c r="D520" t="n">
        <v>174</v>
      </c>
      <c r="E520" t="inlineStr">
        <is>
          <t>MOD000171</t>
        </is>
      </c>
      <c r="F520" t="inlineStr">
        <is>
          <t>DeviceTypeID</t>
        </is>
      </c>
      <c r="G520" t="inlineStr">
        <is>
          <t>DT001</t>
        </is>
      </c>
      <c r="H520" t="inlineStr">
        <is>
          <t>tblDeviceTypeIDCrosswalk</t>
        </is>
      </c>
      <c r="I520" t="inlineStr"/>
      <c r="J520" t="inlineStr">
        <is>
          <t>No Supported Match</t>
        </is>
      </c>
      <c r="K520" t="inlineStr">
        <is>
          <t>None</t>
        </is>
      </c>
      <c r="L520" t="inlineStr">
        <is>
          <t>Crosswalk Pending</t>
        </is>
      </c>
      <c r="M520" t="inlineStr">
        <is>
          <t>Open</t>
        </is>
      </c>
      <c r="N520" t="inlineStr"/>
    </row>
    <row r="521">
      <c r="A521" t="inlineStr">
        <is>
          <t>FKEX00520</t>
        </is>
      </c>
      <c r="B521" t="inlineStr">
        <is>
          <t>15 LL_Device</t>
        </is>
      </c>
      <c r="C521" t="inlineStr">
        <is>
          <t>tblDeviceModel</t>
        </is>
      </c>
      <c r="D521" t="n">
        <v>175</v>
      </c>
      <c r="E521" t="inlineStr">
        <is>
          <t>MOD000172</t>
        </is>
      </c>
      <c r="F521" t="inlineStr">
        <is>
          <t>ManufacturerID</t>
        </is>
      </c>
      <c r="G521" t="inlineStr">
        <is>
          <t>MFG002</t>
        </is>
      </c>
      <c r="H521" t="inlineStr">
        <is>
          <t>tblManufacturerIDCrosswalk</t>
        </is>
      </c>
      <c r="I521" t="inlineStr"/>
      <c r="J521" t="inlineStr">
        <is>
          <t>No Supported Match</t>
        </is>
      </c>
      <c r="K521" t="inlineStr">
        <is>
          <t>None</t>
        </is>
      </c>
      <c r="L521" t="inlineStr">
        <is>
          <t>Crosswalk Pending</t>
        </is>
      </c>
      <c r="M521" t="inlineStr">
        <is>
          <t>Open</t>
        </is>
      </c>
      <c r="N521" t="inlineStr"/>
    </row>
    <row r="522">
      <c r="A522" t="inlineStr">
        <is>
          <t>FKEX00521</t>
        </is>
      </c>
      <c r="B522" t="inlineStr">
        <is>
          <t>15 LL_Device</t>
        </is>
      </c>
      <c r="C522" t="inlineStr">
        <is>
          <t>tblDeviceModel</t>
        </is>
      </c>
      <c r="D522" t="n">
        <v>175</v>
      </c>
      <c r="E522" t="inlineStr">
        <is>
          <t>MOD000172</t>
        </is>
      </c>
      <c r="F522" t="inlineStr">
        <is>
          <t>DeviceFamilyID</t>
        </is>
      </c>
      <c r="G522" t="inlineStr">
        <is>
          <t>DF020</t>
        </is>
      </c>
      <c r="H522" t="inlineStr">
        <is>
          <t>tblDeviceFamilyIDCrosswalk</t>
        </is>
      </c>
      <c r="I522" t="inlineStr"/>
      <c r="J522" t="inlineStr">
        <is>
          <t>tblDeviceModel</t>
        </is>
      </c>
      <c r="K522" t="inlineStr">
        <is>
          <t>Exact ID</t>
        </is>
      </c>
      <c r="L522" t="inlineStr">
        <is>
          <t>Crosswalk Pending</t>
        </is>
      </c>
      <c r="M522" t="inlineStr">
        <is>
          <t>Open</t>
        </is>
      </c>
      <c r="N522" t="inlineStr"/>
    </row>
    <row r="523">
      <c r="A523" t="inlineStr">
        <is>
          <t>FKEX00522</t>
        </is>
      </c>
      <c r="B523" t="inlineStr">
        <is>
          <t>15 LL_Device</t>
        </is>
      </c>
      <c r="C523" t="inlineStr">
        <is>
          <t>tblDeviceModel</t>
        </is>
      </c>
      <c r="D523" t="n">
        <v>175</v>
      </c>
      <c r="E523" t="inlineStr">
        <is>
          <t>MOD000172</t>
        </is>
      </c>
      <c r="F523" t="inlineStr">
        <is>
          <t>DeviceTypeID</t>
        </is>
      </c>
      <c r="G523" t="inlineStr">
        <is>
          <t>DT001</t>
        </is>
      </c>
      <c r="H523" t="inlineStr">
        <is>
          <t>tblDeviceTypeIDCrosswalk</t>
        </is>
      </c>
      <c r="I523" t="inlineStr"/>
      <c r="J523" t="inlineStr">
        <is>
          <t>No Supported Match</t>
        </is>
      </c>
      <c r="K523" t="inlineStr">
        <is>
          <t>None</t>
        </is>
      </c>
      <c r="L523" t="inlineStr">
        <is>
          <t>Crosswalk Pending</t>
        </is>
      </c>
      <c r="M523" t="inlineStr">
        <is>
          <t>Open</t>
        </is>
      </c>
      <c r="N523" t="inlineStr"/>
    </row>
    <row r="524">
      <c r="A524" t="inlineStr">
        <is>
          <t>FKEX00523</t>
        </is>
      </c>
      <c r="B524" t="inlineStr">
        <is>
          <t>15 LL_Device</t>
        </is>
      </c>
      <c r="C524" t="inlineStr">
        <is>
          <t>tblDeviceModel</t>
        </is>
      </c>
      <c r="D524" t="n">
        <v>176</v>
      </c>
      <c r="E524" t="inlineStr">
        <is>
          <t>MOD000173</t>
        </is>
      </c>
      <c r="F524" t="inlineStr">
        <is>
          <t>ManufacturerID</t>
        </is>
      </c>
      <c r="G524" t="inlineStr">
        <is>
          <t>MFG002</t>
        </is>
      </c>
      <c r="H524" t="inlineStr">
        <is>
          <t>tblManufacturerIDCrosswalk</t>
        </is>
      </c>
      <c r="I524" t="inlineStr"/>
      <c r="J524" t="inlineStr">
        <is>
          <t>No Supported Match</t>
        </is>
      </c>
      <c r="K524" t="inlineStr">
        <is>
          <t>None</t>
        </is>
      </c>
      <c r="L524" t="inlineStr">
        <is>
          <t>Crosswalk Pending</t>
        </is>
      </c>
      <c r="M524" t="inlineStr">
        <is>
          <t>Open</t>
        </is>
      </c>
      <c r="N524" t="inlineStr"/>
    </row>
    <row r="525">
      <c r="A525" t="inlineStr">
        <is>
          <t>FKEX00524</t>
        </is>
      </c>
      <c r="B525" t="inlineStr">
        <is>
          <t>15 LL_Device</t>
        </is>
      </c>
      <c r="C525" t="inlineStr">
        <is>
          <t>tblDeviceModel</t>
        </is>
      </c>
      <c r="D525" t="n">
        <v>176</v>
      </c>
      <c r="E525" t="inlineStr">
        <is>
          <t>MOD000173</t>
        </is>
      </c>
      <c r="F525" t="inlineStr">
        <is>
          <t>DeviceFamilyID</t>
        </is>
      </c>
      <c r="G525" t="inlineStr">
        <is>
          <t>DF020</t>
        </is>
      </c>
      <c r="H525" t="inlineStr">
        <is>
          <t>tblDeviceFamilyIDCrosswalk</t>
        </is>
      </c>
      <c r="I525" t="inlineStr"/>
      <c r="J525" t="inlineStr">
        <is>
          <t>tblDeviceModel</t>
        </is>
      </c>
      <c r="K525" t="inlineStr">
        <is>
          <t>Exact ID</t>
        </is>
      </c>
      <c r="L525" t="inlineStr">
        <is>
          <t>Crosswalk Pending</t>
        </is>
      </c>
      <c r="M525" t="inlineStr">
        <is>
          <t>Open</t>
        </is>
      </c>
      <c r="N525" t="inlineStr"/>
    </row>
    <row r="526">
      <c r="A526" t="inlineStr">
        <is>
          <t>FKEX00525</t>
        </is>
      </c>
      <c r="B526" t="inlineStr">
        <is>
          <t>15 LL_Device</t>
        </is>
      </c>
      <c r="C526" t="inlineStr">
        <is>
          <t>tblDeviceModel</t>
        </is>
      </c>
      <c r="D526" t="n">
        <v>176</v>
      </c>
      <c r="E526" t="inlineStr">
        <is>
          <t>MOD000173</t>
        </is>
      </c>
      <c r="F526" t="inlineStr">
        <is>
          <t>DeviceTypeID</t>
        </is>
      </c>
      <c r="G526" t="inlineStr">
        <is>
          <t>DT001</t>
        </is>
      </c>
      <c r="H526" t="inlineStr">
        <is>
          <t>tblDeviceTypeIDCrosswalk</t>
        </is>
      </c>
      <c r="I526" t="inlineStr"/>
      <c r="J526" t="inlineStr">
        <is>
          <t>No Supported Match</t>
        </is>
      </c>
      <c r="K526" t="inlineStr">
        <is>
          <t>None</t>
        </is>
      </c>
      <c r="L526" t="inlineStr">
        <is>
          <t>Crosswalk Pending</t>
        </is>
      </c>
      <c r="M526" t="inlineStr">
        <is>
          <t>Open</t>
        </is>
      </c>
      <c r="N526" t="inlineStr"/>
    </row>
    <row r="527">
      <c r="A527" t="inlineStr">
        <is>
          <t>FKEX00526</t>
        </is>
      </c>
      <c r="B527" t="inlineStr">
        <is>
          <t>15 LL_Device</t>
        </is>
      </c>
      <c r="C527" t="inlineStr">
        <is>
          <t>tblDeviceModel</t>
        </is>
      </c>
      <c r="D527" t="n">
        <v>177</v>
      </c>
      <c r="E527" t="inlineStr">
        <is>
          <t>MOD000174</t>
        </is>
      </c>
      <c r="F527" t="inlineStr">
        <is>
          <t>ManufacturerID</t>
        </is>
      </c>
      <c r="G527" t="inlineStr">
        <is>
          <t>MFG002</t>
        </is>
      </c>
      <c r="H527" t="inlineStr">
        <is>
          <t>tblManufacturerIDCrosswalk</t>
        </is>
      </c>
      <c r="I527" t="inlineStr"/>
      <c r="J527" t="inlineStr">
        <is>
          <t>No Supported Match</t>
        </is>
      </c>
      <c r="K527" t="inlineStr">
        <is>
          <t>None</t>
        </is>
      </c>
      <c r="L527" t="inlineStr">
        <is>
          <t>Crosswalk Pending</t>
        </is>
      </c>
      <c r="M527" t="inlineStr">
        <is>
          <t>Open</t>
        </is>
      </c>
      <c r="N527" t="inlineStr"/>
    </row>
    <row r="528">
      <c r="A528" t="inlineStr">
        <is>
          <t>FKEX00527</t>
        </is>
      </c>
      <c r="B528" t="inlineStr">
        <is>
          <t>15 LL_Device</t>
        </is>
      </c>
      <c r="C528" t="inlineStr">
        <is>
          <t>tblDeviceModel</t>
        </is>
      </c>
      <c r="D528" t="n">
        <v>177</v>
      </c>
      <c r="E528" t="inlineStr">
        <is>
          <t>MOD000174</t>
        </is>
      </c>
      <c r="F528" t="inlineStr">
        <is>
          <t>DeviceFamilyID</t>
        </is>
      </c>
      <c r="G528" t="inlineStr">
        <is>
          <t>DF020</t>
        </is>
      </c>
      <c r="H528" t="inlineStr">
        <is>
          <t>tblDeviceFamilyIDCrosswalk</t>
        </is>
      </c>
      <c r="I528" t="inlineStr"/>
      <c r="J528" t="inlineStr">
        <is>
          <t>tblDeviceModel</t>
        </is>
      </c>
      <c r="K528" t="inlineStr">
        <is>
          <t>Exact ID</t>
        </is>
      </c>
      <c r="L528" t="inlineStr">
        <is>
          <t>Crosswalk Pending</t>
        </is>
      </c>
      <c r="M528" t="inlineStr">
        <is>
          <t>Open</t>
        </is>
      </c>
      <c r="N528" t="inlineStr"/>
    </row>
    <row r="529">
      <c r="A529" t="inlineStr">
        <is>
          <t>FKEX00528</t>
        </is>
      </c>
      <c r="B529" t="inlineStr">
        <is>
          <t>15 LL_Device</t>
        </is>
      </c>
      <c r="C529" t="inlineStr">
        <is>
          <t>tblDeviceModel</t>
        </is>
      </c>
      <c r="D529" t="n">
        <v>177</v>
      </c>
      <c r="E529" t="inlineStr">
        <is>
          <t>MOD000174</t>
        </is>
      </c>
      <c r="F529" t="inlineStr">
        <is>
          <t>DeviceTypeID</t>
        </is>
      </c>
      <c r="G529" t="inlineStr">
        <is>
          <t>DT001</t>
        </is>
      </c>
      <c r="H529" t="inlineStr">
        <is>
          <t>tblDeviceTypeIDCrosswalk</t>
        </is>
      </c>
      <c r="I529" t="inlineStr"/>
      <c r="J529" t="inlineStr">
        <is>
          <t>No Supported Match</t>
        </is>
      </c>
      <c r="K529" t="inlineStr">
        <is>
          <t>None</t>
        </is>
      </c>
      <c r="L529" t="inlineStr">
        <is>
          <t>Crosswalk Pending</t>
        </is>
      </c>
      <c r="M529" t="inlineStr">
        <is>
          <t>Open</t>
        </is>
      </c>
      <c r="N529" t="inlineStr"/>
    </row>
    <row r="530">
      <c r="A530" t="inlineStr">
        <is>
          <t>FKEX00529</t>
        </is>
      </c>
      <c r="B530" t="inlineStr">
        <is>
          <t>15 LL_Device</t>
        </is>
      </c>
      <c r="C530" t="inlineStr">
        <is>
          <t>tblDeviceModel</t>
        </is>
      </c>
      <c r="D530" t="n">
        <v>178</v>
      </c>
      <c r="E530" t="inlineStr">
        <is>
          <t>MOD000175</t>
        </is>
      </c>
      <c r="F530" t="inlineStr">
        <is>
          <t>ManufacturerID</t>
        </is>
      </c>
      <c r="G530" t="inlineStr">
        <is>
          <t>MFG002</t>
        </is>
      </c>
      <c r="H530" t="inlineStr">
        <is>
          <t>tblManufacturerIDCrosswalk</t>
        </is>
      </c>
      <c r="I530" t="inlineStr"/>
      <c r="J530" t="inlineStr">
        <is>
          <t>No Supported Match</t>
        </is>
      </c>
      <c r="K530" t="inlineStr">
        <is>
          <t>None</t>
        </is>
      </c>
      <c r="L530" t="inlineStr">
        <is>
          <t>Crosswalk Pending</t>
        </is>
      </c>
      <c r="M530" t="inlineStr">
        <is>
          <t>Open</t>
        </is>
      </c>
      <c r="N530" t="inlineStr"/>
    </row>
    <row r="531">
      <c r="A531" t="inlineStr">
        <is>
          <t>FKEX00530</t>
        </is>
      </c>
      <c r="B531" t="inlineStr">
        <is>
          <t>15 LL_Device</t>
        </is>
      </c>
      <c r="C531" t="inlineStr">
        <is>
          <t>tblDeviceModel</t>
        </is>
      </c>
      <c r="D531" t="n">
        <v>178</v>
      </c>
      <c r="E531" t="inlineStr">
        <is>
          <t>MOD000175</t>
        </is>
      </c>
      <c r="F531" t="inlineStr">
        <is>
          <t>DeviceFamilyID</t>
        </is>
      </c>
      <c r="G531" t="inlineStr">
        <is>
          <t>DF020</t>
        </is>
      </c>
      <c r="H531" t="inlineStr">
        <is>
          <t>tblDeviceFamilyIDCrosswalk</t>
        </is>
      </c>
      <c r="I531" t="inlineStr"/>
      <c r="J531" t="inlineStr">
        <is>
          <t>tblDeviceModel</t>
        </is>
      </c>
      <c r="K531" t="inlineStr">
        <is>
          <t>Exact ID</t>
        </is>
      </c>
      <c r="L531" t="inlineStr">
        <is>
          <t>Crosswalk Pending</t>
        </is>
      </c>
      <c r="M531" t="inlineStr">
        <is>
          <t>Open</t>
        </is>
      </c>
      <c r="N531" t="inlineStr"/>
    </row>
    <row r="532">
      <c r="A532" t="inlineStr">
        <is>
          <t>FKEX00531</t>
        </is>
      </c>
      <c r="B532" t="inlineStr">
        <is>
          <t>15 LL_Device</t>
        </is>
      </c>
      <c r="C532" t="inlineStr">
        <is>
          <t>tblDeviceModel</t>
        </is>
      </c>
      <c r="D532" t="n">
        <v>178</v>
      </c>
      <c r="E532" t="inlineStr">
        <is>
          <t>MOD000175</t>
        </is>
      </c>
      <c r="F532" t="inlineStr">
        <is>
          <t>DeviceTypeID</t>
        </is>
      </c>
      <c r="G532" t="inlineStr">
        <is>
          <t>DT001</t>
        </is>
      </c>
      <c r="H532" t="inlineStr">
        <is>
          <t>tblDeviceTypeIDCrosswalk</t>
        </is>
      </c>
      <c r="I532" t="inlineStr"/>
      <c r="J532" t="inlineStr">
        <is>
          <t>No Supported Match</t>
        </is>
      </c>
      <c r="K532" t="inlineStr">
        <is>
          <t>None</t>
        </is>
      </c>
      <c r="L532" t="inlineStr">
        <is>
          <t>Crosswalk Pending</t>
        </is>
      </c>
      <c r="M532" t="inlineStr">
        <is>
          <t>Open</t>
        </is>
      </c>
      <c r="N532" t="inlineStr"/>
    </row>
    <row r="533">
      <c r="A533" t="inlineStr">
        <is>
          <t>FKEX00532</t>
        </is>
      </c>
      <c r="B533" t="inlineStr">
        <is>
          <t>15 LL_Device</t>
        </is>
      </c>
      <c r="C533" t="inlineStr">
        <is>
          <t>tblDeviceModel</t>
        </is>
      </c>
      <c r="D533" t="n">
        <v>179</v>
      </c>
      <c r="E533" t="inlineStr">
        <is>
          <t>MOD000176</t>
        </is>
      </c>
      <c r="F533" t="inlineStr">
        <is>
          <t>ManufacturerID</t>
        </is>
      </c>
      <c r="G533" t="inlineStr">
        <is>
          <t>MFG002</t>
        </is>
      </c>
      <c r="H533" t="inlineStr">
        <is>
          <t>tblManufacturerIDCrosswalk</t>
        </is>
      </c>
      <c r="I533" t="inlineStr"/>
      <c r="J533" t="inlineStr">
        <is>
          <t>No Supported Match</t>
        </is>
      </c>
      <c r="K533" t="inlineStr">
        <is>
          <t>None</t>
        </is>
      </c>
      <c r="L533" t="inlineStr">
        <is>
          <t>Crosswalk Pending</t>
        </is>
      </c>
      <c r="M533" t="inlineStr">
        <is>
          <t>Open</t>
        </is>
      </c>
      <c r="N533" t="inlineStr"/>
    </row>
    <row r="534">
      <c r="A534" t="inlineStr">
        <is>
          <t>FKEX00533</t>
        </is>
      </c>
      <c r="B534" t="inlineStr">
        <is>
          <t>15 LL_Device</t>
        </is>
      </c>
      <c r="C534" t="inlineStr">
        <is>
          <t>tblDeviceModel</t>
        </is>
      </c>
      <c r="D534" t="n">
        <v>179</v>
      </c>
      <c r="E534" t="inlineStr">
        <is>
          <t>MOD000176</t>
        </is>
      </c>
      <c r="F534" t="inlineStr">
        <is>
          <t>DeviceFamilyID</t>
        </is>
      </c>
      <c r="G534" t="inlineStr">
        <is>
          <t>DF020</t>
        </is>
      </c>
      <c r="H534" t="inlineStr">
        <is>
          <t>tblDeviceFamilyIDCrosswalk</t>
        </is>
      </c>
      <c r="I534" t="inlineStr"/>
      <c r="J534" t="inlineStr">
        <is>
          <t>tblDeviceModel</t>
        </is>
      </c>
      <c r="K534" t="inlineStr">
        <is>
          <t>Exact ID</t>
        </is>
      </c>
      <c r="L534" t="inlineStr">
        <is>
          <t>Crosswalk Pending</t>
        </is>
      </c>
      <c r="M534" t="inlineStr">
        <is>
          <t>Open</t>
        </is>
      </c>
      <c r="N534" t="inlineStr"/>
    </row>
    <row r="535">
      <c r="A535" t="inlineStr">
        <is>
          <t>FKEX00534</t>
        </is>
      </c>
      <c r="B535" t="inlineStr">
        <is>
          <t>15 LL_Device</t>
        </is>
      </c>
      <c r="C535" t="inlineStr">
        <is>
          <t>tblDeviceModel</t>
        </is>
      </c>
      <c r="D535" t="n">
        <v>179</v>
      </c>
      <c r="E535" t="inlineStr">
        <is>
          <t>MOD000176</t>
        </is>
      </c>
      <c r="F535" t="inlineStr">
        <is>
          <t>DeviceTypeID</t>
        </is>
      </c>
      <c r="G535" t="inlineStr">
        <is>
          <t>DT001</t>
        </is>
      </c>
      <c r="H535" t="inlineStr">
        <is>
          <t>tblDeviceTypeIDCrosswalk</t>
        </is>
      </c>
      <c r="I535" t="inlineStr"/>
      <c r="J535" t="inlineStr">
        <is>
          <t>No Supported Match</t>
        </is>
      </c>
      <c r="K535" t="inlineStr">
        <is>
          <t>None</t>
        </is>
      </c>
      <c r="L535" t="inlineStr">
        <is>
          <t>Crosswalk Pending</t>
        </is>
      </c>
      <c r="M535" t="inlineStr">
        <is>
          <t>Open</t>
        </is>
      </c>
      <c r="N535" t="inlineStr"/>
    </row>
    <row r="536">
      <c r="A536" t="inlineStr">
        <is>
          <t>FKEX00535</t>
        </is>
      </c>
      <c r="B536" t="inlineStr">
        <is>
          <t>15 LL_Device</t>
        </is>
      </c>
      <c r="C536" t="inlineStr">
        <is>
          <t>tblDeviceModel</t>
        </is>
      </c>
      <c r="D536" t="n">
        <v>180</v>
      </c>
      <c r="E536" t="inlineStr">
        <is>
          <t>MOD000177</t>
        </is>
      </c>
      <c r="F536" t="inlineStr">
        <is>
          <t>ManufacturerID</t>
        </is>
      </c>
      <c r="G536" t="inlineStr">
        <is>
          <t>MFG002</t>
        </is>
      </c>
      <c r="H536" t="inlineStr">
        <is>
          <t>tblManufacturerIDCrosswalk</t>
        </is>
      </c>
      <c r="I536" t="inlineStr"/>
      <c r="J536" t="inlineStr">
        <is>
          <t>No Supported Match</t>
        </is>
      </c>
      <c r="K536" t="inlineStr">
        <is>
          <t>None</t>
        </is>
      </c>
      <c r="L536" t="inlineStr">
        <is>
          <t>Crosswalk Pending</t>
        </is>
      </c>
      <c r="M536" t="inlineStr">
        <is>
          <t>Open</t>
        </is>
      </c>
      <c r="N536" t="inlineStr"/>
    </row>
    <row r="537">
      <c r="A537" t="inlineStr">
        <is>
          <t>FKEX00536</t>
        </is>
      </c>
      <c r="B537" t="inlineStr">
        <is>
          <t>15 LL_Device</t>
        </is>
      </c>
      <c r="C537" t="inlineStr">
        <is>
          <t>tblDeviceModel</t>
        </is>
      </c>
      <c r="D537" t="n">
        <v>180</v>
      </c>
      <c r="E537" t="inlineStr">
        <is>
          <t>MOD000177</t>
        </is>
      </c>
      <c r="F537" t="inlineStr">
        <is>
          <t>DeviceFamilyID</t>
        </is>
      </c>
      <c r="G537" t="inlineStr">
        <is>
          <t>DF020</t>
        </is>
      </c>
      <c r="H537" t="inlineStr">
        <is>
          <t>tblDeviceFamilyIDCrosswalk</t>
        </is>
      </c>
      <c r="I537" t="inlineStr"/>
      <c r="J537" t="inlineStr">
        <is>
          <t>tblDeviceModel</t>
        </is>
      </c>
      <c r="K537" t="inlineStr">
        <is>
          <t>Exact ID</t>
        </is>
      </c>
      <c r="L537" t="inlineStr">
        <is>
          <t>Crosswalk Pending</t>
        </is>
      </c>
      <c r="M537" t="inlineStr">
        <is>
          <t>Open</t>
        </is>
      </c>
      <c r="N537" t="inlineStr"/>
    </row>
    <row r="538">
      <c r="A538" t="inlineStr">
        <is>
          <t>FKEX00537</t>
        </is>
      </c>
      <c r="B538" t="inlineStr">
        <is>
          <t>15 LL_Device</t>
        </is>
      </c>
      <c r="C538" t="inlineStr">
        <is>
          <t>tblDeviceModel</t>
        </is>
      </c>
      <c r="D538" t="n">
        <v>180</v>
      </c>
      <c r="E538" t="inlineStr">
        <is>
          <t>MOD000177</t>
        </is>
      </c>
      <c r="F538" t="inlineStr">
        <is>
          <t>DeviceTypeID</t>
        </is>
      </c>
      <c r="G538" t="inlineStr">
        <is>
          <t>DT001</t>
        </is>
      </c>
      <c r="H538" t="inlineStr">
        <is>
          <t>tblDeviceTypeIDCrosswalk</t>
        </is>
      </c>
      <c r="I538" t="inlineStr"/>
      <c r="J538" t="inlineStr">
        <is>
          <t>No Supported Match</t>
        </is>
      </c>
      <c r="K538" t="inlineStr">
        <is>
          <t>None</t>
        </is>
      </c>
      <c r="L538" t="inlineStr">
        <is>
          <t>Crosswalk Pending</t>
        </is>
      </c>
      <c r="M538" t="inlineStr">
        <is>
          <t>Open</t>
        </is>
      </c>
      <c r="N538" t="inlineStr"/>
    </row>
    <row r="539">
      <c r="A539" t="inlineStr">
        <is>
          <t>FKEX00538</t>
        </is>
      </c>
      <c r="B539" t="inlineStr">
        <is>
          <t>15 LL_Device</t>
        </is>
      </c>
      <c r="C539" t="inlineStr">
        <is>
          <t>tblDeviceModel</t>
        </is>
      </c>
      <c r="D539" t="n">
        <v>181</v>
      </c>
      <c r="E539" t="inlineStr">
        <is>
          <t>MOD000178</t>
        </is>
      </c>
      <c r="F539" t="inlineStr">
        <is>
          <t>ManufacturerID</t>
        </is>
      </c>
      <c r="G539" t="inlineStr">
        <is>
          <t>MFG002</t>
        </is>
      </c>
      <c r="H539" t="inlineStr">
        <is>
          <t>tblManufacturerIDCrosswalk</t>
        </is>
      </c>
      <c r="I539" t="inlineStr"/>
      <c r="J539" t="inlineStr">
        <is>
          <t>No Supported Match</t>
        </is>
      </c>
      <c r="K539" t="inlineStr">
        <is>
          <t>None</t>
        </is>
      </c>
      <c r="L539" t="inlineStr">
        <is>
          <t>Crosswalk Pending</t>
        </is>
      </c>
      <c r="M539" t="inlineStr">
        <is>
          <t>Open</t>
        </is>
      </c>
      <c r="N539" t="inlineStr"/>
    </row>
    <row r="540">
      <c r="A540" t="inlineStr">
        <is>
          <t>FKEX00539</t>
        </is>
      </c>
      <c r="B540" t="inlineStr">
        <is>
          <t>15 LL_Device</t>
        </is>
      </c>
      <c r="C540" t="inlineStr">
        <is>
          <t>tblDeviceModel</t>
        </is>
      </c>
      <c r="D540" t="n">
        <v>181</v>
      </c>
      <c r="E540" t="inlineStr">
        <is>
          <t>MOD000178</t>
        </is>
      </c>
      <c r="F540" t="inlineStr">
        <is>
          <t>DeviceFamilyID</t>
        </is>
      </c>
      <c r="G540" t="inlineStr">
        <is>
          <t>DF020</t>
        </is>
      </c>
      <c r="H540" t="inlineStr">
        <is>
          <t>tblDeviceFamilyIDCrosswalk</t>
        </is>
      </c>
      <c r="I540" t="inlineStr"/>
      <c r="J540" t="inlineStr">
        <is>
          <t>tblDeviceModel</t>
        </is>
      </c>
      <c r="K540" t="inlineStr">
        <is>
          <t>Exact ID</t>
        </is>
      </c>
      <c r="L540" t="inlineStr">
        <is>
          <t>Crosswalk Pending</t>
        </is>
      </c>
      <c r="M540" t="inlineStr">
        <is>
          <t>Open</t>
        </is>
      </c>
      <c r="N540" t="inlineStr"/>
    </row>
    <row r="541">
      <c r="A541" t="inlineStr">
        <is>
          <t>FKEX00540</t>
        </is>
      </c>
      <c r="B541" t="inlineStr">
        <is>
          <t>15 LL_Device</t>
        </is>
      </c>
      <c r="C541" t="inlineStr">
        <is>
          <t>tblDeviceModel</t>
        </is>
      </c>
      <c r="D541" t="n">
        <v>181</v>
      </c>
      <c r="E541" t="inlineStr">
        <is>
          <t>MOD000178</t>
        </is>
      </c>
      <c r="F541" t="inlineStr">
        <is>
          <t>DeviceTypeID</t>
        </is>
      </c>
      <c r="G541" t="inlineStr">
        <is>
          <t>DT001</t>
        </is>
      </c>
      <c r="H541" t="inlineStr">
        <is>
          <t>tblDeviceTypeIDCrosswalk</t>
        </is>
      </c>
      <c r="I541" t="inlineStr"/>
      <c r="J541" t="inlineStr">
        <is>
          <t>No Supported Match</t>
        </is>
      </c>
      <c r="K541" t="inlineStr">
        <is>
          <t>None</t>
        </is>
      </c>
      <c r="L541" t="inlineStr">
        <is>
          <t>Crosswalk Pending</t>
        </is>
      </c>
      <c r="M541" t="inlineStr">
        <is>
          <t>Open</t>
        </is>
      </c>
      <c r="N541" t="inlineStr"/>
    </row>
    <row r="542">
      <c r="A542" t="inlineStr">
        <is>
          <t>FKEX00541</t>
        </is>
      </c>
      <c r="B542" t="inlineStr">
        <is>
          <t>15 LL_Device</t>
        </is>
      </c>
      <c r="C542" t="inlineStr">
        <is>
          <t>tblDeviceModel</t>
        </is>
      </c>
      <c r="D542" t="n">
        <v>182</v>
      </c>
      <c r="E542" t="inlineStr">
        <is>
          <t>MOD000179</t>
        </is>
      </c>
      <c r="F542" t="inlineStr">
        <is>
          <t>ManufacturerID</t>
        </is>
      </c>
      <c r="G542" t="inlineStr">
        <is>
          <t>MFG002</t>
        </is>
      </c>
      <c r="H542" t="inlineStr">
        <is>
          <t>tblManufacturerIDCrosswalk</t>
        </is>
      </c>
      <c r="I542" t="inlineStr"/>
      <c r="J542" t="inlineStr">
        <is>
          <t>No Supported Match</t>
        </is>
      </c>
      <c r="K542" t="inlineStr">
        <is>
          <t>None</t>
        </is>
      </c>
      <c r="L542" t="inlineStr">
        <is>
          <t>Crosswalk Pending</t>
        </is>
      </c>
      <c r="M542" t="inlineStr">
        <is>
          <t>Open</t>
        </is>
      </c>
      <c r="N542" t="inlineStr"/>
    </row>
    <row r="543">
      <c r="A543" t="inlineStr">
        <is>
          <t>FKEX00542</t>
        </is>
      </c>
      <c r="B543" t="inlineStr">
        <is>
          <t>15 LL_Device</t>
        </is>
      </c>
      <c r="C543" t="inlineStr">
        <is>
          <t>tblDeviceModel</t>
        </is>
      </c>
      <c r="D543" t="n">
        <v>182</v>
      </c>
      <c r="E543" t="inlineStr">
        <is>
          <t>MOD000179</t>
        </is>
      </c>
      <c r="F543" t="inlineStr">
        <is>
          <t>DeviceFamilyID</t>
        </is>
      </c>
      <c r="G543" t="inlineStr">
        <is>
          <t>DF020</t>
        </is>
      </c>
      <c r="H543" t="inlineStr">
        <is>
          <t>tblDeviceFamilyIDCrosswalk</t>
        </is>
      </c>
      <c r="I543" t="inlineStr"/>
      <c r="J543" t="inlineStr">
        <is>
          <t>tblDeviceModel</t>
        </is>
      </c>
      <c r="K543" t="inlineStr">
        <is>
          <t>Exact ID</t>
        </is>
      </c>
      <c r="L543" t="inlineStr">
        <is>
          <t>Crosswalk Pending</t>
        </is>
      </c>
      <c r="M543" t="inlineStr">
        <is>
          <t>Open</t>
        </is>
      </c>
      <c r="N543" t="inlineStr"/>
    </row>
    <row r="544">
      <c r="A544" t="inlineStr">
        <is>
          <t>FKEX00543</t>
        </is>
      </c>
      <c r="B544" t="inlineStr">
        <is>
          <t>15 LL_Device</t>
        </is>
      </c>
      <c r="C544" t="inlineStr">
        <is>
          <t>tblDeviceModel</t>
        </is>
      </c>
      <c r="D544" t="n">
        <v>182</v>
      </c>
      <c r="E544" t="inlineStr">
        <is>
          <t>MOD000179</t>
        </is>
      </c>
      <c r="F544" t="inlineStr">
        <is>
          <t>DeviceTypeID</t>
        </is>
      </c>
      <c r="G544" t="inlineStr">
        <is>
          <t>DT001</t>
        </is>
      </c>
      <c r="H544" t="inlineStr">
        <is>
          <t>tblDeviceTypeIDCrosswalk</t>
        </is>
      </c>
      <c r="I544" t="inlineStr"/>
      <c r="J544" t="inlineStr">
        <is>
          <t>No Supported Match</t>
        </is>
      </c>
      <c r="K544" t="inlineStr">
        <is>
          <t>None</t>
        </is>
      </c>
      <c r="L544" t="inlineStr">
        <is>
          <t>Crosswalk Pending</t>
        </is>
      </c>
      <c r="M544" t="inlineStr">
        <is>
          <t>Open</t>
        </is>
      </c>
      <c r="N544" t="inlineStr"/>
    </row>
    <row r="545">
      <c r="A545" t="inlineStr">
        <is>
          <t>FKEX00544</t>
        </is>
      </c>
      <c r="B545" t="inlineStr">
        <is>
          <t>15 LL_Device</t>
        </is>
      </c>
      <c r="C545" t="inlineStr">
        <is>
          <t>tblDeviceModel</t>
        </is>
      </c>
      <c r="D545" t="n">
        <v>183</v>
      </c>
      <c r="E545" t="inlineStr">
        <is>
          <t>MOD000180</t>
        </is>
      </c>
      <c r="F545" t="inlineStr">
        <is>
          <t>ManufacturerID</t>
        </is>
      </c>
      <c r="G545" t="inlineStr">
        <is>
          <t>MFG002</t>
        </is>
      </c>
      <c r="H545" t="inlineStr">
        <is>
          <t>tblManufacturerIDCrosswalk</t>
        </is>
      </c>
      <c r="I545" t="inlineStr"/>
      <c r="J545" t="inlineStr">
        <is>
          <t>No Supported Match</t>
        </is>
      </c>
      <c r="K545" t="inlineStr">
        <is>
          <t>None</t>
        </is>
      </c>
      <c r="L545" t="inlineStr">
        <is>
          <t>Crosswalk Pending</t>
        </is>
      </c>
      <c r="M545" t="inlineStr">
        <is>
          <t>Open</t>
        </is>
      </c>
      <c r="N545" t="inlineStr"/>
    </row>
    <row r="546">
      <c r="A546" t="inlineStr">
        <is>
          <t>FKEX00545</t>
        </is>
      </c>
      <c r="B546" t="inlineStr">
        <is>
          <t>15 LL_Device</t>
        </is>
      </c>
      <c r="C546" t="inlineStr">
        <is>
          <t>tblDeviceModel</t>
        </is>
      </c>
      <c r="D546" t="n">
        <v>183</v>
      </c>
      <c r="E546" t="inlineStr">
        <is>
          <t>MOD000180</t>
        </is>
      </c>
      <c r="F546" t="inlineStr">
        <is>
          <t>DeviceFamilyID</t>
        </is>
      </c>
      <c r="G546" t="inlineStr">
        <is>
          <t>DF020</t>
        </is>
      </c>
      <c r="H546" t="inlineStr">
        <is>
          <t>tblDeviceFamilyIDCrosswalk</t>
        </is>
      </c>
      <c r="I546" t="inlineStr"/>
      <c r="J546" t="inlineStr">
        <is>
          <t>tblDeviceModel</t>
        </is>
      </c>
      <c r="K546" t="inlineStr">
        <is>
          <t>Exact ID</t>
        </is>
      </c>
      <c r="L546" t="inlineStr">
        <is>
          <t>Crosswalk Pending</t>
        </is>
      </c>
      <c r="M546" t="inlineStr">
        <is>
          <t>Open</t>
        </is>
      </c>
      <c r="N546" t="inlineStr"/>
    </row>
    <row r="547">
      <c r="A547" t="inlineStr">
        <is>
          <t>FKEX00546</t>
        </is>
      </c>
      <c r="B547" t="inlineStr">
        <is>
          <t>15 LL_Device</t>
        </is>
      </c>
      <c r="C547" t="inlineStr">
        <is>
          <t>tblDeviceModel</t>
        </is>
      </c>
      <c r="D547" t="n">
        <v>183</v>
      </c>
      <c r="E547" t="inlineStr">
        <is>
          <t>MOD000180</t>
        </is>
      </c>
      <c r="F547" t="inlineStr">
        <is>
          <t>DeviceTypeID</t>
        </is>
      </c>
      <c r="G547" t="inlineStr">
        <is>
          <t>DT001</t>
        </is>
      </c>
      <c r="H547" t="inlineStr">
        <is>
          <t>tblDeviceTypeIDCrosswalk</t>
        </is>
      </c>
      <c r="I547" t="inlineStr"/>
      <c r="J547" t="inlineStr">
        <is>
          <t>No Supported Match</t>
        </is>
      </c>
      <c r="K547" t="inlineStr">
        <is>
          <t>None</t>
        </is>
      </c>
      <c r="L547" t="inlineStr">
        <is>
          <t>Crosswalk Pending</t>
        </is>
      </c>
      <c r="M547" t="inlineStr">
        <is>
          <t>Open</t>
        </is>
      </c>
      <c r="N547" t="inlineStr"/>
    </row>
    <row r="548">
      <c r="A548" t="inlineStr">
        <is>
          <t>FKEX00547</t>
        </is>
      </c>
      <c r="B548" t="inlineStr">
        <is>
          <t>15 LL_Device</t>
        </is>
      </c>
      <c r="C548" t="inlineStr">
        <is>
          <t>tblDeviceModel</t>
        </is>
      </c>
      <c r="D548" t="n">
        <v>184</v>
      </c>
      <c r="E548" t="inlineStr">
        <is>
          <t>MOD000181</t>
        </is>
      </c>
      <c r="F548" t="inlineStr">
        <is>
          <t>ManufacturerID</t>
        </is>
      </c>
      <c r="G548" t="inlineStr">
        <is>
          <t>MFG002</t>
        </is>
      </c>
      <c r="H548" t="inlineStr">
        <is>
          <t>tblManufacturerIDCrosswalk</t>
        </is>
      </c>
      <c r="I548" t="inlineStr"/>
      <c r="J548" t="inlineStr">
        <is>
          <t>No Supported Match</t>
        </is>
      </c>
      <c r="K548" t="inlineStr">
        <is>
          <t>None</t>
        </is>
      </c>
      <c r="L548" t="inlineStr">
        <is>
          <t>Crosswalk Pending</t>
        </is>
      </c>
      <c r="M548" t="inlineStr">
        <is>
          <t>Open</t>
        </is>
      </c>
      <c r="N548" t="inlineStr"/>
    </row>
    <row r="549">
      <c r="A549" t="inlineStr">
        <is>
          <t>FKEX00548</t>
        </is>
      </c>
      <c r="B549" t="inlineStr">
        <is>
          <t>15 LL_Device</t>
        </is>
      </c>
      <c r="C549" t="inlineStr">
        <is>
          <t>tblDeviceModel</t>
        </is>
      </c>
      <c r="D549" t="n">
        <v>184</v>
      </c>
      <c r="E549" t="inlineStr">
        <is>
          <t>MOD000181</t>
        </is>
      </c>
      <c r="F549" t="inlineStr">
        <is>
          <t>DeviceFamilyID</t>
        </is>
      </c>
      <c r="G549" t="inlineStr">
        <is>
          <t>DF020</t>
        </is>
      </c>
      <c r="H549" t="inlineStr">
        <is>
          <t>tblDeviceFamilyIDCrosswalk</t>
        </is>
      </c>
      <c r="I549" t="inlineStr"/>
      <c r="J549" t="inlineStr">
        <is>
          <t>tblDeviceModel</t>
        </is>
      </c>
      <c r="K549" t="inlineStr">
        <is>
          <t>Exact ID</t>
        </is>
      </c>
      <c r="L549" t="inlineStr">
        <is>
          <t>Crosswalk Pending</t>
        </is>
      </c>
      <c r="M549" t="inlineStr">
        <is>
          <t>Open</t>
        </is>
      </c>
      <c r="N549" t="inlineStr"/>
    </row>
    <row r="550">
      <c r="A550" t="inlineStr">
        <is>
          <t>FKEX00549</t>
        </is>
      </c>
      <c r="B550" t="inlineStr">
        <is>
          <t>15 LL_Device</t>
        </is>
      </c>
      <c r="C550" t="inlineStr">
        <is>
          <t>tblDeviceModel</t>
        </is>
      </c>
      <c r="D550" t="n">
        <v>184</v>
      </c>
      <c r="E550" t="inlineStr">
        <is>
          <t>MOD000181</t>
        </is>
      </c>
      <c r="F550" t="inlineStr">
        <is>
          <t>DeviceTypeID</t>
        </is>
      </c>
      <c r="G550" t="inlineStr">
        <is>
          <t>DT001</t>
        </is>
      </c>
      <c r="H550" t="inlineStr">
        <is>
          <t>tblDeviceTypeIDCrosswalk</t>
        </is>
      </c>
      <c r="I550" t="inlineStr"/>
      <c r="J550" t="inlineStr">
        <is>
          <t>No Supported Match</t>
        </is>
      </c>
      <c r="K550" t="inlineStr">
        <is>
          <t>None</t>
        </is>
      </c>
      <c r="L550" t="inlineStr">
        <is>
          <t>Crosswalk Pending</t>
        </is>
      </c>
      <c r="M550" t="inlineStr">
        <is>
          <t>Open</t>
        </is>
      </c>
      <c r="N550" t="inlineStr"/>
    </row>
    <row r="551">
      <c r="A551" t="inlineStr">
        <is>
          <t>FKEX00550</t>
        </is>
      </c>
      <c r="B551" t="inlineStr">
        <is>
          <t>15 LL_Device</t>
        </is>
      </c>
      <c r="C551" t="inlineStr">
        <is>
          <t>tblDeviceModel</t>
        </is>
      </c>
      <c r="D551" t="n">
        <v>185</v>
      </c>
      <c r="E551" t="inlineStr">
        <is>
          <t>MOD000182</t>
        </is>
      </c>
      <c r="F551" t="inlineStr">
        <is>
          <t>ManufacturerID</t>
        </is>
      </c>
      <c r="G551" t="inlineStr">
        <is>
          <t>MFG002</t>
        </is>
      </c>
      <c r="H551" t="inlineStr">
        <is>
          <t>tblManufacturerIDCrosswalk</t>
        </is>
      </c>
      <c r="I551" t="inlineStr"/>
      <c r="J551" t="inlineStr">
        <is>
          <t>No Supported Match</t>
        </is>
      </c>
      <c r="K551" t="inlineStr">
        <is>
          <t>None</t>
        </is>
      </c>
      <c r="L551" t="inlineStr">
        <is>
          <t>Crosswalk Pending</t>
        </is>
      </c>
      <c r="M551" t="inlineStr">
        <is>
          <t>Open</t>
        </is>
      </c>
      <c r="N551" t="inlineStr"/>
    </row>
    <row r="552">
      <c r="A552" t="inlineStr">
        <is>
          <t>FKEX00551</t>
        </is>
      </c>
      <c r="B552" t="inlineStr">
        <is>
          <t>15 LL_Device</t>
        </is>
      </c>
      <c r="C552" t="inlineStr">
        <is>
          <t>tblDeviceModel</t>
        </is>
      </c>
      <c r="D552" t="n">
        <v>185</v>
      </c>
      <c r="E552" t="inlineStr">
        <is>
          <t>MOD000182</t>
        </is>
      </c>
      <c r="F552" t="inlineStr">
        <is>
          <t>DeviceFamilyID</t>
        </is>
      </c>
      <c r="G552" t="inlineStr">
        <is>
          <t>DF020</t>
        </is>
      </c>
      <c r="H552" t="inlineStr">
        <is>
          <t>tblDeviceFamilyIDCrosswalk</t>
        </is>
      </c>
      <c r="I552" t="inlineStr"/>
      <c r="J552" t="inlineStr">
        <is>
          <t>tblDeviceModel</t>
        </is>
      </c>
      <c r="K552" t="inlineStr">
        <is>
          <t>Exact ID</t>
        </is>
      </c>
      <c r="L552" t="inlineStr">
        <is>
          <t>Crosswalk Pending</t>
        </is>
      </c>
      <c r="M552" t="inlineStr">
        <is>
          <t>Open</t>
        </is>
      </c>
      <c r="N552" t="inlineStr"/>
    </row>
    <row r="553">
      <c r="A553" t="inlineStr">
        <is>
          <t>FKEX00552</t>
        </is>
      </c>
      <c r="B553" t="inlineStr">
        <is>
          <t>15 LL_Device</t>
        </is>
      </c>
      <c r="C553" t="inlineStr">
        <is>
          <t>tblDeviceModel</t>
        </is>
      </c>
      <c r="D553" t="n">
        <v>185</v>
      </c>
      <c r="E553" t="inlineStr">
        <is>
          <t>MOD000182</t>
        </is>
      </c>
      <c r="F553" t="inlineStr">
        <is>
          <t>DeviceTypeID</t>
        </is>
      </c>
      <c r="G553" t="inlineStr">
        <is>
          <t>DT001</t>
        </is>
      </c>
      <c r="H553" t="inlineStr">
        <is>
          <t>tblDeviceTypeIDCrosswalk</t>
        </is>
      </c>
      <c r="I553" t="inlineStr"/>
      <c r="J553" t="inlineStr">
        <is>
          <t>No Supported Match</t>
        </is>
      </c>
      <c r="K553" t="inlineStr">
        <is>
          <t>None</t>
        </is>
      </c>
      <c r="L553" t="inlineStr">
        <is>
          <t>Crosswalk Pending</t>
        </is>
      </c>
      <c r="M553" t="inlineStr">
        <is>
          <t>Open</t>
        </is>
      </c>
      <c r="N553" t="inlineStr"/>
    </row>
    <row r="554">
      <c r="A554" t="inlineStr">
        <is>
          <t>FKEX00553</t>
        </is>
      </c>
      <c r="B554" t="inlineStr">
        <is>
          <t>15 LL_Device</t>
        </is>
      </c>
      <c r="C554" t="inlineStr">
        <is>
          <t>tblDeviceModel</t>
        </is>
      </c>
      <c r="D554" t="n">
        <v>186</v>
      </c>
      <c r="E554" t="inlineStr">
        <is>
          <t>MOD000183</t>
        </is>
      </c>
      <c r="F554" t="inlineStr">
        <is>
          <t>ManufacturerID</t>
        </is>
      </c>
      <c r="G554" t="inlineStr">
        <is>
          <t>MFG002</t>
        </is>
      </c>
      <c r="H554" t="inlineStr">
        <is>
          <t>tblManufacturerIDCrosswalk</t>
        </is>
      </c>
      <c r="I554" t="inlineStr"/>
      <c r="J554" t="inlineStr">
        <is>
          <t>No Supported Match</t>
        </is>
      </c>
      <c r="K554" t="inlineStr">
        <is>
          <t>None</t>
        </is>
      </c>
      <c r="L554" t="inlineStr">
        <is>
          <t>Crosswalk Pending</t>
        </is>
      </c>
      <c r="M554" t="inlineStr">
        <is>
          <t>Open</t>
        </is>
      </c>
      <c r="N554" t="inlineStr"/>
    </row>
    <row r="555">
      <c r="A555" t="inlineStr">
        <is>
          <t>FKEX00554</t>
        </is>
      </c>
      <c r="B555" t="inlineStr">
        <is>
          <t>15 LL_Device</t>
        </is>
      </c>
      <c r="C555" t="inlineStr">
        <is>
          <t>tblDeviceModel</t>
        </is>
      </c>
      <c r="D555" t="n">
        <v>186</v>
      </c>
      <c r="E555" t="inlineStr">
        <is>
          <t>MOD000183</t>
        </is>
      </c>
      <c r="F555" t="inlineStr">
        <is>
          <t>DeviceFamilyID</t>
        </is>
      </c>
      <c r="G555" t="inlineStr">
        <is>
          <t>DF020</t>
        </is>
      </c>
      <c r="H555" t="inlineStr">
        <is>
          <t>tblDeviceFamilyIDCrosswalk</t>
        </is>
      </c>
      <c r="I555" t="inlineStr"/>
      <c r="J555" t="inlineStr">
        <is>
          <t>tblDeviceModel</t>
        </is>
      </c>
      <c r="K555" t="inlineStr">
        <is>
          <t>Exact ID</t>
        </is>
      </c>
      <c r="L555" t="inlineStr">
        <is>
          <t>Crosswalk Pending</t>
        </is>
      </c>
      <c r="M555" t="inlineStr">
        <is>
          <t>Open</t>
        </is>
      </c>
      <c r="N555" t="inlineStr"/>
    </row>
    <row r="556">
      <c r="A556" t="inlineStr">
        <is>
          <t>FKEX00555</t>
        </is>
      </c>
      <c r="B556" t="inlineStr">
        <is>
          <t>15 LL_Device</t>
        </is>
      </c>
      <c r="C556" t="inlineStr">
        <is>
          <t>tblDeviceModel</t>
        </is>
      </c>
      <c r="D556" t="n">
        <v>186</v>
      </c>
      <c r="E556" t="inlineStr">
        <is>
          <t>MOD000183</t>
        </is>
      </c>
      <c r="F556" t="inlineStr">
        <is>
          <t>DeviceTypeID</t>
        </is>
      </c>
      <c r="G556" t="inlineStr">
        <is>
          <t>DT001</t>
        </is>
      </c>
      <c r="H556" t="inlineStr">
        <is>
          <t>tblDeviceTypeIDCrosswalk</t>
        </is>
      </c>
      <c r="I556" t="inlineStr"/>
      <c r="J556" t="inlineStr">
        <is>
          <t>No Supported Match</t>
        </is>
      </c>
      <c r="K556" t="inlineStr">
        <is>
          <t>None</t>
        </is>
      </c>
      <c r="L556" t="inlineStr">
        <is>
          <t>Crosswalk Pending</t>
        </is>
      </c>
      <c r="M556" t="inlineStr">
        <is>
          <t>Open</t>
        </is>
      </c>
      <c r="N556" t="inlineStr"/>
    </row>
    <row r="557">
      <c r="A557" t="inlineStr">
        <is>
          <t>FKEX00556</t>
        </is>
      </c>
      <c r="B557" t="inlineStr">
        <is>
          <t>15 LL_Device</t>
        </is>
      </c>
      <c r="C557" t="inlineStr">
        <is>
          <t>tblDeviceModel</t>
        </is>
      </c>
      <c r="D557" t="n">
        <v>187</v>
      </c>
      <c r="E557" t="inlineStr">
        <is>
          <t>MOD000184</t>
        </is>
      </c>
      <c r="F557" t="inlineStr">
        <is>
          <t>ManufacturerID</t>
        </is>
      </c>
      <c r="G557" t="inlineStr">
        <is>
          <t>MFG002</t>
        </is>
      </c>
      <c r="H557" t="inlineStr">
        <is>
          <t>tblManufacturerIDCrosswalk</t>
        </is>
      </c>
      <c r="I557" t="inlineStr"/>
      <c r="J557" t="inlineStr">
        <is>
          <t>No Supported Match</t>
        </is>
      </c>
      <c r="K557" t="inlineStr">
        <is>
          <t>None</t>
        </is>
      </c>
      <c r="L557" t="inlineStr">
        <is>
          <t>Crosswalk Pending</t>
        </is>
      </c>
      <c r="M557" t="inlineStr">
        <is>
          <t>Open</t>
        </is>
      </c>
      <c r="N557" t="inlineStr"/>
    </row>
    <row r="558">
      <c r="A558" t="inlineStr">
        <is>
          <t>FKEX00557</t>
        </is>
      </c>
      <c r="B558" t="inlineStr">
        <is>
          <t>15 LL_Device</t>
        </is>
      </c>
      <c r="C558" t="inlineStr">
        <is>
          <t>tblDeviceModel</t>
        </is>
      </c>
      <c r="D558" t="n">
        <v>187</v>
      </c>
      <c r="E558" t="inlineStr">
        <is>
          <t>MOD000184</t>
        </is>
      </c>
      <c r="F558" t="inlineStr">
        <is>
          <t>DeviceFamilyID</t>
        </is>
      </c>
      <c r="G558" t="inlineStr">
        <is>
          <t>DF020</t>
        </is>
      </c>
      <c r="H558" t="inlineStr">
        <is>
          <t>tblDeviceFamilyIDCrosswalk</t>
        </is>
      </c>
      <c r="I558" t="inlineStr"/>
      <c r="J558" t="inlineStr">
        <is>
          <t>tblDeviceModel</t>
        </is>
      </c>
      <c r="K558" t="inlineStr">
        <is>
          <t>Exact ID</t>
        </is>
      </c>
      <c r="L558" t="inlineStr">
        <is>
          <t>Crosswalk Pending</t>
        </is>
      </c>
      <c r="M558" t="inlineStr">
        <is>
          <t>Open</t>
        </is>
      </c>
      <c r="N558" t="inlineStr"/>
    </row>
    <row r="559">
      <c r="A559" t="inlineStr">
        <is>
          <t>FKEX00558</t>
        </is>
      </c>
      <c r="B559" t="inlineStr">
        <is>
          <t>15 LL_Device</t>
        </is>
      </c>
      <c r="C559" t="inlineStr">
        <is>
          <t>tblDeviceModel</t>
        </is>
      </c>
      <c r="D559" t="n">
        <v>187</v>
      </c>
      <c r="E559" t="inlineStr">
        <is>
          <t>MOD000184</t>
        </is>
      </c>
      <c r="F559" t="inlineStr">
        <is>
          <t>DeviceTypeID</t>
        </is>
      </c>
      <c r="G559" t="inlineStr">
        <is>
          <t>DT001</t>
        </is>
      </c>
      <c r="H559" t="inlineStr">
        <is>
          <t>tblDeviceTypeIDCrosswalk</t>
        </is>
      </c>
      <c r="I559" t="inlineStr"/>
      <c r="J559" t="inlineStr">
        <is>
          <t>No Supported Match</t>
        </is>
      </c>
      <c r="K559" t="inlineStr">
        <is>
          <t>None</t>
        </is>
      </c>
      <c r="L559" t="inlineStr">
        <is>
          <t>Crosswalk Pending</t>
        </is>
      </c>
      <c r="M559" t="inlineStr">
        <is>
          <t>Open</t>
        </is>
      </c>
      <c r="N559" t="inlineStr"/>
    </row>
    <row r="560">
      <c r="A560" t="inlineStr">
        <is>
          <t>FKEX00559</t>
        </is>
      </c>
      <c r="B560" t="inlineStr">
        <is>
          <t>15 LL_Device</t>
        </is>
      </c>
      <c r="C560" t="inlineStr">
        <is>
          <t>tblDeviceModel</t>
        </is>
      </c>
      <c r="D560" t="n">
        <v>188</v>
      </c>
      <c r="E560" t="inlineStr">
        <is>
          <t>MOD000185</t>
        </is>
      </c>
      <c r="F560" t="inlineStr">
        <is>
          <t>ManufacturerID</t>
        </is>
      </c>
      <c r="G560" t="inlineStr">
        <is>
          <t>MFG002</t>
        </is>
      </c>
      <c r="H560" t="inlineStr">
        <is>
          <t>tblManufacturerIDCrosswalk</t>
        </is>
      </c>
      <c r="I560" t="inlineStr"/>
      <c r="J560" t="inlineStr">
        <is>
          <t>No Supported Match</t>
        </is>
      </c>
      <c r="K560" t="inlineStr">
        <is>
          <t>None</t>
        </is>
      </c>
      <c r="L560" t="inlineStr">
        <is>
          <t>Crosswalk Pending</t>
        </is>
      </c>
      <c r="M560" t="inlineStr">
        <is>
          <t>Open</t>
        </is>
      </c>
      <c r="N560" t="inlineStr"/>
    </row>
    <row r="561">
      <c r="A561" t="inlineStr">
        <is>
          <t>FKEX00560</t>
        </is>
      </c>
      <c r="B561" t="inlineStr">
        <is>
          <t>15 LL_Device</t>
        </is>
      </c>
      <c r="C561" t="inlineStr">
        <is>
          <t>tblDeviceModel</t>
        </is>
      </c>
      <c r="D561" t="n">
        <v>188</v>
      </c>
      <c r="E561" t="inlineStr">
        <is>
          <t>MOD000185</t>
        </is>
      </c>
      <c r="F561" t="inlineStr">
        <is>
          <t>DeviceFamilyID</t>
        </is>
      </c>
      <c r="G561" t="inlineStr">
        <is>
          <t>DF020</t>
        </is>
      </c>
      <c r="H561" t="inlineStr">
        <is>
          <t>tblDeviceFamilyIDCrosswalk</t>
        </is>
      </c>
      <c r="I561" t="inlineStr"/>
      <c r="J561" t="inlineStr">
        <is>
          <t>tblDeviceModel</t>
        </is>
      </c>
      <c r="K561" t="inlineStr">
        <is>
          <t>Exact ID</t>
        </is>
      </c>
      <c r="L561" t="inlineStr">
        <is>
          <t>Crosswalk Pending</t>
        </is>
      </c>
      <c r="M561" t="inlineStr">
        <is>
          <t>Open</t>
        </is>
      </c>
      <c r="N561" t="inlineStr"/>
    </row>
    <row r="562">
      <c r="A562" t="inlineStr">
        <is>
          <t>FKEX00561</t>
        </is>
      </c>
      <c r="B562" t="inlineStr">
        <is>
          <t>15 LL_Device</t>
        </is>
      </c>
      <c r="C562" t="inlineStr">
        <is>
          <t>tblDeviceModel</t>
        </is>
      </c>
      <c r="D562" t="n">
        <v>188</v>
      </c>
      <c r="E562" t="inlineStr">
        <is>
          <t>MOD000185</t>
        </is>
      </c>
      <c r="F562" t="inlineStr">
        <is>
          <t>DeviceTypeID</t>
        </is>
      </c>
      <c r="G562" t="inlineStr">
        <is>
          <t>DT001</t>
        </is>
      </c>
      <c r="H562" t="inlineStr">
        <is>
          <t>tblDeviceTypeIDCrosswalk</t>
        </is>
      </c>
      <c r="I562" t="inlineStr"/>
      <c r="J562" t="inlineStr">
        <is>
          <t>No Supported Match</t>
        </is>
      </c>
      <c r="K562" t="inlineStr">
        <is>
          <t>None</t>
        </is>
      </c>
      <c r="L562" t="inlineStr">
        <is>
          <t>Crosswalk Pending</t>
        </is>
      </c>
      <c r="M562" t="inlineStr">
        <is>
          <t>Open</t>
        </is>
      </c>
      <c r="N562" t="inlineStr"/>
    </row>
    <row r="563">
      <c r="A563" t="inlineStr">
        <is>
          <t>FKEX00562</t>
        </is>
      </c>
      <c r="B563" t="inlineStr">
        <is>
          <t>15 LL_Device</t>
        </is>
      </c>
      <c r="C563" t="inlineStr">
        <is>
          <t>tblDeviceModel</t>
        </is>
      </c>
      <c r="D563" t="n">
        <v>189</v>
      </c>
      <c r="E563" t="inlineStr">
        <is>
          <t>MOD000186</t>
        </is>
      </c>
      <c r="F563" t="inlineStr">
        <is>
          <t>ManufacturerID</t>
        </is>
      </c>
      <c r="G563" t="inlineStr">
        <is>
          <t>MFG002</t>
        </is>
      </c>
      <c r="H563" t="inlineStr">
        <is>
          <t>tblManufacturerIDCrosswalk</t>
        </is>
      </c>
      <c r="I563" t="inlineStr"/>
      <c r="J563" t="inlineStr">
        <is>
          <t>No Supported Match</t>
        </is>
      </c>
      <c r="K563" t="inlineStr">
        <is>
          <t>None</t>
        </is>
      </c>
      <c r="L563" t="inlineStr">
        <is>
          <t>Crosswalk Pending</t>
        </is>
      </c>
      <c r="M563" t="inlineStr">
        <is>
          <t>Open</t>
        </is>
      </c>
      <c r="N563" t="inlineStr"/>
    </row>
    <row r="564">
      <c r="A564" t="inlineStr">
        <is>
          <t>FKEX00563</t>
        </is>
      </c>
      <c r="B564" t="inlineStr">
        <is>
          <t>15 LL_Device</t>
        </is>
      </c>
      <c r="C564" t="inlineStr">
        <is>
          <t>tblDeviceModel</t>
        </is>
      </c>
      <c r="D564" t="n">
        <v>189</v>
      </c>
      <c r="E564" t="inlineStr">
        <is>
          <t>MOD000186</t>
        </is>
      </c>
      <c r="F564" t="inlineStr">
        <is>
          <t>DeviceFamilyID</t>
        </is>
      </c>
      <c r="G564" t="inlineStr">
        <is>
          <t>DF020</t>
        </is>
      </c>
      <c r="H564" t="inlineStr">
        <is>
          <t>tblDeviceFamilyIDCrosswalk</t>
        </is>
      </c>
      <c r="I564" t="inlineStr"/>
      <c r="J564" t="inlineStr">
        <is>
          <t>tblDeviceModel</t>
        </is>
      </c>
      <c r="K564" t="inlineStr">
        <is>
          <t>Exact ID</t>
        </is>
      </c>
      <c r="L564" t="inlineStr">
        <is>
          <t>Crosswalk Pending</t>
        </is>
      </c>
      <c r="M564" t="inlineStr">
        <is>
          <t>Open</t>
        </is>
      </c>
      <c r="N564" t="inlineStr"/>
    </row>
    <row r="565">
      <c r="A565" t="inlineStr">
        <is>
          <t>FKEX00564</t>
        </is>
      </c>
      <c r="B565" t="inlineStr">
        <is>
          <t>15 LL_Device</t>
        </is>
      </c>
      <c r="C565" t="inlineStr">
        <is>
          <t>tblDeviceModel</t>
        </is>
      </c>
      <c r="D565" t="n">
        <v>189</v>
      </c>
      <c r="E565" t="inlineStr">
        <is>
          <t>MOD000186</t>
        </is>
      </c>
      <c r="F565" t="inlineStr">
        <is>
          <t>DeviceTypeID</t>
        </is>
      </c>
      <c r="G565" t="inlineStr">
        <is>
          <t>DT001</t>
        </is>
      </c>
      <c r="H565" t="inlineStr">
        <is>
          <t>tblDeviceTypeIDCrosswalk</t>
        </is>
      </c>
      <c r="I565" t="inlineStr"/>
      <c r="J565" t="inlineStr">
        <is>
          <t>No Supported Match</t>
        </is>
      </c>
      <c r="K565" t="inlineStr">
        <is>
          <t>None</t>
        </is>
      </c>
      <c r="L565" t="inlineStr">
        <is>
          <t>Crosswalk Pending</t>
        </is>
      </c>
      <c r="M565" t="inlineStr">
        <is>
          <t>Open</t>
        </is>
      </c>
      <c r="N565" t="inlineStr"/>
    </row>
    <row r="566">
      <c r="A566" t="inlineStr">
        <is>
          <t>FKEX00565</t>
        </is>
      </c>
      <c r="B566" t="inlineStr">
        <is>
          <t>15 LL_Device</t>
        </is>
      </c>
      <c r="C566" t="inlineStr">
        <is>
          <t>tblDeviceModel</t>
        </is>
      </c>
      <c r="D566" t="n">
        <v>190</v>
      </c>
      <c r="E566" t="inlineStr">
        <is>
          <t>MOD000187</t>
        </is>
      </c>
      <c r="F566" t="inlineStr">
        <is>
          <t>ManufacturerID</t>
        </is>
      </c>
      <c r="G566" t="inlineStr">
        <is>
          <t>MFG002</t>
        </is>
      </c>
      <c r="H566" t="inlineStr">
        <is>
          <t>tblManufacturerIDCrosswalk</t>
        </is>
      </c>
      <c r="I566" t="inlineStr"/>
      <c r="J566" t="inlineStr">
        <is>
          <t>No Supported Match</t>
        </is>
      </c>
      <c r="K566" t="inlineStr">
        <is>
          <t>None</t>
        </is>
      </c>
      <c r="L566" t="inlineStr">
        <is>
          <t>Crosswalk Pending</t>
        </is>
      </c>
      <c r="M566" t="inlineStr">
        <is>
          <t>Open</t>
        </is>
      </c>
      <c r="N566" t="inlineStr"/>
    </row>
    <row r="567">
      <c r="A567" t="inlineStr">
        <is>
          <t>FKEX00566</t>
        </is>
      </c>
      <c r="B567" t="inlineStr">
        <is>
          <t>15 LL_Device</t>
        </is>
      </c>
      <c r="C567" t="inlineStr">
        <is>
          <t>tblDeviceModel</t>
        </is>
      </c>
      <c r="D567" t="n">
        <v>190</v>
      </c>
      <c r="E567" t="inlineStr">
        <is>
          <t>MOD000187</t>
        </is>
      </c>
      <c r="F567" t="inlineStr">
        <is>
          <t>DeviceFamilyID</t>
        </is>
      </c>
      <c r="G567" t="inlineStr">
        <is>
          <t>DF020</t>
        </is>
      </c>
      <c r="H567" t="inlineStr">
        <is>
          <t>tblDeviceFamilyIDCrosswalk</t>
        </is>
      </c>
      <c r="I567" t="inlineStr"/>
      <c r="J567" t="inlineStr">
        <is>
          <t>tblDeviceModel</t>
        </is>
      </c>
      <c r="K567" t="inlineStr">
        <is>
          <t>Exact ID</t>
        </is>
      </c>
      <c r="L567" t="inlineStr">
        <is>
          <t>Crosswalk Pending</t>
        </is>
      </c>
      <c r="M567" t="inlineStr">
        <is>
          <t>Open</t>
        </is>
      </c>
      <c r="N567" t="inlineStr"/>
    </row>
    <row r="568">
      <c r="A568" t="inlineStr">
        <is>
          <t>FKEX00567</t>
        </is>
      </c>
      <c r="B568" t="inlineStr">
        <is>
          <t>15 LL_Device</t>
        </is>
      </c>
      <c r="C568" t="inlineStr">
        <is>
          <t>tblDeviceModel</t>
        </is>
      </c>
      <c r="D568" t="n">
        <v>190</v>
      </c>
      <c r="E568" t="inlineStr">
        <is>
          <t>MOD000187</t>
        </is>
      </c>
      <c r="F568" t="inlineStr">
        <is>
          <t>DeviceTypeID</t>
        </is>
      </c>
      <c r="G568" t="inlineStr">
        <is>
          <t>DT001</t>
        </is>
      </c>
      <c r="H568" t="inlineStr">
        <is>
          <t>tblDeviceTypeIDCrosswalk</t>
        </is>
      </c>
      <c r="I568" t="inlineStr"/>
      <c r="J568" t="inlineStr">
        <is>
          <t>No Supported Match</t>
        </is>
      </c>
      <c r="K568" t="inlineStr">
        <is>
          <t>None</t>
        </is>
      </c>
      <c r="L568" t="inlineStr">
        <is>
          <t>Crosswalk Pending</t>
        </is>
      </c>
      <c r="M568" t="inlineStr">
        <is>
          <t>Open</t>
        </is>
      </c>
      <c r="N568" t="inlineStr"/>
    </row>
    <row r="569">
      <c r="A569" t="inlineStr">
        <is>
          <t>FKEX00568</t>
        </is>
      </c>
      <c r="B569" t="inlineStr">
        <is>
          <t>15 LL_Device</t>
        </is>
      </c>
      <c r="C569" t="inlineStr">
        <is>
          <t>tblDeviceModel</t>
        </is>
      </c>
      <c r="D569" t="n">
        <v>191</v>
      </c>
      <c r="E569" t="inlineStr">
        <is>
          <t>MOD000188</t>
        </is>
      </c>
      <c r="F569" t="inlineStr">
        <is>
          <t>ManufacturerID</t>
        </is>
      </c>
      <c r="G569" t="inlineStr">
        <is>
          <t>MFG002</t>
        </is>
      </c>
      <c r="H569" t="inlineStr">
        <is>
          <t>tblManufacturerIDCrosswalk</t>
        </is>
      </c>
      <c r="I569" t="inlineStr"/>
      <c r="J569" t="inlineStr">
        <is>
          <t>No Supported Match</t>
        </is>
      </c>
      <c r="K569" t="inlineStr">
        <is>
          <t>None</t>
        </is>
      </c>
      <c r="L569" t="inlineStr">
        <is>
          <t>Crosswalk Pending</t>
        </is>
      </c>
      <c r="M569" t="inlineStr">
        <is>
          <t>Open</t>
        </is>
      </c>
      <c r="N569" t="inlineStr"/>
    </row>
    <row r="570">
      <c r="A570" t="inlineStr">
        <is>
          <t>FKEX00569</t>
        </is>
      </c>
      <c r="B570" t="inlineStr">
        <is>
          <t>15 LL_Device</t>
        </is>
      </c>
      <c r="C570" t="inlineStr">
        <is>
          <t>tblDeviceModel</t>
        </is>
      </c>
      <c r="D570" t="n">
        <v>191</v>
      </c>
      <c r="E570" t="inlineStr">
        <is>
          <t>MOD000188</t>
        </is>
      </c>
      <c r="F570" t="inlineStr">
        <is>
          <t>DeviceFamilyID</t>
        </is>
      </c>
      <c r="G570" t="inlineStr">
        <is>
          <t>DF020</t>
        </is>
      </c>
      <c r="H570" t="inlineStr">
        <is>
          <t>tblDeviceFamilyIDCrosswalk</t>
        </is>
      </c>
      <c r="I570" t="inlineStr"/>
      <c r="J570" t="inlineStr">
        <is>
          <t>tblDeviceModel</t>
        </is>
      </c>
      <c r="K570" t="inlineStr">
        <is>
          <t>Exact ID</t>
        </is>
      </c>
      <c r="L570" t="inlineStr">
        <is>
          <t>Crosswalk Pending</t>
        </is>
      </c>
      <c r="M570" t="inlineStr">
        <is>
          <t>Open</t>
        </is>
      </c>
      <c r="N570" t="inlineStr"/>
    </row>
    <row r="571">
      <c r="A571" t="inlineStr">
        <is>
          <t>FKEX00570</t>
        </is>
      </c>
      <c r="B571" t="inlineStr">
        <is>
          <t>15 LL_Device</t>
        </is>
      </c>
      <c r="C571" t="inlineStr">
        <is>
          <t>tblDeviceModel</t>
        </is>
      </c>
      <c r="D571" t="n">
        <v>191</v>
      </c>
      <c r="E571" t="inlineStr">
        <is>
          <t>MOD000188</t>
        </is>
      </c>
      <c r="F571" t="inlineStr">
        <is>
          <t>DeviceTypeID</t>
        </is>
      </c>
      <c r="G571" t="inlineStr">
        <is>
          <t>DT001</t>
        </is>
      </c>
      <c r="H571" t="inlineStr">
        <is>
          <t>tblDeviceTypeIDCrosswalk</t>
        </is>
      </c>
      <c r="I571" t="inlineStr"/>
      <c r="J571" t="inlineStr">
        <is>
          <t>No Supported Match</t>
        </is>
      </c>
      <c r="K571" t="inlineStr">
        <is>
          <t>None</t>
        </is>
      </c>
      <c r="L571" t="inlineStr">
        <is>
          <t>Crosswalk Pending</t>
        </is>
      </c>
      <c r="M571" t="inlineStr">
        <is>
          <t>Open</t>
        </is>
      </c>
      <c r="N571" t="inlineStr"/>
    </row>
    <row r="572">
      <c r="A572" t="inlineStr">
        <is>
          <t>FKEX00571</t>
        </is>
      </c>
      <c r="B572" t="inlineStr">
        <is>
          <t>15 LL_Device</t>
        </is>
      </c>
      <c r="C572" t="inlineStr">
        <is>
          <t>tblDeviceModel</t>
        </is>
      </c>
      <c r="D572" t="n">
        <v>192</v>
      </c>
      <c r="E572" t="inlineStr">
        <is>
          <t>MOD000189</t>
        </is>
      </c>
      <c r="F572" t="inlineStr">
        <is>
          <t>ManufacturerID</t>
        </is>
      </c>
      <c r="G572" t="inlineStr">
        <is>
          <t>MFG002</t>
        </is>
      </c>
      <c r="H572" t="inlineStr">
        <is>
          <t>tblManufacturerIDCrosswalk</t>
        </is>
      </c>
      <c r="I572" t="inlineStr"/>
      <c r="J572" t="inlineStr">
        <is>
          <t>No Supported Match</t>
        </is>
      </c>
      <c r="K572" t="inlineStr">
        <is>
          <t>None</t>
        </is>
      </c>
      <c r="L572" t="inlineStr">
        <is>
          <t>Crosswalk Pending</t>
        </is>
      </c>
      <c r="M572" t="inlineStr">
        <is>
          <t>Open</t>
        </is>
      </c>
      <c r="N572" t="inlineStr"/>
    </row>
    <row r="573">
      <c r="A573" t="inlineStr">
        <is>
          <t>FKEX00572</t>
        </is>
      </c>
      <c r="B573" t="inlineStr">
        <is>
          <t>15 LL_Device</t>
        </is>
      </c>
      <c r="C573" t="inlineStr">
        <is>
          <t>tblDeviceModel</t>
        </is>
      </c>
      <c r="D573" t="n">
        <v>192</v>
      </c>
      <c r="E573" t="inlineStr">
        <is>
          <t>MOD000189</t>
        </is>
      </c>
      <c r="F573" t="inlineStr">
        <is>
          <t>DeviceFamilyID</t>
        </is>
      </c>
      <c r="G573" t="inlineStr">
        <is>
          <t>DF021</t>
        </is>
      </c>
      <c r="H573" t="inlineStr">
        <is>
          <t>tblDeviceFamilyIDCrosswalk</t>
        </is>
      </c>
      <c r="I573" t="inlineStr"/>
      <c r="J573" t="inlineStr">
        <is>
          <t>tblDeviceModel</t>
        </is>
      </c>
      <c r="K573" t="inlineStr">
        <is>
          <t>Exact ID</t>
        </is>
      </c>
      <c r="L573" t="inlineStr">
        <is>
          <t>Crosswalk Pending</t>
        </is>
      </c>
      <c r="M573" t="inlineStr">
        <is>
          <t>Open</t>
        </is>
      </c>
      <c r="N573" t="inlineStr"/>
    </row>
    <row r="574">
      <c r="A574" t="inlineStr">
        <is>
          <t>FKEX00573</t>
        </is>
      </c>
      <c r="B574" t="inlineStr">
        <is>
          <t>15 LL_Device</t>
        </is>
      </c>
      <c r="C574" t="inlineStr">
        <is>
          <t>tblDeviceModel</t>
        </is>
      </c>
      <c r="D574" t="n">
        <v>192</v>
      </c>
      <c r="E574" t="inlineStr">
        <is>
          <t>MOD000189</t>
        </is>
      </c>
      <c r="F574" t="inlineStr">
        <is>
          <t>DeviceTypeID</t>
        </is>
      </c>
      <c r="G574" t="inlineStr">
        <is>
          <t>DT001</t>
        </is>
      </c>
      <c r="H574" t="inlineStr">
        <is>
          <t>tblDeviceTypeIDCrosswalk</t>
        </is>
      </c>
      <c r="I574" t="inlineStr"/>
      <c r="J574" t="inlineStr">
        <is>
          <t>No Supported Match</t>
        </is>
      </c>
      <c r="K574" t="inlineStr">
        <is>
          <t>None</t>
        </is>
      </c>
      <c r="L574" t="inlineStr">
        <is>
          <t>Crosswalk Pending</t>
        </is>
      </c>
      <c r="M574" t="inlineStr">
        <is>
          <t>Open</t>
        </is>
      </c>
      <c r="N574" t="inlineStr"/>
    </row>
    <row r="575">
      <c r="A575" t="inlineStr">
        <is>
          <t>FKEX00574</t>
        </is>
      </c>
      <c r="B575" t="inlineStr">
        <is>
          <t>15 LL_Device</t>
        </is>
      </c>
      <c r="C575" t="inlineStr">
        <is>
          <t>tblDeviceModel</t>
        </is>
      </c>
      <c r="D575" t="n">
        <v>193</v>
      </c>
      <c r="E575" t="inlineStr">
        <is>
          <t>MOD000190</t>
        </is>
      </c>
      <c r="F575" t="inlineStr">
        <is>
          <t>ManufacturerID</t>
        </is>
      </c>
      <c r="G575" t="inlineStr">
        <is>
          <t>MFG002</t>
        </is>
      </c>
      <c r="H575" t="inlineStr">
        <is>
          <t>tblManufacturerIDCrosswalk</t>
        </is>
      </c>
      <c r="I575" t="inlineStr"/>
      <c r="J575" t="inlineStr">
        <is>
          <t>No Supported Match</t>
        </is>
      </c>
      <c r="K575" t="inlineStr">
        <is>
          <t>None</t>
        </is>
      </c>
      <c r="L575" t="inlineStr">
        <is>
          <t>Crosswalk Pending</t>
        </is>
      </c>
      <c r="M575" t="inlineStr">
        <is>
          <t>Open</t>
        </is>
      </c>
      <c r="N575" t="inlineStr"/>
    </row>
    <row r="576">
      <c r="A576" t="inlineStr">
        <is>
          <t>FKEX00575</t>
        </is>
      </c>
      <c r="B576" t="inlineStr">
        <is>
          <t>15 LL_Device</t>
        </is>
      </c>
      <c r="C576" t="inlineStr">
        <is>
          <t>tblDeviceModel</t>
        </is>
      </c>
      <c r="D576" t="n">
        <v>193</v>
      </c>
      <c r="E576" t="inlineStr">
        <is>
          <t>MOD000190</t>
        </is>
      </c>
      <c r="F576" t="inlineStr">
        <is>
          <t>DeviceFamilyID</t>
        </is>
      </c>
      <c r="G576" t="inlineStr">
        <is>
          <t>DF021</t>
        </is>
      </c>
      <c r="H576" t="inlineStr">
        <is>
          <t>tblDeviceFamilyIDCrosswalk</t>
        </is>
      </c>
      <c r="I576" t="inlineStr"/>
      <c r="J576" t="inlineStr">
        <is>
          <t>tblDeviceModel</t>
        </is>
      </c>
      <c r="K576" t="inlineStr">
        <is>
          <t>Exact ID</t>
        </is>
      </c>
      <c r="L576" t="inlineStr">
        <is>
          <t>Crosswalk Pending</t>
        </is>
      </c>
      <c r="M576" t="inlineStr">
        <is>
          <t>Open</t>
        </is>
      </c>
      <c r="N576" t="inlineStr"/>
    </row>
    <row r="577">
      <c r="A577" t="inlineStr">
        <is>
          <t>FKEX00576</t>
        </is>
      </c>
      <c r="B577" t="inlineStr">
        <is>
          <t>15 LL_Device</t>
        </is>
      </c>
      <c r="C577" t="inlineStr">
        <is>
          <t>tblDeviceModel</t>
        </is>
      </c>
      <c r="D577" t="n">
        <v>193</v>
      </c>
      <c r="E577" t="inlineStr">
        <is>
          <t>MOD000190</t>
        </is>
      </c>
      <c r="F577" t="inlineStr">
        <is>
          <t>DeviceTypeID</t>
        </is>
      </c>
      <c r="G577" t="inlineStr">
        <is>
          <t>DT001</t>
        </is>
      </c>
      <c r="H577" t="inlineStr">
        <is>
          <t>tblDeviceTypeIDCrosswalk</t>
        </is>
      </c>
      <c r="I577" t="inlineStr"/>
      <c r="J577" t="inlineStr">
        <is>
          <t>No Supported Match</t>
        </is>
      </c>
      <c r="K577" t="inlineStr">
        <is>
          <t>None</t>
        </is>
      </c>
      <c r="L577" t="inlineStr">
        <is>
          <t>Crosswalk Pending</t>
        </is>
      </c>
      <c r="M577" t="inlineStr">
        <is>
          <t>Open</t>
        </is>
      </c>
      <c r="N577" t="inlineStr"/>
    </row>
    <row r="578">
      <c r="A578" t="inlineStr">
        <is>
          <t>FKEX00577</t>
        </is>
      </c>
      <c r="B578" t="inlineStr">
        <is>
          <t>15 LL_Device</t>
        </is>
      </c>
      <c r="C578" t="inlineStr">
        <is>
          <t>tblDeviceModel</t>
        </is>
      </c>
      <c r="D578" t="n">
        <v>194</v>
      </c>
      <c r="E578" t="inlineStr">
        <is>
          <t>MOD000191</t>
        </is>
      </c>
      <c r="F578" t="inlineStr">
        <is>
          <t>ManufacturerID</t>
        </is>
      </c>
      <c r="G578" t="inlineStr">
        <is>
          <t>MFG002</t>
        </is>
      </c>
      <c r="H578" t="inlineStr">
        <is>
          <t>tblManufacturerIDCrosswalk</t>
        </is>
      </c>
      <c r="I578" t="inlineStr"/>
      <c r="J578" t="inlineStr">
        <is>
          <t>No Supported Match</t>
        </is>
      </c>
      <c r="K578" t="inlineStr">
        <is>
          <t>None</t>
        </is>
      </c>
      <c r="L578" t="inlineStr">
        <is>
          <t>Crosswalk Pending</t>
        </is>
      </c>
      <c r="M578" t="inlineStr">
        <is>
          <t>Open</t>
        </is>
      </c>
      <c r="N578" t="inlineStr"/>
    </row>
    <row r="579">
      <c r="A579" t="inlineStr">
        <is>
          <t>FKEX00578</t>
        </is>
      </c>
      <c r="B579" t="inlineStr">
        <is>
          <t>15 LL_Device</t>
        </is>
      </c>
      <c r="C579" t="inlineStr">
        <is>
          <t>tblDeviceModel</t>
        </is>
      </c>
      <c r="D579" t="n">
        <v>194</v>
      </c>
      <c r="E579" t="inlineStr">
        <is>
          <t>MOD000191</t>
        </is>
      </c>
      <c r="F579" t="inlineStr">
        <is>
          <t>DeviceFamilyID</t>
        </is>
      </c>
      <c r="G579" t="inlineStr">
        <is>
          <t>DF021</t>
        </is>
      </c>
      <c r="H579" t="inlineStr">
        <is>
          <t>tblDeviceFamilyIDCrosswalk</t>
        </is>
      </c>
      <c r="I579" t="inlineStr"/>
      <c r="J579" t="inlineStr">
        <is>
          <t>tblDeviceModel</t>
        </is>
      </c>
      <c r="K579" t="inlineStr">
        <is>
          <t>Exact ID</t>
        </is>
      </c>
      <c r="L579" t="inlineStr">
        <is>
          <t>Crosswalk Pending</t>
        </is>
      </c>
      <c r="M579" t="inlineStr">
        <is>
          <t>Open</t>
        </is>
      </c>
      <c r="N579" t="inlineStr"/>
    </row>
    <row r="580">
      <c r="A580" t="inlineStr">
        <is>
          <t>FKEX00579</t>
        </is>
      </c>
      <c r="B580" t="inlineStr">
        <is>
          <t>15 LL_Device</t>
        </is>
      </c>
      <c r="C580" t="inlineStr">
        <is>
          <t>tblDeviceModel</t>
        </is>
      </c>
      <c r="D580" t="n">
        <v>194</v>
      </c>
      <c r="E580" t="inlineStr">
        <is>
          <t>MOD000191</t>
        </is>
      </c>
      <c r="F580" t="inlineStr">
        <is>
          <t>DeviceTypeID</t>
        </is>
      </c>
      <c r="G580" t="inlineStr">
        <is>
          <t>DT001</t>
        </is>
      </c>
      <c r="H580" t="inlineStr">
        <is>
          <t>tblDeviceTypeIDCrosswalk</t>
        </is>
      </c>
      <c r="I580" t="inlineStr"/>
      <c r="J580" t="inlineStr">
        <is>
          <t>No Supported Match</t>
        </is>
      </c>
      <c r="K580" t="inlineStr">
        <is>
          <t>None</t>
        </is>
      </c>
      <c r="L580" t="inlineStr">
        <is>
          <t>Crosswalk Pending</t>
        </is>
      </c>
      <c r="M580" t="inlineStr">
        <is>
          <t>Open</t>
        </is>
      </c>
      <c r="N580" t="inlineStr"/>
    </row>
    <row r="581">
      <c r="A581" t="inlineStr">
        <is>
          <t>FKEX00580</t>
        </is>
      </c>
      <c r="B581" t="inlineStr">
        <is>
          <t>15 LL_Device</t>
        </is>
      </c>
      <c r="C581" t="inlineStr">
        <is>
          <t>tblDeviceModel</t>
        </is>
      </c>
      <c r="D581" t="n">
        <v>195</v>
      </c>
      <c r="E581" t="inlineStr">
        <is>
          <t>MOD000192</t>
        </is>
      </c>
      <c r="F581" t="inlineStr">
        <is>
          <t>ManufacturerID</t>
        </is>
      </c>
      <c r="G581" t="inlineStr">
        <is>
          <t>MFG002</t>
        </is>
      </c>
      <c r="H581" t="inlineStr">
        <is>
          <t>tblManufacturerIDCrosswalk</t>
        </is>
      </c>
      <c r="I581" t="inlineStr"/>
      <c r="J581" t="inlineStr">
        <is>
          <t>No Supported Match</t>
        </is>
      </c>
      <c r="K581" t="inlineStr">
        <is>
          <t>None</t>
        </is>
      </c>
      <c r="L581" t="inlineStr">
        <is>
          <t>Crosswalk Pending</t>
        </is>
      </c>
      <c r="M581" t="inlineStr">
        <is>
          <t>Open</t>
        </is>
      </c>
      <c r="N581" t="inlineStr"/>
    </row>
    <row r="582">
      <c r="A582" t="inlineStr">
        <is>
          <t>FKEX00581</t>
        </is>
      </c>
      <c r="B582" t="inlineStr">
        <is>
          <t>15 LL_Device</t>
        </is>
      </c>
      <c r="C582" t="inlineStr">
        <is>
          <t>tblDeviceModel</t>
        </is>
      </c>
      <c r="D582" t="n">
        <v>195</v>
      </c>
      <c r="E582" t="inlineStr">
        <is>
          <t>MOD000192</t>
        </is>
      </c>
      <c r="F582" t="inlineStr">
        <is>
          <t>DeviceFamilyID</t>
        </is>
      </c>
      <c r="G582" t="inlineStr">
        <is>
          <t>DF021</t>
        </is>
      </c>
      <c r="H582" t="inlineStr">
        <is>
          <t>tblDeviceFamilyIDCrosswalk</t>
        </is>
      </c>
      <c r="I582" t="inlineStr"/>
      <c r="J582" t="inlineStr">
        <is>
          <t>tblDeviceModel</t>
        </is>
      </c>
      <c r="K582" t="inlineStr">
        <is>
          <t>Exact ID</t>
        </is>
      </c>
      <c r="L582" t="inlineStr">
        <is>
          <t>Crosswalk Pending</t>
        </is>
      </c>
      <c r="M582" t="inlineStr">
        <is>
          <t>Open</t>
        </is>
      </c>
      <c r="N582" t="inlineStr"/>
    </row>
    <row r="583">
      <c r="A583" t="inlineStr">
        <is>
          <t>FKEX00582</t>
        </is>
      </c>
      <c r="B583" t="inlineStr">
        <is>
          <t>15 LL_Device</t>
        </is>
      </c>
      <c r="C583" t="inlineStr">
        <is>
          <t>tblDeviceModel</t>
        </is>
      </c>
      <c r="D583" t="n">
        <v>195</v>
      </c>
      <c r="E583" t="inlineStr">
        <is>
          <t>MOD000192</t>
        </is>
      </c>
      <c r="F583" t="inlineStr">
        <is>
          <t>DeviceTypeID</t>
        </is>
      </c>
      <c r="G583" t="inlineStr">
        <is>
          <t>DT001</t>
        </is>
      </c>
      <c r="H583" t="inlineStr">
        <is>
          <t>tblDeviceTypeIDCrosswalk</t>
        </is>
      </c>
      <c r="I583" t="inlineStr"/>
      <c r="J583" t="inlineStr">
        <is>
          <t>No Supported Match</t>
        </is>
      </c>
      <c r="K583" t="inlineStr">
        <is>
          <t>None</t>
        </is>
      </c>
      <c r="L583" t="inlineStr">
        <is>
          <t>Crosswalk Pending</t>
        </is>
      </c>
      <c r="M583" t="inlineStr">
        <is>
          <t>Open</t>
        </is>
      </c>
      <c r="N583" t="inlineStr"/>
    </row>
    <row r="584">
      <c r="A584" t="inlineStr">
        <is>
          <t>FKEX00583</t>
        </is>
      </c>
      <c r="B584" t="inlineStr">
        <is>
          <t>15 LL_Device</t>
        </is>
      </c>
      <c r="C584" t="inlineStr">
        <is>
          <t>tblDeviceModel</t>
        </is>
      </c>
      <c r="D584" t="n">
        <v>196</v>
      </c>
      <c r="E584" t="inlineStr">
        <is>
          <t>MOD000193</t>
        </is>
      </c>
      <c r="F584" t="inlineStr">
        <is>
          <t>ManufacturerID</t>
        </is>
      </c>
      <c r="G584" t="inlineStr">
        <is>
          <t>MFG002</t>
        </is>
      </c>
      <c r="H584" t="inlineStr">
        <is>
          <t>tblManufacturerIDCrosswalk</t>
        </is>
      </c>
      <c r="I584" t="inlineStr"/>
      <c r="J584" t="inlineStr">
        <is>
          <t>No Supported Match</t>
        </is>
      </c>
      <c r="K584" t="inlineStr">
        <is>
          <t>None</t>
        </is>
      </c>
      <c r="L584" t="inlineStr">
        <is>
          <t>Crosswalk Pending</t>
        </is>
      </c>
      <c r="M584" t="inlineStr">
        <is>
          <t>Open</t>
        </is>
      </c>
      <c r="N584" t="inlineStr"/>
    </row>
    <row r="585">
      <c r="A585" t="inlineStr">
        <is>
          <t>FKEX00584</t>
        </is>
      </c>
      <c r="B585" t="inlineStr">
        <is>
          <t>15 LL_Device</t>
        </is>
      </c>
      <c r="C585" t="inlineStr">
        <is>
          <t>tblDeviceModel</t>
        </is>
      </c>
      <c r="D585" t="n">
        <v>196</v>
      </c>
      <c r="E585" t="inlineStr">
        <is>
          <t>MOD000193</t>
        </is>
      </c>
      <c r="F585" t="inlineStr">
        <is>
          <t>DeviceFamilyID</t>
        </is>
      </c>
      <c r="G585" t="inlineStr">
        <is>
          <t>DF021</t>
        </is>
      </c>
      <c r="H585" t="inlineStr">
        <is>
          <t>tblDeviceFamilyIDCrosswalk</t>
        </is>
      </c>
      <c r="I585" t="inlineStr"/>
      <c r="J585" t="inlineStr">
        <is>
          <t>tblDeviceModel</t>
        </is>
      </c>
      <c r="K585" t="inlineStr">
        <is>
          <t>Exact ID</t>
        </is>
      </c>
      <c r="L585" t="inlineStr">
        <is>
          <t>Crosswalk Pending</t>
        </is>
      </c>
      <c r="M585" t="inlineStr">
        <is>
          <t>Open</t>
        </is>
      </c>
      <c r="N585" t="inlineStr"/>
    </row>
    <row r="586">
      <c r="A586" t="inlineStr">
        <is>
          <t>FKEX00585</t>
        </is>
      </c>
      <c r="B586" t="inlineStr">
        <is>
          <t>15 LL_Device</t>
        </is>
      </c>
      <c r="C586" t="inlineStr">
        <is>
          <t>tblDeviceModel</t>
        </is>
      </c>
      <c r="D586" t="n">
        <v>196</v>
      </c>
      <c r="E586" t="inlineStr">
        <is>
          <t>MOD000193</t>
        </is>
      </c>
      <c r="F586" t="inlineStr">
        <is>
          <t>DeviceTypeID</t>
        </is>
      </c>
      <c r="G586" t="inlineStr">
        <is>
          <t>DT001</t>
        </is>
      </c>
      <c r="H586" t="inlineStr">
        <is>
          <t>tblDeviceTypeIDCrosswalk</t>
        </is>
      </c>
      <c r="I586" t="inlineStr"/>
      <c r="J586" t="inlineStr">
        <is>
          <t>No Supported Match</t>
        </is>
      </c>
      <c r="K586" t="inlineStr">
        <is>
          <t>None</t>
        </is>
      </c>
      <c r="L586" t="inlineStr">
        <is>
          <t>Crosswalk Pending</t>
        </is>
      </c>
      <c r="M586" t="inlineStr">
        <is>
          <t>Open</t>
        </is>
      </c>
      <c r="N586" t="inlineStr"/>
    </row>
    <row r="587">
      <c r="A587" t="inlineStr">
        <is>
          <t>FKEX00586</t>
        </is>
      </c>
      <c r="B587" t="inlineStr">
        <is>
          <t>15 LL_Device</t>
        </is>
      </c>
      <c r="C587" t="inlineStr">
        <is>
          <t>tblDeviceModel</t>
        </is>
      </c>
      <c r="D587" t="n">
        <v>197</v>
      </c>
      <c r="E587" t="inlineStr">
        <is>
          <t>MOD000194</t>
        </is>
      </c>
      <c r="F587" t="inlineStr">
        <is>
          <t>ManufacturerID</t>
        </is>
      </c>
      <c r="G587" t="inlineStr">
        <is>
          <t>MFG002</t>
        </is>
      </c>
      <c r="H587" t="inlineStr">
        <is>
          <t>tblManufacturerIDCrosswalk</t>
        </is>
      </c>
      <c r="I587" t="inlineStr"/>
      <c r="J587" t="inlineStr">
        <is>
          <t>No Supported Match</t>
        </is>
      </c>
      <c r="K587" t="inlineStr">
        <is>
          <t>None</t>
        </is>
      </c>
      <c r="L587" t="inlineStr">
        <is>
          <t>Crosswalk Pending</t>
        </is>
      </c>
      <c r="M587" t="inlineStr">
        <is>
          <t>Open</t>
        </is>
      </c>
      <c r="N587" t="inlineStr"/>
    </row>
    <row r="588">
      <c r="A588" t="inlineStr">
        <is>
          <t>FKEX00587</t>
        </is>
      </c>
      <c r="B588" t="inlineStr">
        <is>
          <t>15 LL_Device</t>
        </is>
      </c>
      <c r="C588" t="inlineStr">
        <is>
          <t>tblDeviceModel</t>
        </is>
      </c>
      <c r="D588" t="n">
        <v>197</v>
      </c>
      <c r="E588" t="inlineStr">
        <is>
          <t>MOD000194</t>
        </is>
      </c>
      <c r="F588" t="inlineStr">
        <is>
          <t>DeviceFamilyID</t>
        </is>
      </c>
      <c r="G588" t="inlineStr">
        <is>
          <t>DF021</t>
        </is>
      </c>
      <c r="H588" t="inlineStr">
        <is>
          <t>tblDeviceFamilyIDCrosswalk</t>
        </is>
      </c>
      <c r="I588" t="inlineStr"/>
      <c r="J588" t="inlineStr">
        <is>
          <t>tblDeviceModel</t>
        </is>
      </c>
      <c r="K588" t="inlineStr">
        <is>
          <t>Exact ID</t>
        </is>
      </c>
      <c r="L588" t="inlineStr">
        <is>
          <t>Crosswalk Pending</t>
        </is>
      </c>
      <c r="M588" t="inlineStr">
        <is>
          <t>Open</t>
        </is>
      </c>
      <c r="N588" t="inlineStr"/>
    </row>
    <row r="589">
      <c r="A589" t="inlineStr">
        <is>
          <t>FKEX00588</t>
        </is>
      </c>
      <c r="B589" t="inlineStr">
        <is>
          <t>15 LL_Device</t>
        </is>
      </c>
      <c r="C589" t="inlineStr">
        <is>
          <t>tblDeviceModel</t>
        </is>
      </c>
      <c r="D589" t="n">
        <v>197</v>
      </c>
      <c r="E589" t="inlineStr">
        <is>
          <t>MOD000194</t>
        </is>
      </c>
      <c r="F589" t="inlineStr">
        <is>
          <t>DeviceTypeID</t>
        </is>
      </c>
      <c r="G589" t="inlineStr">
        <is>
          <t>DT001</t>
        </is>
      </c>
      <c r="H589" t="inlineStr">
        <is>
          <t>tblDeviceTypeIDCrosswalk</t>
        </is>
      </c>
      <c r="I589" t="inlineStr"/>
      <c r="J589" t="inlineStr">
        <is>
          <t>No Supported Match</t>
        </is>
      </c>
      <c r="K589" t="inlineStr">
        <is>
          <t>None</t>
        </is>
      </c>
      <c r="L589" t="inlineStr">
        <is>
          <t>Crosswalk Pending</t>
        </is>
      </c>
      <c r="M589" t="inlineStr">
        <is>
          <t>Open</t>
        </is>
      </c>
      <c r="N589" t="inlineStr"/>
    </row>
    <row r="590">
      <c r="A590" t="inlineStr">
        <is>
          <t>FKEX00589</t>
        </is>
      </c>
      <c r="B590" t="inlineStr">
        <is>
          <t>15 LL_Device</t>
        </is>
      </c>
      <c r="C590" t="inlineStr">
        <is>
          <t>tblDeviceModel</t>
        </is>
      </c>
      <c r="D590" t="n">
        <v>198</v>
      </c>
      <c r="E590" t="inlineStr">
        <is>
          <t>MOD000195</t>
        </is>
      </c>
      <c r="F590" t="inlineStr">
        <is>
          <t>ManufacturerID</t>
        </is>
      </c>
      <c r="G590" t="inlineStr">
        <is>
          <t>MFG002</t>
        </is>
      </c>
      <c r="H590" t="inlineStr">
        <is>
          <t>tblManufacturerIDCrosswalk</t>
        </is>
      </c>
      <c r="I590" t="inlineStr"/>
      <c r="J590" t="inlineStr">
        <is>
          <t>No Supported Match</t>
        </is>
      </c>
      <c r="K590" t="inlineStr">
        <is>
          <t>None</t>
        </is>
      </c>
      <c r="L590" t="inlineStr">
        <is>
          <t>Crosswalk Pending</t>
        </is>
      </c>
      <c r="M590" t="inlineStr">
        <is>
          <t>Open</t>
        </is>
      </c>
      <c r="N590" t="inlineStr"/>
    </row>
    <row r="591">
      <c r="A591" t="inlineStr">
        <is>
          <t>FKEX00590</t>
        </is>
      </c>
      <c r="B591" t="inlineStr">
        <is>
          <t>15 LL_Device</t>
        </is>
      </c>
      <c r="C591" t="inlineStr">
        <is>
          <t>tblDeviceModel</t>
        </is>
      </c>
      <c r="D591" t="n">
        <v>198</v>
      </c>
      <c r="E591" t="inlineStr">
        <is>
          <t>MOD000195</t>
        </is>
      </c>
      <c r="F591" t="inlineStr">
        <is>
          <t>DeviceFamilyID</t>
        </is>
      </c>
      <c r="G591" t="inlineStr">
        <is>
          <t>DF021</t>
        </is>
      </c>
      <c r="H591" t="inlineStr">
        <is>
          <t>tblDeviceFamilyIDCrosswalk</t>
        </is>
      </c>
      <c r="I591" t="inlineStr"/>
      <c r="J591" t="inlineStr">
        <is>
          <t>tblDeviceModel</t>
        </is>
      </c>
      <c r="K591" t="inlineStr">
        <is>
          <t>Exact ID</t>
        </is>
      </c>
      <c r="L591" t="inlineStr">
        <is>
          <t>Crosswalk Pending</t>
        </is>
      </c>
      <c r="M591" t="inlineStr">
        <is>
          <t>Open</t>
        </is>
      </c>
      <c r="N591" t="inlineStr"/>
    </row>
    <row r="592">
      <c r="A592" t="inlineStr">
        <is>
          <t>FKEX00591</t>
        </is>
      </c>
      <c r="B592" t="inlineStr">
        <is>
          <t>15 LL_Device</t>
        </is>
      </c>
      <c r="C592" t="inlineStr">
        <is>
          <t>tblDeviceModel</t>
        </is>
      </c>
      <c r="D592" t="n">
        <v>198</v>
      </c>
      <c r="E592" t="inlineStr">
        <is>
          <t>MOD000195</t>
        </is>
      </c>
      <c r="F592" t="inlineStr">
        <is>
          <t>DeviceTypeID</t>
        </is>
      </c>
      <c r="G592" t="inlineStr">
        <is>
          <t>DT001</t>
        </is>
      </c>
      <c r="H592" t="inlineStr">
        <is>
          <t>tblDeviceTypeIDCrosswalk</t>
        </is>
      </c>
      <c r="I592" t="inlineStr"/>
      <c r="J592" t="inlineStr">
        <is>
          <t>No Supported Match</t>
        </is>
      </c>
      <c r="K592" t="inlineStr">
        <is>
          <t>None</t>
        </is>
      </c>
      <c r="L592" t="inlineStr">
        <is>
          <t>Crosswalk Pending</t>
        </is>
      </c>
      <c r="M592" t="inlineStr">
        <is>
          <t>Open</t>
        </is>
      </c>
      <c r="N592" t="inlineStr"/>
    </row>
    <row r="593">
      <c r="A593" t="inlineStr">
        <is>
          <t>FKEX00592</t>
        </is>
      </c>
      <c r="B593" t="inlineStr">
        <is>
          <t>15 LL_Device</t>
        </is>
      </c>
      <c r="C593" t="inlineStr">
        <is>
          <t>tblDeviceModel</t>
        </is>
      </c>
      <c r="D593" t="n">
        <v>199</v>
      </c>
      <c r="E593" t="inlineStr">
        <is>
          <t>MOD000196</t>
        </is>
      </c>
      <c r="F593" t="inlineStr">
        <is>
          <t>ManufacturerID</t>
        </is>
      </c>
      <c r="G593" t="inlineStr">
        <is>
          <t>MFG002</t>
        </is>
      </c>
      <c r="H593" t="inlineStr">
        <is>
          <t>tblManufacturerIDCrosswalk</t>
        </is>
      </c>
      <c r="I593" t="inlineStr"/>
      <c r="J593" t="inlineStr">
        <is>
          <t>No Supported Match</t>
        </is>
      </c>
      <c r="K593" t="inlineStr">
        <is>
          <t>None</t>
        </is>
      </c>
      <c r="L593" t="inlineStr">
        <is>
          <t>Crosswalk Pending</t>
        </is>
      </c>
      <c r="M593" t="inlineStr">
        <is>
          <t>Open</t>
        </is>
      </c>
      <c r="N593" t="inlineStr"/>
    </row>
    <row r="594">
      <c r="A594" t="inlineStr">
        <is>
          <t>FKEX00593</t>
        </is>
      </c>
      <c r="B594" t="inlineStr">
        <is>
          <t>15 LL_Device</t>
        </is>
      </c>
      <c r="C594" t="inlineStr">
        <is>
          <t>tblDeviceModel</t>
        </is>
      </c>
      <c r="D594" t="n">
        <v>199</v>
      </c>
      <c r="E594" t="inlineStr">
        <is>
          <t>MOD000196</t>
        </is>
      </c>
      <c r="F594" t="inlineStr">
        <is>
          <t>DeviceFamilyID</t>
        </is>
      </c>
      <c r="G594" t="inlineStr">
        <is>
          <t>DF021</t>
        </is>
      </c>
      <c r="H594" t="inlineStr">
        <is>
          <t>tblDeviceFamilyIDCrosswalk</t>
        </is>
      </c>
      <c r="I594" t="inlineStr"/>
      <c r="J594" t="inlineStr">
        <is>
          <t>tblDeviceModel</t>
        </is>
      </c>
      <c r="K594" t="inlineStr">
        <is>
          <t>Exact ID</t>
        </is>
      </c>
      <c r="L594" t="inlineStr">
        <is>
          <t>Crosswalk Pending</t>
        </is>
      </c>
      <c r="M594" t="inlineStr">
        <is>
          <t>Open</t>
        </is>
      </c>
      <c r="N594" t="inlineStr"/>
    </row>
    <row r="595">
      <c r="A595" t="inlineStr">
        <is>
          <t>FKEX00594</t>
        </is>
      </c>
      <c r="B595" t="inlineStr">
        <is>
          <t>15 LL_Device</t>
        </is>
      </c>
      <c r="C595" t="inlineStr">
        <is>
          <t>tblDeviceModel</t>
        </is>
      </c>
      <c r="D595" t="n">
        <v>199</v>
      </c>
      <c r="E595" t="inlineStr">
        <is>
          <t>MOD000196</t>
        </is>
      </c>
      <c r="F595" t="inlineStr">
        <is>
          <t>DeviceTypeID</t>
        </is>
      </c>
      <c r="G595" t="inlineStr">
        <is>
          <t>DT001</t>
        </is>
      </c>
      <c r="H595" t="inlineStr">
        <is>
          <t>tblDeviceTypeIDCrosswalk</t>
        </is>
      </c>
      <c r="I595" t="inlineStr"/>
      <c r="J595" t="inlineStr">
        <is>
          <t>No Supported Match</t>
        </is>
      </c>
      <c r="K595" t="inlineStr">
        <is>
          <t>None</t>
        </is>
      </c>
      <c r="L595" t="inlineStr">
        <is>
          <t>Crosswalk Pending</t>
        </is>
      </c>
      <c r="M595" t="inlineStr">
        <is>
          <t>Open</t>
        </is>
      </c>
      <c r="N595" t="inlineStr"/>
    </row>
    <row r="596">
      <c r="A596" t="inlineStr">
        <is>
          <t>FKEX00595</t>
        </is>
      </c>
      <c r="B596" t="inlineStr">
        <is>
          <t>15 LL_Device</t>
        </is>
      </c>
      <c r="C596" t="inlineStr">
        <is>
          <t>tblDeviceModel</t>
        </is>
      </c>
      <c r="D596" t="n">
        <v>200</v>
      </c>
      <c r="E596" t="inlineStr">
        <is>
          <t>MOD000197</t>
        </is>
      </c>
      <c r="F596" t="inlineStr">
        <is>
          <t>ManufacturerID</t>
        </is>
      </c>
      <c r="G596" t="inlineStr">
        <is>
          <t>MFG002</t>
        </is>
      </c>
      <c r="H596" t="inlineStr">
        <is>
          <t>tblManufacturerIDCrosswalk</t>
        </is>
      </c>
      <c r="I596" t="inlineStr"/>
      <c r="J596" t="inlineStr">
        <is>
          <t>No Supported Match</t>
        </is>
      </c>
      <c r="K596" t="inlineStr">
        <is>
          <t>None</t>
        </is>
      </c>
      <c r="L596" t="inlineStr">
        <is>
          <t>Crosswalk Pending</t>
        </is>
      </c>
      <c r="M596" t="inlineStr">
        <is>
          <t>Open</t>
        </is>
      </c>
      <c r="N596" t="inlineStr"/>
    </row>
    <row r="597">
      <c r="A597" t="inlineStr">
        <is>
          <t>FKEX00596</t>
        </is>
      </c>
      <c r="B597" t="inlineStr">
        <is>
          <t>15 LL_Device</t>
        </is>
      </c>
      <c r="C597" t="inlineStr">
        <is>
          <t>tblDeviceModel</t>
        </is>
      </c>
      <c r="D597" t="n">
        <v>200</v>
      </c>
      <c r="E597" t="inlineStr">
        <is>
          <t>MOD000197</t>
        </is>
      </c>
      <c r="F597" t="inlineStr">
        <is>
          <t>DeviceFamilyID</t>
        </is>
      </c>
      <c r="G597" t="inlineStr">
        <is>
          <t>DF021</t>
        </is>
      </c>
      <c r="H597" t="inlineStr">
        <is>
          <t>tblDeviceFamilyIDCrosswalk</t>
        </is>
      </c>
      <c r="I597" t="inlineStr"/>
      <c r="J597" t="inlineStr">
        <is>
          <t>tblDeviceModel</t>
        </is>
      </c>
      <c r="K597" t="inlineStr">
        <is>
          <t>Exact ID</t>
        </is>
      </c>
      <c r="L597" t="inlineStr">
        <is>
          <t>Crosswalk Pending</t>
        </is>
      </c>
      <c r="M597" t="inlineStr">
        <is>
          <t>Open</t>
        </is>
      </c>
      <c r="N597" t="inlineStr"/>
    </row>
    <row r="598">
      <c r="A598" t="inlineStr">
        <is>
          <t>FKEX00597</t>
        </is>
      </c>
      <c r="B598" t="inlineStr">
        <is>
          <t>15 LL_Device</t>
        </is>
      </c>
      <c r="C598" t="inlineStr">
        <is>
          <t>tblDeviceModel</t>
        </is>
      </c>
      <c r="D598" t="n">
        <v>200</v>
      </c>
      <c r="E598" t="inlineStr">
        <is>
          <t>MOD000197</t>
        </is>
      </c>
      <c r="F598" t="inlineStr">
        <is>
          <t>DeviceTypeID</t>
        </is>
      </c>
      <c r="G598" t="inlineStr">
        <is>
          <t>DT001</t>
        </is>
      </c>
      <c r="H598" t="inlineStr">
        <is>
          <t>tblDeviceTypeIDCrosswalk</t>
        </is>
      </c>
      <c r="I598" t="inlineStr"/>
      <c r="J598" t="inlineStr">
        <is>
          <t>No Supported Match</t>
        </is>
      </c>
      <c r="K598" t="inlineStr">
        <is>
          <t>None</t>
        </is>
      </c>
      <c r="L598" t="inlineStr">
        <is>
          <t>Crosswalk Pending</t>
        </is>
      </c>
      <c r="M598" t="inlineStr">
        <is>
          <t>Open</t>
        </is>
      </c>
      <c r="N598" t="inlineStr"/>
    </row>
    <row r="599">
      <c r="A599" t="inlineStr">
        <is>
          <t>FKEX00598</t>
        </is>
      </c>
      <c r="B599" t="inlineStr">
        <is>
          <t>15 LL_Device</t>
        </is>
      </c>
      <c r="C599" t="inlineStr">
        <is>
          <t>tblDeviceModel</t>
        </is>
      </c>
      <c r="D599" t="n">
        <v>201</v>
      </c>
      <c r="E599" t="inlineStr">
        <is>
          <t>MOD000198</t>
        </is>
      </c>
      <c r="F599" t="inlineStr">
        <is>
          <t>ManufacturerID</t>
        </is>
      </c>
      <c r="G599" t="inlineStr">
        <is>
          <t>MFG002</t>
        </is>
      </c>
      <c r="H599" t="inlineStr">
        <is>
          <t>tblManufacturerIDCrosswalk</t>
        </is>
      </c>
      <c r="I599" t="inlineStr"/>
      <c r="J599" t="inlineStr">
        <is>
          <t>No Supported Match</t>
        </is>
      </c>
      <c r="K599" t="inlineStr">
        <is>
          <t>None</t>
        </is>
      </c>
      <c r="L599" t="inlineStr">
        <is>
          <t>Crosswalk Pending</t>
        </is>
      </c>
      <c r="M599" t="inlineStr">
        <is>
          <t>Open</t>
        </is>
      </c>
      <c r="N599" t="inlineStr"/>
    </row>
    <row r="600">
      <c r="A600" t="inlineStr">
        <is>
          <t>FKEX00599</t>
        </is>
      </c>
      <c r="B600" t="inlineStr">
        <is>
          <t>15 LL_Device</t>
        </is>
      </c>
      <c r="C600" t="inlineStr">
        <is>
          <t>tblDeviceModel</t>
        </is>
      </c>
      <c r="D600" t="n">
        <v>201</v>
      </c>
      <c r="E600" t="inlineStr">
        <is>
          <t>MOD000198</t>
        </is>
      </c>
      <c r="F600" t="inlineStr">
        <is>
          <t>DeviceFamilyID</t>
        </is>
      </c>
      <c r="G600" t="inlineStr">
        <is>
          <t>DF021</t>
        </is>
      </c>
      <c r="H600" t="inlineStr">
        <is>
          <t>tblDeviceFamilyIDCrosswalk</t>
        </is>
      </c>
      <c r="I600" t="inlineStr"/>
      <c r="J600" t="inlineStr">
        <is>
          <t>tblDeviceModel</t>
        </is>
      </c>
      <c r="K600" t="inlineStr">
        <is>
          <t>Exact ID</t>
        </is>
      </c>
      <c r="L600" t="inlineStr">
        <is>
          <t>Crosswalk Pending</t>
        </is>
      </c>
      <c r="M600" t="inlineStr">
        <is>
          <t>Open</t>
        </is>
      </c>
      <c r="N600" t="inlineStr"/>
    </row>
    <row r="601">
      <c r="A601" t="inlineStr">
        <is>
          <t>FKEX00600</t>
        </is>
      </c>
      <c r="B601" t="inlineStr">
        <is>
          <t>15 LL_Device</t>
        </is>
      </c>
      <c r="C601" t="inlineStr">
        <is>
          <t>tblDeviceModel</t>
        </is>
      </c>
      <c r="D601" t="n">
        <v>201</v>
      </c>
      <c r="E601" t="inlineStr">
        <is>
          <t>MOD000198</t>
        </is>
      </c>
      <c r="F601" t="inlineStr">
        <is>
          <t>DeviceTypeID</t>
        </is>
      </c>
      <c r="G601" t="inlineStr">
        <is>
          <t>DT001</t>
        </is>
      </c>
      <c r="H601" t="inlineStr">
        <is>
          <t>tblDeviceTypeIDCrosswalk</t>
        </is>
      </c>
      <c r="I601" t="inlineStr"/>
      <c r="J601" t="inlineStr">
        <is>
          <t>No Supported Match</t>
        </is>
      </c>
      <c r="K601" t="inlineStr">
        <is>
          <t>None</t>
        </is>
      </c>
      <c r="L601" t="inlineStr">
        <is>
          <t>Crosswalk Pending</t>
        </is>
      </c>
      <c r="M601" t="inlineStr">
        <is>
          <t>Open</t>
        </is>
      </c>
      <c r="N601" t="inlineStr"/>
    </row>
    <row r="602">
      <c r="A602" t="inlineStr">
        <is>
          <t>FKEX00601</t>
        </is>
      </c>
      <c r="B602" t="inlineStr">
        <is>
          <t>15 LL_Device</t>
        </is>
      </c>
      <c r="C602" t="inlineStr">
        <is>
          <t>tblDeviceModel</t>
        </is>
      </c>
      <c r="D602" t="n">
        <v>202</v>
      </c>
      <c r="E602" t="inlineStr">
        <is>
          <t>MOD000199</t>
        </is>
      </c>
      <c r="F602" t="inlineStr">
        <is>
          <t>ManufacturerID</t>
        </is>
      </c>
      <c r="G602" t="inlineStr">
        <is>
          <t>MFG002</t>
        </is>
      </c>
      <c r="H602" t="inlineStr">
        <is>
          <t>tblManufacturerIDCrosswalk</t>
        </is>
      </c>
      <c r="I602" t="inlineStr"/>
      <c r="J602" t="inlineStr">
        <is>
          <t>No Supported Match</t>
        </is>
      </c>
      <c r="K602" t="inlineStr">
        <is>
          <t>None</t>
        </is>
      </c>
      <c r="L602" t="inlineStr">
        <is>
          <t>Crosswalk Pending</t>
        </is>
      </c>
      <c r="M602" t="inlineStr">
        <is>
          <t>Open</t>
        </is>
      </c>
      <c r="N602" t="inlineStr"/>
    </row>
    <row r="603">
      <c r="A603" t="inlineStr">
        <is>
          <t>FKEX00602</t>
        </is>
      </c>
      <c r="B603" t="inlineStr">
        <is>
          <t>15 LL_Device</t>
        </is>
      </c>
      <c r="C603" t="inlineStr">
        <is>
          <t>tblDeviceModel</t>
        </is>
      </c>
      <c r="D603" t="n">
        <v>202</v>
      </c>
      <c r="E603" t="inlineStr">
        <is>
          <t>MOD000199</t>
        </is>
      </c>
      <c r="F603" t="inlineStr">
        <is>
          <t>DeviceFamilyID</t>
        </is>
      </c>
      <c r="G603" t="inlineStr">
        <is>
          <t>DF021</t>
        </is>
      </c>
      <c r="H603" t="inlineStr">
        <is>
          <t>tblDeviceFamilyIDCrosswalk</t>
        </is>
      </c>
      <c r="I603" t="inlineStr"/>
      <c r="J603" t="inlineStr">
        <is>
          <t>tblDeviceModel</t>
        </is>
      </c>
      <c r="K603" t="inlineStr">
        <is>
          <t>Exact ID</t>
        </is>
      </c>
      <c r="L603" t="inlineStr">
        <is>
          <t>Crosswalk Pending</t>
        </is>
      </c>
      <c r="M603" t="inlineStr">
        <is>
          <t>Open</t>
        </is>
      </c>
      <c r="N603" t="inlineStr"/>
    </row>
    <row r="604">
      <c r="A604" t="inlineStr">
        <is>
          <t>FKEX00603</t>
        </is>
      </c>
      <c r="B604" t="inlineStr">
        <is>
          <t>15 LL_Device</t>
        </is>
      </c>
      <c r="C604" t="inlineStr">
        <is>
          <t>tblDeviceModel</t>
        </is>
      </c>
      <c r="D604" t="n">
        <v>202</v>
      </c>
      <c r="E604" t="inlineStr">
        <is>
          <t>MOD000199</t>
        </is>
      </c>
      <c r="F604" t="inlineStr">
        <is>
          <t>DeviceTypeID</t>
        </is>
      </c>
      <c r="G604" t="inlineStr">
        <is>
          <t>DT001</t>
        </is>
      </c>
      <c r="H604" t="inlineStr">
        <is>
          <t>tblDeviceTypeIDCrosswalk</t>
        </is>
      </c>
      <c r="I604" t="inlineStr"/>
      <c r="J604" t="inlineStr">
        <is>
          <t>No Supported Match</t>
        </is>
      </c>
      <c r="K604" t="inlineStr">
        <is>
          <t>None</t>
        </is>
      </c>
      <c r="L604" t="inlineStr">
        <is>
          <t>Crosswalk Pending</t>
        </is>
      </c>
      <c r="M604" t="inlineStr">
        <is>
          <t>Open</t>
        </is>
      </c>
      <c r="N604" t="inlineStr"/>
    </row>
    <row r="605">
      <c r="A605" t="inlineStr">
        <is>
          <t>FKEX00604</t>
        </is>
      </c>
      <c r="B605" t="inlineStr">
        <is>
          <t>15 LL_Device</t>
        </is>
      </c>
      <c r="C605" t="inlineStr">
        <is>
          <t>tblDeviceModel</t>
        </is>
      </c>
      <c r="D605" t="n">
        <v>203</v>
      </c>
      <c r="E605" t="inlineStr">
        <is>
          <t>MOD000200</t>
        </is>
      </c>
      <c r="F605" t="inlineStr">
        <is>
          <t>ManufacturerID</t>
        </is>
      </c>
      <c r="G605" t="inlineStr">
        <is>
          <t>MFG002</t>
        </is>
      </c>
      <c r="H605" t="inlineStr">
        <is>
          <t>tblManufacturerIDCrosswalk</t>
        </is>
      </c>
      <c r="I605" t="inlineStr"/>
      <c r="J605" t="inlineStr">
        <is>
          <t>No Supported Match</t>
        </is>
      </c>
      <c r="K605" t="inlineStr">
        <is>
          <t>None</t>
        </is>
      </c>
      <c r="L605" t="inlineStr">
        <is>
          <t>Crosswalk Pending</t>
        </is>
      </c>
      <c r="M605" t="inlineStr">
        <is>
          <t>Open</t>
        </is>
      </c>
      <c r="N605" t="inlineStr"/>
    </row>
    <row r="606">
      <c r="A606" t="inlineStr">
        <is>
          <t>FKEX00605</t>
        </is>
      </c>
      <c r="B606" t="inlineStr">
        <is>
          <t>15 LL_Device</t>
        </is>
      </c>
      <c r="C606" t="inlineStr">
        <is>
          <t>tblDeviceModel</t>
        </is>
      </c>
      <c r="D606" t="n">
        <v>203</v>
      </c>
      <c r="E606" t="inlineStr">
        <is>
          <t>MOD000200</t>
        </is>
      </c>
      <c r="F606" t="inlineStr">
        <is>
          <t>DeviceFamilyID</t>
        </is>
      </c>
      <c r="G606" t="inlineStr">
        <is>
          <t>DF021</t>
        </is>
      </c>
      <c r="H606" t="inlineStr">
        <is>
          <t>tblDeviceFamilyIDCrosswalk</t>
        </is>
      </c>
      <c r="I606" t="inlineStr"/>
      <c r="J606" t="inlineStr">
        <is>
          <t>tblDeviceModel</t>
        </is>
      </c>
      <c r="K606" t="inlineStr">
        <is>
          <t>Exact ID</t>
        </is>
      </c>
      <c r="L606" t="inlineStr">
        <is>
          <t>Crosswalk Pending</t>
        </is>
      </c>
      <c r="M606" t="inlineStr">
        <is>
          <t>Open</t>
        </is>
      </c>
      <c r="N606" t="inlineStr"/>
    </row>
    <row r="607">
      <c r="A607" t="inlineStr">
        <is>
          <t>FKEX00606</t>
        </is>
      </c>
      <c r="B607" t="inlineStr">
        <is>
          <t>15 LL_Device</t>
        </is>
      </c>
      <c r="C607" t="inlineStr">
        <is>
          <t>tblDeviceModel</t>
        </is>
      </c>
      <c r="D607" t="n">
        <v>203</v>
      </c>
      <c r="E607" t="inlineStr">
        <is>
          <t>MOD000200</t>
        </is>
      </c>
      <c r="F607" t="inlineStr">
        <is>
          <t>DeviceTypeID</t>
        </is>
      </c>
      <c r="G607" t="inlineStr">
        <is>
          <t>DT001</t>
        </is>
      </c>
      <c r="H607" t="inlineStr">
        <is>
          <t>tblDeviceTypeIDCrosswalk</t>
        </is>
      </c>
      <c r="I607" t="inlineStr"/>
      <c r="J607" t="inlineStr">
        <is>
          <t>No Supported Match</t>
        </is>
      </c>
      <c r="K607" t="inlineStr">
        <is>
          <t>None</t>
        </is>
      </c>
      <c r="L607" t="inlineStr">
        <is>
          <t>Crosswalk Pending</t>
        </is>
      </c>
      <c r="M607" t="inlineStr">
        <is>
          <t>Open</t>
        </is>
      </c>
      <c r="N607" t="inlineStr"/>
    </row>
    <row r="608">
      <c r="A608" t="inlineStr">
        <is>
          <t>FKEX00607</t>
        </is>
      </c>
      <c r="B608" t="inlineStr">
        <is>
          <t>15 LL_Device</t>
        </is>
      </c>
      <c r="C608" t="inlineStr">
        <is>
          <t>tblDeviceModel</t>
        </is>
      </c>
      <c r="D608" t="n">
        <v>204</v>
      </c>
      <c r="E608" t="inlineStr">
        <is>
          <t>MOD000201</t>
        </is>
      </c>
      <c r="F608" t="inlineStr">
        <is>
          <t>ManufacturerID</t>
        </is>
      </c>
      <c r="G608" t="inlineStr">
        <is>
          <t>MFG002</t>
        </is>
      </c>
      <c r="H608" t="inlineStr">
        <is>
          <t>tblManufacturerIDCrosswalk</t>
        </is>
      </c>
      <c r="I608" t="inlineStr"/>
      <c r="J608" t="inlineStr">
        <is>
          <t>No Supported Match</t>
        </is>
      </c>
      <c r="K608" t="inlineStr">
        <is>
          <t>None</t>
        </is>
      </c>
      <c r="L608" t="inlineStr">
        <is>
          <t>Crosswalk Pending</t>
        </is>
      </c>
      <c r="M608" t="inlineStr">
        <is>
          <t>Open</t>
        </is>
      </c>
      <c r="N608" t="inlineStr"/>
    </row>
    <row r="609">
      <c r="A609" t="inlineStr">
        <is>
          <t>FKEX00608</t>
        </is>
      </c>
      <c r="B609" t="inlineStr">
        <is>
          <t>15 LL_Device</t>
        </is>
      </c>
      <c r="C609" t="inlineStr">
        <is>
          <t>tblDeviceModel</t>
        </is>
      </c>
      <c r="D609" t="n">
        <v>204</v>
      </c>
      <c r="E609" t="inlineStr">
        <is>
          <t>MOD000201</t>
        </is>
      </c>
      <c r="F609" t="inlineStr">
        <is>
          <t>DeviceFamilyID</t>
        </is>
      </c>
      <c r="G609" t="inlineStr">
        <is>
          <t>DF021</t>
        </is>
      </c>
      <c r="H609" t="inlineStr">
        <is>
          <t>tblDeviceFamilyIDCrosswalk</t>
        </is>
      </c>
      <c r="I609" t="inlineStr"/>
      <c r="J609" t="inlineStr">
        <is>
          <t>tblDeviceModel</t>
        </is>
      </c>
      <c r="K609" t="inlineStr">
        <is>
          <t>Exact ID</t>
        </is>
      </c>
      <c r="L609" t="inlineStr">
        <is>
          <t>Crosswalk Pending</t>
        </is>
      </c>
      <c r="M609" t="inlineStr">
        <is>
          <t>Open</t>
        </is>
      </c>
      <c r="N609" t="inlineStr"/>
    </row>
    <row r="610">
      <c r="A610" t="inlineStr">
        <is>
          <t>FKEX00609</t>
        </is>
      </c>
      <c r="B610" t="inlineStr">
        <is>
          <t>15 LL_Device</t>
        </is>
      </c>
      <c r="C610" t="inlineStr">
        <is>
          <t>tblDeviceModel</t>
        </is>
      </c>
      <c r="D610" t="n">
        <v>204</v>
      </c>
      <c r="E610" t="inlineStr">
        <is>
          <t>MOD000201</t>
        </is>
      </c>
      <c r="F610" t="inlineStr">
        <is>
          <t>DeviceTypeID</t>
        </is>
      </c>
      <c r="G610" t="inlineStr">
        <is>
          <t>DT001</t>
        </is>
      </c>
      <c r="H610" t="inlineStr">
        <is>
          <t>tblDeviceTypeIDCrosswalk</t>
        </is>
      </c>
      <c r="I610" t="inlineStr"/>
      <c r="J610" t="inlineStr">
        <is>
          <t>No Supported Match</t>
        </is>
      </c>
      <c r="K610" t="inlineStr">
        <is>
          <t>None</t>
        </is>
      </c>
      <c r="L610" t="inlineStr">
        <is>
          <t>Crosswalk Pending</t>
        </is>
      </c>
      <c r="M610" t="inlineStr">
        <is>
          <t>Open</t>
        </is>
      </c>
      <c r="N610" t="inlineStr"/>
    </row>
    <row r="611">
      <c r="A611" t="inlineStr">
        <is>
          <t>FKEX00610</t>
        </is>
      </c>
      <c r="B611" t="inlineStr">
        <is>
          <t>15 LL_Device</t>
        </is>
      </c>
      <c r="C611" t="inlineStr">
        <is>
          <t>tblDeviceModel</t>
        </is>
      </c>
      <c r="D611" t="n">
        <v>205</v>
      </c>
      <c r="E611" t="inlineStr">
        <is>
          <t>MOD000202</t>
        </is>
      </c>
      <c r="F611" t="inlineStr">
        <is>
          <t>ManufacturerID</t>
        </is>
      </c>
      <c r="G611" t="inlineStr">
        <is>
          <t>MFG002</t>
        </is>
      </c>
      <c r="H611" t="inlineStr">
        <is>
          <t>tblManufacturerIDCrosswalk</t>
        </is>
      </c>
      <c r="I611" t="inlineStr"/>
      <c r="J611" t="inlineStr">
        <is>
          <t>No Supported Match</t>
        </is>
      </c>
      <c r="K611" t="inlineStr">
        <is>
          <t>None</t>
        </is>
      </c>
      <c r="L611" t="inlineStr">
        <is>
          <t>Crosswalk Pending</t>
        </is>
      </c>
      <c r="M611" t="inlineStr">
        <is>
          <t>Open</t>
        </is>
      </c>
      <c r="N611" t="inlineStr"/>
    </row>
    <row r="612">
      <c r="A612" t="inlineStr">
        <is>
          <t>FKEX00611</t>
        </is>
      </c>
      <c r="B612" t="inlineStr">
        <is>
          <t>15 LL_Device</t>
        </is>
      </c>
      <c r="C612" t="inlineStr">
        <is>
          <t>tblDeviceModel</t>
        </is>
      </c>
      <c r="D612" t="n">
        <v>205</v>
      </c>
      <c r="E612" t="inlineStr">
        <is>
          <t>MOD000202</t>
        </is>
      </c>
      <c r="F612" t="inlineStr">
        <is>
          <t>DeviceFamilyID</t>
        </is>
      </c>
      <c r="G612" t="inlineStr">
        <is>
          <t>DF021</t>
        </is>
      </c>
      <c r="H612" t="inlineStr">
        <is>
          <t>tblDeviceFamilyIDCrosswalk</t>
        </is>
      </c>
      <c r="I612" t="inlineStr"/>
      <c r="J612" t="inlineStr">
        <is>
          <t>tblDeviceModel</t>
        </is>
      </c>
      <c r="K612" t="inlineStr">
        <is>
          <t>Exact ID</t>
        </is>
      </c>
      <c r="L612" t="inlineStr">
        <is>
          <t>Crosswalk Pending</t>
        </is>
      </c>
      <c r="M612" t="inlineStr">
        <is>
          <t>Open</t>
        </is>
      </c>
      <c r="N612" t="inlineStr"/>
    </row>
    <row r="613">
      <c r="A613" t="inlineStr">
        <is>
          <t>FKEX00612</t>
        </is>
      </c>
      <c r="B613" t="inlineStr">
        <is>
          <t>15 LL_Device</t>
        </is>
      </c>
      <c r="C613" t="inlineStr">
        <is>
          <t>tblDeviceModel</t>
        </is>
      </c>
      <c r="D613" t="n">
        <v>205</v>
      </c>
      <c r="E613" t="inlineStr">
        <is>
          <t>MOD000202</t>
        </is>
      </c>
      <c r="F613" t="inlineStr">
        <is>
          <t>DeviceTypeID</t>
        </is>
      </c>
      <c r="G613" t="inlineStr">
        <is>
          <t>DT001</t>
        </is>
      </c>
      <c r="H613" t="inlineStr">
        <is>
          <t>tblDeviceTypeIDCrosswalk</t>
        </is>
      </c>
      <c r="I613" t="inlineStr"/>
      <c r="J613" t="inlineStr">
        <is>
          <t>No Supported Match</t>
        </is>
      </c>
      <c r="K613" t="inlineStr">
        <is>
          <t>None</t>
        </is>
      </c>
      <c r="L613" t="inlineStr">
        <is>
          <t>Crosswalk Pending</t>
        </is>
      </c>
      <c r="M613" t="inlineStr">
        <is>
          <t>Open</t>
        </is>
      </c>
      <c r="N613" t="inlineStr"/>
    </row>
    <row r="614">
      <c r="A614" t="inlineStr">
        <is>
          <t>FKEX00613</t>
        </is>
      </c>
      <c r="B614" t="inlineStr">
        <is>
          <t>15 LL_Device</t>
        </is>
      </c>
      <c r="C614" t="inlineStr">
        <is>
          <t>tblDeviceModel</t>
        </is>
      </c>
      <c r="D614" t="n">
        <v>206</v>
      </c>
      <c r="E614" t="inlineStr">
        <is>
          <t>MOD000203</t>
        </is>
      </c>
      <c r="F614" t="inlineStr">
        <is>
          <t>ManufacturerID</t>
        </is>
      </c>
      <c r="G614" t="inlineStr">
        <is>
          <t>MFG002</t>
        </is>
      </c>
      <c r="H614" t="inlineStr">
        <is>
          <t>tblManufacturerIDCrosswalk</t>
        </is>
      </c>
      <c r="I614" t="inlineStr"/>
      <c r="J614" t="inlineStr">
        <is>
          <t>No Supported Match</t>
        </is>
      </c>
      <c r="K614" t="inlineStr">
        <is>
          <t>None</t>
        </is>
      </c>
      <c r="L614" t="inlineStr">
        <is>
          <t>Crosswalk Pending</t>
        </is>
      </c>
      <c r="M614" t="inlineStr">
        <is>
          <t>Open</t>
        </is>
      </c>
      <c r="N614" t="inlineStr"/>
    </row>
    <row r="615">
      <c r="A615" t="inlineStr">
        <is>
          <t>FKEX00614</t>
        </is>
      </c>
      <c r="B615" t="inlineStr">
        <is>
          <t>15 LL_Device</t>
        </is>
      </c>
      <c r="C615" t="inlineStr">
        <is>
          <t>tblDeviceModel</t>
        </is>
      </c>
      <c r="D615" t="n">
        <v>206</v>
      </c>
      <c r="E615" t="inlineStr">
        <is>
          <t>MOD000203</t>
        </is>
      </c>
      <c r="F615" t="inlineStr">
        <is>
          <t>DeviceFamilyID</t>
        </is>
      </c>
      <c r="G615" t="inlineStr">
        <is>
          <t>DF022</t>
        </is>
      </c>
      <c r="H615" t="inlineStr">
        <is>
          <t>tblDeviceFamilyIDCrosswalk</t>
        </is>
      </c>
      <c r="I615" t="inlineStr"/>
      <c r="J615" t="inlineStr">
        <is>
          <t>tblDeviceModel</t>
        </is>
      </c>
      <c r="K615" t="inlineStr">
        <is>
          <t>Exact ID</t>
        </is>
      </c>
      <c r="L615" t="inlineStr">
        <is>
          <t>Crosswalk Pending</t>
        </is>
      </c>
      <c r="M615" t="inlineStr">
        <is>
          <t>Open</t>
        </is>
      </c>
      <c r="N615" t="inlineStr"/>
    </row>
    <row r="616">
      <c r="A616" t="inlineStr">
        <is>
          <t>FKEX00615</t>
        </is>
      </c>
      <c r="B616" t="inlineStr">
        <is>
          <t>15 LL_Device</t>
        </is>
      </c>
      <c r="C616" t="inlineStr">
        <is>
          <t>tblDeviceModel</t>
        </is>
      </c>
      <c r="D616" t="n">
        <v>206</v>
      </c>
      <c r="E616" t="inlineStr">
        <is>
          <t>MOD000203</t>
        </is>
      </c>
      <c r="F616" t="inlineStr">
        <is>
          <t>DeviceTypeID</t>
        </is>
      </c>
      <c r="G616" t="inlineStr">
        <is>
          <t>DT001</t>
        </is>
      </c>
      <c r="H616" t="inlineStr">
        <is>
          <t>tblDeviceTypeIDCrosswalk</t>
        </is>
      </c>
      <c r="I616" t="inlineStr"/>
      <c r="J616" t="inlineStr">
        <is>
          <t>No Supported Match</t>
        </is>
      </c>
      <c r="K616" t="inlineStr">
        <is>
          <t>None</t>
        </is>
      </c>
      <c r="L616" t="inlineStr">
        <is>
          <t>Crosswalk Pending</t>
        </is>
      </c>
      <c r="M616" t="inlineStr">
        <is>
          <t>Open</t>
        </is>
      </c>
      <c r="N616" t="inlineStr"/>
    </row>
    <row r="617">
      <c r="A617" t="inlineStr">
        <is>
          <t>FKEX00616</t>
        </is>
      </c>
      <c r="B617" t="inlineStr">
        <is>
          <t>15 LL_Device</t>
        </is>
      </c>
      <c r="C617" t="inlineStr">
        <is>
          <t>tblDeviceModel</t>
        </is>
      </c>
      <c r="D617" t="n">
        <v>207</v>
      </c>
      <c r="E617" t="inlineStr">
        <is>
          <t>MOD000204</t>
        </is>
      </c>
      <c r="F617" t="inlineStr">
        <is>
          <t>ManufacturerID</t>
        </is>
      </c>
      <c r="G617" t="inlineStr">
        <is>
          <t>MFG002</t>
        </is>
      </c>
      <c r="H617" t="inlineStr">
        <is>
          <t>tblManufacturerIDCrosswalk</t>
        </is>
      </c>
      <c r="I617" t="inlineStr"/>
      <c r="J617" t="inlineStr">
        <is>
          <t>No Supported Match</t>
        </is>
      </c>
      <c r="K617" t="inlineStr">
        <is>
          <t>None</t>
        </is>
      </c>
      <c r="L617" t="inlineStr">
        <is>
          <t>Crosswalk Pending</t>
        </is>
      </c>
      <c r="M617" t="inlineStr">
        <is>
          <t>Open</t>
        </is>
      </c>
      <c r="N617" t="inlineStr"/>
    </row>
    <row r="618">
      <c r="A618" t="inlineStr">
        <is>
          <t>FKEX00617</t>
        </is>
      </c>
      <c r="B618" t="inlineStr">
        <is>
          <t>15 LL_Device</t>
        </is>
      </c>
      <c r="C618" t="inlineStr">
        <is>
          <t>tblDeviceModel</t>
        </is>
      </c>
      <c r="D618" t="n">
        <v>207</v>
      </c>
      <c r="E618" t="inlineStr">
        <is>
          <t>MOD000204</t>
        </is>
      </c>
      <c r="F618" t="inlineStr">
        <is>
          <t>DeviceFamilyID</t>
        </is>
      </c>
      <c r="G618" t="inlineStr">
        <is>
          <t>DF022</t>
        </is>
      </c>
      <c r="H618" t="inlineStr">
        <is>
          <t>tblDeviceFamilyIDCrosswalk</t>
        </is>
      </c>
      <c r="I618" t="inlineStr"/>
      <c r="J618" t="inlineStr">
        <is>
          <t>tblDeviceModel</t>
        </is>
      </c>
      <c r="K618" t="inlineStr">
        <is>
          <t>Exact ID</t>
        </is>
      </c>
      <c r="L618" t="inlineStr">
        <is>
          <t>Crosswalk Pending</t>
        </is>
      </c>
      <c r="M618" t="inlineStr">
        <is>
          <t>Open</t>
        </is>
      </c>
      <c r="N618" t="inlineStr"/>
    </row>
    <row r="619">
      <c r="A619" t="inlineStr">
        <is>
          <t>FKEX00618</t>
        </is>
      </c>
      <c r="B619" t="inlineStr">
        <is>
          <t>15 LL_Device</t>
        </is>
      </c>
      <c r="C619" t="inlineStr">
        <is>
          <t>tblDeviceModel</t>
        </is>
      </c>
      <c r="D619" t="n">
        <v>207</v>
      </c>
      <c r="E619" t="inlineStr">
        <is>
          <t>MOD000204</t>
        </is>
      </c>
      <c r="F619" t="inlineStr">
        <is>
          <t>DeviceTypeID</t>
        </is>
      </c>
      <c r="G619" t="inlineStr">
        <is>
          <t>DT001</t>
        </is>
      </c>
      <c r="H619" t="inlineStr">
        <is>
          <t>tblDeviceTypeIDCrosswalk</t>
        </is>
      </c>
      <c r="I619" t="inlineStr"/>
      <c r="J619" t="inlineStr">
        <is>
          <t>No Supported Match</t>
        </is>
      </c>
      <c r="K619" t="inlineStr">
        <is>
          <t>None</t>
        </is>
      </c>
      <c r="L619" t="inlineStr">
        <is>
          <t>Crosswalk Pending</t>
        </is>
      </c>
      <c r="M619" t="inlineStr">
        <is>
          <t>Open</t>
        </is>
      </c>
      <c r="N619" t="inlineStr"/>
    </row>
    <row r="620">
      <c r="A620" t="inlineStr">
        <is>
          <t>FKEX00619</t>
        </is>
      </c>
      <c r="B620" t="inlineStr">
        <is>
          <t>15 LL_Device</t>
        </is>
      </c>
      <c r="C620" t="inlineStr">
        <is>
          <t>tblDeviceModel</t>
        </is>
      </c>
      <c r="D620" t="n">
        <v>208</v>
      </c>
      <c r="E620" t="inlineStr">
        <is>
          <t>MOD000205</t>
        </is>
      </c>
      <c r="F620" t="inlineStr">
        <is>
          <t>ManufacturerID</t>
        </is>
      </c>
      <c r="G620" t="inlineStr">
        <is>
          <t>MFG002</t>
        </is>
      </c>
      <c r="H620" t="inlineStr">
        <is>
          <t>tblManufacturerIDCrosswalk</t>
        </is>
      </c>
      <c r="I620" t="inlineStr"/>
      <c r="J620" t="inlineStr">
        <is>
          <t>No Supported Match</t>
        </is>
      </c>
      <c r="K620" t="inlineStr">
        <is>
          <t>None</t>
        </is>
      </c>
      <c r="L620" t="inlineStr">
        <is>
          <t>Crosswalk Pending</t>
        </is>
      </c>
      <c r="M620" t="inlineStr">
        <is>
          <t>Open</t>
        </is>
      </c>
      <c r="N620" t="inlineStr"/>
    </row>
    <row r="621">
      <c r="A621" t="inlineStr">
        <is>
          <t>FKEX00620</t>
        </is>
      </c>
      <c r="B621" t="inlineStr">
        <is>
          <t>15 LL_Device</t>
        </is>
      </c>
      <c r="C621" t="inlineStr">
        <is>
          <t>tblDeviceModel</t>
        </is>
      </c>
      <c r="D621" t="n">
        <v>208</v>
      </c>
      <c r="E621" t="inlineStr">
        <is>
          <t>MOD000205</t>
        </is>
      </c>
      <c r="F621" t="inlineStr">
        <is>
          <t>DeviceFamilyID</t>
        </is>
      </c>
      <c r="G621" t="inlineStr">
        <is>
          <t>DF022</t>
        </is>
      </c>
      <c r="H621" t="inlineStr">
        <is>
          <t>tblDeviceFamilyIDCrosswalk</t>
        </is>
      </c>
      <c r="I621" t="inlineStr"/>
      <c r="J621" t="inlineStr">
        <is>
          <t>tblDeviceModel</t>
        </is>
      </c>
      <c r="K621" t="inlineStr">
        <is>
          <t>Exact ID</t>
        </is>
      </c>
      <c r="L621" t="inlineStr">
        <is>
          <t>Crosswalk Pending</t>
        </is>
      </c>
      <c r="M621" t="inlineStr">
        <is>
          <t>Open</t>
        </is>
      </c>
      <c r="N621" t="inlineStr"/>
    </row>
    <row r="622">
      <c r="A622" t="inlineStr">
        <is>
          <t>FKEX00621</t>
        </is>
      </c>
      <c r="B622" t="inlineStr">
        <is>
          <t>15 LL_Device</t>
        </is>
      </c>
      <c r="C622" t="inlineStr">
        <is>
          <t>tblDeviceModel</t>
        </is>
      </c>
      <c r="D622" t="n">
        <v>208</v>
      </c>
      <c r="E622" t="inlineStr">
        <is>
          <t>MOD000205</t>
        </is>
      </c>
      <c r="F622" t="inlineStr">
        <is>
          <t>DeviceTypeID</t>
        </is>
      </c>
      <c r="G622" t="inlineStr">
        <is>
          <t>DT001</t>
        </is>
      </c>
      <c r="H622" t="inlineStr">
        <is>
          <t>tblDeviceTypeIDCrosswalk</t>
        </is>
      </c>
      <c r="I622" t="inlineStr"/>
      <c r="J622" t="inlineStr">
        <is>
          <t>No Supported Match</t>
        </is>
      </c>
      <c r="K622" t="inlineStr">
        <is>
          <t>None</t>
        </is>
      </c>
      <c r="L622" t="inlineStr">
        <is>
          <t>Crosswalk Pending</t>
        </is>
      </c>
      <c r="M622" t="inlineStr">
        <is>
          <t>Open</t>
        </is>
      </c>
      <c r="N622" t="inlineStr"/>
    </row>
    <row r="623">
      <c r="A623" t="inlineStr">
        <is>
          <t>FKEX00622</t>
        </is>
      </c>
      <c r="B623" t="inlineStr">
        <is>
          <t>15 LL_Device</t>
        </is>
      </c>
      <c r="C623" t="inlineStr">
        <is>
          <t>tblDeviceModel</t>
        </is>
      </c>
      <c r="D623" t="n">
        <v>209</v>
      </c>
      <c r="E623" t="inlineStr">
        <is>
          <t>MOD000206</t>
        </is>
      </c>
      <c r="F623" t="inlineStr">
        <is>
          <t>ManufacturerID</t>
        </is>
      </c>
      <c r="G623" t="inlineStr">
        <is>
          <t>MFG002</t>
        </is>
      </c>
      <c r="H623" t="inlineStr">
        <is>
          <t>tblManufacturerIDCrosswalk</t>
        </is>
      </c>
      <c r="I623" t="inlineStr"/>
      <c r="J623" t="inlineStr">
        <is>
          <t>No Supported Match</t>
        </is>
      </c>
      <c r="K623" t="inlineStr">
        <is>
          <t>None</t>
        </is>
      </c>
      <c r="L623" t="inlineStr">
        <is>
          <t>Crosswalk Pending</t>
        </is>
      </c>
      <c r="M623" t="inlineStr">
        <is>
          <t>Open</t>
        </is>
      </c>
      <c r="N623" t="inlineStr"/>
    </row>
    <row r="624">
      <c r="A624" t="inlineStr">
        <is>
          <t>FKEX00623</t>
        </is>
      </c>
      <c r="B624" t="inlineStr">
        <is>
          <t>15 LL_Device</t>
        </is>
      </c>
      <c r="C624" t="inlineStr">
        <is>
          <t>tblDeviceModel</t>
        </is>
      </c>
      <c r="D624" t="n">
        <v>209</v>
      </c>
      <c r="E624" t="inlineStr">
        <is>
          <t>MOD000206</t>
        </is>
      </c>
      <c r="F624" t="inlineStr">
        <is>
          <t>DeviceFamilyID</t>
        </is>
      </c>
      <c r="G624" t="inlineStr">
        <is>
          <t>DF022</t>
        </is>
      </c>
      <c r="H624" t="inlineStr">
        <is>
          <t>tblDeviceFamilyIDCrosswalk</t>
        </is>
      </c>
      <c r="I624" t="inlineStr"/>
      <c r="J624" t="inlineStr">
        <is>
          <t>tblDeviceModel</t>
        </is>
      </c>
      <c r="K624" t="inlineStr">
        <is>
          <t>Exact ID</t>
        </is>
      </c>
      <c r="L624" t="inlineStr">
        <is>
          <t>Crosswalk Pending</t>
        </is>
      </c>
      <c r="M624" t="inlineStr">
        <is>
          <t>Open</t>
        </is>
      </c>
      <c r="N624" t="inlineStr"/>
    </row>
    <row r="625">
      <c r="A625" t="inlineStr">
        <is>
          <t>FKEX00624</t>
        </is>
      </c>
      <c r="B625" t="inlineStr">
        <is>
          <t>15 LL_Device</t>
        </is>
      </c>
      <c r="C625" t="inlineStr">
        <is>
          <t>tblDeviceModel</t>
        </is>
      </c>
      <c r="D625" t="n">
        <v>209</v>
      </c>
      <c r="E625" t="inlineStr">
        <is>
          <t>MOD000206</t>
        </is>
      </c>
      <c r="F625" t="inlineStr">
        <is>
          <t>DeviceTypeID</t>
        </is>
      </c>
      <c r="G625" t="inlineStr">
        <is>
          <t>DT001</t>
        </is>
      </c>
      <c r="H625" t="inlineStr">
        <is>
          <t>tblDeviceTypeIDCrosswalk</t>
        </is>
      </c>
      <c r="I625" t="inlineStr"/>
      <c r="J625" t="inlineStr">
        <is>
          <t>No Supported Match</t>
        </is>
      </c>
      <c r="K625" t="inlineStr">
        <is>
          <t>None</t>
        </is>
      </c>
      <c r="L625" t="inlineStr">
        <is>
          <t>Crosswalk Pending</t>
        </is>
      </c>
      <c r="M625" t="inlineStr">
        <is>
          <t>Open</t>
        </is>
      </c>
      <c r="N625" t="inlineStr"/>
    </row>
    <row r="626">
      <c r="A626" t="inlineStr">
        <is>
          <t>FKEX00625</t>
        </is>
      </c>
      <c r="B626" t="inlineStr">
        <is>
          <t>15 LL_Device</t>
        </is>
      </c>
      <c r="C626" t="inlineStr">
        <is>
          <t>tblDeviceModel</t>
        </is>
      </c>
      <c r="D626" t="n">
        <v>210</v>
      </c>
      <c r="E626" t="inlineStr">
        <is>
          <t>MOD000207</t>
        </is>
      </c>
      <c r="F626" t="inlineStr">
        <is>
          <t>ManufacturerID</t>
        </is>
      </c>
      <c r="G626" t="inlineStr">
        <is>
          <t>MFG002</t>
        </is>
      </c>
      <c r="H626" t="inlineStr">
        <is>
          <t>tblManufacturerIDCrosswalk</t>
        </is>
      </c>
      <c r="I626" t="inlineStr"/>
      <c r="J626" t="inlineStr">
        <is>
          <t>No Supported Match</t>
        </is>
      </c>
      <c r="K626" t="inlineStr">
        <is>
          <t>None</t>
        </is>
      </c>
      <c r="L626" t="inlineStr">
        <is>
          <t>Crosswalk Pending</t>
        </is>
      </c>
      <c r="M626" t="inlineStr">
        <is>
          <t>Open</t>
        </is>
      </c>
      <c r="N626" t="inlineStr"/>
    </row>
    <row r="627">
      <c r="A627" t="inlineStr">
        <is>
          <t>FKEX00626</t>
        </is>
      </c>
      <c r="B627" t="inlineStr">
        <is>
          <t>15 LL_Device</t>
        </is>
      </c>
      <c r="C627" t="inlineStr">
        <is>
          <t>tblDeviceModel</t>
        </is>
      </c>
      <c r="D627" t="n">
        <v>210</v>
      </c>
      <c r="E627" t="inlineStr">
        <is>
          <t>MOD000207</t>
        </is>
      </c>
      <c r="F627" t="inlineStr">
        <is>
          <t>DeviceFamilyID</t>
        </is>
      </c>
      <c r="G627" t="inlineStr">
        <is>
          <t>DF022</t>
        </is>
      </c>
      <c r="H627" t="inlineStr">
        <is>
          <t>tblDeviceFamilyIDCrosswalk</t>
        </is>
      </c>
      <c r="I627" t="inlineStr"/>
      <c r="J627" t="inlineStr">
        <is>
          <t>tblDeviceModel</t>
        </is>
      </c>
      <c r="K627" t="inlineStr">
        <is>
          <t>Exact ID</t>
        </is>
      </c>
      <c r="L627" t="inlineStr">
        <is>
          <t>Crosswalk Pending</t>
        </is>
      </c>
      <c r="M627" t="inlineStr">
        <is>
          <t>Open</t>
        </is>
      </c>
      <c r="N627" t="inlineStr"/>
    </row>
    <row r="628">
      <c r="A628" t="inlineStr">
        <is>
          <t>FKEX00627</t>
        </is>
      </c>
      <c r="B628" t="inlineStr">
        <is>
          <t>15 LL_Device</t>
        </is>
      </c>
      <c r="C628" t="inlineStr">
        <is>
          <t>tblDeviceModel</t>
        </is>
      </c>
      <c r="D628" t="n">
        <v>210</v>
      </c>
      <c r="E628" t="inlineStr">
        <is>
          <t>MOD000207</t>
        </is>
      </c>
      <c r="F628" t="inlineStr">
        <is>
          <t>DeviceTypeID</t>
        </is>
      </c>
      <c r="G628" t="inlineStr">
        <is>
          <t>DT001</t>
        </is>
      </c>
      <c r="H628" t="inlineStr">
        <is>
          <t>tblDeviceTypeIDCrosswalk</t>
        </is>
      </c>
      <c r="I628" t="inlineStr"/>
      <c r="J628" t="inlineStr">
        <is>
          <t>No Supported Match</t>
        </is>
      </c>
      <c r="K628" t="inlineStr">
        <is>
          <t>None</t>
        </is>
      </c>
      <c r="L628" t="inlineStr">
        <is>
          <t>Crosswalk Pending</t>
        </is>
      </c>
      <c r="M628" t="inlineStr">
        <is>
          <t>Open</t>
        </is>
      </c>
      <c r="N628" t="inlineStr"/>
    </row>
    <row r="629">
      <c r="A629" t="inlineStr">
        <is>
          <t>FKEX00628</t>
        </is>
      </c>
      <c r="B629" t="inlineStr">
        <is>
          <t>15 LL_Device</t>
        </is>
      </c>
      <c r="C629" t="inlineStr">
        <is>
          <t>tblDeviceModel</t>
        </is>
      </c>
      <c r="D629" t="n">
        <v>211</v>
      </c>
      <c r="E629" t="inlineStr">
        <is>
          <t>MOD000208</t>
        </is>
      </c>
      <c r="F629" t="inlineStr">
        <is>
          <t>ManufacturerID</t>
        </is>
      </c>
      <c r="G629" t="inlineStr">
        <is>
          <t>MFG002</t>
        </is>
      </c>
      <c r="H629" t="inlineStr">
        <is>
          <t>tblManufacturerIDCrosswalk</t>
        </is>
      </c>
      <c r="I629" t="inlineStr"/>
      <c r="J629" t="inlineStr">
        <is>
          <t>No Supported Match</t>
        </is>
      </c>
      <c r="K629" t="inlineStr">
        <is>
          <t>None</t>
        </is>
      </c>
      <c r="L629" t="inlineStr">
        <is>
          <t>Crosswalk Pending</t>
        </is>
      </c>
      <c r="M629" t="inlineStr">
        <is>
          <t>Open</t>
        </is>
      </c>
      <c r="N629" t="inlineStr"/>
    </row>
    <row r="630">
      <c r="A630" t="inlineStr">
        <is>
          <t>FKEX00629</t>
        </is>
      </c>
      <c r="B630" t="inlineStr">
        <is>
          <t>15 LL_Device</t>
        </is>
      </c>
      <c r="C630" t="inlineStr">
        <is>
          <t>tblDeviceModel</t>
        </is>
      </c>
      <c r="D630" t="n">
        <v>211</v>
      </c>
      <c r="E630" t="inlineStr">
        <is>
          <t>MOD000208</t>
        </is>
      </c>
      <c r="F630" t="inlineStr">
        <is>
          <t>DeviceFamilyID</t>
        </is>
      </c>
      <c r="G630" t="inlineStr">
        <is>
          <t>DF022</t>
        </is>
      </c>
      <c r="H630" t="inlineStr">
        <is>
          <t>tblDeviceFamilyIDCrosswalk</t>
        </is>
      </c>
      <c r="I630" t="inlineStr"/>
      <c r="J630" t="inlineStr">
        <is>
          <t>tblDeviceModel</t>
        </is>
      </c>
      <c r="K630" t="inlineStr">
        <is>
          <t>Exact ID</t>
        </is>
      </c>
      <c r="L630" t="inlineStr">
        <is>
          <t>Crosswalk Pending</t>
        </is>
      </c>
      <c r="M630" t="inlineStr">
        <is>
          <t>Open</t>
        </is>
      </c>
      <c r="N630" t="inlineStr"/>
    </row>
    <row r="631">
      <c r="A631" t="inlineStr">
        <is>
          <t>FKEX00630</t>
        </is>
      </c>
      <c r="B631" t="inlineStr">
        <is>
          <t>15 LL_Device</t>
        </is>
      </c>
      <c r="C631" t="inlineStr">
        <is>
          <t>tblDeviceModel</t>
        </is>
      </c>
      <c r="D631" t="n">
        <v>211</v>
      </c>
      <c r="E631" t="inlineStr">
        <is>
          <t>MOD000208</t>
        </is>
      </c>
      <c r="F631" t="inlineStr">
        <is>
          <t>DeviceTypeID</t>
        </is>
      </c>
      <c r="G631" t="inlineStr">
        <is>
          <t>DT001</t>
        </is>
      </c>
      <c r="H631" t="inlineStr">
        <is>
          <t>tblDeviceTypeIDCrosswalk</t>
        </is>
      </c>
      <c r="I631" t="inlineStr"/>
      <c r="J631" t="inlineStr">
        <is>
          <t>No Supported Match</t>
        </is>
      </c>
      <c r="K631" t="inlineStr">
        <is>
          <t>None</t>
        </is>
      </c>
      <c r="L631" t="inlineStr">
        <is>
          <t>Crosswalk Pending</t>
        </is>
      </c>
      <c r="M631" t="inlineStr">
        <is>
          <t>Open</t>
        </is>
      </c>
      <c r="N631" t="inlineStr"/>
    </row>
    <row r="632">
      <c r="A632" t="inlineStr">
        <is>
          <t>FKEX00631</t>
        </is>
      </c>
      <c r="B632" t="inlineStr">
        <is>
          <t>15 LL_Device</t>
        </is>
      </c>
      <c r="C632" t="inlineStr">
        <is>
          <t>tblDeviceModel</t>
        </is>
      </c>
      <c r="D632" t="n">
        <v>212</v>
      </c>
      <c r="E632" t="inlineStr">
        <is>
          <t>MOD000209</t>
        </is>
      </c>
      <c r="F632" t="inlineStr">
        <is>
          <t>ManufacturerID</t>
        </is>
      </c>
      <c r="G632" t="inlineStr">
        <is>
          <t>MFG002</t>
        </is>
      </c>
      <c r="H632" t="inlineStr">
        <is>
          <t>tblManufacturerIDCrosswalk</t>
        </is>
      </c>
      <c r="I632" t="inlineStr"/>
      <c r="J632" t="inlineStr">
        <is>
          <t>No Supported Match</t>
        </is>
      </c>
      <c r="K632" t="inlineStr">
        <is>
          <t>None</t>
        </is>
      </c>
      <c r="L632" t="inlineStr">
        <is>
          <t>Crosswalk Pending</t>
        </is>
      </c>
      <c r="M632" t="inlineStr">
        <is>
          <t>Open</t>
        </is>
      </c>
      <c r="N632" t="inlineStr"/>
    </row>
    <row r="633">
      <c r="A633" t="inlineStr">
        <is>
          <t>FKEX00632</t>
        </is>
      </c>
      <c r="B633" t="inlineStr">
        <is>
          <t>15 LL_Device</t>
        </is>
      </c>
      <c r="C633" t="inlineStr">
        <is>
          <t>tblDeviceModel</t>
        </is>
      </c>
      <c r="D633" t="n">
        <v>212</v>
      </c>
      <c r="E633" t="inlineStr">
        <is>
          <t>MOD000209</t>
        </is>
      </c>
      <c r="F633" t="inlineStr">
        <is>
          <t>DeviceFamilyID</t>
        </is>
      </c>
      <c r="G633" t="inlineStr">
        <is>
          <t>DF022</t>
        </is>
      </c>
      <c r="H633" t="inlineStr">
        <is>
          <t>tblDeviceFamilyIDCrosswalk</t>
        </is>
      </c>
      <c r="I633" t="inlineStr"/>
      <c r="J633" t="inlineStr">
        <is>
          <t>tblDeviceModel</t>
        </is>
      </c>
      <c r="K633" t="inlineStr">
        <is>
          <t>Exact ID</t>
        </is>
      </c>
      <c r="L633" t="inlineStr">
        <is>
          <t>Crosswalk Pending</t>
        </is>
      </c>
      <c r="M633" t="inlineStr">
        <is>
          <t>Open</t>
        </is>
      </c>
      <c r="N633" t="inlineStr"/>
    </row>
    <row r="634">
      <c r="A634" t="inlineStr">
        <is>
          <t>FKEX00633</t>
        </is>
      </c>
      <c r="B634" t="inlineStr">
        <is>
          <t>15 LL_Device</t>
        </is>
      </c>
      <c r="C634" t="inlineStr">
        <is>
          <t>tblDeviceModel</t>
        </is>
      </c>
      <c r="D634" t="n">
        <v>212</v>
      </c>
      <c r="E634" t="inlineStr">
        <is>
          <t>MOD000209</t>
        </is>
      </c>
      <c r="F634" t="inlineStr">
        <is>
          <t>DeviceTypeID</t>
        </is>
      </c>
      <c r="G634" t="inlineStr">
        <is>
          <t>DT001</t>
        </is>
      </c>
      <c r="H634" t="inlineStr">
        <is>
          <t>tblDeviceTypeIDCrosswalk</t>
        </is>
      </c>
      <c r="I634" t="inlineStr"/>
      <c r="J634" t="inlineStr">
        <is>
          <t>No Supported Match</t>
        </is>
      </c>
      <c r="K634" t="inlineStr">
        <is>
          <t>None</t>
        </is>
      </c>
      <c r="L634" t="inlineStr">
        <is>
          <t>Crosswalk Pending</t>
        </is>
      </c>
      <c r="M634" t="inlineStr">
        <is>
          <t>Open</t>
        </is>
      </c>
      <c r="N634" t="inlineStr"/>
    </row>
    <row r="635">
      <c r="A635" t="inlineStr">
        <is>
          <t>FKEX00634</t>
        </is>
      </c>
      <c r="B635" t="inlineStr">
        <is>
          <t>15 LL_Device</t>
        </is>
      </c>
      <c r="C635" t="inlineStr">
        <is>
          <t>tblDeviceModel</t>
        </is>
      </c>
      <c r="D635" t="n">
        <v>213</v>
      </c>
      <c r="E635" t="inlineStr">
        <is>
          <t>MOD000210</t>
        </is>
      </c>
      <c r="F635" t="inlineStr">
        <is>
          <t>ManufacturerID</t>
        </is>
      </c>
      <c r="G635" t="inlineStr">
        <is>
          <t>MFG002</t>
        </is>
      </c>
      <c r="H635" t="inlineStr">
        <is>
          <t>tblManufacturerIDCrosswalk</t>
        </is>
      </c>
      <c r="I635" t="inlineStr"/>
      <c r="J635" t="inlineStr">
        <is>
          <t>No Supported Match</t>
        </is>
      </c>
      <c r="K635" t="inlineStr">
        <is>
          <t>None</t>
        </is>
      </c>
      <c r="L635" t="inlineStr">
        <is>
          <t>Crosswalk Pending</t>
        </is>
      </c>
      <c r="M635" t="inlineStr">
        <is>
          <t>Open</t>
        </is>
      </c>
      <c r="N635" t="inlineStr"/>
    </row>
    <row r="636">
      <c r="A636" t="inlineStr">
        <is>
          <t>FKEX00635</t>
        </is>
      </c>
      <c r="B636" t="inlineStr">
        <is>
          <t>15 LL_Device</t>
        </is>
      </c>
      <c r="C636" t="inlineStr">
        <is>
          <t>tblDeviceModel</t>
        </is>
      </c>
      <c r="D636" t="n">
        <v>213</v>
      </c>
      <c r="E636" t="inlineStr">
        <is>
          <t>MOD000210</t>
        </is>
      </c>
      <c r="F636" t="inlineStr">
        <is>
          <t>DeviceFamilyID</t>
        </is>
      </c>
      <c r="G636" t="inlineStr">
        <is>
          <t>DF024</t>
        </is>
      </c>
      <c r="H636" t="inlineStr">
        <is>
          <t>tblDeviceFamilyIDCrosswalk</t>
        </is>
      </c>
      <c r="I636" t="inlineStr"/>
      <c r="J636" t="inlineStr">
        <is>
          <t>tblDeviceModel</t>
        </is>
      </c>
      <c r="K636" t="inlineStr">
        <is>
          <t>Exact ID</t>
        </is>
      </c>
      <c r="L636" t="inlineStr">
        <is>
          <t>Crosswalk Pending</t>
        </is>
      </c>
      <c r="M636" t="inlineStr">
        <is>
          <t>Open</t>
        </is>
      </c>
      <c r="N636" t="inlineStr"/>
    </row>
    <row r="637">
      <c r="A637" t="inlineStr">
        <is>
          <t>FKEX00636</t>
        </is>
      </c>
      <c r="B637" t="inlineStr">
        <is>
          <t>15 LL_Device</t>
        </is>
      </c>
      <c r="C637" t="inlineStr">
        <is>
          <t>tblDeviceModel</t>
        </is>
      </c>
      <c r="D637" t="n">
        <v>213</v>
      </c>
      <c r="E637" t="inlineStr">
        <is>
          <t>MOD000210</t>
        </is>
      </c>
      <c r="F637" t="inlineStr">
        <is>
          <t>DeviceTypeID</t>
        </is>
      </c>
      <c r="G637" t="inlineStr">
        <is>
          <t>DT001</t>
        </is>
      </c>
      <c r="H637" t="inlineStr">
        <is>
          <t>tblDeviceTypeIDCrosswalk</t>
        </is>
      </c>
      <c r="I637" t="inlineStr"/>
      <c r="J637" t="inlineStr">
        <is>
          <t>No Supported Match</t>
        </is>
      </c>
      <c r="K637" t="inlineStr">
        <is>
          <t>None</t>
        </is>
      </c>
      <c r="L637" t="inlineStr">
        <is>
          <t>Crosswalk Pending</t>
        </is>
      </c>
      <c r="M637" t="inlineStr">
        <is>
          <t>Open</t>
        </is>
      </c>
      <c r="N637" t="inlineStr"/>
    </row>
    <row r="638">
      <c r="A638" t="inlineStr">
        <is>
          <t>FKEX00637</t>
        </is>
      </c>
      <c r="B638" t="inlineStr">
        <is>
          <t>15 LL_Device</t>
        </is>
      </c>
      <c r="C638" t="inlineStr">
        <is>
          <t>tblDeviceModel</t>
        </is>
      </c>
      <c r="D638" t="n">
        <v>214</v>
      </c>
      <c r="E638" t="inlineStr">
        <is>
          <t>MOD000211</t>
        </is>
      </c>
      <c r="F638" t="inlineStr">
        <is>
          <t>ManufacturerID</t>
        </is>
      </c>
      <c r="G638" t="inlineStr">
        <is>
          <t>MFG002</t>
        </is>
      </c>
      <c r="H638" t="inlineStr">
        <is>
          <t>tblManufacturerIDCrosswalk</t>
        </is>
      </c>
      <c r="I638" t="inlineStr"/>
      <c r="J638" t="inlineStr">
        <is>
          <t>No Supported Match</t>
        </is>
      </c>
      <c r="K638" t="inlineStr">
        <is>
          <t>None</t>
        </is>
      </c>
      <c r="L638" t="inlineStr">
        <is>
          <t>Crosswalk Pending</t>
        </is>
      </c>
      <c r="M638" t="inlineStr">
        <is>
          <t>Open</t>
        </is>
      </c>
      <c r="N638" t="inlineStr"/>
    </row>
    <row r="639">
      <c r="A639" t="inlineStr">
        <is>
          <t>FKEX00638</t>
        </is>
      </c>
      <c r="B639" t="inlineStr">
        <is>
          <t>15 LL_Device</t>
        </is>
      </c>
      <c r="C639" t="inlineStr">
        <is>
          <t>tblDeviceModel</t>
        </is>
      </c>
      <c r="D639" t="n">
        <v>214</v>
      </c>
      <c r="E639" t="inlineStr">
        <is>
          <t>MOD000211</t>
        </is>
      </c>
      <c r="F639" t="inlineStr">
        <is>
          <t>DeviceFamilyID</t>
        </is>
      </c>
      <c r="G639" t="inlineStr">
        <is>
          <t>DF024</t>
        </is>
      </c>
      <c r="H639" t="inlineStr">
        <is>
          <t>tblDeviceFamilyIDCrosswalk</t>
        </is>
      </c>
      <c r="I639" t="inlineStr"/>
      <c r="J639" t="inlineStr">
        <is>
          <t>tblDeviceModel</t>
        </is>
      </c>
      <c r="K639" t="inlineStr">
        <is>
          <t>Exact ID</t>
        </is>
      </c>
      <c r="L639" t="inlineStr">
        <is>
          <t>Crosswalk Pending</t>
        </is>
      </c>
      <c r="M639" t="inlineStr">
        <is>
          <t>Open</t>
        </is>
      </c>
      <c r="N639" t="inlineStr"/>
    </row>
    <row r="640">
      <c r="A640" t="inlineStr">
        <is>
          <t>FKEX00639</t>
        </is>
      </c>
      <c r="B640" t="inlineStr">
        <is>
          <t>15 LL_Device</t>
        </is>
      </c>
      <c r="C640" t="inlineStr">
        <is>
          <t>tblDeviceModel</t>
        </is>
      </c>
      <c r="D640" t="n">
        <v>214</v>
      </c>
      <c r="E640" t="inlineStr">
        <is>
          <t>MOD000211</t>
        </is>
      </c>
      <c r="F640" t="inlineStr">
        <is>
          <t>DeviceTypeID</t>
        </is>
      </c>
      <c r="G640" t="inlineStr">
        <is>
          <t>DT001</t>
        </is>
      </c>
      <c r="H640" t="inlineStr">
        <is>
          <t>tblDeviceTypeIDCrosswalk</t>
        </is>
      </c>
      <c r="I640" t="inlineStr"/>
      <c r="J640" t="inlineStr">
        <is>
          <t>No Supported Match</t>
        </is>
      </c>
      <c r="K640" t="inlineStr">
        <is>
          <t>None</t>
        </is>
      </c>
      <c r="L640" t="inlineStr">
        <is>
          <t>Crosswalk Pending</t>
        </is>
      </c>
      <c r="M640" t="inlineStr">
        <is>
          <t>Open</t>
        </is>
      </c>
      <c r="N640" t="inlineStr"/>
    </row>
    <row r="641">
      <c r="A641" t="inlineStr">
        <is>
          <t>FKEX00640</t>
        </is>
      </c>
      <c r="B641" t="inlineStr">
        <is>
          <t>15 LL_Device</t>
        </is>
      </c>
      <c r="C641" t="inlineStr">
        <is>
          <t>tblDeviceModel</t>
        </is>
      </c>
      <c r="D641" t="n">
        <v>215</v>
      </c>
      <c r="E641" t="inlineStr">
        <is>
          <t>MOD000212</t>
        </is>
      </c>
      <c r="F641" t="inlineStr">
        <is>
          <t>ManufacturerID</t>
        </is>
      </c>
      <c r="G641" t="inlineStr">
        <is>
          <t>MFG002</t>
        </is>
      </c>
      <c r="H641" t="inlineStr">
        <is>
          <t>tblManufacturerIDCrosswalk</t>
        </is>
      </c>
      <c r="I641" t="inlineStr"/>
      <c r="J641" t="inlineStr">
        <is>
          <t>No Supported Match</t>
        </is>
      </c>
      <c r="K641" t="inlineStr">
        <is>
          <t>None</t>
        </is>
      </c>
      <c r="L641" t="inlineStr">
        <is>
          <t>Crosswalk Pending</t>
        </is>
      </c>
      <c r="M641" t="inlineStr">
        <is>
          <t>Open</t>
        </is>
      </c>
      <c r="N641" t="inlineStr"/>
    </row>
    <row r="642">
      <c r="A642" t="inlineStr">
        <is>
          <t>FKEX00641</t>
        </is>
      </c>
      <c r="B642" t="inlineStr">
        <is>
          <t>15 LL_Device</t>
        </is>
      </c>
      <c r="C642" t="inlineStr">
        <is>
          <t>tblDeviceModel</t>
        </is>
      </c>
      <c r="D642" t="n">
        <v>215</v>
      </c>
      <c r="E642" t="inlineStr">
        <is>
          <t>MOD000212</t>
        </is>
      </c>
      <c r="F642" t="inlineStr">
        <is>
          <t>DeviceFamilyID</t>
        </is>
      </c>
      <c r="G642" t="inlineStr">
        <is>
          <t>DF024</t>
        </is>
      </c>
      <c r="H642" t="inlineStr">
        <is>
          <t>tblDeviceFamilyIDCrosswalk</t>
        </is>
      </c>
      <c r="I642" t="inlineStr"/>
      <c r="J642" t="inlineStr">
        <is>
          <t>tblDeviceModel</t>
        </is>
      </c>
      <c r="K642" t="inlineStr">
        <is>
          <t>Exact ID</t>
        </is>
      </c>
      <c r="L642" t="inlineStr">
        <is>
          <t>Crosswalk Pending</t>
        </is>
      </c>
      <c r="M642" t="inlineStr">
        <is>
          <t>Open</t>
        </is>
      </c>
      <c r="N642" t="inlineStr"/>
    </row>
    <row r="643">
      <c r="A643" t="inlineStr">
        <is>
          <t>FKEX00642</t>
        </is>
      </c>
      <c r="B643" t="inlineStr">
        <is>
          <t>15 LL_Device</t>
        </is>
      </c>
      <c r="C643" t="inlineStr">
        <is>
          <t>tblDeviceModel</t>
        </is>
      </c>
      <c r="D643" t="n">
        <v>215</v>
      </c>
      <c r="E643" t="inlineStr">
        <is>
          <t>MOD000212</t>
        </is>
      </c>
      <c r="F643" t="inlineStr">
        <is>
          <t>DeviceTypeID</t>
        </is>
      </c>
      <c r="G643" t="inlineStr">
        <is>
          <t>DT001</t>
        </is>
      </c>
      <c r="H643" t="inlineStr">
        <is>
          <t>tblDeviceTypeIDCrosswalk</t>
        </is>
      </c>
      <c r="I643" t="inlineStr"/>
      <c r="J643" t="inlineStr">
        <is>
          <t>No Supported Match</t>
        </is>
      </c>
      <c r="K643" t="inlineStr">
        <is>
          <t>None</t>
        </is>
      </c>
      <c r="L643" t="inlineStr">
        <is>
          <t>Crosswalk Pending</t>
        </is>
      </c>
      <c r="M643" t="inlineStr">
        <is>
          <t>Open</t>
        </is>
      </c>
      <c r="N643" t="inlineStr"/>
    </row>
    <row r="644">
      <c r="A644" t="inlineStr">
        <is>
          <t>FKEX00643</t>
        </is>
      </c>
      <c r="B644" t="inlineStr">
        <is>
          <t>15 LL_Device</t>
        </is>
      </c>
      <c r="C644" t="inlineStr">
        <is>
          <t>tblDeviceModel</t>
        </is>
      </c>
      <c r="D644" t="n">
        <v>216</v>
      </c>
      <c r="E644" t="inlineStr">
        <is>
          <t>MOD000213</t>
        </is>
      </c>
      <c r="F644" t="inlineStr">
        <is>
          <t>ManufacturerID</t>
        </is>
      </c>
      <c r="G644" t="inlineStr">
        <is>
          <t>MFG002</t>
        </is>
      </c>
      <c r="H644" t="inlineStr">
        <is>
          <t>tblManufacturerIDCrosswalk</t>
        </is>
      </c>
      <c r="I644" t="inlineStr"/>
      <c r="J644" t="inlineStr">
        <is>
          <t>No Supported Match</t>
        </is>
      </c>
      <c r="K644" t="inlineStr">
        <is>
          <t>None</t>
        </is>
      </c>
      <c r="L644" t="inlineStr">
        <is>
          <t>Crosswalk Pending</t>
        </is>
      </c>
      <c r="M644" t="inlineStr">
        <is>
          <t>Open</t>
        </is>
      </c>
      <c r="N644" t="inlineStr"/>
    </row>
    <row r="645">
      <c r="A645" t="inlineStr">
        <is>
          <t>FKEX00644</t>
        </is>
      </c>
      <c r="B645" t="inlineStr">
        <is>
          <t>15 LL_Device</t>
        </is>
      </c>
      <c r="C645" t="inlineStr">
        <is>
          <t>tblDeviceModel</t>
        </is>
      </c>
      <c r="D645" t="n">
        <v>216</v>
      </c>
      <c r="E645" t="inlineStr">
        <is>
          <t>MOD000213</t>
        </is>
      </c>
      <c r="F645" t="inlineStr">
        <is>
          <t>DeviceFamilyID</t>
        </is>
      </c>
      <c r="G645" t="inlineStr">
        <is>
          <t>DF024</t>
        </is>
      </c>
      <c r="H645" t="inlineStr">
        <is>
          <t>tblDeviceFamilyIDCrosswalk</t>
        </is>
      </c>
      <c r="I645" t="inlineStr"/>
      <c r="J645" t="inlineStr">
        <is>
          <t>tblDeviceModel</t>
        </is>
      </c>
      <c r="K645" t="inlineStr">
        <is>
          <t>Exact ID</t>
        </is>
      </c>
      <c r="L645" t="inlineStr">
        <is>
          <t>Crosswalk Pending</t>
        </is>
      </c>
      <c r="M645" t="inlineStr">
        <is>
          <t>Open</t>
        </is>
      </c>
      <c r="N645" t="inlineStr"/>
    </row>
    <row r="646">
      <c r="A646" t="inlineStr">
        <is>
          <t>FKEX00645</t>
        </is>
      </c>
      <c r="B646" t="inlineStr">
        <is>
          <t>15 LL_Device</t>
        </is>
      </c>
      <c r="C646" t="inlineStr">
        <is>
          <t>tblDeviceModel</t>
        </is>
      </c>
      <c r="D646" t="n">
        <v>216</v>
      </c>
      <c r="E646" t="inlineStr">
        <is>
          <t>MOD000213</t>
        </is>
      </c>
      <c r="F646" t="inlineStr">
        <is>
          <t>DeviceTypeID</t>
        </is>
      </c>
      <c r="G646" t="inlineStr">
        <is>
          <t>DT001</t>
        </is>
      </c>
      <c r="H646" t="inlineStr">
        <is>
          <t>tblDeviceTypeIDCrosswalk</t>
        </is>
      </c>
      <c r="I646" t="inlineStr"/>
      <c r="J646" t="inlineStr">
        <is>
          <t>No Supported Match</t>
        </is>
      </c>
      <c r="K646" t="inlineStr">
        <is>
          <t>None</t>
        </is>
      </c>
      <c r="L646" t="inlineStr">
        <is>
          <t>Crosswalk Pending</t>
        </is>
      </c>
      <c r="M646" t="inlineStr">
        <is>
          <t>Open</t>
        </is>
      </c>
      <c r="N646" t="inlineStr"/>
    </row>
    <row r="647">
      <c r="A647" t="inlineStr">
        <is>
          <t>FKEX00646</t>
        </is>
      </c>
      <c r="B647" t="inlineStr">
        <is>
          <t>15 LL_Device</t>
        </is>
      </c>
      <c r="C647" t="inlineStr">
        <is>
          <t>tblDeviceModel</t>
        </is>
      </c>
      <c r="D647" t="n">
        <v>217</v>
      </c>
      <c r="E647" t="inlineStr">
        <is>
          <t>MOD000214</t>
        </is>
      </c>
      <c r="F647" t="inlineStr">
        <is>
          <t>ManufacturerID</t>
        </is>
      </c>
      <c r="G647" t="inlineStr">
        <is>
          <t>MFG002</t>
        </is>
      </c>
      <c r="H647" t="inlineStr">
        <is>
          <t>tblManufacturerIDCrosswalk</t>
        </is>
      </c>
      <c r="I647" t="inlineStr"/>
      <c r="J647" t="inlineStr">
        <is>
          <t>No Supported Match</t>
        </is>
      </c>
      <c r="K647" t="inlineStr">
        <is>
          <t>None</t>
        </is>
      </c>
      <c r="L647" t="inlineStr">
        <is>
          <t>Crosswalk Pending</t>
        </is>
      </c>
      <c r="M647" t="inlineStr">
        <is>
          <t>Open</t>
        </is>
      </c>
      <c r="N647" t="inlineStr"/>
    </row>
    <row r="648">
      <c r="A648" t="inlineStr">
        <is>
          <t>FKEX00647</t>
        </is>
      </c>
      <c r="B648" t="inlineStr">
        <is>
          <t>15 LL_Device</t>
        </is>
      </c>
      <c r="C648" t="inlineStr">
        <is>
          <t>tblDeviceModel</t>
        </is>
      </c>
      <c r="D648" t="n">
        <v>217</v>
      </c>
      <c r="E648" t="inlineStr">
        <is>
          <t>MOD000214</t>
        </is>
      </c>
      <c r="F648" t="inlineStr">
        <is>
          <t>DeviceFamilyID</t>
        </is>
      </c>
      <c r="G648" t="inlineStr">
        <is>
          <t>DF024</t>
        </is>
      </c>
      <c r="H648" t="inlineStr">
        <is>
          <t>tblDeviceFamilyIDCrosswalk</t>
        </is>
      </c>
      <c r="I648" t="inlineStr"/>
      <c r="J648" t="inlineStr">
        <is>
          <t>tblDeviceModel</t>
        </is>
      </c>
      <c r="K648" t="inlineStr">
        <is>
          <t>Exact ID</t>
        </is>
      </c>
      <c r="L648" t="inlineStr">
        <is>
          <t>Crosswalk Pending</t>
        </is>
      </c>
      <c r="M648" t="inlineStr">
        <is>
          <t>Open</t>
        </is>
      </c>
      <c r="N648" t="inlineStr"/>
    </row>
    <row r="649">
      <c r="A649" t="inlineStr">
        <is>
          <t>FKEX00648</t>
        </is>
      </c>
      <c r="B649" t="inlineStr">
        <is>
          <t>15 LL_Device</t>
        </is>
      </c>
      <c r="C649" t="inlineStr">
        <is>
          <t>tblDeviceModel</t>
        </is>
      </c>
      <c r="D649" t="n">
        <v>217</v>
      </c>
      <c r="E649" t="inlineStr">
        <is>
          <t>MOD000214</t>
        </is>
      </c>
      <c r="F649" t="inlineStr">
        <is>
          <t>DeviceTypeID</t>
        </is>
      </c>
      <c r="G649" t="inlineStr">
        <is>
          <t>DT001</t>
        </is>
      </c>
      <c r="H649" t="inlineStr">
        <is>
          <t>tblDeviceTypeIDCrosswalk</t>
        </is>
      </c>
      <c r="I649" t="inlineStr"/>
      <c r="J649" t="inlineStr">
        <is>
          <t>No Supported Match</t>
        </is>
      </c>
      <c r="K649" t="inlineStr">
        <is>
          <t>None</t>
        </is>
      </c>
      <c r="L649" t="inlineStr">
        <is>
          <t>Crosswalk Pending</t>
        </is>
      </c>
      <c r="M649" t="inlineStr">
        <is>
          <t>Open</t>
        </is>
      </c>
      <c r="N649" t="inlineStr"/>
    </row>
    <row r="650">
      <c r="A650" t="inlineStr">
        <is>
          <t>FKEX00649</t>
        </is>
      </c>
      <c r="B650" t="inlineStr">
        <is>
          <t>15 LL_Device</t>
        </is>
      </c>
      <c r="C650" t="inlineStr">
        <is>
          <t>tblDeviceModel</t>
        </is>
      </c>
      <c r="D650" t="n">
        <v>218</v>
      </c>
      <c r="E650" t="inlineStr">
        <is>
          <t>MOD000215</t>
        </is>
      </c>
      <c r="F650" t="inlineStr">
        <is>
          <t>ManufacturerID</t>
        </is>
      </c>
      <c r="G650" t="inlineStr">
        <is>
          <t>MFG002</t>
        </is>
      </c>
      <c r="H650" t="inlineStr">
        <is>
          <t>tblManufacturerIDCrosswalk</t>
        </is>
      </c>
      <c r="I650" t="inlineStr"/>
      <c r="J650" t="inlineStr">
        <is>
          <t>No Supported Match</t>
        </is>
      </c>
      <c r="K650" t="inlineStr">
        <is>
          <t>None</t>
        </is>
      </c>
      <c r="L650" t="inlineStr">
        <is>
          <t>Crosswalk Pending</t>
        </is>
      </c>
      <c r="M650" t="inlineStr">
        <is>
          <t>Open</t>
        </is>
      </c>
      <c r="N650" t="inlineStr"/>
    </row>
    <row r="651">
      <c r="A651" t="inlineStr">
        <is>
          <t>FKEX00650</t>
        </is>
      </c>
      <c r="B651" t="inlineStr">
        <is>
          <t>15 LL_Device</t>
        </is>
      </c>
      <c r="C651" t="inlineStr">
        <is>
          <t>tblDeviceModel</t>
        </is>
      </c>
      <c r="D651" t="n">
        <v>218</v>
      </c>
      <c r="E651" t="inlineStr">
        <is>
          <t>MOD000215</t>
        </is>
      </c>
      <c r="F651" t="inlineStr">
        <is>
          <t>DeviceFamilyID</t>
        </is>
      </c>
      <c r="G651" t="inlineStr">
        <is>
          <t>DF024</t>
        </is>
      </c>
      <c r="H651" t="inlineStr">
        <is>
          <t>tblDeviceFamilyIDCrosswalk</t>
        </is>
      </c>
      <c r="I651" t="inlineStr"/>
      <c r="J651" t="inlineStr">
        <is>
          <t>tblDeviceModel</t>
        </is>
      </c>
      <c r="K651" t="inlineStr">
        <is>
          <t>Exact ID</t>
        </is>
      </c>
      <c r="L651" t="inlineStr">
        <is>
          <t>Crosswalk Pending</t>
        </is>
      </c>
      <c r="M651" t="inlineStr">
        <is>
          <t>Open</t>
        </is>
      </c>
      <c r="N651" t="inlineStr"/>
    </row>
    <row r="652">
      <c r="A652" t="inlineStr">
        <is>
          <t>FKEX00651</t>
        </is>
      </c>
      <c r="B652" t="inlineStr">
        <is>
          <t>15 LL_Device</t>
        </is>
      </c>
      <c r="C652" t="inlineStr">
        <is>
          <t>tblDeviceModel</t>
        </is>
      </c>
      <c r="D652" t="n">
        <v>218</v>
      </c>
      <c r="E652" t="inlineStr">
        <is>
          <t>MOD000215</t>
        </is>
      </c>
      <c r="F652" t="inlineStr">
        <is>
          <t>DeviceTypeID</t>
        </is>
      </c>
      <c r="G652" t="inlineStr">
        <is>
          <t>DT001</t>
        </is>
      </c>
      <c r="H652" t="inlineStr">
        <is>
          <t>tblDeviceTypeIDCrosswalk</t>
        </is>
      </c>
      <c r="I652" t="inlineStr"/>
      <c r="J652" t="inlineStr">
        <is>
          <t>No Supported Match</t>
        </is>
      </c>
      <c r="K652" t="inlineStr">
        <is>
          <t>None</t>
        </is>
      </c>
      <c r="L652" t="inlineStr">
        <is>
          <t>Crosswalk Pending</t>
        </is>
      </c>
      <c r="M652" t="inlineStr">
        <is>
          <t>Open</t>
        </is>
      </c>
      <c r="N652" t="inlineStr"/>
    </row>
    <row r="653">
      <c r="A653" t="inlineStr">
        <is>
          <t>FKEX00652</t>
        </is>
      </c>
      <c r="B653" t="inlineStr">
        <is>
          <t>15 LL_Device</t>
        </is>
      </c>
      <c r="C653" t="inlineStr">
        <is>
          <t>tblDeviceModel</t>
        </is>
      </c>
      <c r="D653" t="n">
        <v>219</v>
      </c>
      <c r="E653" t="inlineStr">
        <is>
          <t>MOD000216</t>
        </is>
      </c>
      <c r="F653" t="inlineStr">
        <is>
          <t>ManufacturerID</t>
        </is>
      </c>
      <c r="G653" t="inlineStr">
        <is>
          <t>MFG002</t>
        </is>
      </c>
      <c r="H653" t="inlineStr">
        <is>
          <t>tblManufacturerIDCrosswalk</t>
        </is>
      </c>
      <c r="I653" t="inlineStr"/>
      <c r="J653" t="inlineStr">
        <is>
          <t>No Supported Match</t>
        </is>
      </c>
      <c r="K653" t="inlineStr">
        <is>
          <t>None</t>
        </is>
      </c>
      <c r="L653" t="inlineStr">
        <is>
          <t>Crosswalk Pending</t>
        </is>
      </c>
      <c r="M653" t="inlineStr">
        <is>
          <t>Open</t>
        </is>
      </c>
      <c r="N653" t="inlineStr"/>
    </row>
    <row r="654">
      <c r="A654" t="inlineStr">
        <is>
          <t>FKEX00653</t>
        </is>
      </c>
      <c r="B654" t="inlineStr">
        <is>
          <t>15 LL_Device</t>
        </is>
      </c>
      <c r="C654" t="inlineStr">
        <is>
          <t>tblDeviceModel</t>
        </is>
      </c>
      <c r="D654" t="n">
        <v>219</v>
      </c>
      <c r="E654" t="inlineStr">
        <is>
          <t>MOD000216</t>
        </is>
      </c>
      <c r="F654" t="inlineStr">
        <is>
          <t>DeviceFamilyID</t>
        </is>
      </c>
      <c r="G654" t="inlineStr">
        <is>
          <t>DF024</t>
        </is>
      </c>
      <c r="H654" t="inlineStr">
        <is>
          <t>tblDeviceFamilyIDCrosswalk</t>
        </is>
      </c>
      <c r="I654" t="inlineStr"/>
      <c r="J654" t="inlineStr">
        <is>
          <t>tblDeviceModel</t>
        </is>
      </c>
      <c r="K654" t="inlineStr">
        <is>
          <t>Exact ID</t>
        </is>
      </c>
      <c r="L654" t="inlineStr">
        <is>
          <t>Crosswalk Pending</t>
        </is>
      </c>
      <c r="M654" t="inlineStr">
        <is>
          <t>Open</t>
        </is>
      </c>
      <c r="N654" t="inlineStr"/>
    </row>
    <row r="655">
      <c r="A655" t="inlineStr">
        <is>
          <t>FKEX00654</t>
        </is>
      </c>
      <c r="B655" t="inlineStr">
        <is>
          <t>15 LL_Device</t>
        </is>
      </c>
      <c r="C655" t="inlineStr">
        <is>
          <t>tblDeviceModel</t>
        </is>
      </c>
      <c r="D655" t="n">
        <v>219</v>
      </c>
      <c r="E655" t="inlineStr">
        <is>
          <t>MOD000216</t>
        </is>
      </c>
      <c r="F655" t="inlineStr">
        <is>
          <t>DeviceTypeID</t>
        </is>
      </c>
      <c r="G655" t="inlineStr">
        <is>
          <t>DT001</t>
        </is>
      </c>
      <c r="H655" t="inlineStr">
        <is>
          <t>tblDeviceTypeIDCrosswalk</t>
        </is>
      </c>
      <c r="I655" t="inlineStr"/>
      <c r="J655" t="inlineStr">
        <is>
          <t>No Supported Match</t>
        </is>
      </c>
      <c r="K655" t="inlineStr">
        <is>
          <t>None</t>
        </is>
      </c>
      <c r="L655" t="inlineStr">
        <is>
          <t>Crosswalk Pending</t>
        </is>
      </c>
      <c r="M655" t="inlineStr">
        <is>
          <t>Open</t>
        </is>
      </c>
      <c r="N655" t="inlineStr"/>
    </row>
    <row r="656">
      <c r="A656" t="inlineStr">
        <is>
          <t>FKEX00655</t>
        </is>
      </c>
      <c r="B656" t="inlineStr">
        <is>
          <t>15 LL_Device</t>
        </is>
      </c>
      <c r="C656" t="inlineStr">
        <is>
          <t>tblDeviceModel</t>
        </is>
      </c>
      <c r="D656" t="n">
        <v>220</v>
      </c>
      <c r="E656" t="inlineStr">
        <is>
          <t>MOD000217</t>
        </is>
      </c>
      <c r="F656" t="inlineStr">
        <is>
          <t>ManufacturerID</t>
        </is>
      </c>
      <c r="G656" t="inlineStr">
        <is>
          <t>MFG002</t>
        </is>
      </c>
      <c r="H656" t="inlineStr">
        <is>
          <t>tblManufacturerIDCrosswalk</t>
        </is>
      </c>
      <c r="I656" t="inlineStr"/>
      <c r="J656" t="inlineStr">
        <is>
          <t>No Supported Match</t>
        </is>
      </c>
      <c r="K656" t="inlineStr">
        <is>
          <t>None</t>
        </is>
      </c>
      <c r="L656" t="inlineStr">
        <is>
          <t>Crosswalk Pending</t>
        </is>
      </c>
      <c r="M656" t="inlineStr">
        <is>
          <t>Open</t>
        </is>
      </c>
      <c r="N656" t="inlineStr"/>
    </row>
    <row r="657">
      <c r="A657" t="inlineStr">
        <is>
          <t>FKEX00656</t>
        </is>
      </c>
      <c r="B657" t="inlineStr">
        <is>
          <t>15 LL_Device</t>
        </is>
      </c>
      <c r="C657" t="inlineStr">
        <is>
          <t>tblDeviceModel</t>
        </is>
      </c>
      <c r="D657" t="n">
        <v>220</v>
      </c>
      <c r="E657" t="inlineStr">
        <is>
          <t>MOD000217</t>
        </is>
      </c>
      <c r="F657" t="inlineStr">
        <is>
          <t>DeviceFamilyID</t>
        </is>
      </c>
      <c r="G657" t="inlineStr">
        <is>
          <t>DF024</t>
        </is>
      </c>
      <c r="H657" t="inlineStr">
        <is>
          <t>tblDeviceFamilyIDCrosswalk</t>
        </is>
      </c>
      <c r="I657" t="inlineStr"/>
      <c r="J657" t="inlineStr">
        <is>
          <t>tblDeviceModel</t>
        </is>
      </c>
      <c r="K657" t="inlineStr">
        <is>
          <t>Exact ID</t>
        </is>
      </c>
      <c r="L657" t="inlineStr">
        <is>
          <t>Crosswalk Pending</t>
        </is>
      </c>
      <c r="M657" t="inlineStr">
        <is>
          <t>Open</t>
        </is>
      </c>
      <c r="N657" t="inlineStr"/>
    </row>
    <row r="658">
      <c r="A658" t="inlineStr">
        <is>
          <t>FKEX00657</t>
        </is>
      </c>
      <c r="B658" t="inlineStr">
        <is>
          <t>15 LL_Device</t>
        </is>
      </c>
      <c r="C658" t="inlineStr">
        <is>
          <t>tblDeviceModel</t>
        </is>
      </c>
      <c r="D658" t="n">
        <v>220</v>
      </c>
      <c r="E658" t="inlineStr">
        <is>
          <t>MOD000217</t>
        </is>
      </c>
      <c r="F658" t="inlineStr">
        <is>
          <t>DeviceTypeID</t>
        </is>
      </c>
      <c r="G658" t="inlineStr">
        <is>
          <t>DT001</t>
        </is>
      </c>
      <c r="H658" t="inlineStr">
        <is>
          <t>tblDeviceTypeIDCrosswalk</t>
        </is>
      </c>
      <c r="I658" t="inlineStr"/>
      <c r="J658" t="inlineStr">
        <is>
          <t>No Supported Match</t>
        </is>
      </c>
      <c r="K658" t="inlineStr">
        <is>
          <t>None</t>
        </is>
      </c>
      <c r="L658" t="inlineStr">
        <is>
          <t>Crosswalk Pending</t>
        </is>
      </c>
      <c r="M658" t="inlineStr">
        <is>
          <t>Open</t>
        </is>
      </c>
      <c r="N658" t="inlineStr"/>
    </row>
    <row r="659">
      <c r="A659" t="inlineStr">
        <is>
          <t>FKEX00658</t>
        </is>
      </c>
      <c r="B659" t="inlineStr">
        <is>
          <t>15 LL_Device</t>
        </is>
      </c>
      <c r="C659" t="inlineStr">
        <is>
          <t>tblDeviceModel</t>
        </is>
      </c>
      <c r="D659" t="n">
        <v>221</v>
      </c>
      <c r="E659" t="inlineStr">
        <is>
          <t>MOD000218</t>
        </is>
      </c>
      <c r="F659" t="inlineStr">
        <is>
          <t>ManufacturerID</t>
        </is>
      </c>
      <c r="G659" t="inlineStr">
        <is>
          <t>MFG002</t>
        </is>
      </c>
      <c r="H659" t="inlineStr">
        <is>
          <t>tblManufacturerIDCrosswalk</t>
        </is>
      </c>
      <c r="I659" t="inlineStr"/>
      <c r="J659" t="inlineStr">
        <is>
          <t>No Supported Match</t>
        </is>
      </c>
      <c r="K659" t="inlineStr">
        <is>
          <t>None</t>
        </is>
      </c>
      <c r="L659" t="inlineStr">
        <is>
          <t>Crosswalk Pending</t>
        </is>
      </c>
      <c r="M659" t="inlineStr">
        <is>
          <t>Open</t>
        </is>
      </c>
      <c r="N659" t="inlineStr"/>
    </row>
    <row r="660">
      <c r="A660" t="inlineStr">
        <is>
          <t>FKEX00659</t>
        </is>
      </c>
      <c r="B660" t="inlineStr">
        <is>
          <t>15 LL_Device</t>
        </is>
      </c>
      <c r="C660" t="inlineStr">
        <is>
          <t>tblDeviceModel</t>
        </is>
      </c>
      <c r="D660" t="n">
        <v>221</v>
      </c>
      <c r="E660" t="inlineStr">
        <is>
          <t>MOD000218</t>
        </is>
      </c>
      <c r="F660" t="inlineStr">
        <is>
          <t>DeviceFamilyID</t>
        </is>
      </c>
      <c r="G660" t="inlineStr">
        <is>
          <t>DF024</t>
        </is>
      </c>
      <c r="H660" t="inlineStr">
        <is>
          <t>tblDeviceFamilyIDCrosswalk</t>
        </is>
      </c>
      <c r="I660" t="inlineStr"/>
      <c r="J660" t="inlineStr">
        <is>
          <t>tblDeviceModel</t>
        </is>
      </c>
      <c r="K660" t="inlineStr">
        <is>
          <t>Exact ID</t>
        </is>
      </c>
      <c r="L660" t="inlineStr">
        <is>
          <t>Crosswalk Pending</t>
        </is>
      </c>
      <c r="M660" t="inlineStr">
        <is>
          <t>Open</t>
        </is>
      </c>
      <c r="N660" t="inlineStr"/>
    </row>
    <row r="661">
      <c r="A661" t="inlineStr">
        <is>
          <t>FKEX00660</t>
        </is>
      </c>
      <c r="B661" t="inlineStr">
        <is>
          <t>15 LL_Device</t>
        </is>
      </c>
      <c r="C661" t="inlineStr">
        <is>
          <t>tblDeviceModel</t>
        </is>
      </c>
      <c r="D661" t="n">
        <v>221</v>
      </c>
      <c r="E661" t="inlineStr">
        <is>
          <t>MOD000218</t>
        </is>
      </c>
      <c r="F661" t="inlineStr">
        <is>
          <t>DeviceTypeID</t>
        </is>
      </c>
      <c r="G661" t="inlineStr">
        <is>
          <t>DT001</t>
        </is>
      </c>
      <c r="H661" t="inlineStr">
        <is>
          <t>tblDeviceTypeIDCrosswalk</t>
        </is>
      </c>
      <c r="I661" t="inlineStr"/>
      <c r="J661" t="inlineStr">
        <is>
          <t>No Supported Match</t>
        </is>
      </c>
      <c r="K661" t="inlineStr">
        <is>
          <t>None</t>
        </is>
      </c>
      <c r="L661" t="inlineStr">
        <is>
          <t>Crosswalk Pending</t>
        </is>
      </c>
      <c r="M661" t="inlineStr">
        <is>
          <t>Open</t>
        </is>
      </c>
      <c r="N661" t="inlineStr"/>
    </row>
    <row r="662">
      <c r="A662" t="inlineStr">
        <is>
          <t>FKEX00661</t>
        </is>
      </c>
      <c r="B662" t="inlineStr">
        <is>
          <t>15 LL_Device</t>
        </is>
      </c>
      <c r="C662" t="inlineStr">
        <is>
          <t>tblDeviceModel</t>
        </is>
      </c>
      <c r="D662" t="n">
        <v>222</v>
      </c>
      <c r="E662" t="inlineStr">
        <is>
          <t>MOD000219</t>
        </is>
      </c>
      <c r="F662" t="inlineStr">
        <is>
          <t>ManufacturerID</t>
        </is>
      </c>
      <c r="G662" t="inlineStr">
        <is>
          <t>MFG002</t>
        </is>
      </c>
      <c r="H662" t="inlineStr">
        <is>
          <t>tblManufacturerIDCrosswalk</t>
        </is>
      </c>
      <c r="I662" t="inlineStr"/>
      <c r="J662" t="inlineStr">
        <is>
          <t>No Supported Match</t>
        </is>
      </c>
      <c r="K662" t="inlineStr">
        <is>
          <t>None</t>
        </is>
      </c>
      <c r="L662" t="inlineStr">
        <is>
          <t>Crosswalk Pending</t>
        </is>
      </c>
      <c r="M662" t="inlineStr">
        <is>
          <t>Open</t>
        </is>
      </c>
      <c r="N662" t="inlineStr"/>
    </row>
    <row r="663">
      <c r="A663" t="inlineStr">
        <is>
          <t>FKEX00662</t>
        </is>
      </c>
      <c r="B663" t="inlineStr">
        <is>
          <t>15 LL_Device</t>
        </is>
      </c>
      <c r="C663" t="inlineStr">
        <is>
          <t>tblDeviceModel</t>
        </is>
      </c>
      <c r="D663" t="n">
        <v>222</v>
      </c>
      <c r="E663" t="inlineStr">
        <is>
          <t>MOD000219</t>
        </is>
      </c>
      <c r="F663" t="inlineStr">
        <is>
          <t>DeviceFamilyID</t>
        </is>
      </c>
      <c r="G663" t="inlineStr">
        <is>
          <t>DF024</t>
        </is>
      </c>
      <c r="H663" t="inlineStr">
        <is>
          <t>tblDeviceFamilyIDCrosswalk</t>
        </is>
      </c>
      <c r="I663" t="inlineStr"/>
      <c r="J663" t="inlineStr">
        <is>
          <t>tblDeviceModel</t>
        </is>
      </c>
      <c r="K663" t="inlineStr">
        <is>
          <t>Exact ID</t>
        </is>
      </c>
      <c r="L663" t="inlineStr">
        <is>
          <t>Crosswalk Pending</t>
        </is>
      </c>
      <c r="M663" t="inlineStr">
        <is>
          <t>Open</t>
        </is>
      </c>
      <c r="N663" t="inlineStr"/>
    </row>
    <row r="664">
      <c r="A664" t="inlineStr">
        <is>
          <t>FKEX00663</t>
        </is>
      </c>
      <c r="B664" t="inlineStr">
        <is>
          <t>15 LL_Device</t>
        </is>
      </c>
      <c r="C664" t="inlineStr">
        <is>
          <t>tblDeviceModel</t>
        </is>
      </c>
      <c r="D664" t="n">
        <v>222</v>
      </c>
      <c r="E664" t="inlineStr">
        <is>
          <t>MOD000219</t>
        </is>
      </c>
      <c r="F664" t="inlineStr">
        <is>
          <t>DeviceTypeID</t>
        </is>
      </c>
      <c r="G664" t="inlineStr">
        <is>
          <t>DT001</t>
        </is>
      </c>
      <c r="H664" t="inlineStr">
        <is>
          <t>tblDeviceTypeIDCrosswalk</t>
        </is>
      </c>
      <c r="I664" t="inlineStr"/>
      <c r="J664" t="inlineStr">
        <is>
          <t>No Supported Match</t>
        </is>
      </c>
      <c r="K664" t="inlineStr">
        <is>
          <t>None</t>
        </is>
      </c>
      <c r="L664" t="inlineStr">
        <is>
          <t>Crosswalk Pending</t>
        </is>
      </c>
      <c r="M664" t="inlineStr">
        <is>
          <t>Open</t>
        </is>
      </c>
      <c r="N664" t="inlineStr"/>
    </row>
    <row r="665">
      <c r="A665" t="inlineStr">
        <is>
          <t>FKEX00664</t>
        </is>
      </c>
      <c r="B665" t="inlineStr">
        <is>
          <t>15 LL_Device</t>
        </is>
      </c>
      <c r="C665" t="inlineStr">
        <is>
          <t>tblDeviceModel</t>
        </is>
      </c>
      <c r="D665" t="n">
        <v>223</v>
      </c>
      <c r="E665" t="inlineStr">
        <is>
          <t>MOD000220</t>
        </is>
      </c>
      <c r="F665" t="inlineStr">
        <is>
          <t>ManufacturerID</t>
        </is>
      </c>
      <c r="G665" t="inlineStr">
        <is>
          <t>MFG002</t>
        </is>
      </c>
      <c r="H665" t="inlineStr">
        <is>
          <t>tblManufacturerIDCrosswalk</t>
        </is>
      </c>
      <c r="I665" t="inlineStr"/>
      <c r="J665" t="inlineStr">
        <is>
          <t>No Supported Match</t>
        </is>
      </c>
      <c r="K665" t="inlineStr">
        <is>
          <t>None</t>
        </is>
      </c>
      <c r="L665" t="inlineStr">
        <is>
          <t>Crosswalk Pending</t>
        </is>
      </c>
      <c r="M665" t="inlineStr">
        <is>
          <t>Open</t>
        </is>
      </c>
      <c r="N665" t="inlineStr"/>
    </row>
    <row r="666">
      <c r="A666" t="inlineStr">
        <is>
          <t>FKEX00665</t>
        </is>
      </c>
      <c r="B666" t="inlineStr">
        <is>
          <t>15 LL_Device</t>
        </is>
      </c>
      <c r="C666" t="inlineStr">
        <is>
          <t>tblDeviceModel</t>
        </is>
      </c>
      <c r="D666" t="n">
        <v>223</v>
      </c>
      <c r="E666" t="inlineStr">
        <is>
          <t>MOD000220</t>
        </is>
      </c>
      <c r="F666" t="inlineStr">
        <is>
          <t>DeviceFamilyID</t>
        </is>
      </c>
      <c r="G666" t="inlineStr">
        <is>
          <t>DF024</t>
        </is>
      </c>
      <c r="H666" t="inlineStr">
        <is>
          <t>tblDeviceFamilyIDCrosswalk</t>
        </is>
      </c>
      <c r="I666" t="inlineStr"/>
      <c r="J666" t="inlineStr">
        <is>
          <t>tblDeviceModel</t>
        </is>
      </c>
      <c r="K666" t="inlineStr">
        <is>
          <t>Exact ID</t>
        </is>
      </c>
      <c r="L666" t="inlineStr">
        <is>
          <t>Crosswalk Pending</t>
        </is>
      </c>
      <c r="M666" t="inlineStr">
        <is>
          <t>Open</t>
        </is>
      </c>
      <c r="N666" t="inlineStr"/>
    </row>
    <row r="667">
      <c r="A667" t="inlineStr">
        <is>
          <t>FKEX00666</t>
        </is>
      </c>
      <c r="B667" t="inlineStr">
        <is>
          <t>15 LL_Device</t>
        </is>
      </c>
      <c r="C667" t="inlineStr">
        <is>
          <t>tblDeviceModel</t>
        </is>
      </c>
      <c r="D667" t="n">
        <v>223</v>
      </c>
      <c r="E667" t="inlineStr">
        <is>
          <t>MOD000220</t>
        </is>
      </c>
      <c r="F667" t="inlineStr">
        <is>
          <t>DeviceTypeID</t>
        </is>
      </c>
      <c r="G667" t="inlineStr">
        <is>
          <t>DT001</t>
        </is>
      </c>
      <c r="H667" t="inlineStr">
        <is>
          <t>tblDeviceTypeIDCrosswalk</t>
        </is>
      </c>
      <c r="I667" t="inlineStr"/>
      <c r="J667" t="inlineStr">
        <is>
          <t>No Supported Match</t>
        </is>
      </c>
      <c r="K667" t="inlineStr">
        <is>
          <t>None</t>
        </is>
      </c>
      <c r="L667" t="inlineStr">
        <is>
          <t>Crosswalk Pending</t>
        </is>
      </c>
      <c r="M667" t="inlineStr">
        <is>
          <t>Open</t>
        </is>
      </c>
      <c r="N667" t="inlineStr"/>
    </row>
    <row r="668">
      <c r="A668" t="inlineStr">
        <is>
          <t>FKEX00667</t>
        </is>
      </c>
      <c r="B668" t="inlineStr">
        <is>
          <t>15 LL_Device</t>
        </is>
      </c>
      <c r="C668" t="inlineStr">
        <is>
          <t>tblDeviceModel</t>
        </is>
      </c>
      <c r="D668" t="n">
        <v>224</v>
      </c>
      <c r="E668" t="inlineStr">
        <is>
          <t>MOD000221</t>
        </is>
      </c>
      <c r="F668" t="inlineStr">
        <is>
          <t>ManufacturerID</t>
        </is>
      </c>
      <c r="G668" t="inlineStr">
        <is>
          <t>MFG002</t>
        </is>
      </c>
      <c r="H668" t="inlineStr">
        <is>
          <t>tblManufacturerIDCrosswalk</t>
        </is>
      </c>
      <c r="I668" t="inlineStr"/>
      <c r="J668" t="inlineStr">
        <is>
          <t>No Supported Match</t>
        </is>
      </c>
      <c r="K668" t="inlineStr">
        <is>
          <t>None</t>
        </is>
      </c>
      <c r="L668" t="inlineStr">
        <is>
          <t>Crosswalk Pending</t>
        </is>
      </c>
      <c r="M668" t="inlineStr">
        <is>
          <t>Open</t>
        </is>
      </c>
      <c r="N668" t="inlineStr"/>
    </row>
    <row r="669">
      <c r="A669" t="inlineStr">
        <is>
          <t>FKEX00668</t>
        </is>
      </c>
      <c r="B669" t="inlineStr">
        <is>
          <t>15 LL_Device</t>
        </is>
      </c>
      <c r="C669" t="inlineStr">
        <is>
          <t>tblDeviceModel</t>
        </is>
      </c>
      <c r="D669" t="n">
        <v>224</v>
      </c>
      <c r="E669" t="inlineStr">
        <is>
          <t>MOD000221</t>
        </is>
      </c>
      <c r="F669" t="inlineStr">
        <is>
          <t>DeviceFamilyID</t>
        </is>
      </c>
      <c r="G669" t="inlineStr">
        <is>
          <t>DF024</t>
        </is>
      </c>
      <c r="H669" t="inlineStr">
        <is>
          <t>tblDeviceFamilyIDCrosswalk</t>
        </is>
      </c>
      <c r="I669" t="inlineStr"/>
      <c r="J669" t="inlineStr">
        <is>
          <t>tblDeviceModel</t>
        </is>
      </c>
      <c r="K669" t="inlineStr">
        <is>
          <t>Exact ID</t>
        </is>
      </c>
      <c r="L669" t="inlineStr">
        <is>
          <t>Crosswalk Pending</t>
        </is>
      </c>
      <c r="M669" t="inlineStr">
        <is>
          <t>Open</t>
        </is>
      </c>
      <c r="N669" t="inlineStr"/>
    </row>
    <row r="670">
      <c r="A670" t="inlineStr">
        <is>
          <t>FKEX00669</t>
        </is>
      </c>
      <c r="B670" t="inlineStr">
        <is>
          <t>15 LL_Device</t>
        </is>
      </c>
      <c r="C670" t="inlineStr">
        <is>
          <t>tblDeviceModel</t>
        </is>
      </c>
      <c r="D670" t="n">
        <v>224</v>
      </c>
      <c r="E670" t="inlineStr">
        <is>
          <t>MOD000221</t>
        </is>
      </c>
      <c r="F670" t="inlineStr">
        <is>
          <t>DeviceTypeID</t>
        </is>
      </c>
      <c r="G670" t="inlineStr">
        <is>
          <t>DT001</t>
        </is>
      </c>
      <c r="H670" t="inlineStr">
        <is>
          <t>tblDeviceTypeIDCrosswalk</t>
        </is>
      </c>
      <c r="I670" t="inlineStr"/>
      <c r="J670" t="inlineStr">
        <is>
          <t>No Supported Match</t>
        </is>
      </c>
      <c r="K670" t="inlineStr">
        <is>
          <t>None</t>
        </is>
      </c>
      <c r="L670" t="inlineStr">
        <is>
          <t>Crosswalk Pending</t>
        </is>
      </c>
      <c r="M670" t="inlineStr">
        <is>
          <t>Open</t>
        </is>
      </c>
      <c r="N670" t="inlineStr"/>
    </row>
    <row r="671">
      <c r="A671" t="inlineStr">
        <is>
          <t>FKEX00670</t>
        </is>
      </c>
      <c r="B671" t="inlineStr">
        <is>
          <t>15 LL_Device</t>
        </is>
      </c>
      <c r="C671" t="inlineStr">
        <is>
          <t>tblDeviceModel</t>
        </is>
      </c>
      <c r="D671" t="n">
        <v>225</v>
      </c>
      <c r="E671" t="inlineStr">
        <is>
          <t>MOD000222</t>
        </is>
      </c>
      <c r="F671" t="inlineStr">
        <is>
          <t>ManufacturerID</t>
        </is>
      </c>
      <c r="G671" t="inlineStr">
        <is>
          <t>MFG002</t>
        </is>
      </c>
      <c r="H671" t="inlineStr">
        <is>
          <t>tblManufacturerIDCrosswalk</t>
        </is>
      </c>
      <c r="I671" t="inlineStr"/>
      <c r="J671" t="inlineStr">
        <is>
          <t>No Supported Match</t>
        </is>
      </c>
      <c r="K671" t="inlineStr">
        <is>
          <t>None</t>
        </is>
      </c>
      <c r="L671" t="inlineStr">
        <is>
          <t>Crosswalk Pending</t>
        </is>
      </c>
      <c r="M671" t="inlineStr">
        <is>
          <t>Open</t>
        </is>
      </c>
      <c r="N671" t="inlineStr"/>
    </row>
    <row r="672">
      <c r="A672" t="inlineStr">
        <is>
          <t>FKEX00671</t>
        </is>
      </c>
      <c r="B672" t="inlineStr">
        <is>
          <t>15 LL_Device</t>
        </is>
      </c>
      <c r="C672" t="inlineStr">
        <is>
          <t>tblDeviceModel</t>
        </is>
      </c>
      <c r="D672" t="n">
        <v>225</v>
      </c>
      <c r="E672" t="inlineStr">
        <is>
          <t>MOD000222</t>
        </is>
      </c>
      <c r="F672" t="inlineStr">
        <is>
          <t>DeviceFamilyID</t>
        </is>
      </c>
      <c r="G672" t="inlineStr">
        <is>
          <t>DF024</t>
        </is>
      </c>
      <c r="H672" t="inlineStr">
        <is>
          <t>tblDeviceFamilyIDCrosswalk</t>
        </is>
      </c>
      <c r="I672" t="inlineStr"/>
      <c r="J672" t="inlineStr">
        <is>
          <t>tblDeviceModel</t>
        </is>
      </c>
      <c r="K672" t="inlineStr">
        <is>
          <t>Exact ID</t>
        </is>
      </c>
      <c r="L672" t="inlineStr">
        <is>
          <t>Crosswalk Pending</t>
        </is>
      </c>
      <c r="M672" t="inlineStr">
        <is>
          <t>Open</t>
        </is>
      </c>
      <c r="N672" t="inlineStr"/>
    </row>
    <row r="673">
      <c r="A673" t="inlineStr">
        <is>
          <t>FKEX00672</t>
        </is>
      </c>
      <c r="B673" t="inlineStr">
        <is>
          <t>15 LL_Device</t>
        </is>
      </c>
      <c r="C673" t="inlineStr">
        <is>
          <t>tblDeviceModel</t>
        </is>
      </c>
      <c r="D673" t="n">
        <v>225</v>
      </c>
      <c r="E673" t="inlineStr">
        <is>
          <t>MOD000222</t>
        </is>
      </c>
      <c r="F673" t="inlineStr">
        <is>
          <t>DeviceTypeID</t>
        </is>
      </c>
      <c r="G673" t="inlineStr">
        <is>
          <t>DT001</t>
        </is>
      </c>
      <c r="H673" t="inlineStr">
        <is>
          <t>tblDeviceTypeIDCrosswalk</t>
        </is>
      </c>
      <c r="I673" t="inlineStr"/>
      <c r="J673" t="inlineStr">
        <is>
          <t>No Supported Match</t>
        </is>
      </c>
      <c r="K673" t="inlineStr">
        <is>
          <t>None</t>
        </is>
      </c>
      <c r="L673" t="inlineStr">
        <is>
          <t>Crosswalk Pending</t>
        </is>
      </c>
      <c r="M673" t="inlineStr">
        <is>
          <t>Open</t>
        </is>
      </c>
      <c r="N673" t="inlineStr"/>
    </row>
    <row r="674">
      <c r="A674" t="inlineStr">
        <is>
          <t>FKEX00673</t>
        </is>
      </c>
      <c r="B674" t="inlineStr">
        <is>
          <t>15 LL_Device</t>
        </is>
      </c>
      <c r="C674" t="inlineStr">
        <is>
          <t>tblDeviceModel</t>
        </is>
      </c>
      <c r="D674" t="n">
        <v>226</v>
      </c>
      <c r="E674" t="inlineStr">
        <is>
          <t>MOD000223</t>
        </is>
      </c>
      <c r="F674" t="inlineStr">
        <is>
          <t>ManufacturerID</t>
        </is>
      </c>
      <c r="G674" t="inlineStr">
        <is>
          <t>MFG002</t>
        </is>
      </c>
      <c r="H674" t="inlineStr">
        <is>
          <t>tblManufacturerIDCrosswalk</t>
        </is>
      </c>
      <c r="I674" t="inlineStr"/>
      <c r="J674" t="inlineStr">
        <is>
          <t>No Supported Match</t>
        </is>
      </c>
      <c r="K674" t="inlineStr">
        <is>
          <t>None</t>
        </is>
      </c>
      <c r="L674" t="inlineStr">
        <is>
          <t>Crosswalk Pending</t>
        </is>
      </c>
      <c r="M674" t="inlineStr">
        <is>
          <t>Open</t>
        </is>
      </c>
      <c r="N674" t="inlineStr"/>
    </row>
    <row r="675">
      <c r="A675" t="inlineStr">
        <is>
          <t>FKEX00674</t>
        </is>
      </c>
      <c r="B675" t="inlineStr">
        <is>
          <t>15 LL_Device</t>
        </is>
      </c>
      <c r="C675" t="inlineStr">
        <is>
          <t>tblDeviceModel</t>
        </is>
      </c>
      <c r="D675" t="n">
        <v>226</v>
      </c>
      <c r="E675" t="inlineStr">
        <is>
          <t>MOD000223</t>
        </is>
      </c>
      <c r="F675" t="inlineStr">
        <is>
          <t>DeviceFamilyID</t>
        </is>
      </c>
      <c r="G675" t="inlineStr">
        <is>
          <t>DF024</t>
        </is>
      </c>
      <c r="H675" t="inlineStr">
        <is>
          <t>tblDeviceFamilyIDCrosswalk</t>
        </is>
      </c>
      <c r="I675" t="inlineStr"/>
      <c r="J675" t="inlineStr">
        <is>
          <t>tblDeviceModel</t>
        </is>
      </c>
      <c r="K675" t="inlineStr">
        <is>
          <t>Exact ID</t>
        </is>
      </c>
      <c r="L675" t="inlineStr">
        <is>
          <t>Crosswalk Pending</t>
        </is>
      </c>
      <c r="M675" t="inlineStr">
        <is>
          <t>Open</t>
        </is>
      </c>
      <c r="N675" t="inlineStr"/>
    </row>
    <row r="676">
      <c r="A676" t="inlineStr">
        <is>
          <t>FKEX00675</t>
        </is>
      </c>
      <c r="B676" t="inlineStr">
        <is>
          <t>15 LL_Device</t>
        </is>
      </c>
      <c r="C676" t="inlineStr">
        <is>
          <t>tblDeviceModel</t>
        </is>
      </c>
      <c r="D676" t="n">
        <v>226</v>
      </c>
      <c r="E676" t="inlineStr">
        <is>
          <t>MOD000223</t>
        </is>
      </c>
      <c r="F676" t="inlineStr">
        <is>
          <t>DeviceTypeID</t>
        </is>
      </c>
      <c r="G676" t="inlineStr">
        <is>
          <t>DT001</t>
        </is>
      </c>
      <c r="H676" t="inlineStr">
        <is>
          <t>tblDeviceTypeIDCrosswalk</t>
        </is>
      </c>
      <c r="I676" t="inlineStr"/>
      <c r="J676" t="inlineStr">
        <is>
          <t>No Supported Match</t>
        </is>
      </c>
      <c r="K676" t="inlineStr">
        <is>
          <t>None</t>
        </is>
      </c>
      <c r="L676" t="inlineStr">
        <is>
          <t>Crosswalk Pending</t>
        </is>
      </c>
      <c r="M676" t="inlineStr">
        <is>
          <t>Open</t>
        </is>
      </c>
      <c r="N676" t="inlineStr"/>
    </row>
    <row r="677">
      <c r="A677" t="inlineStr">
        <is>
          <t>FKEX00676</t>
        </is>
      </c>
      <c r="B677" t="inlineStr">
        <is>
          <t>15 LL_Device</t>
        </is>
      </c>
      <c r="C677" t="inlineStr">
        <is>
          <t>tblDeviceModel</t>
        </is>
      </c>
      <c r="D677" t="n">
        <v>227</v>
      </c>
      <c r="E677" t="inlineStr">
        <is>
          <t>MOD000224</t>
        </is>
      </c>
      <c r="F677" t="inlineStr">
        <is>
          <t>ManufacturerID</t>
        </is>
      </c>
      <c r="G677" t="inlineStr">
        <is>
          <t>MFG002</t>
        </is>
      </c>
      <c r="H677" t="inlineStr">
        <is>
          <t>tblManufacturerIDCrosswalk</t>
        </is>
      </c>
      <c r="I677" t="inlineStr"/>
      <c r="J677" t="inlineStr">
        <is>
          <t>No Supported Match</t>
        </is>
      </c>
      <c r="K677" t="inlineStr">
        <is>
          <t>None</t>
        </is>
      </c>
      <c r="L677" t="inlineStr">
        <is>
          <t>Crosswalk Pending</t>
        </is>
      </c>
      <c r="M677" t="inlineStr">
        <is>
          <t>Open</t>
        </is>
      </c>
      <c r="N677" t="inlineStr"/>
    </row>
    <row r="678">
      <c r="A678" t="inlineStr">
        <is>
          <t>FKEX00677</t>
        </is>
      </c>
      <c r="B678" t="inlineStr">
        <is>
          <t>15 LL_Device</t>
        </is>
      </c>
      <c r="C678" t="inlineStr">
        <is>
          <t>tblDeviceModel</t>
        </is>
      </c>
      <c r="D678" t="n">
        <v>227</v>
      </c>
      <c r="E678" t="inlineStr">
        <is>
          <t>MOD000224</t>
        </is>
      </c>
      <c r="F678" t="inlineStr">
        <is>
          <t>DeviceFamilyID</t>
        </is>
      </c>
      <c r="G678" t="inlineStr">
        <is>
          <t>DF024</t>
        </is>
      </c>
      <c r="H678" t="inlineStr">
        <is>
          <t>tblDeviceFamilyIDCrosswalk</t>
        </is>
      </c>
      <c r="I678" t="inlineStr"/>
      <c r="J678" t="inlineStr">
        <is>
          <t>tblDeviceModel</t>
        </is>
      </c>
      <c r="K678" t="inlineStr">
        <is>
          <t>Exact ID</t>
        </is>
      </c>
      <c r="L678" t="inlineStr">
        <is>
          <t>Crosswalk Pending</t>
        </is>
      </c>
      <c r="M678" t="inlineStr">
        <is>
          <t>Open</t>
        </is>
      </c>
      <c r="N678" t="inlineStr"/>
    </row>
    <row r="679">
      <c r="A679" t="inlineStr">
        <is>
          <t>FKEX00678</t>
        </is>
      </c>
      <c r="B679" t="inlineStr">
        <is>
          <t>15 LL_Device</t>
        </is>
      </c>
      <c r="C679" t="inlineStr">
        <is>
          <t>tblDeviceModel</t>
        </is>
      </c>
      <c r="D679" t="n">
        <v>227</v>
      </c>
      <c r="E679" t="inlineStr">
        <is>
          <t>MOD000224</t>
        </is>
      </c>
      <c r="F679" t="inlineStr">
        <is>
          <t>DeviceTypeID</t>
        </is>
      </c>
      <c r="G679" t="inlineStr">
        <is>
          <t>DT001</t>
        </is>
      </c>
      <c r="H679" t="inlineStr">
        <is>
          <t>tblDeviceTypeIDCrosswalk</t>
        </is>
      </c>
      <c r="I679" t="inlineStr"/>
      <c r="J679" t="inlineStr">
        <is>
          <t>No Supported Match</t>
        </is>
      </c>
      <c r="K679" t="inlineStr">
        <is>
          <t>None</t>
        </is>
      </c>
      <c r="L679" t="inlineStr">
        <is>
          <t>Crosswalk Pending</t>
        </is>
      </c>
      <c r="M679" t="inlineStr">
        <is>
          <t>Open</t>
        </is>
      </c>
      <c r="N679" t="inlineStr"/>
    </row>
    <row r="680">
      <c r="A680" t="inlineStr">
        <is>
          <t>FKEX00679</t>
        </is>
      </c>
      <c r="B680" t="inlineStr">
        <is>
          <t>15 LL_Device</t>
        </is>
      </c>
      <c r="C680" t="inlineStr">
        <is>
          <t>tblDeviceModel</t>
        </is>
      </c>
      <c r="D680" t="n">
        <v>228</v>
      </c>
      <c r="E680" t="inlineStr">
        <is>
          <t>MOD000225</t>
        </is>
      </c>
      <c r="F680" t="inlineStr">
        <is>
          <t>ManufacturerID</t>
        </is>
      </c>
      <c r="G680" t="inlineStr">
        <is>
          <t>MFG002</t>
        </is>
      </c>
      <c r="H680" t="inlineStr">
        <is>
          <t>tblManufacturerIDCrosswalk</t>
        </is>
      </c>
      <c r="I680" t="inlineStr"/>
      <c r="J680" t="inlineStr">
        <is>
          <t>No Supported Match</t>
        </is>
      </c>
      <c r="K680" t="inlineStr">
        <is>
          <t>None</t>
        </is>
      </c>
      <c r="L680" t="inlineStr">
        <is>
          <t>Crosswalk Pending</t>
        </is>
      </c>
      <c r="M680" t="inlineStr">
        <is>
          <t>Open</t>
        </is>
      </c>
      <c r="N680" t="inlineStr"/>
    </row>
    <row r="681">
      <c r="A681" t="inlineStr">
        <is>
          <t>FKEX00680</t>
        </is>
      </c>
      <c r="B681" t="inlineStr">
        <is>
          <t>15 LL_Device</t>
        </is>
      </c>
      <c r="C681" t="inlineStr">
        <is>
          <t>tblDeviceModel</t>
        </is>
      </c>
      <c r="D681" t="n">
        <v>228</v>
      </c>
      <c r="E681" t="inlineStr">
        <is>
          <t>MOD000225</t>
        </is>
      </c>
      <c r="F681" t="inlineStr">
        <is>
          <t>DeviceFamilyID</t>
        </is>
      </c>
      <c r="G681" t="inlineStr">
        <is>
          <t>DF024</t>
        </is>
      </c>
      <c r="H681" t="inlineStr">
        <is>
          <t>tblDeviceFamilyIDCrosswalk</t>
        </is>
      </c>
      <c r="I681" t="inlineStr"/>
      <c r="J681" t="inlineStr">
        <is>
          <t>tblDeviceModel</t>
        </is>
      </c>
      <c r="K681" t="inlineStr">
        <is>
          <t>Exact ID</t>
        </is>
      </c>
      <c r="L681" t="inlineStr">
        <is>
          <t>Crosswalk Pending</t>
        </is>
      </c>
      <c r="M681" t="inlineStr">
        <is>
          <t>Open</t>
        </is>
      </c>
      <c r="N681" t="inlineStr"/>
    </row>
    <row r="682">
      <c r="A682" t="inlineStr">
        <is>
          <t>FKEX00681</t>
        </is>
      </c>
      <c r="B682" t="inlineStr">
        <is>
          <t>15 LL_Device</t>
        </is>
      </c>
      <c r="C682" t="inlineStr">
        <is>
          <t>tblDeviceModel</t>
        </is>
      </c>
      <c r="D682" t="n">
        <v>228</v>
      </c>
      <c r="E682" t="inlineStr">
        <is>
          <t>MOD000225</t>
        </is>
      </c>
      <c r="F682" t="inlineStr">
        <is>
          <t>DeviceTypeID</t>
        </is>
      </c>
      <c r="G682" t="inlineStr">
        <is>
          <t>DT001</t>
        </is>
      </c>
      <c r="H682" t="inlineStr">
        <is>
          <t>tblDeviceTypeIDCrosswalk</t>
        </is>
      </c>
      <c r="I682" t="inlineStr"/>
      <c r="J682" t="inlineStr">
        <is>
          <t>No Supported Match</t>
        </is>
      </c>
      <c r="K682" t="inlineStr">
        <is>
          <t>None</t>
        </is>
      </c>
      <c r="L682" t="inlineStr">
        <is>
          <t>Crosswalk Pending</t>
        </is>
      </c>
      <c r="M682" t="inlineStr">
        <is>
          <t>Open</t>
        </is>
      </c>
      <c r="N682" t="inlineStr"/>
    </row>
    <row r="683">
      <c r="A683" t="inlineStr">
        <is>
          <t>FKEX00682</t>
        </is>
      </c>
      <c r="B683" t="inlineStr">
        <is>
          <t>15 LL_Device</t>
        </is>
      </c>
      <c r="C683" t="inlineStr">
        <is>
          <t>tblDeviceModel</t>
        </is>
      </c>
      <c r="D683" t="n">
        <v>229</v>
      </c>
      <c r="E683" t="inlineStr">
        <is>
          <t>MOD000226</t>
        </is>
      </c>
      <c r="F683" t="inlineStr">
        <is>
          <t>ManufacturerID</t>
        </is>
      </c>
      <c r="G683" t="inlineStr">
        <is>
          <t>MFG002</t>
        </is>
      </c>
      <c r="H683" t="inlineStr">
        <is>
          <t>tblManufacturerIDCrosswalk</t>
        </is>
      </c>
      <c r="I683" t="inlineStr"/>
      <c r="J683" t="inlineStr">
        <is>
          <t>No Supported Match</t>
        </is>
      </c>
      <c r="K683" t="inlineStr">
        <is>
          <t>None</t>
        </is>
      </c>
      <c r="L683" t="inlineStr">
        <is>
          <t>Crosswalk Pending</t>
        </is>
      </c>
      <c r="M683" t="inlineStr">
        <is>
          <t>Open</t>
        </is>
      </c>
      <c r="N683" t="inlineStr"/>
    </row>
    <row r="684">
      <c r="A684" t="inlineStr">
        <is>
          <t>FKEX00683</t>
        </is>
      </c>
      <c r="B684" t="inlineStr">
        <is>
          <t>15 LL_Device</t>
        </is>
      </c>
      <c r="C684" t="inlineStr">
        <is>
          <t>tblDeviceModel</t>
        </is>
      </c>
      <c r="D684" t="n">
        <v>229</v>
      </c>
      <c r="E684" t="inlineStr">
        <is>
          <t>MOD000226</t>
        </is>
      </c>
      <c r="F684" t="inlineStr">
        <is>
          <t>DeviceFamilyID</t>
        </is>
      </c>
      <c r="G684" t="inlineStr">
        <is>
          <t>DF024</t>
        </is>
      </c>
      <c r="H684" t="inlineStr">
        <is>
          <t>tblDeviceFamilyIDCrosswalk</t>
        </is>
      </c>
      <c r="I684" t="inlineStr"/>
      <c r="J684" t="inlineStr">
        <is>
          <t>tblDeviceModel</t>
        </is>
      </c>
      <c r="K684" t="inlineStr">
        <is>
          <t>Exact ID</t>
        </is>
      </c>
      <c r="L684" t="inlineStr">
        <is>
          <t>Crosswalk Pending</t>
        </is>
      </c>
      <c r="M684" t="inlineStr">
        <is>
          <t>Open</t>
        </is>
      </c>
      <c r="N684" t="inlineStr"/>
    </row>
    <row r="685">
      <c r="A685" t="inlineStr">
        <is>
          <t>FKEX00684</t>
        </is>
      </c>
      <c r="B685" t="inlineStr">
        <is>
          <t>15 LL_Device</t>
        </is>
      </c>
      <c r="C685" t="inlineStr">
        <is>
          <t>tblDeviceModel</t>
        </is>
      </c>
      <c r="D685" t="n">
        <v>229</v>
      </c>
      <c r="E685" t="inlineStr">
        <is>
          <t>MOD000226</t>
        </is>
      </c>
      <c r="F685" t="inlineStr">
        <is>
          <t>DeviceTypeID</t>
        </is>
      </c>
      <c r="G685" t="inlineStr">
        <is>
          <t>DT001</t>
        </is>
      </c>
      <c r="H685" t="inlineStr">
        <is>
          <t>tblDeviceTypeIDCrosswalk</t>
        </is>
      </c>
      <c r="I685" t="inlineStr"/>
      <c r="J685" t="inlineStr">
        <is>
          <t>No Supported Match</t>
        </is>
      </c>
      <c r="K685" t="inlineStr">
        <is>
          <t>None</t>
        </is>
      </c>
      <c r="L685" t="inlineStr">
        <is>
          <t>Crosswalk Pending</t>
        </is>
      </c>
      <c r="M685" t="inlineStr">
        <is>
          <t>Open</t>
        </is>
      </c>
      <c r="N685" t="inlineStr"/>
    </row>
    <row r="686">
      <c r="A686" t="inlineStr">
        <is>
          <t>FKEX00685</t>
        </is>
      </c>
      <c r="B686" t="inlineStr">
        <is>
          <t>15 LL_Device</t>
        </is>
      </c>
      <c r="C686" t="inlineStr">
        <is>
          <t>tblDeviceModel</t>
        </is>
      </c>
      <c r="D686" t="n">
        <v>230</v>
      </c>
      <c r="E686" t="inlineStr">
        <is>
          <t>MOD000227</t>
        </is>
      </c>
      <c r="F686" t="inlineStr">
        <is>
          <t>ManufacturerID</t>
        </is>
      </c>
      <c r="G686" t="inlineStr">
        <is>
          <t>MFG002</t>
        </is>
      </c>
      <c r="H686" t="inlineStr">
        <is>
          <t>tblManufacturerIDCrosswalk</t>
        </is>
      </c>
      <c r="I686" t="inlineStr"/>
      <c r="J686" t="inlineStr">
        <is>
          <t>No Supported Match</t>
        </is>
      </c>
      <c r="K686" t="inlineStr">
        <is>
          <t>None</t>
        </is>
      </c>
      <c r="L686" t="inlineStr">
        <is>
          <t>Crosswalk Pending</t>
        </is>
      </c>
      <c r="M686" t="inlineStr">
        <is>
          <t>Open</t>
        </is>
      </c>
      <c r="N686" t="inlineStr"/>
    </row>
    <row r="687">
      <c r="A687" t="inlineStr">
        <is>
          <t>FKEX00686</t>
        </is>
      </c>
      <c r="B687" t="inlineStr">
        <is>
          <t>15 LL_Device</t>
        </is>
      </c>
      <c r="C687" t="inlineStr">
        <is>
          <t>tblDeviceModel</t>
        </is>
      </c>
      <c r="D687" t="n">
        <v>230</v>
      </c>
      <c r="E687" t="inlineStr">
        <is>
          <t>MOD000227</t>
        </is>
      </c>
      <c r="F687" t="inlineStr">
        <is>
          <t>DeviceFamilyID</t>
        </is>
      </c>
      <c r="G687" t="inlineStr">
        <is>
          <t>DF024</t>
        </is>
      </c>
      <c r="H687" t="inlineStr">
        <is>
          <t>tblDeviceFamilyIDCrosswalk</t>
        </is>
      </c>
      <c r="I687" t="inlineStr"/>
      <c r="J687" t="inlineStr">
        <is>
          <t>tblDeviceModel</t>
        </is>
      </c>
      <c r="K687" t="inlineStr">
        <is>
          <t>Exact ID</t>
        </is>
      </c>
      <c r="L687" t="inlineStr">
        <is>
          <t>Crosswalk Pending</t>
        </is>
      </c>
      <c r="M687" t="inlineStr">
        <is>
          <t>Open</t>
        </is>
      </c>
      <c r="N687" t="inlineStr"/>
    </row>
    <row r="688">
      <c r="A688" t="inlineStr">
        <is>
          <t>FKEX00687</t>
        </is>
      </c>
      <c r="B688" t="inlineStr">
        <is>
          <t>15 LL_Device</t>
        </is>
      </c>
      <c r="C688" t="inlineStr">
        <is>
          <t>tblDeviceModel</t>
        </is>
      </c>
      <c r="D688" t="n">
        <v>230</v>
      </c>
      <c r="E688" t="inlineStr">
        <is>
          <t>MOD000227</t>
        </is>
      </c>
      <c r="F688" t="inlineStr">
        <is>
          <t>DeviceTypeID</t>
        </is>
      </c>
      <c r="G688" t="inlineStr">
        <is>
          <t>DT001</t>
        </is>
      </c>
      <c r="H688" t="inlineStr">
        <is>
          <t>tblDeviceTypeIDCrosswalk</t>
        </is>
      </c>
      <c r="I688" t="inlineStr"/>
      <c r="J688" t="inlineStr">
        <is>
          <t>No Supported Match</t>
        </is>
      </c>
      <c r="K688" t="inlineStr">
        <is>
          <t>None</t>
        </is>
      </c>
      <c r="L688" t="inlineStr">
        <is>
          <t>Crosswalk Pending</t>
        </is>
      </c>
      <c r="M688" t="inlineStr">
        <is>
          <t>Open</t>
        </is>
      </c>
      <c r="N688" t="inlineStr"/>
    </row>
    <row r="689">
      <c r="A689" t="inlineStr">
        <is>
          <t>FKEX00688</t>
        </is>
      </c>
      <c r="B689" t="inlineStr">
        <is>
          <t>15 LL_Device</t>
        </is>
      </c>
      <c r="C689" t="inlineStr">
        <is>
          <t>tblDeviceModel</t>
        </is>
      </c>
      <c r="D689" t="n">
        <v>231</v>
      </c>
      <c r="E689" t="inlineStr">
        <is>
          <t>MOD000228</t>
        </is>
      </c>
      <c r="F689" t="inlineStr">
        <is>
          <t>ManufacturerID</t>
        </is>
      </c>
      <c r="G689" t="inlineStr">
        <is>
          <t>MFG002</t>
        </is>
      </c>
      <c r="H689" t="inlineStr">
        <is>
          <t>tblManufacturerIDCrosswalk</t>
        </is>
      </c>
      <c r="I689" t="inlineStr"/>
      <c r="J689" t="inlineStr">
        <is>
          <t>No Supported Match</t>
        </is>
      </c>
      <c r="K689" t="inlineStr">
        <is>
          <t>None</t>
        </is>
      </c>
      <c r="L689" t="inlineStr">
        <is>
          <t>Crosswalk Pending</t>
        </is>
      </c>
      <c r="M689" t="inlineStr">
        <is>
          <t>Open</t>
        </is>
      </c>
      <c r="N689" t="inlineStr"/>
    </row>
    <row r="690">
      <c r="A690" t="inlineStr">
        <is>
          <t>FKEX00689</t>
        </is>
      </c>
      <c r="B690" t="inlineStr">
        <is>
          <t>15 LL_Device</t>
        </is>
      </c>
      <c r="C690" t="inlineStr">
        <is>
          <t>tblDeviceModel</t>
        </is>
      </c>
      <c r="D690" t="n">
        <v>231</v>
      </c>
      <c r="E690" t="inlineStr">
        <is>
          <t>MOD000228</t>
        </is>
      </c>
      <c r="F690" t="inlineStr">
        <is>
          <t>DeviceFamilyID</t>
        </is>
      </c>
      <c r="G690" t="inlineStr">
        <is>
          <t>DF024</t>
        </is>
      </c>
      <c r="H690" t="inlineStr">
        <is>
          <t>tblDeviceFamilyIDCrosswalk</t>
        </is>
      </c>
      <c r="I690" t="inlineStr"/>
      <c r="J690" t="inlineStr">
        <is>
          <t>tblDeviceModel</t>
        </is>
      </c>
      <c r="K690" t="inlineStr">
        <is>
          <t>Exact ID</t>
        </is>
      </c>
      <c r="L690" t="inlineStr">
        <is>
          <t>Crosswalk Pending</t>
        </is>
      </c>
      <c r="M690" t="inlineStr">
        <is>
          <t>Open</t>
        </is>
      </c>
      <c r="N690" t="inlineStr"/>
    </row>
    <row r="691">
      <c r="A691" t="inlineStr">
        <is>
          <t>FKEX00690</t>
        </is>
      </c>
      <c r="B691" t="inlineStr">
        <is>
          <t>15 LL_Device</t>
        </is>
      </c>
      <c r="C691" t="inlineStr">
        <is>
          <t>tblDeviceModel</t>
        </is>
      </c>
      <c r="D691" t="n">
        <v>231</v>
      </c>
      <c r="E691" t="inlineStr">
        <is>
          <t>MOD000228</t>
        </is>
      </c>
      <c r="F691" t="inlineStr">
        <is>
          <t>DeviceTypeID</t>
        </is>
      </c>
      <c r="G691" t="inlineStr">
        <is>
          <t>DT001</t>
        </is>
      </c>
      <c r="H691" t="inlineStr">
        <is>
          <t>tblDeviceTypeIDCrosswalk</t>
        </is>
      </c>
      <c r="I691" t="inlineStr"/>
      <c r="J691" t="inlineStr">
        <is>
          <t>No Supported Match</t>
        </is>
      </c>
      <c r="K691" t="inlineStr">
        <is>
          <t>None</t>
        </is>
      </c>
      <c r="L691" t="inlineStr">
        <is>
          <t>Crosswalk Pending</t>
        </is>
      </c>
      <c r="M691" t="inlineStr">
        <is>
          <t>Open</t>
        </is>
      </c>
      <c r="N691" t="inlineStr"/>
    </row>
    <row r="692">
      <c r="A692" t="inlineStr">
        <is>
          <t>FKEX00691</t>
        </is>
      </c>
      <c r="B692" t="inlineStr">
        <is>
          <t>15 LL_Device</t>
        </is>
      </c>
      <c r="C692" t="inlineStr">
        <is>
          <t>tblDeviceModel</t>
        </is>
      </c>
      <c r="D692" t="n">
        <v>232</v>
      </c>
      <c r="E692" t="inlineStr">
        <is>
          <t>MOD000229</t>
        </is>
      </c>
      <c r="F692" t="inlineStr">
        <is>
          <t>ManufacturerID</t>
        </is>
      </c>
      <c r="G692" t="inlineStr">
        <is>
          <t>MFG002</t>
        </is>
      </c>
      <c r="H692" t="inlineStr">
        <is>
          <t>tblManufacturerIDCrosswalk</t>
        </is>
      </c>
      <c r="I692" t="inlineStr"/>
      <c r="J692" t="inlineStr">
        <is>
          <t>No Supported Match</t>
        </is>
      </c>
      <c r="K692" t="inlineStr">
        <is>
          <t>None</t>
        </is>
      </c>
      <c r="L692" t="inlineStr">
        <is>
          <t>Crosswalk Pending</t>
        </is>
      </c>
      <c r="M692" t="inlineStr">
        <is>
          <t>Open</t>
        </is>
      </c>
      <c r="N692" t="inlineStr"/>
    </row>
    <row r="693">
      <c r="A693" t="inlineStr">
        <is>
          <t>FKEX00692</t>
        </is>
      </c>
      <c r="B693" t="inlineStr">
        <is>
          <t>15 LL_Device</t>
        </is>
      </c>
      <c r="C693" t="inlineStr">
        <is>
          <t>tblDeviceModel</t>
        </is>
      </c>
      <c r="D693" t="n">
        <v>232</v>
      </c>
      <c r="E693" t="inlineStr">
        <is>
          <t>MOD000229</t>
        </is>
      </c>
      <c r="F693" t="inlineStr">
        <is>
          <t>DeviceFamilyID</t>
        </is>
      </c>
      <c r="G693" t="inlineStr">
        <is>
          <t>DF024</t>
        </is>
      </c>
      <c r="H693" t="inlineStr">
        <is>
          <t>tblDeviceFamilyIDCrosswalk</t>
        </is>
      </c>
      <c r="I693" t="inlineStr"/>
      <c r="J693" t="inlineStr">
        <is>
          <t>tblDeviceModel</t>
        </is>
      </c>
      <c r="K693" t="inlineStr">
        <is>
          <t>Exact ID</t>
        </is>
      </c>
      <c r="L693" t="inlineStr">
        <is>
          <t>Crosswalk Pending</t>
        </is>
      </c>
      <c r="M693" t="inlineStr">
        <is>
          <t>Open</t>
        </is>
      </c>
      <c r="N693" t="inlineStr"/>
    </row>
    <row r="694">
      <c r="A694" t="inlineStr">
        <is>
          <t>FKEX00693</t>
        </is>
      </c>
      <c r="B694" t="inlineStr">
        <is>
          <t>15 LL_Device</t>
        </is>
      </c>
      <c r="C694" t="inlineStr">
        <is>
          <t>tblDeviceModel</t>
        </is>
      </c>
      <c r="D694" t="n">
        <v>232</v>
      </c>
      <c r="E694" t="inlineStr">
        <is>
          <t>MOD000229</t>
        </is>
      </c>
      <c r="F694" t="inlineStr">
        <is>
          <t>DeviceTypeID</t>
        </is>
      </c>
      <c r="G694" t="inlineStr">
        <is>
          <t>DT001</t>
        </is>
      </c>
      <c r="H694" t="inlineStr">
        <is>
          <t>tblDeviceTypeIDCrosswalk</t>
        </is>
      </c>
      <c r="I694" t="inlineStr"/>
      <c r="J694" t="inlineStr">
        <is>
          <t>No Supported Match</t>
        </is>
      </c>
      <c r="K694" t="inlineStr">
        <is>
          <t>None</t>
        </is>
      </c>
      <c r="L694" t="inlineStr">
        <is>
          <t>Crosswalk Pending</t>
        </is>
      </c>
      <c r="M694" t="inlineStr">
        <is>
          <t>Open</t>
        </is>
      </c>
      <c r="N694" t="inlineStr"/>
    </row>
    <row r="695">
      <c r="A695" t="inlineStr">
        <is>
          <t>FKEX00694</t>
        </is>
      </c>
      <c r="B695" t="inlineStr">
        <is>
          <t>15 LL_Device</t>
        </is>
      </c>
      <c r="C695" t="inlineStr">
        <is>
          <t>tblDeviceModel</t>
        </is>
      </c>
      <c r="D695" t="n">
        <v>233</v>
      </c>
      <c r="E695" t="inlineStr">
        <is>
          <t>MOD000230</t>
        </is>
      </c>
      <c r="F695" t="inlineStr">
        <is>
          <t>ManufacturerID</t>
        </is>
      </c>
      <c r="G695" t="inlineStr">
        <is>
          <t>MFG002</t>
        </is>
      </c>
      <c r="H695" t="inlineStr">
        <is>
          <t>tblManufacturerIDCrosswalk</t>
        </is>
      </c>
      <c r="I695" t="inlineStr"/>
      <c r="J695" t="inlineStr">
        <is>
          <t>No Supported Match</t>
        </is>
      </c>
      <c r="K695" t="inlineStr">
        <is>
          <t>None</t>
        </is>
      </c>
      <c r="L695" t="inlineStr">
        <is>
          <t>Crosswalk Pending</t>
        </is>
      </c>
      <c r="M695" t="inlineStr">
        <is>
          <t>Open</t>
        </is>
      </c>
      <c r="N695" t="inlineStr"/>
    </row>
    <row r="696">
      <c r="A696" t="inlineStr">
        <is>
          <t>FKEX00695</t>
        </is>
      </c>
      <c r="B696" t="inlineStr">
        <is>
          <t>15 LL_Device</t>
        </is>
      </c>
      <c r="C696" t="inlineStr">
        <is>
          <t>tblDeviceModel</t>
        </is>
      </c>
      <c r="D696" t="n">
        <v>233</v>
      </c>
      <c r="E696" t="inlineStr">
        <is>
          <t>MOD000230</t>
        </is>
      </c>
      <c r="F696" t="inlineStr">
        <is>
          <t>DeviceFamilyID</t>
        </is>
      </c>
      <c r="G696" t="inlineStr">
        <is>
          <t>DF024</t>
        </is>
      </c>
      <c r="H696" t="inlineStr">
        <is>
          <t>tblDeviceFamilyIDCrosswalk</t>
        </is>
      </c>
      <c r="I696" t="inlineStr"/>
      <c r="J696" t="inlineStr">
        <is>
          <t>tblDeviceModel</t>
        </is>
      </c>
      <c r="K696" t="inlineStr">
        <is>
          <t>Exact ID</t>
        </is>
      </c>
      <c r="L696" t="inlineStr">
        <is>
          <t>Crosswalk Pending</t>
        </is>
      </c>
      <c r="M696" t="inlineStr">
        <is>
          <t>Open</t>
        </is>
      </c>
      <c r="N696" t="inlineStr"/>
    </row>
    <row r="697">
      <c r="A697" t="inlineStr">
        <is>
          <t>FKEX00696</t>
        </is>
      </c>
      <c r="B697" t="inlineStr">
        <is>
          <t>15 LL_Device</t>
        </is>
      </c>
      <c r="C697" t="inlineStr">
        <is>
          <t>tblDeviceModel</t>
        </is>
      </c>
      <c r="D697" t="n">
        <v>233</v>
      </c>
      <c r="E697" t="inlineStr">
        <is>
          <t>MOD000230</t>
        </is>
      </c>
      <c r="F697" t="inlineStr">
        <is>
          <t>DeviceTypeID</t>
        </is>
      </c>
      <c r="G697" t="inlineStr">
        <is>
          <t>DT001</t>
        </is>
      </c>
      <c r="H697" t="inlineStr">
        <is>
          <t>tblDeviceTypeIDCrosswalk</t>
        </is>
      </c>
      <c r="I697" t="inlineStr"/>
      <c r="J697" t="inlineStr">
        <is>
          <t>No Supported Match</t>
        </is>
      </c>
      <c r="K697" t="inlineStr">
        <is>
          <t>None</t>
        </is>
      </c>
      <c r="L697" t="inlineStr">
        <is>
          <t>Crosswalk Pending</t>
        </is>
      </c>
      <c r="M697" t="inlineStr">
        <is>
          <t>Open</t>
        </is>
      </c>
      <c r="N697" t="inlineStr"/>
    </row>
    <row r="698">
      <c r="A698" t="inlineStr">
        <is>
          <t>FKEX00697</t>
        </is>
      </c>
      <c r="B698" t="inlineStr">
        <is>
          <t>15 LL_Device</t>
        </is>
      </c>
      <c r="C698" t="inlineStr">
        <is>
          <t>tblDeviceModel</t>
        </is>
      </c>
      <c r="D698" t="n">
        <v>234</v>
      </c>
      <c r="E698" t="inlineStr">
        <is>
          <t>MOD000231</t>
        </is>
      </c>
      <c r="F698" t="inlineStr">
        <is>
          <t>ManufacturerID</t>
        </is>
      </c>
      <c r="G698" t="inlineStr">
        <is>
          <t>MFG002</t>
        </is>
      </c>
      <c r="H698" t="inlineStr">
        <is>
          <t>tblManufacturerIDCrosswalk</t>
        </is>
      </c>
      <c r="I698" t="inlineStr"/>
      <c r="J698" t="inlineStr">
        <is>
          <t>No Supported Match</t>
        </is>
      </c>
      <c r="K698" t="inlineStr">
        <is>
          <t>None</t>
        </is>
      </c>
      <c r="L698" t="inlineStr">
        <is>
          <t>Crosswalk Pending</t>
        </is>
      </c>
      <c r="M698" t="inlineStr">
        <is>
          <t>Open</t>
        </is>
      </c>
      <c r="N698" t="inlineStr"/>
    </row>
    <row r="699">
      <c r="A699" t="inlineStr">
        <is>
          <t>FKEX00698</t>
        </is>
      </c>
      <c r="B699" t="inlineStr">
        <is>
          <t>15 LL_Device</t>
        </is>
      </c>
      <c r="C699" t="inlineStr">
        <is>
          <t>tblDeviceModel</t>
        </is>
      </c>
      <c r="D699" t="n">
        <v>234</v>
      </c>
      <c r="E699" t="inlineStr">
        <is>
          <t>MOD000231</t>
        </is>
      </c>
      <c r="F699" t="inlineStr">
        <is>
          <t>DeviceFamilyID</t>
        </is>
      </c>
      <c r="G699" t="inlineStr">
        <is>
          <t>DF024</t>
        </is>
      </c>
      <c r="H699" t="inlineStr">
        <is>
          <t>tblDeviceFamilyIDCrosswalk</t>
        </is>
      </c>
      <c r="I699" t="inlineStr"/>
      <c r="J699" t="inlineStr">
        <is>
          <t>tblDeviceModel</t>
        </is>
      </c>
      <c r="K699" t="inlineStr">
        <is>
          <t>Exact ID</t>
        </is>
      </c>
      <c r="L699" t="inlineStr">
        <is>
          <t>Crosswalk Pending</t>
        </is>
      </c>
      <c r="M699" t="inlineStr">
        <is>
          <t>Open</t>
        </is>
      </c>
      <c r="N699" t="inlineStr"/>
    </row>
    <row r="700">
      <c r="A700" t="inlineStr">
        <is>
          <t>FKEX00699</t>
        </is>
      </c>
      <c r="B700" t="inlineStr">
        <is>
          <t>15 LL_Device</t>
        </is>
      </c>
      <c r="C700" t="inlineStr">
        <is>
          <t>tblDeviceModel</t>
        </is>
      </c>
      <c r="D700" t="n">
        <v>234</v>
      </c>
      <c r="E700" t="inlineStr">
        <is>
          <t>MOD000231</t>
        </is>
      </c>
      <c r="F700" t="inlineStr">
        <is>
          <t>DeviceTypeID</t>
        </is>
      </c>
      <c r="G700" t="inlineStr">
        <is>
          <t>DT001</t>
        </is>
      </c>
      <c r="H700" t="inlineStr">
        <is>
          <t>tblDeviceTypeIDCrosswalk</t>
        </is>
      </c>
      <c r="I700" t="inlineStr"/>
      <c r="J700" t="inlineStr">
        <is>
          <t>No Supported Match</t>
        </is>
      </c>
      <c r="K700" t="inlineStr">
        <is>
          <t>None</t>
        </is>
      </c>
      <c r="L700" t="inlineStr">
        <is>
          <t>Crosswalk Pending</t>
        </is>
      </c>
      <c r="M700" t="inlineStr">
        <is>
          <t>Open</t>
        </is>
      </c>
      <c r="N700" t="inlineStr"/>
    </row>
    <row r="701">
      <c r="A701" t="inlineStr">
        <is>
          <t>FKEX00700</t>
        </is>
      </c>
      <c r="B701" t="inlineStr">
        <is>
          <t>15 LL_Device</t>
        </is>
      </c>
      <c r="C701" t="inlineStr">
        <is>
          <t>tblDeviceModel</t>
        </is>
      </c>
      <c r="D701" t="n">
        <v>235</v>
      </c>
      <c r="E701" t="inlineStr">
        <is>
          <t>MOD000232</t>
        </is>
      </c>
      <c r="F701" t="inlineStr">
        <is>
          <t>ManufacturerID</t>
        </is>
      </c>
      <c r="G701" t="inlineStr">
        <is>
          <t>MFG002</t>
        </is>
      </c>
      <c r="H701" t="inlineStr">
        <is>
          <t>tblManufacturerIDCrosswalk</t>
        </is>
      </c>
      <c r="I701" t="inlineStr"/>
      <c r="J701" t="inlineStr">
        <is>
          <t>No Supported Match</t>
        </is>
      </c>
      <c r="K701" t="inlineStr">
        <is>
          <t>None</t>
        </is>
      </c>
      <c r="L701" t="inlineStr">
        <is>
          <t>Crosswalk Pending</t>
        </is>
      </c>
      <c r="M701" t="inlineStr">
        <is>
          <t>Open</t>
        </is>
      </c>
      <c r="N701" t="inlineStr"/>
    </row>
    <row r="702">
      <c r="A702" t="inlineStr">
        <is>
          <t>FKEX00701</t>
        </is>
      </c>
      <c r="B702" t="inlineStr">
        <is>
          <t>15 LL_Device</t>
        </is>
      </c>
      <c r="C702" t="inlineStr">
        <is>
          <t>tblDeviceModel</t>
        </is>
      </c>
      <c r="D702" t="n">
        <v>235</v>
      </c>
      <c r="E702" t="inlineStr">
        <is>
          <t>MOD000232</t>
        </is>
      </c>
      <c r="F702" t="inlineStr">
        <is>
          <t>DeviceFamilyID</t>
        </is>
      </c>
      <c r="G702" t="inlineStr">
        <is>
          <t>DF024</t>
        </is>
      </c>
      <c r="H702" t="inlineStr">
        <is>
          <t>tblDeviceFamilyIDCrosswalk</t>
        </is>
      </c>
      <c r="I702" t="inlineStr"/>
      <c r="J702" t="inlineStr">
        <is>
          <t>tblDeviceModel</t>
        </is>
      </c>
      <c r="K702" t="inlineStr">
        <is>
          <t>Exact ID</t>
        </is>
      </c>
      <c r="L702" t="inlineStr">
        <is>
          <t>Crosswalk Pending</t>
        </is>
      </c>
      <c r="M702" t="inlineStr">
        <is>
          <t>Open</t>
        </is>
      </c>
      <c r="N702" t="inlineStr"/>
    </row>
    <row r="703">
      <c r="A703" t="inlineStr">
        <is>
          <t>FKEX00702</t>
        </is>
      </c>
      <c r="B703" t="inlineStr">
        <is>
          <t>15 LL_Device</t>
        </is>
      </c>
      <c r="C703" t="inlineStr">
        <is>
          <t>tblDeviceModel</t>
        </is>
      </c>
      <c r="D703" t="n">
        <v>235</v>
      </c>
      <c r="E703" t="inlineStr">
        <is>
          <t>MOD000232</t>
        </is>
      </c>
      <c r="F703" t="inlineStr">
        <is>
          <t>DeviceTypeID</t>
        </is>
      </c>
      <c r="G703" t="inlineStr">
        <is>
          <t>DT001</t>
        </is>
      </c>
      <c r="H703" t="inlineStr">
        <is>
          <t>tblDeviceTypeIDCrosswalk</t>
        </is>
      </c>
      <c r="I703" t="inlineStr"/>
      <c r="J703" t="inlineStr">
        <is>
          <t>No Supported Match</t>
        </is>
      </c>
      <c r="K703" t="inlineStr">
        <is>
          <t>None</t>
        </is>
      </c>
      <c r="L703" t="inlineStr">
        <is>
          <t>Crosswalk Pending</t>
        </is>
      </c>
      <c r="M703" t="inlineStr">
        <is>
          <t>Open</t>
        </is>
      </c>
      <c r="N703" t="inlineStr"/>
    </row>
    <row r="704">
      <c r="A704" t="inlineStr">
        <is>
          <t>FKEX00703</t>
        </is>
      </c>
      <c r="B704" t="inlineStr">
        <is>
          <t>15 LL_Device</t>
        </is>
      </c>
      <c r="C704" t="inlineStr">
        <is>
          <t>tblDeviceModel</t>
        </is>
      </c>
      <c r="D704" t="n">
        <v>236</v>
      </c>
      <c r="E704" t="inlineStr">
        <is>
          <t>MOD000233</t>
        </is>
      </c>
      <c r="F704" t="inlineStr">
        <is>
          <t>ManufacturerID</t>
        </is>
      </c>
      <c r="G704" t="inlineStr">
        <is>
          <t>MFG002</t>
        </is>
      </c>
      <c r="H704" t="inlineStr">
        <is>
          <t>tblManufacturerIDCrosswalk</t>
        </is>
      </c>
      <c r="I704" t="inlineStr"/>
      <c r="J704" t="inlineStr">
        <is>
          <t>No Supported Match</t>
        </is>
      </c>
      <c r="K704" t="inlineStr">
        <is>
          <t>None</t>
        </is>
      </c>
      <c r="L704" t="inlineStr">
        <is>
          <t>Crosswalk Pending</t>
        </is>
      </c>
      <c r="M704" t="inlineStr">
        <is>
          <t>Open</t>
        </is>
      </c>
      <c r="N704" t="inlineStr"/>
    </row>
    <row r="705">
      <c r="A705" t="inlineStr">
        <is>
          <t>FKEX00704</t>
        </is>
      </c>
      <c r="B705" t="inlineStr">
        <is>
          <t>15 LL_Device</t>
        </is>
      </c>
      <c r="C705" t="inlineStr">
        <is>
          <t>tblDeviceModel</t>
        </is>
      </c>
      <c r="D705" t="n">
        <v>236</v>
      </c>
      <c r="E705" t="inlineStr">
        <is>
          <t>MOD000233</t>
        </is>
      </c>
      <c r="F705" t="inlineStr">
        <is>
          <t>DeviceFamilyID</t>
        </is>
      </c>
      <c r="G705" t="inlineStr">
        <is>
          <t>DF024</t>
        </is>
      </c>
      <c r="H705" t="inlineStr">
        <is>
          <t>tblDeviceFamilyIDCrosswalk</t>
        </is>
      </c>
      <c r="I705" t="inlineStr"/>
      <c r="J705" t="inlineStr">
        <is>
          <t>tblDeviceModel</t>
        </is>
      </c>
      <c r="K705" t="inlineStr">
        <is>
          <t>Exact ID</t>
        </is>
      </c>
      <c r="L705" t="inlineStr">
        <is>
          <t>Crosswalk Pending</t>
        </is>
      </c>
      <c r="M705" t="inlineStr">
        <is>
          <t>Open</t>
        </is>
      </c>
      <c r="N705" t="inlineStr"/>
    </row>
    <row r="706">
      <c r="A706" t="inlineStr">
        <is>
          <t>FKEX00705</t>
        </is>
      </c>
      <c r="B706" t="inlineStr">
        <is>
          <t>15 LL_Device</t>
        </is>
      </c>
      <c r="C706" t="inlineStr">
        <is>
          <t>tblDeviceModel</t>
        </is>
      </c>
      <c r="D706" t="n">
        <v>236</v>
      </c>
      <c r="E706" t="inlineStr">
        <is>
          <t>MOD000233</t>
        </is>
      </c>
      <c r="F706" t="inlineStr">
        <is>
          <t>DeviceTypeID</t>
        </is>
      </c>
      <c r="G706" t="inlineStr">
        <is>
          <t>DT001</t>
        </is>
      </c>
      <c r="H706" t="inlineStr">
        <is>
          <t>tblDeviceTypeIDCrosswalk</t>
        </is>
      </c>
      <c r="I706" t="inlineStr"/>
      <c r="J706" t="inlineStr">
        <is>
          <t>No Supported Match</t>
        </is>
      </c>
      <c r="K706" t="inlineStr">
        <is>
          <t>None</t>
        </is>
      </c>
      <c r="L706" t="inlineStr">
        <is>
          <t>Crosswalk Pending</t>
        </is>
      </c>
      <c r="M706" t="inlineStr">
        <is>
          <t>Open</t>
        </is>
      </c>
      <c r="N706" t="inlineStr"/>
    </row>
    <row r="707">
      <c r="A707" t="inlineStr">
        <is>
          <t>FKEX00706</t>
        </is>
      </c>
      <c r="B707" t="inlineStr">
        <is>
          <t>15 LL_Device</t>
        </is>
      </c>
      <c r="C707" t="inlineStr">
        <is>
          <t>tblDeviceModel</t>
        </is>
      </c>
      <c r="D707" t="n">
        <v>237</v>
      </c>
      <c r="E707" t="inlineStr">
        <is>
          <t>MOD000234</t>
        </is>
      </c>
      <c r="F707" t="inlineStr">
        <is>
          <t>ManufacturerID</t>
        </is>
      </c>
      <c r="G707" t="inlineStr">
        <is>
          <t>MFG002</t>
        </is>
      </c>
      <c r="H707" t="inlineStr">
        <is>
          <t>tblManufacturerIDCrosswalk</t>
        </is>
      </c>
      <c r="I707" t="inlineStr"/>
      <c r="J707" t="inlineStr">
        <is>
          <t>No Supported Match</t>
        </is>
      </c>
      <c r="K707" t="inlineStr">
        <is>
          <t>None</t>
        </is>
      </c>
      <c r="L707" t="inlineStr">
        <is>
          <t>Crosswalk Pending</t>
        </is>
      </c>
      <c r="M707" t="inlineStr">
        <is>
          <t>Open</t>
        </is>
      </c>
      <c r="N707" t="inlineStr"/>
    </row>
    <row r="708">
      <c r="A708" t="inlineStr">
        <is>
          <t>FKEX00707</t>
        </is>
      </c>
      <c r="B708" t="inlineStr">
        <is>
          <t>15 LL_Device</t>
        </is>
      </c>
      <c r="C708" t="inlineStr">
        <is>
          <t>tblDeviceModel</t>
        </is>
      </c>
      <c r="D708" t="n">
        <v>237</v>
      </c>
      <c r="E708" t="inlineStr">
        <is>
          <t>MOD000234</t>
        </is>
      </c>
      <c r="F708" t="inlineStr">
        <is>
          <t>DeviceFamilyID</t>
        </is>
      </c>
      <c r="G708" t="inlineStr">
        <is>
          <t>DF024</t>
        </is>
      </c>
      <c r="H708" t="inlineStr">
        <is>
          <t>tblDeviceFamilyIDCrosswalk</t>
        </is>
      </c>
      <c r="I708" t="inlineStr"/>
      <c r="J708" t="inlineStr">
        <is>
          <t>tblDeviceModel</t>
        </is>
      </c>
      <c r="K708" t="inlineStr">
        <is>
          <t>Exact ID</t>
        </is>
      </c>
      <c r="L708" t="inlineStr">
        <is>
          <t>Crosswalk Pending</t>
        </is>
      </c>
      <c r="M708" t="inlineStr">
        <is>
          <t>Open</t>
        </is>
      </c>
      <c r="N708" t="inlineStr"/>
    </row>
    <row r="709">
      <c r="A709" t="inlineStr">
        <is>
          <t>FKEX00708</t>
        </is>
      </c>
      <c r="B709" t="inlineStr">
        <is>
          <t>15 LL_Device</t>
        </is>
      </c>
      <c r="C709" t="inlineStr">
        <is>
          <t>tblDeviceModel</t>
        </is>
      </c>
      <c r="D709" t="n">
        <v>237</v>
      </c>
      <c r="E709" t="inlineStr">
        <is>
          <t>MOD000234</t>
        </is>
      </c>
      <c r="F709" t="inlineStr">
        <is>
          <t>DeviceTypeID</t>
        </is>
      </c>
      <c r="G709" t="inlineStr">
        <is>
          <t>DT001</t>
        </is>
      </c>
      <c r="H709" t="inlineStr">
        <is>
          <t>tblDeviceTypeIDCrosswalk</t>
        </is>
      </c>
      <c r="I709" t="inlineStr"/>
      <c r="J709" t="inlineStr">
        <is>
          <t>No Supported Match</t>
        </is>
      </c>
      <c r="K709" t="inlineStr">
        <is>
          <t>None</t>
        </is>
      </c>
      <c r="L709" t="inlineStr">
        <is>
          <t>Crosswalk Pending</t>
        </is>
      </c>
      <c r="M709" t="inlineStr">
        <is>
          <t>Open</t>
        </is>
      </c>
      <c r="N709" t="inlineStr"/>
    </row>
    <row r="710">
      <c r="A710" t="inlineStr">
        <is>
          <t>FKEX00709</t>
        </is>
      </c>
      <c r="B710" t="inlineStr">
        <is>
          <t>15 LL_Device</t>
        </is>
      </c>
      <c r="C710" t="inlineStr">
        <is>
          <t>tblDeviceModel</t>
        </is>
      </c>
      <c r="D710" t="n">
        <v>238</v>
      </c>
      <c r="E710" t="inlineStr">
        <is>
          <t>MOD000235</t>
        </is>
      </c>
      <c r="F710" t="inlineStr">
        <is>
          <t>ManufacturerID</t>
        </is>
      </c>
      <c r="G710" t="inlineStr">
        <is>
          <t>MFG002</t>
        </is>
      </c>
      <c r="H710" t="inlineStr">
        <is>
          <t>tblManufacturerIDCrosswalk</t>
        </is>
      </c>
      <c r="I710" t="inlineStr"/>
      <c r="J710" t="inlineStr">
        <is>
          <t>No Supported Match</t>
        </is>
      </c>
      <c r="K710" t="inlineStr">
        <is>
          <t>None</t>
        </is>
      </c>
      <c r="L710" t="inlineStr">
        <is>
          <t>Crosswalk Pending</t>
        </is>
      </c>
      <c r="M710" t="inlineStr">
        <is>
          <t>Open</t>
        </is>
      </c>
      <c r="N710" t="inlineStr"/>
    </row>
    <row r="711">
      <c r="A711" t="inlineStr">
        <is>
          <t>FKEX00710</t>
        </is>
      </c>
      <c r="B711" t="inlineStr">
        <is>
          <t>15 LL_Device</t>
        </is>
      </c>
      <c r="C711" t="inlineStr">
        <is>
          <t>tblDeviceModel</t>
        </is>
      </c>
      <c r="D711" t="n">
        <v>238</v>
      </c>
      <c r="E711" t="inlineStr">
        <is>
          <t>MOD000235</t>
        </is>
      </c>
      <c r="F711" t="inlineStr">
        <is>
          <t>DeviceFamilyID</t>
        </is>
      </c>
      <c r="G711" t="inlineStr">
        <is>
          <t>DF024</t>
        </is>
      </c>
      <c r="H711" t="inlineStr">
        <is>
          <t>tblDeviceFamilyIDCrosswalk</t>
        </is>
      </c>
      <c r="I711" t="inlineStr"/>
      <c r="J711" t="inlineStr">
        <is>
          <t>tblDeviceModel</t>
        </is>
      </c>
      <c r="K711" t="inlineStr">
        <is>
          <t>Exact ID</t>
        </is>
      </c>
      <c r="L711" t="inlineStr">
        <is>
          <t>Crosswalk Pending</t>
        </is>
      </c>
      <c r="M711" t="inlineStr">
        <is>
          <t>Open</t>
        </is>
      </c>
      <c r="N711" t="inlineStr"/>
    </row>
    <row r="712">
      <c r="A712" t="inlineStr">
        <is>
          <t>FKEX00711</t>
        </is>
      </c>
      <c r="B712" t="inlineStr">
        <is>
          <t>15 LL_Device</t>
        </is>
      </c>
      <c r="C712" t="inlineStr">
        <is>
          <t>tblDeviceModel</t>
        </is>
      </c>
      <c r="D712" t="n">
        <v>238</v>
      </c>
      <c r="E712" t="inlineStr">
        <is>
          <t>MOD000235</t>
        </is>
      </c>
      <c r="F712" t="inlineStr">
        <is>
          <t>DeviceTypeID</t>
        </is>
      </c>
      <c r="G712" t="inlineStr">
        <is>
          <t>DT001</t>
        </is>
      </c>
      <c r="H712" t="inlineStr">
        <is>
          <t>tblDeviceTypeIDCrosswalk</t>
        </is>
      </c>
      <c r="I712" t="inlineStr"/>
      <c r="J712" t="inlineStr">
        <is>
          <t>No Supported Match</t>
        </is>
      </c>
      <c r="K712" t="inlineStr">
        <is>
          <t>None</t>
        </is>
      </c>
      <c r="L712" t="inlineStr">
        <is>
          <t>Crosswalk Pending</t>
        </is>
      </c>
      <c r="M712" t="inlineStr">
        <is>
          <t>Open</t>
        </is>
      </c>
      <c r="N712" t="inlineStr"/>
    </row>
    <row r="713">
      <c r="A713" t="inlineStr">
        <is>
          <t>FKEX00712</t>
        </is>
      </c>
      <c r="B713" t="inlineStr">
        <is>
          <t>15 LL_Device</t>
        </is>
      </c>
      <c r="C713" t="inlineStr">
        <is>
          <t>tblDeviceModel</t>
        </is>
      </c>
      <c r="D713" t="n">
        <v>239</v>
      </c>
      <c r="E713" t="inlineStr">
        <is>
          <t>MOD000236</t>
        </is>
      </c>
      <c r="F713" t="inlineStr">
        <is>
          <t>ManufacturerID</t>
        </is>
      </c>
      <c r="G713" t="inlineStr">
        <is>
          <t>MFG002</t>
        </is>
      </c>
      <c r="H713" t="inlineStr">
        <is>
          <t>tblManufacturerIDCrosswalk</t>
        </is>
      </c>
      <c r="I713" t="inlineStr"/>
      <c r="J713" t="inlineStr">
        <is>
          <t>No Supported Match</t>
        </is>
      </c>
      <c r="K713" t="inlineStr">
        <is>
          <t>None</t>
        </is>
      </c>
      <c r="L713" t="inlineStr">
        <is>
          <t>Crosswalk Pending</t>
        </is>
      </c>
      <c r="M713" t="inlineStr">
        <is>
          <t>Open</t>
        </is>
      </c>
      <c r="N713" t="inlineStr"/>
    </row>
    <row r="714">
      <c r="A714" t="inlineStr">
        <is>
          <t>FKEX00713</t>
        </is>
      </c>
      <c r="B714" t="inlineStr">
        <is>
          <t>15 LL_Device</t>
        </is>
      </c>
      <c r="C714" t="inlineStr">
        <is>
          <t>tblDeviceModel</t>
        </is>
      </c>
      <c r="D714" t="n">
        <v>239</v>
      </c>
      <c r="E714" t="inlineStr">
        <is>
          <t>MOD000236</t>
        </is>
      </c>
      <c r="F714" t="inlineStr">
        <is>
          <t>DeviceFamilyID</t>
        </is>
      </c>
      <c r="G714" t="inlineStr">
        <is>
          <t>DF024</t>
        </is>
      </c>
      <c r="H714" t="inlineStr">
        <is>
          <t>tblDeviceFamilyIDCrosswalk</t>
        </is>
      </c>
      <c r="I714" t="inlineStr"/>
      <c r="J714" t="inlineStr">
        <is>
          <t>tblDeviceModel</t>
        </is>
      </c>
      <c r="K714" t="inlineStr">
        <is>
          <t>Exact ID</t>
        </is>
      </c>
      <c r="L714" t="inlineStr">
        <is>
          <t>Crosswalk Pending</t>
        </is>
      </c>
      <c r="M714" t="inlineStr">
        <is>
          <t>Open</t>
        </is>
      </c>
      <c r="N714" t="inlineStr"/>
    </row>
    <row r="715">
      <c r="A715" t="inlineStr">
        <is>
          <t>FKEX00714</t>
        </is>
      </c>
      <c r="B715" t="inlineStr">
        <is>
          <t>15 LL_Device</t>
        </is>
      </c>
      <c r="C715" t="inlineStr">
        <is>
          <t>tblDeviceModel</t>
        </is>
      </c>
      <c r="D715" t="n">
        <v>239</v>
      </c>
      <c r="E715" t="inlineStr">
        <is>
          <t>MOD000236</t>
        </is>
      </c>
      <c r="F715" t="inlineStr">
        <is>
          <t>DeviceTypeID</t>
        </is>
      </c>
      <c r="G715" t="inlineStr">
        <is>
          <t>DT001</t>
        </is>
      </c>
      <c r="H715" t="inlineStr">
        <is>
          <t>tblDeviceTypeIDCrosswalk</t>
        </is>
      </c>
      <c r="I715" t="inlineStr"/>
      <c r="J715" t="inlineStr">
        <is>
          <t>No Supported Match</t>
        </is>
      </c>
      <c r="K715" t="inlineStr">
        <is>
          <t>None</t>
        </is>
      </c>
      <c r="L715" t="inlineStr">
        <is>
          <t>Crosswalk Pending</t>
        </is>
      </c>
      <c r="M715" t="inlineStr">
        <is>
          <t>Open</t>
        </is>
      </c>
      <c r="N715" t="inlineStr"/>
    </row>
    <row r="716">
      <c r="A716" t="inlineStr">
        <is>
          <t>FKEX00715</t>
        </is>
      </c>
      <c r="B716" t="inlineStr">
        <is>
          <t>15 LL_Device</t>
        </is>
      </c>
      <c r="C716" t="inlineStr">
        <is>
          <t>tblDeviceModel</t>
        </is>
      </c>
      <c r="D716" t="n">
        <v>240</v>
      </c>
      <c r="E716" t="inlineStr">
        <is>
          <t>MOD000237</t>
        </is>
      </c>
      <c r="F716" t="inlineStr">
        <is>
          <t>ManufacturerID</t>
        </is>
      </c>
      <c r="G716" t="inlineStr">
        <is>
          <t>MFG002</t>
        </is>
      </c>
      <c r="H716" t="inlineStr">
        <is>
          <t>tblManufacturerIDCrosswalk</t>
        </is>
      </c>
      <c r="I716" t="inlineStr"/>
      <c r="J716" t="inlineStr">
        <is>
          <t>No Supported Match</t>
        </is>
      </c>
      <c r="K716" t="inlineStr">
        <is>
          <t>None</t>
        </is>
      </c>
      <c r="L716" t="inlineStr">
        <is>
          <t>Crosswalk Pending</t>
        </is>
      </c>
      <c r="M716" t="inlineStr">
        <is>
          <t>Open</t>
        </is>
      </c>
      <c r="N716" t="inlineStr"/>
    </row>
    <row r="717">
      <c r="A717" t="inlineStr">
        <is>
          <t>FKEX00716</t>
        </is>
      </c>
      <c r="B717" t="inlineStr">
        <is>
          <t>15 LL_Device</t>
        </is>
      </c>
      <c r="C717" t="inlineStr">
        <is>
          <t>tblDeviceModel</t>
        </is>
      </c>
      <c r="D717" t="n">
        <v>240</v>
      </c>
      <c r="E717" t="inlineStr">
        <is>
          <t>MOD000237</t>
        </is>
      </c>
      <c r="F717" t="inlineStr">
        <is>
          <t>DeviceFamilyID</t>
        </is>
      </c>
      <c r="G717" t="inlineStr">
        <is>
          <t>DF024</t>
        </is>
      </c>
      <c r="H717" t="inlineStr">
        <is>
          <t>tblDeviceFamilyIDCrosswalk</t>
        </is>
      </c>
      <c r="I717" t="inlineStr"/>
      <c r="J717" t="inlineStr">
        <is>
          <t>tblDeviceModel</t>
        </is>
      </c>
      <c r="K717" t="inlineStr">
        <is>
          <t>Exact ID</t>
        </is>
      </c>
      <c r="L717" t="inlineStr">
        <is>
          <t>Crosswalk Pending</t>
        </is>
      </c>
      <c r="M717" t="inlineStr">
        <is>
          <t>Open</t>
        </is>
      </c>
      <c r="N717" t="inlineStr"/>
    </row>
    <row r="718">
      <c r="A718" t="inlineStr">
        <is>
          <t>FKEX00717</t>
        </is>
      </c>
      <c r="B718" t="inlineStr">
        <is>
          <t>15 LL_Device</t>
        </is>
      </c>
      <c r="C718" t="inlineStr">
        <is>
          <t>tblDeviceModel</t>
        </is>
      </c>
      <c r="D718" t="n">
        <v>240</v>
      </c>
      <c r="E718" t="inlineStr">
        <is>
          <t>MOD000237</t>
        </is>
      </c>
      <c r="F718" t="inlineStr">
        <is>
          <t>DeviceTypeID</t>
        </is>
      </c>
      <c r="G718" t="inlineStr">
        <is>
          <t>DT001</t>
        </is>
      </c>
      <c r="H718" t="inlineStr">
        <is>
          <t>tblDeviceTypeIDCrosswalk</t>
        </is>
      </c>
      <c r="I718" t="inlineStr"/>
      <c r="J718" t="inlineStr">
        <is>
          <t>No Supported Match</t>
        </is>
      </c>
      <c r="K718" t="inlineStr">
        <is>
          <t>None</t>
        </is>
      </c>
      <c r="L718" t="inlineStr">
        <is>
          <t>Crosswalk Pending</t>
        </is>
      </c>
      <c r="M718" t="inlineStr">
        <is>
          <t>Open</t>
        </is>
      </c>
      <c r="N718" t="inlineStr"/>
    </row>
    <row r="719">
      <c r="A719" t="inlineStr">
        <is>
          <t>FKEX00718</t>
        </is>
      </c>
      <c r="B719" t="inlineStr">
        <is>
          <t>15 LL_Device</t>
        </is>
      </c>
      <c r="C719" t="inlineStr">
        <is>
          <t>tblDeviceModel</t>
        </is>
      </c>
      <c r="D719" t="n">
        <v>241</v>
      </c>
      <c r="E719" t="inlineStr">
        <is>
          <t>MOD000238</t>
        </is>
      </c>
      <c r="F719" t="inlineStr">
        <is>
          <t>ManufacturerID</t>
        </is>
      </c>
      <c r="G719" t="inlineStr">
        <is>
          <t>MFG002</t>
        </is>
      </c>
      <c r="H719" t="inlineStr">
        <is>
          <t>tblManufacturerIDCrosswalk</t>
        </is>
      </c>
      <c r="I719" t="inlineStr"/>
      <c r="J719" t="inlineStr">
        <is>
          <t>No Supported Match</t>
        </is>
      </c>
      <c r="K719" t="inlineStr">
        <is>
          <t>None</t>
        </is>
      </c>
      <c r="L719" t="inlineStr">
        <is>
          <t>Crosswalk Pending</t>
        </is>
      </c>
      <c r="M719" t="inlineStr">
        <is>
          <t>Open</t>
        </is>
      </c>
      <c r="N719" t="inlineStr"/>
    </row>
    <row r="720">
      <c r="A720" t="inlineStr">
        <is>
          <t>FKEX00719</t>
        </is>
      </c>
      <c r="B720" t="inlineStr">
        <is>
          <t>15 LL_Device</t>
        </is>
      </c>
      <c r="C720" t="inlineStr">
        <is>
          <t>tblDeviceModel</t>
        </is>
      </c>
      <c r="D720" t="n">
        <v>241</v>
      </c>
      <c r="E720" t="inlineStr">
        <is>
          <t>MOD000238</t>
        </is>
      </c>
      <c r="F720" t="inlineStr">
        <is>
          <t>DeviceFamilyID</t>
        </is>
      </c>
      <c r="G720" t="inlineStr">
        <is>
          <t>DF024</t>
        </is>
      </c>
      <c r="H720" t="inlineStr">
        <is>
          <t>tblDeviceFamilyIDCrosswalk</t>
        </is>
      </c>
      <c r="I720" t="inlineStr"/>
      <c r="J720" t="inlineStr">
        <is>
          <t>tblDeviceModel</t>
        </is>
      </c>
      <c r="K720" t="inlineStr">
        <is>
          <t>Exact ID</t>
        </is>
      </c>
      <c r="L720" t="inlineStr">
        <is>
          <t>Crosswalk Pending</t>
        </is>
      </c>
      <c r="M720" t="inlineStr">
        <is>
          <t>Open</t>
        </is>
      </c>
      <c r="N720" t="inlineStr"/>
    </row>
    <row r="721">
      <c r="A721" t="inlineStr">
        <is>
          <t>FKEX00720</t>
        </is>
      </c>
      <c r="B721" t="inlineStr">
        <is>
          <t>15 LL_Device</t>
        </is>
      </c>
      <c r="C721" t="inlineStr">
        <is>
          <t>tblDeviceModel</t>
        </is>
      </c>
      <c r="D721" t="n">
        <v>241</v>
      </c>
      <c r="E721" t="inlineStr">
        <is>
          <t>MOD000238</t>
        </is>
      </c>
      <c r="F721" t="inlineStr">
        <is>
          <t>DeviceTypeID</t>
        </is>
      </c>
      <c r="G721" t="inlineStr">
        <is>
          <t>DT001</t>
        </is>
      </c>
      <c r="H721" t="inlineStr">
        <is>
          <t>tblDeviceTypeIDCrosswalk</t>
        </is>
      </c>
      <c r="I721" t="inlineStr"/>
      <c r="J721" t="inlineStr">
        <is>
          <t>No Supported Match</t>
        </is>
      </c>
      <c r="K721" t="inlineStr">
        <is>
          <t>None</t>
        </is>
      </c>
      <c r="L721" t="inlineStr">
        <is>
          <t>Crosswalk Pending</t>
        </is>
      </c>
      <c r="M721" t="inlineStr">
        <is>
          <t>Open</t>
        </is>
      </c>
      <c r="N721" t="inlineStr"/>
    </row>
    <row r="722">
      <c r="A722" t="inlineStr">
        <is>
          <t>FKEX00721</t>
        </is>
      </c>
      <c r="B722" t="inlineStr">
        <is>
          <t>15 LL_Device</t>
        </is>
      </c>
      <c r="C722" t="inlineStr">
        <is>
          <t>tblDeviceModel</t>
        </is>
      </c>
      <c r="D722" t="n">
        <v>242</v>
      </c>
      <c r="E722" t="inlineStr">
        <is>
          <t>MOD000239</t>
        </is>
      </c>
      <c r="F722" t="inlineStr">
        <is>
          <t>ManufacturerID</t>
        </is>
      </c>
      <c r="G722" t="inlineStr">
        <is>
          <t>MFG002</t>
        </is>
      </c>
      <c r="H722" t="inlineStr">
        <is>
          <t>tblManufacturerIDCrosswalk</t>
        </is>
      </c>
      <c r="I722" t="inlineStr"/>
      <c r="J722" t="inlineStr">
        <is>
          <t>No Supported Match</t>
        </is>
      </c>
      <c r="K722" t="inlineStr">
        <is>
          <t>None</t>
        </is>
      </c>
      <c r="L722" t="inlineStr">
        <is>
          <t>Crosswalk Pending</t>
        </is>
      </c>
      <c r="M722" t="inlineStr">
        <is>
          <t>Open</t>
        </is>
      </c>
      <c r="N722" t="inlineStr"/>
    </row>
    <row r="723">
      <c r="A723" t="inlineStr">
        <is>
          <t>FKEX00722</t>
        </is>
      </c>
      <c r="B723" t="inlineStr">
        <is>
          <t>15 LL_Device</t>
        </is>
      </c>
      <c r="C723" t="inlineStr">
        <is>
          <t>tblDeviceModel</t>
        </is>
      </c>
      <c r="D723" t="n">
        <v>242</v>
      </c>
      <c r="E723" t="inlineStr">
        <is>
          <t>MOD000239</t>
        </is>
      </c>
      <c r="F723" t="inlineStr">
        <is>
          <t>DeviceFamilyID</t>
        </is>
      </c>
      <c r="G723" t="inlineStr">
        <is>
          <t>DF024</t>
        </is>
      </c>
      <c r="H723" t="inlineStr">
        <is>
          <t>tblDeviceFamilyIDCrosswalk</t>
        </is>
      </c>
      <c r="I723" t="inlineStr"/>
      <c r="J723" t="inlineStr">
        <is>
          <t>tblDeviceModel</t>
        </is>
      </c>
      <c r="K723" t="inlineStr">
        <is>
          <t>Exact ID</t>
        </is>
      </c>
      <c r="L723" t="inlineStr">
        <is>
          <t>Crosswalk Pending</t>
        </is>
      </c>
      <c r="M723" t="inlineStr">
        <is>
          <t>Open</t>
        </is>
      </c>
      <c r="N723" t="inlineStr"/>
    </row>
    <row r="724">
      <c r="A724" t="inlineStr">
        <is>
          <t>FKEX00723</t>
        </is>
      </c>
      <c r="B724" t="inlineStr">
        <is>
          <t>15 LL_Device</t>
        </is>
      </c>
      <c r="C724" t="inlineStr">
        <is>
          <t>tblDeviceModel</t>
        </is>
      </c>
      <c r="D724" t="n">
        <v>242</v>
      </c>
      <c r="E724" t="inlineStr">
        <is>
          <t>MOD000239</t>
        </is>
      </c>
      <c r="F724" t="inlineStr">
        <is>
          <t>DeviceTypeID</t>
        </is>
      </c>
      <c r="G724" t="inlineStr">
        <is>
          <t>DT001</t>
        </is>
      </c>
      <c r="H724" t="inlineStr">
        <is>
          <t>tblDeviceTypeIDCrosswalk</t>
        </is>
      </c>
      <c r="I724" t="inlineStr"/>
      <c r="J724" t="inlineStr">
        <is>
          <t>No Supported Match</t>
        </is>
      </c>
      <c r="K724" t="inlineStr">
        <is>
          <t>None</t>
        </is>
      </c>
      <c r="L724" t="inlineStr">
        <is>
          <t>Crosswalk Pending</t>
        </is>
      </c>
      <c r="M724" t="inlineStr">
        <is>
          <t>Open</t>
        </is>
      </c>
      <c r="N724" t="inlineStr"/>
    </row>
    <row r="725">
      <c r="A725" t="inlineStr">
        <is>
          <t>FKEX00724</t>
        </is>
      </c>
      <c r="B725" t="inlineStr">
        <is>
          <t>15 LL_Device</t>
        </is>
      </c>
      <c r="C725" t="inlineStr">
        <is>
          <t>tblDeviceModel</t>
        </is>
      </c>
      <c r="D725" t="n">
        <v>243</v>
      </c>
      <c r="E725" t="inlineStr">
        <is>
          <t>MOD000240</t>
        </is>
      </c>
      <c r="F725" t="inlineStr">
        <is>
          <t>ManufacturerID</t>
        </is>
      </c>
      <c r="G725" t="inlineStr">
        <is>
          <t>MFG002</t>
        </is>
      </c>
      <c r="H725" t="inlineStr">
        <is>
          <t>tblManufacturerIDCrosswalk</t>
        </is>
      </c>
      <c r="I725" t="inlineStr"/>
      <c r="J725" t="inlineStr">
        <is>
          <t>No Supported Match</t>
        </is>
      </c>
      <c r="K725" t="inlineStr">
        <is>
          <t>None</t>
        </is>
      </c>
      <c r="L725" t="inlineStr">
        <is>
          <t>Crosswalk Pending</t>
        </is>
      </c>
      <c r="M725" t="inlineStr">
        <is>
          <t>Open</t>
        </is>
      </c>
      <c r="N725" t="inlineStr"/>
    </row>
    <row r="726">
      <c r="A726" t="inlineStr">
        <is>
          <t>FKEX00725</t>
        </is>
      </c>
      <c r="B726" t="inlineStr">
        <is>
          <t>15 LL_Device</t>
        </is>
      </c>
      <c r="C726" t="inlineStr">
        <is>
          <t>tblDeviceModel</t>
        </is>
      </c>
      <c r="D726" t="n">
        <v>243</v>
      </c>
      <c r="E726" t="inlineStr">
        <is>
          <t>MOD000240</t>
        </is>
      </c>
      <c r="F726" t="inlineStr">
        <is>
          <t>DeviceFamilyID</t>
        </is>
      </c>
      <c r="G726" t="inlineStr">
        <is>
          <t>DF024</t>
        </is>
      </c>
      <c r="H726" t="inlineStr">
        <is>
          <t>tblDeviceFamilyIDCrosswalk</t>
        </is>
      </c>
      <c r="I726" t="inlineStr"/>
      <c r="J726" t="inlineStr">
        <is>
          <t>tblDeviceModel</t>
        </is>
      </c>
      <c r="K726" t="inlineStr">
        <is>
          <t>Exact ID</t>
        </is>
      </c>
      <c r="L726" t="inlineStr">
        <is>
          <t>Crosswalk Pending</t>
        </is>
      </c>
      <c r="M726" t="inlineStr">
        <is>
          <t>Open</t>
        </is>
      </c>
      <c r="N726" t="inlineStr"/>
    </row>
    <row r="727">
      <c r="A727" t="inlineStr">
        <is>
          <t>FKEX00726</t>
        </is>
      </c>
      <c r="B727" t="inlineStr">
        <is>
          <t>15 LL_Device</t>
        </is>
      </c>
      <c r="C727" t="inlineStr">
        <is>
          <t>tblDeviceModel</t>
        </is>
      </c>
      <c r="D727" t="n">
        <v>243</v>
      </c>
      <c r="E727" t="inlineStr">
        <is>
          <t>MOD000240</t>
        </is>
      </c>
      <c r="F727" t="inlineStr">
        <is>
          <t>DeviceTypeID</t>
        </is>
      </c>
      <c r="G727" t="inlineStr">
        <is>
          <t>DT001</t>
        </is>
      </c>
      <c r="H727" t="inlineStr">
        <is>
          <t>tblDeviceTypeIDCrosswalk</t>
        </is>
      </c>
      <c r="I727" t="inlineStr"/>
      <c r="J727" t="inlineStr">
        <is>
          <t>No Supported Match</t>
        </is>
      </c>
      <c r="K727" t="inlineStr">
        <is>
          <t>None</t>
        </is>
      </c>
      <c r="L727" t="inlineStr">
        <is>
          <t>Crosswalk Pending</t>
        </is>
      </c>
      <c r="M727" t="inlineStr">
        <is>
          <t>Open</t>
        </is>
      </c>
      <c r="N727" t="inlineStr"/>
    </row>
    <row r="728">
      <c r="A728" t="inlineStr">
        <is>
          <t>FKEX00727</t>
        </is>
      </c>
      <c r="B728" t="inlineStr">
        <is>
          <t>15 LL_Device</t>
        </is>
      </c>
      <c r="C728" t="inlineStr">
        <is>
          <t>tblDeviceModel</t>
        </is>
      </c>
      <c r="D728" t="n">
        <v>244</v>
      </c>
      <c r="E728" t="inlineStr">
        <is>
          <t>MOD000241</t>
        </is>
      </c>
      <c r="F728" t="inlineStr">
        <is>
          <t>ManufacturerID</t>
        </is>
      </c>
      <c r="G728" t="inlineStr">
        <is>
          <t>MFG002</t>
        </is>
      </c>
      <c r="H728" t="inlineStr">
        <is>
          <t>tblManufacturerIDCrosswalk</t>
        </is>
      </c>
      <c r="I728" t="inlineStr"/>
      <c r="J728" t="inlineStr">
        <is>
          <t>No Supported Match</t>
        </is>
      </c>
      <c r="K728" t="inlineStr">
        <is>
          <t>None</t>
        </is>
      </c>
      <c r="L728" t="inlineStr">
        <is>
          <t>Crosswalk Pending</t>
        </is>
      </c>
      <c r="M728" t="inlineStr">
        <is>
          <t>Open</t>
        </is>
      </c>
      <c r="N728" t="inlineStr"/>
    </row>
    <row r="729">
      <c r="A729" t="inlineStr">
        <is>
          <t>FKEX00728</t>
        </is>
      </c>
      <c r="B729" t="inlineStr">
        <is>
          <t>15 LL_Device</t>
        </is>
      </c>
      <c r="C729" t="inlineStr">
        <is>
          <t>tblDeviceModel</t>
        </is>
      </c>
      <c r="D729" t="n">
        <v>244</v>
      </c>
      <c r="E729" t="inlineStr">
        <is>
          <t>MOD000241</t>
        </is>
      </c>
      <c r="F729" t="inlineStr">
        <is>
          <t>DeviceFamilyID</t>
        </is>
      </c>
      <c r="G729" t="inlineStr">
        <is>
          <t>DF024</t>
        </is>
      </c>
      <c r="H729" t="inlineStr">
        <is>
          <t>tblDeviceFamilyIDCrosswalk</t>
        </is>
      </c>
      <c r="I729" t="inlineStr"/>
      <c r="J729" t="inlineStr">
        <is>
          <t>tblDeviceModel</t>
        </is>
      </c>
      <c r="K729" t="inlineStr">
        <is>
          <t>Exact ID</t>
        </is>
      </c>
      <c r="L729" t="inlineStr">
        <is>
          <t>Crosswalk Pending</t>
        </is>
      </c>
      <c r="M729" t="inlineStr">
        <is>
          <t>Open</t>
        </is>
      </c>
      <c r="N729" t="inlineStr"/>
    </row>
    <row r="730">
      <c r="A730" t="inlineStr">
        <is>
          <t>FKEX00729</t>
        </is>
      </c>
      <c r="B730" t="inlineStr">
        <is>
          <t>15 LL_Device</t>
        </is>
      </c>
      <c r="C730" t="inlineStr">
        <is>
          <t>tblDeviceModel</t>
        </is>
      </c>
      <c r="D730" t="n">
        <v>244</v>
      </c>
      <c r="E730" t="inlineStr">
        <is>
          <t>MOD000241</t>
        </is>
      </c>
      <c r="F730" t="inlineStr">
        <is>
          <t>DeviceTypeID</t>
        </is>
      </c>
      <c r="G730" t="inlineStr">
        <is>
          <t>DT001</t>
        </is>
      </c>
      <c r="H730" t="inlineStr">
        <is>
          <t>tblDeviceTypeIDCrosswalk</t>
        </is>
      </c>
      <c r="I730" t="inlineStr"/>
      <c r="J730" t="inlineStr">
        <is>
          <t>No Supported Match</t>
        </is>
      </c>
      <c r="K730" t="inlineStr">
        <is>
          <t>None</t>
        </is>
      </c>
      <c r="L730" t="inlineStr">
        <is>
          <t>Crosswalk Pending</t>
        </is>
      </c>
      <c r="M730" t="inlineStr">
        <is>
          <t>Open</t>
        </is>
      </c>
      <c r="N730" t="inlineStr"/>
    </row>
    <row r="731">
      <c r="A731" t="inlineStr">
        <is>
          <t>FKEX00730</t>
        </is>
      </c>
      <c r="B731" t="inlineStr">
        <is>
          <t>15 LL_Device</t>
        </is>
      </c>
      <c r="C731" t="inlineStr">
        <is>
          <t>tblDeviceModel</t>
        </is>
      </c>
      <c r="D731" t="n">
        <v>245</v>
      </c>
      <c r="E731" t="inlineStr">
        <is>
          <t>MOD000242</t>
        </is>
      </c>
      <c r="F731" t="inlineStr">
        <is>
          <t>ManufacturerID</t>
        </is>
      </c>
      <c r="G731" t="inlineStr">
        <is>
          <t>MFG002</t>
        </is>
      </c>
      <c r="H731" t="inlineStr">
        <is>
          <t>tblManufacturerIDCrosswalk</t>
        </is>
      </c>
      <c r="I731" t="inlineStr"/>
      <c r="J731" t="inlineStr">
        <is>
          <t>No Supported Match</t>
        </is>
      </c>
      <c r="K731" t="inlineStr">
        <is>
          <t>None</t>
        </is>
      </c>
      <c r="L731" t="inlineStr">
        <is>
          <t>Crosswalk Pending</t>
        </is>
      </c>
      <c r="M731" t="inlineStr">
        <is>
          <t>Open</t>
        </is>
      </c>
      <c r="N731" t="inlineStr"/>
    </row>
    <row r="732">
      <c r="A732" t="inlineStr">
        <is>
          <t>FKEX00731</t>
        </is>
      </c>
      <c r="B732" t="inlineStr">
        <is>
          <t>15 LL_Device</t>
        </is>
      </c>
      <c r="C732" t="inlineStr">
        <is>
          <t>tblDeviceModel</t>
        </is>
      </c>
      <c r="D732" t="n">
        <v>245</v>
      </c>
      <c r="E732" t="inlineStr">
        <is>
          <t>MOD000242</t>
        </is>
      </c>
      <c r="F732" t="inlineStr">
        <is>
          <t>DeviceFamilyID</t>
        </is>
      </c>
      <c r="G732" t="inlineStr">
        <is>
          <t>DF024</t>
        </is>
      </c>
      <c r="H732" t="inlineStr">
        <is>
          <t>tblDeviceFamilyIDCrosswalk</t>
        </is>
      </c>
      <c r="I732" t="inlineStr"/>
      <c r="J732" t="inlineStr">
        <is>
          <t>tblDeviceModel</t>
        </is>
      </c>
      <c r="K732" t="inlineStr">
        <is>
          <t>Exact ID</t>
        </is>
      </c>
      <c r="L732" t="inlineStr">
        <is>
          <t>Crosswalk Pending</t>
        </is>
      </c>
      <c r="M732" t="inlineStr">
        <is>
          <t>Open</t>
        </is>
      </c>
      <c r="N732" t="inlineStr"/>
    </row>
    <row r="733">
      <c r="A733" t="inlineStr">
        <is>
          <t>FKEX00732</t>
        </is>
      </c>
      <c r="B733" t="inlineStr">
        <is>
          <t>15 LL_Device</t>
        </is>
      </c>
      <c r="C733" t="inlineStr">
        <is>
          <t>tblDeviceModel</t>
        </is>
      </c>
      <c r="D733" t="n">
        <v>245</v>
      </c>
      <c r="E733" t="inlineStr">
        <is>
          <t>MOD000242</t>
        </is>
      </c>
      <c r="F733" t="inlineStr">
        <is>
          <t>DeviceTypeID</t>
        </is>
      </c>
      <c r="G733" t="inlineStr">
        <is>
          <t>DT001</t>
        </is>
      </c>
      <c r="H733" t="inlineStr">
        <is>
          <t>tblDeviceTypeIDCrosswalk</t>
        </is>
      </c>
      <c r="I733" t="inlineStr"/>
      <c r="J733" t="inlineStr">
        <is>
          <t>No Supported Match</t>
        </is>
      </c>
      <c r="K733" t="inlineStr">
        <is>
          <t>None</t>
        </is>
      </c>
      <c r="L733" t="inlineStr">
        <is>
          <t>Crosswalk Pending</t>
        </is>
      </c>
      <c r="M733" t="inlineStr">
        <is>
          <t>Open</t>
        </is>
      </c>
      <c r="N733" t="inlineStr"/>
    </row>
    <row r="734">
      <c r="A734" t="inlineStr">
        <is>
          <t>FKEX00733</t>
        </is>
      </c>
      <c r="B734" t="inlineStr">
        <is>
          <t>15 LL_Device</t>
        </is>
      </c>
      <c r="C734" t="inlineStr">
        <is>
          <t>tblDeviceModel</t>
        </is>
      </c>
      <c r="D734" t="n">
        <v>246</v>
      </c>
      <c r="E734" t="inlineStr">
        <is>
          <t>MOD000243</t>
        </is>
      </c>
      <c r="F734" t="inlineStr">
        <is>
          <t>ManufacturerID</t>
        </is>
      </c>
      <c r="G734" t="inlineStr">
        <is>
          <t>MFG002</t>
        </is>
      </c>
      <c r="H734" t="inlineStr">
        <is>
          <t>tblManufacturerIDCrosswalk</t>
        </is>
      </c>
      <c r="I734" t="inlineStr"/>
      <c r="J734" t="inlineStr">
        <is>
          <t>No Supported Match</t>
        </is>
      </c>
      <c r="K734" t="inlineStr">
        <is>
          <t>None</t>
        </is>
      </c>
      <c r="L734" t="inlineStr">
        <is>
          <t>Crosswalk Pending</t>
        </is>
      </c>
      <c r="M734" t="inlineStr">
        <is>
          <t>Open</t>
        </is>
      </c>
      <c r="N734" t="inlineStr"/>
    </row>
    <row r="735">
      <c r="A735" t="inlineStr">
        <is>
          <t>FKEX00734</t>
        </is>
      </c>
      <c r="B735" t="inlineStr">
        <is>
          <t>15 LL_Device</t>
        </is>
      </c>
      <c r="C735" t="inlineStr">
        <is>
          <t>tblDeviceModel</t>
        </is>
      </c>
      <c r="D735" t="n">
        <v>246</v>
      </c>
      <c r="E735" t="inlineStr">
        <is>
          <t>MOD000243</t>
        </is>
      </c>
      <c r="F735" t="inlineStr">
        <is>
          <t>DeviceFamilyID</t>
        </is>
      </c>
      <c r="G735" t="inlineStr">
        <is>
          <t>DF024</t>
        </is>
      </c>
      <c r="H735" t="inlineStr">
        <is>
          <t>tblDeviceFamilyIDCrosswalk</t>
        </is>
      </c>
      <c r="I735" t="inlineStr"/>
      <c r="J735" t="inlineStr">
        <is>
          <t>tblDeviceModel</t>
        </is>
      </c>
      <c r="K735" t="inlineStr">
        <is>
          <t>Exact ID</t>
        </is>
      </c>
      <c r="L735" t="inlineStr">
        <is>
          <t>Crosswalk Pending</t>
        </is>
      </c>
      <c r="M735" t="inlineStr">
        <is>
          <t>Open</t>
        </is>
      </c>
      <c r="N735" t="inlineStr"/>
    </row>
    <row r="736">
      <c r="A736" t="inlineStr">
        <is>
          <t>FKEX00735</t>
        </is>
      </c>
      <c r="B736" t="inlineStr">
        <is>
          <t>15 LL_Device</t>
        </is>
      </c>
      <c r="C736" t="inlineStr">
        <is>
          <t>tblDeviceModel</t>
        </is>
      </c>
      <c r="D736" t="n">
        <v>246</v>
      </c>
      <c r="E736" t="inlineStr">
        <is>
          <t>MOD000243</t>
        </is>
      </c>
      <c r="F736" t="inlineStr">
        <is>
          <t>DeviceTypeID</t>
        </is>
      </c>
      <c r="G736" t="inlineStr">
        <is>
          <t>DT001</t>
        </is>
      </c>
      <c r="H736" t="inlineStr">
        <is>
          <t>tblDeviceTypeIDCrosswalk</t>
        </is>
      </c>
      <c r="I736" t="inlineStr"/>
      <c r="J736" t="inlineStr">
        <is>
          <t>No Supported Match</t>
        </is>
      </c>
      <c r="K736" t="inlineStr">
        <is>
          <t>None</t>
        </is>
      </c>
      <c r="L736" t="inlineStr">
        <is>
          <t>Crosswalk Pending</t>
        </is>
      </c>
      <c r="M736" t="inlineStr">
        <is>
          <t>Open</t>
        </is>
      </c>
      <c r="N736" t="inlineStr"/>
    </row>
    <row r="737">
      <c r="A737" t="inlineStr">
        <is>
          <t>FKEX00736</t>
        </is>
      </c>
      <c r="B737" t="inlineStr">
        <is>
          <t>15 LL_Device</t>
        </is>
      </c>
      <c r="C737" t="inlineStr">
        <is>
          <t>tblDeviceModel</t>
        </is>
      </c>
      <c r="D737" t="n">
        <v>247</v>
      </c>
      <c r="E737" t="inlineStr">
        <is>
          <t>MOD000244</t>
        </is>
      </c>
      <c r="F737" t="inlineStr">
        <is>
          <t>ManufacturerID</t>
        </is>
      </c>
      <c r="G737" t="inlineStr">
        <is>
          <t>MFG002</t>
        </is>
      </c>
      <c r="H737" t="inlineStr">
        <is>
          <t>tblManufacturerIDCrosswalk</t>
        </is>
      </c>
      <c r="I737" t="inlineStr"/>
      <c r="J737" t="inlineStr">
        <is>
          <t>No Supported Match</t>
        </is>
      </c>
      <c r="K737" t="inlineStr">
        <is>
          <t>None</t>
        </is>
      </c>
      <c r="L737" t="inlineStr">
        <is>
          <t>Crosswalk Pending</t>
        </is>
      </c>
      <c r="M737" t="inlineStr">
        <is>
          <t>Open</t>
        </is>
      </c>
      <c r="N737" t="inlineStr"/>
    </row>
    <row r="738">
      <c r="A738" t="inlineStr">
        <is>
          <t>FKEX00737</t>
        </is>
      </c>
      <c r="B738" t="inlineStr">
        <is>
          <t>15 LL_Device</t>
        </is>
      </c>
      <c r="C738" t="inlineStr">
        <is>
          <t>tblDeviceModel</t>
        </is>
      </c>
      <c r="D738" t="n">
        <v>247</v>
      </c>
      <c r="E738" t="inlineStr">
        <is>
          <t>MOD000244</t>
        </is>
      </c>
      <c r="F738" t="inlineStr">
        <is>
          <t>DeviceFamilyID</t>
        </is>
      </c>
      <c r="G738" t="inlineStr">
        <is>
          <t>DF024</t>
        </is>
      </c>
      <c r="H738" t="inlineStr">
        <is>
          <t>tblDeviceFamilyIDCrosswalk</t>
        </is>
      </c>
      <c r="I738" t="inlineStr"/>
      <c r="J738" t="inlineStr">
        <is>
          <t>tblDeviceModel</t>
        </is>
      </c>
      <c r="K738" t="inlineStr">
        <is>
          <t>Exact ID</t>
        </is>
      </c>
      <c r="L738" t="inlineStr">
        <is>
          <t>Crosswalk Pending</t>
        </is>
      </c>
      <c r="M738" t="inlineStr">
        <is>
          <t>Open</t>
        </is>
      </c>
      <c r="N738" t="inlineStr"/>
    </row>
    <row r="739">
      <c r="A739" t="inlineStr">
        <is>
          <t>FKEX00738</t>
        </is>
      </c>
      <c r="B739" t="inlineStr">
        <is>
          <t>15 LL_Device</t>
        </is>
      </c>
      <c r="C739" t="inlineStr">
        <is>
          <t>tblDeviceModel</t>
        </is>
      </c>
      <c r="D739" t="n">
        <v>247</v>
      </c>
      <c r="E739" t="inlineStr">
        <is>
          <t>MOD000244</t>
        </is>
      </c>
      <c r="F739" t="inlineStr">
        <is>
          <t>DeviceTypeID</t>
        </is>
      </c>
      <c r="G739" t="inlineStr">
        <is>
          <t>DT001</t>
        </is>
      </c>
      <c r="H739" t="inlineStr">
        <is>
          <t>tblDeviceTypeIDCrosswalk</t>
        </is>
      </c>
      <c r="I739" t="inlineStr"/>
      <c r="J739" t="inlineStr">
        <is>
          <t>No Supported Match</t>
        </is>
      </c>
      <c r="K739" t="inlineStr">
        <is>
          <t>None</t>
        </is>
      </c>
      <c r="L739" t="inlineStr">
        <is>
          <t>Crosswalk Pending</t>
        </is>
      </c>
      <c r="M739" t="inlineStr">
        <is>
          <t>Open</t>
        </is>
      </c>
      <c r="N739" t="inlineStr"/>
    </row>
    <row r="740">
      <c r="A740" t="inlineStr">
        <is>
          <t>FKEX00739</t>
        </is>
      </c>
      <c r="B740" t="inlineStr">
        <is>
          <t>15 LL_Device</t>
        </is>
      </c>
      <c r="C740" t="inlineStr">
        <is>
          <t>tblDeviceModel</t>
        </is>
      </c>
      <c r="D740" t="n">
        <v>248</v>
      </c>
      <c r="E740" t="inlineStr">
        <is>
          <t>MOD000245</t>
        </is>
      </c>
      <c r="F740" t="inlineStr">
        <is>
          <t>ManufacturerID</t>
        </is>
      </c>
      <c r="G740" t="inlineStr">
        <is>
          <t>MFG002</t>
        </is>
      </c>
      <c r="H740" t="inlineStr">
        <is>
          <t>tblManufacturerIDCrosswalk</t>
        </is>
      </c>
      <c r="I740" t="inlineStr"/>
      <c r="J740" t="inlineStr">
        <is>
          <t>No Supported Match</t>
        </is>
      </c>
      <c r="K740" t="inlineStr">
        <is>
          <t>None</t>
        </is>
      </c>
      <c r="L740" t="inlineStr">
        <is>
          <t>Crosswalk Pending</t>
        </is>
      </c>
      <c r="M740" t="inlineStr">
        <is>
          <t>Open</t>
        </is>
      </c>
      <c r="N740" t="inlineStr"/>
    </row>
    <row r="741">
      <c r="A741" t="inlineStr">
        <is>
          <t>FKEX00740</t>
        </is>
      </c>
      <c r="B741" t="inlineStr">
        <is>
          <t>15 LL_Device</t>
        </is>
      </c>
      <c r="C741" t="inlineStr">
        <is>
          <t>tblDeviceModel</t>
        </is>
      </c>
      <c r="D741" t="n">
        <v>248</v>
      </c>
      <c r="E741" t="inlineStr">
        <is>
          <t>MOD000245</t>
        </is>
      </c>
      <c r="F741" t="inlineStr">
        <is>
          <t>DeviceFamilyID</t>
        </is>
      </c>
      <c r="G741" t="inlineStr">
        <is>
          <t>DF024</t>
        </is>
      </c>
      <c r="H741" t="inlineStr">
        <is>
          <t>tblDeviceFamilyIDCrosswalk</t>
        </is>
      </c>
      <c r="I741" t="inlineStr"/>
      <c r="J741" t="inlineStr">
        <is>
          <t>tblDeviceModel</t>
        </is>
      </c>
      <c r="K741" t="inlineStr">
        <is>
          <t>Exact ID</t>
        </is>
      </c>
      <c r="L741" t="inlineStr">
        <is>
          <t>Crosswalk Pending</t>
        </is>
      </c>
      <c r="M741" t="inlineStr">
        <is>
          <t>Open</t>
        </is>
      </c>
      <c r="N741" t="inlineStr"/>
    </row>
    <row r="742">
      <c r="A742" t="inlineStr">
        <is>
          <t>FKEX00741</t>
        </is>
      </c>
      <c r="B742" t="inlineStr">
        <is>
          <t>15 LL_Device</t>
        </is>
      </c>
      <c r="C742" t="inlineStr">
        <is>
          <t>tblDeviceModel</t>
        </is>
      </c>
      <c r="D742" t="n">
        <v>248</v>
      </c>
      <c r="E742" t="inlineStr">
        <is>
          <t>MOD000245</t>
        </is>
      </c>
      <c r="F742" t="inlineStr">
        <is>
          <t>DeviceTypeID</t>
        </is>
      </c>
      <c r="G742" t="inlineStr">
        <is>
          <t>DT001</t>
        </is>
      </c>
      <c r="H742" t="inlineStr">
        <is>
          <t>tblDeviceTypeIDCrosswalk</t>
        </is>
      </c>
      <c r="I742" t="inlineStr"/>
      <c r="J742" t="inlineStr">
        <is>
          <t>No Supported Match</t>
        </is>
      </c>
      <c r="K742" t="inlineStr">
        <is>
          <t>None</t>
        </is>
      </c>
      <c r="L742" t="inlineStr">
        <is>
          <t>Crosswalk Pending</t>
        </is>
      </c>
      <c r="M742" t="inlineStr">
        <is>
          <t>Open</t>
        </is>
      </c>
      <c r="N742" t="inlineStr"/>
    </row>
    <row r="743">
      <c r="A743" t="inlineStr">
        <is>
          <t>FKEX00742</t>
        </is>
      </c>
      <c r="B743" t="inlineStr">
        <is>
          <t>15 LL_Device</t>
        </is>
      </c>
      <c r="C743" t="inlineStr">
        <is>
          <t>tblDeviceModel</t>
        </is>
      </c>
      <c r="D743" t="n">
        <v>249</v>
      </c>
      <c r="E743" t="inlineStr">
        <is>
          <t>MOD000246</t>
        </is>
      </c>
      <c r="F743" t="inlineStr">
        <is>
          <t>ManufacturerID</t>
        </is>
      </c>
      <c r="G743" t="inlineStr">
        <is>
          <t>MFG002</t>
        </is>
      </c>
      <c r="H743" t="inlineStr">
        <is>
          <t>tblManufacturerIDCrosswalk</t>
        </is>
      </c>
      <c r="I743" t="inlineStr"/>
      <c r="J743" t="inlineStr">
        <is>
          <t>No Supported Match</t>
        </is>
      </c>
      <c r="K743" t="inlineStr">
        <is>
          <t>None</t>
        </is>
      </c>
      <c r="L743" t="inlineStr">
        <is>
          <t>Crosswalk Pending</t>
        </is>
      </c>
      <c r="M743" t="inlineStr">
        <is>
          <t>Open</t>
        </is>
      </c>
      <c r="N743" t="inlineStr"/>
    </row>
    <row r="744">
      <c r="A744" t="inlineStr">
        <is>
          <t>FKEX00743</t>
        </is>
      </c>
      <c r="B744" t="inlineStr">
        <is>
          <t>15 LL_Device</t>
        </is>
      </c>
      <c r="C744" t="inlineStr">
        <is>
          <t>tblDeviceModel</t>
        </is>
      </c>
      <c r="D744" t="n">
        <v>249</v>
      </c>
      <c r="E744" t="inlineStr">
        <is>
          <t>MOD000246</t>
        </is>
      </c>
      <c r="F744" t="inlineStr">
        <is>
          <t>DeviceFamilyID</t>
        </is>
      </c>
      <c r="G744" t="inlineStr">
        <is>
          <t>DF024</t>
        </is>
      </c>
      <c r="H744" t="inlineStr">
        <is>
          <t>tblDeviceFamilyIDCrosswalk</t>
        </is>
      </c>
      <c r="I744" t="inlineStr"/>
      <c r="J744" t="inlineStr">
        <is>
          <t>tblDeviceModel</t>
        </is>
      </c>
      <c r="K744" t="inlineStr">
        <is>
          <t>Exact ID</t>
        </is>
      </c>
      <c r="L744" t="inlineStr">
        <is>
          <t>Crosswalk Pending</t>
        </is>
      </c>
      <c r="M744" t="inlineStr">
        <is>
          <t>Open</t>
        </is>
      </c>
      <c r="N744" t="inlineStr"/>
    </row>
    <row r="745">
      <c r="A745" t="inlineStr">
        <is>
          <t>FKEX00744</t>
        </is>
      </c>
      <c r="B745" t="inlineStr">
        <is>
          <t>15 LL_Device</t>
        </is>
      </c>
      <c r="C745" t="inlineStr">
        <is>
          <t>tblDeviceModel</t>
        </is>
      </c>
      <c r="D745" t="n">
        <v>249</v>
      </c>
      <c r="E745" t="inlineStr">
        <is>
          <t>MOD000246</t>
        </is>
      </c>
      <c r="F745" t="inlineStr">
        <is>
          <t>DeviceTypeID</t>
        </is>
      </c>
      <c r="G745" t="inlineStr">
        <is>
          <t>DT001</t>
        </is>
      </c>
      <c r="H745" t="inlineStr">
        <is>
          <t>tblDeviceTypeIDCrosswalk</t>
        </is>
      </c>
      <c r="I745" t="inlineStr"/>
      <c r="J745" t="inlineStr">
        <is>
          <t>No Supported Match</t>
        </is>
      </c>
      <c r="K745" t="inlineStr">
        <is>
          <t>None</t>
        </is>
      </c>
      <c r="L745" t="inlineStr">
        <is>
          <t>Crosswalk Pending</t>
        </is>
      </c>
      <c r="M745" t="inlineStr">
        <is>
          <t>Open</t>
        </is>
      </c>
      <c r="N745" t="inlineStr"/>
    </row>
    <row r="746">
      <c r="A746" t="inlineStr">
        <is>
          <t>FKEX00745</t>
        </is>
      </c>
      <c r="B746" t="inlineStr">
        <is>
          <t>15 LL_Device</t>
        </is>
      </c>
      <c r="C746" t="inlineStr">
        <is>
          <t>tblDeviceModel</t>
        </is>
      </c>
      <c r="D746" t="n">
        <v>250</v>
      </c>
      <c r="E746" t="inlineStr">
        <is>
          <t>MOD000247</t>
        </is>
      </c>
      <c r="F746" t="inlineStr">
        <is>
          <t>ManufacturerID</t>
        </is>
      </c>
      <c r="G746" t="inlineStr">
        <is>
          <t>MFG002</t>
        </is>
      </c>
      <c r="H746" t="inlineStr">
        <is>
          <t>tblManufacturerIDCrosswalk</t>
        </is>
      </c>
      <c r="I746" t="inlineStr"/>
      <c r="J746" t="inlineStr">
        <is>
          <t>No Supported Match</t>
        </is>
      </c>
      <c r="K746" t="inlineStr">
        <is>
          <t>None</t>
        </is>
      </c>
      <c r="L746" t="inlineStr">
        <is>
          <t>Crosswalk Pending</t>
        </is>
      </c>
      <c r="M746" t="inlineStr">
        <is>
          <t>Open</t>
        </is>
      </c>
      <c r="N746" t="inlineStr"/>
    </row>
    <row r="747">
      <c r="A747" t="inlineStr">
        <is>
          <t>FKEX00746</t>
        </is>
      </c>
      <c r="B747" t="inlineStr">
        <is>
          <t>15 LL_Device</t>
        </is>
      </c>
      <c r="C747" t="inlineStr">
        <is>
          <t>tblDeviceModel</t>
        </is>
      </c>
      <c r="D747" t="n">
        <v>250</v>
      </c>
      <c r="E747" t="inlineStr">
        <is>
          <t>MOD000247</t>
        </is>
      </c>
      <c r="F747" t="inlineStr">
        <is>
          <t>DeviceFamilyID</t>
        </is>
      </c>
      <c r="G747" t="inlineStr">
        <is>
          <t>DF024</t>
        </is>
      </c>
      <c r="H747" t="inlineStr">
        <is>
          <t>tblDeviceFamilyIDCrosswalk</t>
        </is>
      </c>
      <c r="I747" t="inlineStr"/>
      <c r="J747" t="inlineStr">
        <is>
          <t>tblDeviceModel</t>
        </is>
      </c>
      <c r="K747" t="inlineStr">
        <is>
          <t>Exact ID</t>
        </is>
      </c>
      <c r="L747" t="inlineStr">
        <is>
          <t>Crosswalk Pending</t>
        </is>
      </c>
      <c r="M747" t="inlineStr">
        <is>
          <t>Open</t>
        </is>
      </c>
      <c r="N747" t="inlineStr"/>
    </row>
    <row r="748">
      <c r="A748" t="inlineStr">
        <is>
          <t>FKEX00747</t>
        </is>
      </c>
      <c r="B748" t="inlineStr">
        <is>
          <t>15 LL_Device</t>
        </is>
      </c>
      <c r="C748" t="inlineStr">
        <is>
          <t>tblDeviceModel</t>
        </is>
      </c>
      <c r="D748" t="n">
        <v>250</v>
      </c>
      <c r="E748" t="inlineStr">
        <is>
          <t>MOD000247</t>
        </is>
      </c>
      <c r="F748" t="inlineStr">
        <is>
          <t>DeviceTypeID</t>
        </is>
      </c>
      <c r="G748" t="inlineStr">
        <is>
          <t>DT001</t>
        </is>
      </c>
      <c r="H748" t="inlineStr">
        <is>
          <t>tblDeviceTypeIDCrosswalk</t>
        </is>
      </c>
      <c r="I748" t="inlineStr"/>
      <c r="J748" t="inlineStr">
        <is>
          <t>No Supported Match</t>
        </is>
      </c>
      <c r="K748" t="inlineStr">
        <is>
          <t>None</t>
        </is>
      </c>
      <c r="L748" t="inlineStr">
        <is>
          <t>Crosswalk Pending</t>
        </is>
      </c>
      <c r="M748" t="inlineStr">
        <is>
          <t>Open</t>
        </is>
      </c>
      <c r="N748" t="inlineStr"/>
    </row>
    <row r="749">
      <c r="A749" t="inlineStr">
        <is>
          <t>FKEX00748</t>
        </is>
      </c>
      <c r="B749" t="inlineStr">
        <is>
          <t>15 LL_Device</t>
        </is>
      </c>
      <c r="C749" t="inlineStr">
        <is>
          <t>tblDeviceModel</t>
        </is>
      </c>
      <c r="D749" t="n">
        <v>251</v>
      </c>
      <c r="E749" t="inlineStr">
        <is>
          <t>MOD000248</t>
        </is>
      </c>
      <c r="F749" t="inlineStr">
        <is>
          <t>ManufacturerID</t>
        </is>
      </c>
      <c r="G749" t="inlineStr">
        <is>
          <t>MFG002</t>
        </is>
      </c>
      <c r="H749" t="inlineStr">
        <is>
          <t>tblManufacturerIDCrosswalk</t>
        </is>
      </c>
      <c r="I749" t="inlineStr"/>
      <c r="J749" t="inlineStr">
        <is>
          <t>No Supported Match</t>
        </is>
      </c>
      <c r="K749" t="inlineStr">
        <is>
          <t>None</t>
        </is>
      </c>
      <c r="L749" t="inlineStr">
        <is>
          <t>Crosswalk Pending</t>
        </is>
      </c>
      <c r="M749" t="inlineStr">
        <is>
          <t>Open</t>
        </is>
      </c>
      <c r="N749" t="inlineStr"/>
    </row>
    <row r="750">
      <c r="A750" t="inlineStr">
        <is>
          <t>FKEX00749</t>
        </is>
      </c>
      <c r="B750" t="inlineStr">
        <is>
          <t>15 LL_Device</t>
        </is>
      </c>
      <c r="C750" t="inlineStr">
        <is>
          <t>tblDeviceModel</t>
        </is>
      </c>
      <c r="D750" t="n">
        <v>251</v>
      </c>
      <c r="E750" t="inlineStr">
        <is>
          <t>MOD000248</t>
        </is>
      </c>
      <c r="F750" t="inlineStr">
        <is>
          <t>DeviceFamilyID</t>
        </is>
      </c>
      <c r="G750" t="inlineStr">
        <is>
          <t>DF024</t>
        </is>
      </c>
      <c r="H750" t="inlineStr">
        <is>
          <t>tblDeviceFamilyIDCrosswalk</t>
        </is>
      </c>
      <c r="I750" t="inlineStr"/>
      <c r="J750" t="inlineStr">
        <is>
          <t>tblDeviceModel</t>
        </is>
      </c>
      <c r="K750" t="inlineStr">
        <is>
          <t>Exact ID</t>
        </is>
      </c>
      <c r="L750" t="inlineStr">
        <is>
          <t>Crosswalk Pending</t>
        </is>
      </c>
      <c r="M750" t="inlineStr">
        <is>
          <t>Open</t>
        </is>
      </c>
      <c r="N750" t="inlineStr"/>
    </row>
    <row r="751">
      <c r="A751" t="inlineStr">
        <is>
          <t>FKEX00750</t>
        </is>
      </c>
      <c r="B751" t="inlineStr">
        <is>
          <t>15 LL_Device</t>
        </is>
      </c>
      <c r="C751" t="inlineStr">
        <is>
          <t>tblDeviceModel</t>
        </is>
      </c>
      <c r="D751" t="n">
        <v>251</v>
      </c>
      <c r="E751" t="inlineStr">
        <is>
          <t>MOD000248</t>
        </is>
      </c>
      <c r="F751" t="inlineStr">
        <is>
          <t>DeviceTypeID</t>
        </is>
      </c>
      <c r="G751" t="inlineStr">
        <is>
          <t>DT001</t>
        </is>
      </c>
      <c r="H751" t="inlineStr">
        <is>
          <t>tblDeviceTypeIDCrosswalk</t>
        </is>
      </c>
      <c r="I751" t="inlineStr"/>
      <c r="J751" t="inlineStr">
        <is>
          <t>No Supported Match</t>
        </is>
      </c>
      <c r="K751" t="inlineStr">
        <is>
          <t>None</t>
        </is>
      </c>
      <c r="L751" t="inlineStr">
        <is>
          <t>Crosswalk Pending</t>
        </is>
      </c>
      <c r="M751" t="inlineStr">
        <is>
          <t>Open</t>
        </is>
      </c>
      <c r="N751" t="inlineStr"/>
    </row>
    <row r="752">
      <c r="A752" t="inlineStr">
        <is>
          <t>FKEX00751</t>
        </is>
      </c>
      <c r="B752" t="inlineStr">
        <is>
          <t>15 LL_Device</t>
        </is>
      </c>
      <c r="C752" t="inlineStr">
        <is>
          <t>tblDeviceModel</t>
        </is>
      </c>
      <c r="D752" t="n">
        <v>252</v>
      </c>
      <c r="E752" t="inlineStr">
        <is>
          <t>MOD000249</t>
        </is>
      </c>
      <c r="F752" t="inlineStr">
        <is>
          <t>ManufacturerID</t>
        </is>
      </c>
      <c r="G752" t="inlineStr">
        <is>
          <t>MFG002</t>
        </is>
      </c>
      <c r="H752" t="inlineStr">
        <is>
          <t>tblManufacturerIDCrosswalk</t>
        </is>
      </c>
      <c r="I752" t="inlineStr"/>
      <c r="J752" t="inlineStr">
        <is>
          <t>No Supported Match</t>
        </is>
      </c>
      <c r="K752" t="inlineStr">
        <is>
          <t>None</t>
        </is>
      </c>
      <c r="L752" t="inlineStr">
        <is>
          <t>Crosswalk Pending</t>
        </is>
      </c>
      <c r="M752" t="inlineStr">
        <is>
          <t>Open</t>
        </is>
      </c>
      <c r="N752" t="inlineStr"/>
    </row>
    <row r="753">
      <c r="A753" t="inlineStr">
        <is>
          <t>FKEX00752</t>
        </is>
      </c>
      <c r="B753" t="inlineStr">
        <is>
          <t>15 LL_Device</t>
        </is>
      </c>
      <c r="C753" t="inlineStr">
        <is>
          <t>tblDeviceModel</t>
        </is>
      </c>
      <c r="D753" t="n">
        <v>252</v>
      </c>
      <c r="E753" t="inlineStr">
        <is>
          <t>MOD000249</t>
        </is>
      </c>
      <c r="F753" t="inlineStr">
        <is>
          <t>DeviceFamilyID</t>
        </is>
      </c>
      <c r="G753" t="inlineStr">
        <is>
          <t>DF024</t>
        </is>
      </c>
      <c r="H753" t="inlineStr">
        <is>
          <t>tblDeviceFamilyIDCrosswalk</t>
        </is>
      </c>
      <c r="I753" t="inlineStr"/>
      <c r="J753" t="inlineStr">
        <is>
          <t>tblDeviceModel</t>
        </is>
      </c>
      <c r="K753" t="inlineStr">
        <is>
          <t>Exact ID</t>
        </is>
      </c>
      <c r="L753" t="inlineStr">
        <is>
          <t>Crosswalk Pending</t>
        </is>
      </c>
      <c r="M753" t="inlineStr">
        <is>
          <t>Open</t>
        </is>
      </c>
      <c r="N753" t="inlineStr"/>
    </row>
    <row r="754">
      <c r="A754" t="inlineStr">
        <is>
          <t>FKEX00753</t>
        </is>
      </c>
      <c r="B754" t="inlineStr">
        <is>
          <t>15 LL_Device</t>
        </is>
      </c>
      <c r="C754" t="inlineStr">
        <is>
          <t>tblDeviceModel</t>
        </is>
      </c>
      <c r="D754" t="n">
        <v>252</v>
      </c>
      <c r="E754" t="inlineStr">
        <is>
          <t>MOD000249</t>
        </is>
      </c>
      <c r="F754" t="inlineStr">
        <is>
          <t>DeviceTypeID</t>
        </is>
      </c>
      <c r="G754" t="inlineStr">
        <is>
          <t>DT001</t>
        </is>
      </c>
      <c r="H754" t="inlineStr">
        <is>
          <t>tblDeviceTypeIDCrosswalk</t>
        </is>
      </c>
      <c r="I754" t="inlineStr"/>
      <c r="J754" t="inlineStr">
        <is>
          <t>No Supported Match</t>
        </is>
      </c>
      <c r="K754" t="inlineStr">
        <is>
          <t>None</t>
        </is>
      </c>
      <c r="L754" t="inlineStr">
        <is>
          <t>Crosswalk Pending</t>
        </is>
      </c>
      <c r="M754" t="inlineStr">
        <is>
          <t>Open</t>
        </is>
      </c>
      <c r="N754" t="inlineStr"/>
    </row>
    <row r="755">
      <c r="A755" t="inlineStr">
        <is>
          <t>FKEX00754</t>
        </is>
      </c>
      <c r="B755" t="inlineStr">
        <is>
          <t>15 LL_Device</t>
        </is>
      </c>
      <c r="C755" t="inlineStr">
        <is>
          <t>tblDeviceModel</t>
        </is>
      </c>
      <c r="D755" t="n">
        <v>253</v>
      </c>
      <c r="E755" t="inlineStr">
        <is>
          <t>MOD000250</t>
        </is>
      </c>
      <c r="F755" t="inlineStr">
        <is>
          <t>ManufacturerID</t>
        </is>
      </c>
      <c r="G755" t="inlineStr">
        <is>
          <t>MFG002</t>
        </is>
      </c>
      <c r="H755" t="inlineStr">
        <is>
          <t>tblManufacturerIDCrosswalk</t>
        </is>
      </c>
      <c r="I755" t="inlineStr"/>
      <c r="J755" t="inlineStr">
        <is>
          <t>No Supported Match</t>
        </is>
      </c>
      <c r="K755" t="inlineStr">
        <is>
          <t>None</t>
        </is>
      </c>
      <c r="L755" t="inlineStr">
        <is>
          <t>Crosswalk Pending</t>
        </is>
      </c>
      <c r="M755" t="inlineStr">
        <is>
          <t>Open</t>
        </is>
      </c>
      <c r="N755" t="inlineStr"/>
    </row>
    <row r="756">
      <c r="A756" t="inlineStr">
        <is>
          <t>FKEX00755</t>
        </is>
      </c>
      <c r="B756" t="inlineStr">
        <is>
          <t>15 LL_Device</t>
        </is>
      </c>
      <c r="C756" t="inlineStr">
        <is>
          <t>tblDeviceModel</t>
        </is>
      </c>
      <c r="D756" t="n">
        <v>253</v>
      </c>
      <c r="E756" t="inlineStr">
        <is>
          <t>MOD000250</t>
        </is>
      </c>
      <c r="F756" t="inlineStr">
        <is>
          <t>DeviceFamilyID</t>
        </is>
      </c>
      <c r="G756" t="inlineStr">
        <is>
          <t>DF024</t>
        </is>
      </c>
      <c r="H756" t="inlineStr">
        <is>
          <t>tblDeviceFamilyIDCrosswalk</t>
        </is>
      </c>
      <c r="I756" t="inlineStr"/>
      <c r="J756" t="inlineStr">
        <is>
          <t>tblDeviceModel</t>
        </is>
      </c>
      <c r="K756" t="inlineStr">
        <is>
          <t>Exact ID</t>
        </is>
      </c>
      <c r="L756" t="inlineStr">
        <is>
          <t>Crosswalk Pending</t>
        </is>
      </c>
      <c r="M756" t="inlineStr">
        <is>
          <t>Open</t>
        </is>
      </c>
      <c r="N756" t="inlineStr"/>
    </row>
    <row r="757">
      <c r="A757" t="inlineStr">
        <is>
          <t>FKEX00756</t>
        </is>
      </c>
      <c r="B757" t="inlineStr">
        <is>
          <t>15 LL_Device</t>
        </is>
      </c>
      <c r="C757" t="inlineStr">
        <is>
          <t>tblDeviceModel</t>
        </is>
      </c>
      <c r="D757" t="n">
        <v>253</v>
      </c>
      <c r="E757" t="inlineStr">
        <is>
          <t>MOD000250</t>
        </is>
      </c>
      <c r="F757" t="inlineStr">
        <is>
          <t>DeviceTypeID</t>
        </is>
      </c>
      <c r="G757" t="inlineStr">
        <is>
          <t>DT001</t>
        </is>
      </c>
      <c r="H757" t="inlineStr">
        <is>
          <t>tblDeviceTypeIDCrosswalk</t>
        </is>
      </c>
      <c r="I757" t="inlineStr"/>
      <c r="J757" t="inlineStr">
        <is>
          <t>No Supported Match</t>
        </is>
      </c>
      <c r="K757" t="inlineStr">
        <is>
          <t>None</t>
        </is>
      </c>
      <c r="L757" t="inlineStr">
        <is>
          <t>Crosswalk Pending</t>
        </is>
      </c>
      <c r="M757" t="inlineStr">
        <is>
          <t>Open</t>
        </is>
      </c>
      <c r="N757" t="inlineStr"/>
    </row>
    <row r="758">
      <c r="A758" t="inlineStr">
        <is>
          <t>FKEX00757</t>
        </is>
      </c>
      <c r="B758" t="inlineStr">
        <is>
          <t>15 LL_Device</t>
        </is>
      </c>
      <c r="C758" t="inlineStr">
        <is>
          <t>tblDeviceModel</t>
        </is>
      </c>
      <c r="D758" t="n">
        <v>254</v>
      </c>
      <c r="E758" t="inlineStr">
        <is>
          <t>MOD000251</t>
        </is>
      </c>
      <c r="F758" t="inlineStr">
        <is>
          <t>ManufacturerID</t>
        </is>
      </c>
      <c r="G758" t="inlineStr">
        <is>
          <t>MFG002</t>
        </is>
      </c>
      <c r="H758" t="inlineStr">
        <is>
          <t>tblManufacturerIDCrosswalk</t>
        </is>
      </c>
      <c r="I758" t="inlineStr"/>
      <c r="J758" t="inlineStr">
        <is>
          <t>No Supported Match</t>
        </is>
      </c>
      <c r="K758" t="inlineStr">
        <is>
          <t>None</t>
        </is>
      </c>
      <c r="L758" t="inlineStr">
        <is>
          <t>Crosswalk Pending</t>
        </is>
      </c>
      <c r="M758" t="inlineStr">
        <is>
          <t>Open</t>
        </is>
      </c>
      <c r="N758" t="inlineStr"/>
    </row>
    <row r="759">
      <c r="A759" t="inlineStr">
        <is>
          <t>FKEX00758</t>
        </is>
      </c>
      <c r="B759" t="inlineStr">
        <is>
          <t>15 LL_Device</t>
        </is>
      </c>
      <c r="C759" t="inlineStr">
        <is>
          <t>tblDeviceModel</t>
        </is>
      </c>
      <c r="D759" t="n">
        <v>254</v>
      </c>
      <c r="E759" t="inlineStr">
        <is>
          <t>MOD000251</t>
        </is>
      </c>
      <c r="F759" t="inlineStr">
        <is>
          <t>DeviceFamilyID</t>
        </is>
      </c>
      <c r="G759" t="inlineStr">
        <is>
          <t>DF024</t>
        </is>
      </c>
      <c r="H759" t="inlineStr">
        <is>
          <t>tblDeviceFamilyIDCrosswalk</t>
        </is>
      </c>
      <c r="I759" t="inlineStr"/>
      <c r="J759" t="inlineStr">
        <is>
          <t>tblDeviceModel</t>
        </is>
      </c>
      <c r="K759" t="inlineStr">
        <is>
          <t>Exact ID</t>
        </is>
      </c>
      <c r="L759" t="inlineStr">
        <is>
          <t>Crosswalk Pending</t>
        </is>
      </c>
      <c r="M759" t="inlineStr">
        <is>
          <t>Open</t>
        </is>
      </c>
      <c r="N759" t="inlineStr"/>
    </row>
    <row r="760">
      <c r="A760" t="inlineStr">
        <is>
          <t>FKEX00759</t>
        </is>
      </c>
      <c r="B760" t="inlineStr">
        <is>
          <t>15 LL_Device</t>
        </is>
      </c>
      <c r="C760" t="inlineStr">
        <is>
          <t>tblDeviceModel</t>
        </is>
      </c>
      <c r="D760" t="n">
        <v>254</v>
      </c>
      <c r="E760" t="inlineStr">
        <is>
          <t>MOD000251</t>
        </is>
      </c>
      <c r="F760" t="inlineStr">
        <is>
          <t>DeviceTypeID</t>
        </is>
      </c>
      <c r="G760" t="inlineStr">
        <is>
          <t>DT001</t>
        </is>
      </c>
      <c r="H760" t="inlineStr">
        <is>
          <t>tblDeviceTypeIDCrosswalk</t>
        </is>
      </c>
      <c r="I760" t="inlineStr"/>
      <c r="J760" t="inlineStr">
        <is>
          <t>No Supported Match</t>
        </is>
      </c>
      <c r="K760" t="inlineStr">
        <is>
          <t>None</t>
        </is>
      </c>
      <c r="L760" t="inlineStr">
        <is>
          <t>Crosswalk Pending</t>
        </is>
      </c>
      <c r="M760" t="inlineStr">
        <is>
          <t>Open</t>
        </is>
      </c>
      <c r="N760" t="inlineStr"/>
    </row>
    <row r="761">
      <c r="A761" t="inlineStr">
        <is>
          <t>FKEX00760</t>
        </is>
      </c>
      <c r="B761" t="inlineStr">
        <is>
          <t>15 LL_Device</t>
        </is>
      </c>
      <c r="C761" t="inlineStr">
        <is>
          <t>tblDeviceModel</t>
        </is>
      </c>
      <c r="D761" t="n">
        <v>255</v>
      </c>
      <c r="E761" t="inlineStr">
        <is>
          <t>MOD000252</t>
        </is>
      </c>
      <c r="F761" t="inlineStr">
        <is>
          <t>ManufacturerID</t>
        </is>
      </c>
      <c r="G761" t="inlineStr">
        <is>
          <t>MFG002</t>
        </is>
      </c>
      <c r="H761" t="inlineStr">
        <is>
          <t>tblManufacturerIDCrosswalk</t>
        </is>
      </c>
      <c r="I761" t="inlineStr"/>
      <c r="J761" t="inlineStr">
        <is>
          <t>No Supported Match</t>
        </is>
      </c>
      <c r="K761" t="inlineStr">
        <is>
          <t>None</t>
        </is>
      </c>
      <c r="L761" t="inlineStr">
        <is>
          <t>Crosswalk Pending</t>
        </is>
      </c>
      <c r="M761" t="inlineStr">
        <is>
          <t>Open</t>
        </is>
      </c>
      <c r="N761" t="inlineStr"/>
    </row>
    <row r="762">
      <c r="A762" t="inlineStr">
        <is>
          <t>FKEX00761</t>
        </is>
      </c>
      <c r="B762" t="inlineStr">
        <is>
          <t>15 LL_Device</t>
        </is>
      </c>
      <c r="C762" t="inlineStr">
        <is>
          <t>tblDeviceModel</t>
        </is>
      </c>
      <c r="D762" t="n">
        <v>255</v>
      </c>
      <c r="E762" t="inlineStr">
        <is>
          <t>MOD000252</t>
        </is>
      </c>
      <c r="F762" t="inlineStr">
        <is>
          <t>DeviceFamilyID</t>
        </is>
      </c>
      <c r="G762" t="inlineStr">
        <is>
          <t>DF024</t>
        </is>
      </c>
      <c r="H762" t="inlineStr">
        <is>
          <t>tblDeviceFamilyIDCrosswalk</t>
        </is>
      </c>
      <c r="I762" t="inlineStr"/>
      <c r="J762" t="inlineStr">
        <is>
          <t>tblDeviceModel</t>
        </is>
      </c>
      <c r="K762" t="inlineStr">
        <is>
          <t>Exact ID</t>
        </is>
      </c>
      <c r="L762" t="inlineStr">
        <is>
          <t>Crosswalk Pending</t>
        </is>
      </c>
      <c r="M762" t="inlineStr">
        <is>
          <t>Open</t>
        </is>
      </c>
      <c r="N762" t="inlineStr"/>
    </row>
    <row r="763">
      <c r="A763" t="inlineStr">
        <is>
          <t>FKEX00762</t>
        </is>
      </c>
      <c r="B763" t="inlineStr">
        <is>
          <t>15 LL_Device</t>
        </is>
      </c>
      <c r="C763" t="inlineStr">
        <is>
          <t>tblDeviceModel</t>
        </is>
      </c>
      <c r="D763" t="n">
        <v>255</v>
      </c>
      <c r="E763" t="inlineStr">
        <is>
          <t>MOD000252</t>
        </is>
      </c>
      <c r="F763" t="inlineStr">
        <is>
          <t>DeviceTypeID</t>
        </is>
      </c>
      <c r="G763" t="inlineStr">
        <is>
          <t>DT001</t>
        </is>
      </c>
      <c r="H763" t="inlineStr">
        <is>
          <t>tblDeviceTypeIDCrosswalk</t>
        </is>
      </c>
      <c r="I763" t="inlineStr"/>
      <c r="J763" t="inlineStr">
        <is>
          <t>No Supported Match</t>
        </is>
      </c>
      <c r="K763" t="inlineStr">
        <is>
          <t>None</t>
        </is>
      </c>
      <c r="L763" t="inlineStr">
        <is>
          <t>Crosswalk Pending</t>
        </is>
      </c>
      <c r="M763" t="inlineStr">
        <is>
          <t>Open</t>
        </is>
      </c>
      <c r="N763" t="inlineStr"/>
    </row>
    <row r="764">
      <c r="A764" t="inlineStr">
        <is>
          <t>FKEX00763</t>
        </is>
      </c>
      <c r="B764" t="inlineStr">
        <is>
          <t>15 LL_Device</t>
        </is>
      </c>
      <c r="C764" t="inlineStr">
        <is>
          <t>tblDeviceModel</t>
        </is>
      </c>
      <c r="D764" t="n">
        <v>256</v>
      </c>
      <c r="E764" t="inlineStr">
        <is>
          <t>MOD000253</t>
        </is>
      </c>
      <c r="F764" t="inlineStr">
        <is>
          <t>ManufacturerID</t>
        </is>
      </c>
      <c r="G764" t="inlineStr">
        <is>
          <t>MFG002</t>
        </is>
      </c>
      <c r="H764" t="inlineStr">
        <is>
          <t>tblManufacturerIDCrosswalk</t>
        </is>
      </c>
      <c r="I764" t="inlineStr"/>
      <c r="J764" t="inlineStr">
        <is>
          <t>No Supported Match</t>
        </is>
      </c>
      <c r="K764" t="inlineStr">
        <is>
          <t>None</t>
        </is>
      </c>
      <c r="L764" t="inlineStr">
        <is>
          <t>Crosswalk Pending</t>
        </is>
      </c>
      <c r="M764" t="inlineStr">
        <is>
          <t>Open</t>
        </is>
      </c>
      <c r="N764" t="inlineStr"/>
    </row>
    <row r="765">
      <c r="A765" t="inlineStr">
        <is>
          <t>FKEX00764</t>
        </is>
      </c>
      <c r="B765" t="inlineStr">
        <is>
          <t>15 LL_Device</t>
        </is>
      </c>
      <c r="C765" t="inlineStr">
        <is>
          <t>tblDeviceModel</t>
        </is>
      </c>
      <c r="D765" t="n">
        <v>256</v>
      </c>
      <c r="E765" t="inlineStr">
        <is>
          <t>MOD000253</t>
        </is>
      </c>
      <c r="F765" t="inlineStr">
        <is>
          <t>DeviceFamilyID</t>
        </is>
      </c>
      <c r="G765" t="inlineStr">
        <is>
          <t>DF024</t>
        </is>
      </c>
      <c r="H765" t="inlineStr">
        <is>
          <t>tblDeviceFamilyIDCrosswalk</t>
        </is>
      </c>
      <c r="I765" t="inlineStr"/>
      <c r="J765" t="inlineStr">
        <is>
          <t>tblDeviceModel</t>
        </is>
      </c>
      <c r="K765" t="inlineStr">
        <is>
          <t>Exact ID</t>
        </is>
      </c>
      <c r="L765" t="inlineStr">
        <is>
          <t>Crosswalk Pending</t>
        </is>
      </c>
      <c r="M765" t="inlineStr">
        <is>
          <t>Open</t>
        </is>
      </c>
      <c r="N765" t="inlineStr"/>
    </row>
    <row r="766">
      <c r="A766" t="inlineStr">
        <is>
          <t>FKEX00765</t>
        </is>
      </c>
      <c r="B766" t="inlineStr">
        <is>
          <t>15 LL_Device</t>
        </is>
      </c>
      <c r="C766" t="inlineStr">
        <is>
          <t>tblDeviceModel</t>
        </is>
      </c>
      <c r="D766" t="n">
        <v>256</v>
      </c>
      <c r="E766" t="inlineStr">
        <is>
          <t>MOD000253</t>
        </is>
      </c>
      <c r="F766" t="inlineStr">
        <is>
          <t>DeviceTypeID</t>
        </is>
      </c>
      <c r="G766" t="inlineStr">
        <is>
          <t>DT001</t>
        </is>
      </c>
      <c r="H766" t="inlineStr">
        <is>
          <t>tblDeviceTypeIDCrosswalk</t>
        </is>
      </c>
      <c r="I766" t="inlineStr"/>
      <c r="J766" t="inlineStr">
        <is>
          <t>No Supported Match</t>
        </is>
      </c>
      <c r="K766" t="inlineStr">
        <is>
          <t>None</t>
        </is>
      </c>
      <c r="L766" t="inlineStr">
        <is>
          <t>Crosswalk Pending</t>
        </is>
      </c>
      <c r="M766" t="inlineStr">
        <is>
          <t>Open</t>
        </is>
      </c>
      <c r="N766" t="inlineStr"/>
    </row>
    <row r="767">
      <c r="A767" t="inlineStr">
        <is>
          <t>FKEX00766</t>
        </is>
      </c>
      <c r="B767" t="inlineStr">
        <is>
          <t>15 LL_Device</t>
        </is>
      </c>
      <c r="C767" t="inlineStr">
        <is>
          <t>tblDeviceModel</t>
        </is>
      </c>
      <c r="D767" t="n">
        <v>257</v>
      </c>
      <c r="E767" t="inlineStr">
        <is>
          <t>MOD000254</t>
        </is>
      </c>
      <c r="F767" t="inlineStr">
        <is>
          <t>ManufacturerID</t>
        </is>
      </c>
      <c r="G767" t="inlineStr">
        <is>
          <t>MFG002</t>
        </is>
      </c>
      <c r="H767" t="inlineStr">
        <is>
          <t>tblManufacturerIDCrosswalk</t>
        </is>
      </c>
      <c r="I767" t="inlineStr"/>
      <c r="J767" t="inlineStr">
        <is>
          <t>No Supported Match</t>
        </is>
      </c>
      <c r="K767" t="inlineStr">
        <is>
          <t>None</t>
        </is>
      </c>
      <c r="L767" t="inlineStr">
        <is>
          <t>Crosswalk Pending</t>
        </is>
      </c>
      <c r="M767" t="inlineStr">
        <is>
          <t>Open</t>
        </is>
      </c>
      <c r="N767" t="inlineStr"/>
    </row>
    <row r="768">
      <c r="A768" t="inlineStr">
        <is>
          <t>FKEX00767</t>
        </is>
      </c>
      <c r="B768" t="inlineStr">
        <is>
          <t>15 LL_Device</t>
        </is>
      </c>
      <c r="C768" t="inlineStr">
        <is>
          <t>tblDeviceModel</t>
        </is>
      </c>
      <c r="D768" t="n">
        <v>257</v>
      </c>
      <c r="E768" t="inlineStr">
        <is>
          <t>MOD000254</t>
        </is>
      </c>
      <c r="F768" t="inlineStr">
        <is>
          <t>DeviceFamilyID</t>
        </is>
      </c>
      <c r="G768" t="inlineStr">
        <is>
          <t>DF024</t>
        </is>
      </c>
      <c r="H768" t="inlineStr">
        <is>
          <t>tblDeviceFamilyIDCrosswalk</t>
        </is>
      </c>
      <c r="I768" t="inlineStr"/>
      <c r="J768" t="inlineStr">
        <is>
          <t>tblDeviceModel</t>
        </is>
      </c>
      <c r="K768" t="inlineStr">
        <is>
          <t>Exact ID</t>
        </is>
      </c>
      <c r="L768" t="inlineStr">
        <is>
          <t>Crosswalk Pending</t>
        </is>
      </c>
      <c r="M768" t="inlineStr">
        <is>
          <t>Open</t>
        </is>
      </c>
      <c r="N768" t="inlineStr"/>
    </row>
    <row r="769">
      <c r="A769" t="inlineStr">
        <is>
          <t>FKEX00768</t>
        </is>
      </c>
      <c r="B769" t="inlineStr">
        <is>
          <t>15 LL_Device</t>
        </is>
      </c>
      <c r="C769" t="inlineStr">
        <is>
          <t>tblDeviceModel</t>
        </is>
      </c>
      <c r="D769" t="n">
        <v>257</v>
      </c>
      <c r="E769" t="inlineStr">
        <is>
          <t>MOD000254</t>
        </is>
      </c>
      <c r="F769" t="inlineStr">
        <is>
          <t>DeviceTypeID</t>
        </is>
      </c>
      <c r="G769" t="inlineStr">
        <is>
          <t>DT001</t>
        </is>
      </c>
      <c r="H769" t="inlineStr">
        <is>
          <t>tblDeviceTypeIDCrosswalk</t>
        </is>
      </c>
      <c r="I769" t="inlineStr"/>
      <c r="J769" t="inlineStr">
        <is>
          <t>No Supported Match</t>
        </is>
      </c>
      <c r="K769" t="inlineStr">
        <is>
          <t>None</t>
        </is>
      </c>
      <c r="L769" t="inlineStr">
        <is>
          <t>Crosswalk Pending</t>
        </is>
      </c>
      <c r="M769" t="inlineStr">
        <is>
          <t>Open</t>
        </is>
      </c>
      <c r="N769" t="inlineStr"/>
    </row>
    <row r="770">
      <c r="A770" t="inlineStr">
        <is>
          <t>FKEX00769</t>
        </is>
      </c>
      <c r="B770" t="inlineStr">
        <is>
          <t>15 LL_Device</t>
        </is>
      </c>
      <c r="C770" t="inlineStr">
        <is>
          <t>tblDeviceModel</t>
        </is>
      </c>
      <c r="D770" t="n">
        <v>258</v>
      </c>
      <c r="E770" t="inlineStr">
        <is>
          <t>MOD000255</t>
        </is>
      </c>
      <c r="F770" t="inlineStr">
        <is>
          <t>ManufacturerID</t>
        </is>
      </c>
      <c r="G770" t="inlineStr">
        <is>
          <t>MFG002</t>
        </is>
      </c>
      <c r="H770" t="inlineStr">
        <is>
          <t>tblManufacturerIDCrosswalk</t>
        </is>
      </c>
      <c r="I770" t="inlineStr"/>
      <c r="J770" t="inlineStr">
        <is>
          <t>No Supported Match</t>
        </is>
      </c>
      <c r="K770" t="inlineStr">
        <is>
          <t>None</t>
        </is>
      </c>
      <c r="L770" t="inlineStr">
        <is>
          <t>Crosswalk Pending</t>
        </is>
      </c>
      <c r="M770" t="inlineStr">
        <is>
          <t>Open</t>
        </is>
      </c>
      <c r="N770" t="inlineStr"/>
    </row>
    <row r="771">
      <c r="A771" t="inlineStr">
        <is>
          <t>FKEX00770</t>
        </is>
      </c>
      <c r="B771" t="inlineStr">
        <is>
          <t>15 LL_Device</t>
        </is>
      </c>
      <c r="C771" t="inlineStr">
        <is>
          <t>tblDeviceModel</t>
        </is>
      </c>
      <c r="D771" t="n">
        <v>258</v>
      </c>
      <c r="E771" t="inlineStr">
        <is>
          <t>MOD000255</t>
        </is>
      </c>
      <c r="F771" t="inlineStr">
        <is>
          <t>DeviceFamilyID</t>
        </is>
      </c>
      <c r="G771" t="inlineStr">
        <is>
          <t>DF024</t>
        </is>
      </c>
      <c r="H771" t="inlineStr">
        <is>
          <t>tblDeviceFamilyIDCrosswalk</t>
        </is>
      </c>
      <c r="I771" t="inlineStr"/>
      <c r="J771" t="inlineStr">
        <is>
          <t>tblDeviceModel</t>
        </is>
      </c>
      <c r="K771" t="inlineStr">
        <is>
          <t>Exact ID</t>
        </is>
      </c>
      <c r="L771" t="inlineStr">
        <is>
          <t>Crosswalk Pending</t>
        </is>
      </c>
      <c r="M771" t="inlineStr">
        <is>
          <t>Open</t>
        </is>
      </c>
      <c r="N771" t="inlineStr"/>
    </row>
    <row r="772">
      <c r="A772" t="inlineStr">
        <is>
          <t>FKEX00771</t>
        </is>
      </c>
      <c r="B772" t="inlineStr">
        <is>
          <t>15 LL_Device</t>
        </is>
      </c>
      <c r="C772" t="inlineStr">
        <is>
          <t>tblDeviceModel</t>
        </is>
      </c>
      <c r="D772" t="n">
        <v>258</v>
      </c>
      <c r="E772" t="inlineStr">
        <is>
          <t>MOD000255</t>
        </is>
      </c>
      <c r="F772" t="inlineStr">
        <is>
          <t>DeviceTypeID</t>
        </is>
      </c>
      <c r="G772" t="inlineStr">
        <is>
          <t>DT001</t>
        </is>
      </c>
      <c r="H772" t="inlineStr">
        <is>
          <t>tblDeviceTypeIDCrosswalk</t>
        </is>
      </c>
      <c r="I772" t="inlineStr"/>
      <c r="J772" t="inlineStr">
        <is>
          <t>No Supported Match</t>
        </is>
      </c>
      <c r="K772" t="inlineStr">
        <is>
          <t>None</t>
        </is>
      </c>
      <c r="L772" t="inlineStr">
        <is>
          <t>Crosswalk Pending</t>
        </is>
      </c>
      <c r="M772" t="inlineStr">
        <is>
          <t>Open</t>
        </is>
      </c>
      <c r="N772" t="inlineStr"/>
    </row>
    <row r="773">
      <c r="A773" t="inlineStr">
        <is>
          <t>FKEX00772</t>
        </is>
      </c>
      <c r="B773" t="inlineStr">
        <is>
          <t>15 LL_Device</t>
        </is>
      </c>
      <c r="C773" t="inlineStr">
        <is>
          <t>tblDeviceModel</t>
        </is>
      </c>
      <c r="D773" t="n">
        <v>259</v>
      </c>
      <c r="E773" t="inlineStr">
        <is>
          <t>MOD000256</t>
        </is>
      </c>
      <c r="F773" t="inlineStr">
        <is>
          <t>ManufacturerID</t>
        </is>
      </c>
      <c r="G773" t="inlineStr">
        <is>
          <t>MFG002</t>
        </is>
      </c>
      <c r="H773" t="inlineStr">
        <is>
          <t>tblManufacturerIDCrosswalk</t>
        </is>
      </c>
      <c r="I773" t="inlineStr"/>
      <c r="J773" t="inlineStr">
        <is>
          <t>No Supported Match</t>
        </is>
      </c>
      <c r="K773" t="inlineStr">
        <is>
          <t>None</t>
        </is>
      </c>
      <c r="L773" t="inlineStr">
        <is>
          <t>Crosswalk Pending</t>
        </is>
      </c>
      <c r="M773" t="inlineStr">
        <is>
          <t>Open</t>
        </is>
      </c>
      <c r="N773" t="inlineStr"/>
    </row>
    <row r="774">
      <c r="A774" t="inlineStr">
        <is>
          <t>FKEX00773</t>
        </is>
      </c>
      <c r="B774" t="inlineStr">
        <is>
          <t>15 LL_Device</t>
        </is>
      </c>
      <c r="C774" t="inlineStr">
        <is>
          <t>tblDeviceModel</t>
        </is>
      </c>
      <c r="D774" t="n">
        <v>259</v>
      </c>
      <c r="E774" t="inlineStr">
        <is>
          <t>MOD000256</t>
        </is>
      </c>
      <c r="F774" t="inlineStr">
        <is>
          <t>DeviceFamilyID</t>
        </is>
      </c>
      <c r="G774" t="inlineStr">
        <is>
          <t>DF024</t>
        </is>
      </c>
      <c r="H774" t="inlineStr">
        <is>
          <t>tblDeviceFamilyIDCrosswalk</t>
        </is>
      </c>
      <c r="I774" t="inlineStr"/>
      <c r="J774" t="inlineStr">
        <is>
          <t>tblDeviceModel</t>
        </is>
      </c>
      <c r="K774" t="inlineStr">
        <is>
          <t>Exact ID</t>
        </is>
      </c>
      <c r="L774" t="inlineStr">
        <is>
          <t>Crosswalk Pending</t>
        </is>
      </c>
      <c r="M774" t="inlineStr">
        <is>
          <t>Open</t>
        </is>
      </c>
      <c r="N774" t="inlineStr"/>
    </row>
    <row r="775">
      <c r="A775" t="inlineStr">
        <is>
          <t>FKEX00774</t>
        </is>
      </c>
      <c r="B775" t="inlineStr">
        <is>
          <t>15 LL_Device</t>
        </is>
      </c>
      <c r="C775" t="inlineStr">
        <is>
          <t>tblDeviceModel</t>
        </is>
      </c>
      <c r="D775" t="n">
        <v>259</v>
      </c>
      <c r="E775" t="inlineStr">
        <is>
          <t>MOD000256</t>
        </is>
      </c>
      <c r="F775" t="inlineStr">
        <is>
          <t>DeviceTypeID</t>
        </is>
      </c>
      <c r="G775" t="inlineStr">
        <is>
          <t>DT001</t>
        </is>
      </c>
      <c r="H775" t="inlineStr">
        <is>
          <t>tblDeviceTypeIDCrosswalk</t>
        </is>
      </c>
      <c r="I775" t="inlineStr"/>
      <c r="J775" t="inlineStr">
        <is>
          <t>No Supported Match</t>
        </is>
      </c>
      <c r="K775" t="inlineStr">
        <is>
          <t>None</t>
        </is>
      </c>
      <c r="L775" t="inlineStr">
        <is>
          <t>Crosswalk Pending</t>
        </is>
      </c>
      <c r="M775" t="inlineStr">
        <is>
          <t>Open</t>
        </is>
      </c>
      <c r="N775" t="inlineStr"/>
    </row>
    <row r="776">
      <c r="A776" t="inlineStr">
        <is>
          <t>FKEX00775</t>
        </is>
      </c>
      <c r="B776" t="inlineStr">
        <is>
          <t>15 LL_Device</t>
        </is>
      </c>
      <c r="C776" t="inlineStr">
        <is>
          <t>tblDeviceModel</t>
        </is>
      </c>
      <c r="D776" t="n">
        <v>260</v>
      </c>
      <c r="E776" t="inlineStr">
        <is>
          <t>MOD000257</t>
        </is>
      </c>
      <c r="F776" t="inlineStr">
        <is>
          <t>ManufacturerID</t>
        </is>
      </c>
      <c r="G776" t="inlineStr">
        <is>
          <t>MFG002</t>
        </is>
      </c>
      <c r="H776" t="inlineStr">
        <is>
          <t>tblManufacturerIDCrosswalk</t>
        </is>
      </c>
      <c r="I776" t="inlineStr"/>
      <c r="J776" t="inlineStr">
        <is>
          <t>No Supported Match</t>
        </is>
      </c>
      <c r="K776" t="inlineStr">
        <is>
          <t>None</t>
        </is>
      </c>
      <c r="L776" t="inlineStr">
        <is>
          <t>Crosswalk Pending</t>
        </is>
      </c>
      <c r="M776" t="inlineStr">
        <is>
          <t>Open</t>
        </is>
      </c>
      <c r="N776" t="inlineStr"/>
    </row>
    <row r="777">
      <c r="A777" t="inlineStr">
        <is>
          <t>FKEX00776</t>
        </is>
      </c>
      <c r="B777" t="inlineStr">
        <is>
          <t>15 LL_Device</t>
        </is>
      </c>
      <c r="C777" t="inlineStr">
        <is>
          <t>tblDeviceModel</t>
        </is>
      </c>
      <c r="D777" t="n">
        <v>260</v>
      </c>
      <c r="E777" t="inlineStr">
        <is>
          <t>MOD000257</t>
        </is>
      </c>
      <c r="F777" t="inlineStr">
        <is>
          <t>DeviceFamilyID</t>
        </is>
      </c>
      <c r="G777" t="inlineStr">
        <is>
          <t>DF024</t>
        </is>
      </c>
      <c r="H777" t="inlineStr">
        <is>
          <t>tblDeviceFamilyIDCrosswalk</t>
        </is>
      </c>
      <c r="I777" t="inlineStr"/>
      <c r="J777" t="inlineStr">
        <is>
          <t>tblDeviceModel</t>
        </is>
      </c>
      <c r="K777" t="inlineStr">
        <is>
          <t>Exact ID</t>
        </is>
      </c>
      <c r="L777" t="inlineStr">
        <is>
          <t>Crosswalk Pending</t>
        </is>
      </c>
      <c r="M777" t="inlineStr">
        <is>
          <t>Open</t>
        </is>
      </c>
      <c r="N777" t="inlineStr"/>
    </row>
    <row r="778">
      <c r="A778" t="inlineStr">
        <is>
          <t>FKEX00777</t>
        </is>
      </c>
      <c r="B778" t="inlineStr">
        <is>
          <t>15 LL_Device</t>
        </is>
      </c>
      <c r="C778" t="inlineStr">
        <is>
          <t>tblDeviceModel</t>
        </is>
      </c>
      <c r="D778" t="n">
        <v>260</v>
      </c>
      <c r="E778" t="inlineStr">
        <is>
          <t>MOD000257</t>
        </is>
      </c>
      <c r="F778" t="inlineStr">
        <is>
          <t>DeviceTypeID</t>
        </is>
      </c>
      <c r="G778" t="inlineStr">
        <is>
          <t>DT001</t>
        </is>
      </c>
      <c r="H778" t="inlineStr">
        <is>
          <t>tblDeviceTypeIDCrosswalk</t>
        </is>
      </c>
      <c r="I778" t="inlineStr"/>
      <c r="J778" t="inlineStr">
        <is>
          <t>No Supported Match</t>
        </is>
      </c>
      <c r="K778" t="inlineStr">
        <is>
          <t>None</t>
        </is>
      </c>
      <c r="L778" t="inlineStr">
        <is>
          <t>Crosswalk Pending</t>
        </is>
      </c>
      <c r="M778" t="inlineStr">
        <is>
          <t>Open</t>
        </is>
      </c>
      <c r="N778" t="inlineStr"/>
    </row>
    <row r="779">
      <c r="A779" t="inlineStr">
        <is>
          <t>FKEX00778</t>
        </is>
      </c>
      <c r="B779" t="inlineStr">
        <is>
          <t>15 LL_Device</t>
        </is>
      </c>
      <c r="C779" t="inlineStr">
        <is>
          <t>tblDeviceModel</t>
        </is>
      </c>
      <c r="D779" t="n">
        <v>261</v>
      </c>
      <c r="E779" t="inlineStr">
        <is>
          <t>MOD000258</t>
        </is>
      </c>
      <c r="F779" t="inlineStr">
        <is>
          <t>ManufacturerID</t>
        </is>
      </c>
      <c r="G779" t="inlineStr">
        <is>
          <t>MFG002</t>
        </is>
      </c>
      <c r="H779" t="inlineStr">
        <is>
          <t>tblManufacturerIDCrosswalk</t>
        </is>
      </c>
      <c r="I779" t="inlineStr"/>
      <c r="J779" t="inlineStr">
        <is>
          <t>No Supported Match</t>
        </is>
      </c>
      <c r="K779" t="inlineStr">
        <is>
          <t>None</t>
        </is>
      </c>
      <c r="L779" t="inlineStr">
        <is>
          <t>Crosswalk Pending</t>
        </is>
      </c>
      <c r="M779" t="inlineStr">
        <is>
          <t>Open</t>
        </is>
      </c>
      <c r="N779" t="inlineStr"/>
    </row>
    <row r="780">
      <c r="A780" t="inlineStr">
        <is>
          <t>FKEX00779</t>
        </is>
      </c>
      <c r="B780" t="inlineStr">
        <is>
          <t>15 LL_Device</t>
        </is>
      </c>
      <c r="C780" t="inlineStr">
        <is>
          <t>tblDeviceModel</t>
        </is>
      </c>
      <c r="D780" t="n">
        <v>261</v>
      </c>
      <c r="E780" t="inlineStr">
        <is>
          <t>MOD000258</t>
        </is>
      </c>
      <c r="F780" t="inlineStr">
        <is>
          <t>DeviceFamilyID</t>
        </is>
      </c>
      <c r="G780" t="inlineStr">
        <is>
          <t>DF024</t>
        </is>
      </c>
      <c r="H780" t="inlineStr">
        <is>
          <t>tblDeviceFamilyIDCrosswalk</t>
        </is>
      </c>
      <c r="I780" t="inlineStr"/>
      <c r="J780" t="inlineStr">
        <is>
          <t>tblDeviceModel</t>
        </is>
      </c>
      <c r="K780" t="inlineStr">
        <is>
          <t>Exact ID</t>
        </is>
      </c>
      <c r="L780" t="inlineStr">
        <is>
          <t>Crosswalk Pending</t>
        </is>
      </c>
      <c r="M780" t="inlineStr">
        <is>
          <t>Open</t>
        </is>
      </c>
      <c r="N780" t="inlineStr"/>
    </row>
    <row r="781">
      <c r="A781" t="inlineStr">
        <is>
          <t>FKEX00780</t>
        </is>
      </c>
      <c r="B781" t="inlineStr">
        <is>
          <t>15 LL_Device</t>
        </is>
      </c>
      <c r="C781" t="inlineStr">
        <is>
          <t>tblDeviceModel</t>
        </is>
      </c>
      <c r="D781" t="n">
        <v>261</v>
      </c>
      <c r="E781" t="inlineStr">
        <is>
          <t>MOD000258</t>
        </is>
      </c>
      <c r="F781" t="inlineStr">
        <is>
          <t>DeviceTypeID</t>
        </is>
      </c>
      <c r="G781" t="inlineStr">
        <is>
          <t>DT001</t>
        </is>
      </c>
      <c r="H781" t="inlineStr">
        <is>
          <t>tblDeviceTypeIDCrosswalk</t>
        </is>
      </c>
      <c r="I781" t="inlineStr"/>
      <c r="J781" t="inlineStr">
        <is>
          <t>No Supported Match</t>
        </is>
      </c>
      <c r="K781" t="inlineStr">
        <is>
          <t>None</t>
        </is>
      </c>
      <c r="L781" t="inlineStr">
        <is>
          <t>Crosswalk Pending</t>
        </is>
      </c>
      <c r="M781" t="inlineStr">
        <is>
          <t>Open</t>
        </is>
      </c>
      <c r="N781" t="inlineStr"/>
    </row>
    <row r="782">
      <c r="A782" t="inlineStr">
        <is>
          <t>FKEX00781</t>
        </is>
      </c>
      <c r="B782" t="inlineStr">
        <is>
          <t>15 LL_Device</t>
        </is>
      </c>
      <c r="C782" t="inlineStr">
        <is>
          <t>tblDeviceModel</t>
        </is>
      </c>
      <c r="D782" t="n">
        <v>262</v>
      </c>
      <c r="E782" t="inlineStr">
        <is>
          <t>MOD000259</t>
        </is>
      </c>
      <c r="F782" t="inlineStr">
        <is>
          <t>ManufacturerID</t>
        </is>
      </c>
      <c r="G782" t="inlineStr">
        <is>
          <t>MFG002</t>
        </is>
      </c>
      <c r="H782" t="inlineStr">
        <is>
          <t>tblManufacturerIDCrosswalk</t>
        </is>
      </c>
      <c r="I782" t="inlineStr"/>
      <c r="J782" t="inlineStr">
        <is>
          <t>No Supported Match</t>
        </is>
      </c>
      <c r="K782" t="inlineStr">
        <is>
          <t>None</t>
        </is>
      </c>
      <c r="L782" t="inlineStr">
        <is>
          <t>Crosswalk Pending</t>
        </is>
      </c>
      <c r="M782" t="inlineStr">
        <is>
          <t>Open</t>
        </is>
      </c>
      <c r="N782" t="inlineStr"/>
    </row>
    <row r="783">
      <c r="A783" t="inlineStr">
        <is>
          <t>FKEX00782</t>
        </is>
      </c>
      <c r="B783" t="inlineStr">
        <is>
          <t>15 LL_Device</t>
        </is>
      </c>
      <c r="C783" t="inlineStr">
        <is>
          <t>tblDeviceModel</t>
        </is>
      </c>
      <c r="D783" t="n">
        <v>262</v>
      </c>
      <c r="E783" t="inlineStr">
        <is>
          <t>MOD000259</t>
        </is>
      </c>
      <c r="F783" t="inlineStr">
        <is>
          <t>DeviceFamilyID</t>
        </is>
      </c>
      <c r="G783" t="inlineStr">
        <is>
          <t>DF024</t>
        </is>
      </c>
      <c r="H783" t="inlineStr">
        <is>
          <t>tblDeviceFamilyIDCrosswalk</t>
        </is>
      </c>
      <c r="I783" t="inlineStr"/>
      <c r="J783" t="inlineStr">
        <is>
          <t>tblDeviceModel</t>
        </is>
      </c>
      <c r="K783" t="inlineStr">
        <is>
          <t>Exact ID</t>
        </is>
      </c>
      <c r="L783" t="inlineStr">
        <is>
          <t>Crosswalk Pending</t>
        </is>
      </c>
      <c r="M783" t="inlineStr">
        <is>
          <t>Open</t>
        </is>
      </c>
      <c r="N783" t="inlineStr"/>
    </row>
    <row r="784">
      <c r="A784" t="inlineStr">
        <is>
          <t>FKEX00783</t>
        </is>
      </c>
      <c r="B784" t="inlineStr">
        <is>
          <t>15 LL_Device</t>
        </is>
      </c>
      <c r="C784" t="inlineStr">
        <is>
          <t>tblDeviceModel</t>
        </is>
      </c>
      <c r="D784" t="n">
        <v>262</v>
      </c>
      <c r="E784" t="inlineStr">
        <is>
          <t>MOD000259</t>
        </is>
      </c>
      <c r="F784" t="inlineStr">
        <is>
          <t>DeviceTypeID</t>
        </is>
      </c>
      <c r="G784" t="inlineStr">
        <is>
          <t>DT001</t>
        </is>
      </c>
      <c r="H784" t="inlineStr">
        <is>
          <t>tblDeviceTypeIDCrosswalk</t>
        </is>
      </c>
      <c r="I784" t="inlineStr"/>
      <c r="J784" t="inlineStr">
        <is>
          <t>No Supported Match</t>
        </is>
      </c>
      <c r="K784" t="inlineStr">
        <is>
          <t>None</t>
        </is>
      </c>
      <c r="L784" t="inlineStr">
        <is>
          <t>Crosswalk Pending</t>
        </is>
      </c>
      <c r="M784" t="inlineStr">
        <is>
          <t>Open</t>
        </is>
      </c>
      <c r="N784" t="inlineStr"/>
    </row>
    <row r="785">
      <c r="A785" t="inlineStr">
        <is>
          <t>FKEX00784</t>
        </is>
      </c>
      <c r="B785" t="inlineStr">
        <is>
          <t>15 LL_Device</t>
        </is>
      </c>
      <c r="C785" t="inlineStr">
        <is>
          <t>tblDeviceModel</t>
        </is>
      </c>
      <c r="D785" t="n">
        <v>263</v>
      </c>
      <c r="E785" t="inlineStr">
        <is>
          <t>MOD000260</t>
        </is>
      </c>
      <c r="F785" t="inlineStr">
        <is>
          <t>ManufacturerID</t>
        </is>
      </c>
      <c r="G785" t="inlineStr">
        <is>
          <t>MFG002</t>
        </is>
      </c>
      <c r="H785" t="inlineStr">
        <is>
          <t>tblManufacturerIDCrosswalk</t>
        </is>
      </c>
      <c r="I785" t="inlineStr"/>
      <c r="J785" t="inlineStr">
        <is>
          <t>No Supported Match</t>
        </is>
      </c>
      <c r="K785" t="inlineStr">
        <is>
          <t>None</t>
        </is>
      </c>
      <c r="L785" t="inlineStr">
        <is>
          <t>Crosswalk Pending</t>
        </is>
      </c>
      <c r="M785" t="inlineStr">
        <is>
          <t>Open</t>
        </is>
      </c>
      <c r="N785" t="inlineStr"/>
    </row>
    <row r="786">
      <c r="A786" t="inlineStr">
        <is>
          <t>FKEX00785</t>
        </is>
      </c>
      <c r="B786" t="inlineStr">
        <is>
          <t>15 LL_Device</t>
        </is>
      </c>
      <c r="C786" t="inlineStr">
        <is>
          <t>tblDeviceModel</t>
        </is>
      </c>
      <c r="D786" t="n">
        <v>263</v>
      </c>
      <c r="E786" t="inlineStr">
        <is>
          <t>MOD000260</t>
        </is>
      </c>
      <c r="F786" t="inlineStr">
        <is>
          <t>DeviceFamilyID</t>
        </is>
      </c>
      <c r="G786" t="inlineStr">
        <is>
          <t>DF024</t>
        </is>
      </c>
      <c r="H786" t="inlineStr">
        <is>
          <t>tblDeviceFamilyIDCrosswalk</t>
        </is>
      </c>
      <c r="I786" t="inlineStr"/>
      <c r="J786" t="inlineStr">
        <is>
          <t>tblDeviceModel</t>
        </is>
      </c>
      <c r="K786" t="inlineStr">
        <is>
          <t>Exact ID</t>
        </is>
      </c>
      <c r="L786" t="inlineStr">
        <is>
          <t>Crosswalk Pending</t>
        </is>
      </c>
      <c r="M786" t="inlineStr">
        <is>
          <t>Open</t>
        </is>
      </c>
      <c r="N786" t="inlineStr"/>
    </row>
    <row r="787">
      <c r="A787" t="inlineStr">
        <is>
          <t>FKEX00786</t>
        </is>
      </c>
      <c r="B787" t="inlineStr">
        <is>
          <t>15 LL_Device</t>
        </is>
      </c>
      <c r="C787" t="inlineStr">
        <is>
          <t>tblDeviceModel</t>
        </is>
      </c>
      <c r="D787" t="n">
        <v>263</v>
      </c>
      <c r="E787" t="inlineStr">
        <is>
          <t>MOD000260</t>
        </is>
      </c>
      <c r="F787" t="inlineStr">
        <is>
          <t>DeviceTypeID</t>
        </is>
      </c>
      <c r="G787" t="inlineStr">
        <is>
          <t>DT001</t>
        </is>
      </c>
      <c r="H787" t="inlineStr">
        <is>
          <t>tblDeviceTypeIDCrosswalk</t>
        </is>
      </c>
      <c r="I787" t="inlineStr"/>
      <c r="J787" t="inlineStr">
        <is>
          <t>No Supported Match</t>
        </is>
      </c>
      <c r="K787" t="inlineStr">
        <is>
          <t>None</t>
        </is>
      </c>
      <c r="L787" t="inlineStr">
        <is>
          <t>Crosswalk Pending</t>
        </is>
      </c>
      <c r="M787" t="inlineStr">
        <is>
          <t>Open</t>
        </is>
      </c>
      <c r="N787" t="inlineStr"/>
    </row>
    <row r="788">
      <c r="A788" t="inlineStr">
        <is>
          <t>FKEX00787</t>
        </is>
      </c>
      <c r="B788" t="inlineStr">
        <is>
          <t>15 LL_Device</t>
        </is>
      </c>
      <c r="C788" t="inlineStr">
        <is>
          <t>tblDeviceModel</t>
        </is>
      </c>
      <c r="D788" t="n">
        <v>264</v>
      </c>
      <c r="E788" t="inlineStr">
        <is>
          <t>MOD000261</t>
        </is>
      </c>
      <c r="F788" t="inlineStr">
        <is>
          <t>ManufacturerID</t>
        </is>
      </c>
      <c r="G788" t="inlineStr">
        <is>
          <t>MFG002</t>
        </is>
      </c>
      <c r="H788" t="inlineStr">
        <is>
          <t>tblManufacturerIDCrosswalk</t>
        </is>
      </c>
      <c r="I788" t="inlineStr"/>
      <c r="J788" t="inlineStr">
        <is>
          <t>No Supported Match</t>
        </is>
      </c>
      <c r="K788" t="inlineStr">
        <is>
          <t>None</t>
        </is>
      </c>
      <c r="L788" t="inlineStr">
        <is>
          <t>Crosswalk Pending</t>
        </is>
      </c>
      <c r="M788" t="inlineStr">
        <is>
          <t>Open</t>
        </is>
      </c>
      <c r="N788" t="inlineStr"/>
    </row>
    <row r="789">
      <c r="A789" t="inlineStr">
        <is>
          <t>FKEX00788</t>
        </is>
      </c>
      <c r="B789" t="inlineStr">
        <is>
          <t>15 LL_Device</t>
        </is>
      </c>
      <c r="C789" t="inlineStr">
        <is>
          <t>tblDeviceModel</t>
        </is>
      </c>
      <c r="D789" t="n">
        <v>264</v>
      </c>
      <c r="E789" t="inlineStr">
        <is>
          <t>MOD000261</t>
        </is>
      </c>
      <c r="F789" t="inlineStr">
        <is>
          <t>DeviceFamilyID</t>
        </is>
      </c>
      <c r="G789" t="inlineStr">
        <is>
          <t>DF024</t>
        </is>
      </c>
      <c r="H789" t="inlineStr">
        <is>
          <t>tblDeviceFamilyIDCrosswalk</t>
        </is>
      </c>
      <c r="I789" t="inlineStr"/>
      <c r="J789" t="inlineStr">
        <is>
          <t>tblDeviceModel</t>
        </is>
      </c>
      <c r="K789" t="inlineStr">
        <is>
          <t>Exact ID</t>
        </is>
      </c>
      <c r="L789" t="inlineStr">
        <is>
          <t>Crosswalk Pending</t>
        </is>
      </c>
      <c r="M789" t="inlineStr">
        <is>
          <t>Open</t>
        </is>
      </c>
      <c r="N789" t="inlineStr"/>
    </row>
    <row r="790">
      <c r="A790" t="inlineStr">
        <is>
          <t>FKEX00789</t>
        </is>
      </c>
      <c r="B790" t="inlineStr">
        <is>
          <t>15 LL_Device</t>
        </is>
      </c>
      <c r="C790" t="inlineStr">
        <is>
          <t>tblDeviceModel</t>
        </is>
      </c>
      <c r="D790" t="n">
        <v>264</v>
      </c>
      <c r="E790" t="inlineStr">
        <is>
          <t>MOD000261</t>
        </is>
      </c>
      <c r="F790" t="inlineStr">
        <is>
          <t>DeviceTypeID</t>
        </is>
      </c>
      <c r="G790" t="inlineStr">
        <is>
          <t>DT001</t>
        </is>
      </c>
      <c r="H790" t="inlineStr">
        <is>
          <t>tblDeviceTypeIDCrosswalk</t>
        </is>
      </c>
      <c r="I790" t="inlineStr"/>
      <c r="J790" t="inlineStr">
        <is>
          <t>No Supported Match</t>
        </is>
      </c>
      <c r="K790" t="inlineStr">
        <is>
          <t>None</t>
        </is>
      </c>
      <c r="L790" t="inlineStr">
        <is>
          <t>Crosswalk Pending</t>
        </is>
      </c>
      <c r="M790" t="inlineStr">
        <is>
          <t>Open</t>
        </is>
      </c>
      <c r="N790" t="inlineStr"/>
    </row>
    <row r="791">
      <c r="A791" t="inlineStr">
        <is>
          <t>FKEX00790</t>
        </is>
      </c>
      <c r="B791" t="inlineStr">
        <is>
          <t>15 LL_Device</t>
        </is>
      </c>
      <c r="C791" t="inlineStr">
        <is>
          <t>tblDeviceModel</t>
        </is>
      </c>
      <c r="D791" t="n">
        <v>265</v>
      </c>
      <c r="E791" t="inlineStr">
        <is>
          <t>MOD000262</t>
        </is>
      </c>
      <c r="F791" t="inlineStr">
        <is>
          <t>ManufacturerID</t>
        </is>
      </c>
      <c r="G791" t="inlineStr">
        <is>
          <t>MFG002</t>
        </is>
      </c>
      <c r="H791" t="inlineStr">
        <is>
          <t>tblManufacturerIDCrosswalk</t>
        </is>
      </c>
      <c r="I791" t="inlineStr"/>
      <c r="J791" t="inlineStr">
        <is>
          <t>No Supported Match</t>
        </is>
      </c>
      <c r="K791" t="inlineStr">
        <is>
          <t>None</t>
        </is>
      </c>
      <c r="L791" t="inlineStr">
        <is>
          <t>Crosswalk Pending</t>
        </is>
      </c>
      <c r="M791" t="inlineStr">
        <is>
          <t>Open</t>
        </is>
      </c>
      <c r="N791" t="inlineStr"/>
    </row>
    <row r="792">
      <c r="A792" t="inlineStr">
        <is>
          <t>FKEX00791</t>
        </is>
      </c>
      <c r="B792" t="inlineStr">
        <is>
          <t>15 LL_Device</t>
        </is>
      </c>
      <c r="C792" t="inlineStr">
        <is>
          <t>tblDeviceModel</t>
        </is>
      </c>
      <c r="D792" t="n">
        <v>265</v>
      </c>
      <c r="E792" t="inlineStr">
        <is>
          <t>MOD000262</t>
        </is>
      </c>
      <c r="F792" t="inlineStr">
        <is>
          <t>DeviceFamilyID</t>
        </is>
      </c>
      <c r="G792" t="inlineStr">
        <is>
          <t>DF024</t>
        </is>
      </c>
      <c r="H792" t="inlineStr">
        <is>
          <t>tblDeviceFamilyIDCrosswalk</t>
        </is>
      </c>
      <c r="I792" t="inlineStr"/>
      <c r="J792" t="inlineStr">
        <is>
          <t>tblDeviceModel</t>
        </is>
      </c>
      <c r="K792" t="inlineStr">
        <is>
          <t>Exact ID</t>
        </is>
      </c>
      <c r="L792" t="inlineStr">
        <is>
          <t>Crosswalk Pending</t>
        </is>
      </c>
      <c r="M792" t="inlineStr">
        <is>
          <t>Open</t>
        </is>
      </c>
      <c r="N792" t="inlineStr"/>
    </row>
    <row r="793">
      <c r="A793" t="inlineStr">
        <is>
          <t>FKEX00792</t>
        </is>
      </c>
      <c r="B793" t="inlineStr">
        <is>
          <t>15 LL_Device</t>
        </is>
      </c>
      <c r="C793" t="inlineStr">
        <is>
          <t>tblDeviceModel</t>
        </is>
      </c>
      <c r="D793" t="n">
        <v>265</v>
      </c>
      <c r="E793" t="inlineStr">
        <is>
          <t>MOD000262</t>
        </is>
      </c>
      <c r="F793" t="inlineStr">
        <is>
          <t>DeviceTypeID</t>
        </is>
      </c>
      <c r="G793" t="inlineStr">
        <is>
          <t>DT001</t>
        </is>
      </c>
      <c r="H793" t="inlineStr">
        <is>
          <t>tblDeviceTypeIDCrosswalk</t>
        </is>
      </c>
      <c r="I793" t="inlineStr"/>
      <c r="J793" t="inlineStr">
        <is>
          <t>No Supported Match</t>
        </is>
      </c>
      <c r="K793" t="inlineStr">
        <is>
          <t>None</t>
        </is>
      </c>
      <c r="L793" t="inlineStr">
        <is>
          <t>Crosswalk Pending</t>
        </is>
      </c>
      <c r="M793" t="inlineStr">
        <is>
          <t>Open</t>
        </is>
      </c>
      <c r="N793" t="inlineStr"/>
    </row>
    <row r="794">
      <c r="A794" t="inlineStr">
        <is>
          <t>FKEX00793</t>
        </is>
      </c>
      <c r="B794" t="inlineStr">
        <is>
          <t>15 LL_Device</t>
        </is>
      </c>
      <c r="C794" t="inlineStr">
        <is>
          <t>tblDeviceModel</t>
        </is>
      </c>
      <c r="D794" t="n">
        <v>266</v>
      </c>
      <c r="E794" t="inlineStr">
        <is>
          <t>MOD000263</t>
        </is>
      </c>
      <c r="F794" t="inlineStr">
        <is>
          <t>ManufacturerID</t>
        </is>
      </c>
      <c r="G794" t="inlineStr">
        <is>
          <t>MFG002</t>
        </is>
      </c>
      <c r="H794" t="inlineStr">
        <is>
          <t>tblManufacturerIDCrosswalk</t>
        </is>
      </c>
      <c r="I794" t="inlineStr"/>
      <c r="J794" t="inlineStr">
        <is>
          <t>No Supported Match</t>
        </is>
      </c>
      <c r="K794" t="inlineStr">
        <is>
          <t>None</t>
        </is>
      </c>
      <c r="L794" t="inlineStr">
        <is>
          <t>Crosswalk Pending</t>
        </is>
      </c>
      <c r="M794" t="inlineStr">
        <is>
          <t>Open</t>
        </is>
      </c>
      <c r="N794" t="inlineStr"/>
    </row>
    <row r="795">
      <c r="A795" t="inlineStr">
        <is>
          <t>FKEX00794</t>
        </is>
      </c>
      <c r="B795" t="inlineStr">
        <is>
          <t>15 LL_Device</t>
        </is>
      </c>
      <c r="C795" t="inlineStr">
        <is>
          <t>tblDeviceModel</t>
        </is>
      </c>
      <c r="D795" t="n">
        <v>266</v>
      </c>
      <c r="E795" t="inlineStr">
        <is>
          <t>MOD000263</t>
        </is>
      </c>
      <c r="F795" t="inlineStr">
        <is>
          <t>DeviceFamilyID</t>
        </is>
      </c>
      <c r="G795" t="inlineStr">
        <is>
          <t>DF024</t>
        </is>
      </c>
      <c r="H795" t="inlineStr">
        <is>
          <t>tblDeviceFamilyIDCrosswalk</t>
        </is>
      </c>
      <c r="I795" t="inlineStr"/>
      <c r="J795" t="inlineStr">
        <is>
          <t>tblDeviceModel</t>
        </is>
      </c>
      <c r="K795" t="inlineStr">
        <is>
          <t>Exact ID</t>
        </is>
      </c>
      <c r="L795" t="inlineStr">
        <is>
          <t>Crosswalk Pending</t>
        </is>
      </c>
      <c r="M795" t="inlineStr">
        <is>
          <t>Open</t>
        </is>
      </c>
      <c r="N795" t="inlineStr"/>
    </row>
    <row r="796">
      <c r="A796" t="inlineStr">
        <is>
          <t>FKEX00795</t>
        </is>
      </c>
      <c r="B796" t="inlineStr">
        <is>
          <t>15 LL_Device</t>
        </is>
      </c>
      <c r="C796" t="inlineStr">
        <is>
          <t>tblDeviceModel</t>
        </is>
      </c>
      <c r="D796" t="n">
        <v>266</v>
      </c>
      <c r="E796" t="inlineStr">
        <is>
          <t>MOD000263</t>
        </is>
      </c>
      <c r="F796" t="inlineStr">
        <is>
          <t>DeviceTypeID</t>
        </is>
      </c>
      <c r="G796" t="inlineStr">
        <is>
          <t>DT001</t>
        </is>
      </c>
      <c r="H796" t="inlineStr">
        <is>
          <t>tblDeviceTypeIDCrosswalk</t>
        </is>
      </c>
      <c r="I796" t="inlineStr"/>
      <c r="J796" t="inlineStr">
        <is>
          <t>No Supported Match</t>
        </is>
      </c>
      <c r="K796" t="inlineStr">
        <is>
          <t>None</t>
        </is>
      </c>
      <c r="L796" t="inlineStr">
        <is>
          <t>Crosswalk Pending</t>
        </is>
      </c>
      <c r="M796" t="inlineStr">
        <is>
          <t>Open</t>
        </is>
      </c>
      <c r="N796" t="inlineStr"/>
    </row>
    <row r="797">
      <c r="A797" t="inlineStr">
        <is>
          <t>FKEX00796</t>
        </is>
      </c>
      <c r="B797" t="inlineStr">
        <is>
          <t>15 LL_Device</t>
        </is>
      </c>
      <c r="C797" t="inlineStr">
        <is>
          <t>tblDeviceModel</t>
        </is>
      </c>
      <c r="D797" t="n">
        <v>267</v>
      </c>
      <c r="E797" t="inlineStr">
        <is>
          <t>MOD000264</t>
        </is>
      </c>
      <c r="F797" t="inlineStr">
        <is>
          <t>ManufacturerID</t>
        </is>
      </c>
      <c r="G797" t="inlineStr">
        <is>
          <t>MFG002</t>
        </is>
      </c>
      <c r="H797" t="inlineStr">
        <is>
          <t>tblManufacturerIDCrosswalk</t>
        </is>
      </c>
      <c r="I797" t="inlineStr"/>
      <c r="J797" t="inlineStr">
        <is>
          <t>No Supported Match</t>
        </is>
      </c>
      <c r="K797" t="inlineStr">
        <is>
          <t>None</t>
        </is>
      </c>
      <c r="L797" t="inlineStr">
        <is>
          <t>Crosswalk Pending</t>
        </is>
      </c>
      <c r="M797" t="inlineStr">
        <is>
          <t>Open</t>
        </is>
      </c>
      <c r="N797" t="inlineStr"/>
    </row>
    <row r="798">
      <c r="A798" t="inlineStr">
        <is>
          <t>FKEX00797</t>
        </is>
      </c>
      <c r="B798" t="inlineStr">
        <is>
          <t>15 LL_Device</t>
        </is>
      </c>
      <c r="C798" t="inlineStr">
        <is>
          <t>tblDeviceModel</t>
        </is>
      </c>
      <c r="D798" t="n">
        <v>267</v>
      </c>
      <c r="E798" t="inlineStr">
        <is>
          <t>MOD000264</t>
        </is>
      </c>
      <c r="F798" t="inlineStr">
        <is>
          <t>DeviceFamilyID</t>
        </is>
      </c>
      <c r="G798" t="inlineStr">
        <is>
          <t>DF024</t>
        </is>
      </c>
      <c r="H798" t="inlineStr">
        <is>
          <t>tblDeviceFamilyIDCrosswalk</t>
        </is>
      </c>
      <c r="I798" t="inlineStr"/>
      <c r="J798" t="inlineStr">
        <is>
          <t>tblDeviceModel</t>
        </is>
      </c>
      <c r="K798" t="inlineStr">
        <is>
          <t>Exact ID</t>
        </is>
      </c>
      <c r="L798" t="inlineStr">
        <is>
          <t>Crosswalk Pending</t>
        </is>
      </c>
      <c r="M798" t="inlineStr">
        <is>
          <t>Open</t>
        </is>
      </c>
      <c r="N798" t="inlineStr"/>
    </row>
    <row r="799">
      <c r="A799" t="inlineStr">
        <is>
          <t>FKEX00798</t>
        </is>
      </c>
      <c r="B799" t="inlineStr">
        <is>
          <t>15 LL_Device</t>
        </is>
      </c>
      <c r="C799" t="inlineStr">
        <is>
          <t>tblDeviceModel</t>
        </is>
      </c>
      <c r="D799" t="n">
        <v>267</v>
      </c>
      <c r="E799" t="inlineStr">
        <is>
          <t>MOD000264</t>
        </is>
      </c>
      <c r="F799" t="inlineStr">
        <is>
          <t>DeviceTypeID</t>
        </is>
      </c>
      <c r="G799" t="inlineStr">
        <is>
          <t>DT001</t>
        </is>
      </c>
      <c r="H799" t="inlineStr">
        <is>
          <t>tblDeviceTypeIDCrosswalk</t>
        </is>
      </c>
      <c r="I799" t="inlineStr"/>
      <c r="J799" t="inlineStr">
        <is>
          <t>No Supported Match</t>
        </is>
      </c>
      <c r="K799" t="inlineStr">
        <is>
          <t>None</t>
        </is>
      </c>
      <c r="L799" t="inlineStr">
        <is>
          <t>Crosswalk Pending</t>
        </is>
      </c>
      <c r="M799" t="inlineStr">
        <is>
          <t>Open</t>
        </is>
      </c>
      <c r="N799" t="inlineStr"/>
    </row>
    <row r="800">
      <c r="A800" t="inlineStr">
        <is>
          <t>FKEX00799</t>
        </is>
      </c>
      <c r="B800" t="inlineStr">
        <is>
          <t>15 LL_Device</t>
        </is>
      </c>
      <c r="C800" t="inlineStr">
        <is>
          <t>tblDeviceModel</t>
        </is>
      </c>
      <c r="D800" t="n">
        <v>268</v>
      </c>
      <c r="E800" t="inlineStr">
        <is>
          <t>MOD000265</t>
        </is>
      </c>
      <c r="F800" t="inlineStr">
        <is>
          <t>ManufacturerID</t>
        </is>
      </c>
      <c r="G800" t="inlineStr">
        <is>
          <t>MFG002</t>
        </is>
      </c>
      <c r="H800" t="inlineStr">
        <is>
          <t>tblManufacturerIDCrosswalk</t>
        </is>
      </c>
      <c r="I800" t="inlineStr"/>
      <c r="J800" t="inlineStr">
        <is>
          <t>No Supported Match</t>
        </is>
      </c>
      <c r="K800" t="inlineStr">
        <is>
          <t>None</t>
        </is>
      </c>
      <c r="L800" t="inlineStr">
        <is>
          <t>Crosswalk Pending</t>
        </is>
      </c>
      <c r="M800" t="inlineStr">
        <is>
          <t>Open</t>
        </is>
      </c>
      <c r="N800" t="inlineStr"/>
    </row>
    <row r="801">
      <c r="A801" t="inlineStr">
        <is>
          <t>FKEX00800</t>
        </is>
      </c>
      <c r="B801" t="inlineStr">
        <is>
          <t>15 LL_Device</t>
        </is>
      </c>
      <c r="C801" t="inlineStr">
        <is>
          <t>tblDeviceModel</t>
        </is>
      </c>
      <c r="D801" t="n">
        <v>268</v>
      </c>
      <c r="E801" t="inlineStr">
        <is>
          <t>MOD000265</t>
        </is>
      </c>
      <c r="F801" t="inlineStr">
        <is>
          <t>DeviceFamilyID</t>
        </is>
      </c>
      <c r="G801" t="inlineStr">
        <is>
          <t>DF024</t>
        </is>
      </c>
      <c r="H801" t="inlineStr">
        <is>
          <t>tblDeviceFamilyIDCrosswalk</t>
        </is>
      </c>
      <c r="I801" t="inlineStr"/>
      <c r="J801" t="inlineStr">
        <is>
          <t>tblDeviceModel</t>
        </is>
      </c>
      <c r="K801" t="inlineStr">
        <is>
          <t>Exact ID</t>
        </is>
      </c>
      <c r="L801" t="inlineStr">
        <is>
          <t>Crosswalk Pending</t>
        </is>
      </c>
      <c r="M801" t="inlineStr">
        <is>
          <t>Open</t>
        </is>
      </c>
      <c r="N801" t="inlineStr"/>
    </row>
    <row r="802">
      <c r="A802" t="inlineStr">
        <is>
          <t>FKEX00801</t>
        </is>
      </c>
      <c r="B802" t="inlineStr">
        <is>
          <t>15 LL_Device</t>
        </is>
      </c>
      <c r="C802" t="inlineStr">
        <is>
          <t>tblDeviceModel</t>
        </is>
      </c>
      <c r="D802" t="n">
        <v>268</v>
      </c>
      <c r="E802" t="inlineStr">
        <is>
          <t>MOD000265</t>
        </is>
      </c>
      <c r="F802" t="inlineStr">
        <is>
          <t>DeviceTypeID</t>
        </is>
      </c>
      <c r="G802" t="inlineStr">
        <is>
          <t>DT001</t>
        </is>
      </c>
      <c r="H802" t="inlineStr">
        <is>
          <t>tblDeviceTypeIDCrosswalk</t>
        </is>
      </c>
      <c r="I802" t="inlineStr"/>
      <c r="J802" t="inlineStr">
        <is>
          <t>No Supported Match</t>
        </is>
      </c>
      <c r="K802" t="inlineStr">
        <is>
          <t>None</t>
        </is>
      </c>
      <c r="L802" t="inlineStr">
        <is>
          <t>Crosswalk Pending</t>
        </is>
      </c>
      <c r="M802" t="inlineStr">
        <is>
          <t>Open</t>
        </is>
      </c>
      <c r="N802" t="inlineStr"/>
    </row>
    <row r="803">
      <c r="A803" t="inlineStr">
        <is>
          <t>FKEX00802</t>
        </is>
      </c>
      <c r="B803" t="inlineStr">
        <is>
          <t>15 LL_Device</t>
        </is>
      </c>
      <c r="C803" t="inlineStr">
        <is>
          <t>tblDeviceModel</t>
        </is>
      </c>
      <c r="D803" t="n">
        <v>269</v>
      </c>
      <c r="E803" t="inlineStr">
        <is>
          <t>MOD000266</t>
        </is>
      </c>
      <c r="F803" t="inlineStr">
        <is>
          <t>ManufacturerID</t>
        </is>
      </c>
      <c r="G803" t="inlineStr">
        <is>
          <t>MFG002</t>
        </is>
      </c>
      <c r="H803" t="inlineStr">
        <is>
          <t>tblManufacturerIDCrosswalk</t>
        </is>
      </c>
      <c r="I803" t="inlineStr"/>
      <c r="J803" t="inlineStr">
        <is>
          <t>No Supported Match</t>
        </is>
      </c>
      <c r="K803" t="inlineStr">
        <is>
          <t>None</t>
        </is>
      </c>
      <c r="L803" t="inlineStr">
        <is>
          <t>Crosswalk Pending</t>
        </is>
      </c>
      <c r="M803" t="inlineStr">
        <is>
          <t>Open</t>
        </is>
      </c>
      <c r="N803" t="inlineStr"/>
    </row>
    <row r="804">
      <c r="A804" t="inlineStr">
        <is>
          <t>FKEX00803</t>
        </is>
      </c>
      <c r="B804" t="inlineStr">
        <is>
          <t>15 LL_Device</t>
        </is>
      </c>
      <c r="C804" t="inlineStr">
        <is>
          <t>tblDeviceModel</t>
        </is>
      </c>
      <c r="D804" t="n">
        <v>269</v>
      </c>
      <c r="E804" t="inlineStr">
        <is>
          <t>MOD000266</t>
        </is>
      </c>
      <c r="F804" t="inlineStr">
        <is>
          <t>DeviceFamilyID</t>
        </is>
      </c>
      <c r="G804" t="inlineStr">
        <is>
          <t>DF024</t>
        </is>
      </c>
      <c r="H804" t="inlineStr">
        <is>
          <t>tblDeviceFamilyIDCrosswalk</t>
        </is>
      </c>
      <c r="I804" t="inlineStr"/>
      <c r="J804" t="inlineStr">
        <is>
          <t>tblDeviceModel</t>
        </is>
      </c>
      <c r="K804" t="inlineStr">
        <is>
          <t>Exact ID</t>
        </is>
      </c>
      <c r="L804" t="inlineStr">
        <is>
          <t>Crosswalk Pending</t>
        </is>
      </c>
      <c r="M804" t="inlineStr">
        <is>
          <t>Open</t>
        </is>
      </c>
      <c r="N804" t="inlineStr"/>
    </row>
    <row r="805">
      <c r="A805" t="inlineStr">
        <is>
          <t>FKEX00804</t>
        </is>
      </c>
      <c r="B805" t="inlineStr">
        <is>
          <t>15 LL_Device</t>
        </is>
      </c>
      <c r="C805" t="inlineStr">
        <is>
          <t>tblDeviceModel</t>
        </is>
      </c>
      <c r="D805" t="n">
        <v>269</v>
      </c>
      <c r="E805" t="inlineStr">
        <is>
          <t>MOD000266</t>
        </is>
      </c>
      <c r="F805" t="inlineStr">
        <is>
          <t>DeviceTypeID</t>
        </is>
      </c>
      <c r="G805" t="inlineStr">
        <is>
          <t>DT001</t>
        </is>
      </c>
      <c r="H805" t="inlineStr">
        <is>
          <t>tblDeviceTypeIDCrosswalk</t>
        </is>
      </c>
      <c r="I805" t="inlineStr"/>
      <c r="J805" t="inlineStr">
        <is>
          <t>No Supported Match</t>
        </is>
      </c>
      <c r="K805" t="inlineStr">
        <is>
          <t>None</t>
        </is>
      </c>
      <c r="L805" t="inlineStr">
        <is>
          <t>Crosswalk Pending</t>
        </is>
      </c>
      <c r="M805" t="inlineStr">
        <is>
          <t>Open</t>
        </is>
      </c>
      <c r="N805" t="inlineStr"/>
    </row>
    <row r="806">
      <c r="A806" t="inlineStr">
        <is>
          <t>FKEX00805</t>
        </is>
      </c>
      <c r="B806" t="inlineStr">
        <is>
          <t>15 LL_Device</t>
        </is>
      </c>
      <c r="C806" t="inlineStr">
        <is>
          <t>tblDeviceModel</t>
        </is>
      </c>
      <c r="D806" t="n">
        <v>270</v>
      </c>
      <c r="E806" t="inlineStr">
        <is>
          <t>MOD000267</t>
        </is>
      </c>
      <c r="F806" t="inlineStr">
        <is>
          <t>ManufacturerID</t>
        </is>
      </c>
      <c r="G806" t="inlineStr">
        <is>
          <t>MFG002</t>
        </is>
      </c>
      <c r="H806" t="inlineStr">
        <is>
          <t>tblManufacturerIDCrosswalk</t>
        </is>
      </c>
      <c r="I806" t="inlineStr"/>
      <c r="J806" t="inlineStr">
        <is>
          <t>No Supported Match</t>
        </is>
      </c>
      <c r="K806" t="inlineStr">
        <is>
          <t>None</t>
        </is>
      </c>
      <c r="L806" t="inlineStr">
        <is>
          <t>Crosswalk Pending</t>
        </is>
      </c>
      <c r="M806" t="inlineStr">
        <is>
          <t>Open</t>
        </is>
      </c>
      <c r="N806" t="inlineStr"/>
    </row>
    <row r="807">
      <c r="A807" t="inlineStr">
        <is>
          <t>FKEX00806</t>
        </is>
      </c>
      <c r="B807" t="inlineStr">
        <is>
          <t>15 LL_Device</t>
        </is>
      </c>
      <c r="C807" t="inlineStr">
        <is>
          <t>tblDeviceModel</t>
        </is>
      </c>
      <c r="D807" t="n">
        <v>270</v>
      </c>
      <c r="E807" t="inlineStr">
        <is>
          <t>MOD000267</t>
        </is>
      </c>
      <c r="F807" t="inlineStr">
        <is>
          <t>DeviceFamilyID</t>
        </is>
      </c>
      <c r="G807" t="inlineStr">
        <is>
          <t>DF024</t>
        </is>
      </c>
      <c r="H807" t="inlineStr">
        <is>
          <t>tblDeviceFamilyIDCrosswalk</t>
        </is>
      </c>
      <c r="I807" t="inlineStr"/>
      <c r="J807" t="inlineStr">
        <is>
          <t>tblDeviceModel</t>
        </is>
      </c>
      <c r="K807" t="inlineStr">
        <is>
          <t>Exact ID</t>
        </is>
      </c>
      <c r="L807" t="inlineStr">
        <is>
          <t>Crosswalk Pending</t>
        </is>
      </c>
      <c r="M807" t="inlineStr">
        <is>
          <t>Open</t>
        </is>
      </c>
      <c r="N807" t="inlineStr"/>
    </row>
    <row r="808">
      <c r="A808" t="inlineStr">
        <is>
          <t>FKEX00807</t>
        </is>
      </c>
      <c r="B808" t="inlineStr">
        <is>
          <t>15 LL_Device</t>
        </is>
      </c>
      <c r="C808" t="inlineStr">
        <is>
          <t>tblDeviceModel</t>
        </is>
      </c>
      <c r="D808" t="n">
        <v>270</v>
      </c>
      <c r="E808" t="inlineStr">
        <is>
          <t>MOD000267</t>
        </is>
      </c>
      <c r="F808" t="inlineStr">
        <is>
          <t>DeviceTypeID</t>
        </is>
      </c>
      <c r="G808" t="inlineStr">
        <is>
          <t>DT001</t>
        </is>
      </c>
      <c r="H808" t="inlineStr">
        <is>
          <t>tblDeviceTypeIDCrosswalk</t>
        </is>
      </c>
      <c r="I808" t="inlineStr"/>
      <c r="J808" t="inlineStr">
        <is>
          <t>No Supported Match</t>
        </is>
      </c>
      <c r="K808" t="inlineStr">
        <is>
          <t>None</t>
        </is>
      </c>
      <c r="L808" t="inlineStr">
        <is>
          <t>Crosswalk Pending</t>
        </is>
      </c>
      <c r="M808" t="inlineStr">
        <is>
          <t>Open</t>
        </is>
      </c>
      <c r="N808" t="inlineStr"/>
    </row>
    <row r="809">
      <c r="A809" t="inlineStr">
        <is>
          <t>FKEX00808</t>
        </is>
      </c>
      <c r="B809" t="inlineStr">
        <is>
          <t>15 LL_Device</t>
        </is>
      </c>
      <c r="C809" t="inlineStr">
        <is>
          <t>tblDeviceModel</t>
        </is>
      </c>
      <c r="D809" t="n">
        <v>271</v>
      </c>
      <c r="E809" t="inlineStr">
        <is>
          <t>MOD000268</t>
        </is>
      </c>
      <c r="F809" t="inlineStr">
        <is>
          <t>ManufacturerID</t>
        </is>
      </c>
      <c r="G809" t="inlineStr">
        <is>
          <t>MFG002</t>
        </is>
      </c>
      <c r="H809" t="inlineStr">
        <is>
          <t>tblManufacturerIDCrosswalk</t>
        </is>
      </c>
      <c r="I809" t="inlineStr"/>
      <c r="J809" t="inlineStr">
        <is>
          <t>No Supported Match</t>
        </is>
      </c>
      <c r="K809" t="inlineStr">
        <is>
          <t>None</t>
        </is>
      </c>
      <c r="L809" t="inlineStr">
        <is>
          <t>Crosswalk Pending</t>
        </is>
      </c>
      <c r="M809" t="inlineStr">
        <is>
          <t>Open</t>
        </is>
      </c>
      <c r="N809" t="inlineStr"/>
    </row>
    <row r="810">
      <c r="A810" t="inlineStr">
        <is>
          <t>FKEX00809</t>
        </is>
      </c>
      <c r="B810" t="inlineStr">
        <is>
          <t>15 LL_Device</t>
        </is>
      </c>
      <c r="C810" t="inlineStr">
        <is>
          <t>tblDeviceModel</t>
        </is>
      </c>
      <c r="D810" t="n">
        <v>271</v>
      </c>
      <c r="E810" t="inlineStr">
        <is>
          <t>MOD000268</t>
        </is>
      </c>
      <c r="F810" t="inlineStr">
        <is>
          <t>DeviceFamilyID</t>
        </is>
      </c>
      <c r="G810" t="inlineStr">
        <is>
          <t>DF024</t>
        </is>
      </c>
      <c r="H810" t="inlineStr">
        <is>
          <t>tblDeviceFamilyIDCrosswalk</t>
        </is>
      </c>
      <c r="I810" t="inlineStr"/>
      <c r="J810" t="inlineStr">
        <is>
          <t>tblDeviceModel</t>
        </is>
      </c>
      <c r="K810" t="inlineStr">
        <is>
          <t>Exact ID</t>
        </is>
      </c>
      <c r="L810" t="inlineStr">
        <is>
          <t>Crosswalk Pending</t>
        </is>
      </c>
      <c r="M810" t="inlineStr">
        <is>
          <t>Open</t>
        </is>
      </c>
      <c r="N810" t="inlineStr"/>
    </row>
    <row r="811">
      <c r="A811" t="inlineStr">
        <is>
          <t>FKEX00810</t>
        </is>
      </c>
      <c r="B811" t="inlineStr">
        <is>
          <t>15 LL_Device</t>
        </is>
      </c>
      <c r="C811" t="inlineStr">
        <is>
          <t>tblDeviceModel</t>
        </is>
      </c>
      <c r="D811" t="n">
        <v>271</v>
      </c>
      <c r="E811" t="inlineStr">
        <is>
          <t>MOD000268</t>
        </is>
      </c>
      <c r="F811" t="inlineStr">
        <is>
          <t>DeviceTypeID</t>
        </is>
      </c>
      <c r="G811" t="inlineStr">
        <is>
          <t>DT001</t>
        </is>
      </c>
      <c r="H811" t="inlineStr">
        <is>
          <t>tblDeviceTypeIDCrosswalk</t>
        </is>
      </c>
      <c r="I811" t="inlineStr"/>
      <c r="J811" t="inlineStr">
        <is>
          <t>No Supported Match</t>
        </is>
      </c>
      <c r="K811" t="inlineStr">
        <is>
          <t>None</t>
        </is>
      </c>
      <c r="L811" t="inlineStr">
        <is>
          <t>Crosswalk Pending</t>
        </is>
      </c>
      <c r="M811" t="inlineStr">
        <is>
          <t>Open</t>
        </is>
      </c>
      <c r="N811" t="inlineStr"/>
    </row>
    <row r="812">
      <c r="A812" t="inlineStr">
        <is>
          <t>FKEX00811</t>
        </is>
      </c>
      <c r="B812" t="inlineStr">
        <is>
          <t>15 LL_Device</t>
        </is>
      </c>
      <c r="C812" t="inlineStr">
        <is>
          <t>tblDeviceModel</t>
        </is>
      </c>
      <c r="D812" t="n">
        <v>272</v>
      </c>
      <c r="E812" t="inlineStr">
        <is>
          <t>MOD000269</t>
        </is>
      </c>
      <c r="F812" t="inlineStr">
        <is>
          <t>ManufacturerID</t>
        </is>
      </c>
      <c r="G812" t="inlineStr">
        <is>
          <t>MFG002</t>
        </is>
      </c>
      <c r="H812" t="inlineStr">
        <is>
          <t>tblManufacturerIDCrosswalk</t>
        </is>
      </c>
      <c r="I812" t="inlineStr"/>
      <c r="J812" t="inlineStr">
        <is>
          <t>No Supported Match</t>
        </is>
      </c>
      <c r="K812" t="inlineStr">
        <is>
          <t>None</t>
        </is>
      </c>
      <c r="L812" t="inlineStr">
        <is>
          <t>Crosswalk Pending</t>
        </is>
      </c>
      <c r="M812" t="inlineStr">
        <is>
          <t>Open</t>
        </is>
      </c>
      <c r="N812" t="inlineStr"/>
    </row>
    <row r="813">
      <c r="A813" t="inlineStr">
        <is>
          <t>FKEX00812</t>
        </is>
      </c>
      <c r="B813" t="inlineStr">
        <is>
          <t>15 LL_Device</t>
        </is>
      </c>
      <c r="C813" t="inlineStr">
        <is>
          <t>tblDeviceModel</t>
        </is>
      </c>
      <c r="D813" t="n">
        <v>272</v>
      </c>
      <c r="E813" t="inlineStr">
        <is>
          <t>MOD000269</t>
        </is>
      </c>
      <c r="F813" t="inlineStr">
        <is>
          <t>DeviceFamilyID</t>
        </is>
      </c>
      <c r="G813" t="inlineStr">
        <is>
          <t>DF024</t>
        </is>
      </c>
      <c r="H813" t="inlineStr">
        <is>
          <t>tblDeviceFamilyIDCrosswalk</t>
        </is>
      </c>
      <c r="I813" t="inlineStr"/>
      <c r="J813" t="inlineStr">
        <is>
          <t>tblDeviceModel</t>
        </is>
      </c>
      <c r="K813" t="inlineStr">
        <is>
          <t>Exact ID</t>
        </is>
      </c>
      <c r="L813" t="inlineStr">
        <is>
          <t>Crosswalk Pending</t>
        </is>
      </c>
      <c r="M813" t="inlineStr">
        <is>
          <t>Open</t>
        </is>
      </c>
      <c r="N813" t="inlineStr"/>
    </row>
    <row r="814">
      <c r="A814" t="inlineStr">
        <is>
          <t>FKEX00813</t>
        </is>
      </c>
      <c r="B814" t="inlineStr">
        <is>
          <t>15 LL_Device</t>
        </is>
      </c>
      <c r="C814" t="inlineStr">
        <is>
          <t>tblDeviceModel</t>
        </is>
      </c>
      <c r="D814" t="n">
        <v>272</v>
      </c>
      <c r="E814" t="inlineStr">
        <is>
          <t>MOD000269</t>
        </is>
      </c>
      <c r="F814" t="inlineStr">
        <is>
          <t>DeviceTypeID</t>
        </is>
      </c>
      <c r="G814" t="inlineStr">
        <is>
          <t>DT001</t>
        </is>
      </c>
      <c r="H814" t="inlineStr">
        <is>
          <t>tblDeviceTypeIDCrosswalk</t>
        </is>
      </c>
      <c r="I814" t="inlineStr"/>
      <c r="J814" t="inlineStr">
        <is>
          <t>No Supported Match</t>
        </is>
      </c>
      <c r="K814" t="inlineStr">
        <is>
          <t>None</t>
        </is>
      </c>
      <c r="L814" t="inlineStr">
        <is>
          <t>Crosswalk Pending</t>
        </is>
      </c>
      <c r="M814" t="inlineStr">
        <is>
          <t>Open</t>
        </is>
      </c>
      <c r="N814" t="inlineStr"/>
    </row>
    <row r="815">
      <c r="A815" t="inlineStr">
        <is>
          <t>FKEX00814</t>
        </is>
      </c>
      <c r="B815" t="inlineStr">
        <is>
          <t>15 LL_Device</t>
        </is>
      </c>
      <c r="C815" t="inlineStr">
        <is>
          <t>tblDeviceModel</t>
        </is>
      </c>
      <c r="D815" t="n">
        <v>273</v>
      </c>
      <c r="E815" t="inlineStr">
        <is>
          <t>MOD000270</t>
        </is>
      </c>
      <c r="F815" t="inlineStr">
        <is>
          <t>ManufacturerID</t>
        </is>
      </c>
      <c r="G815" t="inlineStr">
        <is>
          <t>MFG002</t>
        </is>
      </c>
      <c r="H815" t="inlineStr">
        <is>
          <t>tblManufacturerIDCrosswalk</t>
        </is>
      </c>
      <c r="I815" t="inlineStr"/>
      <c r="J815" t="inlineStr">
        <is>
          <t>No Supported Match</t>
        </is>
      </c>
      <c r="K815" t="inlineStr">
        <is>
          <t>None</t>
        </is>
      </c>
      <c r="L815" t="inlineStr">
        <is>
          <t>Crosswalk Pending</t>
        </is>
      </c>
      <c r="M815" t="inlineStr">
        <is>
          <t>Open</t>
        </is>
      </c>
      <c r="N815" t="inlineStr"/>
    </row>
    <row r="816">
      <c r="A816" t="inlineStr">
        <is>
          <t>FKEX00815</t>
        </is>
      </c>
      <c r="B816" t="inlineStr">
        <is>
          <t>15 LL_Device</t>
        </is>
      </c>
      <c r="C816" t="inlineStr">
        <is>
          <t>tblDeviceModel</t>
        </is>
      </c>
      <c r="D816" t="n">
        <v>273</v>
      </c>
      <c r="E816" t="inlineStr">
        <is>
          <t>MOD000270</t>
        </is>
      </c>
      <c r="F816" t="inlineStr">
        <is>
          <t>DeviceFamilyID</t>
        </is>
      </c>
      <c r="G816" t="inlineStr">
        <is>
          <t>DF024</t>
        </is>
      </c>
      <c r="H816" t="inlineStr">
        <is>
          <t>tblDeviceFamilyIDCrosswalk</t>
        </is>
      </c>
      <c r="I816" t="inlineStr"/>
      <c r="J816" t="inlineStr">
        <is>
          <t>tblDeviceModel</t>
        </is>
      </c>
      <c r="K816" t="inlineStr">
        <is>
          <t>Exact ID</t>
        </is>
      </c>
      <c r="L816" t="inlineStr">
        <is>
          <t>Crosswalk Pending</t>
        </is>
      </c>
      <c r="M816" t="inlineStr">
        <is>
          <t>Open</t>
        </is>
      </c>
      <c r="N816" t="inlineStr"/>
    </row>
    <row r="817">
      <c r="A817" t="inlineStr">
        <is>
          <t>FKEX00816</t>
        </is>
      </c>
      <c r="B817" t="inlineStr">
        <is>
          <t>15 LL_Device</t>
        </is>
      </c>
      <c r="C817" t="inlineStr">
        <is>
          <t>tblDeviceModel</t>
        </is>
      </c>
      <c r="D817" t="n">
        <v>273</v>
      </c>
      <c r="E817" t="inlineStr">
        <is>
          <t>MOD000270</t>
        </is>
      </c>
      <c r="F817" t="inlineStr">
        <is>
          <t>DeviceTypeID</t>
        </is>
      </c>
      <c r="G817" t="inlineStr">
        <is>
          <t>DT001</t>
        </is>
      </c>
      <c r="H817" t="inlineStr">
        <is>
          <t>tblDeviceTypeIDCrosswalk</t>
        </is>
      </c>
      <c r="I817" t="inlineStr"/>
      <c r="J817" t="inlineStr">
        <is>
          <t>No Supported Match</t>
        </is>
      </c>
      <c r="K817" t="inlineStr">
        <is>
          <t>None</t>
        </is>
      </c>
      <c r="L817" t="inlineStr">
        <is>
          <t>Crosswalk Pending</t>
        </is>
      </c>
      <c r="M817" t="inlineStr">
        <is>
          <t>Open</t>
        </is>
      </c>
      <c r="N817" t="inlineStr"/>
    </row>
    <row r="818">
      <c r="A818" t="inlineStr">
        <is>
          <t>FKEX00817</t>
        </is>
      </c>
      <c r="B818" t="inlineStr">
        <is>
          <t>15 LL_Device</t>
        </is>
      </c>
      <c r="C818" t="inlineStr">
        <is>
          <t>tblDeviceModel</t>
        </is>
      </c>
      <c r="D818" t="n">
        <v>274</v>
      </c>
      <c r="E818" t="inlineStr">
        <is>
          <t>MOD000271</t>
        </is>
      </c>
      <c r="F818" t="inlineStr">
        <is>
          <t>ManufacturerID</t>
        </is>
      </c>
      <c r="G818" t="inlineStr">
        <is>
          <t>MFG002</t>
        </is>
      </c>
      <c r="H818" t="inlineStr">
        <is>
          <t>tblManufacturerIDCrosswalk</t>
        </is>
      </c>
      <c r="I818" t="inlineStr"/>
      <c r="J818" t="inlineStr">
        <is>
          <t>No Supported Match</t>
        </is>
      </c>
      <c r="K818" t="inlineStr">
        <is>
          <t>None</t>
        </is>
      </c>
      <c r="L818" t="inlineStr">
        <is>
          <t>Crosswalk Pending</t>
        </is>
      </c>
      <c r="M818" t="inlineStr">
        <is>
          <t>Open</t>
        </is>
      </c>
      <c r="N818" t="inlineStr"/>
    </row>
    <row r="819">
      <c r="A819" t="inlineStr">
        <is>
          <t>FKEX00818</t>
        </is>
      </c>
      <c r="B819" t="inlineStr">
        <is>
          <t>15 LL_Device</t>
        </is>
      </c>
      <c r="C819" t="inlineStr">
        <is>
          <t>tblDeviceModel</t>
        </is>
      </c>
      <c r="D819" t="n">
        <v>274</v>
      </c>
      <c r="E819" t="inlineStr">
        <is>
          <t>MOD000271</t>
        </is>
      </c>
      <c r="F819" t="inlineStr">
        <is>
          <t>DeviceFamilyID</t>
        </is>
      </c>
      <c r="G819" t="inlineStr">
        <is>
          <t>DF025</t>
        </is>
      </c>
      <c r="H819" t="inlineStr">
        <is>
          <t>tblDeviceFamilyIDCrosswalk</t>
        </is>
      </c>
      <c r="I819" t="inlineStr"/>
      <c r="J819" t="inlineStr">
        <is>
          <t>tblDeviceModel</t>
        </is>
      </c>
      <c r="K819" t="inlineStr">
        <is>
          <t>Exact ID</t>
        </is>
      </c>
      <c r="L819" t="inlineStr">
        <is>
          <t>Crosswalk Pending</t>
        </is>
      </c>
      <c r="M819" t="inlineStr">
        <is>
          <t>Open</t>
        </is>
      </c>
      <c r="N819" t="inlineStr"/>
    </row>
    <row r="820">
      <c r="A820" t="inlineStr">
        <is>
          <t>FKEX00819</t>
        </is>
      </c>
      <c r="B820" t="inlineStr">
        <is>
          <t>15 LL_Device</t>
        </is>
      </c>
      <c r="C820" t="inlineStr">
        <is>
          <t>tblDeviceModel</t>
        </is>
      </c>
      <c r="D820" t="n">
        <v>274</v>
      </c>
      <c r="E820" t="inlineStr">
        <is>
          <t>MOD000271</t>
        </is>
      </c>
      <c r="F820" t="inlineStr">
        <is>
          <t>DeviceTypeID</t>
        </is>
      </c>
      <c r="G820" t="inlineStr">
        <is>
          <t>DT001</t>
        </is>
      </c>
      <c r="H820" t="inlineStr">
        <is>
          <t>tblDeviceTypeIDCrosswalk</t>
        </is>
      </c>
      <c r="I820" t="inlineStr"/>
      <c r="J820" t="inlineStr">
        <is>
          <t>No Supported Match</t>
        </is>
      </c>
      <c r="K820" t="inlineStr">
        <is>
          <t>None</t>
        </is>
      </c>
      <c r="L820" t="inlineStr">
        <is>
          <t>Crosswalk Pending</t>
        </is>
      </c>
      <c r="M820" t="inlineStr">
        <is>
          <t>Open</t>
        </is>
      </c>
      <c r="N820" t="inlineStr"/>
    </row>
    <row r="821">
      <c r="A821" t="inlineStr">
        <is>
          <t>FKEX00820</t>
        </is>
      </c>
      <c r="B821" t="inlineStr">
        <is>
          <t>15 LL_Device</t>
        </is>
      </c>
      <c r="C821" t="inlineStr">
        <is>
          <t>tblDeviceModel</t>
        </is>
      </c>
      <c r="D821" t="n">
        <v>275</v>
      </c>
      <c r="E821" t="inlineStr">
        <is>
          <t>MOD000272</t>
        </is>
      </c>
      <c r="F821" t="inlineStr">
        <is>
          <t>ManufacturerID</t>
        </is>
      </c>
      <c r="G821" t="inlineStr">
        <is>
          <t>MFG002</t>
        </is>
      </c>
      <c r="H821" t="inlineStr">
        <is>
          <t>tblManufacturerIDCrosswalk</t>
        </is>
      </c>
      <c r="I821" t="inlineStr"/>
      <c r="J821" t="inlineStr">
        <is>
          <t>No Supported Match</t>
        </is>
      </c>
      <c r="K821" t="inlineStr">
        <is>
          <t>None</t>
        </is>
      </c>
      <c r="L821" t="inlineStr">
        <is>
          <t>Crosswalk Pending</t>
        </is>
      </c>
      <c r="M821" t="inlineStr">
        <is>
          <t>Open</t>
        </is>
      </c>
      <c r="N821" t="inlineStr"/>
    </row>
    <row r="822">
      <c r="A822" t="inlineStr">
        <is>
          <t>FKEX00821</t>
        </is>
      </c>
      <c r="B822" t="inlineStr">
        <is>
          <t>15 LL_Device</t>
        </is>
      </c>
      <c r="C822" t="inlineStr">
        <is>
          <t>tblDeviceModel</t>
        </is>
      </c>
      <c r="D822" t="n">
        <v>275</v>
      </c>
      <c r="E822" t="inlineStr">
        <is>
          <t>MOD000272</t>
        </is>
      </c>
      <c r="F822" t="inlineStr">
        <is>
          <t>DeviceFamilyID</t>
        </is>
      </c>
      <c r="G822" t="inlineStr">
        <is>
          <t>DF025</t>
        </is>
      </c>
      <c r="H822" t="inlineStr">
        <is>
          <t>tblDeviceFamilyIDCrosswalk</t>
        </is>
      </c>
      <c r="I822" t="inlineStr"/>
      <c r="J822" t="inlineStr">
        <is>
          <t>tblDeviceModel</t>
        </is>
      </c>
      <c r="K822" t="inlineStr">
        <is>
          <t>Exact ID</t>
        </is>
      </c>
      <c r="L822" t="inlineStr">
        <is>
          <t>Crosswalk Pending</t>
        </is>
      </c>
      <c r="M822" t="inlineStr">
        <is>
          <t>Open</t>
        </is>
      </c>
      <c r="N822" t="inlineStr"/>
    </row>
    <row r="823">
      <c r="A823" t="inlineStr">
        <is>
          <t>FKEX00822</t>
        </is>
      </c>
      <c r="B823" t="inlineStr">
        <is>
          <t>15 LL_Device</t>
        </is>
      </c>
      <c r="C823" t="inlineStr">
        <is>
          <t>tblDeviceModel</t>
        </is>
      </c>
      <c r="D823" t="n">
        <v>275</v>
      </c>
      <c r="E823" t="inlineStr">
        <is>
          <t>MOD000272</t>
        </is>
      </c>
      <c r="F823" t="inlineStr">
        <is>
          <t>DeviceTypeID</t>
        </is>
      </c>
      <c r="G823" t="inlineStr">
        <is>
          <t>DT001</t>
        </is>
      </c>
      <c r="H823" t="inlineStr">
        <is>
          <t>tblDeviceTypeIDCrosswalk</t>
        </is>
      </c>
      <c r="I823" t="inlineStr"/>
      <c r="J823" t="inlineStr">
        <is>
          <t>No Supported Match</t>
        </is>
      </c>
      <c r="K823" t="inlineStr">
        <is>
          <t>None</t>
        </is>
      </c>
      <c r="L823" t="inlineStr">
        <is>
          <t>Crosswalk Pending</t>
        </is>
      </c>
      <c r="M823" t="inlineStr">
        <is>
          <t>Open</t>
        </is>
      </c>
      <c r="N823" t="inlineStr"/>
    </row>
    <row r="824">
      <c r="A824" t="inlineStr">
        <is>
          <t>FKEX00823</t>
        </is>
      </c>
      <c r="B824" t="inlineStr">
        <is>
          <t>15 LL_Device</t>
        </is>
      </c>
      <c r="C824" t="inlineStr">
        <is>
          <t>tblDeviceModel</t>
        </is>
      </c>
      <c r="D824" t="n">
        <v>276</v>
      </c>
      <c r="E824" t="inlineStr">
        <is>
          <t>MOD000273</t>
        </is>
      </c>
      <c r="F824" t="inlineStr">
        <is>
          <t>ManufacturerID</t>
        </is>
      </c>
      <c r="G824" t="inlineStr">
        <is>
          <t>MFG002</t>
        </is>
      </c>
      <c r="H824" t="inlineStr">
        <is>
          <t>tblManufacturerIDCrosswalk</t>
        </is>
      </c>
      <c r="I824" t="inlineStr"/>
      <c r="J824" t="inlineStr">
        <is>
          <t>No Supported Match</t>
        </is>
      </c>
      <c r="K824" t="inlineStr">
        <is>
          <t>None</t>
        </is>
      </c>
      <c r="L824" t="inlineStr">
        <is>
          <t>Crosswalk Pending</t>
        </is>
      </c>
      <c r="M824" t="inlineStr">
        <is>
          <t>Open</t>
        </is>
      </c>
      <c r="N824" t="inlineStr"/>
    </row>
    <row r="825">
      <c r="A825" t="inlineStr">
        <is>
          <t>FKEX00824</t>
        </is>
      </c>
      <c r="B825" t="inlineStr">
        <is>
          <t>15 LL_Device</t>
        </is>
      </c>
      <c r="C825" t="inlineStr">
        <is>
          <t>tblDeviceModel</t>
        </is>
      </c>
      <c r="D825" t="n">
        <v>276</v>
      </c>
      <c r="E825" t="inlineStr">
        <is>
          <t>MOD000273</t>
        </is>
      </c>
      <c r="F825" t="inlineStr">
        <is>
          <t>DeviceFamilyID</t>
        </is>
      </c>
      <c r="G825" t="inlineStr">
        <is>
          <t>DF025</t>
        </is>
      </c>
      <c r="H825" t="inlineStr">
        <is>
          <t>tblDeviceFamilyIDCrosswalk</t>
        </is>
      </c>
      <c r="I825" t="inlineStr"/>
      <c r="J825" t="inlineStr">
        <is>
          <t>tblDeviceModel</t>
        </is>
      </c>
      <c r="K825" t="inlineStr">
        <is>
          <t>Exact ID</t>
        </is>
      </c>
      <c r="L825" t="inlineStr">
        <is>
          <t>Crosswalk Pending</t>
        </is>
      </c>
      <c r="M825" t="inlineStr">
        <is>
          <t>Open</t>
        </is>
      </c>
      <c r="N825" t="inlineStr"/>
    </row>
    <row r="826">
      <c r="A826" t="inlineStr">
        <is>
          <t>FKEX00825</t>
        </is>
      </c>
      <c r="B826" t="inlineStr">
        <is>
          <t>15 LL_Device</t>
        </is>
      </c>
      <c r="C826" t="inlineStr">
        <is>
          <t>tblDeviceModel</t>
        </is>
      </c>
      <c r="D826" t="n">
        <v>276</v>
      </c>
      <c r="E826" t="inlineStr">
        <is>
          <t>MOD000273</t>
        </is>
      </c>
      <c r="F826" t="inlineStr">
        <is>
          <t>DeviceTypeID</t>
        </is>
      </c>
      <c r="G826" t="inlineStr">
        <is>
          <t>DT001</t>
        </is>
      </c>
      <c r="H826" t="inlineStr">
        <is>
          <t>tblDeviceTypeIDCrosswalk</t>
        </is>
      </c>
      <c r="I826" t="inlineStr"/>
      <c r="J826" t="inlineStr">
        <is>
          <t>No Supported Match</t>
        </is>
      </c>
      <c r="K826" t="inlineStr">
        <is>
          <t>None</t>
        </is>
      </c>
      <c r="L826" t="inlineStr">
        <is>
          <t>Crosswalk Pending</t>
        </is>
      </c>
      <c r="M826" t="inlineStr">
        <is>
          <t>Open</t>
        </is>
      </c>
      <c r="N826" t="inlineStr"/>
    </row>
    <row r="827">
      <c r="A827" t="inlineStr">
        <is>
          <t>FKEX00826</t>
        </is>
      </c>
      <c r="B827" t="inlineStr">
        <is>
          <t>15 LL_Device</t>
        </is>
      </c>
      <c r="C827" t="inlineStr">
        <is>
          <t>tblDeviceModel</t>
        </is>
      </c>
      <c r="D827" t="n">
        <v>277</v>
      </c>
      <c r="E827" t="inlineStr">
        <is>
          <t>MOD000274</t>
        </is>
      </c>
      <c r="F827" t="inlineStr">
        <is>
          <t>ManufacturerID</t>
        </is>
      </c>
      <c r="G827" t="inlineStr">
        <is>
          <t>MFG002</t>
        </is>
      </c>
      <c r="H827" t="inlineStr">
        <is>
          <t>tblManufacturerIDCrosswalk</t>
        </is>
      </c>
      <c r="I827" t="inlineStr"/>
      <c r="J827" t="inlineStr">
        <is>
          <t>No Supported Match</t>
        </is>
      </c>
      <c r="K827" t="inlineStr">
        <is>
          <t>None</t>
        </is>
      </c>
      <c r="L827" t="inlineStr">
        <is>
          <t>Crosswalk Pending</t>
        </is>
      </c>
      <c r="M827" t="inlineStr">
        <is>
          <t>Open</t>
        </is>
      </c>
      <c r="N827" t="inlineStr"/>
    </row>
    <row r="828">
      <c r="A828" t="inlineStr">
        <is>
          <t>FKEX00827</t>
        </is>
      </c>
      <c r="B828" t="inlineStr">
        <is>
          <t>15 LL_Device</t>
        </is>
      </c>
      <c r="C828" t="inlineStr">
        <is>
          <t>tblDeviceModel</t>
        </is>
      </c>
      <c r="D828" t="n">
        <v>277</v>
      </c>
      <c r="E828" t="inlineStr">
        <is>
          <t>MOD000274</t>
        </is>
      </c>
      <c r="F828" t="inlineStr">
        <is>
          <t>DeviceFamilyID</t>
        </is>
      </c>
      <c r="G828" t="inlineStr">
        <is>
          <t>DF025</t>
        </is>
      </c>
      <c r="H828" t="inlineStr">
        <is>
          <t>tblDeviceFamilyIDCrosswalk</t>
        </is>
      </c>
      <c r="I828" t="inlineStr"/>
      <c r="J828" t="inlineStr">
        <is>
          <t>tblDeviceModel</t>
        </is>
      </c>
      <c r="K828" t="inlineStr">
        <is>
          <t>Exact ID</t>
        </is>
      </c>
      <c r="L828" t="inlineStr">
        <is>
          <t>Crosswalk Pending</t>
        </is>
      </c>
      <c r="M828" t="inlineStr">
        <is>
          <t>Open</t>
        </is>
      </c>
      <c r="N828" t="inlineStr"/>
    </row>
    <row r="829">
      <c r="A829" t="inlineStr">
        <is>
          <t>FKEX00828</t>
        </is>
      </c>
      <c r="B829" t="inlineStr">
        <is>
          <t>15 LL_Device</t>
        </is>
      </c>
      <c r="C829" t="inlineStr">
        <is>
          <t>tblDeviceModel</t>
        </is>
      </c>
      <c r="D829" t="n">
        <v>277</v>
      </c>
      <c r="E829" t="inlineStr">
        <is>
          <t>MOD000274</t>
        </is>
      </c>
      <c r="F829" t="inlineStr">
        <is>
          <t>DeviceTypeID</t>
        </is>
      </c>
      <c r="G829" t="inlineStr">
        <is>
          <t>DT001</t>
        </is>
      </c>
      <c r="H829" t="inlineStr">
        <is>
          <t>tblDeviceTypeIDCrosswalk</t>
        </is>
      </c>
      <c r="I829" t="inlineStr"/>
      <c r="J829" t="inlineStr">
        <is>
          <t>No Supported Match</t>
        </is>
      </c>
      <c r="K829" t="inlineStr">
        <is>
          <t>None</t>
        </is>
      </c>
      <c r="L829" t="inlineStr">
        <is>
          <t>Crosswalk Pending</t>
        </is>
      </c>
      <c r="M829" t="inlineStr">
        <is>
          <t>Open</t>
        </is>
      </c>
      <c r="N829" t="inlineStr"/>
    </row>
    <row r="830">
      <c r="A830" t="inlineStr">
        <is>
          <t>FKEX00829</t>
        </is>
      </c>
      <c r="B830" t="inlineStr">
        <is>
          <t>15 LL_Device</t>
        </is>
      </c>
      <c r="C830" t="inlineStr">
        <is>
          <t>tblDeviceModel</t>
        </is>
      </c>
      <c r="D830" t="n">
        <v>278</v>
      </c>
      <c r="E830" t="inlineStr">
        <is>
          <t>MOD000275</t>
        </is>
      </c>
      <c r="F830" t="inlineStr">
        <is>
          <t>ManufacturerID</t>
        </is>
      </c>
      <c r="G830" t="inlineStr">
        <is>
          <t>MFG002</t>
        </is>
      </c>
      <c r="H830" t="inlineStr">
        <is>
          <t>tblManufacturerIDCrosswalk</t>
        </is>
      </c>
      <c r="I830" t="inlineStr"/>
      <c r="J830" t="inlineStr">
        <is>
          <t>No Supported Match</t>
        </is>
      </c>
      <c r="K830" t="inlineStr">
        <is>
          <t>None</t>
        </is>
      </c>
      <c r="L830" t="inlineStr">
        <is>
          <t>Crosswalk Pending</t>
        </is>
      </c>
      <c r="M830" t="inlineStr">
        <is>
          <t>Open</t>
        </is>
      </c>
      <c r="N830" t="inlineStr"/>
    </row>
    <row r="831">
      <c r="A831" t="inlineStr">
        <is>
          <t>FKEX00830</t>
        </is>
      </c>
      <c r="B831" t="inlineStr">
        <is>
          <t>15 LL_Device</t>
        </is>
      </c>
      <c r="C831" t="inlineStr">
        <is>
          <t>tblDeviceModel</t>
        </is>
      </c>
      <c r="D831" t="n">
        <v>278</v>
      </c>
      <c r="E831" t="inlineStr">
        <is>
          <t>MOD000275</t>
        </is>
      </c>
      <c r="F831" t="inlineStr">
        <is>
          <t>DeviceFamilyID</t>
        </is>
      </c>
      <c r="G831" t="inlineStr">
        <is>
          <t>DF025</t>
        </is>
      </c>
      <c r="H831" t="inlineStr">
        <is>
          <t>tblDeviceFamilyIDCrosswalk</t>
        </is>
      </c>
      <c r="I831" t="inlineStr"/>
      <c r="J831" t="inlineStr">
        <is>
          <t>tblDeviceModel</t>
        </is>
      </c>
      <c r="K831" t="inlineStr">
        <is>
          <t>Exact ID</t>
        </is>
      </c>
      <c r="L831" t="inlineStr">
        <is>
          <t>Crosswalk Pending</t>
        </is>
      </c>
      <c r="M831" t="inlineStr">
        <is>
          <t>Open</t>
        </is>
      </c>
      <c r="N831" t="inlineStr"/>
    </row>
    <row r="832">
      <c r="A832" t="inlineStr">
        <is>
          <t>FKEX00831</t>
        </is>
      </c>
      <c r="B832" t="inlineStr">
        <is>
          <t>15 LL_Device</t>
        </is>
      </c>
      <c r="C832" t="inlineStr">
        <is>
          <t>tblDeviceModel</t>
        </is>
      </c>
      <c r="D832" t="n">
        <v>278</v>
      </c>
      <c r="E832" t="inlineStr">
        <is>
          <t>MOD000275</t>
        </is>
      </c>
      <c r="F832" t="inlineStr">
        <is>
          <t>DeviceTypeID</t>
        </is>
      </c>
      <c r="G832" t="inlineStr">
        <is>
          <t>DT001</t>
        </is>
      </c>
      <c r="H832" t="inlineStr">
        <is>
          <t>tblDeviceTypeIDCrosswalk</t>
        </is>
      </c>
      <c r="I832" t="inlineStr"/>
      <c r="J832" t="inlineStr">
        <is>
          <t>No Supported Match</t>
        </is>
      </c>
      <c r="K832" t="inlineStr">
        <is>
          <t>None</t>
        </is>
      </c>
      <c r="L832" t="inlineStr">
        <is>
          <t>Crosswalk Pending</t>
        </is>
      </c>
      <c r="M832" t="inlineStr">
        <is>
          <t>Open</t>
        </is>
      </c>
      <c r="N832" t="inlineStr"/>
    </row>
    <row r="833">
      <c r="A833" t="inlineStr">
        <is>
          <t>FKEX00832</t>
        </is>
      </c>
      <c r="B833" t="inlineStr">
        <is>
          <t>15 LL_Device</t>
        </is>
      </c>
      <c r="C833" t="inlineStr">
        <is>
          <t>tblDeviceModel</t>
        </is>
      </c>
      <c r="D833" t="n">
        <v>279</v>
      </c>
      <c r="E833" t="inlineStr">
        <is>
          <t>MOD000276</t>
        </is>
      </c>
      <c r="F833" t="inlineStr">
        <is>
          <t>ManufacturerID</t>
        </is>
      </c>
      <c r="G833" t="inlineStr">
        <is>
          <t>MFG002</t>
        </is>
      </c>
      <c r="H833" t="inlineStr">
        <is>
          <t>tblManufacturerIDCrosswalk</t>
        </is>
      </c>
      <c r="I833" t="inlineStr"/>
      <c r="J833" t="inlineStr">
        <is>
          <t>No Supported Match</t>
        </is>
      </c>
      <c r="K833" t="inlineStr">
        <is>
          <t>None</t>
        </is>
      </c>
      <c r="L833" t="inlineStr">
        <is>
          <t>Crosswalk Pending</t>
        </is>
      </c>
      <c r="M833" t="inlineStr">
        <is>
          <t>Open</t>
        </is>
      </c>
      <c r="N833" t="inlineStr"/>
    </row>
    <row r="834">
      <c r="A834" t="inlineStr">
        <is>
          <t>FKEX00833</t>
        </is>
      </c>
      <c r="B834" t="inlineStr">
        <is>
          <t>15 LL_Device</t>
        </is>
      </c>
      <c r="C834" t="inlineStr">
        <is>
          <t>tblDeviceModel</t>
        </is>
      </c>
      <c r="D834" t="n">
        <v>279</v>
      </c>
      <c r="E834" t="inlineStr">
        <is>
          <t>MOD000276</t>
        </is>
      </c>
      <c r="F834" t="inlineStr">
        <is>
          <t>DeviceFamilyID</t>
        </is>
      </c>
      <c r="G834" t="inlineStr">
        <is>
          <t>DF025</t>
        </is>
      </c>
      <c r="H834" t="inlineStr">
        <is>
          <t>tblDeviceFamilyIDCrosswalk</t>
        </is>
      </c>
      <c r="I834" t="inlineStr"/>
      <c r="J834" t="inlineStr">
        <is>
          <t>tblDeviceModel</t>
        </is>
      </c>
      <c r="K834" t="inlineStr">
        <is>
          <t>Exact ID</t>
        </is>
      </c>
      <c r="L834" t="inlineStr">
        <is>
          <t>Crosswalk Pending</t>
        </is>
      </c>
      <c r="M834" t="inlineStr">
        <is>
          <t>Open</t>
        </is>
      </c>
      <c r="N834" t="inlineStr"/>
    </row>
    <row r="835">
      <c r="A835" t="inlineStr">
        <is>
          <t>FKEX00834</t>
        </is>
      </c>
      <c r="B835" t="inlineStr">
        <is>
          <t>15 LL_Device</t>
        </is>
      </c>
      <c r="C835" t="inlineStr">
        <is>
          <t>tblDeviceModel</t>
        </is>
      </c>
      <c r="D835" t="n">
        <v>279</v>
      </c>
      <c r="E835" t="inlineStr">
        <is>
          <t>MOD000276</t>
        </is>
      </c>
      <c r="F835" t="inlineStr">
        <is>
          <t>DeviceTypeID</t>
        </is>
      </c>
      <c r="G835" t="inlineStr">
        <is>
          <t>DT001</t>
        </is>
      </c>
      <c r="H835" t="inlineStr">
        <is>
          <t>tblDeviceTypeIDCrosswalk</t>
        </is>
      </c>
      <c r="I835" t="inlineStr"/>
      <c r="J835" t="inlineStr">
        <is>
          <t>No Supported Match</t>
        </is>
      </c>
      <c r="K835" t="inlineStr">
        <is>
          <t>None</t>
        </is>
      </c>
      <c r="L835" t="inlineStr">
        <is>
          <t>Crosswalk Pending</t>
        </is>
      </c>
      <c r="M835" t="inlineStr">
        <is>
          <t>Open</t>
        </is>
      </c>
      <c r="N835" t="inlineStr"/>
    </row>
    <row r="836">
      <c r="A836" t="inlineStr">
        <is>
          <t>FKEX00835</t>
        </is>
      </c>
      <c r="B836" t="inlineStr">
        <is>
          <t>15 LL_Device</t>
        </is>
      </c>
      <c r="C836" t="inlineStr">
        <is>
          <t>tblDeviceModel</t>
        </is>
      </c>
      <c r="D836" t="n">
        <v>280</v>
      </c>
      <c r="E836" t="inlineStr">
        <is>
          <t>MOD000277</t>
        </is>
      </c>
      <c r="F836" t="inlineStr">
        <is>
          <t>ManufacturerID</t>
        </is>
      </c>
      <c r="G836" t="inlineStr">
        <is>
          <t>MFG002</t>
        </is>
      </c>
      <c r="H836" t="inlineStr">
        <is>
          <t>tblManufacturerIDCrosswalk</t>
        </is>
      </c>
      <c r="I836" t="inlineStr"/>
      <c r="J836" t="inlineStr">
        <is>
          <t>No Supported Match</t>
        </is>
      </c>
      <c r="K836" t="inlineStr">
        <is>
          <t>None</t>
        </is>
      </c>
      <c r="L836" t="inlineStr">
        <is>
          <t>Crosswalk Pending</t>
        </is>
      </c>
      <c r="M836" t="inlineStr">
        <is>
          <t>Open</t>
        </is>
      </c>
      <c r="N836" t="inlineStr"/>
    </row>
    <row r="837">
      <c r="A837" t="inlineStr">
        <is>
          <t>FKEX00836</t>
        </is>
      </c>
      <c r="B837" t="inlineStr">
        <is>
          <t>15 LL_Device</t>
        </is>
      </c>
      <c r="C837" t="inlineStr">
        <is>
          <t>tblDeviceModel</t>
        </is>
      </c>
      <c r="D837" t="n">
        <v>280</v>
      </c>
      <c r="E837" t="inlineStr">
        <is>
          <t>MOD000277</t>
        </is>
      </c>
      <c r="F837" t="inlineStr">
        <is>
          <t>DeviceFamilyID</t>
        </is>
      </c>
      <c r="G837" t="inlineStr">
        <is>
          <t>DF025</t>
        </is>
      </c>
      <c r="H837" t="inlineStr">
        <is>
          <t>tblDeviceFamilyIDCrosswalk</t>
        </is>
      </c>
      <c r="I837" t="inlineStr"/>
      <c r="J837" t="inlineStr">
        <is>
          <t>tblDeviceModel</t>
        </is>
      </c>
      <c r="K837" t="inlineStr">
        <is>
          <t>Exact ID</t>
        </is>
      </c>
      <c r="L837" t="inlineStr">
        <is>
          <t>Crosswalk Pending</t>
        </is>
      </c>
      <c r="M837" t="inlineStr">
        <is>
          <t>Open</t>
        </is>
      </c>
      <c r="N837" t="inlineStr"/>
    </row>
    <row r="838">
      <c r="A838" t="inlineStr">
        <is>
          <t>FKEX00837</t>
        </is>
      </c>
      <c r="B838" t="inlineStr">
        <is>
          <t>15 LL_Device</t>
        </is>
      </c>
      <c r="C838" t="inlineStr">
        <is>
          <t>tblDeviceModel</t>
        </is>
      </c>
      <c r="D838" t="n">
        <v>280</v>
      </c>
      <c r="E838" t="inlineStr">
        <is>
          <t>MOD000277</t>
        </is>
      </c>
      <c r="F838" t="inlineStr">
        <is>
          <t>DeviceTypeID</t>
        </is>
      </c>
      <c r="G838" t="inlineStr">
        <is>
          <t>DT001</t>
        </is>
      </c>
      <c r="H838" t="inlineStr">
        <is>
          <t>tblDeviceTypeIDCrosswalk</t>
        </is>
      </c>
      <c r="I838" t="inlineStr"/>
      <c r="J838" t="inlineStr">
        <is>
          <t>No Supported Match</t>
        </is>
      </c>
      <c r="K838" t="inlineStr">
        <is>
          <t>None</t>
        </is>
      </c>
      <c r="L838" t="inlineStr">
        <is>
          <t>Crosswalk Pending</t>
        </is>
      </c>
      <c r="M838" t="inlineStr">
        <is>
          <t>Open</t>
        </is>
      </c>
      <c r="N838" t="inlineStr"/>
    </row>
    <row r="839">
      <c r="A839" t="inlineStr">
        <is>
          <t>FKEX00838</t>
        </is>
      </c>
      <c r="B839" t="inlineStr">
        <is>
          <t>15 LL_Device</t>
        </is>
      </c>
      <c r="C839" t="inlineStr">
        <is>
          <t>tblDeviceModel</t>
        </is>
      </c>
      <c r="D839" t="n">
        <v>281</v>
      </c>
      <c r="E839" t="inlineStr">
        <is>
          <t>MOD000278</t>
        </is>
      </c>
      <c r="F839" t="inlineStr">
        <is>
          <t>ManufacturerID</t>
        </is>
      </c>
      <c r="G839" t="inlineStr">
        <is>
          <t>MFG002</t>
        </is>
      </c>
      <c r="H839" t="inlineStr">
        <is>
          <t>tblManufacturerIDCrosswalk</t>
        </is>
      </c>
      <c r="I839" t="inlineStr"/>
      <c r="J839" t="inlineStr">
        <is>
          <t>No Supported Match</t>
        </is>
      </c>
      <c r="K839" t="inlineStr">
        <is>
          <t>None</t>
        </is>
      </c>
      <c r="L839" t="inlineStr">
        <is>
          <t>Crosswalk Pending</t>
        </is>
      </c>
      <c r="M839" t="inlineStr">
        <is>
          <t>Open</t>
        </is>
      </c>
      <c r="N839" t="inlineStr"/>
    </row>
    <row r="840">
      <c r="A840" t="inlineStr">
        <is>
          <t>FKEX00839</t>
        </is>
      </c>
      <c r="B840" t="inlineStr">
        <is>
          <t>15 LL_Device</t>
        </is>
      </c>
      <c r="C840" t="inlineStr">
        <is>
          <t>tblDeviceModel</t>
        </is>
      </c>
      <c r="D840" t="n">
        <v>281</v>
      </c>
      <c r="E840" t="inlineStr">
        <is>
          <t>MOD000278</t>
        </is>
      </c>
      <c r="F840" t="inlineStr">
        <is>
          <t>DeviceFamilyID</t>
        </is>
      </c>
      <c r="G840" t="inlineStr">
        <is>
          <t>DF025</t>
        </is>
      </c>
      <c r="H840" t="inlineStr">
        <is>
          <t>tblDeviceFamilyIDCrosswalk</t>
        </is>
      </c>
      <c r="I840" t="inlineStr"/>
      <c r="J840" t="inlineStr">
        <is>
          <t>tblDeviceModel</t>
        </is>
      </c>
      <c r="K840" t="inlineStr">
        <is>
          <t>Exact ID</t>
        </is>
      </c>
      <c r="L840" t="inlineStr">
        <is>
          <t>Crosswalk Pending</t>
        </is>
      </c>
      <c r="M840" t="inlineStr">
        <is>
          <t>Open</t>
        </is>
      </c>
      <c r="N840" t="inlineStr"/>
    </row>
    <row r="841">
      <c r="A841" t="inlineStr">
        <is>
          <t>FKEX00840</t>
        </is>
      </c>
      <c r="B841" t="inlineStr">
        <is>
          <t>15 LL_Device</t>
        </is>
      </c>
      <c r="C841" t="inlineStr">
        <is>
          <t>tblDeviceModel</t>
        </is>
      </c>
      <c r="D841" t="n">
        <v>281</v>
      </c>
      <c r="E841" t="inlineStr">
        <is>
          <t>MOD000278</t>
        </is>
      </c>
      <c r="F841" t="inlineStr">
        <is>
          <t>DeviceTypeID</t>
        </is>
      </c>
      <c r="G841" t="inlineStr">
        <is>
          <t>DT001</t>
        </is>
      </c>
      <c r="H841" t="inlineStr">
        <is>
          <t>tblDeviceTypeIDCrosswalk</t>
        </is>
      </c>
      <c r="I841" t="inlineStr"/>
      <c r="J841" t="inlineStr">
        <is>
          <t>No Supported Match</t>
        </is>
      </c>
      <c r="K841" t="inlineStr">
        <is>
          <t>None</t>
        </is>
      </c>
      <c r="L841" t="inlineStr">
        <is>
          <t>Crosswalk Pending</t>
        </is>
      </c>
      <c r="M841" t="inlineStr">
        <is>
          <t>Open</t>
        </is>
      </c>
      <c r="N841" t="inlineStr"/>
    </row>
    <row r="842">
      <c r="A842" t="inlineStr">
        <is>
          <t>FKEX00841</t>
        </is>
      </c>
      <c r="B842" t="inlineStr">
        <is>
          <t>15 LL_Device</t>
        </is>
      </c>
      <c r="C842" t="inlineStr">
        <is>
          <t>tblDeviceModel</t>
        </is>
      </c>
      <c r="D842" t="n">
        <v>282</v>
      </c>
      <c r="E842" t="inlineStr">
        <is>
          <t>MOD000279</t>
        </is>
      </c>
      <c r="F842" t="inlineStr">
        <is>
          <t>ManufacturerID</t>
        </is>
      </c>
      <c r="G842" t="inlineStr">
        <is>
          <t>MFG002</t>
        </is>
      </c>
      <c r="H842" t="inlineStr">
        <is>
          <t>tblManufacturerIDCrosswalk</t>
        </is>
      </c>
      <c r="I842" t="inlineStr"/>
      <c r="J842" t="inlineStr">
        <is>
          <t>No Supported Match</t>
        </is>
      </c>
      <c r="K842" t="inlineStr">
        <is>
          <t>None</t>
        </is>
      </c>
      <c r="L842" t="inlineStr">
        <is>
          <t>Crosswalk Pending</t>
        </is>
      </c>
      <c r="M842" t="inlineStr">
        <is>
          <t>Open</t>
        </is>
      </c>
      <c r="N842" t="inlineStr"/>
    </row>
    <row r="843">
      <c r="A843" t="inlineStr">
        <is>
          <t>FKEX00842</t>
        </is>
      </c>
      <c r="B843" t="inlineStr">
        <is>
          <t>15 LL_Device</t>
        </is>
      </c>
      <c r="C843" t="inlineStr">
        <is>
          <t>tblDeviceModel</t>
        </is>
      </c>
      <c r="D843" t="n">
        <v>282</v>
      </c>
      <c r="E843" t="inlineStr">
        <is>
          <t>MOD000279</t>
        </is>
      </c>
      <c r="F843" t="inlineStr">
        <is>
          <t>DeviceFamilyID</t>
        </is>
      </c>
      <c r="G843" t="inlineStr">
        <is>
          <t>DF025</t>
        </is>
      </c>
      <c r="H843" t="inlineStr">
        <is>
          <t>tblDeviceFamilyIDCrosswalk</t>
        </is>
      </c>
      <c r="I843" t="inlineStr"/>
      <c r="J843" t="inlineStr">
        <is>
          <t>tblDeviceModel</t>
        </is>
      </c>
      <c r="K843" t="inlineStr">
        <is>
          <t>Exact ID</t>
        </is>
      </c>
      <c r="L843" t="inlineStr">
        <is>
          <t>Crosswalk Pending</t>
        </is>
      </c>
      <c r="M843" t="inlineStr">
        <is>
          <t>Open</t>
        </is>
      </c>
      <c r="N843" t="inlineStr"/>
    </row>
    <row r="844">
      <c r="A844" t="inlineStr">
        <is>
          <t>FKEX00843</t>
        </is>
      </c>
      <c r="B844" t="inlineStr">
        <is>
          <t>15 LL_Device</t>
        </is>
      </c>
      <c r="C844" t="inlineStr">
        <is>
          <t>tblDeviceModel</t>
        </is>
      </c>
      <c r="D844" t="n">
        <v>282</v>
      </c>
      <c r="E844" t="inlineStr">
        <is>
          <t>MOD000279</t>
        </is>
      </c>
      <c r="F844" t="inlineStr">
        <is>
          <t>DeviceTypeID</t>
        </is>
      </c>
      <c r="G844" t="inlineStr">
        <is>
          <t>DT001</t>
        </is>
      </c>
      <c r="H844" t="inlineStr">
        <is>
          <t>tblDeviceTypeIDCrosswalk</t>
        </is>
      </c>
      <c r="I844" t="inlineStr"/>
      <c r="J844" t="inlineStr">
        <is>
          <t>No Supported Match</t>
        </is>
      </c>
      <c r="K844" t="inlineStr">
        <is>
          <t>None</t>
        </is>
      </c>
      <c r="L844" t="inlineStr">
        <is>
          <t>Crosswalk Pending</t>
        </is>
      </c>
      <c r="M844" t="inlineStr">
        <is>
          <t>Open</t>
        </is>
      </c>
      <c r="N844" t="inlineStr"/>
    </row>
    <row r="845">
      <c r="A845" t="inlineStr">
        <is>
          <t>FKEX00844</t>
        </is>
      </c>
      <c r="B845" t="inlineStr">
        <is>
          <t>15 LL_Device</t>
        </is>
      </c>
      <c r="C845" t="inlineStr">
        <is>
          <t>tblDeviceModel</t>
        </is>
      </c>
      <c r="D845" t="n">
        <v>283</v>
      </c>
      <c r="E845" t="inlineStr">
        <is>
          <t>MOD000280</t>
        </is>
      </c>
      <c r="F845" t="inlineStr">
        <is>
          <t>ManufacturerID</t>
        </is>
      </c>
      <c r="G845" t="inlineStr">
        <is>
          <t>MFG002</t>
        </is>
      </c>
      <c r="H845" t="inlineStr">
        <is>
          <t>tblManufacturerIDCrosswalk</t>
        </is>
      </c>
      <c r="I845" t="inlineStr"/>
      <c r="J845" t="inlineStr">
        <is>
          <t>No Supported Match</t>
        </is>
      </c>
      <c r="K845" t="inlineStr">
        <is>
          <t>None</t>
        </is>
      </c>
      <c r="L845" t="inlineStr">
        <is>
          <t>Crosswalk Pending</t>
        </is>
      </c>
      <c r="M845" t="inlineStr">
        <is>
          <t>Open</t>
        </is>
      </c>
      <c r="N845" t="inlineStr"/>
    </row>
    <row r="846">
      <c r="A846" t="inlineStr">
        <is>
          <t>FKEX00845</t>
        </is>
      </c>
      <c r="B846" t="inlineStr">
        <is>
          <t>15 LL_Device</t>
        </is>
      </c>
      <c r="C846" t="inlineStr">
        <is>
          <t>tblDeviceModel</t>
        </is>
      </c>
      <c r="D846" t="n">
        <v>283</v>
      </c>
      <c r="E846" t="inlineStr">
        <is>
          <t>MOD000280</t>
        </is>
      </c>
      <c r="F846" t="inlineStr">
        <is>
          <t>DeviceFamilyID</t>
        </is>
      </c>
      <c r="G846" t="inlineStr">
        <is>
          <t>DF025</t>
        </is>
      </c>
      <c r="H846" t="inlineStr">
        <is>
          <t>tblDeviceFamilyIDCrosswalk</t>
        </is>
      </c>
      <c r="I846" t="inlineStr"/>
      <c r="J846" t="inlineStr">
        <is>
          <t>tblDeviceModel</t>
        </is>
      </c>
      <c r="K846" t="inlineStr">
        <is>
          <t>Exact ID</t>
        </is>
      </c>
      <c r="L846" t="inlineStr">
        <is>
          <t>Crosswalk Pending</t>
        </is>
      </c>
      <c r="M846" t="inlineStr">
        <is>
          <t>Open</t>
        </is>
      </c>
      <c r="N846" t="inlineStr"/>
    </row>
    <row r="847">
      <c r="A847" t="inlineStr">
        <is>
          <t>FKEX00846</t>
        </is>
      </c>
      <c r="B847" t="inlineStr">
        <is>
          <t>15 LL_Device</t>
        </is>
      </c>
      <c r="C847" t="inlineStr">
        <is>
          <t>tblDeviceModel</t>
        </is>
      </c>
      <c r="D847" t="n">
        <v>283</v>
      </c>
      <c r="E847" t="inlineStr">
        <is>
          <t>MOD000280</t>
        </is>
      </c>
      <c r="F847" t="inlineStr">
        <is>
          <t>DeviceTypeID</t>
        </is>
      </c>
      <c r="G847" t="inlineStr">
        <is>
          <t>DT001</t>
        </is>
      </c>
      <c r="H847" t="inlineStr">
        <is>
          <t>tblDeviceTypeIDCrosswalk</t>
        </is>
      </c>
      <c r="I847" t="inlineStr"/>
      <c r="J847" t="inlineStr">
        <is>
          <t>No Supported Match</t>
        </is>
      </c>
      <c r="K847" t="inlineStr">
        <is>
          <t>None</t>
        </is>
      </c>
      <c r="L847" t="inlineStr">
        <is>
          <t>Crosswalk Pending</t>
        </is>
      </c>
      <c r="M847" t="inlineStr">
        <is>
          <t>Open</t>
        </is>
      </c>
      <c r="N847" t="inlineStr"/>
    </row>
    <row r="848">
      <c r="A848" t="inlineStr">
        <is>
          <t>FKEX00847</t>
        </is>
      </c>
      <c r="B848" t="inlineStr">
        <is>
          <t>15 LL_Device</t>
        </is>
      </c>
      <c r="C848" t="inlineStr">
        <is>
          <t>tblDeviceModel</t>
        </is>
      </c>
      <c r="D848" t="n">
        <v>284</v>
      </c>
      <c r="E848" t="inlineStr">
        <is>
          <t>MOD000281</t>
        </is>
      </c>
      <c r="F848" t="inlineStr">
        <is>
          <t>ManufacturerID</t>
        </is>
      </c>
      <c r="G848" t="inlineStr">
        <is>
          <t>MFG002</t>
        </is>
      </c>
      <c r="H848" t="inlineStr">
        <is>
          <t>tblManufacturerIDCrosswalk</t>
        </is>
      </c>
      <c r="I848" t="inlineStr"/>
      <c r="J848" t="inlineStr">
        <is>
          <t>No Supported Match</t>
        </is>
      </c>
      <c r="K848" t="inlineStr">
        <is>
          <t>None</t>
        </is>
      </c>
      <c r="L848" t="inlineStr">
        <is>
          <t>Crosswalk Pending</t>
        </is>
      </c>
      <c r="M848" t="inlineStr">
        <is>
          <t>Open</t>
        </is>
      </c>
      <c r="N848" t="inlineStr"/>
    </row>
    <row r="849">
      <c r="A849" t="inlineStr">
        <is>
          <t>FKEX00848</t>
        </is>
      </c>
      <c r="B849" t="inlineStr">
        <is>
          <t>15 LL_Device</t>
        </is>
      </c>
      <c r="C849" t="inlineStr">
        <is>
          <t>tblDeviceModel</t>
        </is>
      </c>
      <c r="D849" t="n">
        <v>284</v>
      </c>
      <c r="E849" t="inlineStr">
        <is>
          <t>MOD000281</t>
        </is>
      </c>
      <c r="F849" t="inlineStr">
        <is>
          <t>DeviceFamilyID</t>
        </is>
      </c>
      <c r="G849" t="inlineStr">
        <is>
          <t>DF025</t>
        </is>
      </c>
      <c r="H849" t="inlineStr">
        <is>
          <t>tblDeviceFamilyIDCrosswalk</t>
        </is>
      </c>
      <c r="I849" t="inlineStr"/>
      <c r="J849" t="inlineStr">
        <is>
          <t>tblDeviceModel</t>
        </is>
      </c>
      <c r="K849" t="inlineStr">
        <is>
          <t>Exact ID</t>
        </is>
      </c>
      <c r="L849" t="inlineStr">
        <is>
          <t>Crosswalk Pending</t>
        </is>
      </c>
      <c r="M849" t="inlineStr">
        <is>
          <t>Open</t>
        </is>
      </c>
      <c r="N849" t="inlineStr"/>
    </row>
    <row r="850">
      <c r="A850" t="inlineStr">
        <is>
          <t>FKEX00849</t>
        </is>
      </c>
      <c r="B850" t="inlineStr">
        <is>
          <t>15 LL_Device</t>
        </is>
      </c>
      <c r="C850" t="inlineStr">
        <is>
          <t>tblDeviceModel</t>
        </is>
      </c>
      <c r="D850" t="n">
        <v>284</v>
      </c>
      <c r="E850" t="inlineStr">
        <is>
          <t>MOD000281</t>
        </is>
      </c>
      <c r="F850" t="inlineStr">
        <is>
          <t>DeviceTypeID</t>
        </is>
      </c>
      <c r="G850" t="inlineStr">
        <is>
          <t>DT001</t>
        </is>
      </c>
      <c r="H850" t="inlineStr">
        <is>
          <t>tblDeviceTypeIDCrosswalk</t>
        </is>
      </c>
      <c r="I850" t="inlineStr"/>
      <c r="J850" t="inlineStr">
        <is>
          <t>No Supported Match</t>
        </is>
      </c>
      <c r="K850" t="inlineStr">
        <is>
          <t>None</t>
        </is>
      </c>
      <c r="L850" t="inlineStr">
        <is>
          <t>Crosswalk Pending</t>
        </is>
      </c>
      <c r="M850" t="inlineStr">
        <is>
          <t>Open</t>
        </is>
      </c>
      <c r="N850" t="inlineStr"/>
    </row>
    <row r="851">
      <c r="A851" t="inlineStr">
        <is>
          <t>FKEX00850</t>
        </is>
      </c>
      <c r="B851" t="inlineStr">
        <is>
          <t>15 LL_Device</t>
        </is>
      </c>
      <c r="C851" t="inlineStr">
        <is>
          <t>tblDeviceModel</t>
        </is>
      </c>
      <c r="D851" t="n">
        <v>285</v>
      </c>
      <c r="E851" t="inlineStr">
        <is>
          <t>MOD000282</t>
        </is>
      </c>
      <c r="F851" t="inlineStr">
        <is>
          <t>ManufacturerID</t>
        </is>
      </c>
      <c r="G851" t="inlineStr">
        <is>
          <t>MFG002</t>
        </is>
      </c>
      <c r="H851" t="inlineStr">
        <is>
          <t>tblManufacturerIDCrosswalk</t>
        </is>
      </c>
      <c r="I851" t="inlineStr"/>
      <c r="J851" t="inlineStr">
        <is>
          <t>No Supported Match</t>
        </is>
      </c>
      <c r="K851" t="inlineStr">
        <is>
          <t>None</t>
        </is>
      </c>
      <c r="L851" t="inlineStr">
        <is>
          <t>Crosswalk Pending</t>
        </is>
      </c>
      <c r="M851" t="inlineStr">
        <is>
          <t>Open</t>
        </is>
      </c>
      <c r="N851" t="inlineStr"/>
    </row>
    <row r="852">
      <c r="A852" t="inlineStr">
        <is>
          <t>FKEX00851</t>
        </is>
      </c>
      <c r="B852" t="inlineStr">
        <is>
          <t>15 LL_Device</t>
        </is>
      </c>
      <c r="C852" t="inlineStr">
        <is>
          <t>tblDeviceModel</t>
        </is>
      </c>
      <c r="D852" t="n">
        <v>285</v>
      </c>
      <c r="E852" t="inlineStr">
        <is>
          <t>MOD000282</t>
        </is>
      </c>
      <c r="F852" t="inlineStr">
        <is>
          <t>DeviceFamilyID</t>
        </is>
      </c>
      <c r="G852" t="inlineStr">
        <is>
          <t>DF025</t>
        </is>
      </c>
      <c r="H852" t="inlineStr">
        <is>
          <t>tblDeviceFamilyIDCrosswalk</t>
        </is>
      </c>
      <c r="I852" t="inlineStr"/>
      <c r="J852" t="inlineStr">
        <is>
          <t>tblDeviceModel</t>
        </is>
      </c>
      <c r="K852" t="inlineStr">
        <is>
          <t>Exact ID</t>
        </is>
      </c>
      <c r="L852" t="inlineStr">
        <is>
          <t>Crosswalk Pending</t>
        </is>
      </c>
      <c r="M852" t="inlineStr">
        <is>
          <t>Open</t>
        </is>
      </c>
      <c r="N852" t="inlineStr"/>
    </row>
    <row r="853">
      <c r="A853" t="inlineStr">
        <is>
          <t>FKEX00852</t>
        </is>
      </c>
      <c r="B853" t="inlineStr">
        <is>
          <t>15 LL_Device</t>
        </is>
      </c>
      <c r="C853" t="inlineStr">
        <is>
          <t>tblDeviceModel</t>
        </is>
      </c>
      <c r="D853" t="n">
        <v>285</v>
      </c>
      <c r="E853" t="inlineStr">
        <is>
          <t>MOD000282</t>
        </is>
      </c>
      <c r="F853" t="inlineStr">
        <is>
          <t>DeviceTypeID</t>
        </is>
      </c>
      <c r="G853" t="inlineStr">
        <is>
          <t>DT001</t>
        </is>
      </c>
      <c r="H853" t="inlineStr">
        <is>
          <t>tblDeviceTypeIDCrosswalk</t>
        </is>
      </c>
      <c r="I853" t="inlineStr"/>
      <c r="J853" t="inlineStr">
        <is>
          <t>No Supported Match</t>
        </is>
      </c>
      <c r="K853" t="inlineStr">
        <is>
          <t>None</t>
        </is>
      </c>
      <c r="L853" t="inlineStr">
        <is>
          <t>Crosswalk Pending</t>
        </is>
      </c>
      <c r="M853" t="inlineStr">
        <is>
          <t>Open</t>
        </is>
      </c>
      <c r="N853" t="inlineStr"/>
    </row>
    <row r="854">
      <c r="A854" t="inlineStr">
        <is>
          <t>FKEX00853</t>
        </is>
      </c>
      <c r="B854" t="inlineStr">
        <is>
          <t>15 LL_Device</t>
        </is>
      </c>
      <c r="C854" t="inlineStr">
        <is>
          <t>tblDeviceModel</t>
        </is>
      </c>
      <c r="D854" t="n">
        <v>286</v>
      </c>
      <c r="E854" t="inlineStr">
        <is>
          <t>MOD000283</t>
        </is>
      </c>
      <c r="F854" t="inlineStr">
        <is>
          <t>ManufacturerID</t>
        </is>
      </c>
      <c r="G854" t="inlineStr">
        <is>
          <t>MFG002</t>
        </is>
      </c>
      <c r="H854" t="inlineStr">
        <is>
          <t>tblManufacturerIDCrosswalk</t>
        </is>
      </c>
      <c r="I854" t="inlineStr"/>
      <c r="J854" t="inlineStr">
        <is>
          <t>No Supported Match</t>
        </is>
      </c>
      <c r="K854" t="inlineStr">
        <is>
          <t>None</t>
        </is>
      </c>
      <c r="L854" t="inlineStr">
        <is>
          <t>Crosswalk Pending</t>
        </is>
      </c>
      <c r="M854" t="inlineStr">
        <is>
          <t>Open</t>
        </is>
      </c>
      <c r="N854" t="inlineStr"/>
    </row>
    <row r="855">
      <c r="A855" t="inlineStr">
        <is>
          <t>FKEX00854</t>
        </is>
      </c>
      <c r="B855" t="inlineStr">
        <is>
          <t>15 LL_Device</t>
        </is>
      </c>
      <c r="C855" t="inlineStr">
        <is>
          <t>tblDeviceModel</t>
        </is>
      </c>
      <c r="D855" t="n">
        <v>286</v>
      </c>
      <c r="E855" t="inlineStr">
        <is>
          <t>MOD000283</t>
        </is>
      </c>
      <c r="F855" t="inlineStr">
        <is>
          <t>DeviceFamilyID</t>
        </is>
      </c>
      <c r="G855" t="inlineStr">
        <is>
          <t>DF025</t>
        </is>
      </c>
      <c r="H855" t="inlineStr">
        <is>
          <t>tblDeviceFamilyIDCrosswalk</t>
        </is>
      </c>
      <c r="I855" t="inlineStr"/>
      <c r="J855" t="inlineStr">
        <is>
          <t>tblDeviceModel</t>
        </is>
      </c>
      <c r="K855" t="inlineStr">
        <is>
          <t>Exact ID</t>
        </is>
      </c>
      <c r="L855" t="inlineStr">
        <is>
          <t>Crosswalk Pending</t>
        </is>
      </c>
      <c r="M855" t="inlineStr">
        <is>
          <t>Open</t>
        </is>
      </c>
      <c r="N855" t="inlineStr"/>
    </row>
    <row r="856">
      <c r="A856" t="inlineStr">
        <is>
          <t>FKEX00855</t>
        </is>
      </c>
      <c r="B856" t="inlineStr">
        <is>
          <t>15 LL_Device</t>
        </is>
      </c>
      <c r="C856" t="inlineStr">
        <is>
          <t>tblDeviceModel</t>
        </is>
      </c>
      <c r="D856" t="n">
        <v>286</v>
      </c>
      <c r="E856" t="inlineStr">
        <is>
          <t>MOD000283</t>
        </is>
      </c>
      <c r="F856" t="inlineStr">
        <is>
          <t>DeviceTypeID</t>
        </is>
      </c>
      <c r="G856" t="inlineStr">
        <is>
          <t>DT001</t>
        </is>
      </c>
      <c r="H856" t="inlineStr">
        <is>
          <t>tblDeviceTypeIDCrosswalk</t>
        </is>
      </c>
      <c r="I856" t="inlineStr"/>
      <c r="J856" t="inlineStr">
        <is>
          <t>No Supported Match</t>
        </is>
      </c>
      <c r="K856" t="inlineStr">
        <is>
          <t>None</t>
        </is>
      </c>
      <c r="L856" t="inlineStr">
        <is>
          <t>Crosswalk Pending</t>
        </is>
      </c>
      <c r="M856" t="inlineStr">
        <is>
          <t>Open</t>
        </is>
      </c>
      <c r="N856" t="inlineStr"/>
    </row>
    <row r="857">
      <c r="A857" t="inlineStr">
        <is>
          <t>FKEX00856</t>
        </is>
      </c>
      <c r="B857" t="inlineStr">
        <is>
          <t>15 LL_Device</t>
        </is>
      </c>
      <c r="C857" t="inlineStr">
        <is>
          <t>tblDeviceModel</t>
        </is>
      </c>
      <c r="D857" t="n">
        <v>287</v>
      </c>
      <c r="E857" t="inlineStr">
        <is>
          <t>MOD000284</t>
        </is>
      </c>
      <c r="F857" t="inlineStr">
        <is>
          <t>ManufacturerID</t>
        </is>
      </c>
      <c r="G857" t="inlineStr">
        <is>
          <t>MFG002</t>
        </is>
      </c>
      <c r="H857" t="inlineStr">
        <is>
          <t>tblManufacturerIDCrosswalk</t>
        </is>
      </c>
      <c r="I857" t="inlineStr"/>
      <c r="J857" t="inlineStr">
        <is>
          <t>No Supported Match</t>
        </is>
      </c>
      <c r="K857" t="inlineStr">
        <is>
          <t>None</t>
        </is>
      </c>
      <c r="L857" t="inlineStr">
        <is>
          <t>Crosswalk Pending</t>
        </is>
      </c>
      <c r="M857" t="inlineStr">
        <is>
          <t>Open</t>
        </is>
      </c>
      <c r="N857" t="inlineStr"/>
    </row>
    <row r="858">
      <c r="A858" t="inlineStr">
        <is>
          <t>FKEX00857</t>
        </is>
      </c>
      <c r="B858" t="inlineStr">
        <is>
          <t>15 LL_Device</t>
        </is>
      </c>
      <c r="C858" t="inlineStr">
        <is>
          <t>tblDeviceModel</t>
        </is>
      </c>
      <c r="D858" t="n">
        <v>287</v>
      </c>
      <c r="E858" t="inlineStr">
        <is>
          <t>MOD000284</t>
        </is>
      </c>
      <c r="F858" t="inlineStr">
        <is>
          <t>DeviceFamilyID</t>
        </is>
      </c>
      <c r="G858" t="inlineStr">
        <is>
          <t>DF026</t>
        </is>
      </c>
      <c r="H858" t="inlineStr">
        <is>
          <t>tblDeviceFamilyIDCrosswalk</t>
        </is>
      </c>
      <c r="I858" t="inlineStr"/>
      <c r="J858" t="inlineStr">
        <is>
          <t>tblDeviceModel</t>
        </is>
      </c>
      <c r="K858" t="inlineStr">
        <is>
          <t>Exact ID</t>
        </is>
      </c>
      <c r="L858" t="inlineStr">
        <is>
          <t>Crosswalk Pending</t>
        </is>
      </c>
      <c r="M858" t="inlineStr">
        <is>
          <t>Open</t>
        </is>
      </c>
      <c r="N858" t="inlineStr"/>
    </row>
    <row r="859">
      <c r="A859" t="inlineStr">
        <is>
          <t>FKEX00858</t>
        </is>
      </c>
      <c r="B859" t="inlineStr">
        <is>
          <t>15 LL_Device</t>
        </is>
      </c>
      <c r="C859" t="inlineStr">
        <is>
          <t>tblDeviceModel</t>
        </is>
      </c>
      <c r="D859" t="n">
        <v>287</v>
      </c>
      <c r="E859" t="inlineStr">
        <is>
          <t>MOD000284</t>
        </is>
      </c>
      <c r="F859" t="inlineStr">
        <is>
          <t>DeviceTypeID</t>
        </is>
      </c>
      <c r="G859" t="inlineStr">
        <is>
          <t>DT001</t>
        </is>
      </c>
      <c r="H859" t="inlineStr">
        <is>
          <t>tblDeviceTypeIDCrosswalk</t>
        </is>
      </c>
      <c r="I859" t="inlineStr"/>
      <c r="J859" t="inlineStr">
        <is>
          <t>No Supported Match</t>
        </is>
      </c>
      <c r="K859" t="inlineStr">
        <is>
          <t>None</t>
        </is>
      </c>
      <c r="L859" t="inlineStr">
        <is>
          <t>Crosswalk Pending</t>
        </is>
      </c>
      <c r="M859" t="inlineStr">
        <is>
          <t>Open</t>
        </is>
      </c>
      <c r="N859" t="inlineStr"/>
    </row>
    <row r="860">
      <c r="A860" t="inlineStr">
        <is>
          <t>FKEX00859</t>
        </is>
      </c>
      <c r="B860" t="inlineStr">
        <is>
          <t>15 LL_Device</t>
        </is>
      </c>
      <c r="C860" t="inlineStr">
        <is>
          <t>tblDeviceModel</t>
        </is>
      </c>
      <c r="D860" t="n">
        <v>288</v>
      </c>
      <c r="E860" t="inlineStr">
        <is>
          <t>MOD000285</t>
        </is>
      </c>
      <c r="F860" t="inlineStr">
        <is>
          <t>ManufacturerID</t>
        </is>
      </c>
      <c r="G860" t="inlineStr">
        <is>
          <t>MFG002</t>
        </is>
      </c>
      <c r="H860" t="inlineStr">
        <is>
          <t>tblManufacturerIDCrosswalk</t>
        </is>
      </c>
      <c r="I860" t="inlineStr"/>
      <c r="J860" t="inlineStr">
        <is>
          <t>No Supported Match</t>
        </is>
      </c>
      <c r="K860" t="inlineStr">
        <is>
          <t>None</t>
        </is>
      </c>
      <c r="L860" t="inlineStr">
        <is>
          <t>Crosswalk Pending</t>
        </is>
      </c>
      <c r="M860" t="inlineStr">
        <is>
          <t>Open</t>
        </is>
      </c>
      <c r="N860" t="inlineStr"/>
    </row>
    <row r="861">
      <c r="A861" t="inlineStr">
        <is>
          <t>FKEX00860</t>
        </is>
      </c>
      <c r="B861" t="inlineStr">
        <is>
          <t>15 LL_Device</t>
        </is>
      </c>
      <c r="C861" t="inlineStr">
        <is>
          <t>tblDeviceModel</t>
        </is>
      </c>
      <c r="D861" t="n">
        <v>288</v>
      </c>
      <c r="E861" t="inlineStr">
        <is>
          <t>MOD000285</t>
        </is>
      </c>
      <c r="F861" t="inlineStr">
        <is>
          <t>DeviceFamilyID</t>
        </is>
      </c>
      <c r="G861" t="inlineStr">
        <is>
          <t>DF026</t>
        </is>
      </c>
      <c r="H861" t="inlineStr">
        <is>
          <t>tblDeviceFamilyIDCrosswalk</t>
        </is>
      </c>
      <c r="I861" t="inlineStr"/>
      <c r="J861" t="inlineStr">
        <is>
          <t>tblDeviceModel</t>
        </is>
      </c>
      <c r="K861" t="inlineStr">
        <is>
          <t>Exact ID</t>
        </is>
      </c>
      <c r="L861" t="inlineStr">
        <is>
          <t>Crosswalk Pending</t>
        </is>
      </c>
      <c r="M861" t="inlineStr">
        <is>
          <t>Open</t>
        </is>
      </c>
      <c r="N861" t="inlineStr"/>
    </row>
    <row r="862">
      <c r="A862" t="inlineStr">
        <is>
          <t>FKEX00861</t>
        </is>
      </c>
      <c r="B862" t="inlineStr">
        <is>
          <t>15 LL_Device</t>
        </is>
      </c>
      <c r="C862" t="inlineStr">
        <is>
          <t>tblDeviceModel</t>
        </is>
      </c>
      <c r="D862" t="n">
        <v>288</v>
      </c>
      <c r="E862" t="inlineStr">
        <is>
          <t>MOD000285</t>
        </is>
      </c>
      <c r="F862" t="inlineStr">
        <is>
          <t>DeviceTypeID</t>
        </is>
      </c>
      <c r="G862" t="inlineStr">
        <is>
          <t>DT001</t>
        </is>
      </c>
      <c r="H862" t="inlineStr">
        <is>
          <t>tblDeviceTypeIDCrosswalk</t>
        </is>
      </c>
      <c r="I862" t="inlineStr"/>
      <c r="J862" t="inlineStr">
        <is>
          <t>No Supported Match</t>
        </is>
      </c>
      <c r="K862" t="inlineStr">
        <is>
          <t>None</t>
        </is>
      </c>
      <c r="L862" t="inlineStr">
        <is>
          <t>Crosswalk Pending</t>
        </is>
      </c>
      <c r="M862" t="inlineStr">
        <is>
          <t>Open</t>
        </is>
      </c>
      <c r="N862" t="inlineStr"/>
    </row>
    <row r="863">
      <c r="A863" t="inlineStr">
        <is>
          <t>FKEX00862</t>
        </is>
      </c>
      <c r="B863" t="inlineStr">
        <is>
          <t>15 LL_Device</t>
        </is>
      </c>
      <c r="C863" t="inlineStr">
        <is>
          <t>tblDeviceModel</t>
        </is>
      </c>
      <c r="D863" t="n">
        <v>289</v>
      </c>
      <c r="E863" t="inlineStr">
        <is>
          <t>MOD000286</t>
        </is>
      </c>
      <c r="F863" t="inlineStr">
        <is>
          <t>ManufacturerID</t>
        </is>
      </c>
      <c r="G863" t="inlineStr">
        <is>
          <t>MFG002</t>
        </is>
      </c>
      <c r="H863" t="inlineStr">
        <is>
          <t>tblManufacturerIDCrosswalk</t>
        </is>
      </c>
      <c r="I863" t="inlineStr"/>
      <c r="J863" t="inlineStr">
        <is>
          <t>No Supported Match</t>
        </is>
      </c>
      <c r="K863" t="inlineStr">
        <is>
          <t>None</t>
        </is>
      </c>
      <c r="L863" t="inlineStr">
        <is>
          <t>Crosswalk Pending</t>
        </is>
      </c>
      <c r="M863" t="inlineStr">
        <is>
          <t>Open</t>
        </is>
      </c>
      <c r="N863" t="inlineStr"/>
    </row>
    <row r="864">
      <c r="A864" t="inlineStr">
        <is>
          <t>FKEX00863</t>
        </is>
      </c>
      <c r="B864" t="inlineStr">
        <is>
          <t>15 LL_Device</t>
        </is>
      </c>
      <c r="C864" t="inlineStr">
        <is>
          <t>tblDeviceModel</t>
        </is>
      </c>
      <c r="D864" t="n">
        <v>289</v>
      </c>
      <c r="E864" t="inlineStr">
        <is>
          <t>MOD000286</t>
        </is>
      </c>
      <c r="F864" t="inlineStr">
        <is>
          <t>DeviceFamilyID</t>
        </is>
      </c>
      <c r="G864" t="inlineStr">
        <is>
          <t>DF026</t>
        </is>
      </c>
      <c r="H864" t="inlineStr">
        <is>
          <t>tblDeviceFamilyIDCrosswalk</t>
        </is>
      </c>
      <c r="I864" t="inlineStr"/>
      <c r="J864" t="inlineStr">
        <is>
          <t>tblDeviceModel</t>
        </is>
      </c>
      <c r="K864" t="inlineStr">
        <is>
          <t>Exact ID</t>
        </is>
      </c>
      <c r="L864" t="inlineStr">
        <is>
          <t>Crosswalk Pending</t>
        </is>
      </c>
      <c r="M864" t="inlineStr">
        <is>
          <t>Open</t>
        </is>
      </c>
      <c r="N864" t="inlineStr"/>
    </row>
    <row r="865">
      <c r="A865" t="inlineStr">
        <is>
          <t>FKEX00864</t>
        </is>
      </c>
      <c r="B865" t="inlineStr">
        <is>
          <t>15 LL_Device</t>
        </is>
      </c>
      <c r="C865" t="inlineStr">
        <is>
          <t>tblDeviceModel</t>
        </is>
      </c>
      <c r="D865" t="n">
        <v>289</v>
      </c>
      <c r="E865" t="inlineStr">
        <is>
          <t>MOD000286</t>
        </is>
      </c>
      <c r="F865" t="inlineStr">
        <is>
          <t>DeviceTypeID</t>
        </is>
      </c>
      <c r="G865" t="inlineStr">
        <is>
          <t>DT001</t>
        </is>
      </c>
      <c r="H865" t="inlineStr">
        <is>
          <t>tblDeviceTypeIDCrosswalk</t>
        </is>
      </c>
      <c r="I865" t="inlineStr"/>
      <c r="J865" t="inlineStr">
        <is>
          <t>No Supported Match</t>
        </is>
      </c>
      <c r="K865" t="inlineStr">
        <is>
          <t>None</t>
        </is>
      </c>
      <c r="L865" t="inlineStr">
        <is>
          <t>Crosswalk Pending</t>
        </is>
      </c>
      <c r="M865" t="inlineStr">
        <is>
          <t>Open</t>
        </is>
      </c>
      <c r="N865" t="inlineStr"/>
    </row>
    <row r="866">
      <c r="A866" t="inlineStr">
        <is>
          <t>FKEX00865</t>
        </is>
      </c>
      <c r="B866" t="inlineStr">
        <is>
          <t>15 LL_Device</t>
        </is>
      </c>
      <c r="C866" t="inlineStr">
        <is>
          <t>tblDeviceModel</t>
        </is>
      </c>
      <c r="D866" t="n">
        <v>290</v>
      </c>
      <c r="E866" t="inlineStr">
        <is>
          <t>MOD000287</t>
        </is>
      </c>
      <c r="F866" t="inlineStr">
        <is>
          <t>ManufacturerID</t>
        </is>
      </c>
      <c r="G866" t="inlineStr">
        <is>
          <t>MFG002</t>
        </is>
      </c>
      <c r="H866" t="inlineStr">
        <is>
          <t>tblManufacturerIDCrosswalk</t>
        </is>
      </c>
      <c r="I866" t="inlineStr"/>
      <c r="J866" t="inlineStr">
        <is>
          <t>No Supported Match</t>
        </is>
      </c>
      <c r="K866" t="inlineStr">
        <is>
          <t>None</t>
        </is>
      </c>
      <c r="L866" t="inlineStr">
        <is>
          <t>Crosswalk Pending</t>
        </is>
      </c>
      <c r="M866" t="inlineStr">
        <is>
          <t>Open</t>
        </is>
      </c>
      <c r="N866" t="inlineStr"/>
    </row>
    <row r="867">
      <c r="A867" t="inlineStr">
        <is>
          <t>FKEX00866</t>
        </is>
      </c>
      <c r="B867" t="inlineStr">
        <is>
          <t>15 LL_Device</t>
        </is>
      </c>
      <c r="C867" t="inlineStr">
        <is>
          <t>tblDeviceModel</t>
        </is>
      </c>
      <c r="D867" t="n">
        <v>290</v>
      </c>
      <c r="E867" t="inlineStr">
        <is>
          <t>MOD000287</t>
        </is>
      </c>
      <c r="F867" t="inlineStr">
        <is>
          <t>DeviceFamilyID</t>
        </is>
      </c>
      <c r="G867" t="inlineStr">
        <is>
          <t>DF026</t>
        </is>
      </c>
      <c r="H867" t="inlineStr">
        <is>
          <t>tblDeviceFamilyIDCrosswalk</t>
        </is>
      </c>
      <c r="I867" t="inlineStr"/>
      <c r="J867" t="inlineStr">
        <is>
          <t>tblDeviceModel</t>
        </is>
      </c>
      <c r="K867" t="inlineStr">
        <is>
          <t>Exact ID</t>
        </is>
      </c>
      <c r="L867" t="inlineStr">
        <is>
          <t>Crosswalk Pending</t>
        </is>
      </c>
      <c r="M867" t="inlineStr">
        <is>
          <t>Open</t>
        </is>
      </c>
      <c r="N867" t="inlineStr"/>
    </row>
    <row r="868">
      <c r="A868" t="inlineStr">
        <is>
          <t>FKEX00867</t>
        </is>
      </c>
      <c r="B868" t="inlineStr">
        <is>
          <t>15 LL_Device</t>
        </is>
      </c>
      <c r="C868" t="inlineStr">
        <is>
          <t>tblDeviceModel</t>
        </is>
      </c>
      <c r="D868" t="n">
        <v>290</v>
      </c>
      <c r="E868" t="inlineStr">
        <is>
          <t>MOD000287</t>
        </is>
      </c>
      <c r="F868" t="inlineStr">
        <is>
          <t>DeviceTypeID</t>
        </is>
      </c>
      <c r="G868" t="inlineStr">
        <is>
          <t>DT001</t>
        </is>
      </c>
      <c r="H868" t="inlineStr">
        <is>
          <t>tblDeviceTypeIDCrosswalk</t>
        </is>
      </c>
      <c r="I868" t="inlineStr"/>
      <c r="J868" t="inlineStr">
        <is>
          <t>No Supported Match</t>
        </is>
      </c>
      <c r="K868" t="inlineStr">
        <is>
          <t>None</t>
        </is>
      </c>
      <c r="L868" t="inlineStr">
        <is>
          <t>Crosswalk Pending</t>
        </is>
      </c>
      <c r="M868" t="inlineStr">
        <is>
          <t>Open</t>
        </is>
      </c>
      <c r="N868" t="inlineStr"/>
    </row>
    <row r="869">
      <c r="A869" t="inlineStr">
        <is>
          <t>FKEX00868</t>
        </is>
      </c>
      <c r="B869" t="inlineStr">
        <is>
          <t>15 LL_Device</t>
        </is>
      </c>
      <c r="C869" t="inlineStr">
        <is>
          <t>tblDeviceModel</t>
        </is>
      </c>
      <c r="D869" t="n">
        <v>291</v>
      </c>
      <c r="E869" t="inlineStr">
        <is>
          <t>MOD000288</t>
        </is>
      </c>
      <c r="F869" t="inlineStr">
        <is>
          <t>ManufacturerID</t>
        </is>
      </c>
      <c r="G869" t="inlineStr">
        <is>
          <t>MFG002</t>
        </is>
      </c>
      <c r="H869" t="inlineStr">
        <is>
          <t>tblManufacturerIDCrosswalk</t>
        </is>
      </c>
      <c r="I869" t="inlineStr"/>
      <c r="J869" t="inlineStr">
        <is>
          <t>No Supported Match</t>
        </is>
      </c>
      <c r="K869" t="inlineStr">
        <is>
          <t>None</t>
        </is>
      </c>
      <c r="L869" t="inlineStr">
        <is>
          <t>Crosswalk Pending</t>
        </is>
      </c>
      <c r="M869" t="inlineStr">
        <is>
          <t>Open</t>
        </is>
      </c>
      <c r="N869" t="inlineStr"/>
    </row>
    <row r="870">
      <c r="A870" t="inlineStr">
        <is>
          <t>FKEX00869</t>
        </is>
      </c>
      <c r="B870" t="inlineStr">
        <is>
          <t>15 LL_Device</t>
        </is>
      </c>
      <c r="C870" t="inlineStr">
        <is>
          <t>tblDeviceModel</t>
        </is>
      </c>
      <c r="D870" t="n">
        <v>291</v>
      </c>
      <c r="E870" t="inlineStr">
        <is>
          <t>MOD000288</t>
        </is>
      </c>
      <c r="F870" t="inlineStr">
        <is>
          <t>DeviceFamilyID</t>
        </is>
      </c>
      <c r="G870" t="inlineStr">
        <is>
          <t>DF026</t>
        </is>
      </c>
      <c r="H870" t="inlineStr">
        <is>
          <t>tblDeviceFamilyIDCrosswalk</t>
        </is>
      </c>
      <c r="I870" t="inlineStr"/>
      <c r="J870" t="inlineStr">
        <is>
          <t>tblDeviceModel</t>
        </is>
      </c>
      <c r="K870" t="inlineStr">
        <is>
          <t>Exact ID</t>
        </is>
      </c>
      <c r="L870" t="inlineStr">
        <is>
          <t>Crosswalk Pending</t>
        </is>
      </c>
      <c r="M870" t="inlineStr">
        <is>
          <t>Open</t>
        </is>
      </c>
      <c r="N870" t="inlineStr"/>
    </row>
    <row r="871">
      <c r="A871" t="inlineStr">
        <is>
          <t>FKEX00870</t>
        </is>
      </c>
      <c r="B871" t="inlineStr">
        <is>
          <t>15 LL_Device</t>
        </is>
      </c>
      <c r="C871" t="inlineStr">
        <is>
          <t>tblDeviceModel</t>
        </is>
      </c>
      <c r="D871" t="n">
        <v>291</v>
      </c>
      <c r="E871" t="inlineStr">
        <is>
          <t>MOD000288</t>
        </is>
      </c>
      <c r="F871" t="inlineStr">
        <is>
          <t>DeviceTypeID</t>
        </is>
      </c>
      <c r="G871" t="inlineStr">
        <is>
          <t>DT001</t>
        </is>
      </c>
      <c r="H871" t="inlineStr">
        <is>
          <t>tblDeviceTypeIDCrosswalk</t>
        </is>
      </c>
      <c r="I871" t="inlineStr"/>
      <c r="J871" t="inlineStr">
        <is>
          <t>No Supported Match</t>
        </is>
      </c>
      <c r="K871" t="inlineStr">
        <is>
          <t>None</t>
        </is>
      </c>
      <c r="L871" t="inlineStr">
        <is>
          <t>Crosswalk Pending</t>
        </is>
      </c>
      <c r="M871" t="inlineStr">
        <is>
          <t>Open</t>
        </is>
      </c>
      <c r="N871" t="inlineStr"/>
    </row>
    <row r="872">
      <c r="A872" t="inlineStr">
        <is>
          <t>FKEX00871</t>
        </is>
      </c>
      <c r="B872" t="inlineStr">
        <is>
          <t>15 LL_Device</t>
        </is>
      </c>
      <c r="C872" t="inlineStr">
        <is>
          <t>tblDeviceModel</t>
        </is>
      </c>
      <c r="D872" t="n">
        <v>292</v>
      </c>
      <c r="E872" t="inlineStr">
        <is>
          <t>MOD000289</t>
        </is>
      </c>
      <c r="F872" t="inlineStr">
        <is>
          <t>ManufacturerID</t>
        </is>
      </c>
      <c r="G872" t="inlineStr">
        <is>
          <t>MFG002</t>
        </is>
      </c>
      <c r="H872" t="inlineStr">
        <is>
          <t>tblManufacturerIDCrosswalk</t>
        </is>
      </c>
      <c r="I872" t="inlineStr"/>
      <c r="J872" t="inlineStr">
        <is>
          <t>No Supported Match</t>
        </is>
      </c>
      <c r="K872" t="inlineStr">
        <is>
          <t>None</t>
        </is>
      </c>
      <c r="L872" t="inlineStr">
        <is>
          <t>Crosswalk Pending</t>
        </is>
      </c>
      <c r="M872" t="inlineStr">
        <is>
          <t>Open</t>
        </is>
      </c>
      <c r="N872" t="inlineStr"/>
    </row>
    <row r="873">
      <c r="A873" t="inlineStr">
        <is>
          <t>FKEX00872</t>
        </is>
      </c>
      <c r="B873" t="inlineStr">
        <is>
          <t>15 LL_Device</t>
        </is>
      </c>
      <c r="C873" t="inlineStr">
        <is>
          <t>tblDeviceModel</t>
        </is>
      </c>
      <c r="D873" t="n">
        <v>292</v>
      </c>
      <c r="E873" t="inlineStr">
        <is>
          <t>MOD000289</t>
        </is>
      </c>
      <c r="F873" t="inlineStr">
        <is>
          <t>DeviceFamilyID</t>
        </is>
      </c>
      <c r="G873" t="inlineStr">
        <is>
          <t>DF026</t>
        </is>
      </c>
      <c r="H873" t="inlineStr">
        <is>
          <t>tblDeviceFamilyIDCrosswalk</t>
        </is>
      </c>
      <c r="I873" t="inlineStr"/>
      <c r="J873" t="inlineStr">
        <is>
          <t>tblDeviceModel</t>
        </is>
      </c>
      <c r="K873" t="inlineStr">
        <is>
          <t>Exact ID</t>
        </is>
      </c>
      <c r="L873" t="inlineStr">
        <is>
          <t>Crosswalk Pending</t>
        </is>
      </c>
      <c r="M873" t="inlineStr">
        <is>
          <t>Open</t>
        </is>
      </c>
      <c r="N873" t="inlineStr"/>
    </row>
    <row r="874">
      <c r="A874" t="inlineStr">
        <is>
          <t>FKEX00873</t>
        </is>
      </c>
      <c r="B874" t="inlineStr">
        <is>
          <t>15 LL_Device</t>
        </is>
      </c>
      <c r="C874" t="inlineStr">
        <is>
          <t>tblDeviceModel</t>
        </is>
      </c>
      <c r="D874" t="n">
        <v>292</v>
      </c>
      <c r="E874" t="inlineStr">
        <is>
          <t>MOD000289</t>
        </is>
      </c>
      <c r="F874" t="inlineStr">
        <is>
          <t>DeviceTypeID</t>
        </is>
      </c>
      <c r="G874" t="inlineStr">
        <is>
          <t>DT001</t>
        </is>
      </c>
      <c r="H874" t="inlineStr">
        <is>
          <t>tblDeviceTypeIDCrosswalk</t>
        </is>
      </c>
      <c r="I874" t="inlineStr"/>
      <c r="J874" t="inlineStr">
        <is>
          <t>No Supported Match</t>
        </is>
      </c>
      <c r="K874" t="inlineStr">
        <is>
          <t>None</t>
        </is>
      </c>
      <c r="L874" t="inlineStr">
        <is>
          <t>Crosswalk Pending</t>
        </is>
      </c>
      <c r="M874" t="inlineStr">
        <is>
          <t>Open</t>
        </is>
      </c>
      <c r="N874" t="inlineStr"/>
    </row>
    <row r="875">
      <c r="A875" t="inlineStr">
        <is>
          <t>FKEX00874</t>
        </is>
      </c>
      <c r="B875" t="inlineStr">
        <is>
          <t>15 LL_Device</t>
        </is>
      </c>
      <c r="C875" t="inlineStr">
        <is>
          <t>tblDeviceModel</t>
        </is>
      </c>
      <c r="D875" t="n">
        <v>293</v>
      </c>
      <c r="E875" t="inlineStr">
        <is>
          <t>MOD000290</t>
        </is>
      </c>
      <c r="F875" t="inlineStr">
        <is>
          <t>ManufacturerID</t>
        </is>
      </c>
      <c r="G875" t="inlineStr">
        <is>
          <t>MFG002</t>
        </is>
      </c>
      <c r="H875" t="inlineStr">
        <is>
          <t>tblManufacturerIDCrosswalk</t>
        </is>
      </c>
      <c r="I875" t="inlineStr"/>
      <c r="J875" t="inlineStr">
        <is>
          <t>No Supported Match</t>
        </is>
      </c>
      <c r="K875" t="inlineStr">
        <is>
          <t>None</t>
        </is>
      </c>
      <c r="L875" t="inlineStr">
        <is>
          <t>Crosswalk Pending</t>
        </is>
      </c>
      <c r="M875" t="inlineStr">
        <is>
          <t>Open</t>
        </is>
      </c>
      <c r="N875" t="inlineStr"/>
    </row>
    <row r="876">
      <c r="A876" t="inlineStr">
        <is>
          <t>FKEX00875</t>
        </is>
      </c>
      <c r="B876" t="inlineStr">
        <is>
          <t>15 LL_Device</t>
        </is>
      </c>
      <c r="C876" t="inlineStr">
        <is>
          <t>tblDeviceModel</t>
        </is>
      </c>
      <c r="D876" t="n">
        <v>293</v>
      </c>
      <c r="E876" t="inlineStr">
        <is>
          <t>MOD000290</t>
        </is>
      </c>
      <c r="F876" t="inlineStr">
        <is>
          <t>DeviceFamilyID</t>
        </is>
      </c>
      <c r="G876" t="inlineStr">
        <is>
          <t>DF026</t>
        </is>
      </c>
      <c r="H876" t="inlineStr">
        <is>
          <t>tblDeviceFamilyIDCrosswalk</t>
        </is>
      </c>
      <c r="I876" t="inlineStr"/>
      <c r="J876" t="inlineStr">
        <is>
          <t>tblDeviceModel</t>
        </is>
      </c>
      <c r="K876" t="inlineStr">
        <is>
          <t>Exact ID</t>
        </is>
      </c>
      <c r="L876" t="inlineStr">
        <is>
          <t>Crosswalk Pending</t>
        </is>
      </c>
      <c r="M876" t="inlineStr">
        <is>
          <t>Open</t>
        </is>
      </c>
      <c r="N876" t="inlineStr"/>
    </row>
    <row r="877">
      <c r="A877" t="inlineStr">
        <is>
          <t>FKEX00876</t>
        </is>
      </c>
      <c r="B877" t="inlineStr">
        <is>
          <t>15 LL_Device</t>
        </is>
      </c>
      <c r="C877" t="inlineStr">
        <is>
          <t>tblDeviceModel</t>
        </is>
      </c>
      <c r="D877" t="n">
        <v>293</v>
      </c>
      <c r="E877" t="inlineStr">
        <is>
          <t>MOD000290</t>
        </is>
      </c>
      <c r="F877" t="inlineStr">
        <is>
          <t>DeviceTypeID</t>
        </is>
      </c>
      <c r="G877" t="inlineStr">
        <is>
          <t>DT001</t>
        </is>
      </c>
      <c r="H877" t="inlineStr">
        <is>
          <t>tblDeviceTypeIDCrosswalk</t>
        </is>
      </c>
      <c r="I877" t="inlineStr"/>
      <c r="J877" t="inlineStr">
        <is>
          <t>No Supported Match</t>
        </is>
      </c>
      <c r="K877" t="inlineStr">
        <is>
          <t>None</t>
        </is>
      </c>
      <c r="L877" t="inlineStr">
        <is>
          <t>Crosswalk Pending</t>
        </is>
      </c>
      <c r="M877" t="inlineStr">
        <is>
          <t>Open</t>
        </is>
      </c>
      <c r="N877" t="inlineStr"/>
    </row>
    <row r="878">
      <c r="A878" t="inlineStr">
        <is>
          <t>FKEX00877</t>
        </is>
      </c>
      <c r="B878" t="inlineStr">
        <is>
          <t>15 LL_Device</t>
        </is>
      </c>
      <c r="C878" t="inlineStr">
        <is>
          <t>tblDeviceModel</t>
        </is>
      </c>
      <c r="D878" t="n">
        <v>294</v>
      </c>
      <c r="E878" t="inlineStr">
        <is>
          <t>MOD000291</t>
        </is>
      </c>
      <c r="F878" t="inlineStr">
        <is>
          <t>ManufacturerID</t>
        </is>
      </c>
      <c r="G878" t="inlineStr">
        <is>
          <t>MFG002</t>
        </is>
      </c>
      <c r="H878" t="inlineStr">
        <is>
          <t>tblManufacturerIDCrosswalk</t>
        </is>
      </c>
      <c r="I878" t="inlineStr"/>
      <c r="J878" t="inlineStr">
        <is>
          <t>No Supported Match</t>
        </is>
      </c>
      <c r="K878" t="inlineStr">
        <is>
          <t>None</t>
        </is>
      </c>
      <c r="L878" t="inlineStr">
        <is>
          <t>Crosswalk Pending</t>
        </is>
      </c>
      <c r="M878" t="inlineStr">
        <is>
          <t>Open</t>
        </is>
      </c>
      <c r="N878" t="inlineStr"/>
    </row>
    <row r="879">
      <c r="A879" t="inlineStr">
        <is>
          <t>FKEX00878</t>
        </is>
      </c>
      <c r="B879" t="inlineStr">
        <is>
          <t>15 LL_Device</t>
        </is>
      </c>
      <c r="C879" t="inlineStr">
        <is>
          <t>tblDeviceModel</t>
        </is>
      </c>
      <c r="D879" t="n">
        <v>294</v>
      </c>
      <c r="E879" t="inlineStr">
        <is>
          <t>MOD000291</t>
        </is>
      </c>
      <c r="F879" t="inlineStr">
        <is>
          <t>DeviceFamilyID</t>
        </is>
      </c>
      <c r="G879" t="inlineStr">
        <is>
          <t>DF026</t>
        </is>
      </c>
      <c r="H879" t="inlineStr">
        <is>
          <t>tblDeviceFamilyIDCrosswalk</t>
        </is>
      </c>
      <c r="I879" t="inlineStr"/>
      <c r="J879" t="inlineStr">
        <is>
          <t>tblDeviceModel</t>
        </is>
      </c>
      <c r="K879" t="inlineStr">
        <is>
          <t>Exact ID</t>
        </is>
      </c>
      <c r="L879" t="inlineStr">
        <is>
          <t>Crosswalk Pending</t>
        </is>
      </c>
      <c r="M879" t="inlineStr">
        <is>
          <t>Open</t>
        </is>
      </c>
      <c r="N879" t="inlineStr"/>
    </row>
    <row r="880">
      <c r="A880" t="inlineStr">
        <is>
          <t>FKEX00879</t>
        </is>
      </c>
      <c r="B880" t="inlineStr">
        <is>
          <t>15 LL_Device</t>
        </is>
      </c>
      <c r="C880" t="inlineStr">
        <is>
          <t>tblDeviceModel</t>
        </is>
      </c>
      <c r="D880" t="n">
        <v>294</v>
      </c>
      <c r="E880" t="inlineStr">
        <is>
          <t>MOD000291</t>
        </is>
      </c>
      <c r="F880" t="inlineStr">
        <is>
          <t>DeviceTypeID</t>
        </is>
      </c>
      <c r="G880" t="inlineStr">
        <is>
          <t>DT001</t>
        </is>
      </c>
      <c r="H880" t="inlineStr">
        <is>
          <t>tblDeviceTypeIDCrosswalk</t>
        </is>
      </c>
      <c r="I880" t="inlineStr"/>
      <c r="J880" t="inlineStr">
        <is>
          <t>No Supported Match</t>
        </is>
      </c>
      <c r="K880" t="inlineStr">
        <is>
          <t>None</t>
        </is>
      </c>
      <c r="L880" t="inlineStr">
        <is>
          <t>Crosswalk Pending</t>
        </is>
      </c>
      <c r="M880" t="inlineStr">
        <is>
          <t>Open</t>
        </is>
      </c>
      <c r="N880" t="inlineStr"/>
    </row>
    <row r="881">
      <c r="A881" t="inlineStr">
        <is>
          <t>FKEX00880</t>
        </is>
      </c>
      <c r="B881" t="inlineStr">
        <is>
          <t>15 LL_Device</t>
        </is>
      </c>
      <c r="C881" t="inlineStr">
        <is>
          <t>tblDeviceModel</t>
        </is>
      </c>
      <c r="D881" t="n">
        <v>295</v>
      </c>
      <c r="E881" t="inlineStr">
        <is>
          <t>MOD000292</t>
        </is>
      </c>
      <c r="F881" t="inlineStr">
        <is>
          <t>ManufacturerID</t>
        </is>
      </c>
      <c r="G881" t="inlineStr">
        <is>
          <t>MFG002</t>
        </is>
      </c>
      <c r="H881" t="inlineStr">
        <is>
          <t>tblManufacturerIDCrosswalk</t>
        </is>
      </c>
      <c r="I881" t="inlineStr"/>
      <c r="J881" t="inlineStr">
        <is>
          <t>No Supported Match</t>
        </is>
      </c>
      <c r="K881" t="inlineStr">
        <is>
          <t>None</t>
        </is>
      </c>
      <c r="L881" t="inlineStr">
        <is>
          <t>Crosswalk Pending</t>
        </is>
      </c>
      <c r="M881" t="inlineStr">
        <is>
          <t>Open</t>
        </is>
      </c>
      <c r="N881" t="inlineStr"/>
    </row>
    <row r="882">
      <c r="A882" t="inlineStr">
        <is>
          <t>FKEX00881</t>
        </is>
      </c>
      <c r="B882" t="inlineStr">
        <is>
          <t>15 LL_Device</t>
        </is>
      </c>
      <c r="C882" t="inlineStr">
        <is>
          <t>tblDeviceModel</t>
        </is>
      </c>
      <c r="D882" t="n">
        <v>295</v>
      </c>
      <c r="E882" t="inlineStr">
        <is>
          <t>MOD000292</t>
        </is>
      </c>
      <c r="F882" t="inlineStr">
        <is>
          <t>DeviceFamilyID</t>
        </is>
      </c>
      <c r="G882" t="inlineStr">
        <is>
          <t>DF026</t>
        </is>
      </c>
      <c r="H882" t="inlineStr">
        <is>
          <t>tblDeviceFamilyIDCrosswalk</t>
        </is>
      </c>
      <c r="I882" t="inlineStr"/>
      <c r="J882" t="inlineStr">
        <is>
          <t>tblDeviceModel</t>
        </is>
      </c>
      <c r="K882" t="inlineStr">
        <is>
          <t>Exact ID</t>
        </is>
      </c>
      <c r="L882" t="inlineStr">
        <is>
          <t>Crosswalk Pending</t>
        </is>
      </c>
      <c r="M882" t="inlineStr">
        <is>
          <t>Open</t>
        </is>
      </c>
      <c r="N882" t="inlineStr"/>
    </row>
    <row r="883">
      <c r="A883" t="inlineStr">
        <is>
          <t>FKEX00882</t>
        </is>
      </c>
      <c r="B883" t="inlineStr">
        <is>
          <t>15 LL_Device</t>
        </is>
      </c>
      <c r="C883" t="inlineStr">
        <is>
          <t>tblDeviceModel</t>
        </is>
      </c>
      <c r="D883" t="n">
        <v>295</v>
      </c>
      <c r="E883" t="inlineStr">
        <is>
          <t>MOD000292</t>
        </is>
      </c>
      <c r="F883" t="inlineStr">
        <is>
          <t>DeviceTypeID</t>
        </is>
      </c>
      <c r="G883" t="inlineStr">
        <is>
          <t>DT001</t>
        </is>
      </c>
      <c r="H883" t="inlineStr">
        <is>
          <t>tblDeviceTypeIDCrosswalk</t>
        </is>
      </c>
      <c r="I883" t="inlineStr"/>
      <c r="J883" t="inlineStr">
        <is>
          <t>No Supported Match</t>
        </is>
      </c>
      <c r="K883" t="inlineStr">
        <is>
          <t>None</t>
        </is>
      </c>
      <c r="L883" t="inlineStr">
        <is>
          <t>Crosswalk Pending</t>
        </is>
      </c>
      <c r="M883" t="inlineStr">
        <is>
          <t>Open</t>
        </is>
      </c>
      <c r="N883" t="inlineStr"/>
    </row>
    <row r="884">
      <c r="A884" t="inlineStr">
        <is>
          <t>FKEX00883</t>
        </is>
      </c>
      <c r="B884" t="inlineStr">
        <is>
          <t>15 LL_Device</t>
        </is>
      </c>
      <c r="C884" t="inlineStr">
        <is>
          <t>tblDeviceModel</t>
        </is>
      </c>
      <c r="D884" t="n">
        <v>296</v>
      </c>
      <c r="E884" t="inlineStr">
        <is>
          <t>MOD000293</t>
        </is>
      </c>
      <c r="F884" t="inlineStr">
        <is>
          <t>ManufacturerID</t>
        </is>
      </c>
      <c r="G884" t="inlineStr">
        <is>
          <t>MFG002</t>
        </is>
      </c>
      <c r="H884" t="inlineStr">
        <is>
          <t>tblManufacturerIDCrosswalk</t>
        </is>
      </c>
      <c r="I884" t="inlineStr"/>
      <c r="J884" t="inlineStr">
        <is>
          <t>No Supported Match</t>
        </is>
      </c>
      <c r="K884" t="inlineStr">
        <is>
          <t>None</t>
        </is>
      </c>
      <c r="L884" t="inlineStr">
        <is>
          <t>Crosswalk Pending</t>
        </is>
      </c>
      <c r="M884" t="inlineStr">
        <is>
          <t>Open</t>
        </is>
      </c>
      <c r="N884" t="inlineStr"/>
    </row>
    <row r="885">
      <c r="A885" t="inlineStr">
        <is>
          <t>FKEX00884</t>
        </is>
      </c>
      <c r="B885" t="inlineStr">
        <is>
          <t>15 LL_Device</t>
        </is>
      </c>
      <c r="C885" t="inlineStr">
        <is>
          <t>tblDeviceModel</t>
        </is>
      </c>
      <c r="D885" t="n">
        <v>296</v>
      </c>
      <c r="E885" t="inlineStr">
        <is>
          <t>MOD000293</t>
        </is>
      </c>
      <c r="F885" t="inlineStr">
        <is>
          <t>DeviceFamilyID</t>
        </is>
      </c>
      <c r="G885" t="inlineStr">
        <is>
          <t>DF026</t>
        </is>
      </c>
      <c r="H885" t="inlineStr">
        <is>
          <t>tblDeviceFamilyIDCrosswalk</t>
        </is>
      </c>
      <c r="I885" t="inlineStr"/>
      <c r="J885" t="inlineStr">
        <is>
          <t>tblDeviceModel</t>
        </is>
      </c>
      <c r="K885" t="inlineStr">
        <is>
          <t>Exact ID</t>
        </is>
      </c>
      <c r="L885" t="inlineStr">
        <is>
          <t>Crosswalk Pending</t>
        </is>
      </c>
      <c r="M885" t="inlineStr">
        <is>
          <t>Open</t>
        </is>
      </c>
      <c r="N885" t="inlineStr"/>
    </row>
    <row r="886">
      <c r="A886" t="inlineStr">
        <is>
          <t>FKEX00885</t>
        </is>
      </c>
      <c r="B886" t="inlineStr">
        <is>
          <t>15 LL_Device</t>
        </is>
      </c>
      <c r="C886" t="inlineStr">
        <is>
          <t>tblDeviceModel</t>
        </is>
      </c>
      <c r="D886" t="n">
        <v>296</v>
      </c>
      <c r="E886" t="inlineStr">
        <is>
          <t>MOD000293</t>
        </is>
      </c>
      <c r="F886" t="inlineStr">
        <is>
          <t>DeviceTypeID</t>
        </is>
      </c>
      <c r="G886" t="inlineStr">
        <is>
          <t>DT001</t>
        </is>
      </c>
      <c r="H886" t="inlineStr">
        <is>
          <t>tblDeviceTypeIDCrosswalk</t>
        </is>
      </c>
      <c r="I886" t="inlineStr"/>
      <c r="J886" t="inlineStr">
        <is>
          <t>No Supported Match</t>
        </is>
      </c>
      <c r="K886" t="inlineStr">
        <is>
          <t>None</t>
        </is>
      </c>
      <c r="L886" t="inlineStr">
        <is>
          <t>Crosswalk Pending</t>
        </is>
      </c>
      <c r="M886" t="inlineStr">
        <is>
          <t>Open</t>
        </is>
      </c>
      <c r="N886" t="inlineStr"/>
    </row>
    <row r="887">
      <c r="A887" t="inlineStr">
        <is>
          <t>FKEX00886</t>
        </is>
      </c>
      <c r="B887" t="inlineStr">
        <is>
          <t>15 LL_Device</t>
        </is>
      </c>
      <c r="C887" t="inlineStr">
        <is>
          <t>tblDeviceModel</t>
        </is>
      </c>
      <c r="D887" t="n">
        <v>297</v>
      </c>
      <c r="E887" t="inlineStr">
        <is>
          <t>MOD000294</t>
        </is>
      </c>
      <c r="F887" t="inlineStr">
        <is>
          <t>ManufacturerID</t>
        </is>
      </c>
      <c r="G887" t="inlineStr">
        <is>
          <t>MFG002</t>
        </is>
      </c>
      <c r="H887" t="inlineStr">
        <is>
          <t>tblManufacturerIDCrosswalk</t>
        </is>
      </c>
      <c r="I887" t="inlineStr"/>
      <c r="J887" t="inlineStr">
        <is>
          <t>No Supported Match</t>
        </is>
      </c>
      <c r="K887" t="inlineStr">
        <is>
          <t>None</t>
        </is>
      </c>
      <c r="L887" t="inlineStr">
        <is>
          <t>Crosswalk Pending</t>
        </is>
      </c>
      <c r="M887" t="inlineStr">
        <is>
          <t>Open</t>
        </is>
      </c>
      <c r="N887" t="inlineStr"/>
    </row>
    <row r="888">
      <c r="A888" t="inlineStr">
        <is>
          <t>FKEX00887</t>
        </is>
      </c>
      <c r="B888" t="inlineStr">
        <is>
          <t>15 LL_Device</t>
        </is>
      </c>
      <c r="C888" t="inlineStr">
        <is>
          <t>tblDeviceModel</t>
        </is>
      </c>
      <c r="D888" t="n">
        <v>297</v>
      </c>
      <c r="E888" t="inlineStr">
        <is>
          <t>MOD000294</t>
        </is>
      </c>
      <c r="F888" t="inlineStr">
        <is>
          <t>DeviceFamilyID</t>
        </is>
      </c>
      <c r="G888" t="inlineStr">
        <is>
          <t>DF026</t>
        </is>
      </c>
      <c r="H888" t="inlineStr">
        <is>
          <t>tblDeviceFamilyIDCrosswalk</t>
        </is>
      </c>
      <c r="I888" t="inlineStr"/>
      <c r="J888" t="inlineStr">
        <is>
          <t>tblDeviceModel</t>
        </is>
      </c>
      <c r="K888" t="inlineStr">
        <is>
          <t>Exact ID</t>
        </is>
      </c>
      <c r="L888" t="inlineStr">
        <is>
          <t>Crosswalk Pending</t>
        </is>
      </c>
      <c r="M888" t="inlineStr">
        <is>
          <t>Open</t>
        </is>
      </c>
      <c r="N888" t="inlineStr"/>
    </row>
    <row r="889">
      <c r="A889" t="inlineStr">
        <is>
          <t>FKEX00888</t>
        </is>
      </c>
      <c r="B889" t="inlineStr">
        <is>
          <t>15 LL_Device</t>
        </is>
      </c>
      <c r="C889" t="inlineStr">
        <is>
          <t>tblDeviceModel</t>
        </is>
      </c>
      <c r="D889" t="n">
        <v>297</v>
      </c>
      <c r="E889" t="inlineStr">
        <is>
          <t>MOD000294</t>
        </is>
      </c>
      <c r="F889" t="inlineStr">
        <is>
          <t>DeviceTypeID</t>
        </is>
      </c>
      <c r="G889" t="inlineStr">
        <is>
          <t>DT001</t>
        </is>
      </c>
      <c r="H889" t="inlineStr">
        <is>
          <t>tblDeviceTypeIDCrosswalk</t>
        </is>
      </c>
      <c r="I889" t="inlineStr"/>
      <c r="J889" t="inlineStr">
        <is>
          <t>No Supported Match</t>
        </is>
      </c>
      <c r="K889" t="inlineStr">
        <is>
          <t>None</t>
        </is>
      </c>
      <c r="L889" t="inlineStr">
        <is>
          <t>Crosswalk Pending</t>
        </is>
      </c>
      <c r="M889" t="inlineStr">
        <is>
          <t>Open</t>
        </is>
      </c>
      <c r="N889" t="inlineStr"/>
    </row>
    <row r="890">
      <c r="A890" t="inlineStr">
        <is>
          <t>FKEX00889</t>
        </is>
      </c>
      <c r="B890" t="inlineStr">
        <is>
          <t>15 LL_Device</t>
        </is>
      </c>
      <c r="C890" t="inlineStr">
        <is>
          <t>tblDeviceModel</t>
        </is>
      </c>
      <c r="D890" t="n">
        <v>298</v>
      </c>
      <c r="E890" t="inlineStr">
        <is>
          <t>MOD000295</t>
        </is>
      </c>
      <c r="F890" t="inlineStr">
        <is>
          <t>ManufacturerID</t>
        </is>
      </c>
      <c r="G890" t="inlineStr">
        <is>
          <t>MFG002</t>
        </is>
      </c>
      <c r="H890" t="inlineStr">
        <is>
          <t>tblManufacturerIDCrosswalk</t>
        </is>
      </c>
      <c r="I890" t="inlineStr"/>
      <c r="J890" t="inlineStr">
        <is>
          <t>No Supported Match</t>
        </is>
      </c>
      <c r="K890" t="inlineStr">
        <is>
          <t>None</t>
        </is>
      </c>
      <c r="L890" t="inlineStr">
        <is>
          <t>Crosswalk Pending</t>
        </is>
      </c>
      <c r="M890" t="inlineStr">
        <is>
          <t>Open</t>
        </is>
      </c>
      <c r="N890" t="inlineStr"/>
    </row>
    <row r="891">
      <c r="A891" t="inlineStr">
        <is>
          <t>FKEX00890</t>
        </is>
      </c>
      <c r="B891" t="inlineStr">
        <is>
          <t>15 LL_Device</t>
        </is>
      </c>
      <c r="C891" t="inlineStr">
        <is>
          <t>tblDeviceModel</t>
        </is>
      </c>
      <c r="D891" t="n">
        <v>298</v>
      </c>
      <c r="E891" t="inlineStr">
        <is>
          <t>MOD000295</t>
        </is>
      </c>
      <c r="F891" t="inlineStr">
        <is>
          <t>DeviceFamilyID</t>
        </is>
      </c>
      <c r="G891" t="inlineStr">
        <is>
          <t>DF026</t>
        </is>
      </c>
      <c r="H891" t="inlineStr">
        <is>
          <t>tblDeviceFamilyIDCrosswalk</t>
        </is>
      </c>
      <c r="I891" t="inlineStr"/>
      <c r="J891" t="inlineStr">
        <is>
          <t>tblDeviceModel</t>
        </is>
      </c>
      <c r="K891" t="inlineStr">
        <is>
          <t>Exact ID</t>
        </is>
      </c>
      <c r="L891" t="inlineStr">
        <is>
          <t>Crosswalk Pending</t>
        </is>
      </c>
      <c r="M891" t="inlineStr">
        <is>
          <t>Open</t>
        </is>
      </c>
      <c r="N891" t="inlineStr"/>
    </row>
    <row r="892">
      <c r="A892" t="inlineStr">
        <is>
          <t>FKEX00891</t>
        </is>
      </c>
      <c r="B892" t="inlineStr">
        <is>
          <t>15 LL_Device</t>
        </is>
      </c>
      <c r="C892" t="inlineStr">
        <is>
          <t>tblDeviceModel</t>
        </is>
      </c>
      <c r="D892" t="n">
        <v>298</v>
      </c>
      <c r="E892" t="inlineStr">
        <is>
          <t>MOD000295</t>
        </is>
      </c>
      <c r="F892" t="inlineStr">
        <is>
          <t>DeviceTypeID</t>
        </is>
      </c>
      <c r="G892" t="inlineStr">
        <is>
          <t>DT001</t>
        </is>
      </c>
      <c r="H892" t="inlineStr">
        <is>
          <t>tblDeviceTypeIDCrosswalk</t>
        </is>
      </c>
      <c r="I892" t="inlineStr"/>
      <c r="J892" t="inlineStr">
        <is>
          <t>No Supported Match</t>
        </is>
      </c>
      <c r="K892" t="inlineStr">
        <is>
          <t>None</t>
        </is>
      </c>
      <c r="L892" t="inlineStr">
        <is>
          <t>Crosswalk Pending</t>
        </is>
      </c>
      <c r="M892" t="inlineStr">
        <is>
          <t>Open</t>
        </is>
      </c>
      <c r="N892" t="inlineStr"/>
    </row>
    <row r="893">
      <c r="A893" t="inlineStr">
        <is>
          <t>FKEX00892</t>
        </is>
      </c>
      <c r="B893" t="inlineStr">
        <is>
          <t>15 LL_Device</t>
        </is>
      </c>
      <c r="C893" t="inlineStr">
        <is>
          <t>tblDeviceModel</t>
        </is>
      </c>
      <c r="D893" t="n">
        <v>299</v>
      </c>
      <c r="E893" t="inlineStr">
        <is>
          <t>MOD000296</t>
        </is>
      </c>
      <c r="F893" t="inlineStr">
        <is>
          <t>ManufacturerID</t>
        </is>
      </c>
      <c r="G893" t="inlineStr">
        <is>
          <t>MFG002</t>
        </is>
      </c>
      <c r="H893" t="inlineStr">
        <is>
          <t>tblManufacturerIDCrosswalk</t>
        </is>
      </c>
      <c r="I893" t="inlineStr"/>
      <c r="J893" t="inlineStr">
        <is>
          <t>No Supported Match</t>
        </is>
      </c>
      <c r="K893" t="inlineStr">
        <is>
          <t>None</t>
        </is>
      </c>
      <c r="L893" t="inlineStr">
        <is>
          <t>Crosswalk Pending</t>
        </is>
      </c>
      <c r="M893" t="inlineStr">
        <is>
          <t>Open</t>
        </is>
      </c>
      <c r="N893" t="inlineStr"/>
    </row>
    <row r="894">
      <c r="A894" t="inlineStr">
        <is>
          <t>FKEX00893</t>
        </is>
      </c>
      <c r="B894" t="inlineStr">
        <is>
          <t>15 LL_Device</t>
        </is>
      </c>
      <c r="C894" t="inlineStr">
        <is>
          <t>tblDeviceModel</t>
        </is>
      </c>
      <c r="D894" t="n">
        <v>299</v>
      </c>
      <c r="E894" t="inlineStr">
        <is>
          <t>MOD000296</t>
        </is>
      </c>
      <c r="F894" t="inlineStr">
        <is>
          <t>DeviceFamilyID</t>
        </is>
      </c>
      <c r="G894" t="inlineStr">
        <is>
          <t>DF027</t>
        </is>
      </c>
      <c r="H894" t="inlineStr">
        <is>
          <t>tblDeviceFamilyIDCrosswalk</t>
        </is>
      </c>
      <c r="I894" t="inlineStr"/>
      <c r="J894" t="inlineStr">
        <is>
          <t>tblDeviceModel</t>
        </is>
      </c>
      <c r="K894" t="inlineStr">
        <is>
          <t>Exact ID</t>
        </is>
      </c>
      <c r="L894" t="inlineStr">
        <is>
          <t>Crosswalk Pending</t>
        </is>
      </c>
      <c r="M894" t="inlineStr">
        <is>
          <t>Open</t>
        </is>
      </c>
      <c r="N894" t="inlineStr"/>
    </row>
    <row r="895">
      <c r="A895" t="inlineStr">
        <is>
          <t>FKEX00894</t>
        </is>
      </c>
      <c r="B895" t="inlineStr">
        <is>
          <t>15 LL_Device</t>
        </is>
      </c>
      <c r="C895" t="inlineStr">
        <is>
          <t>tblDeviceModel</t>
        </is>
      </c>
      <c r="D895" t="n">
        <v>299</v>
      </c>
      <c r="E895" t="inlineStr">
        <is>
          <t>MOD000296</t>
        </is>
      </c>
      <c r="F895" t="inlineStr">
        <is>
          <t>DeviceTypeID</t>
        </is>
      </c>
      <c r="G895" t="inlineStr">
        <is>
          <t>DT001</t>
        </is>
      </c>
      <c r="H895" t="inlineStr">
        <is>
          <t>tblDeviceTypeIDCrosswalk</t>
        </is>
      </c>
      <c r="I895" t="inlineStr"/>
      <c r="J895" t="inlineStr">
        <is>
          <t>No Supported Match</t>
        </is>
      </c>
      <c r="K895" t="inlineStr">
        <is>
          <t>None</t>
        </is>
      </c>
      <c r="L895" t="inlineStr">
        <is>
          <t>Crosswalk Pending</t>
        </is>
      </c>
      <c r="M895" t="inlineStr">
        <is>
          <t>Open</t>
        </is>
      </c>
      <c r="N895" t="inlineStr"/>
    </row>
    <row r="896">
      <c r="A896" t="inlineStr">
        <is>
          <t>FKEX00895</t>
        </is>
      </c>
      <c r="B896" t="inlineStr">
        <is>
          <t>15 LL_Device</t>
        </is>
      </c>
      <c r="C896" t="inlineStr">
        <is>
          <t>tblDeviceModel</t>
        </is>
      </c>
      <c r="D896" t="n">
        <v>300</v>
      </c>
      <c r="E896" t="inlineStr">
        <is>
          <t>MOD000297</t>
        </is>
      </c>
      <c r="F896" t="inlineStr">
        <is>
          <t>ManufacturerID</t>
        </is>
      </c>
      <c r="G896" t="inlineStr">
        <is>
          <t>MFG002</t>
        </is>
      </c>
      <c r="H896" t="inlineStr">
        <is>
          <t>tblManufacturerIDCrosswalk</t>
        </is>
      </c>
      <c r="I896" t="inlineStr"/>
      <c r="J896" t="inlineStr">
        <is>
          <t>No Supported Match</t>
        </is>
      </c>
      <c r="K896" t="inlineStr">
        <is>
          <t>None</t>
        </is>
      </c>
      <c r="L896" t="inlineStr">
        <is>
          <t>Crosswalk Pending</t>
        </is>
      </c>
      <c r="M896" t="inlineStr">
        <is>
          <t>Open</t>
        </is>
      </c>
      <c r="N896" t="inlineStr"/>
    </row>
    <row r="897">
      <c r="A897" t="inlineStr">
        <is>
          <t>FKEX00896</t>
        </is>
      </c>
      <c r="B897" t="inlineStr">
        <is>
          <t>15 LL_Device</t>
        </is>
      </c>
      <c r="C897" t="inlineStr">
        <is>
          <t>tblDeviceModel</t>
        </is>
      </c>
      <c r="D897" t="n">
        <v>300</v>
      </c>
      <c r="E897" t="inlineStr">
        <is>
          <t>MOD000297</t>
        </is>
      </c>
      <c r="F897" t="inlineStr">
        <is>
          <t>DeviceFamilyID</t>
        </is>
      </c>
      <c r="G897" t="inlineStr">
        <is>
          <t>DF027</t>
        </is>
      </c>
      <c r="H897" t="inlineStr">
        <is>
          <t>tblDeviceFamilyIDCrosswalk</t>
        </is>
      </c>
      <c r="I897" t="inlineStr"/>
      <c r="J897" t="inlineStr">
        <is>
          <t>tblDeviceModel</t>
        </is>
      </c>
      <c r="K897" t="inlineStr">
        <is>
          <t>Exact ID</t>
        </is>
      </c>
      <c r="L897" t="inlineStr">
        <is>
          <t>Crosswalk Pending</t>
        </is>
      </c>
      <c r="M897" t="inlineStr">
        <is>
          <t>Open</t>
        </is>
      </c>
      <c r="N897" t="inlineStr"/>
    </row>
    <row r="898">
      <c r="A898" t="inlineStr">
        <is>
          <t>FKEX00897</t>
        </is>
      </c>
      <c r="B898" t="inlineStr">
        <is>
          <t>15 LL_Device</t>
        </is>
      </c>
      <c r="C898" t="inlineStr">
        <is>
          <t>tblDeviceModel</t>
        </is>
      </c>
      <c r="D898" t="n">
        <v>300</v>
      </c>
      <c r="E898" t="inlineStr">
        <is>
          <t>MOD000297</t>
        </is>
      </c>
      <c r="F898" t="inlineStr">
        <is>
          <t>DeviceTypeID</t>
        </is>
      </c>
      <c r="G898" t="inlineStr">
        <is>
          <t>DT001</t>
        </is>
      </c>
      <c r="H898" t="inlineStr">
        <is>
          <t>tblDeviceTypeIDCrosswalk</t>
        </is>
      </c>
      <c r="I898" t="inlineStr"/>
      <c r="J898" t="inlineStr">
        <is>
          <t>No Supported Match</t>
        </is>
      </c>
      <c r="K898" t="inlineStr">
        <is>
          <t>None</t>
        </is>
      </c>
      <c r="L898" t="inlineStr">
        <is>
          <t>Crosswalk Pending</t>
        </is>
      </c>
      <c r="M898" t="inlineStr">
        <is>
          <t>Open</t>
        </is>
      </c>
      <c r="N898" t="inlineStr"/>
    </row>
    <row r="899">
      <c r="A899" t="inlineStr">
        <is>
          <t>FKEX00898</t>
        </is>
      </c>
      <c r="B899" t="inlineStr">
        <is>
          <t>15 LL_Device</t>
        </is>
      </c>
      <c r="C899" t="inlineStr">
        <is>
          <t>tblDeviceModel</t>
        </is>
      </c>
      <c r="D899" t="n">
        <v>301</v>
      </c>
      <c r="E899" t="inlineStr">
        <is>
          <t>MOD000298</t>
        </is>
      </c>
      <c r="F899" t="inlineStr">
        <is>
          <t>ManufacturerID</t>
        </is>
      </c>
      <c r="G899" t="inlineStr">
        <is>
          <t>MFG002</t>
        </is>
      </c>
      <c r="H899" t="inlineStr">
        <is>
          <t>tblManufacturerIDCrosswalk</t>
        </is>
      </c>
      <c r="I899" t="inlineStr"/>
      <c r="J899" t="inlineStr">
        <is>
          <t>No Supported Match</t>
        </is>
      </c>
      <c r="K899" t="inlineStr">
        <is>
          <t>None</t>
        </is>
      </c>
      <c r="L899" t="inlineStr">
        <is>
          <t>Crosswalk Pending</t>
        </is>
      </c>
      <c r="M899" t="inlineStr">
        <is>
          <t>Open</t>
        </is>
      </c>
      <c r="N899" t="inlineStr"/>
    </row>
    <row r="900">
      <c r="A900" t="inlineStr">
        <is>
          <t>FKEX00899</t>
        </is>
      </c>
      <c r="B900" t="inlineStr">
        <is>
          <t>15 LL_Device</t>
        </is>
      </c>
      <c r="C900" t="inlineStr">
        <is>
          <t>tblDeviceModel</t>
        </is>
      </c>
      <c r="D900" t="n">
        <v>301</v>
      </c>
      <c r="E900" t="inlineStr">
        <is>
          <t>MOD000298</t>
        </is>
      </c>
      <c r="F900" t="inlineStr">
        <is>
          <t>DeviceFamilyID</t>
        </is>
      </c>
      <c r="G900" t="inlineStr">
        <is>
          <t>DF027</t>
        </is>
      </c>
      <c r="H900" t="inlineStr">
        <is>
          <t>tblDeviceFamilyIDCrosswalk</t>
        </is>
      </c>
      <c r="I900" t="inlineStr"/>
      <c r="J900" t="inlineStr">
        <is>
          <t>tblDeviceModel</t>
        </is>
      </c>
      <c r="K900" t="inlineStr">
        <is>
          <t>Exact ID</t>
        </is>
      </c>
      <c r="L900" t="inlineStr">
        <is>
          <t>Crosswalk Pending</t>
        </is>
      </c>
      <c r="M900" t="inlineStr">
        <is>
          <t>Open</t>
        </is>
      </c>
      <c r="N900" t="inlineStr"/>
    </row>
    <row r="901">
      <c r="A901" t="inlineStr">
        <is>
          <t>FKEX00900</t>
        </is>
      </c>
      <c r="B901" t="inlineStr">
        <is>
          <t>15 LL_Device</t>
        </is>
      </c>
      <c r="C901" t="inlineStr">
        <is>
          <t>tblDeviceModel</t>
        </is>
      </c>
      <c r="D901" t="n">
        <v>301</v>
      </c>
      <c r="E901" t="inlineStr">
        <is>
          <t>MOD000298</t>
        </is>
      </c>
      <c r="F901" t="inlineStr">
        <is>
          <t>DeviceTypeID</t>
        </is>
      </c>
      <c r="G901" t="inlineStr">
        <is>
          <t>DT001</t>
        </is>
      </c>
      <c r="H901" t="inlineStr">
        <is>
          <t>tblDeviceTypeIDCrosswalk</t>
        </is>
      </c>
      <c r="I901" t="inlineStr"/>
      <c r="J901" t="inlineStr">
        <is>
          <t>No Supported Match</t>
        </is>
      </c>
      <c r="K901" t="inlineStr">
        <is>
          <t>None</t>
        </is>
      </c>
      <c r="L901" t="inlineStr">
        <is>
          <t>Crosswalk Pending</t>
        </is>
      </c>
      <c r="M901" t="inlineStr">
        <is>
          <t>Open</t>
        </is>
      </c>
      <c r="N901" t="inlineStr"/>
    </row>
    <row r="902">
      <c r="A902" t="inlineStr">
        <is>
          <t>FKEX00901</t>
        </is>
      </c>
      <c r="B902" t="inlineStr">
        <is>
          <t>15 LL_Device</t>
        </is>
      </c>
      <c r="C902" t="inlineStr">
        <is>
          <t>tblDeviceModel</t>
        </is>
      </c>
      <c r="D902" t="n">
        <v>302</v>
      </c>
      <c r="E902" t="inlineStr">
        <is>
          <t>MOD000299</t>
        </is>
      </c>
      <c r="F902" t="inlineStr">
        <is>
          <t>ManufacturerID</t>
        </is>
      </c>
      <c r="G902" t="inlineStr">
        <is>
          <t>MFG002</t>
        </is>
      </c>
      <c r="H902" t="inlineStr">
        <is>
          <t>tblManufacturerIDCrosswalk</t>
        </is>
      </c>
      <c r="I902" t="inlineStr"/>
      <c r="J902" t="inlineStr">
        <is>
          <t>No Supported Match</t>
        </is>
      </c>
      <c r="K902" t="inlineStr">
        <is>
          <t>None</t>
        </is>
      </c>
      <c r="L902" t="inlineStr">
        <is>
          <t>Crosswalk Pending</t>
        </is>
      </c>
      <c r="M902" t="inlineStr">
        <is>
          <t>Open</t>
        </is>
      </c>
      <c r="N902" t="inlineStr"/>
    </row>
    <row r="903">
      <c r="A903" t="inlineStr">
        <is>
          <t>FKEX00902</t>
        </is>
      </c>
      <c r="B903" t="inlineStr">
        <is>
          <t>15 LL_Device</t>
        </is>
      </c>
      <c r="C903" t="inlineStr">
        <is>
          <t>tblDeviceModel</t>
        </is>
      </c>
      <c r="D903" t="n">
        <v>302</v>
      </c>
      <c r="E903" t="inlineStr">
        <is>
          <t>MOD000299</t>
        </is>
      </c>
      <c r="F903" t="inlineStr">
        <is>
          <t>DeviceFamilyID</t>
        </is>
      </c>
      <c r="G903" t="inlineStr">
        <is>
          <t>DF027</t>
        </is>
      </c>
      <c r="H903" t="inlineStr">
        <is>
          <t>tblDeviceFamilyIDCrosswalk</t>
        </is>
      </c>
      <c r="I903" t="inlineStr"/>
      <c r="J903" t="inlineStr">
        <is>
          <t>tblDeviceModel</t>
        </is>
      </c>
      <c r="K903" t="inlineStr">
        <is>
          <t>Exact ID</t>
        </is>
      </c>
      <c r="L903" t="inlineStr">
        <is>
          <t>Crosswalk Pending</t>
        </is>
      </c>
      <c r="M903" t="inlineStr">
        <is>
          <t>Open</t>
        </is>
      </c>
      <c r="N903" t="inlineStr"/>
    </row>
    <row r="904">
      <c r="A904" t="inlineStr">
        <is>
          <t>FKEX00903</t>
        </is>
      </c>
      <c r="B904" t="inlineStr">
        <is>
          <t>15 LL_Device</t>
        </is>
      </c>
      <c r="C904" t="inlineStr">
        <is>
          <t>tblDeviceModel</t>
        </is>
      </c>
      <c r="D904" t="n">
        <v>302</v>
      </c>
      <c r="E904" t="inlineStr">
        <is>
          <t>MOD000299</t>
        </is>
      </c>
      <c r="F904" t="inlineStr">
        <is>
          <t>DeviceTypeID</t>
        </is>
      </c>
      <c r="G904" t="inlineStr">
        <is>
          <t>DT001</t>
        </is>
      </c>
      <c r="H904" t="inlineStr">
        <is>
          <t>tblDeviceTypeIDCrosswalk</t>
        </is>
      </c>
      <c r="I904" t="inlineStr"/>
      <c r="J904" t="inlineStr">
        <is>
          <t>No Supported Match</t>
        </is>
      </c>
      <c r="K904" t="inlineStr">
        <is>
          <t>None</t>
        </is>
      </c>
      <c r="L904" t="inlineStr">
        <is>
          <t>Crosswalk Pending</t>
        </is>
      </c>
      <c r="M904" t="inlineStr">
        <is>
          <t>Open</t>
        </is>
      </c>
      <c r="N904" t="inlineStr"/>
    </row>
    <row r="905">
      <c r="A905" t="inlineStr">
        <is>
          <t>FKEX00904</t>
        </is>
      </c>
      <c r="B905" t="inlineStr">
        <is>
          <t>15 LL_Device</t>
        </is>
      </c>
      <c r="C905" t="inlineStr">
        <is>
          <t>tblDeviceModel</t>
        </is>
      </c>
      <c r="D905" t="n">
        <v>303</v>
      </c>
      <c r="E905" t="inlineStr">
        <is>
          <t>MOD000300</t>
        </is>
      </c>
      <c r="F905" t="inlineStr">
        <is>
          <t>ManufacturerID</t>
        </is>
      </c>
      <c r="G905" t="inlineStr">
        <is>
          <t>MFG002</t>
        </is>
      </c>
      <c r="H905" t="inlineStr">
        <is>
          <t>tblManufacturerIDCrosswalk</t>
        </is>
      </c>
      <c r="I905" t="inlineStr"/>
      <c r="J905" t="inlineStr">
        <is>
          <t>No Supported Match</t>
        </is>
      </c>
      <c r="K905" t="inlineStr">
        <is>
          <t>None</t>
        </is>
      </c>
      <c r="L905" t="inlineStr">
        <is>
          <t>Crosswalk Pending</t>
        </is>
      </c>
      <c r="M905" t="inlineStr">
        <is>
          <t>Open</t>
        </is>
      </c>
      <c r="N905" t="inlineStr"/>
    </row>
    <row r="906">
      <c r="A906" t="inlineStr">
        <is>
          <t>FKEX00905</t>
        </is>
      </c>
      <c r="B906" t="inlineStr">
        <is>
          <t>15 LL_Device</t>
        </is>
      </c>
      <c r="C906" t="inlineStr">
        <is>
          <t>tblDeviceModel</t>
        </is>
      </c>
      <c r="D906" t="n">
        <v>303</v>
      </c>
      <c r="E906" t="inlineStr">
        <is>
          <t>MOD000300</t>
        </is>
      </c>
      <c r="F906" t="inlineStr">
        <is>
          <t>DeviceFamilyID</t>
        </is>
      </c>
      <c r="G906" t="inlineStr">
        <is>
          <t>DF027</t>
        </is>
      </c>
      <c r="H906" t="inlineStr">
        <is>
          <t>tblDeviceFamilyIDCrosswalk</t>
        </is>
      </c>
      <c r="I906" t="inlineStr"/>
      <c r="J906" t="inlineStr">
        <is>
          <t>tblDeviceModel</t>
        </is>
      </c>
      <c r="K906" t="inlineStr">
        <is>
          <t>Exact ID</t>
        </is>
      </c>
      <c r="L906" t="inlineStr">
        <is>
          <t>Crosswalk Pending</t>
        </is>
      </c>
      <c r="M906" t="inlineStr">
        <is>
          <t>Open</t>
        </is>
      </c>
      <c r="N906" t="inlineStr"/>
    </row>
    <row r="907">
      <c r="A907" t="inlineStr">
        <is>
          <t>FKEX00906</t>
        </is>
      </c>
      <c r="B907" t="inlineStr">
        <is>
          <t>15 LL_Device</t>
        </is>
      </c>
      <c r="C907" t="inlineStr">
        <is>
          <t>tblDeviceModel</t>
        </is>
      </c>
      <c r="D907" t="n">
        <v>303</v>
      </c>
      <c r="E907" t="inlineStr">
        <is>
          <t>MOD000300</t>
        </is>
      </c>
      <c r="F907" t="inlineStr">
        <is>
          <t>DeviceTypeID</t>
        </is>
      </c>
      <c r="G907" t="inlineStr">
        <is>
          <t>DT001</t>
        </is>
      </c>
      <c r="H907" t="inlineStr">
        <is>
          <t>tblDeviceTypeIDCrosswalk</t>
        </is>
      </c>
      <c r="I907" t="inlineStr"/>
      <c r="J907" t="inlineStr">
        <is>
          <t>No Supported Match</t>
        </is>
      </c>
      <c r="K907" t="inlineStr">
        <is>
          <t>None</t>
        </is>
      </c>
      <c r="L907" t="inlineStr">
        <is>
          <t>Crosswalk Pending</t>
        </is>
      </c>
      <c r="M907" t="inlineStr">
        <is>
          <t>Open</t>
        </is>
      </c>
      <c r="N907" t="inlineStr"/>
    </row>
    <row r="908">
      <c r="A908" t="inlineStr">
        <is>
          <t>FKEX00907</t>
        </is>
      </c>
      <c r="B908" t="inlineStr">
        <is>
          <t>15 LL_Device</t>
        </is>
      </c>
      <c r="C908" t="inlineStr">
        <is>
          <t>tblDeviceModel</t>
        </is>
      </c>
      <c r="D908" t="n">
        <v>304</v>
      </c>
      <c r="E908" t="inlineStr">
        <is>
          <t>MOD000301</t>
        </is>
      </c>
      <c r="F908" t="inlineStr">
        <is>
          <t>ManufacturerID</t>
        </is>
      </c>
      <c r="G908" t="inlineStr">
        <is>
          <t>MFG002</t>
        </is>
      </c>
      <c r="H908" t="inlineStr">
        <is>
          <t>tblManufacturerIDCrosswalk</t>
        </is>
      </c>
      <c r="I908" t="inlineStr"/>
      <c r="J908" t="inlineStr">
        <is>
          <t>No Supported Match</t>
        </is>
      </c>
      <c r="K908" t="inlineStr">
        <is>
          <t>None</t>
        </is>
      </c>
      <c r="L908" t="inlineStr">
        <is>
          <t>Crosswalk Pending</t>
        </is>
      </c>
      <c r="M908" t="inlineStr">
        <is>
          <t>Open</t>
        </is>
      </c>
      <c r="N908" t="inlineStr"/>
    </row>
    <row r="909">
      <c r="A909" t="inlineStr">
        <is>
          <t>FKEX00908</t>
        </is>
      </c>
      <c r="B909" t="inlineStr">
        <is>
          <t>15 LL_Device</t>
        </is>
      </c>
      <c r="C909" t="inlineStr">
        <is>
          <t>tblDeviceModel</t>
        </is>
      </c>
      <c r="D909" t="n">
        <v>304</v>
      </c>
      <c r="E909" t="inlineStr">
        <is>
          <t>MOD000301</t>
        </is>
      </c>
      <c r="F909" t="inlineStr">
        <is>
          <t>DeviceFamilyID</t>
        </is>
      </c>
      <c r="G909" t="inlineStr">
        <is>
          <t>DF027</t>
        </is>
      </c>
      <c r="H909" t="inlineStr">
        <is>
          <t>tblDeviceFamilyIDCrosswalk</t>
        </is>
      </c>
      <c r="I909" t="inlineStr"/>
      <c r="J909" t="inlineStr">
        <is>
          <t>tblDeviceModel</t>
        </is>
      </c>
      <c r="K909" t="inlineStr">
        <is>
          <t>Exact ID</t>
        </is>
      </c>
      <c r="L909" t="inlineStr">
        <is>
          <t>Crosswalk Pending</t>
        </is>
      </c>
      <c r="M909" t="inlineStr">
        <is>
          <t>Open</t>
        </is>
      </c>
      <c r="N909" t="inlineStr"/>
    </row>
    <row r="910">
      <c r="A910" t="inlineStr">
        <is>
          <t>FKEX00909</t>
        </is>
      </c>
      <c r="B910" t="inlineStr">
        <is>
          <t>15 LL_Device</t>
        </is>
      </c>
      <c r="C910" t="inlineStr">
        <is>
          <t>tblDeviceModel</t>
        </is>
      </c>
      <c r="D910" t="n">
        <v>304</v>
      </c>
      <c r="E910" t="inlineStr">
        <is>
          <t>MOD000301</t>
        </is>
      </c>
      <c r="F910" t="inlineStr">
        <is>
          <t>DeviceTypeID</t>
        </is>
      </c>
      <c r="G910" t="inlineStr">
        <is>
          <t>DT001</t>
        </is>
      </c>
      <c r="H910" t="inlineStr">
        <is>
          <t>tblDeviceTypeIDCrosswalk</t>
        </is>
      </c>
      <c r="I910" t="inlineStr"/>
      <c r="J910" t="inlineStr">
        <is>
          <t>No Supported Match</t>
        </is>
      </c>
      <c r="K910" t="inlineStr">
        <is>
          <t>None</t>
        </is>
      </c>
      <c r="L910" t="inlineStr">
        <is>
          <t>Crosswalk Pending</t>
        </is>
      </c>
      <c r="M910" t="inlineStr">
        <is>
          <t>Open</t>
        </is>
      </c>
      <c r="N910" t="inlineStr"/>
    </row>
    <row r="911">
      <c r="A911" t="inlineStr">
        <is>
          <t>FKEX00910</t>
        </is>
      </c>
      <c r="B911" t="inlineStr">
        <is>
          <t>15 LL_Device</t>
        </is>
      </c>
      <c r="C911" t="inlineStr">
        <is>
          <t>tblDeviceModel</t>
        </is>
      </c>
      <c r="D911" t="n">
        <v>305</v>
      </c>
      <c r="E911" t="inlineStr">
        <is>
          <t>MOD000302</t>
        </is>
      </c>
      <c r="F911" t="inlineStr">
        <is>
          <t>ManufacturerID</t>
        </is>
      </c>
      <c r="G911" t="inlineStr">
        <is>
          <t>MFG002</t>
        </is>
      </c>
      <c r="H911" t="inlineStr">
        <is>
          <t>tblManufacturerIDCrosswalk</t>
        </is>
      </c>
      <c r="I911" t="inlineStr"/>
      <c r="J911" t="inlineStr">
        <is>
          <t>No Supported Match</t>
        </is>
      </c>
      <c r="K911" t="inlineStr">
        <is>
          <t>None</t>
        </is>
      </c>
      <c r="L911" t="inlineStr">
        <is>
          <t>Crosswalk Pending</t>
        </is>
      </c>
      <c r="M911" t="inlineStr">
        <is>
          <t>Open</t>
        </is>
      </c>
      <c r="N911" t="inlineStr"/>
    </row>
    <row r="912">
      <c r="A912" t="inlineStr">
        <is>
          <t>FKEX00911</t>
        </is>
      </c>
      <c r="B912" t="inlineStr">
        <is>
          <t>15 LL_Device</t>
        </is>
      </c>
      <c r="C912" t="inlineStr">
        <is>
          <t>tblDeviceModel</t>
        </is>
      </c>
      <c r="D912" t="n">
        <v>305</v>
      </c>
      <c r="E912" t="inlineStr">
        <is>
          <t>MOD000302</t>
        </is>
      </c>
      <c r="F912" t="inlineStr">
        <is>
          <t>DeviceFamilyID</t>
        </is>
      </c>
      <c r="G912" t="inlineStr">
        <is>
          <t>DF027</t>
        </is>
      </c>
      <c r="H912" t="inlineStr">
        <is>
          <t>tblDeviceFamilyIDCrosswalk</t>
        </is>
      </c>
      <c r="I912" t="inlineStr"/>
      <c r="J912" t="inlineStr">
        <is>
          <t>tblDeviceModel</t>
        </is>
      </c>
      <c r="K912" t="inlineStr">
        <is>
          <t>Exact ID</t>
        </is>
      </c>
      <c r="L912" t="inlineStr">
        <is>
          <t>Crosswalk Pending</t>
        </is>
      </c>
      <c r="M912" t="inlineStr">
        <is>
          <t>Open</t>
        </is>
      </c>
      <c r="N912" t="inlineStr"/>
    </row>
    <row r="913">
      <c r="A913" t="inlineStr">
        <is>
          <t>FKEX00912</t>
        </is>
      </c>
      <c r="B913" t="inlineStr">
        <is>
          <t>15 LL_Device</t>
        </is>
      </c>
      <c r="C913" t="inlineStr">
        <is>
          <t>tblDeviceModel</t>
        </is>
      </c>
      <c r="D913" t="n">
        <v>305</v>
      </c>
      <c r="E913" t="inlineStr">
        <is>
          <t>MOD000302</t>
        </is>
      </c>
      <c r="F913" t="inlineStr">
        <is>
          <t>DeviceTypeID</t>
        </is>
      </c>
      <c r="G913" t="inlineStr">
        <is>
          <t>DT001</t>
        </is>
      </c>
      <c r="H913" t="inlineStr">
        <is>
          <t>tblDeviceTypeIDCrosswalk</t>
        </is>
      </c>
      <c r="I913" t="inlineStr"/>
      <c r="J913" t="inlineStr">
        <is>
          <t>No Supported Match</t>
        </is>
      </c>
      <c r="K913" t="inlineStr">
        <is>
          <t>None</t>
        </is>
      </c>
      <c r="L913" t="inlineStr">
        <is>
          <t>Crosswalk Pending</t>
        </is>
      </c>
      <c r="M913" t="inlineStr">
        <is>
          <t>Open</t>
        </is>
      </c>
      <c r="N913" t="inlineStr"/>
    </row>
    <row r="914">
      <c r="A914" t="inlineStr">
        <is>
          <t>FKEX00913</t>
        </is>
      </c>
      <c r="B914" t="inlineStr">
        <is>
          <t>15 LL_Device</t>
        </is>
      </c>
      <c r="C914" t="inlineStr">
        <is>
          <t>tblDeviceModel</t>
        </is>
      </c>
      <c r="D914" t="n">
        <v>306</v>
      </c>
      <c r="E914" t="inlineStr">
        <is>
          <t>MOD000303</t>
        </is>
      </c>
      <c r="F914" t="inlineStr">
        <is>
          <t>ManufacturerID</t>
        </is>
      </c>
      <c r="G914" t="inlineStr">
        <is>
          <t>MFG002</t>
        </is>
      </c>
      <c r="H914" t="inlineStr">
        <is>
          <t>tblManufacturerIDCrosswalk</t>
        </is>
      </c>
      <c r="I914" t="inlineStr"/>
      <c r="J914" t="inlineStr">
        <is>
          <t>No Supported Match</t>
        </is>
      </c>
      <c r="K914" t="inlineStr">
        <is>
          <t>None</t>
        </is>
      </c>
      <c r="L914" t="inlineStr">
        <is>
          <t>Crosswalk Pending</t>
        </is>
      </c>
      <c r="M914" t="inlineStr">
        <is>
          <t>Open</t>
        </is>
      </c>
      <c r="N914" t="inlineStr"/>
    </row>
    <row r="915">
      <c r="A915" t="inlineStr">
        <is>
          <t>FKEX00914</t>
        </is>
      </c>
      <c r="B915" t="inlineStr">
        <is>
          <t>15 LL_Device</t>
        </is>
      </c>
      <c r="C915" t="inlineStr">
        <is>
          <t>tblDeviceModel</t>
        </is>
      </c>
      <c r="D915" t="n">
        <v>306</v>
      </c>
      <c r="E915" t="inlineStr">
        <is>
          <t>MOD000303</t>
        </is>
      </c>
      <c r="F915" t="inlineStr">
        <is>
          <t>DeviceFamilyID</t>
        </is>
      </c>
      <c r="G915" t="inlineStr">
        <is>
          <t>DF027</t>
        </is>
      </c>
      <c r="H915" t="inlineStr">
        <is>
          <t>tblDeviceFamilyIDCrosswalk</t>
        </is>
      </c>
      <c r="I915" t="inlineStr"/>
      <c r="J915" t="inlineStr">
        <is>
          <t>tblDeviceModel</t>
        </is>
      </c>
      <c r="K915" t="inlineStr">
        <is>
          <t>Exact ID</t>
        </is>
      </c>
      <c r="L915" t="inlineStr">
        <is>
          <t>Crosswalk Pending</t>
        </is>
      </c>
      <c r="M915" t="inlineStr">
        <is>
          <t>Open</t>
        </is>
      </c>
      <c r="N915" t="inlineStr"/>
    </row>
    <row r="916">
      <c r="A916" t="inlineStr">
        <is>
          <t>FKEX00915</t>
        </is>
      </c>
      <c r="B916" t="inlineStr">
        <is>
          <t>15 LL_Device</t>
        </is>
      </c>
      <c r="C916" t="inlineStr">
        <is>
          <t>tblDeviceModel</t>
        </is>
      </c>
      <c r="D916" t="n">
        <v>306</v>
      </c>
      <c r="E916" t="inlineStr">
        <is>
          <t>MOD000303</t>
        </is>
      </c>
      <c r="F916" t="inlineStr">
        <is>
          <t>DeviceTypeID</t>
        </is>
      </c>
      <c r="G916" t="inlineStr">
        <is>
          <t>DT001</t>
        </is>
      </c>
      <c r="H916" t="inlineStr">
        <is>
          <t>tblDeviceTypeIDCrosswalk</t>
        </is>
      </c>
      <c r="I916" t="inlineStr"/>
      <c r="J916" t="inlineStr">
        <is>
          <t>No Supported Match</t>
        </is>
      </c>
      <c r="K916" t="inlineStr">
        <is>
          <t>None</t>
        </is>
      </c>
      <c r="L916" t="inlineStr">
        <is>
          <t>Crosswalk Pending</t>
        </is>
      </c>
      <c r="M916" t="inlineStr">
        <is>
          <t>Open</t>
        </is>
      </c>
      <c r="N916" t="inlineStr"/>
    </row>
    <row r="917">
      <c r="A917" t="inlineStr">
        <is>
          <t>FKEX00916</t>
        </is>
      </c>
      <c r="B917" t="inlineStr">
        <is>
          <t>15 LL_Device</t>
        </is>
      </c>
      <c r="C917" t="inlineStr">
        <is>
          <t>tblDeviceModel</t>
        </is>
      </c>
      <c r="D917" t="n">
        <v>307</v>
      </c>
      <c r="E917" t="inlineStr">
        <is>
          <t>MOD000304</t>
        </is>
      </c>
      <c r="F917" t="inlineStr">
        <is>
          <t>ManufacturerID</t>
        </is>
      </c>
      <c r="G917" t="inlineStr">
        <is>
          <t>MFG002</t>
        </is>
      </c>
      <c r="H917" t="inlineStr">
        <is>
          <t>tblManufacturerIDCrosswalk</t>
        </is>
      </c>
      <c r="I917" t="inlineStr"/>
      <c r="J917" t="inlineStr">
        <is>
          <t>No Supported Match</t>
        </is>
      </c>
      <c r="K917" t="inlineStr">
        <is>
          <t>None</t>
        </is>
      </c>
      <c r="L917" t="inlineStr">
        <is>
          <t>Crosswalk Pending</t>
        </is>
      </c>
      <c r="M917" t="inlineStr">
        <is>
          <t>Open</t>
        </is>
      </c>
      <c r="N917" t="inlineStr"/>
    </row>
    <row r="918">
      <c r="A918" t="inlineStr">
        <is>
          <t>FKEX00917</t>
        </is>
      </c>
      <c r="B918" t="inlineStr">
        <is>
          <t>15 LL_Device</t>
        </is>
      </c>
      <c r="C918" t="inlineStr">
        <is>
          <t>tblDeviceModel</t>
        </is>
      </c>
      <c r="D918" t="n">
        <v>307</v>
      </c>
      <c r="E918" t="inlineStr">
        <is>
          <t>MOD000304</t>
        </is>
      </c>
      <c r="F918" t="inlineStr">
        <is>
          <t>DeviceFamilyID</t>
        </is>
      </c>
      <c r="G918" t="inlineStr">
        <is>
          <t>DF027</t>
        </is>
      </c>
      <c r="H918" t="inlineStr">
        <is>
          <t>tblDeviceFamilyIDCrosswalk</t>
        </is>
      </c>
      <c r="I918" t="inlineStr"/>
      <c r="J918" t="inlineStr">
        <is>
          <t>tblDeviceModel</t>
        </is>
      </c>
      <c r="K918" t="inlineStr">
        <is>
          <t>Exact ID</t>
        </is>
      </c>
      <c r="L918" t="inlineStr">
        <is>
          <t>Crosswalk Pending</t>
        </is>
      </c>
      <c r="M918" t="inlineStr">
        <is>
          <t>Open</t>
        </is>
      </c>
      <c r="N918" t="inlineStr"/>
    </row>
    <row r="919">
      <c r="A919" t="inlineStr">
        <is>
          <t>FKEX00918</t>
        </is>
      </c>
      <c r="B919" t="inlineStr">
        <is>
          <t>15 LL_Device</t>
        </is>
      </c>
      <c r="C919" t="inlineStr">
        <is>
          <t>tblDeviceModel</t>
        </is>
      </c>
      <c r="D919" t="n">
        <v>307</v>
      </c>
      <c r="E919" t="inlineStr">
        <is>
          <t>MOD000304</t>
        </is>
      </c>
      <c r="F919" t="inlineStr">
        <is>
          <t>DeviceTypeID</t>
        </is>
      </c>
      <c r="G919" t="inlineStr">
        <is>
          <t>DT001</t>
        </is>
      </c>
      <c r="H919" t="inlineStr">
        <is>
          <t>tblDeviceTypeIDCrosswalk</t>
        </is>
      </c>
      <c r="I919" t="inlineStr"/>
      <c r="J919" t="inlineStr">
        <is>
          <t>No Supported Match</t>
        </is>
      </c>
      <c r="K919" t="inlineStr">
        <is>
          <t>None</t>
        </is>
      </c>
      <c r="L919" t="inlineStr">
        <is>
          <t>Crosswalk Pending</t>
        </is>
      </c>
      <c r="M919" t="inlineStr">
        <is>
          <t>Open</t>
        </is>
      </c>
      <c r="N919" t="inlineStr"/>
    </row>
    <row r="920">
      <c r="A920" t="inlineStr">
        <is>
          <t>FKEX00919</t>
        </is>
      </c>
      <c r="B920" t="inlineStr">
        <is>
          <t>15 LL_Device</t>
        </is>
      </c>
      <c r="C920" t="inlineStr">
        <is>
          <t>tblDeviceModel</t>
        </is>
      </c>
      <c r="D920" t="n">
        <v>308</v>
      </c>
      <c r="E920" t="inlineStr">
        <is>
          <t>MOD000305</t>
        </is>
      </c>
      <c r="F920" t="inlineStr">
        <is>
          <t>ManufacturerID</t>
        </is>
      </c>
      <c r="G920" t="inlineStr">
        <is>
          <t>MFG002</t>
        </is>
      </c>
      <c r="H920" t="inlineStr">
        <is>
          <t>tblManufacturerIDCrosswalk</t>
        </is>
      </c>
      <c r="I920" t="inlineStr"/>
      <c r="J920" t="inlineStr">
        <is>
          <t>No Supported Match</t>
        </is>
      </c>
      <c r="K920" t="inlineStr">
        <is>
          <t>None</t>
        </is>
      </c>
      <c r="L920" t="inlineStr">
        <is>
          <t>Crosswalk Pending</t>
        </is>
      </c>
      <c r="M920" t="inlineStr">
        <is>
          <t>Open</t>
        </is>
      </c>
      <c r="N920" t="inlineStr"/>
    </row>
    <row r="921">
      <c r="A921" t="inlineStr">
        <is>
          <t>FKEX00920</t>
        </is>
      </c>
      <c r="B921" t="inlineStr">
        <is>
          <t>15 LL_Device</t>
        </is>
      </c>
      <c r="C921" t="inlineStr">
        <is>
          <t>tblDeviceModel</t>
        </is>
      </c>
      <c r="D921" t="n">
        <v>308</v>
      </c>
      <c r="E921" t="inlineStr">
        <is>
          <t>MOD000305</t>
        </is>
      </c>
      <c r="F921" t="inlineStr">
        <is>
          <t>DeviceFamilyID</t>
        </is>
      </c>
      <c r="G921" t="inlineStr">
        <is>
          <t>DF027</t>
        </is>
      </c>
      <c r="H921" t="inlineStr">
        <is>
          <t>tblDeviceFamilyIDCrosswalk</t>
        </is>
      </c>
      <c r="I921" t="inlineStr"/>
      <c r="J921" t="inlineStr">
        <is>
          <t>tblDeviceModel</t>
        </is>
      </c>
      <c r="K921" t="inlineStr">
        <is>
          <t>Exact ID</t>
        </is>
      </c>
      <c r="L921" t="inlineStr">
        <is>
          <t>Crosswalk Pending</t>
        </is>
      </c>
      <c r="M921" t="inlineStr">
        <is>
          <t>Open</t>
        </is>
      </c>
      <c r="N921" t="inlineStr"/>
    </row>
    <row r="922">
      <c r="A922" t="inlineStr">
        <is>
          <t>FKEX00921</t>
        </is>
      </c>
      <c r="B922" t="inlineStr">
        <is>
          <t>15 LL_Device</t>
        </is>
      </c>
      <c r="C922" t="inlineStr">
        <is>
          <t>tblDeviceModel</t>
        </is>
      </c>
      <c r="D922" t="n">
        <v>308</v>
      </c>
      <c r="E922" t="inlineStr">
        <is>
          <t>MOD000305</t>
        </is>
      </c>
      <c r="F922" t="inlineStr">
        <is>
          <t>DeviceTypeID</t>
        </is>
      </c>
      <c r="G922" t="inlineStr">
        <is>
          <t>DT001</t>
        </is>
      </c>
      <c r="H922" t="inlineStr">
        <is>
          <t>tblDeviceTypeIDCrosswalk</t>
        </is>
      </c>
      <c r="I922" t="inlineStr"/>
      <c r="J922" t="inlineStr">
        <is>
          <t>No Supported Match</t>
        </is>
      </c>
      <c r="K922" t="inlineStr">
        <is>
          <t>None</t>
        </is>
      </c>
      <c r="L922" t="inlineStr">
        <is>
          <t>Crosswalk Pending</t>
        </is>
      </c>
      <c r="M922" t="inlineStr">
        <is>
          <t>Open</t>
        </is>
      </c>
      <c r="N922" t="inlineStr"/>
    </row>
    <row r="923">
      <c r="A923" t="inlineStr">
        <is>
          <t>FKEX00922</t>
        </is>
      </c>
      <c r="B923" t="inlineStr">
        <is>
          <t>15 LL_Device</t>
        </is>
      </c>
      <c r="C923" t="inlineStr">
        <is>
          <t>tblDeviceModel</t>
        </is>
      </c>
      <c r="D923" t="n">
        <v>309</v>
      </c>
      <c r="E923" t="inlineStr">
        <is>
          <t>MOD000306</t>
        </is>
      </c>
      <c r="F923" t="inlineStr">
        <is>
          <t>ManufacturerID</t>
        </is>
      </c>
      <c r="G923" t="inlineStr">
        <is>
          <t>MFG002</t>
        </is>
      </c>
      <c r="H923" t="inlineStr">
        <is>
          <t>tblManufacturerIDCrosswalk</t>
        </is>
      </c>
      <c r="I923" t="inlineStr"/>
      <c r="J923" t="inlineStr">
        <is>
          <t>No Supported Match</t>
        </is>
      </c>
      <c r="K923" t="inlineStr">
        <is>
          <t>None</t>
        </is>
      </c>
      <c r="L923" t="inlineStr">
        <is>
          <t>Crosswalk Pending</t>
        </is>
      </c>
      <c r="M923" t="inlineStr">
        <is>
          <t>Open</t>
        </is>
      </c>
      <c r="N923" t="inlineStr"/>
    </row>
    <row r="924">
      <c r="A924" t="inlineStr">
        <is>
          <t>FKEX00923</t>
        </is>
      </c>
      <c r="B924" t="inlineStr">
        <is>
          <t>15 LL_Device</t>
        </is>
      </c>
      <c r="C924" t="inlineStr">
        <is>
          <t>tblDeviceModel</t>
        </is>
      </c>
      <c r="D924" t="n">
        <v>309</v>
      </c>
      <c r="E924" t="inlineStr">
        <is>
          <t>MOD000306</t>
        </is>
      </c>
      <c r="F924" t="inlineStr">
        <is>
          <t>DeviceFamilyID</t>
        </is>
      </c>
      <c r="G924" t="inlineStr">
        <is>
          <t>DF028</t>
        </is>
      </c>
      <c r="H924" t="inlineStr">
        <is>
          <t>tblDeviceFamilyIDCrosswalk</t>
        </is>
      </c>
      <c r="I924" t="inlineStr"/>
      <c r="J924" t="inlineStr">
        <is>
          <t>tblDeviceModel</t>
        </is>
      </c>
      <c r="K924" t="inlineStr">
        <is>
          <t>Exact ID</t>
        </is>
      </c>
      <c r="L924" t="inlineStr">
        <is>
          <t>Crosswalk Pending</t>
        </is>
      </c>
      <c r="M924" t="inlineStr">
        <is>
          <t>Open</t>
        </is>
      </c>
      <c r="N924" t="inlineStr"/>
    </row>
    <row r="925">
      <c r="A925" t="inlineStr">
        <is>
          <t>FKEX00924</t>
        </is>
      </c>
      <c r="B925" t="inlineStr">
        <is>
          <t>15 LL_Device</t>
        </is>
      </c>
      <c r="C925" t="inlineStr">
        <is>
          <t>tblDeviceModel</t>
        </is>
      </c>
      <c r="D925" t="n">
        <v>309</v>
      </c>
      <c r="E925" t="inlineStr">
        <is>
          <t>MOD000306</t>
        </is>
      </c>
      <c r="F925" t="inlineStr">
        <is>
          <t>DeviceTypeID</t>
        </is>
      </c>
      <c r="G925" t="inlineStr">
        <is>
          <t>DT002</t>
        </is>
      </c>
      <c r="H925" t="inlineStr">
        <is>
          <t>tblDeviceTypeIDCrosswalk</t>
        </is>
      </c>
      <c r="I925" t="inlineStr"/>
      <c r="J925" t="inlineStr">
        <is>
          <t>No Supported Match</t>
        </is>
      </c>
      <c r="K925" t="inlineStr">
        <is>
          <t>None</t>
        </is>
      </c>
      <c r="L925" t="inlineStr">
        <is>
          <t>Crosswalk Pending</t>
        </is>
      </c>
      <c r="M925" t="inlineStr">
        <is>
          <t>Open</t>
        </is>
      </c>
      <c r="N925" t="inlineStr"/>
    </row>
    <row r="926">
      <c r="A926" t="inlineStr">
        <is>
          <t>FKEX00925</t>
        </is>
      </c>
      <c r="B926" t="inlineStr">
        <is>
          <t>15 LL_Device</t>
        </is>
      </c>
      <c r="C926" t="inlineStr">
        <is>
          <t>tblDeviceModel</t>
        </is>
      </c>
      <c r="D926" t="n">
        <v>310</v>
      </c>
      <c r="E926" t="inlineStr">
        <is>
          <t>MOD000307</t>
        </is>
      </c>
      <c r="F926" t="inlineStr">
        <is>
          <t>ManufacturerID</t>
        </is>
      </c>
      <c r="G926" t="inlineStr">
        <is>
          <t>MFG002</t>
        </is>
      </c>
      <c r="H926" t="inlineStr">
        <is>
          <t>tblManufacturerIDCrosswalk</t>
        </is>
      </c>
      <c r="I926" t="inlineStr"/>
      <c r="J926" t="inlineStr">
        <is>
          <t>No Supported Match</t>
        </is>
      </c>
      <c r="K926" t="inlineStr">
        <is>
          <t>None</t>
        </is>
      </c>
      <c r="L926" t="inlineStr">
        <is>
          <t>Crosswalk Pending</t>
        </is>
      </c>
      <c r="M926" t="inlineStr">
        <is>
          <t>Open</t>
        </is>
      </c>
      <c r="N926" t="inlineStr"/>
    </row>
    <row r="927">
      <c r="A927" t="inlineStr">
        <is>
          <t>FKEX00926</t>
        </is>
      </c>
      <c r="B927" t="inlineStr">
        <is>
          <t>15 LL_Device</t>
        </is>
      </c>
      <c r="C927" t="inlineStr">
        <is>
          <t>tblDeviceModel</t>
        </is>
      </c>
      <c r="D927" t="n">
        <v>310</v>
      </c>
      <c r="E927" t="inlineStr">
        <is>
          <t>MOD000307</t>
        </is>
      </c>
      <c r="F927" t="inlineStr">
        <is>
          <t>DeviceFamilyID</t>
        </is>
      </c>
      <c r="G927" t="inlineStr">
        <is>
          <t>DF028</t>
        </is>
      </c>
      <c r="H927" t="inlineStr">
        <is>
          <t>tblDeviceFamilyIDCrosswalk</t>
        </is>
      </c>
      <c r="I927" t="inlineStr"/>
      <c r="J927" t="inlineStr">
        <is>
          <t>tblDeviceModel</t>
        </is>
      </c>
      <c r="K927" t="inlineStr">
        <is>
          <t>Exact ID</t>
        </is>
      </c>
      <c r="L927" t="inlineStr">
        <is>
          <t>Crosswalk Pending</t>
        </is>
      </c>
      <c r="M927" t="inlineStr">
        <is>
          <t>Open</t>
        </is>
      </c>
      <c r="N927" t="inlineStr"/>
    </row>
    <row r="928">
      <c r="A928" t="inlineStr">
        <is>
          <t>FKEX00927</t>
        </is>
      </c>
      <c r="B928" t="inlineStr">
        <is>
          <t>15 LL_Device</t>
        </is>
      </c>
      <c r="C928" t="inlineStr">
        <is>
          <t>tblDeviceModel</t>
        </is>
      </c>
      <c r="D928" t="n">
        <v>310</v>
      </c>
      <c r="E928" t="inlineStr">
        <is>
          <t>MOD000307</t>
        </is>
      </c>
      <c r="F928" t="inlineStr">
        <is>
          <t>DeviceTypeID</t>
        </is>
      </c>
      <c r="G928" t="inlineStr">
        <is>
          <t>DT002</t>
        </is>
      </c>
      <c r="H928" t="inlineStr">
        <is>
          <t>tblDeviceTypeIDCrosswalk</t>
        </is>
      </c>
      <c r="I928" t="inlineStr"/>
      <c r="J928" t="inlineStr">
        <is>
          <t>No Supported Match</t>
        </is>
      </c>
      <c r="K928" t="inlineStr">
        <is>
          <t>None</t>
        </is>
      </c>
      <c r="L928" t="inlineStr">
        <is>
          <t>Crosswalk Pending</t>
        </is>
      </c>
      <c r="M928" t="inlineStr">
        <is>
          <t>Open</t>
        </is>
      </c>
      <c r="N928" t="inlineStr"/>
    </row>
    <row r="929">
      <c r="A929" t="inlineStr">
        <is>
          <t>FKEX00928</t>
        </is>
      </c>
      <c r="B929" t="inlineStr">
        <is>
          <t>15 LL_Device</t>
        </is>
      </c>
      <c r="C929" t="inlineStr">
        <is>
          <t>tblDeviceModel</t>
        </is>
      </c>
      <c r="D929" t="n">
        <v>311</v>
      </c>
      <c r="E929" t="inlineStr">
        <is>
          <t>MOD000308</t>
        </is>
      </c>
      <c r="F929" t="inlineStr">
        <is>
          <t>ManufacturerID</t>
        </is>
      </c>
      <c r="G929" t="inlineStr">
        <is>
          <t>MFG002</t>
        </is>
      </c>
      <c r="H929" t="inlineStr">
        <is>
          <t>tblManufacturerIDCrosswalk</t>
        </is>
      </c>
      <c r="I929" t="inlineStr"/>
      <c r="J929" t="inlineStr">
        <is>
          <t>No Supported Match</t>
        </is>
      </c>
      <c r="K929" t="inlineStr">
        <is>
          <t>None</t>
        </is>
      </c>
      <c r="L929" t="inlineStr">
        <is>
          <t>Crosswalk Pending</t>
        </is>
      </c>
      <c r="M929" t="inlineStr">
        <is>
          <t>Open</t>
        </is>
      </c>
      <c r="N929" t="inlineStr"/>
    </row>
    <row r="930">
      <c r="A930" t="inlineStr">
        <is>
          <t>FKEX00929</t>
        </is>
      </c>
      <c r="B930" t="inlineStr">
        <is>
          <t>15 LL_Device</t>
        </is>
      </c>
      <c r="C930" t="inlineStr">
        <is>
          <t>tblDeviceModel</t>
        </is>
      </c>
      <c r="D930" t="n">
        <v>311</v>
      </c>
      <c r="E930" t="inlineStr">
        <is>
          <t>MOD000308</t>
        </is>
      </c>
      <c r="F930" t="inlineStr">
        <is>
          <t>DeviceFamilyID</t>
        </is>
      </c>
      <c r="G930" t="inlineStr">
        <is>
          <t>DF028</t>
        </is>
      </c>
      <c r="H930" t="inlineStr">
        <is>
          <t>tblDeviceFamilyIDCrosswalk</t>
        </is>
      </c>
      <c r="I930" t="inlineStr"/>
      <c r="J930" t="inlineStr">
        <is>
          <t>tblDeviceModel</t>
        </is>
      </c>
      <c r="K930" t="inlineStr">
        <is>
          <t>Exact ID</t>
        </is>
      </c>
      <c r="L930" t="inlineStr">
        <is>
          <t>Crosswalk Pending</t>
        </is>
      </c>
      <c r="M930" t="inlineStr">
        <is>
          <t>Open</t>
        </is>
      </c>
      <c r="N930" t="inlineStr"/>
    </row>
    <row r="931">
      <c r="A931" t="inlineStr">
        <is>
          <t>FKEX00930</t>
        </is>
      </c>
      <c r="B931" t="inlineStr">
        <is>
          <t>15 LL_Device</t>
        </is>
      </c>
      <c r="C931" t="inlineStr">
        <is>
          <t>tblDeviceModel</t>
        </is>
      </c>
      <c r="D931" t="n">
        <v>311</v>
      </c>
      <c r="E931" t="inlineStr">
        <is>
          <t>MOD000308</t>
        </is>
      </c>
      <c r="F931" t="inlineStr">
        <is>
          <t>DeviceTypeID</t>
        </is>
      </c>
      <c r="G931" t="inlineStr">
        <is>
          <t>DT002</t>
        </is>
      </c>
      <c r="H931" t="inlineStr">
        <is>
          <t>tblDeviceTypeIDCrosswalk</t>
        </is>
      </c>
      <c r="I931" t="inlineStr"/>
      <c r="J931" t="inlineStr">
        <is>
          <t>No Supported Match</t>
        </is>
      </c>
      <c r="K931" t="inlineStr">
        <is>
          <t>None</t>
        </is>
      </c>
      <c r="L931" t="inlineStr">
        <is>
          <t>Crosswalk Pending</t>
        </is>
      </c>
      <c r="M931" t="inlineStr">
        <is>
          <t>Open</t>
        </is>
      </c>
      <c r="N931" t="inlineStr"/>
    </row>
    <row r="932">
      <c r="A932" t="inlineStr">
        <is>
          <t>FKEX00931</t>
        </is>
      </c>
      <c r="B932" t="inlineStr">
        <is>
          <t>15 LL_Device</t>
        </is>
      </c>
      <c r="C932" t="inlineStr">
        <is>
          <t>tblDeviceModel</t>
        </is>
      </c>
      <c r="D932" t="n">
        <v>312</v>
      </c>
      <c r="E932" t="inlineStr">
        <is>
          <t>MOD000309</t>
        </is>
      </c>
      <c r="F932" t="inlineStr">
        <is>
          <t>ManufacturerID</t>
        </is>
      </c>
      <c r="G932" t="inlineStr">
        <is>
          <t>MFG002</t>
        </is>
      </c>
      <c r="H932" t="inlineStr">
        <is>
          <t>tblManufacturerIDCrosswalk</t>
        </is>
      </c>
      <c r="I932" t="inlineStr"/>
      <c r="J932" t="inlineStr">
        <is>
          <t>No Supported Match</t>
        </is>
      </c>
      <c r="K932" t="inlineStr">
        <is>
          <t>None</t>
        </is>
      </c>
      <c r="L932" t="inlineStr">
        <is>
          <t>Crosswalk Pending</t>
        </is>
      </c>
      <c r="M932" t="inlineStr">
        <is>
          <t>Open</t>
        </is>
      </c>
      <c r="N932" t="inlineStr"/>
    </row>
    <row r="933">
      <c r="A933" t="inlineStr">
        <is>
          <t>FKEX00932</t>
        </is>
      </c>
      <c r="B933" t="inlineStr">
        <is>
          <t>15 LL_Device</t>
        </is>
      </c>
      <c r="C933" t="inlineStr">
        <is>
          <t>tblDeviceModel</t>
        </is>
      </c>
      <c r="D933" t="n">
        <v>312</v>
      </c>
      <c r="E933" t="inlineStr">
        <is>
          <t>MOD000309</t>
        </is>
      </c>
      <c r="F933" t="inlineStr">
        <is>
          <t>DeviceFamilyID</t>
        </is>
      </c>
      <c r="G933" t="inlineStr">
        <is>
          <t>DF028</t>
        </is>
      </c>
      <c r="H933" t="inlineStr">
        <is>
          <t>tblDeviceFamilyIDCrosswalk</t>
        </is>
      </c>
      <c r="I933" t="inlineStr"/>
      <c r="J933" t="inlineStr">
        <is>
          <t>tblDeviceModel</t>
        </is>
      </c>
      <c r="K933" t="inlineStr">
        <is>
          <t>Exact ID</t>
        </is>
      </c>
      <c r="L933" t="inlineStr">
        <is>
          <t>Crosswalk Pending</t>
        </is>
      </c>
      <c r="M933" t="inlineStr">
        <is>
          <t>Open</t>
        </is>
      </c>
      <c r="N933" t="inlineStr"/>
    </row>
    <row r="934">
      <c r="A934" t="inlineStr">
        <is>
          <t>FKEX00933</t>
        </is>
      </c>
      <c r="B934" t="inlineStr">
        <is>
          <t>15 LL_Device</t>
        </is>
      </c>
      <c r="C934" t="inlineStr">
        <is>
          <t>tblDeviceModel</t>
        </is>
      </c>
      <c r="D934" t="n">
        <v>312</v>
      </c>
      <c r="E934" t="inlineStr">
        <is>
          <t>MOD000309</t>
        </is>
      </c>
      <c r="F934" t="inlineStr">
        <is>
          <t>DeviceTypeID</t>
        </is>
      </c>
      <c r="G934" t="inlineStr">
        <is>
          <t>DT002</t>
        </is>
      </c>
      <c r="H934" t="inlineStr">
        <is>
          <t>tblDeviceTypeIDCrosswalk</t>
        </is>
      </c>
      <c r="I934" t="inlineStr"/>
      <c r="J934" t="inlineStr">
        <is>
          <t>No Supported Match</t>
        </is>
      </c>
      <c r="K934" t="inlineStr">
        <is>
          <t>None</t>
        </is>
      </c>
      <c r="L934" t="inlineStr">
        <is>
          <t>Crosswalk Pending</t>
        </is>
      </c>
      <c r="M934" t="inlineStr">
        <is>
          <t>Open</t>
        </is>
      </c>
      <c r="N934" t="inlineStr"/>
    </row>
    <row r="935">
      <c r="A935" t="inlineStr">
        <is>
          <t>FKEX00934</t>
        </is>
      </c>
      <c r="B935" t="inlineStr">
        <is>
          <t>15 LL_Device</t>
        </is>
      </c>
      <c r="C935" t="inlineStr">
        <is>
          <t>tblDeviceModel</t>
        </is>
      </c>
      <c r="D935" t="n">
        <v>313</v>
      </c>
      <c r="E935" t="inlineStr">
        <is>
          <t>MOD000310</t>
        </is>
      </c>
      <c r="F935" t="inlineStr">
        <is>
          <t>ManufacturerID</t>
        </is>
      </c>
      <c r="G935" t="inlineStr">
        <is>
          <t>MFG002</t>
        </is>
      </c>
      <c r="H935" t="inlineStr">
        <is>
          <t>tblManufacturerIDCrosswalk</t>
        </is>
      </c>
      <c r="I935" t="inlineStr"/>
      <c r="J935" t="inlineStr">
        <is>
          <t>No Supported Match</t>
        </is>
      </c>
      <c r="K935" t="inlineStr">
        <is>
          <t>None</t>
        </is>
      </c>
      <c r="L935" t="inlineStr">
        <is>
          <t>Crosswalk Pending</t>
        </is>
      </c>
      <c r="M935" t="inlineStr">
        <is>
          <t>Open</t>
        </is>
      </c>
      <c r="N935" t="inlineStr"/>
    </row>
    <row r="936">
      <c r="A936" t="inlineStr">
        <is>
          <t>FKEX00935</t>
        </is>
      </c>
      <c r="B936" t="inlineStr">
        <is>
          <t>15 LL_Device</t>
        </is>
      </c>
      <c r="C936" t="inlineStr">
        <is>
          <t>tblDeviceModel</t>
        </is>
      </c>
      <c r="D936" t="n">
        <v>313</v>
      </c>
      <c r="E936" t="inlineStr">
        <is>
          <t>MOD000310</t>
        </is>
      </c>
      <c r="F936" t="inlineStr">
        <is>
          <t>DeviceFamilyID</t>
        </is>
      </c>
      <c r="G936" t="inlineStr">
        <is>
          <t>DF028</t>
        </is>
      </c>
      <c r="H936" t="inlineStr">
        <is>
          <t>tblDeviceFamilyIDCrosswalk</t>
        </is>
      </c>
      <c r="I936" t="inlineStr"/>
      <c r="J936" t="inlineStr">
        <is>
          <t>tblDeviceModel</t>
        </is>
      </c>
      <c r="K936" t="inlineStr">
        <is>
          <t>Exact ID</t>
        </is>
      </c>
      <c r="L936" t="inlineStr">
        <is>
          <t>Crosswalk Pending</t>
        </is>
      </c>
      <c r="M936" t="inlineStr">
        <is>
          <t>Open</t>
        </is>
      </c>
      <c r="N936" t="inlineStr"/>
    </row>
    <row r="937">
      <c r="A937" t="inlineStr">
        <is>
          <t>FKEX00936</t>
        </is>
      </c>
      <c r="B937" t="inlineStr">
        <is>
          <t>15 LL_Device</t>
        </is>
      </c>
      <c r="C937" t="inlineStr">
        <is>
          <t>tblDeviceModel</t>
        </is>
      </c>
      <c r="D937" t="n">
        <v>313</v>
      </c>
      <c r="E937" t="inlineStr">
        <is>
          <t>MOD000310</t>
        </is>
      </c>
      <c r="F937" t="inlineStr">
        <is>
          <t>DeviceTypeID</t>
        </is>
      </c>
      <c r="G937" t="inlineStr">
        <is>
          <t>DT002</t>
        </is>
      </c>
      <c r="H937" t="inlineStr">
        <is>
          <t>tblDeviceTypeIDCrosswalk</t>
        </is>
      </c>
      <c r="I937" t="inlineStr"/>
      <c r="J937" t="inlineStr">
        <is>
          <t>No Supported Match</t>
        </is>
      </c>
      <c r="K937" t="inlineStr">
        <is>
          <t>None</t>
        </is>
      </c>
      <c r="L937" t="inlineStr">
        <is>
          <t>Crosswalk Pending</t>
        </is>
      </c>
      <c r="M937" t="inlineStr">
        <is>
          <t>Open</t>
        </is>
      </c>
      <c r="N937" t="inlineStr"/>
    </row>
    <row r="938">
      <c r="A938" t="inlineStr">
        <is>
          <t>FKEX00937</t>
        </is>
      </c>
      <c r="B938" t="inlineStr">
        <is>
          <t>15 LL_Device</t>
        </is>
      </c>
      <c r="C938" t="inlineStr">
        <is>
          <t>tblDeviceModel</t>
        </is>
      </c>
      <c r="D938" t="n">
        <v>314</v>
      </c>
      <c r="E938" t="inlineStr">
        <is>
          <t>MOD000311</t>
        </is>
      </c>
      <c r="F938" t="inlineStr">
        <is>
          <t>ManufacturerID</t>
        </is>
      </c>
      <c r="G938" t="inlineStr">
        <is>
          <t>MFG002</t>
        </is>
      </c>
      <c r="H938" t="inlineStr">
        <is>
          <t>tblManufacturerIDCrosswalk</t>
        </is>
      </c>
      <c r="I938" t="inlineStr"/>
      <c r="J938" t="inlineStr">
        <is>
          <t>No Supported Match</t>
        </is>
      </c>
      <c r="K938" t="inlineStr">
        <is>
          <t>None</t>
        </is>
      </c>
      <c r="L938" t="inlineStr">
        <is>
          <t>Crosswalk Pending</t>
        </is>
      </c>
      <c r="M938" t="inlineStr">
        <is>
          <t>Open</t>
        </is>
      </c>
      <c r="N938" t="inlineStr"/>
    </row>
    <row r="939">
      <c r="A939" t="inlineStr">
        <is>
          <t>FKEX00938</t>
        </is>
      </c>
      <c r="B939" t="inlineStr">
        <is>
          <t>15 LL_Device</t>
        </is>
      </c>
      <c r="C939" t="inlineStr">
        <is>
          <t>tblDeviceModel</t>
        </is>
      </c>
      <c r="D939" t="n">
        <v>314</v>
      </c>
      <c r="E939" t="inlineStr">
        <is>
          <t>MOD000311</t>
        </is>
      </c>
      <c r="F939" t="inlineStr">
        <is>
          <t>DeviceFamilyID</t>
        </is>
      </c>
      <c r="G939" t="inlineStr">
        <is>
          <t>DF028</t>
        </is>
      </c>
      <c r="H939" t="inlineStr">
        <is>
          <t>tblDeviceFamilyIDCrosswalk</t>
        </is>
      </c>
      <c r="I939" t="inlineStr"/>
      <c r="J939" t="inlineStr">
        <is>
          <t>tblDeviceModel</t>
        </is>
      </c>
      <c r="K939" t="inlineStr">
        <is>
          <t>Exact ID</t>
        </is>
      </c>
      <c r="L939" t="inlineStr">
        <is>
          <t>Crosswalk Pending</t>
        </is>
      </c>
      <c r="M939" t="inlineStr">
        <is>
          <t>Open</t>
        </is>
      </c>
      <c r="N939" t="inlineStr"/>
    </row>
    <row r="940">
      <c r="A940" t="inlineStr">
        <is>
          <t>FKEX00939</t>
        </is>
      </c>
      <c r="B940" t="inlineStr">
        <is>
          <t>15 LL_Device</t>
        </is>
      </c>
      <c r="C940" t="inlineStr">
        <is>
          <t>tblDeviceModel</t>
        </is>
      </c>
      <c r="D940" t="n">
        <v>314</v>
      </c>
      <c r="E940" t="inlineStr">
        <is>
          <t>MOD000311</t>
        </is>
      </c>
      <c r="F940" t="inlineStr">
        <is>
          <t>DeviceTypeID</t>
        </is>
      </c>
      <c r="G940" t="inlineStr">
        <is>
          <t>DT002</t>
        </is>
      </c>
      <c r="H940" t="inlineStr">
        <is>
          <t>tblDeviceTypeIDCrosswalk</t>
        </is>
      </c>
      <c r="I940" t="inlineStr"/>
      <c r="J940" t="inlineStr">
        <is>
          <t>No Supported Match</t>
        </is>
      </c>
      <c r="K940" t="inlineStr">
        <is>
          <t>None</t>
        </is>
      </c>
      <c r="L940" t="inlineStr">
        <is>
          <t>Crosswalk Pending</t>
        </is>
      </c>
      <c r="M940" t="inlineStr">
        <is>
          <t>Open</t>
        </is>
      </c>
      <c r="N940" t="inlineStr"/>
    </row>
    <row r="941">
      <c r="A941" t="inlineStr">
        <is>
          <t>FKEX00940</t>
        </is>
      </c>
      <c r="B941" t="inlineStr">
        <is>
          <t>15 LL_Device</t>
        </is>
      </c>
      <c r="C941" t="inlineStr">
        <is>
          <t>tblDeviceModel</t>
        </is>
      </c>
      <c r="D941" t="n">
        <v>315</v>
      </c>
      <c r="E941" t="inlineStr">
        <is>
          <t>MOD000312</t>
        </is>
      </c>
      <c r="F941" t="inlineStr">
        <is>
          <t>ManufacturerID</t>
        </is>
      </c>
      <c r="G941" t="inlineStr">
        <is>
          <t>MFG002</t>
        </is>
      </c>
      <c r="H941" t="inlineStr">
        <is>
          <t>tblManufacturerIDCrosswalk</t>
        </is>
      </c>
      <c r="I941" t="inlineStr"/>
      <c r="J941" t="inlineStr">
        <is>
          <t>No Supported Match</t>
        </is>
      </c>
      <c r="K941" t="inlineStr">
        <is>
          <t>None</t>
        </is>
      </c>
      <c r="L941" t="inlineStr">
        <is>
          <t>Crosswalk Pending</t>
        </is>
      </c>
      <c r="M941" t="inlineStr">
        <is>
          <t>Open</t>
        </is>
      </c>
      <c r="N941" t="inlineStr"/>
    </row>
    <row r="942">
      <c r="A942" t="inlineStr">
        <is>
          <t>FKEX00941</t>
        </is>
      </c>
      <c r="B942" t="inlineStr">
        <is>
          <t>15 LL_Device</t>
        </is>
      </c>
      <c r="C942" t="inlineStr">
        <is>
          <t>tblDeviceModel</t>
        </is>
      </c>
      <c r="D942" t="n">
        <v>315</v>
      </c>
      <c r="E942" t="inlineStr">
        <is>
          <t>MOD000312</t>
        </is>
      </c>
      <c r="F942" t="inlineStr">
        <is>
          <t>DeviceFamilyID</t>
        </is>
      </c>
      <c r="G942" t="inlineStr">
        <is>
          <t>DF028</t>
        </is>
      </c>
      <c r="H942" t="inlineStr">
        <is>
          <t>tblDeviceFamilyIDCrosswalk</t>
        </is>
      </c>
      <c r="I942" t="inlineStr"/>
      <c r="J942" t="inlineStr">
        <is>
          <t>tblDeviceModel</t>
        </is>
      </c>
      <c r="K942" t="inlineStr">
        <is>
          <t>Exact ID</t>
        </is>
      </c>
      <c r="L942" t="inlineStr">
        <is>
          <t>Crosswalk Pending</t>
        </is>
      </c>
      <c r="M942" t="inlineStr">
        <is>
          <t>Open</t>
        </is>
      </c>
      <c r="N942" t="inlineStr"/>
    </row>
    <row r="943">
      <c r="A943" t="inlineStr">
        <is>
          <t>FKEX00942</t>
        </is>
      </c>
      <c r="B943" t="inlineStr">
        <is>
          <t>15 LL_Device</t>
        </is>
      </c>
      <c r="C943" t="inlineStr">
        <is>
          <t>tblDeviceModel</t>
        </is>
      </c>
      <c r="D943" t="n">
        <v>315</v>
      </c>
      <c r="E943" t="inlineStr">
        <is>
          <t>MOD000312</t>
        </is>
      </c>
      <c r="F943" t="inlineStr">
        <is>
          <t>DeviceTypeID</t>
        </is>
      </c>
      <c r="G943" t="inlineStr">
        <is>
          <t>DT002</t>
        </is>
      </c>
      <c r="H943" t="inlineStr">
        <is>
          <t>tblDeviceTypeIDCrosswalk</t>
        </is>
      </c>
      <c r="I943" t="inlineStr"/>
      <c r="J943" t="inlineStr">
        <is>
          <t>No Supported Match</t>
        </is>
      </c>
      <c r="K943" t="inlineStr">
        <is>
          <t>None</t>
        </is>
      </c>
      <c r="L943" t="inlineStr">
        <is>
          <t>Crosswalk Pending</t>
        </is>
      </c>
      <c r="M943" t="inlineStr">
        <is>
          <t>Open</t>
        </is>
      </c>
      <c r="N943" t="inlineStr"/>
    </row>
    <row r="944">
      <c r="A944" t="inlineStr">
        <is>
          <t>FKEX00943</t>
        </is>
      </c>
      <c r="B944" t="inlineStr">
        <is>
          <t>15 LL_Device</t>
        </is>
      </c>
      <c r="C944" t="inlineStr">
        <is>
          <t>tblDeviceModel</t>
        </is>
      </c>
      <c r="D944" t="n">
        <v>316</v>
      </c>
      <c r="E944" t="inlineStr">
        <is>
          <t>MOD000313</t>
        </is>
      </c>
      <c r="F944" t="inlineStr">
        <is>
          <t>ManufacturerID</t>
        </is>
      </c>
      <c r="G944" t="inlineStr">
        <is>
          <t>MFG002</t>
        </is>
      </c>
      <c r="H944" t="inlineStr">
        <is>
          <t>tblManufacturerIDCrosswalk</t>
        </is>
      </c>
      <c r="I944" t="inlineStr"/>
      <c r="J944" t="inlineStr">
        <is>
          <t>No Supported Match</t>
        </is>
      </c>
      <c r="K944" t="inlineStr">
        <is>
          <t>None</t>
        </is>
      </c>
      <c r="L944" t="inlineStr">
        <is>
          <t>Crosswalk Pending</t>
        </is>
      </c>
      <c r="M944" t="inlineStr">
        <is>
          <t>Open</t>
        </is>
      </c>
      <c r="N944" t="inlineStr"/>
    </row>
    <row r="945">
      <c r="A945" t="inlineStr">
        <is>
          <t>FKEX00944</t>
        </is>
      </c>
      <c r="B945" t="inlineStr">
        <is>
          <t>15 LL_Device</t>
        </is>
      </c>
      <c r="C945" t="inlineStr">
        <is>
          <t>tblDeviceModel</t>
        </is>
      </c>
      <c r="D945" t="n">
        <v>316</v>
      </c>
      <c r="E945" t="inlineStr">
        <is>
          <t>MOD000313</t>
        </is>
      </c>
      <c r="F945" t="inlineStr">
        <is>
          <t>DeviceFamilyID</t>
        </is>
      </c>
      <c r="G945" t="inlineStr">
        <is>
          <t>DF028</t>
        </is>
      </c>
      <c r="H945" t="inlineStr">
        <is>
          <t>tblDeviceFamilyIDCrosswalk</t>
        </is>
      </c>
      <c r="I945" t="inlineStr"/>
      <c r="J945" t="inlineStr">
        <is>
          <t>tblDeviceModel</t>
        </is>
      </c>
      <c r="K945" t="inlineStr">
        <is>
          <t>Exact ID</t>
        </is>
      </c>
      <c r="L945" t="inlineStr">
        <is>
          <t>Crosswalk Pending</t>
        </is>
      </c>
      <c r="M945" t="inlineStr">
        <is>
          <t>Open</t>
        </is>
      </c>
      <c r="N945" t="inlineStr"/>
    </row>
    <row r="946">
      <c r="A946" t="inlineStr">
        <is>
          <t>FKEX00945</t>
        </is>
      </c>
      <c r="B946" t="inlineStr">
        <is>
          <t>15 LL_Device</t>
        </is>
      </c>
      <c r="C946" t="inlineStr">
        <is>
          <t>tblDeviceModel</t>
        </is>
      </c>
      <c r="D946" t="n">
        <v>316</v>
      </c>
      <c r="E946" t="inlineStr">
        <is>
          <t>MOD000313</t>
        </is>
      </c>
      <c r="F946" t="inlineStr">
        <is>
          <t>DeviceTypeID</t>
        </is>
      </c>
      <c r="G946" t="inlineStr">
        <is>
          <t>DT002</t>
        </is>
      </c>
      <c r="H946" t="inlineStr">
        <is>
          <t>tblDeviceTypeIDCrosswalk</t>
        </is>
      </c>
      <c r="I946" t="inlineStr"/>
      <c r="J946" t="inlineStr">
        <is>
          <t>No Supported Match</t>
        </is>
      </c>
      <c r="K946" t="inlineStr">
        <is>
          <t>None</t>
        </is>
      </c>
      <c r="L946" t="inlineStr">
        <is>
          <t>Crosswalk Pending</t>
        </is>
      </c>
      <c r="M946" t="inlineStr">
        <is>
          <t>Open</t>
        </is>
      </c>
      <c r="N946" t="inlineStr"/>
    </row>
    <row r="947">
      <c r="A947" t="inlineStr">
        <is>
          <t>FKEX00946</t>
        </is>
      </c>
      <c r="B947" t="inlineStr">
        <is>
          <t>15 LL_Device</t>
        </is>
      </c>
      <c r="C947" t="inlineStr">
        <is>
          <t>tblDeviceModel</t>
        </is>
      </c>
      <c r="D947" t="n">
        <v>317</v>
      </c>
      <c r="E947" t="inlineStr">
        <is>
          <t>MOD000314</t>
        </is>
      </c>
      <c r="F947" t="inlineStr">
        <is>
          <t>ManufacturerID</t>
        </is>
      </c>
      <c r="G947" t="inlineStr">
        <is>
          <t>MFG002</t>
        </is>
      </c>
      <c r="H947" t="inlineStr">
        <is>
          <t>tblManufacturerIDCrosswalk</t>
        </is>
      </c>
      <c r="I947" t="inlineStr"/>
      <c r="J947" t="inlineStr">
        <is>
          <t>No Supported Match</t>
        </is>
      </c>
      <c r="K947" t="inlineStr">
        <is>
          <t>None</t>
        </is>
      </c>
      <c r="L947" t="inlineStr">
        <is>
          <t>Crosswalk Pending</t>
        </is>
      </c>
      <c r="M947" t="inlineStr">
        <is>
          <t>Open</t>
        </is>
      </c>
      <c r="N947" t="inlineStr"/>
    </row>
    <row r="948">
      <c r="A948" t="inlineStr">
        <is>
          <t>FKEX00947</t>
        </is>
      </c>
      <c r="B948" t="inlineStr">
        <is>
          <t>15 LL_Device</t>
        </is>
      </c>
      <c r="C948" t="inlineStr">
        <is>
          <t>tblDeviceModel</t>
        </is>
      </c>
      <c r="D948" t="n">
        <v>317</v>
      </c>
      <c r="E948" t="inlineStr">
        <is>
          <t>MOD000314</t>
        </is>
      </c>
      <c r="F948" t="inlineStr">
        <is>
          <t>DeviceFamilyID</t>
        </is>
      </c>
      <c r="G948" t="inlineStr">
        <is>
          <t>DF028</t>
        </is>
      </c>
      <c r="H948" t="inlineStr">
        <is>
          <t>tblDeviceFamilyIDCrosswalk</t>
        </is>
      </c>
      <c r="I948" t="inlineStr"/>
      <c r="J948" t="inlineStr">
        <is>
          <t>tblDeviceModel</t>
        </is>
      </c>
      <c r="K948" t="inlineStr">
        <is>
          <t>Exact ID</t>
        </is>
      </c>
      <c r="L948" t="inlineStr">
        <is>
          <t>Crosswalk Pending</t>
        </is>
      </c>
      <c r="M948" t="inlineStr">
        <is>
          <t>Open</t>
        </is>
      </c>
      <c r="N948" t="inlineStr"/>
    </row>
    <row r="949">
      <c r="A949" t="inlineStr">
        <is>
          <t>FKEX00948</t>
        </is>
      </c>
      <c r="B949" t="inlineStr">
        <is>
          <t>15 LL_Device</t>
        </is>
      </c>
      <c r="C949" t="inlineStr">
        <is>
          <t>tblDeviceModel</t>
        </is>
      </c>
      <c r="D949" t="n">
        <v>317</v>
      </c>
      <c r="E949" t="inlineStr">
        <is>
          <t>MOD000314</t>
        </is>
      </c>
      <c r="F949" t="inlineStr">
        <is>
          <t>DeviceTypeID</t>
        </is>
      </c>
      <c r="G949" t="inlineStr">
        <is>
          <t>DT002</t>
        </is>
      </c>
      <c r="H949" t="inlineStr">
        <is>
          <t>tblDeviceTypeIDCrosswalk</t>
        </is>
      </c>
      <c r="I949" t="inlineStr"/>
      <c r="J949" t="inlineStr">
        <is>
          <t>No Supported Match</t>
        </is>
      </c>
      <c r="K949" t="inlineStr">
        <is>
          <t>None</t>
        </is>
      </c>
      <c r="L949" t="inlineStr">
        <is>
          <t>Crosswalk Pending</t>
        </is>
      </c>
      <c r="M949" t="inlineStr">
        <is>
          <t>Open</t>
        </is>
      </c>
      <c r="N949" t="inlineStr"/>
    </row>
    <row r="950">
      <c r="A950" t="inlineStr">
        <is>
          <t>FKEX00949</t>
        </is>
      </c>
      <c r="B950" t="inlineStr">
        <is>
          <t>15 LL_Device</t>
        </is>
      </c>
      <c r="C950" t="inlineStr">
        <is>
          <t>tblDeviceModel</t>
        </is>
      </c>
      <c r="D950" t="n">
        <v>318</v>
      </c>
      <c r="E950" t="inlineStr">
        <is>
          <t>MOD000315</t>
        </is>
      </c>
      <c r="F950" t="inlineStr">
        <is>
          <t>ManufacturerID</t>
        </is>
      </c>
      <c r="G950" t="inlineStr">
        <is>
          <t>MFG002</t>
        </is>
      </c>
      <c r="H950" t="inlineStr">
        <is>
          <t>tblManufacturerIDCrosswalk</t>
        </is>
      </c>
      <c r="I950" t="inlineStr"/>
      <c r="J950" t="inlineStr">
        <is>
          <t>No Supported Match</t>
        </is>
      </c>
      <c r="K950" t="inlineStr">
        <is>
          <t>None</t>
        </is>
      </c>
      <c r="L950" t="inlineStr">
        <is>
          <t>Crosswalk Pending</t>
        </is>
      </c>
      <c r="M950" t="inlineStr">
        <is>
          <t>Open</t>
        </is>
      </c>
      <c r="N950" t="inlineStr"/>
    </row>
    <row r="951">
      <c r="A951" t="inlineStr">
        <is>
          <t>FKEX00950</t>
        </is>
      </c>
      <c r="B951" t="inlineStr">
        <is>
          <t>15 LL_Device</t>
        </is>
      </c>
      <c r="C951" t="inlineStr">
        <is>
          <t>tblDeviceModel</t>
        </is>
      </c>
      <c r="D951" t="n">
        <v>318</v>
      </c>
      <c r="E951" t="inlineStr">
        <is>
          <t>MOD000315</t>
        </is>
      </c>
      <c r="F951" t="inlineStr">
        <is>
          <t>DeviceFamilyID</t>
        </is>
      </c>
      <c r="G951" t="inlineStr">
        <is>
          <t>DF028</t>
        </is>
      </c>
      <c r="H951" t="inlineStr">
        <is>
          <t>tblDeviceFamilyIDCrosswalk</t>
        </is>
      </c>
      <c r="I951" t="inlineStr"/>
      <c r="J951" t="inlineStr">
        <is>
          <t>tblDeviceModel</t>
        </is>
      </c>
      <c r="K951" t="inlineStr">
        <is>
          <t>Exact ID</t>
        </is>
      </c>
      <c r="L951" t="inlineStr">
        <is>
          <t>Crosswalk Pending</t>
        </is>
      </c>
      <c r="M951" t="inlineStr">
        <is>
          <t>Open</t>
        </is>
      </c>
      <c r="N951" t="inlineStr"/>
    </row>
    <row r="952">
      <c r="A952" t="inlineStr">
        <is>
          <t>FKEX00951</t>
        </is>
      </c>
      <c r="B952" t="inlineStr">
        <is>
          <t>15 LL_Device</t>
        </is>
      </c>
      <c r="C952" t="inlineStr">
        <is>
          <t>tblDeviceModel</t>
        </is>
      </c>
      <c r="D952" t="n">
        <v>318</v>
      </c>
      <c r="E952" t="inlineStr">
        <is>
          <t>MOD000315</t>
        </is>
      </c>
      <c r="F952" t="inlineStr">
        <is>
          <t>DeviceTypeID</t>
        </is>
      </c>
      <c r="G952" t="inlineStr">
        <is>
          <t>DT002</t>
        </is>
      </c>
      <c r="H952" t="inlineStr">
        <is>
          <t>tblDeviceTypeIDCrosswalk</t>
        </is>
      </c>
      <c r="I952" t="inlineStr"/>
      <c r="J952" t="inlineStr">
        <is>
          <t>No Supported Match</t>
        </is>
      </c>
      <c r="K952" t="inlineStr">
        <is>
          <t>None</t>
        </is>
      </c>
      <c r="L952" t="inlineStr">
        <is>
          <t>Crosswalk Pending</t>
        </is>
      </c>
      <c r="M952" t="inlineStr">
        <is>
          <t>Open</t>
        </is>
      </c>
      <c r="N952" t="inlineStr"/>
    </row>
    <row r="953">
      <c r="A953" t="inlineStr">
        <is>
          <t>FKEX00952</t>
        </is>
      </c>
      <c r="B953" t="inlineStr">
        <is>
          <t>15 LL_Device</t>
        </is>
      </c>
      <c r="C953" t="inlineStr">
        <is>
          <t>tblDeviceModel</t>
        </is>
      </c>
      <c r="D953" t="n">
        <v>319</v>
      </c>
      <c r="E953" t="inlineStr">
        <is>
          <t>MOD000316</t>
        </is>
      </c>
      <c r="F953" t="inlineStr">
        <is>
          <t>ManufacturerID</t>
        </is>
      </c>
      <c r="G953" t="inlineStr">
        <is>
          <t>MFG002</t>
        </is>
      </c>
      <c r="H953" t="inlineStr">
        <is>
          <t>tblManufacturerIDCrosswalk</t>
        </is>
      </c>
      <c r="I953" t="inlineStr"/>
      <c r="J953" t="inlineStr">
        <is>
          <t>No Supported Match</t>
        </is>
      </c>
      <c r="K953" t="inlineStr">
        <is>
          <t>None</t>
        </is>
      </c>
      <c r="L953" t="inlineStr">
        <is>
          <t>Crosswalk Pending</t>
        </is>
      </c>
      <c r="M953" t="inlineStr">
        <is>
          <t>Open</t>
        </is>
      </c>
      <c r="N953" t="inlineStr"/>
    </row>
    <row r="954">
      <c r="A954" t="inlineStr">
        <is>
          <t>FKEX00953</t>
        </is>
      </c>
      <c r="B954" t="inlineStr">
        <is>
          <t>15 LL_Device</t>
        </is>
      </c>
      <c r="C954" t="inlineStr">
        <is>
          <t>tblDeviceModel</t>
        </is>
      </c>
      <c r="D954" t="n">
        <v>319</v>
      </c>
      <c r="E954" t="inlineStr">
        <is>
          <t>MOD000316</t>
        </is>
      </c>
      <c r="F954" t="inlineStr">
        <is>
          <t>DeviceFamilyID</t>
        </is>
      </c>
      <c r="G954" t="inlineStr">
        <is>
          <t>DF028</t>
        </is>
      </c>
      <c r="H954" t="inlineStr">
        <is>
          <t>tblDeviceFamilyIDCrosswalk</t>
        </is>
      </c>
      <c r="I954" t="inlineStr"/>
      <c r="J954" t="inlineStr">
        <is>
          <t>tblDeviceModel</t>
        </is>
      </c>
      <c r="K954" t="inlineStr">
        <is>
          <t>Exact ID</t>
        </is>
      </c>
      <c r="L954" t="inlineStr">
        <is>
          <t>Crosswalk Pending</t>
        </is>
      </c>
      <c r="M954" t="inlineStr">
        <is>
          <t>Open</t>
        </is>
      </c>
      <c r="N954" t="inlineStr"/>
    </row>
    <row r="955">
      <c r="A955" t="inlineStr">
        <is>
          <t>FKEX00954</t>
        </is>
      </c>
      <c r="B955" t="inlineStr">
        <is>
          <t>15 LL_Device</t>
        </is>
      </c>
      <c r="C955" t="inlineStr">
        <is>
          <t>tblDeviceModel</t>
        </is>
      </c>
      <c r="D955" t="n">
        <v>319</v>
      </c>
      <c r="E955" t="inlineStr">
        <is>
          <t>MOD000316</t>
        </is>
      </c>
      <c r="F955" t="inlineStr">
        <is>
          <t>DeviceTypeID</t>
        </is>
      </c>
      <c r="G955" t="inlineStr">
        <is>
          <t>DT002</t>
        </is>
      </c>
      <c r="H955" t="inlineStr">
        <is>
          <t>tblDeviceTypeIDCrosswalk</t>
        </is>
      </c>
      <c r="I955" t="inlineStr"/>
      <c r="J955" t="inlineStr">
        <is>
          <t>No Supported Match</t>
        </is>
      </c>
      <c r="K955" t="inlineStr">
        <is>
          <t>None</t>
        </is>
      </c>
      <c r="L955" t="inlineStr">
        <is>
          <t>Crosswalk Pending</t>
        </is>
      </c>
      <c r="M955" t="inlineStr">
        <is>
          <t>Open</t>
        </is>
      </c>
      <c r="N955" t="inlineStr"/>
    </row>
    <row r="956">
      <c r="A956" t="inlineStr">
        <is>
          <t>FKEX00955</t>
        </is>
      </c>
      <c r="B956" t="inlineStr">
        <is>
          <t>15 LL_Device</t>
        </is>
      </c>
      <c r="C956" t="inlineStr">
        <is>
          <t>tblDeviceModel</t>
        </is>
      </c>
      <c r="D956" t="n">
        <v>320</v>
      </c>
      <c r="E956" t="inlineStr">
        <is>
          <t>MOD000317</t>
        </is>
      </c>
      <c r="F956" t="inlineStr">
        <is>
          <t>ManufacturerID</t>
        </is>
      </c>
      <c r="G956" t="inlineStr">
        <is>
          <t>MFG002</t>
        </is>
      </c>
      <c r="H956" t="inlineStr">
        <is>
          <t>tblManufacturerIDCrosswalk</t>
        </is>
      </c>
      <c r="I956" t="inlineStr"/>
      <c r="J956" t="inlineStr">
        <is>
          <t>No Supported Match</t>
        </is>
      </c>
      <c r="K956" t="inlineStr">
        <is>
          <t>None</t>
        </is>
      </c>
      <c r="L956" t="inlineStr">
        <is>
          <t>Crosswalk Pending</t>
        </is>
      </c>
      <c r="M956" t="inlineStr">
        <is>
          <t>Open</t>
        </is>
      </c>
      <c r="N956" t="inlineStr"/>
    </row>
    <row r="957">
      <c r="A957" t="inlineStr">
        <is>
          <t>FKEX00956</t>
        </is>
      </c>
      <c r="B957" t="inlineStr">
        <is>
          <t>15 LL_Device</t>
        </is>
      </c>
      <c r="C957" t="inlineStr">
        <is>
          <t>tblDeviceModel</t>
        </is>
      </c>
      <c r="D957" t="n">
        <v>320</v>
      </c>
      <c r="E957" t="inlineStr">
        <is>
          <t>MOD000317</t>
        </is>
      </c>
      <c r="F957" t="inlineStr">
        <is>
          <t>DeviceFamilyID</t>
        </is>
      </c>
      <c r="G957" t="inlineStr">
        <is>
          <t>DF028</t>
        </is>
      </c>
      <c r="H957" t="inlineStr">
        <is>
          <t>tblDeviceFamilyIDCrosswalk</t>
        </is>
      </c>
      <c r="I957" t="inlineStr"/>
      <c r="J957" t="inlineStr">
        <is>
          <t>tblDeviceModel</t>
        </is>
      </c>
      <c r="K957" t="inlineStr">
        <is>
          <t>Exact ID</t>
        </is>
      </c>
      <c r="L957" t="inlineStr">
        <is>
          <t>Crosswalk Pending</t>
        </is>
      </c>
      <c r="M957" t="inlineStr">
        <is>
          <t>Open</t>
        </is>
      </c>
      <c r="N957" t="inlineStr"/>
    </row>
    <row r="958">
      <c r="A958" t="inlineStr">
        <is>
          <t>FKEX00957</t>
        </is>
      </c>
      <c r="B958" t="inlineStr">
        <is>
          <t>15 LL_Device</t>
        </is>
      </c>
      <c r="C958" t="inlineStr">
        <is>
          <t>tblDeviceModel</t>
        </is>
      </c>
      <c r="D958" t="n">
        <v>320</v>
      </c>
      <c r="E958" t="inlineStr">
        <is>
          <t>MOD000317</t>
        </is>
      </c>
      <c r="F958" t="inlineStr">
        <is>
          <t>DeviceTypeID</t>
        </is>
      </c>
      <c r="G958" t="inlineStr">
        <is>
          <t>DT002</t>
        </is>
      </c>
      <c r="H958" t="inlineStr">
        <is>
          <t>tblDeviceTypeIDCrosswalk</t>
        </is>
      </c>
      <c r="I958" t="inlineStr"/>
      <c r="J958" t="inlineStr">
        <is>
          <t>No Supported Match</t>
        </is>
      </c>
      <c r="K958" t="inlineStr">
        <is>
          <t>None</t>
        </is>
      </c>
      <c r="L958" t="inlineStr">
        <is>
          <t>Crosswalk Pending</t>
        </is>
      </c>
      <c r="M958" t="inlineStr">
        <is>
          <t>Open</t>
        </is>
      </c>
      <c r="N958" t="inlineStr"/>
    </row>
    <row r="959">
      <c r="A959" t="inlineStr">
        <is>
          <t>FKEX00958</t>
        </is>
      </c>
      <c r="B959" t="inlineStr">
        <is>
          <t>15 LL_Device</t>
        </is>
      </c>
      <c r="C959" t="inlineStr">
        <is>
          <t>tblDeviceModel</t>
        </is>
      </c>
      <c r="D959" t="n">
        <v>321</v>
      </c>
      <c r="E959" t="inlineStr">
        <is>
          <t>MOD000318</t>
        </is>
      </c>
      <c r="F959" t="inlineStr">
        <is>
          <t>ManufacturerID</t>
        </is>
      </c>
      <c r="G959" t="inlineStr">
        <is>
          <t>MFG002</t>
        </is>
      </c>
      <c r="H959" t="inlineStr">
        <is>
          <t>tblManufacturerIDCrosswalk</t>
        </is>
      </c>
      <c r="I959" t="inlineStr"/>
      <c r="J959" t="inlineStr">
        <is>
          <t>No Supported Match</t>
        </is>
      </c>
      <c r="K959" t="inlineStr">
        <is>
          <t>None</t>
        </is>
      </c>
      <c r="L959" t="inlineStr">
        <is>
          <t>Crosswalk Pending</t>
        </is>
      </c>
      <c r="M959" t="inlineStr">
        <is>
          <t>Open</t>
        </is>
      </c>
      <c r="N959" t="inlineStr"/>
    </row>
    <row r="960">
      <c r="A960" t="inlineStr">
        <is>
          <t>FKEX00959</t>
        </is>
      </c>
      <c r="B960" t="inlineStr">
        <is>
          <t>15 LL_Device</t>
        </is>
      </c>
      <c r="C960" t="inlineStr">
        <is>
          <t>tblDeviceModel</t>
        </is>
      </c>
      <c r="D960" t="n">
        <v>321</v>
      </c>
      <c r="E960" t="inlineStr">
        <is>
          <t>MOD000318</t>
        </is>
      </c>
      <c r="F960" t="inlineStr">
        <is>
          <t>DeviceFamilyID</t>
        </is>
      </c>
      <c r="G960" t="inlineStr">
        <is>
          <t>DF028</t>
        </is>
      </c>
      <c r="H960" t="inlineStr">
        <is>
          <t>tblDeviceFamilyIDCrosswalk</t>
        </is>
      </c>
      <c r="I960" t="inlineStr"/>
      <c r="J960" t="inlineStr">
        <is>
          <t>tblDeviceModel</t>
        </is>
      </c>
      <c r="K960" t="inlineStr">
        <is>
          <t>Exact ID</t>
        </is>
      </c>
      <c r="L960" t="inlineStr">
        <is>
          <t>Crosswalk Pending</t>
        </is>
      </c>
      <c r="M960" t="inlineStr">
        <is>
          <t>Open</t>
        </is>
      </c>
      <c r="N960" t="inlineStr"/>
    </row>
    <row r="961">
      <c r="A961" t="inlineStr">
        <is>
          <t>FKEX00960</t>
        </is>
      </c>
      <c r="B961" t="inlineStr">
        <is>
          <t>15 LL_Device</t>
        </is>
      </c>
      <c r="C961" t="inlineStr">
        <is>
          <t>tblDeviceModel</t>
        </is>
      </c>
      <c r="D961" t="n">
        <v>321</v>
      </c>
      <c r="E961" t="inlineStr">
        <is>
          <t>MOD000318</t>
        </is>
      </c>
      <c r="F961" t="inlineStr">
        <is>
          <t>DeviceTypeID</t>
        </is>
      </c>
      <c r="G961" t="inlineStr">
        <is>
          <t>DT002</t>
        </is>
      </c>
      <c r="H961" t="inlineStr">
        <is>
          <t>tblDeviceTypeIDCrosswalk</t>
        </is>
      </c>
      <c r="I961" t="inlineStr"/>
      <c r="J961" t="inlineStr">
        <is>
          <t>No Supported Match</t>
        </is>
      </c>
      <c r="K961" t="inlineStr">
        <is>
          <t>None</t>
        </is>
      </c>
      <c r="L961" t="inlineStr">
        <is>
          <t>Crosswalk Pending</t>
        </is>
      </c>
      <c r="M961" t="inlineStr">
        <is>
          <t>Open</t>
        </is>
      </c>
      <c r="N961" t="inlineStr"/>
    </row>
    <row r="962">
      <c r="A962" t="inlineStr">
        <is>
          <t>FKEX00961</t>
        </is>
      </c>
      <c r="B962" t="inlineStr">
        <is>
          <t>15 LL_Device</t>
        </is>
      </c>
      <c r="C962" t="inlineStr">
        <is>
          <t>tblDeviceModel</t>
        </is>
      </c>
      <c r="D962" t="n">
        <v>322</v>
      </c>
      <c r="E962" t="inlineStr">
        <is>
          <t>MOD000319</t>
        </is>
      </c>
      <c r="F962" t="inlineStr">
        <is>
          <t>ManufacturerID</t>
        </is>
      </c>
      <c r="G962" t="inlineStr">
        <is>
          <t>MFG002</t>
        </is>
      </c>
      <c r="H962" t="inlineStr">
        <is>
          <t>tblManufacturerIDCrosswalk</t>
        </is>
      </c>
      <c r="I962" t="inlineStr"/>
      <c r="J962" t="inlineStr">
        <is>
          <t>No Supported Match</t>
        </is>
      </c>
      <c r="K962" t="inlineStr">
        <is>
          <t>None</t>
        </is>
      </c>
      <c r="L962" t="inlineStr">
        <is>
          <t>Crosswalk Pending</t>
        </is>
      </c>
      <c r="M962" t="inlineStr">
        <is>
          <t>Open</t>
        </is>
      </c>
      <c r="N962" t="inlineStr"/>
    </row>
    <row r="963">
      <c r="A963" t="inlineStr">
        <is>
          <t>FKEX00962</t>
        </is>
      </c>
      <c r="B963" t="inlineStr">
        <is>
          <t>15 LL_Device</t>
        </is>
      </c>
      <c r="C963" t="inlineStr">
        <is>
          <t>tblDeviceModel</t>
        </is>
      </c>
      <c r="D963" t="n">
        <v>322</v>
      </c>
      <c r="E963" t="inlineStr">
        <is>
          <t>MOD000319</t>
        </is>
      </c>
      <c r="F963" t="inlineStr">
        <is>
          <t>DeviceFamilyID</t>
        </is>
      </c>
      <c r="G963" t="inlineStr">
        <is>
          <t>DF028</t>
        </is>
      </c>
      <c r="H963" t="inlineStr">
        <is>
          <t>tblDeviceFamilyIDCrosswalk</t>
        </is>
      </c>
      <c r="I963" t="inlineStr"/>
      <c r="J963" t="inlineStr">
        <is>
          <t>tblDeviceModel</t>
        </is>
      </c>
      <c r="K963" t="inlineStr">
        <is>
          <t>Exact ID</t>
        </is>
      </c>
      <c r="L963" t="inlineStr">
        <is>
          <t>Crosswalk Pending</t>
        </is>
      </c>
      <c r="M963" t="inlineStr">
        <is>
          <t>Open</t>
        </is>
      </c>
      <c r="N963" t="inlineStr"/>
    </row>
    <row r="964">
      <c r="A964" t="inlineStr">
        <is>
          <t>FKEX00963</t>
        </is>
      </c>
      <c r="B964" t="inlineStr">
        <is>
          <t>15 LL_Device</t>
        </is>
      </c>
      <c r="C964" t="inlineStr">
        <is>
          <t>tblDeviceModel</t>
        </is>
      </c>
      <c r="D964" t="n">
        <v>322</v>
      </c>
      <c r="E964" t="inlineStr">
        <is>
          <t>MOD000319</t>
        </is>
      </c>
      <c r="F964" t="inlineStr">
        <is>
          <t>DeviceTypeID</t>
        </is>
      </c>
      <c r="G964" t="inlineStr">
        <is>
          <t>DT002</t>
        </is>
      </c>
      <c r="H964" t="inlineStr">
        <is>
          <t>tblDeviceTypeIDCrosswalk</t>
        </is>
      </c>
      <c r="I964" t="inlineStr"/>
      <c r="J964" t="inlineStr">
        <is>
          <t>No Supported Match</t>
        </is>
      </c>
      <c r="K964" t="inlineStr">
        <is>
          <t>None</t>
        </is>
      </c>
      <c r="L964" t="inlineStr">
        <is>
          <t>Crosswalk Pending</t>
        </is>
      </c>
      <c r="M964" t="inlineStr">
        <is>
          <t>Open</t>
        </is>
      </c>
      <c r="N964" t="inlineStr"/>
    </row>
    <row r="965">
      <c r="A965" t="inlineStr">
        <is>
          <t>FKEX00964</t>
        </is>
      </c>
      <c r="B965" t="inlineStr">
        <is>
          <t>15 LL_Device</t>
        </is>
      </c>
      <c r="C965" t="inlineStr">
        <is>
          <t>tblDeviceModel</t>
        </is>
      </c>
      <c r="D965" t="n">
        <v>323</v>
      </c>
      <c r="E965" t="inlineStr">
        <is>
          <t>MOD000320</t>
        </is>
      </c>
      <c r="F965" t="inlineStr">
        <is>
          <t>ManufacturerID</t>
        </is>
      </c>
      <c r="G965" t="inlineStr">
        <is>
          <t>MFG002</t>
        </is>
      </c>
      <c r="H965" t="inlineStr">
        <is>
          <t>tblManufacturerIDCrosswalk</t>
        </is>
      </c>
      <c r="I965" t="inlineStr"/>
      <c r="J965" t="inlineStr">
        <is>
          <t>No Supported Match</t>
        </is>
      </c>
      <c r="K965" t="inlineStr">
        <is>
          <t>None</t>
        </is>
      </c>
      <c r="L965" t="inlineStr">
        <is>
          <t>Crosswalk Pending</t>
        </is>
      </c>
      <c r="M965" t="inlineStr">
        <is>
          <t>Open</t>
        </is>
      </c>
      <c r="N965" t="inlineStr"/>
    </row>
    <row r="966">
      <c r="A966" t="inlineStr">
        <is>
          <t>FKEX00965</t>
        </is>
      </c>
      <c r="B966" t="inlineStr">
        <is>
          <t>15 LL_Device</t>
        </is>
      </c>
      <c r="C966" t="inlineStr">
        <is>
          <t>tblDeviceModel</t>
        </is>
      </c>
      <c r="D966" t="n">
        <v>323</v>
      </c>
      <c r="E966" t="inlineStr">
        <is>
          <t>MOD000320</t>
        </is>
      </c>
      <c r="F966" t="inlineStr">
        <is>
          <t>DeviceFamilyID</t>
        </is>
      </c>
      <c r="G966" t="inlineStr">
        <is>
          <t>DF028</t>
        </is>
      </c>
      <c r="H966" t="inlineStr">
        <is>
          <t>tblDeviceFamilyIDCrosswalk</t>
        </is>
      </c>
      <c r="I966" t="inlineStr"/>
      <c r="J966" t="inlineStr">
        <is>
          <t>tblDeviceModel</t>
        </is>
      </c>
      <c r="K966" t="inlineStr">
        <is>
          <t>Exact ID</t>
        </is>
      </c>
      <c r="L966" t="inlineStr">
        <is>
          <t>Crosswalk Pending</t>
        </is>
      </c>
      <c r="M966" t="inlineStr">
        <is>
          <t>Open</t>
        </is>
      </c>
      <c r="N966" t="inlineStr"/>
    </row>
    <row r="967">
      <c r="A967" t="inlineStr">
        <is>
          <t>FKEX00966</t>
        </is>
      </c>
      <c r="B967" t="inlineStr">
        <is>
          <t>15 LL_Device</t>
        </is>
      </c>
      <c r="C967" t="inlineStr">
        <is>
          <t>tblDeviceModel</t>
        </is>
      </c>
      <c r="D967" t="n">
        <v>323</v>
      </c>
      <c r="E967" t="inlineStr">
        <is>
          <t>MOD000320</t>
        </is>
      </c>
      <c r="F967" t="inlineStr">
        <is>
          <t>DeviceTypeID</t>
        </is>
      </c>
      <c r="G967" t="inlineStr">
        <is>
          <t>DT002</t>
        </is>
      </c>
      <c r="H967" t="inlineStr">
        <is>
          <t>tblDeviceTypeIDCrosswalk</t>
        </is>
      </c>
      <c r="I967" t="inlineStr"/>
      <c r="J967" t="inlineStr">
        <is>
          <t>No Supported Match</t>
        </is>
      </c>
      <c r="K967" t="inlineStr">
        <is>
          <t>None</t>
        </is>
      </c>
      <c r="L967" t="inlineStr">
        <is>
          <t>Crosswalk Pending</t>
        </is>
      </c>
      <c r="M967" t="inlineStr">
        <is>
          <t>Open</t>
        </is>
      </c>
      <c r="N967" t="inlineStr"/>
    </row>
    <row r="968">
      <c r="A968" t="inlineStr">
        <is>
          <t>FKEX00967</t>
        </is>
      </c>
      <c r="B968" t="inlineStr">
        <is>
          <t>15 LL_Device</t>
        </is>
      </c>
      <c r="C968" t="inlineStr">
        <is>
          <t>tblDeviceModel</t>
        </is>
      </c>
      <c r="D968" t="n">
        <v>324</v>
      </c>
      <c r="E968" t="inlineStr">
        <is>
          <t>MOD000321</t>
        </is>
      </c>
      <c r="F968" t="inlineStr">
        <is>
          <t>ManufacturerID</t>
        </is>
      </c>
      <c r="G968" t="inlineStr">
        <is>
          <t>MFG002</t>
        </is>
      </c>
      <c r="H968" t="inlineStr">
        <is>
          <t>tblManufacturerIDCrosswalk</t>
        </is>
      </c>
      <c r="I968" t="inlineStr"/>
      <c r="J968" t="inlineStr">
        <is>
          <t>No Supported Match</t>
        </is>
      </c>
      <c r="K968" t="inlineStr">
        <is>
          <t>None</t>
        </is>
      </c>
      <c r="L968" t="inlineStr">
        <is>
          <t>Crosswalk Pending</t>
        </is>
      </c>
      <c r="M968" t="inlineStr">
        <is>
          <t>Open</t>
        </is>
      </c>
      <c r="N968" t="inlineStr"/>
    </row>
    <row r="969">
      <c r="A969" t="inlineStr">
        <is>
          <t>FKEX00968</t>
        </is>
      </c>
      <c r="B969" t="inlineStr">
        <is>
          <t>15 LL_Device</t>
        </is>
      </c>
      <c r="C969" t="inlineStr">
        <is>
          <t>tblDeviceModel</t>
        </is>
      </c>
      <c r="D969" t="n">
        <v>324</v>
      </c>
      <c r="E969" t="inlineStr">
        <is>
          <t>MOD000321</t>
        </is>
      </c>
      <c r="F969" t="inlineStr">
        <is>
          <t>DeviceFamilyID</t>
        </is>
      </c>
      <c r="G969" t="inlineStr">
        <is>
          <t>DF028</t>
        </is>
      </c>
      <c r="H969" t="inlineStr">
        <is>
          <t>tblDeviceFamilyIDCrosswalk</t>
        </is>
      </c>
      <c r="I969" t="inlineStr"/>
      <c r="J969" t="inlineStr">
        <is>
          <t>tblDeviceModel</t>
        </is>
      </c>
      <c r="K969" t="inlineStr">
        <is>
          <t>Exact ID</t>
        </is>
      </c>
      <c r="L969" t="inlineStr">
        <is>
          <t>Crosswalk Pending</t>
        </is>
      </c>
      <c r="M969" t="inlineStr">
        <is>
          <t>Open</t>
        </is>
      </c>
      <c r="N969" t="inlineStr"/>
    </row>
    <row r="970">
      <c r="A970" t="inlineStr">
        <is>
          <t>FKEX00969</t>
        </is>
      </c>
      <c r="B970" t="inlineStr">
        <is>
          <t>15 LL_Device</t>
        </is>
      </c>
      <c r="C970" t="inlineStr">
        <is>
          <t>tblDeviceModel</t>
        </is>
      </c>
      <c r="D970" t="n">
        <v>324</v>
      </c>
      <c r="E970" t="inlineStr">
        <is>
          <t>MOD000321</t>
        </is>
      </c>
      <c r="F970" t="inlineStr">
        <is>
          <t>DeviceTypeID</t>
        </is>
      </c>
      <c r="G970" t="inlineStr">
        <is>
          <t>DT002</t>
        </is>
      </c>
      <c r="H970" t="inlineStr">
        <is>
          <t>tblDeviceTypeIDCrosswalk</t>
        </is>
      </c>
      <c r="I970" t="inlineStr"/>
      <c r="J970" t="inlineStr">
        <is>
          <t>No Supported Match</t>
        </is>
      </c>
      <c r="K970" t="inlineStr">
        <is>
          <t>None</t>
        </is>
      </c>
      <c r="L970" t="inlineStr">
        <is>
          <t>Crosswalk Pending</t>
        </is>
      </c>
      <c r="M970" t="inlineStr">
        <is>
          <t>Open</t>
        </is>
      </c>
      <c r="N970" t="inlineStr"/>
    </row>
    <row r="971">
      <c r="A971" t="inlineStr">
        <is>
          <t>FKEX00970</t>
        </is>
      </c>
      <c r="B971" t="inlineStr">
        <is>
          <t>15 LL_Device</t>
        </is>
      </c>
      <c r="C971" t="inlineStr">
        <is>
          <t>tblDeviceModel</t>
        </is>
      </c>
      <c r="D971" t="n">
        <v>325</v>
      </c>
      <c r="E971" t="inlineStr">
        <is>
          <t>MOD000322</t>
        </is>
      </c>
      <c r="F971" t="inlineStr">
        <is>
          <t>ManufacturerID</t>
        </is>
      </c>
      <c r="G971" t="inlineStr">
        <is>
          <t>MFG002</t>
        </is>
      </c>
      <c r="H971" t="inlineStr">
        <is>
          <t>tblManufacturerIDCrosswalk</t>
        </is>
      </c>
      <c r="I971" t="inlineStr"/>
      <c r="J971" t="inlineStr">
        <is>
          <t>No Supported Match</t>
        </is>
      </c>
      <c r="K971" t="inlineStr">
        <is>
          <t>None</t>
        </is>
      </c>
      <c r="L971" t="inlineStr">
        <is>
          <t>Crosswalk Pending</t>
        </is>
      </c>
      <c r="M971" t="inlineStr">
        <is>
          <t>Open</t>
        </is>
      </c>
      <c r="N971" t="inlineStr"/>
    </row>
    <row r="972">
      <c r="A972" t="inlineStr">
        <is>
          <t>FKEX00971</t>
        </is>
      </c>
      <c r="B972" t="inlineStr">
        <is>
          <t>15 LL_Device</t>
        </is>
      </c>
      <c r="C972" t="inlineStr">
        <is>
          <t>tblDeviceModel</t>
        </is>
      </c>
      <c r="D972" t="n">
        <v>325</v>
      </c>
      <c r="E972" t="inlineStr">
        <is>
          <t>MOD000322</t>
        </is>
      </c>
      <c r="F972" t="inlineStr">
        <is>
          <t>DeviceFamilyID</t>
        </is>
      </c>
      <c r="G972" t="inlineStr">
        <is>
          <t>DF028</t>
        </is>
      </c>
      <c r="H972" t="inlineStr">
        <is>
          <t>tblDeviceFamilyIDCrosswalk</t>
        </is>
      </c>
      <c r="I972" t="inlineStr"/>
      <c r="J972" t="inlineStr">
        <is>
          <t>tblDeviceModel</t>
        </is>
      </c>
      <c r="K972" t="inlineStr">
        <is>
          <t>Exact ID</t>
        </is>
      </c>
      <c r="L972" t="inlineStr">
        <is>
          <t>Crosswalk Pending</t>
        </is>
      </c>
      <c r="M972" t="inlineStr">
        <is>
          <t>Open</t>
        </is>
      </c>
      <c r="N972" t="inlineStr"/>
    </row>
    <row r="973">
      <c r="A973" t="inlineStr">
        <is>
          <t>FKEX00972</t>
        </is>
      </c>
      <c r="B973" t="inlineStr">
        <is>
          <t>15 LL_Device</t>
        </is>
      </c>
      <c r="C973" t="inlineStr">
        <is>
          <t>tblDeviceModel</t>
        </is>
      </c>
      <c r="D973" t="n">
        <v>325</v>
      </c>
      <c r="E973" t="inlineStr">
        <is>
          <t>MOD000322</t>
        </is>
      </c>
      <c r="F973" t="inlineStr">
        <is>
          <t>DeviceTypeID</t>
        </is>
      </c>
      <c r="G973" t="inlineStr">
        <is>
          <t>DT002</t>
        </is>
      </c>
      <c r="H973" t="inlineStr">
        <is>
          <t>tblDeviceTypeIDCrosswalk</t>
        </is>
      </c>
      <c r="I973" t="inlineStr"/>
      <c r="J973" t="inlineStr">
        <is>
          <t>No Supported Match</t>
        </is>
      </c>
      <c r="K973" t="inlineStr">
        <is>
          <t>None</t>
        </is>
      </c>
      <c r="L973" t="inlineStr">
        <is>
          <t>Crosswalk Pending</t>
        </is>
      </c>
      <c r="M973" t="inlineStr">
        <is>
          <t>Open</t>
        </is>
      </c>
      <c r="N973" t="inlineStr"/>
    </row>
    <row r="974">
      <c r="A974" t="inlineStr">
        <is>
          <t>FKEX00973</t>
        </is>
      </c>
      <c r="B974" t="inlineStr">
        <is>
          <t>15 LL_Device</t>
        </is>
      </c>
      <c r="C974" t="inlineStr">
        <is>
          <t>tblDeviceModel</t>
        </is>
      </c>
      <c r="D974" t="n">
        <v>326</v>
      </c>
      <c r="E974" t="inlineStr">
        <is>
          <t>MOD000323</t>
        </is>
      </c>
      <c r="F974" t="inlineStr">
        <is>
          <t>ManufacturerID</t>
        </is>
      </c>
      <c r="G974" t="inlineStr">
        <is>
          <t>MFG002</t>
        </is>
      </c>
      <c r="H974" t="inlineStr">
        <is>
          <t>tblManufacturerIDCrosswalk</t>
        </is>
      </c>
      <c r="I974" t="inlineStr"/>
      <c r="J974" t="inlineStr">
        <is>
          <t>No Supported Match</t>
        </is>
      </c>
      <c r="K974" t="inlineStr">
        <is>
          <t>None</t>
        </is>
      </c>
      <c r="L974" t="inlineStr">
        <is>
          <t>Crosswalk Pending</t>
        </is>
      </c>
      <c r="M974" t="inlineStr">
        <is>
          <t>Open</t>
        </is>
      </c>
      <c r="N974" t="inlineStr"/>
    </row>
    <row r="975">
      <c r="A975" t="inlineStr">
        <is>
          <t>FKEX00974</t>
        </is>
      </c>
      <c r="B975" t="inlineStr">
        <is>
          <t>15 LL_Device</t>
        </is>
      </c>
      <c r="C975" t="inlineStr">
        <is>
          <t>tblDeviceModel</t>
        </is>
      </c>
      <c r="D975" t="n">
        <v>326</v>
      </c>
      <c r="E975" t="inlineStr">
        <is>
          <t>MOD000323</t>
        </is>
      </c>
      <c r="F975" t="inlineStr">
        <is>
          <t>DeviceFamilyID</t>
        </is>
      </c>
      <c r="G975" t="inlineStr">
        <is>
          <t>DF028</t>
        </is>
      </c>
      <c r="H975" t="inlineStr">
        <is>
          <t>tblDeviceFamilyIDCrosswalk</t>
        </is>
      </c>
      <c r="I975" t="inlineStr"/>
      <c r="J975" t="inlineStr">
        <is>
          <t>tblDeviceModel</t>
        </is>
      </c>
      <c r="K975" t="inlineStr">
        <is>
          <t>Exact ID</t>
        </is>
      </c>
      <c r="L975" t="inlineStr">
        <is>
          <t>Crosswalk Pending</t>
        </is>
      </c>
      <c r="M975" t="inlineStr">
        <is>
          <t>Open</t>
        </is>
      </c>
      <c r="N975" t="inlineStr"/>
    </row>
    <row r="976">
      <c r="A976" t="inlineStr">
        <is>
          <t>FKEX00975</t>
        </is>
      </c>
      <c r="B976" t="inlineStr">
        <is>
          <t>15 LL_Device</t>
        </is>
      </c>
      <c r="C976" t="inlineStr">
        <is>
          <t>tblDeviceModel</t>
        </is>
      </c>
      <c r="D976" t="n">
        <v>326</v>
      </c>
      <c r="E976" t="inlineStr">
        <is>
          <t>MOD000323</t>
        </is>
      </c>
      <c r="F976" t="inlineStr">
        <is>
          <t>DeviceTypeID</t>
        </is>
      </c>
      <c r="G976" t="inlineStr">
        <is>
          <t>DT002</t>
        </is>
      </c>
      <c r="H976" t="inlineStr">
        <is>
          <t>tblDeviceTypeIDCrosswalk</t>
        </is>
      </c>
      <c r="I976" t="inlineStr"/>
      <c r="J976" t="inlineStr">
        <is>
          <t>No Supported Match</t>
        </is>
      </c>
      <c r="K976" t="inlineStr">
        <is>
          <t>None</t>
        </is>
      </c>
      <c r="L976" t="inlineStr">
        <is>
          <t>Crosswalk Pending</t>
        </is>
      </c>
      <c r="M976" t="inlineStr">
        <is>
          <t>Open</t>
        </is>
      </c>
      <c r="N976" t="inlineStr"/>
    </row>
    <row r="977">
      <c r="A977" t="inlineStr">
        <is>
          <t>FKEX00976</t>
        </is>
      </c>
      <c r="B977" t="inlineStr">
        <is>
          <t>15 LL_Device</t>
        </is>
      </c>
      <c r="C977" t="inlineStr">
        <is>
          <t>tblDeviceModel</t>
        </is>
      </c>
      <c r="D977" t="n">
        <v>327</v>
      </c>
      <c r="E977" t="inlineStr">
        <is>
          <t>MOD000324</t>
        </is>
      </c>
      <c r="F977" t="inlineStr">
        <is>
          <t>ManufacturerID</t>
        </is>
      </c>
      <c r="G977" t="inlineStr">
        <is>
          <t>MFG002</t>
        </is>
      </c>
      <c r="H977" t="inlineStr">
        <is>
          <t>tblManufacturerIDCrosswalk</t>
        </is>
      </c>
      <c r="I977" t="inlineStr"/>
      <c r="J977" t="inlineStr">
        <is>
          <t>No Supported Match</t>
        </is>
      </c>
      <c r="K977" t="inlineStr">
        <is>
          <t>None</t>
        </is>
      </c>
      <c r="L977" t="inlineStr">
        <is>
          <t>Crosswalk Pending</t>
        </is>
      </c>
      <c r="M977" t="inlineStr">
        <is>
          <t>Open</t>
        </is>
      </c>
      <c r="N977" t="inlineStr"/>
    </row>
    <row r="978">
      <c r="A978" t="inlineStr">
        <is>
          <t>FKEX00977</t>
        </is>
      </c>
      <c r="B978" t="inlineStr">
        <is>
          <t>15 LL_Device</t>
        </is>
      </c>
      <c r="C978" t="inlineStr">
        <is>
          <t>tblDeviceModel</t>
        </is>
      </c>
      <c r="D978" t="n">
        <v>327</v>
      </c>
      <c r="E978" t="inlineStr">
        <is>
          <t>MOD000324</t>
        </is>
      </c>
      <c r="F978" t="inlineStr">
        <is>
          <t>DeviceFamilyID</t>
        </is>
      </c>
      <c r="G978" t="inlineStr">
        <is>
          <t>DF028</t>
        </is>
      </c>
      <c r="H978" t="inlineStr">
        <is>
          <t>tblDeviceFamilyIDCrosswalk</t>
        </is>
      </c>
      <c r="I978" t="inlineStr"/>
      <c r="J978" t="inlineStr">
        <is>
          <t>tblDeviceModel</t>
        </is>
      </c>
      <c r="K978" t="inlineStr">
        <is>
          <t>Exact ID</t>
        </is>
      </c>
      <c r="L978" t="inlineStr">
        <is>
          <t>Crosswalk Pending</t>
        </is>
      </c>
      <c r="M978" t="inlineStr">
        <is>
          <t>Open</t>
        </is>
      </c>
      <c r="N978" t="inlineStr"/>
    </row>
    <row r="979">
      <c r="A979" t="inlineStr">
        <is>
          <t>FKEX00978</t>
        </is>
      </c>
      <c r="B979" t="inlineStr">
        <is>
          <t>15 LL_Device</t>
        </is>
      </c>
      <c r="C979" t="inlineStr">
        <is>
          <t>tblDeviceModel</t>
        </is>
      </c>
      <c r="D979" t="n">
        <v>327</v>
      </c>
      <c r="E979" t="inlineStr">
        <is>
          <t>MOD000324</t>
        </is>
      </c>
      <c r="F979" t="inlineStr">
        <is>
          <t>DeviceTypeID</t>
        </is>
      </c>
      <c r="G979" t="inlineStr">
        <is>
          <t>DT002</t>
        </is>
      </c>
      <c r="H979" t="inlineStr">
        <is>
          <t>tblDeviceTypeIDCrosswalk</t>
        </is>
      </c>
      <c r="I979" t="inlineStr"/>
      <c r="J979" t="inlineStr">
        <is>
          <t>No Supported Match</t>
        </is>
      </c>
      <c r="K979" t="inlineStr">
        <is>
          <t>None</t>
        </is>
      </c>
      <c r="L979" t="inlineStr">
        <is>
          <t>Crosswalk Pending</t>
        </is>
      </c>
      <c r="M979" t="inlineStr">
        <is>
          <t>Open</t>
        </is>
      </c>
      <c r="N979" t="inlineStr"/>
    </row>
    <row r="980">
      <c r="A980" t="inlineStr">
        <is>
          <t>FKEX00979</t>
        </is>
      </c>
      <c r="B980" t="inlineStr">
        <is>
          <t>15 LL_Device</t>
        </is>
      </c>
      <c r="C980" t="inlineStr">
        <is>
          <t>tblDeviceModel</t>
        </is>
      </c>
      <c r="D980" t="n">
        <v>328</v>
      </c>
      <c r="E980" t="inlineStr">
        <is>
          <t>MOD000325</t>
        </is>
      </c>
      <c r="F980" t="inlineStr">
        <is>
          <t>ManufacturerID</t>
        </is>
      </c>
      <c r="G980" t="inlineStr">
        <is>
          <t>MFG002</t>
        </is>
      </c>
      <c r="H980" t="inlineStr">
        <is>
          <t>tblManufacturerIDCrosswalk</t>
        </is>
      </c>
      <c r="I980" t="inlineStr"/>
      <c r="J980" t="inlineStr">
        <is>
          <t>No Supported Match</t>
        </is>
      </c>
      <c r="K980" t="inlineStr">
        <is>
          <t>None</t>
        </is>
      </c>
      <c r="L980" t="inlineStr">
        <is>
          <t>Crosswalk Pending</t>
        </is>
      </c>
      <c r="M980" t="inlineStr">
        <is>
          <t>Open</t>
        </is>
      </c>
      <c r="N980" t="inlineStr"/>
    </row>
    <row r="981">
      <c r="A981" t="inlineStr">
        <is>
          <t>FKEX00980</t>
        </is>
      </c>
      <c r="B981" t="inlineStr">
        <is>
          <t>15 LL_Device</t>
        </is>
      </c>
      <c r="C981" t="inlineStr">
        <is>
          <t>tblDeviceModel</t>
        </is>
      </c>
      <c r="D981" t="n">
        <v>328</v>
      </c>
      <c r="E981" t="inlineStr">
        <is>
          <t>MOD000325</t>
        </is>
      </c>
      <c r="F981" t="inlineStr">
        <is>
          <t>DeviceFamilyID</t>
        </is>
      </c>
      <c r="G981" t="inlineStr">
        <is>
          <t>DF028</t>
        </is>
      </c>
      <c r="H981" t="inlineStr">
        <is>
          <t>tblDeviceFamilyIDCrosswalk</t>
        </is>
      </c>
      <c r="I981" t="inlineStr"/>
      <c r="J981" t="inlineStr">
        <is>
          <t>tblDeviceModel</t>
        </is>
      </c>
      <c r="K981" t="inlineStr">
        <is>
          <t>Exact ID</t>
        </is>
      </c>
      <c r="L981" t="inlineStr">
        <is>
          <t>Crosswalk Pending</t>
        </is>
      </c>
      <c r="M981" t="inlineStr">
        <is>
          <t>Open</t>
        </is>
      </c>
      <c r="N981" t="inlineStr"/>
    </row>
    <row r="982">
      <c r="A982" t="inlineStr">
        <is>
          <t>FKEX00981</t>
        </is>
      </c>
      <c r="B982" t="inlineStr">
        <is>
          <t>15 LL_Device</t>
        </is>
      </c>
      <c r="C982" t="inlineStr">
        <is>
          <t>tblDeviceModel</t>
        </is>
      </c>
      <c r="D982" t="n">
        <v>328</v>
      </c>
      <c r="E982" t="inlineStr">
        <is>
          <t>MOD000325</t>
        </is>
      </c>
      <c r="F982" t="inlineStr">
        <is>
          <t>DeviceTypeID</t>
        </is>
      </c>
      <c r="G982" t="inlineStr">
        <is>
          <t>DT002</t>
        </is>
      </c>
      <c r="H982" t="inlineStr">
        <is>
          <t>tblDeviceTypeIDCrosswalk</t>
        </is>
      </c>
      <c r="I982" t="inlineStr"/>
      <c r="J982" t="inlineStr">
        <is>
          <t>No Supported Match</t>
        </is>
      </c>
      <c r="K982" t="inlineStr">
        <is>
          <t>None</t>
        </is>
      </c>
      <c r="L982" t="inlineStr">
        <is>
          <t>Crosswalk Pending</t>
        </is>
      </c>
      <c r="M982" t="inlineStr">
        <is>
          <t>Open</t>
        </is>
      </c>
      <c r="N982" t="inlineStr"/>
    </row>
    <row r="983">
      <c r="A983" t="inlineStr">
        <is>
          <t>FKEX00982</t>
        </is>
      </c>
      <c r="B983" t="inlineStr">
        <is>
          <t>15 LL_Device</t>
        </is>
      </c>
      <c r="C983" t="inlineStr">
        <is>
          <t>tblDeviceModel</t>
        </is>
      </c>
      <c r="D983" t="n">
        <v>329</v>
      </c>
      <c r="E983" t="inlineStr">
        <is>
          <t>MOD000326</t>
        </is>
      </c>
      <c r="F983" t="inlineStr">
        <is>
          <t>ManufacturerID</t>
        </is>
      </c>
      <c r="G983" t="inlineStr">
        <is>
          <t>MFG002</t>
        </is>
      </c>
      <c r="H983" t="inlineStr">
        <is>
          <t>tblManufacturerIDCrosswalk</t>
        </is>
      </c>
      <c r="I983" t="inlineStr"/>
      <c r="J983" t="inlineStr">
        <is>
          <t>No Supported Match</t>
        </is>
      </c>
      <c r="K983" t="inlineStr">
        <is>
          <t>None</t>
        </is>
      </c>
      <c r="L983" t="inlineStr">
        <is>
          <t>Crosswalk Pending</t>
        </is>
      </c>
      <c r="M983" t="inlineStr">
        <is>
          <t>Open</t>
        </is>
      </c>
      <c r="N983" t="inlineStr"/>
    </row>
    <row r="984">
      <c r="A984" t="inlineStr">
        <is>
          <t>FKEX00983</t>
        </is>
      </c>
      <c r="B984" t="inlineStr">
        <is>
          <t>15 LL_Device</t>
        </is>
      </c>
      <c r="C984" t="inlineStr">
        <is>
          <t>tblDeviceModel</t>
        </is>
      </c>
      <c r="D984" t="n">
        <v>329</v>
      </c>
      <c r="E984" t="inlineStr">
        <is>
          <t>MOD000326</t>
        </is>
      </c>
      <c r="F984" t="inlineStr">
        <is>
          <t>DeviceFamilyID</t>
        </is>
      </c>
      <c r="G984" t="inlineStr">
        <is>
          <t>DF029</t>
        </is>
      </c>
      <c r="H984" t="inlineStr">
        <is>
          <t>tblDeviceFamilyIDCrosswalk</t>
        </is>
      </c>
      <c r="I984" t="inlineStr"/>
      <c r="J984" t="inlineStr">
        <is>
          <t>tblDeviceModel</t>
        </is>
      </c>
      <c r="K984" t="inlineStr">
        <is>
          <t>Exact ID</t>
        </is>
      </c>
      <c r="L984" t="inlineStr">
        <is>
          <t>Crosswalk Pending</t>
        </is>
      </c>
      <c r="M984" t="inlineStr">
        <is>
          <t>Open</t>
        </is>
      </c>
      <c r="N984" t="inlineStr"/>
    </row>
    <row r="985">
      <c r="A985" t="inlineStr">
        <is>
          <t>FKEX00984</t>
        </is>
      </c>
      <c r="B985" t="inlineStr">
        <is>
          <t>15 LL_Device</t>
        </is>
      </c>
      <c r="C985" t="inlineStr">
        <is>
          <t>tblDeviceModel</t>
        </is>
      </c>
      <c r="D985" t="n">
        <v>329</v>
      </c>
      <c r="E985" t="inlineStr">
        <is>
          <t>MOD000326</t>
        </is>
      </c>
      <c r="F985" t="inlineStr">
        <is>
          <t>DeviceTypeID</t>
        </is>
      </c>
      <c r="G985" t="inlineStr">
        <is>
          <t>DT003</t>
        </is>
      </c>
      <c r="H985" t="inlineStr">
        <is>
          <t>tblDeviceTypeIDCrosswalk</t>
        </is>
      </c>
      <c r="I985" t="inlineStr"/>
      <c r="J985" t="inlineStr">
        <is>
          <t>No Supported Match</t>
        </is>
      </c>
      <c r="K985" t="inlineStr">
        <is>
          <t>None</t>
        </is>
      </c>
      <c r="L985" t="inlineStr">
        <is>
          <t>Crosswalk Pending</t>
        </is>
      </c>
      <c r="M985" t="inlineStr">
        <is>
          <t>Open</t>
        </is>
      </c>
      <c r="N985" t="inlineStr"/>
    </row>
    <row r="986">
      <c r="A986" t="inlineStr">
        <is>
          <t>FKEX00985</t>
        </is>
      </c>
      <c r="B986" t="inlineStr">
        <is>
          <t>15 LL_Device</t>
        </is>
      </c>
      <c r="C986" t="inlineStr">
        <is>
          <t>tblDeviceModel</t>
        </is>
      </c>
      <c r="D986" t="n">
        <v>330</v>
      </c>
      <c r="E986" t="inlineStr">
        <is>
          <t>MOD000327</t>
        </is>
      </c>
      <c r="F986" t="inlineStr">
        <is>
          <t>ManufacturerID</t>
        </is>
      </c>
      <c r="G986" t="inlineStr">
        <is>
          <t>MFG002</t>
        </is>
      </c>
      <c r="H986" t="inlineStr">
        <is>
          <t>tblManufacturerIDCrosswalk</t>
        </is>
      </c>
      <c r="I986" t="inlineStr"/>
      <c r="J986" t="inlineStr">
        <is>
          <t>No Supported Match</t>
        </is>
      </c>
      <c r="K986" t="inlineStr">
        <is>
          <t>None</t>
        </is>
      </c>
      <c r="L986" t="inlineStr">
        <is>
          <t>Crosswalk Pending</t>
        </is>
      </c>
      <c r="M986" t="inlineStr">
        <is>
          <t>Open</t>
        </is>
      </c>
      <c r="N986" t="inlineStr"/>
    </row>
    <row r="987">
      <c r="A987" t="inlineStr">
        <is>
          <t>FKEX00986</t>
        </is>
      </c>
      <c r="B987" t="inlineStr">
        <is>
          <t>15 LL_Device</t>
        </is>
      </c>
      <c r="C987" t="inlineStr">
        <is>
          <t>tblDeviceModel</t>
        </is>
      </c>
      <c r="D987" t="n">
        <v>330</v>
      </c>
      <c r="E987" t="inlineStr">
        <is>
          <t>MOD000327</t>
        </is>
      </c>
      <c r="F987" t="inlineStr">
        <is>
          <t>DeviceFamilyID</t>
        </is>
      </c>
      <c r="G987" t="inlineStr">
        <is>
          <t>DF029</t>
        </is>
      </c>
      <c r="H987" t="inlineStr">
        <is>
          <t>tblDeviceFamilyIDCrosswalk</t>
        </is>
      </c>
      <c r="I987" t="inlineStr"/>
      <c r="J987" t="inlineStr">
        <is>
          <t>tblDeviceModel</t>
        </is>
      </c>
      <c r="K987" t="inlineStr">
        <is>
          <t>Exact ID</t>
        </is>
      </c>
      <c r="L987" t="inlineStr">
        <is>
          <t>Crosswalk Pending</t>
        </is>
      </c>
      <c r="M987" t="inlineStr">
        <is>
          <t>Open</t>
        </is>
      </c>
      <c r="N987" t="inlineStr"/>
    </row>
    <row r="988">
      <c r="A988" t="inlineStr">
        <is>
          <t>FKEX00987</t>
        </is>
      </c>
      <c r="B988" t="inlineStr">
        <is>
          <t>15 LL_Device</t>
        </is>
      </c>
      <c r="C988" t="inlineStr">
        <is>
          <t>tblDeviceModel</t>
        </is>
      </c>
      <c r="D988" t="n">
        <v>330</v>
      </c>
      <c r="E988" t="inlineStr">
        <is>
          <t>MOD000327</t>
        </is>
      </c>
      <c r="F988" t="inlineStr">
        <is>
          <t>DeviceTypeID</t>
        </is>
      </c>
      <c r="G988" t="inlineStr">
        <is>
          <t>DT003</t>
        </is>
      </c>
      <c r="H988" t="inlineStr">
        <is>
          <t>tblDeviceTypeIDCrosswalk</t>
        </is>
      </c>
      <c r="I988" t="inlineStr"/>
      <c r="J988" t="inlineStr">
        <is>
          <t>No Supported Match</t>
        </is>
      </c>
      <c r="K988" t="inlineStr">
        <is>
          <t>None</t>
        </is>
      </c>
      <c r="L988" t="inlineStr">
        <is>
          <t>Crosswalk Pending</t>
        </is>
      </c>
      <c r="M988" t="inlineStr">
        <is>
          <t>Open</t>
        </is>
      </c>
      <c r="N988" t="inlineStr"/>
    </row>
    <row r="989">
      <c r="A989" t="inlineStr">
        <is>
          <t>FKEX00988</t>
        </is>
      </c>
      <c r="B989" t="inlineStr">
        <is>
          <t>15 LL_Device</t>
        </is>
      </c>
      <c r="C989" t="inlineStr">
        <is>
          <t>tblDeviceModel</t>
        </is>
      </c>
      <c r="D989" t="n">
        <v>331</v>
      </c>
      <c r="E989" t="inlineStr">
        <is>
          <t>MOD000328</t>
        </is>
      </c>
      <c r="F989" t="inlineStr">
        <is>
          <t>ManufacturerID</t>
        </is>
      </c>
      <c r="G989" t="inlineStr">
        <is>
          <t>MFG002</t>
        </is>
      </c>
      <c r="H989" t="inlineStr">
        <is>
          <t>tblManufacturerIDCrosswalk</t>
        </is>
      </c>
      <c r="I989" t="inlineStr"/>
      <c r="J989" t="inlineStr">
        <is>
          <t>No Supported Match</t>
        </is>
      </c>
      <c r="K989" t="inlineStr">
        <is>
          <t>None</t>
        </is>
      </c>
      <c r="L989" t="inlineStr">
        <is>
          <t>Crosswalk Pending</t>
        </is>
      </c>
      <c r="M989" t="inlineStr">
        <is>
          <t>Open</t>
        </is>
      </c>
      <c r="N989" t="inlineStr"/>
    </row>
    <row r="990">
      <c r="A990" t="inlineStr">
        <is>
          <t>FKEX00989</t>
        </is>
      </c>
      <c r="B990" t="inlineStr">
        <is>
          <t>15 LL_Device</t>
        </is>
      </c>
      <c r="C990" t="inlineStr">
        <is>
          <t>tblDeviceModel</t>
        </is>
      </c>
      <c r="D990" t="n">
        <v>331</v>
      </c>
      <c r="E990" t="inlineStr">
        <is>
          <t>MOD000328</t>
        </is>
      </c>
      <c r="F990" t="inlineStr">
        <is>
          <t>DeviceFamilyID</t>
        </is>
      </c>
      <c r="G990" t="inlineStr">
        <is>
          <t>DF029</t>
        </is>
      </c>
      <c r="H990" t="inlineStr">
        <is>
          <t>tblDeviceFamilyIDCrosswalk</t>
        </is>
      </c>
      <c r="I990" t="inlineStr"/>
      <c r="J990" t="inlineStr">
        <is>
          <t>tblDeviceModel</t>
        </is>
      </c>
      <c r="K990" t="inlineStr">
        <is>
          <t>Exact ID</t>
        </is>
      </c>
      <c r="L990" t="inlineStr">
        <is>
          <t>Crosswalk Pending</t>
        </is>
      </c>
      <c r="M990" t="inlineStr">
        <is>
          <t>Open</t>
        </is>
      </c>
      <c r="N990" t="inlineStr"/>
    </row>
    <row r="991">
      <c r="A991" t="inlineStr">
        <is>
          <t>FKEX00990</t>
        </is>
      </c>
      <c r="B991" t="inlineStr">
        <is>
          <t>15 LL_Device</t>
        </is>
      </c>
      <c r="C991" t="inlineStr">
        <is>
          <t>tblDeviceModel</t>
        </is>
      </c>
      <c r="D991" t="n">
        <v>331</v>
      </c>
      <c r="E991" t="inlineStr">
        <is>
          <t>MOD000328</t>
        </is>
      </c>
      <c r="F991" t="inlineStr">
        <is>
          <t>DeviceTypeID</t>
        </is>
      </c>
      <c r="G991" t="inlineStr">
        <is>
          <t>DT003</t>
        </is>
      </c>
      <c r="H991" t="inlineStr">
        <is>
          <t>tblDeviceTypeIDCrosswalk</t>
        </is>
      </c>
      <c r="I991" t="inlineStr"/>
      <c r="J991" t="inlineStr">
        <is>
          <t>No Supported Match</t>
        </is>
      </c>
      <c r="K991" t="inlineStr">
        <is>
          <t>None</t>
        </is>
      </c>
      <c r="L991" t="inlineStr">
        <is>
          <t>Crosswalk Pending</t>
        </is>
      </c>
      <c r="M991" t="inlineStr">
        <is>
          <t>Open</t>
        </is>
      </c>
      <c r="N991" t="inlineStr"/>
    </row>
    <row r="992">
      <c r="A992" t="inlineStr">
        <is>
          <t>FKEX00991</t>
        </is>
      </c>
      <c r="B992" t="inlineStr">
        <is>
          <t>15 LL_Device</t>
        </is>
      </c>
      <c r="C992" t="inlineStr">
        <is>
          <t>tblDeviceModel</t>
        </is>
      </c>
      <c r="D992" t="n">
        <v>332</v>
      </c>
      <c r="E992" t="inlineStr">
        <is>
          <t>MOD000329</t>
        </is>
      </c>
      <c r="F992" t="inlineStr">
        <is>
          <t>ManufacturerID</t>
        </is>
      </c>
      <c r="G992" t="inlineStr">
        <is>
          <t>MFG002</t>
        </is>
      </c>
      <c r="H992" t="inlineStr">
        <is>
          <t>tblManufacturerIDCrosswalk</t>
        </is>
      </c>
      <c r="I992" t="inlineStr"/>
      <c r="J992" t="inlineStr">
        <is>
          <t>No Supported Match</t>
        </is>
      </c>
      <c r="K992" t="inlineStr">
        <is>
          <t>None</t>
        </is>
      </c>
      <c r="L992" t="inlineStr">
        <is>
          <t>Crosswalk Pending</t>
        </is>
      </c>
      <c r="M992" t="inlineStr">
        <is>
          <t>Open</t>
        </is>
      </c>
      <c r="N992" t="inlineStr"/>
    </row>
    <row r="993">
      <c r="A993" t="inlineStr">
        <is>
          <t>FKEX00992</t>
        </is>
      </c>
      <c r="B993" t="inlineStr">
        <is>
          <t>15 LL_Device</t>
        </is>
      </c>
      <c r="C993" t="inlineStr">
        <is>
          <t>tblDeviceModel</t>
        </is>
      </c>
      <c r="D993" t="n">
        <v>332</v>
      </c>
      <c r="E993" t="inlineStr">
        <is>
          <t>MOD000329</t>
        </is>
      </c>
      <c r="F993" t="inlineStr">
        <is>
          <t>DeviceFamilyID</t>
        </is>
      </c>
      <c r="G993" t="inlineStr">
        <is>
          <t>DF029</t>
        </is>
      </c>
      <c r="H993" t="inlineStr">
        <is>
          <t>tblDeviceFamilyIDCrosswalk</t>
        </is>
      </c>
      <c r="I993" t="inlineStr"/>
      <c r="J993" t="inlineStr">
        <is>
          <t>tblDeviceModel</t>
        </is>
      </c>
      <c r="K993" t="inlineStr">
        <is>
          <t>Exact ID</t>
        </is>
      </c>
      <c r="L993" t="inlineStr">
        <is>
          <t>Crosswalk Pending</t>
        </is>
      </c>
      <c r="M993" t="inlineStr">
        <is>
          <t>Open</t>
        </is>
      </c>
      <c r="N993" t="inlineStr"/>
    </row>
    <row r="994">
      <c r="A994" t="inlineStr">
        <is>
          <t>FKEX00993</t>
        </is>
      </c>
      <c r="B994" t="inlineStr">
        <is>
          <t>15 LL_Device</t>
        </is>
      </c>
      <c r="C994" t="inlineStr">
        <is>
          <t>tblDeviceModel</t>
        </is>
      </c>
      <c r="D994" t="n">
        <v>332</v>
      </c>
      <c r="E994" t="inlineStr">
        <is>
          <t>MOD000329</t>
        </is>
      </c>
      <c r="F994" t="inlineStr">
        <is>
          <t>DeviceTypeID</t>
        </is>
      </c>
      <c r="G994" t="inlineStr">
        <is>
          <t>DT003</t>
        </is>
      </c>
      <c r="H994" t="inlineStr">
        <is>
          <t>tblDeviceTypeIDCrosswalk</t>
        </is>
      </c>
      <c r="I994" t="inlineStr"/>
      <c r="J994" t="inlineStr">
        <is>
          <t>No Supported Match</t>
        </is>
      </c>
      <c r="K994" t="inlineStr">
        <is>
          <t>None</t>
        </is>
      </c>
      <c r="L994" t="inlineStr">
        <is>
          <t>Crosswalk Pending</t>
        </is>
      </c>
      <c r="M994" t="inlineStr">
        <is>
          <t>Open</t>
        </is>
      </c>
      <c r="N994" t="inlineStr"/>
    </row>
    <row r="995">
      <c r="A995" t="inlineStr">
        <is>
          <t>FKEX00994</t>
        </is>
      </c>
      <c r="B995" t="inlineStr">
        <is>
          <t>15 LL_Device</t>
        </is>
      </c>
      <c r="C995" t="inlineStr">
        <is>
          <t>tblDeviceModel</t>
        </is>
      </c>
      <c r="D995" t="n">
        <v>333</v>
      </c>
      <c r="E995" t="inlineStr">
        <is>
          <t>MOD000330</t>
        </is>
      </c>
      <c r="F995" t="inlineStr">
        <is>
          <t>ManufacturerID</t>
        </is>
      </c>
      <c r="G995" t="inlineStr">
        <is>
          <t>MFG002</t>
        </is>
      </c>
      <c r="H995" t="inlineStr">
        <is>
          <t>tblManufacturerIDCrosswalk</t>
        </is>
      </c>
      <c r="I995" t="inlineStr"/>
      <c r="J995" t="inlineStr">
        <is>
          <t>No Supported Match</t>
        </is>
      </c>
      <c r="K995" t="inlineStr">
        <is>
          <t>None</t>
        </is>
      </c>
      <c r="L995" t="inlineStr">
        <is>
          <t>Crosswalk Pending</t>
        </is>
      </c>
      <c r="M995" t="inlineStr">
        <is>
          <t>Open</t>
        </is>
      </c>
      <c r="N995" t="inlineStr"/>
    </row>
    <row r="996">
      <c r="A996" t="inlineStr">
        <is>
          <t>FKEX00995</t>
        </is>
      </c>
      <c r="B996" t="inlineStr">
        <is>
          <t>15 LL_Device</t>
        </is>
      </c>
      <c r="C996" t="inlineStr">
        <is>
          <t>tblDeviceModel</t>
        </is>
      </c>
      <c r="D996" t="n">
        <v>333</v>
      </c>
      <c r="E996" t="inlineStr">
        <is>
          <t>MOD000330</t>
        </is>
      </c>
      <c r="F996" t="inlineStr">
        <is>
          <t>DeviceFamilyID</t>
        </is>
      </c>
      <c r="G996" t="inlineStr">
        <is>
          <t>DF029</t>
        </is>
      </c>
      <c r="H996" t="inlineStr">
        <is>
          <t>tblDeviceFamilyIDCrosswalk</t>
        </is>
      </c>
      <c r="I996" t="inlineStr"/>
      <c r="J996" t="inlineStr">
        <is>
          <t>tblDeviceModel</t>
        </is>
      </c>
      <c r="K996" t="inlineStr">
        <is>
          <t>Exact ID</t>
        </is>
      </c>
      <c r="L996" t="inlineStr">
        <is>
          <t>Crosswalk Pending</t>
        </is>
      </c>
      <c r="M996" t="inlineStr">
        <is>
          <t>Open</t>
        </is>
      </c>
      <c r="N996" t="inlineStr"/>
    </row>
    <row r="997">
      <c r="A997" t="inlineStr">
        <is>
          <t>FKEX00996</t>
        </is>
      </c>
      <c r="B997" t="inlineStr">
        <is>
          <t>15 LL_Device</t>
        </is>
      </c>
      <c r="C997" t="inlineStr">
        <is>
          <t>tblDeviceModel</t>
        </is>
      </c>
      <c r="D997" t="n">
        <v>333</v>
      </c>
      <c r="E997" t="inlineStr">
        <is>
          <t>MOD000330</t>
        </is>
      </c>
      <c r="F997" t="inlineStr">
        <is>
          <t>DeviceTypeID</t>
        </is>
      </c>
      <c r="G997" t="inlineStr">
        <is>
          <t>DT003</t>
        </is>
      </c>
      <c r="H997" t="inlineStr">
        <is>
          <t>tblDeviceTypeIDCrosswalk</t>
        </is>
      </c>
      <c r="I997" t="inlineStr"/>
      <c r="J997" t="inlineStr">
        <is>
          <t>No Supported Match</t>
        </is>
      </c>
      <c r="K997" t="inlineStr">
        <is>
          <t>None</t>
        </is>
      </c>
      <c r="L997" t="inlineStr">
        <is>
          <t>Crosswalk Pending</t>
        </is>
      </c>
      <c r="M997" t="inlineStr">
        <is>
          <t>Open</t>
        </is>
      </c>
      <c r="N997" t="inlineStr"/>
    </row>
    <row r="998">
      <c r="A998" t="inlineStr">
        <is>
          <t>FKEX00997</t>
        </is>
      </c>
      <c r="B998" t="inlineStr">
        <is>
          <t>15 LL_Device</t>
        </is>
      </c>
      <c r="C998" t="inlineStr">
        <is>
          <t>tblDeviceModel</t>
        </is>
      </c>
      <c r="D998" t="n">
        <v>334</v>
      </c>
      <c r="E998" t="inlineStr">
        <is>
          <t>MOD000331</t>
        </is>
      </c>
      <c r="F998" t="inlineStr">
        <is>
          <t>ManufacturerID</t>
        </is>
      </c>
      <c r="G998" t="inlineStr">
        <is>
          <t>MFG002</t>
        </is>
      </c>
      <c r="H998" t="inlineStr">
        <is>
          <t>tblManufacturerIDCrosswalk</t>
        </is>
      </c>
      <c r="I998" t="inlineStr"/>
      <c r="J998" t="inlineStr">
        <is>
          <t>No Supported Match</t>
        </is>
      </c>
      <c r="K998" t="inlineStr">
        <is>
          <t>None</t>
        </is>
      </c>
      <c r="L998" t="inlineStr">
        <is>
          <t>Crosswalk Pending</t>
        </is>
      </c>
      <c r="M998" t="inlineStr">
        <is>
          <t>Open</t>
        </is>
      </c>
      <c r="N998" t="inlineStr"/>
    </row>
    <row r="999">
      <c r="A999" t="inlineStr">
        <is>
          <t>FKEX00998</t>
        </is>
      </c>
      <c r="B999" t="inlineStr">
        <is>
          <t>15 LL_Device</t>
        </is>
      </c>
      <c r="C999" t="inlineStr">
        <is>
          <t>tblDeviceModel</t>
        </is>
      </c>
      <c r="D999" t="n">
        <v>334</v>
      </c>
      <c r="E999" t="inlineStr">
        <is>
          <t>MOD000331</t>
        </is>
      </c>
      <c r="F999" t="inlineStr">
        <is>
          <t>DeviceFamilyID</t>
        </is>
      </c>
      <c r="G999" t="inlineStr">
        <is>
          <t>DF029</t>
        </is>
      </c>
      <c r="H999" t="inlineStr">
        <is>
          <t>tblDeviceFamilyIDCrosswalk</t>
        </is>
      </c>
      <c r="I999" t="inlineStr"/>
      <c r="J999" t="inlineStr">
        <is>
          <t>tblDeviceModel</t>
        </is>
      </c>
      <c r="K999" t="inlineStr">
        <is>
          <t>Exact ID</t>
        </is>
      </c>
      <c r="L999" t="inlineStr">
        <is>
          <t>Crosswalk Pending</t>
        </is>
      </c>
      <c r="M999" t="inlineStr">
        <is>
          <t>Open</t>
        </is>
      </c>
      <c r="N999" t="inlineStr"/>
    </row>
    <row r="1000">
      <c r="A1000" t="inlineStr">
        <is>
          <t>FKEX00999</t>
        </is>
      </c>
      <c r="B1000" t="inlineStr">
        <is>
          <t>15 LL_Device</t>
        </is>
      </c>
      <c r="C1000" t="inlineStr">
        <is>
          <t>tblDeviceModel</t>
        </is>
      </c>
      <c r="D1000" t="n">
        <v>334</v>
      </c>
      <c r="E1000" t="inlineStr">
        <is>
          <t>MOD000331</t>
        </is>
      </c>
      <c r="F1000" t="inlineStr">
        <is>
          <t>DeviceTypeID</t>
        </is>
      </c>
      <c r="G1000" t="inlineStr">
        <is>
          <t>DT003</t>
        </is>
      </c>
      <c r="H1000" t="inlineStr">
        <is>
          <t>tblDeviceTypeIDCrosswalk</t>
        </is>
      </c>
      <c r="I1000" t="inlineStr"/>
      <c r="J1000" t="inlineStr">
        <is>
          <t>No Supported Match</t>
        </is>
      </c>
      <c r="K1000" t="inlineStr">
        <is>
          <t>None</t>
        </is>
      </c>
      <c r="L1000" t="inlineStr">
        <is>
          <t>Crosswalk Pending</t>
        </is>
      </c>
      <c r="M1000" t="inlineStr">
        <is>
          <t>Open</t>
        </is>
      </c>
      <c r="N1000" t="inlineStr"/>
    </row>
    <row r="1001">
      <c r="A1001" t="inlineStr">
        <is>
          <t>FKEX01000</t>
        </is>
      </c>
      <c r="B1001" t="inlineStr">
        <is>
          <t>15 LL_Device</t>
        </is>
      </c>
      <c r="C1001" t="inlineStr">
        <is>
          <t>tblDeviceModel</t>
        </is>
      </c>
      <c r="D1001" t="n">
        <v>335</v>
      </c>
      <c r="E1001" t="inlineStr">
        <is>
          <t>MOD000332</t>
        </is>
      </c>
      <c r="F1001" t="inlineStr">
        <is>
          <t>ManufacturerID</t>
        </is>
      </c>
      <c r="G1001" t="inlineStr">
        <is>
          <t>MFG002</t>
        </is>
      </c>
      <c r="H1001" t="inlineStr">
        <is>
          <t>tblManufacturerIDCrosswalk</t>
        </is>
      </c>
      <c r="I1001" t="inlineStr"/>
      <c r="J1001" t="inlineStr">
        <is>
          <t>No Supported Match</t>
        </is>
      </c>
      <c r="K1001" t="inlineStr">
        <is>
          <t>None</t>
        </is>
      </c>
      <c r="L1001" t="inlineStr">
        <is>
          <t>Crosswalk Pending</t>
        </is>
      </c>
      <c r="M1001" t="inlineStr">
        <is>
          <t>Open</t>
        </is>
      </c>
      <c r="N1001" t="inlineStr"/>
    </row>
    <row r="1002">
      <c r="A1002" t="inlineStr">
        <is>
          <t>FKEX01001</t>
        </is>
      </c>
      <c r="B1002" t="inlineStr">
        <is>
          <t>15 LL_Device</t>
        </is>
      </c>
      <c r="C1002" t="inlineStr">
        <is>
          <t>tblDeviceModel</t>
        </is>
      </c>
      <c r="D1002" t="n">
        <v>335</v>
      </c>
      <c r="E1002" t="inlineStr">
        <is>
          <t>MOD000332</t>
        </is>
      </c>
      <c r="F1002" t="inlineStr">
        <is>
          <t>DeviceFamilyID</t>
        </is>
      </c>
      <c r="G1002" t="inlineStr">
        <is>
          <t>DF029</t>
        </is>
      </c>
      <c r="H1002" t="inlineStr">
        <is>
          <t>tblDeviceFamilyIDCrosswalk</t>
        </is>
      </c>
      <c r="I1002" t="inlineStr"/>
      <c r="J1002" t="inlineStr">
        <is>
          <t>tblDeviceModel</t>
        </is>
      </c>
      <c r="K1002" t="inlineStr">
        <is>
          <t>Exact ID</t>
        </is>
      </c>
      <c r="L1002" t="inlineStr">
        <is>
          <t>Crosswalk Pending</t>
        </is>
      </c>
      <c r="M1002" t="inlineStr">
        <is>
          <t>Open</t>
        </is>
      </c>
      <c r="N1002" t="inlineStr"/>
    </row>
    <row r="1003">
      <c r="A1003" t="inlineStr">
        <is>
          <t>FKEX01002</t>
        </is>
      </c>
      <c r="B1003" t="inlineStr">
        <is>
          <t>15 LL_Device</t>
        </is>
      </c>
      <c r="C1003" t="inlineStr">
        <is>
          <t>tblDeviceModel</t>
        </is>
      </c>
      <c r="D1003" t="n">
        <v>335</v>
      </c>
      <c r="E1003" t="inlineStr">
        <is>
          <t>MOD000332</t>
        </is>
      </c>
      <c r="F1003" t="inlineStr">
        <is>
          <t>DeviceTypeID</t>
        </is>
      </c>
      <c r="G1003" t="inlineStr">
        <is>
          <t>DT003</t>
        </is>
      </c>
      <c r="H1003" t="inlineStr">
        <is>
          <t>tblDeviceTypeIDCrosswalk</t>
        </is>
      </c>
      <c r="I1003" t="inlineStr"/>
      <c r="J1003" t="inlineStr">
        <is>
          <t>No Supported Match</t>
        </is>
      </c>
      <c r="K1003" t="inlineStr">
        <is>
          <t>None</t>
        </is>
      </c>
      <c r="L1003" t="inlineStr">
        <is>
          <t>Crosswalk Pending</t>
        </is>
      </c>
      <c r="M1003" t="inlineStr">
        <is>
          <t>Open</t>
        </is>
      </c>
      <c r="N1003" t="inlineStr"/>
    </row>
    <row r="1004">
      <c r="A1004" t="inlineStr">
        <is>
          <t>FKEX01003</t>
        </is>
      </c>
      <c r="B1004" t="inlineStr">
        <is>
          <t>15 LL_Device</t>
        </is>
      </c>
      <c r="C1004" t="inlineStr">
        <is>
          <t>tblDeviceModel</t>
        </is>
      </c>
      <c r="D1004" t="n">
        <v>336</v>
      </c>
      <c r="E1004" t="inlineStr">
        <is>
          <t>MOD000333</t>
        </is>
      </c>
      <c r="F1004" t="inlineStr">
        <is>
          <t>ManufacturerID</t>
        </is>
      </c>
      <c r="G1004" t="inlineStr">
        <is>
          <t>MFG002</t>
        </is>
      </c>
      <c r="H1004" t="inlineStr">
        <is>
          <t>tblManufacturerIDCrosswalk</t>
        </is>
      </c>
      <c r="I1004" t="inlineStr"/>
      <c r="J1004" t="inlineStr">
        <is>
          <t>No Supported Match</t>
        </is>
      </c>
      <c r="K1004" t="inlineStr">
        <is>
          <t>None</t>
        </is>
      </c>
      <c r="L1004" t="inlineStr">
        <is>
          <t>Crosswalk Pending</t>
        </is>
      </c>
      <c r="M1004" t="inlineStr">
        <is>
          <t>Open</t>
        </is>
      </c>
      <c r="N1004" t="inlineStr"/>
    </row>
    <row r="1005">
      <c r="A1005" t="inlineStr">
        <is>
          <t>FKEX01004</t>
        </is>
      </c>
      <c r="B1005" t="inlineStr">
        <is>
          <t>15 LL_Device</t>
        </is>
      </c>
      <c r="C1005" t="inlineStr">
        <is>
          <t>tblDeviceModel</t>
        </is>
      </c>
      <c r="D1005" t="n">
        <v>336</v>
      </c>
      <c r="E1005" t="inlineStr">
        <is>
          <t>MOD000333</t>
        </is>
      </c>
      <c r="F1005" t="inlineStr">
        <is>
          <t>DeviceFamilyID</t>
        </is>
      </c>
      <c r="G1005" t="inlineStr">
        <is>
          <t>DF029</t>
        </is>
      </c>
      <c r="H1005" t="inlineStr">
        <is>
          <t>tblDeviceFamilyIDCrosswalk</t>
        </is>
      </c>
      <c r="I1005" t="inlineStr"/>
      <c r="J1005" t="inlineStr">
        <is>
          <t>tblDeviceModel</t>
        </is>
      </c>
      <c r="K1005" t="inlineStr">
        <is>
          <t>Exact ID</t>
        </is>
      </c>
      <c r="L1005" t="inlineStr">
        <is>
          <t>Crosswalk Pending</t>
        </is>
      </c>
      <c r="M1005" t="inlineStr">
        <is>
          <t>Open</t>
        </is>
      </c>
      <c r="N1005" t="inlineStr"/>
    </row>
    <row r="1006">
      <c r="A1006" t="inlineStr">
        <is>
          <t>FKEX01005</t>
        </is>
      </c>
      <c r="B1006" t="inlineStr">
        <is>
          <t>15 LL_Device</t>
        </is>
      </c>
      <c r="C1006" t="inlineStr">
        <is>
          <t>tblDeviceModel</t>
        </is>
      </c>
      <c r="D1006" t="n">
        <v>336</v>
      </c>
      <c r="E1006" t="inlineStr">
        <is>
          <t>MOD000333</t>
        </is>
      </c>
      <c r="F1006" t="inlineStr">
        <is>
          <t>DeviceTypeID</t>
        </is>
      </c>
      <c r="G1006" t="inlineStr">
        <is>
          <t>DT003</t>
        </is>
      </c>
      <c r="H1006" t="inlineStr">
        <is>
          <t>tblDeviceTypeIDCrosswalk</t>
        </is>
      </c>
      <c r="I1006" t="inlineStr"/>
      <c r="J1006" t="inlineStr">
        <is>
          <t>No Supported Match</t>
        </is>
      </c>
      <c r="K1006" t="inlineStr">
        <is>
          <t>None</t>
        </is>
      </c>
      <c r="L1006" t="inlineStr">
        <is>
          <t>Crosswalk Pending</t>
        </is>
      </c>
      <c r="M1006" t="inlineStr">
        <is>
          <t>Open</t>
        </is>
      </c>
      <c r="N1006" t="inlineStr"/>
    </row>
    <row r="1007">
      <c r="A1007" t="inlineStr">
        <is>
          <t>FKEX01006</t>
        </is>
      </c>
      <c r="B1007" t="inlineStr">
        <is>
          <t>15 LL_Device</t>
        </is>
      </c>
      <c r="C1007" t="inlineStr">
        <is>
          <t>tblDeviceModel</t>
        </is>
      </c>
      <c r="D1007" t="n">
        <v>337</v>
      </c>
      <c r="E1007" t="inlineStr">
        <is>
          <t>MOD000334</t>
        </is>
      </c>
      <c r="F1007" t="inlineStr">
        <is>
          <t>ManufacturerID</t>
        </is>
      </c>
      <c r="G1007" t="inlineStr">
        <is>
          <t>MFG002</t>
        </is>
      </c>
      <c r="H1007" t="inlineStr">
        <is>
          <t>tblManufacturerIDCrosswalk</t>
        </is>
      </c>
      <c r="I1007" t="inlineStr"/>
      <c r="J1007" t="inlineStr">
        <is>
          <t>No Supported Match</t>
        </is>
      </c>
      <c r="K1007" t="inlineStr">
        <is>
          <t>None</t>
        </is>
      </c>
      <c r="L1007" t="inlineStr">
        <is>
          <t>Crosswalk Pending</t>
        </is>
      </c>
      <c r="M1007" t="inlineStr">
        <is>
          <t>Open</t>
        </is>
      </c>
      <c r="N1007" t="inlineStr"/>
    </row>
    <row r="1008">
      <c r="A1008" t="inlineStr">
        <is>
          <t>FKEX01007</t>
        </is>
      </c>
      <c r="B1008" t="inlineStr">
        <is>
          <t>15 LL_Device</t>
        </is>
      </c>
      <c r="C1008" t="inlineStr">
        <is>
          <t>tblDeviceModel</t>
        </is>
      </c>
      <c r="D1008" t="n">
        <v>337</v>
      </c>
      <c r="E1008" t="inlineStr">
        <is>
          <t>MOD000334</t>
        </is>
      </c>
      <c r="F1008" t="inlineStr">
        <is>
          <t>DeviceFamilyID</t>
        </is>
      </c>
      <c r="G1008" t="inlineStr">
        <is>
          <t>DF029</t>
        </is>
      </c>
      <c r="H1008" t="inlineStr">
        <is>
          <t>tblDeviceFamilyIDCrosswalk</t>
        </is>
      </c>
      <c r="I1008" t="inlineStr"/>
      <c r="J1008" t="inlineStr">
        <is>
          <t>tblDeviceModel</t>
        </is>
      </c>
      <c r="K1008" t="inlineStr">
        <is>
          <t>Exact ID</t>
        </is>
      </c>
      <c r="L1008" t="inlineStr">
        <is>
          <t>Crosswalk Pending</t>
        </is>
      </c>
      <c r="M1008" t="inlineStr">
        <is>
          <t>Open</t>
        </is>
      </c>
      <c r="N1008" t="inlineStr"/>
    </row>
    <row r="1009">
      <c r="A1009" t="inlineStr">
        <is>
          <t>FKEX01008</t>
        </is>
      </c>
      <c r="B1009" t="inlineStr">
        <is>
          <t>15 LL_Device</t>
        </is>
      </c>
      <c r="C1009" t="inlineStr">
        <is>
          <t>tblDeviceModel</t>
        </is>
      </c>
      <c r="D1009" t="n">
        <v>337</v>
      </c>
      <c r="E1009" t="inlineStr">
        <is>
          <t>MOD000334</t>
        </is>
      </c>
      <c r="F1009" t="inlineStr">
        <is>
          <t>DeviceTypeID</t>
        </is>
      </c>
      <c r="G1009" t="inlineStr">
        <is>
          <t>DT003</t>
        </is>
      </c>
      <c r="H1009" t="inlineStr">
        <is>
          <t>tblDeviceTypeIDCrosswalk</t>
        </is>
      </c>
      <c r="I1009" t="inlineStr"/>
      <c r="J1009" t="inlineStr">
        <is>
          <t>No Supported Match</t>
        </is>
      </c>
      <c r="K1009" t="inlineStr">
        <is>
          <t>None</t>
        </is>
      </c>
      <c r="L1009" t="inlineStr">
        <is>
          <t>Crosswalk Pending</t>
        </is>
      </c>
      <c r="M1009" t="inlineStr">
        <is>
          <t>Open</t>
        </is>
      </c>
      <c r="N1009" t="inlineStr"/>
    </row>
    <row r="1010">
      <c r="A1010" t="inlineStr">
        <is>
          <t>FKEX01009</t>
        </is>
      </c>
      <c r="B1010" t="inlineStr">
        <is>
          <t>15 LL_Device</t>
        </is>
      </c>
      <c r="C1010" t="inlineStr">
        <is>
          <t>tblDeviceModel</t>
        </is>
      </c>
      <c r="D1010" t="n">
        <v>338</v>
      </c>
      <c r="E1010" t="inlineStr">
        <is>
          <t>MOD000335</t>
        </is>
      </c>
      <c r="F1010" t="inlineStr">
        <is>
          <t>ManufacturerID</t>
        </is>
      </c>
      <c r="G1010" t="inlineStr">
        <is>
          <t>MFG002</t>
        </is>
      </c>
      <c r="H1010" t="inlineStr">
        <is>
          <t>tblManufacturerIDCrosswalk</t>
        </is>
      </c>
      <c r="I1010" t="inlineStr"/>
      <c r="J1010" t="inlineStr">
        <is>
          <t>No Supported Match</t>
        </is>
      </c>
      <c r="K1010" t="inlineStr">
        <is>
          <t>None</t>
        </is>
      </c>
      <c r="L1010" t="inlineStr">
        <is>
          <t>Crosswalk Pending</t>
        </is>
      </c>
      <c r="M1010" t="inlineStr">
        <is>
          <t>Open</t>
        </is>
      </c>
      <c r="N1010" t="inlineStr"/>
    </row>
    <row r="1011">
      <c r="A1011" t="inlineStr">
        <is>
          <t>FKEX01010</t>
        </is>
      </c>
      <c r="B1011" t="inlineStr">
        <is>
          <t>15 LL_Device</t>
        </is>
      </c>
      <c r="C1011" t="inlineStr">
        <is>
          <t>tblDeviceModel</t>
        </is>
      </c>
      <c r="D1011" t="n">
        <v>338</v>
      </c>
      <c r="E1011" t="inlineStr">
        <is>
          <t>MOD000335</t>
        </is>
      </c>
      <c r="F1011" t="inlineStr">
        <is>
          <t>DeviceFamilyID</t>
        </is>
      </c>
      <c r="G1011" t="inlineStr">
        <is>
          <t>DF029</t>
        </is>
      </c>
      <c r="H1011" t="inlineStr">
        <is>
          <t>tblDeviceFamilyIDCrosswalk</t>
        </is>
      </c>
      <c r="I1011" t="inlineStr"/>
      <c r="J1011" t="inlineStr">
        <is>
          <t>tblDeviceModel</t>
        </is>
      </c>
      <c r="K1011" t="inlineStr">
        <is>
          <t>Exact ID</t>
        </is>
      </c>
      <c r="L1011" t="inlineStr">
        <is>
          <t>Crosswalk Pending</t>
        </is>
      </c>
      <c r="M1011" t="inlineStr">
        <is>
          <t>Open</t>
        </is>
      </c>
      <c r="N1011" t="inlineStr"/>
    </row>
    <row r="1012">
      <c r="A1012" t="inlineStr">
        <is>
          <t>FKEX01011</t>
        </is>
      </c>
      <c r="B1012" t="inlineStr">
        <is>
          <t>15 LL_Device</t>
        </is>
      </c>
      <c r="C1012" t="inlineStr">
        <is>
          <t>tblDeviceModel</t>
        </is>
      </c>
      <c r="D1012" t="n">
        <v>338</v>
      </c>
      <c r="E1012" t="inlineStr">
        <is>
          <t>MOD000335</t>
        </is>
      </c>
      <c r="F1012" t="inlineStr">
        <is>
          <t>DeviceTypeID</t>
        </is>
      </c>
      <c r="G1012" t="inlineStr">
        <is>
          <t>DT003</t>
        </is>
      </c>
      <c r="H1012" t="inlineStr">
        <is>
          <t>tblDeviceTypeIDCrosswalk</t>
        </is>
      </c>
      <c r="I1012" t="inlineStr"/>
      <c r="J1012" t="inlineStr">
        <is>
          <t>No Supported Match</t>
        </is>
      </c>
      <c r="K1012" t="inlineStr">
        <is>
          <t>None</t>
        </is>
      </c>
      <c r="L1012" t="inlineStr">
        <is>
          <t>Crosswalk Pending</t>
        </is>
      </c>
      <c r="M1012" t="inlineStr">
        <is>
          <t>Open</t>
        </is>
      </c>
      <c r="N1012" t="inlineStr"/>
    </row>
    <row r="1013">
      <c r="A1013" t="inlineStr">
        <is>
          <t>FKEX01012</t>
        </is>
      </c>
      <c r="B1013" t="inlineStr">
        <is>
          <t>15 LL_Device</t>
        </is>
      </c>
      <c r="C1013" t="inlineStr">
        <is>
          <t>tblDeviceModel</t>
        </is>
      </c>
      <c r="D1013" t="n">
        <v>339</v>
      </c>
      <c r="E1013" t="inlineStr">
        <is>
          <t>MOD000336</t>
        </is>
      </c>
      <c r="F1013" t="inlineStr">
        <is>
          <t>ManufacturerID</t>
        </is>
      </c>
      <c r="G1013" t="inlineStr">
        <is>
          <t>MFG002</t>
        </is>
      </c>
      <c r="H1013" t="inlineStr">
        <is>
          <t>tblManufacturerIDCrosswalk</t>
        </is>
      </c>
      <c r="I1013" t="inlineStr"/>
      <c r="J1013" t="inlineStr">
        <is>
          <t>No Supported Match</t>
        </is>
      </c>
      <c r="K1013" t="inlineStr">
        <is>
          <t>None</t>
        </is>
      </c>
      <c r="L1013" t="inlineStr">
        <is>
          <t>Crosswalk Pending</t>
        </is>
      </c>
      <c r="M1013" t="inlineStr">
        <is>
          <t>Open</t>
        </is>
      </c>
      <c r="N1013" t="inlineStr"/>
    </row>
    <row r="1014">
      <c r="A1014" t="inlineStr">
        <is>
          <t>FKEX01013</t>
        </is>
      </c>
      <c r="B1014" t="inlineStr">
        <is>
          <t>15 LL_Device</t>
        </is>
      </c>
      <c r="C1014" t="inlineStr">
        <is>
          <t>tblDeviceModel</t>
        </is>
      </c>
      <c r="D1014" t="n">
        <v>339</v>
      </c>
      <c r="E1014" t="inlineStr">
        <is>
          <t>MOD000336</t>
        </is>
      </c>
      <c r="F1014" t="inlineStr">
        <is>
          <t>DeviceFamilyID</t>
        </is>
      </c>
      <c r="G1014" t="inlineStr">
        <is>
          <t>DF030</t>
        </is>
      </c>
      <c r="H1014" t="inlineStr">
        <is>
          <t>tblDeviceFamilyIDCrosswalk</t>
        </is>
      </c>
      <c r="I1014" t="inlineStr"/>
      <c r="J1014" t="inlineStr">
        <is>
          <t>tblDeviceModel</t>
        </is>
      </c>
      <c r="K1014" t="inlineStr">
        <is>
          <t>Exact ID</t>
        </is>
      </c>
      <c r="L1014" t="inlineStr">
        <is>
          <t>Crosswalk Pending</t>
        </is>
      </c>
      <c r="M1014" t="inlineStr">
        <is>
          <t>Open</t>
        </is>
      </c>
      <c r="N1014" t="inlineStr"/>
    </row>
    <row r="1015">
      <c r="A1015" t="inlineStr">
        <is>
          <t>FKEX01014</t>
        </is>
      </c>
      <c r="B1015" t="inlineStr">
        <is>
          <t>15 LL_Device</t>
        </is>
      </c>
      <c r="C1015" t="inlineStr">
        <is>
          <t>tblDeviceModel</t>
        </is>
      </c>
      <c r="D1015" t="n">
        <v>339</v>
      </c>
      <c r="E1015" t="inlineStr">
        <is>
          <t>MOD000336</t>
        </is>
      </c>
      <c r="F1015" t="inlineStr">
        <is>
          <t>DeviceTypeID</t>
        </is>
      </c>
      <c r="G1015" t="inlineStr">
        <is>
          <t>DT004</t>
        </is>
      </c>
      <c r="H1015" t="inlineStr">
        <is>
          <t>tblDeviceTypeIDCrosswalk</t>
        </is>
      </c>
      <c r="I1015" t="inlineStr"/>
      <c r="J1015" t="inlineStr">
        <is>
          <t>No Supported Match</t>
        </is>
      </c>
      <c r="K1015" t="inlineStr">
        <is>
          <t>None</t>
        </is>
      </c>
      <c r="L1015" t="inlineStr">
        <is>
          <t>Crosswalk Pending</t>
        </is>
      </c>
      <c r="M1015" t="inlineStr">
        <is>
          <t>Open</t>
        </is>
      </c>
      <c r="N1015" t="inlineStr"/>
    </row>
    <row r="1016">
      <c r="A1016" t="inlineStr">
        <is>
          <t>FKEX01015</t>
        </is>
      </c>
      <c r="B1016" t="inlineStr">
        <is>
          <t>15 LL_Device</t>
        </is>
      </c>
      <c r="C1016" t="inlineStr">
        <is>
          <t>tblDeviceModel</t>
        </is>
      </c>
      <c r="D1016" t="n">
        <v>340</v>
      </c>
      <c r="E1016" t="inlineStr">
        <is>
          <t>MOD000337</t>
        </is>
      </c>
      <c r="F1016" t="inlineStr">
        <is>
          <t>ManufacturerID</t>
        </is>
      </c>
      <c r="G1016" t="inlineStr">
        <is>
          <t>MFG002</t>
        </is>
      </c>
      <c r="H1016" t="inlineStr">
        <is>
          <t>tblManufacturerIDCrosswalk</t>
        </is>
      </c>
      <c r="I1016" t="inlineStr"/>
      <c r="J1016" t="inlineStr">
        <is>
          <t>No Supported Match</t>
        </is>
      </c>
      <c r="K1016" t="inlineStr">
        <is>
          <t>None</t>
        </is>
      </c>
      <c r="L1016" t="inlineStr">
        <is>
          <t>Crosswalk Pending</t>
        </is>
      </c>
      <c r="M1016" t="inlineStr">
        <is>
          <t>Open</t>
        </is>
      </c>
      <c r="N1016" t="inlineStr"/>
    </row>
    <row r="1017">
      <c r="A1017" t="inlineStr">
        <is>
          <t>FKEX01016</t>
        </is>
      </c>
      <c r="B1017" t="inlineStr">
        <is>
          <t>15 LL_Device</t>
        </is>
      </c>
      <c r="C1017" t="inlineStr">
        <is>
          <t>tblDeviceModel</t>
        </is>
      </c>
      <c r="D1017" t="n">
        <v>340</v>
      </c>
      <c r="E1017" t="inlineStr">
        <is>
          <t>MOD000337</t>
        </is>
      </c>
      <c r="F1017" t="inlineStr">
        <is>
          <t>DeviceFamilyID</t>
        </is>
      </c>
      <c r="G1017" t="inlineStr">
        <is>
          <t>DF030</t>
        </is>
      </c>
      <c r="H1017" t="inlineStr">
        <is>
          <t>tblDeviceFamilyIDCrosswalk</t>
        </is>
      </c>
      <c r="I1017" t="inlineStr"/>
      <c r="J1017" t="inlineStr">
        <is>
          <t>tblDeviceModel</t>
        </is>
      </c>
      <c r="K1017" t="inlineStr">
        <is>
          <t>Exact ID</t>
        </is>
      </c>
      <c r="L1017" t="inlineStr">
        <is>
          <t>Crosswalk Pending</t>
        </is>
      </c>
      <c r="M1017" t="inlineStr">
        <is>
          <t>Open</t>
        </is>
      </c>
      <c r="N1017" t="inlineStr"/>
    </row>
    <row r="1018">
      <c r="A1018" t="inlineStr">
        <is>
          <t>FKEX01017</t>
        </is>
      </c>
      <c r="B1018" t="inlineStr">
        <is>
          <t>15 LL_Device</t>
        </is>
      </c>
      <c r="C1018" t="inlineStr">
        <is>
          <t>tblDeviceModel</t>
        </is>
      </c>
      <c r="D1018" t="n">
        <v>340</v>
      </c>
      <c r="E1018" t="inlineStr">
        <is>
          <t>MOD000337</t>
        </is>
      </c>
      <c r="F1018" t="inlineStr">
        <is>
          <t>DeviceTypeID</t>
        </is>
      </c>
      <c r="G1018" t="inlineStr">
        <is>
          <t>DT004</t>
        </is>
      </c>
      <c r="H1018" t="inlineStr">
        <is>
          <t>tblDeviceTypeIDCrosswalk</t>
        </is>
      </c>
      <c r="I1018" t="inlineStr"/>
      <c r="J1018" t="inlineStr">
        <is>
          <t>No Supported Match</t>
        </is>
      </c>
      <c r="K1018" t="inlineStr">
        <is>
          <t>None</t>
        </is>
      </c>
      <c r="L1018" t="inlineStr">
        <is>
          <t>Crosswalk Pending</t>
        </is>
      </c>
      <c r="M1018" t="inlineStr">
        <is>
          <t>Open</t>
        </is>
      </c>
      <c r="N1018" t="inlineStr"/>
    </row>
    <row r="1019">
      <c r="A1019" t="inlineStr">
        <is>
          <t>FKEX01018</t>
        </is>
      </c>
      <c r="B1019" t="inlineStr">
        <is>
          <t>15 LL_Device</t>
        </is>
      </c>
      <c r="C1019" t="inlineStr">
        <is>
          <t>tblDeviceModel</t>
        </is>
      </c>
      <c r="D1019" t="n">
        <v>341</v>
      </c>
      <c r="E1019" t="inlineStr">
        <is>
          <t>MOD000338</t>
        </is>
      </c>
      <c r="F1019" t="inlineStr">
        <is>
          <t>ManufacturerID</t>
        </is>
      </c>
      <c r="G1019" t="inlineStr">
        <is>
          <t>MFG002</t>
        </is>
      </c>
      <c r="H1019" t="inlineStr">
        <is>
          <t>tblManufacturerIDCrosswalk</t>
        </is>
      </c>
      <c r="I1019" t="inlineStr"/>
      <c r="J1019" t="inlineStr">
        <is>
          <t>No Supported Match</t>
        </is>
      </c>
      <c r="K1019" t="inlineStr">
        <is>
          <t>None</t>
        </is>
      </c>
      <c r="L1019" t="inlineStr">
        <is>
          <t>Crosswalk Pending</t>
        </is>
      </c>
      <c r="M1019" t="inlineStr">
        <is>
          <t>Open</t>
        </is>
      </c>
      <c r="N1019" t="inlineStr"/>
    </row>
    <row r="1020">
      <c r="A1020" t="inlineStr">
        <is>
          <t>FKEX01019</t>
        </is>
      </c>
      <c r="B1020" t="inlineStr">
        <is>
          <t>15 LL_Device</t>
        </is>
      </c>
      <c r="C1020" t="inlineStr">
        <is>
          <t>tblDeviceModel</t>
        </is>
      </c>
      <c r="D1020" t="n">
        <v>341</v>
      </c>
      <c r="E1020" t="inlineStr">
        <is>
          <t>MOD000338</t>
        </is>
      </c>
      <c r="F1020" t="inlineStr">
        <is>
          <t>DeviceFamilyID</t>
        </is>
      </c>
      <c r="G1020" t="inlineStr">
        <is>
          <t>DF030</t>
        </is>
      </c>
      <c r="H1020" t="inlineStr">
        <is>
          <t>tblDeviceFamilyIDCrosswalk</t>
        </is>
      </c>
      <c r="I1020" t="inlineStr"/>
      <c r="J1020" t="inlineStr">
        <is>
          <t>tblDeviceModel</t>
        </is>
      </c>
      <c r="K1020" t="inlineStr">
        <is>
          <t>Exact ID</t>
        </is>
      </c>
      <c r="L1020" t="inlineStr">
        <is>
          <t>Crosswalk Pending</t>
        </is>
      </c>
      <c r="M1020" t="inlineStr">
        <is>
          <t>Open</t>
        </is>
      </c>
      <c r="N1020" t="inlineStr"/>
    </row>
    <row r="1021">
      <c r="A1021" t="inlineStr">
        <is>
          <t>FKEX01020</t>
        </is>
      </c>
      <c r="B1021" t="inlineStr">
        <is>
          <t>15 LL_Device</t>
        </is>
      </c>
      <c r="C1021" t="inlineStr">
        <is>
          <t>tblDeviceModel</t>
        </is>
      </c>
      <c r="D1021" t="n">
        <v>341</v>
      </c>
      <c r="E1021" t="inlineStr">
        <is>
          <t>MOD000338</t>
        </is>
      </c>
      <c r="F1021" t="inlineStr">
        <is>
          <t>DeviceTypeID</t>
        </is>
      </c>
      <c r="G1021" t="inlineStr">
        <is>
          <t>DT004</t>
        </is>
      </c>
      <c r="H1021" t="inlineStr">
        <is>
          <t>tblDeviceTypeIDCrosswalk</t>
        </is>
      </c>
      <c r="I1021" t="inlineStr"/>
      <c r="J1021" t="inlineStr">
        <is>
          <t>No Supported Match</t>
        </is>
      </c>
      <c r="K1021" t="inlineStr">
        <is>
          <t>None</t>
        </is>
      </c>
      <c r="L1021" t="inlineStr">
        <is>
          <t>Crosswalk Pending</t>
        </is>
      </c>
      <c r="M1021" t="inlineStr">
        <is>
          <t>Open</t>
        </is>
      </c>
      <c r="N1021" t="inlineStr"/>
    </row>
    <row r="1022">
      <c r="A1022" t="inlineStr">
        <is>
          <t>FKEX01021</t>
        </is>
      </c>
      <c r="B1022" t="inlineStr">
        <is>
          <t>15 LL_Device</t>
        </is>
      </c>
      <c r="C1022" t="inlineStr">
        <is>
          <t>tblDeviceModel</t>
        </is>
      </c>
      <c r="D1022" t="n">
        <v>342</v>
      </c>
      <c r="E1022" t="inlineStr">
        <is>
          <t>MOD000339</t>
        </is>
      </c>
      <c r="F1022" t="inlineStr">
        <is>
          <t>ManufacturerID</t>
        </is>
      </c>
      <c r="G1022" t="inlineStr">
        <is>
          <t>MFG002</t>
        </is>
      </c>
      <c r="H1022" t="inlineStr">
        <is>
          <t>tblManufacturerIDCrosswalk</t>
        </is>
      </c>
      <c r="I1022" t="inlineStr"/>
      <c r="J1022" t="inlineStr">
        <is>
          <t>No Supported Match</t>
        </is>
      </c>
      <c r="K1022" t="inlineStr">
        <is>
          <t>None</t>
        </is>
      </c>
      <c r="L1022" t="inlineStr">
        <is>
          <t>Crosswalk Pending</t>
        </is>
      </c>
      <c r="M1022" t="inlineStr">
        <is>
          <t>Open</t>
        </is>
      </c>
      <c r="N1022" t="inlineStr"/>
    </row>
    <row r="1023">
      <c r="A1023" t="inlineStr">
        <is>
          <t>FKEX01022</t>
        </is>
      </c>
      <c r="B1023" t="inlineStr">
        <is>
          <t>15 LL_Device</t>
        </is>
      </c>
      <c r="C1023" t="inlineStr">
        <is>
          <t>tblDeviceModel</t>
        </is>
      </c>
      <c r="D1023" t="n">
        <v>342</v>
      </c>
      <c r="E1023" t="inlineStr">
        <is>
          <t>MOD000339</t>
        </is>
      </c>
      <c r="F1023" t="inlineStr">
        <is>
          <t>DeviceFamilyID</t>
        </is>
      </c>
      <c r="G1023" t="inlineStr">
        <is>
          <t>DF030</t>
        </is>
      </c>
      <c r="H1023" t="inlineStr">
        <is>
          <t>tblDeviceFamilyIDCrosswalk</t>
        </is>
      </c>
      <c r="I1023" t="inlineStr"/>
      <c r="J1023" t="inlineStr">
        <is>
          <t>tblDeviceModel</t>
        </is>
      </c>
      <c r="K1023" t="inlineStr">
        <is>
          <t>Exact ID</t>
        </is>
      </c>
      <c r="L1023" t="inlineStr">
        <is>
          <t>Crosswalk Pending</t>
        </is>
      </c>
      <c r="M1023" t="inlineStr">
        <is>
          <t>Open</t>
        </is>
      </c>
      <c r="N1023" t="inlineStr"/>
    </row>
    <row r="1024">
      <c r="A1024" t="inlineStr">
        <is>
          <t>FKEX01023</t>
        </is>
      </c>
      <c r="B1024" t="inlineStr">
        <is>
          <t>15 LL_Device</t>
        </is>
      </c>
      <c r="C1024" t="inlineStr">
        <is>
          <t>tblDeviceModel</t>
        </is>
      </c>
      <c r="D1024" t="n">
        <v>342</v>
      </c>
      <c r="E1024" t="inlineStr">
        <is>
          <t>MOD000339</t>
        </is>
      </c>
      <c r="F1024" t="inlineStr">
        <is>
          <t>DeviceTypeID</t>
        </is>
      </c>
      <c r="G1024" t="inlineStr">
        <is>
          <t>DT004</t>
        </is>
      </c>
      <c r="H1024" t="inlineStr">
        <is>
          <t>tblDeviceTypeIDCrosswalk</t>
        </is>
      </c>
      <c r="I1024" t="inlineStr"/>
      <c r="J1024" t="inlineStr">
        <is>
          <t>No Supported Match</t>
        </is>
      </c>
      <c r="K1024" t="inlineStr">
        <is>
          <t>None</t>
        </is>
      </c>
      <c r="L1024" t="inlineStr">
        <is>
          <t>Crosswalk Pending</t>
        </is>
      </c>
      <c r="M1024" t="inlineStr">
        <is>
          <t>Open</t>
        </is>
      </c>
      <c r="N1024" t="inlineStr"/>
    </row>
    <row r="1025">
      <c r="A1025" t="inlineStr">
        <is>
          <t>FKEX01024</t>
        </is>
      </c>
      <c r="B1025" t="inlineStr">
        <is>
          <t>15 LL_Device</t>
        </is>
      </c>
      <c r="C1025" t="inlineStr">
        <is>
          <t>tblDeviceModel</t>
        </is>
      </c>
      <c r="D1025" t="n">
        <v>343</v>
      </c>
      <c r="E1025" t="inlineStr">
        <is>
          <t>MOD000340</t>
        </is>
      </c>
      <c r="F1025" t="inlineStr">
        <is>
          <t>ManufacturerID</t>
        </is>
      </c>
      <c r="G1025" t="inlineStr">
        <is>
          <t>MFG002</t>
        </is>
      </c>
      <c r="H1025" t="inlineStr">
        <is>
          <t>tblManufacturerIDCrosswalk</t>
        </is>
      </c>
      <c r="I1025" t="inlineStr"/>
      <c r="J1025" t="inlineStr">
        <is>
          <t>No Supported Match</t>
        </is>
      </c>
      <c r="K1025" t="inlineStr">
        <is>
          <t>None</t>
        </is>
      </c>
      <c r="L1025" t="inlineStr">
        <is>
          <t>Crosswalk Pending</t>
        </is>
      </c>
      <c r="M1025" t="inlineStr">
        <is>
          <t>Open</t>
        </is>
      </c>
      <c r="N1025" t="inlineStr"/>
    </row>
    <row r="1026">
      <c r="A1026" t="inlineStr">
        <is>
          <t>FKEX01025</t>
        </is>
      </c>
      <c r="B1026" t="inlineStr">
        <is>
          <t>15 LL_Device</t>
        </is>
      </c>
      <c r="C1026" t="inlineStr">
        <is>
          <t>tblDeviceModel</t>
        </is>
      </c>
      <c r="D1026" t="n">
        <v>343</v>
      </c>
      <c r="E1026" t="inlineStr">
        <is>
          <t>MOD000340</t>
        </is>
      </c>
      <c r="F1026" t="inlineStr">
        <is>
          <t>DeviceFamilyID</t>
        </is>
      </c>
      <c r="G1026" t="inlineStr">
        <is>
          <t>DF030</t>
        </is>
      </c>
      <c r="H1026" t="inlineStr">
        <is>
          <t>tblDeviceFamilyIDCrosswalk</t>
        </is>
      </c>
      <c r="I1026" t="inlineStr"/>
      <c r="J1026" t="inlineStr">
        <is>
          <t>tblDeviceModel</t>
        </is>
      </c>
      <c r="K1026" t="inlineStr">
        <is>
          <t>Exact ID</t>
        </is>
      </c>
      <c r="L1026" t="inlineStr">
        <is>
          <t>Crosswalk Pending</t>
        </is>
      </c>
      <c r="M1026" t="inlineStr">
        <is>
          <t>Open</t>
        </is>
      </c>
      <c r="N1026" t="inlineStr"/>
    </row>
    <row r="1027">
      <c r="A1027" t="inlineStr">
        <is>
          <t>FKEX01026</t>
        </is>
      </c>
      <c r="B1027" t="inlineStr">
        <is>
          <t>15 LL_Device</t>
        </is>
      </c>
      <c r="C1027" t="inlineStr">
        <is>
          <t>tblDeviceModel</t>
        </is>
      </c>
      <c r="D1027" t="n">
        <v>343</v>
      </c>
      <c r="E1027" t="inlineStr">
        <is>
          <t>MOD000340</t>
        </is>
      </c>
      <c r="F1027" t="inlineStr">
        <is>
          <t>DeviceTypeID</t>
        </is>
      </c>
      <c r="G1027" t="inlineStr">
        <is>
          <t>DT004</t>
        </is>
      </c>
      <c r="H1027" t="inlineStr">
        <is>
          <t>tblDeviceTypeIDCrosswalk</t>
        </is>
      </c>
      <c r="I1027" t="inlineStr"/>
      <c r="J1027" t="inlineStr">
        <is>
          <t>No Supported Match</t>
        </is>
      </c>
      <c r="K1027" t="inlineStr">
        <is>
          <t>None</t>
        </is>
      </c>
      <c r="L1027" t="inlineStr">
        <is>
          <t>Crosswalk Pending</t>
        </is>
      </c>
      <c r="M1027" t="inlineStr">
        <is>
          <t>Open</t>
        </is>
      </c>
      <c r="N1027" t="inlineStr"/>
    </row>
    <row r="1028">
      <c r="A1028" t="inlineStr">
        <is>
          <t>FKEX01027</t>
        </is>
      </c>
      <c r="B1028" t="inlineStr">
        <is>
          <t>15 LL_Device</t>
        </is>
      </c>
      <c r="C1028" t="inlineStr">
        <is>
          <t>tblDeviceModel</t>
        </is>
      </c>
      <c r="D1028" t="n">
        <v>344</v>
      </c>
      <c r="E1028" t="inlineStr">
        <is>
          <t>MOD000341</t>
        </is>
      </c>
      <c r="F1028" t="inlineStr">
        <is>
          <t>ManufacturerID</t>
        </is>
      </c>
      <c r="G1028" t="inlineStr">
        <is>
          <t>MFG002</t>
        </is>
      </c>
      <c r="H1028" t="inlineStr">
        <is>
          <t>tblManufacturerIDCrosswalk</t>
        </is>
      </c>
      <c r="I1028" t="inlineStr"/>
      <c r="J1028" t="inlineStr">
        <is>
          <t>No Supported Match</t>
        </is>
      </c>
      <c r="K1028" t="inlineStr">
        <is>
          <t>None</t>
        </is>
      </c>
      <c r="L1028" t="inlineStr">
        <is>
          <t>Crosswalk Pending</t>
        </is>
      </c>
      <c r="M1028" t="inlineStr">
        <is>
          <t>Open</t>
        </is>
      </c>
      <c r="N1028" t="inlineStr"/>
    </row>
    <row r="1029">
      <c r="A1029" t="inlineStr">
        <is>
          <t>FKEX01028</t>
        </is>
      </c>
      <c r="B1029" t="inlineStr">
        <is>
          <t>15 LL_Device</t>
        </is>
      </c>
      <c r="C1029" t="inlineStr">
        <is>
          <t>tblDeviceModel</t>
        </is>
      </c>
      <c r="D1029" t="n">
        <v>344</v>
      </c>
      <c r="E1029" t="inlineStr">
        <is>
          <t>MOD000341</t>
        </is>
      </c>
      <c r="F1029" t="inlineStr">
        <is>
          <t>DeviceFamilyID</t>
        </is>
      </c>
      <c r="G1029" t="inlineStr">
        <is>
          <t>DF030</t>
        </is>
      </c>
      <c r="H1029" t="inlineStr">
        <is>
          <t>tblDeviceFamilyIDCrosswalk</t>
        </is>
      </c>
      <c r="I1029" t="inlineStr"/>
      <c r="J1029" t="inlineStr">
        <is>
          <t>tblDeviceModel</t>
        </is>
      </c>
      <c r="K1029" t="inlineStr">
        <is>
          <t>Exact ID</t>
        </is>
      </c>
      <c r="L1029" t="inlineStr">
        <is>
          <t>Crosswalk Pending</t>
        </is>
      </c>
      <c r="M1029" t="inlineStr">
        <is>
          <t>Open</t>
        </is>
      </c>
      <c r="N1029" t="inlineStr"/>
    </row>
    <row r="1030">
      <c r="A1030" t="inlineStr">
        <is>
          <t>FKEX01029</t>
        </is>
      </c>
      <c r="B1030" t="inlineStr">
        <is>
          <t>15 LL_Device</t>
        </is>
      </c>
      <c r="C1030" t="inlineStr">
        <is>
          <t>tblDeviceModel</t>
        </is>
      </c>
      <c r="D1030" t="n">
        <v>344</v>
      </c>
      <c r="E1030" t="inlineStr">
        <is>
          <t>MOD000341</t>
        </is>
      </c>
      <c r="F1030" t="inlineStr">
        <is>
          <t>DeviceTypeID</t>
        </is>
      </c>
      <c r="G1030" t="inlineStr">
        <is>
          <t>DT004</t>
        </is>
      </c>
      <c r="H1030" t="inlineStr">
        <is>
          <t>tblDeviceTypeIDCrosswalk</t>
        </is>
      </c>
      <c r="I1030" t="inlineStr"/>
      <c r="J1030" t="inlineStr">
        <is>
          <t>No Supported Match</t>
        </is>
      </c>
      <c r="K1030" t="inlineStr">
        <is>
          <t>None</t>
        </is>
      </c>
      <c r="L1030" t="inlineStr">
        <is>
          <t>Crosswalk Pending</t>
        </is>
      </c>
      <c r="M1030" t="inlineStr">
        <is>
          <t>Open</t>
        </is>
      </c>
      <c r="N1030" t="inlineStr"/>
    </row>
    <row r="1031">
      <c r="A1031" t="inlineStr">
        <is>
          <t>FKEX01030</t>
        </is>
      </c>
      <c r="B1031" t="inlineStr">
        <is>
          <t>15 LL_Device</t>
        </is>
      </c>
      <c r="C1031" t="inlineStr">
        <is>
          <t>tblDeviceModel</t>
        </is>
      </c>
      <c r="D1031" t="n">
        <v>345</v>
      </c>
      <c r="E1031" t="inlineStr">
        <is>
          <t>MOD000342</t>
        </is>
      </c>
      <c r="F1031" t="inlineStr">
        <is>
          <t>ManufacturerID</t>
        </is>
      </c>
      <c r="G1031" t="inlineStr">
        <is>
          <t>MFG002</t>
        </is>
      </c>
      <c r="H1031" t="inlineStr">
        <is>
          <t>tblManufacturerIDCrosswalk</t>
        </is>
      </c>
      <c r="I1031" t="inlineStr"/>
      <c r="J1031" t="inlineStr">
        <is>
          <t>No Supported Match</t>
        </is>
      </c>
      <c r="K1031" t="inlineStr">
        <is>
          <t>None</t>
        </is>
      </c>
      <c r="L1031" t="inlineStr">
        <is>
          <t>Crosswalk Pending</t>
        </is>
      </c>
      <c r="M1031" t="inlineStr">
        <is>
          <t>Open</t>
        </is>
      </c>
      <c r="N1031" t="inlineStr"/>
    </row>
    <row r="1032">
      <c r="A1032" t="inlineStr">
        <is>
          <t>FKEX01031</t>
        </is>
      </c>
      <c r="B1032" t="inlineStr">
        <is>
          <t>15 LL_Device</t>
        </is>
      </c>
      <c r="C1032" t="inlineStr">
        <is>
          <t>tblDeviceModel</t>
        </is>
      </c>
      <c r="D1032" t="n">
        <v>345</v>
      </c>
      <c r="E1032" t="inlineStr">
        <is>
          <t>MOD000342</t>
        </is>
      </c>
      <c r="F1032" t="inlineStr">
        <is>
          <t>DeviceFamilyID</t>
        </is>
      </c>
      <c r="G1032" t="inlineStr">
        <is>
          <t>DF030</t>
        </is>
      </c>
      <c r="H1032" t="inlineStr">
        <is>
          <t>tblDeviceFamilyIDCrosswalk</t>
        </is>
      </c>
      <c r="I1032" t="inlineStr"/>
      <c r="J1032" t="inlineStr">
        <is>
          <t>tblDeviceModel</t>
        </is>
      </c>
      <c r="K1032" t="inlineStr">
        <is>
          <t>Exact ID</t>
        </is>
      </c>
      <c r="L1032" t="inlineStr">
        <is>
          <t>Crosswalk Pending</t>
        </is>
      </c>
      <c r="M1032" t="inlineStr">
        <is>
          <t>Open</t>
        </is>
      </c>
      <c r="N1032" t="inlineStr"/>
    </row>
    <row r="1033">
      <c r="A1033" t="inlineStr">
        <is>
          <t>FKEX01032</t>
        </is>
      </c>
      <c r="B1033" t="inlineStr">
        <is>
          <t>15 LL_Device</t>
        </is>
      </c>
      <c r="C1033" t="inlineStr">
        <is>
          <t>tblDeviceModel</t>
        </is>
      </c>
      <c r="D1033" t="n">
        <v>345</v>
      </c>
      <c r="E1033" t="inlineStr">
        <is>
          <t>MOD000342</t>
        </is>
      </c>
      <c r="F1033" t="inlineStr">
        <is>
          <t>DeviceTypeID</t>
        </is>
      </c>
      <c r="G1033" t="inlineStr">
        <is>
          <t>DT004</t>
        </is>
      </c>
      <c r="H1033" t="inlineStr">
        <is>
          <t>tblDeviceTypeIDCrosswalk</t>
        </is>
      </c>
      <c r="I1033" t="inlineStr"/>
      <c r="J1033" t="inlineStr">
        <is>
          <t>No Supported Match</t>
        </is>
      </c>
      <c r="K1033" t="inlineStr">
        <is>
          <t>None</t>
        </is>
      </c>
      <c r="L1033" t="inlineStr">
        <is>
          <t>Crosswalk Pending</t>
        </is>
      </c>
      <c r="M1033" t="inlineStr">
        <is>
          <t>Open</t>
        </is>
      </c>
      <c r="N1033" t="inlineStr"/>
    </row>
    <row r="1034">
      <c r="A1034" t="inlineStr">
        <is>
          <t>FKEX01033</t>
        </is>
      </c>
      <c r="B1034" t="inlineStr">
        <is>
          <t>15 LL_Device</t>
        </is>
      </c>
      <c r="C1034" t="inlineStr">
        <is>
          <t>tblDeviceModel</t>
        </is>
      </c>
      <c r="D1034" t="n">
        <v>346</v>
      </c>
      <c r="E1034" t="inlineStr">
        <is>
          <t>MOD000343</t>
        </is>
      </c>
      <c r="F1034" t="inlineStr">
        <is>
          <t>ManufacturerID</t>
        </is>
      </c>
      <c r="G1034" t="inlineStr">
        <is>
          <t>MFG002</t>
        </is>
      </c>
      <c r="H1034" t="inlineStr">
        <is>
          <t>tblManufacturerIDCrosswalk</t>
        </is>
      </c>
      <c r="I1034" t="inlineStr"/>
      <c r="J1034" t="inlineStr">
        <is>
          <t>No Supported Match</t>
        </is>
      </c>
      <c r="K1034" t="inlineStr">
        <is>
          <t>None</t>
        </is>
      </c>
      <c r="L1034" t="inlineStr">
        <is>
          <t>Crosswalk Pending</t>
        </is>
      </c>
      <c r="M1034" t="inlineStr">
        <is>
          <t>Open</t>
        </is>
      </c>
      <c r="N1034" t="inlineStr"/>
    </row>
    <row r="1035">
      <c r="A1035" t="inlineStr">
        <is>
          <t>FKEX01034</t>
        </is>
      </c>
      <c r="B1035" t="inlineStr">
        <is>
          <t>15 LL_Device</t>
        </is>
      </c>
      <c r="C1035" t="inlineStr">
        <is>
          <t>tblDeviceModel</t>
        </is>
      </c>
      <c r="D1035" t="n">
        <v>346</v>
      </c>
      <c r="E1035" t="inlineStr">
        <is>
          <t>MOD000343</t>
        </is>
      </c>
      <c r="F1035" t="inlineStr">
        <is>
          <t>DeviceFamilyID</t>
        </is>
      </c>
      <c r="G1035" t="inlineStr">
        <is>
          <t>DF030</t>
        </is>
      </c>
      <c r="H1035" t="inlineStr">
        <is>
          <t>tblDeviceFamilyIDCrosswalk</t>
        </is>
      </c>
      <c r="I1035" t="inlineStr"/>
      <c r="J1035" t="inlineStr">
        <is>
          <t>tblDeviceModel</t>
        </is>
      </c>
      <c r="K1035" t="inlineStr">
        <is>
          <t>Exact ID</t>
        </is>
      </c>
      <c r="L1035" t="inlineStr">
        <is>
          <t>Crosswalk Pending</t>
        </is>
      </c>
      <c r="M1035" t="inlineStr">
        <is>
          <t>Open</t>
        </is>
      </c>
      <c r="N1035" t="inlineStr"/>
    </row>
    <row r="1036">
      <c r="A1036" t="inlineStr">
        <is>
          <t>FKEX01035</t>
        </is>
      </c>
      <c r="B1036" t="inlineStr">
        <is>
          <t>15 LL_Device</t>
        </is>
      </c>
      <c r="C1036" t="inlineStr">
        <is>
          <t>tblDeviceModel</t>
        </is>
      </c>
      <c r="D1036" t="n">
        <v>346</v>
      </c>
      <c r="E1036" t="inlineStr">
        <is>
          <t>MOD000343</t>
        </is>
      </c>
      <c r="F1036" t="inlineStr">
        <is>
          <t>DeviceTypeID</t>
        </is>
      </c>
      <c r="G1036" t="inlineStr">
        <is>
          <t>DT004</t>
        </is>
      </c>
      <c r="H1036" t="inlineStr">
        <is>
          <t>tblDeviceTypeIDCrosswalk</t>
        </is>
      </c>
      <c r="I1036" t="inlineStr"/>
      <c r="J1036" t="inlineStr">
        <is>
          <t>No Supported Match</t>
        </is>
      </c>
      <c r="K1036" t="inlineStr">
        <is>
          <t>None</t>
        </is>
      </c>
      <c r="L1036" t="inlineStr">
        <is>
          <t>Crosswalk Pending</t>
        </is>
      </c>
      <c r="M1036" t="inlineStr">
        <is>
          <t>Open</t>
        </is>
      </c>
      <c r="N1036" t="inlineStr"/>
    </row>
    <row r="1037">
      <c r="A1037" t="inlineStr">
        <is>
          <t>FKEX01036</t>
        </is>
      </c>
      <c r="B1037" t="inlineStr">
        <is>
          <t>15 LL_Device</t>
        </is>
      </c>
      <c r="C1037" t="inlineStr">
        <is>
          <t>tblDeviceModel</t>
        </is>
      </c>
      <c r="D1037" t="n">
        <v>347</v>
      </c>
      <c r="E1037" t="inlineStr">
        <is>
          <t>MOD000344</t>
        </is>
      </c>
      <c r="F1037" t="inlineStr">
        <is>
          <t>ManufacturerID</t>
        </is>
      </c>
      <c r="G1037" t="inlineStr">
        <is>
          <t>MFG002</t>
        </is>
      </c>
      <c r="H1037" t="inlineStr">
        <is>
          <t>tblManufacturerIDCrosswalk</t>
        </is>
      </c>
      <c r="I1037" t="inlineStr"/>
      <c r="J1037" t="inlineStr">
        <is>
          <t>No Supported Match</t>
        </is>
      </c>
      <c r="K1037" t="inlineStr">
        <is>
          <t>None</t>
        </is>
      </c>
      <c r="L1037" t="inlineStr">
        <is>
          <t>Crosswalk Pending</t>
        </is>
      </c>
      <c r="M1037" t="inlineStr">
        <is>
          <t>Open</t>
        </is>
      </c>
      <c r="N1037" t="inlineStr"/>
    </row>
    <row r="1038">
      <c r="A1038" t="inlineStr">
        <is>
          <t>FKEX01037</t>
        </is>
      </c>
      <c r="B1038" t="inlineStr">
        <is>
          <t>15 LL_Device</t>
        </is>
      </c>
      <c r="C1038" t="inlineStr">
        <is>
          <t>tblDeviceModel</t>
        </is>
      </c>
      <c r="D1038" t="n">
        <v>347</v>
      </c>
      <c r="E1038" t="inlineStr">
        <is>
          <t>MOD000344</t>
        </is>
      </c>
      <c r="F1038" t="inlineStr">
        <is>
          <t>DeviceFamilyID</t>
        </is>
      </c>
      <c r="G1038" t="inlineStr">
        <is>
          <t>DF030</t>
        </is>
      </c>
      <c r="H1038" t="inlineStr">
        <is>
          <t>tblDeviceFamilyIDCrosswalk</t>
        </is>
      </c>
      <c r="I1038" t="inlineStr"/>
      <c r="J1038" t="inlineStr">
        <is>
          <t>tblDeviceModel</t>
        </is>
      </c>
      <c r="K1038" t="inlineStr">
        <is>
          <t>Exact ID</t>
        </is>
      </c>
      <c r="L1038" t="inlineStr">
        <is>
          <t>Crosswalk Pending</t>
        </is>
      </c>
      <c r="M1038" t="inlineStr">
        <is>
          <t>Open</t>
        </is>
      </c>
      <c r="N1038" t="inlineStr"/>
    </row>
    <row r="1039">
      <c r="A1039" t="inlineStr">
        <is>
          <t>FKEX01038</t>
        </is>
      </c>
      <c r="B1039" t="inlineStr">
        <is>
          <t>15 LL_Device</t>
        </is>
      </c>
      <c r="C1039" t="inlineStr">
        <is>
          <t>tblDeviceModel</t>
        </is>
      </c>
      <c r="D1039" t="n">
        <v>347</v>
      </c>
      <c r="E1039" t="inlineStr">
        <is>
          <t>MOD000344</t>
        </is>
      </c>
      <c r="F1039" t="inlineStr">
        <is>
          <t>DeviceTypeID</t>
        </is>
      </c>
      <c r="G1039" t="inlineStr">
        <is>
          <t>DT004</t>
        </is>
      </c>
      <c r="H1039" t="inlineStr">
        <is>
          <t>tblDeviceTypeIDCrosswalk</t>
        </is>
      </c>
      <c r="I1039" t="inlineStr"/>
      <c r="J1039" t="inlineStr">
        <is>
          <t>No Supported Match</t>
        </is>
      </c>
      <c r="K1039" t="inlineStr">
        <is>
          <t>None</t>
        </is>
      </c>
      <c r="L1039" t="inlineStr">
        <is>
          <t>Crosswalk Pending</t>
        </is>
      </c>
      <c r="M1039" t="inlineStr">
        <is>
          <t>Open</t>
        </is>
      </c>
      <c r="N1039" t="inlineStr"/>
    </row>
    <row r="1040">
      <c r="A1040" t="inlineStr">
        <is>
          <t>FKEX01039</t>
        </is>
      </c>
      <c r="B1040" t="inlineStr">
        <is>
          <t>15 LL_Device</t>
        </is>
      </c>
      <c r="C1040" t="inlineStr">
        <is>
          <t>tblDeviceModel</t>
        </is>
      </c>
      <c r="D1040" t="n">
        <v>348</v>
      </c>
      <c r="E1040" t="inlineStr">
        <is>
          <t>MOD000345</t>
        </is>
      </c>
      <c r="F1040" t="inlineStr">
        <is>
          <t>ManufacturerID</t>
        </is>
      </c>
      <c r="G1040" t="inlineStr">
        <is>
          <t>MFG002</t>
        </is>
      </c>
      <c r="H1040" t="inlineStr">
        <is>
          <t>tblManufacturerIDCrosswalk</t>
        </is>
      </c>
      <c r="I1040" t="inlineStr"/>
      <c r="J1040" t="inlineStr">
        <is>
          <t>No Supported Match</t>
        </is>
      </c>
      <c r="K1040" t="inlineStr">
        <is>
          <t>None</t>
        </is>
      </c>
      <c r="L1040" t="inlineStr">
        <is>
          <t>Crosswalk Pending</t>
        </is>
      </c>
      <c r="M1040" t="inlineStr">
        <is>
          <t>Open</t>
        </is>
      </c>
      <c r="N1040" t="inlineStr"/>
    </row>
    <row r="1041">
      <c r="A1041" t="inlineStr">
        <is>
          <t>FKEX01040</t>
        </is>
      </c>
      <c r="B1041" t="inlineStr">
        <is>
          <t>15 LL_Device</t>
        </is>
      </c>
      <c r="C1041" t="inlineStr">
        <is>
          <t>tblDeviceModel</t>
        </is>
      </c>
      <c r="D1041" t="n">
        <v>348</v>
      </c>
      <c r="E1041" t="inlineStr">
        <is>
          <t>MOD000345</t>
        </is>
      </c>
      <c r="F1041" t="inlineStr">
        <is>
          <t>DeviceFamilyID</t>
        </is>
      </c>
      <c r="G1041" t="inlineStr">
        <is>
          <t>DF030</t>
        </is>
      </c>
      <c r="H1041" t="inlineStr">
        <is>
          <t>tblDeviceFamilyIDCrosswalk</t>
        </is>
      </c>
      <c r="I1041" t="inlineStr"/>
      <c r="J1041" t="inlineStr">
        <is>
          <t>tblDeviceModel</t>
        </is>
      </c>
      <c r="K1041" t="inlineStr">
        <is>
          <t>Exact ID</t>
        </is>
      </c>
      <c r="L1041" t="inlineStr">
        <is>
          <t>Crosswalk Pending</t>
        </is>
      </c>
      <c r="M1041" t="inlineStr">
        <is>
          <t>Open</t>
        </is>
      </c>
      <c r="N1041" t="inlineStr"/>
    </row>
    <row r="1042">
      <c r="A1042" t="inlineStr">
        <is>
          <t>FKEX01041</t>
        </is>
      </c>
      <c r="B1042" t="inlineStr">
        <is>
          <t>15 LL_Device</t>
        </is>
      </c>
      <c r="C1042" t="inlineStr">
        <is>
          <t>tblDeviceModel</t>
        </is>
      </c>
      <c r="D1042" t="n">
        <v>348</v>
      </c>
      <c r="E1042" t="inlineStr">
        <is>
          <t>MOD000345</t>
        </is>
      </c>
      <c r="F1042" t="inlineStr">
        <is>
          <t>DeviceTypeID</t>
        </is>
      </c>
      <c r="G1042" t="inlineStr">
        <is>
          <t>DT004</t>
        </is>
      </c>
      <c r="H1042" t="inlineStr">
        <is>
          <t>tblDeviceTypeIDCrosswalk</t>
        </is>
      </c>
      <c r="I1042" t="inlineStr"/>
      <c r="J1042" t="inlineStr">
        <is>
          <t>No Supported Match</t>
        </is>
      </c>
      <c r="K1042" t="inlineStr">
        <is>
          <t>None</t>
        </is>
      </c>
      <c r="L1042" t="inlineStr">
        <is>
          <t>Crosswalk Pending</t>
        </is>
      </c>
      <c r="M1042" t="inlineStr">
        <is>
          <t>Open</t>
        </is>
      </c>
      <c r="N1042" t="inlineStr"/>
    </row>
    <row r="1043">
      <c r="A1043" t="inlineStr">
        <is>
          <t>FKEX01042</t>
        </is>
      </c>
      <c r="B1043" t="inlineStr">
        <is>
          <t>15 LL_Device</t>
        </is>
      </c>
      <c r="C1043" t="inlineStr">
        <is>
          <t>tblDeviceModel</t>
        </is>
      </c>
      <c r="D1043" t="n">
        <v>349</v>
      </c>
      <c r="E1043" t="inlineStr">
        <is>
          <t>MOD000346</t>
        </is>
      </c>
      <c r="F1043" t="inlineStr">
        <is>
          <t>ManufacturerID</t>
        </is>
      </c>
      <c r="G1043" t="inlineStr">
        <is>
          <t>MFG002</t>
        </is>
      </c>
      <c r="H1043" t="inlineStr">
        <is>
          <t>tblManufacturerIDCrosswalk</t>
        </is>
      </c>
      <c r="I1043" t="inlineStr"/>
      <c r="J1043" t="inlineStr">
        <is>
          <t>No Supported Match</t>
        </is>
      </c>
      <c r="K1043" t="inlineStr">
        <is>
          <t>None</t>
        </is>
      </c>
      <c r="L1043" t="inlineStr">
        <is>
          <t>Crosswalk Pending</t>
        </is>
      </c>
      <c r="M1043" t="inlineStr">
        <is>
          <t>Open</t>
        </is>
      </c>
      <c r="N1043" t="inlineStr"/>
    </row>
    <row r="1044">
      <c r="A1044" t="inlineStr">
        <is>
          <t>FKEX01043</t>
        </is>
      </c>
      <c r="B1044" t="inlineStr">
        <is>
          <t>15 LL_Device</t>
        </is>
      </c>
      <c r="C1044" t="inlineStr">
        <is>
          <t>tblDeviceModel</t>
        </is>
      </c>
      <c r="D1044" t="n">
        <v>349</v>
      </c>
      <c r="E1044" t="inlineStr">
        <is>
          <t>MOD000346</t>
        </is>
      </c>
      <c r="F1044" t="inlineStr">
        <is>
          <t>DeviceFamilyID</t>
        </is>
      </c>
      <c r="G1044" t="inlineStr">
        <is>
          <t>DF031</t>
        </is>
      </c>
      <c r="H1044" t="inlineStr">
        <is>
          <t>tblDeviceFamilyIDCrosswalk</t>
        </is>
      </c>
      <c r="I1044" t="inlineStr"/>
      <c r="J1044" t="inlineStr">
        <is>
          <t>tblDeviceModel</t>
        </is>
      </c>
      <c r="K1044" t="inlineStr">
        <is>
          <t>Exact ID</t>
        </is>
      </c>
      <c r="L1044" t="inlineStr">
        <is>
          <t>Crosswalk Pending</t>
        </is>
      </c>
      <c r="M1044" t="inlineStr">
        <is>
          <t>Open</t>
        </is>
      </c>
      <c r="N1044" t="inlineStr"/>
    </row>
    <row r="1045">
      <c r="A1045" t="inlineStr">
        <is>
          <t>FKEX01044</t>
        </is>
      </c>
      <c r="B1045" t="inlineStr">
        <is>
          <t>15 LL_Device</t>
        </is>
      </c>
      <c r="C1045" t="inlineStr">
        <is>
          <t>tblDeviceModel</t>
        </is>
      </c>
      <c r="D1045" t="n">
        <v>349</v>
      </c>
      <c r="E1045" t="inlineStr">
        <is>
          <t>MOD000346</t>
        </is>
      </c>
      <c r="F1045" t="inlineStr">
        <is>
          <t>DeviceTypeID</t>
        </is>
      </c>
      <c r="G1045" t="inlineStr">
        <is>
          <t>DT005</t>
        </is>
      </c>
      <c r="H1045" t="inlineStr">
        <is>
          <t>tblDeviceTypeIDCrosswalk</t>
        </is>
      </c>
      <c r="I1045" t="inlineStr"/>
      <c r="J1045" t="inlineStr">
        <is>
          <t>No Supported Match</t>
        </is>
      </c>
      <c r="K1045" t="inlineStr">
        <is>
          <t>None</t>
        </is>
      </c>
      <c r="L1045" t="inlineStr">
        <is>
          <t>Crosswalk Pending</t>
        </is>
      </c>
      <c r="M1045" t="inlineStr">
        <is>
          <t>Open</t>
        </is>
      </c>
      <c r="N1045" t="inlineStr"/>
    </row>
    <row r="1046">
      <c r="A1046" t="inlineStr">
        <is>
          <t>FKEX01045</t>
        </is>
      </c>
      <c r="B1046" t="inlineStr">
        <is>
          <t>15 LL_Device</t>
        </is>
      </c>
      <c r="C1046" t="inlineStr">
        <is>
          <t>tblDeviceModel</t>
        </is>
      </c>
      <c r="D1046" t="n">
        <v>350</v>
      </c>
      <c r="E1046" t="inlineStr">
        <is>
          <t>MOD000347</t>
        </is>
      </c>
      <c r="F1046" t="inlineStr">
        <is>
          <t>ManufacturerID</t>
        </is>
      </c>
      <c r="G1046" t="inlineStr">
        <is>
          <t>MFG002</t>
        </is>
      </c>
      <c r="H1046" t="inlineStr">
        <is>
          <t>tblManufacturerIDCrosswalk</t>
        </is>
      </c>
      <c r="I1046" t="inlineStr"/>
      <c r="J1046" t="inlineStr">
        <is>
          <t>No Supported Match</t>
        </is>
      </c>
      <c r="K1046" t="inlineStr">
        <is>
          <t>None</t>
        </is>
      </c>
      <c r="L1046" t="inlineStr">
        <is>
          <t>Crosswalk Pending</t>
        </is>
      </c>
      <c r="M1046" t="inlineStr">
        <is>
          <t>Open</t>
        </is>
      </c>
      <c r="N1046" t="inlineStr"/>
    </row>
    <row r="1047">
      <c r="A1047" t="inlineStr">
        <is>
          <t>FKEX01046</t>
        </is>
      </c>
      <c r="B1047" t="inlineStr">
        <is>
          <t>15 LL_Device</t>
        </is>
      </c>
      <c r="C1047" t="inlineStr">
        <is>
          <t>tblDeviceModel</t>
        </is>
      </c>
      <c r="D1047" t="n">
        <v>350</v>
      </c>
      <c r="E1047" t="inlineStr">
        <is>
          <t>MOD000347</t>
        </is>
      </c>
      <c r="F1047" t="inlineStr">
        <is>
          <t>DeviceFamilyID</t>
        </is>
      </c>
      <c r="G1047" t="inlineStr">
        <is>
          <t>DF031</t>
        </is>
      </c>
      <c r="H1047" t="inlineStr">
        <is>
          <t>tblDeviceFamilyIDCrosswalk</t>
        </is>
      </c>
      <c r="I1047" t="inlineStr"/>
      <c r="J1047" t="inlineStr">
        <is>
          <t>tblDeviceModel</t>
        </is>
      </c>
      <c r="K1047" t="inlineStr">
        <is>
          <t>Exact ID</t>
        </is>
      </c>
      <c r="L1047" t="inlineStr">
        <is>
          <t>Crosswalk Pending</t>
        </is>
      </c>
      <c r="M1047" t="inlineStr">
        <is>
          <t>Open</t>
        </is>
      </c>
      <c r="N1047" t="inlineStr"/>
    </row>
    <row r="1048">
      <c r="A1048" t="inlineStr">
        <is>
          <t>FKEX01047</t>
        </is>
      </c>
      <c r="B1048" t="inlineStr">
        <is>
          <t>15 LL_Device</t>
        </is>
      </c>
      <c r="C1048" t="inlineStr">
        <is>
          <t>tblDeviceModel</t>
        </is>
      </c>
      <c r="D1048" t="n">
        <v>350</v>
      </c>
      <c r="E1048" t="inlineStr">
        <is>
          <t>MOD000347</t>
        </is>
      </c>
      <c r="F1048" t="inlineStr">
        <is>
          <t>DeviceTypeID</t>
        </is>
      </c>
      <c r="G1048" t="inlineStr">
        <is>
          <t>DT005</t>
        </is>
      </c>
      <c r="H1048" t="inlineStr">
        <is>
          <t>tblDeviceTypeIDCrosswalk</t>
        </is>
      </c>
      <c r="I1048" t="inlineStr"/>
      <c r="J1048" t="inlineStr">
        <is>
          <t>No Supported Match</t>
        </is>
      </c>
      <c r="K1048" t="inlineStr">
        <is>
          <t>None</t>
        </is>
      </c>
      <c r="L1048" t="inlineStr">
        <is>
          <t>Crosswalk Pending</t>
        </is>
      </c>
      <c r="M1048" t="inlineStr">
        <is>
          <t>Open</t>
        </is>
      </c>
      <c r="N1048" t="inlineStr"/>
    </row>
    <row r="1049">
      <c r="A1049" t="inlineStr">
        <is>
          <t>FKEX01048</t>
        </is>
      </c>
      <c r="B1049" t="inlineStr">
        <is>
          <t>15 LL_Device</t>
        </is>
      </c>
      <c r="C1049" t="inlineStr">
        <is>
          <t>tblDeviceModel</t>
        </is>
      </c>
      <c r="D1049" t="n">
        <v>351</v>
      </c>
      <c r="E1049" t="inlineStr">
        <is>
          <t>MOD000348</t>
        </is>
      </c>
      <c r="F1049" t="inlineStr">
        <is>
          <t>ManufacturerID</t>
        </is>
      </c>
      <c r="G1049" t="inlineStr">
        <is>
          <t>MFG002</t>
        </is>
      </c>
      <c r="H1049" t="inlineStr">
        <is>
          <t>tblManufacturerIDCrosswalk</t>
        </is>
      </c>
      <c r="I1049" t="inlineStr"/>
      <c r="J1049" t="inlineStr">
        <is>
          <t>No Supported Match</t>
        </is>
      </c>
      <c r="K1049" t="inlineStr">
        <is>
          <t>None</t>
        </is>
      </c>
      <c r="L1049" t="inlineStr">
        <is>
          <t>Crosswalk Pending</t>
        </is>
      </c>
      <c r="M1049" t="inlineStr">
        <is>
          <t>Open</t>
        </is>
      </c>
      <c r="N1049" t="inlineStr"/>
    </row>
    <row r="1050">
      <c r="A1050" t="inlineStr">
        <is>
          <t>FKEX01049</t>
        </is>
      </c>
      <c r="B1050" t="inlineStr">
        <is>
          <t>15 LL_Device</t>
        </is>
      </c>
      <c r="C1050" t="inlineStr">
        <is>
          <t>tblDeviceModel</t>
        </is>
      </c>
      <c r="D1050" t="n">
        <v>351</v>
      </c>
      <c r="E1050" t="inlineStr">
        <is>
          <t>MOD000348</t>
        </is>
      </c>
      <c r="F1050" t="inlineStr">
        <is>
          <t>DeviceFamilyID</t>
        </is>
      </c>
      <c r="G1050" t="inlineStr">
        <is>
          <t>DF031</t>
        </is>
      </c>
      <c r="H1050" t="inlineStr">
        <is>
          <t>tblDeviceFamilyIDCrosswalk</t>
        </is>
      </c>
      <c r="I1050" t="inlineStr"/>
      <c r="J1050" t="inlineStr">
        <is>
          <t>tblDeviceModel</t>
        </is>
      </c>
      <c r="K1050" t="inlineStr">
        <is>
          <t>Exact ID</t>
        </is>
      </c>
      <c r="L1050" t="inlineStr">
        <is>
          <t>Crosswalk Pending</t>
        </is>
      </c>
      <c r="M1050" t="inlineStr">
        <is>
          <t>Open</t>
        </is>
      </c>
      <c r="N1050" t="inlineStr"/>
    </row>
    <row r="1051">
      <c r="A1051" t="inlineStr">
        <is>
          <t>FKEX01050</t>
        </is>
      </c>
      <c r="B1051" t="inlineStr">
        <is>
          <t>15 LL_Device</t>
        </is>
      </c>
      <c r="C1051" t="inlineStr">
        <is>
          <t>tblDeviceModel</t>
        </is>
      </c>
      <c r="D1051" t="n">
        <v>351</v>
      </c>
      <c r="E1051" t="inlineStr">
        <is>
          <t>MOD000348</t>
        </is>
      </c>
      <c r="F1051" t="inlineStr">
        <is>
          <t>DeviceTypeID</t>
        </is>
      </c>
      <c r="G1051" t="inlineStr">
        <is>
          <t>DT005</t>
        </is>
      </c>
      <c r="H1051" t="inlineStr">
        <is>
          <t>tblDeviceTypeIDCrosswalk</t>
        </is>
      </c>
      <c r="I1051" t="inlineStr"/>
      <c r="J1051" t="inlineStr">
        <is>
          <t>No Supported Match</t>
        </is>
      </c>
      <c r="K1051" t="inlineStr">
        <is>
          <t>None</t>
        </is>
      </c>
      <c r="L1051" t="inlineStr">
        <is>
          <t>Crosswalk Pending</t>
        </is>
      </c>
      <c r="M1051" t="inlineStr">
        <is>
          <t>Open</t>
        </is>
      </c>
      <c r="N1051" t="inlineStr"/>
    </row>
    <row r="1052">
      <c r="A1052" t="inlineStr">
        <is>
          <t>FKEX01051</t>
        </is>
      </c>
      <c r="B1052" t="inlineStr">
        <is>
          <t>15 LL_Device</t>
        </is>
      </c>
      <c r="C1052" t="inlineStr">
        <is>
          <t>tblDeviceModel</t>
        </is>
      </c>
      <c r="D1052" t="n">
        <v>352</v>
      </c>
      <c r="E1052" t="inlineStr">
        <is>
          <t>MOD000349</t>
        </is>
      </c>
      <c r="F1052" t="inlineStr">
        <is>
          <t>ManufacturerID</t>
        </is>
      </c>
      <c r="G1052" t="inlineStr">
        <is>
          <t>MFG002</t>
        </is>
      </c>
      <c r="H1052" t="inlineStr">
        <is>
          <t>tblManufacturerIDCrosswalk</t>
        </is>
      </c>
      <c r="I1052" t="inlineStr"/>
      <c r="J1052" t="inlineStr">
        <is>
          <t>No Supported Match</t>
        </is>
      </c>
      <c r="K1052" t="inlineStr">
        <is>
          <t>None</t>
        </is>
      </c>
      <c r="L1052" t="inlineStr">
        <is>
          <t>Crosswalk Pending</t>
        </is>
      </c>
      <c r="M1052" t="inlineStr">
        <is>
          <t>Open</t>
        </is>
      </c>
      <c r="N1052" t="inlineStr"/>
    </row>
    <row r="1053">
      <c r="A1053" t="inlineStr">
        <is>
          <t>FKEX01052</t>
        </is>
      </c>
      <c r="B1053" t="inlineStr">
        <is>
          <t>15 LL_Device</t>
        </is>
      </c>
      <c r="C1053" t="inlineStr">
        <is>
          <t>tblDeviceModel</t>
        </is>
      </c>
      <c r="D1053" t="n">
        <v>352</v>
      </c>
      <c r="E1053" t="inlineStr">
        <is>
          <t>MOD000349</t>
        </is>
      </c>
      <c r="F1053" t="inlineStr">
        <is>
          <t>DeviceFamilyID</t>
        </is>
      </c>
      <c r="G1053" t="inlineStr">
        <is>
          <t>DF031</t>
        </is>
      </c>
      <c r="H1053" t="inlineStr">
        <is>
          <t>tblDeviceFamilyIDCrosswalk</t>
        </is>
      </c>
      <c r="I1053" t="inlineStr"/>
      <c r="J1053" t="inlineStr">
        <is>
          <t>tblDeviceModel</t>
        </is>
      </c>
      <c r="K1053" t="inlineStr">
        <is>
          <t>Exact ID</t>
        </is>
      </c>
      <c r="L1053" t="inlineStr">
        <is>
          <t>Crosswalk Pending</t>
        </is>
      </c>
      <c r="M1053" t="inlineStr">
        <is>
          <t>Open</t>
        </is>
      </c>
      <c r="N1053" t="inlineStr"/>
    </row>
    <row r="1054">
      <c r="A1054" t="inlineStr">
        <is>
          <t>FKEX01053</t>
        </is>
      </c>
      <c r="B1054" t="inlineStr">
        <is>
          <t>15 LL_Device</t>
        </is>
      </c>
      <c r="C1054" t="inlineStr">
        <is>
          <t>tblDeviceModel</t>
        </is>
      </c>
      <c r="D1054" t="n">
        <v>352</v>
      </c>
      <c r="E1054" t="inlineStr">
        <is>
          <t>MOD000349</t>
        </is>
      </c>
      <c r="F1054" t="inlineStr">
        <is>
          <t>DeviceTypeID</t>
        </is>
      </c>
      <c r="G1054" t="inlineStr">
        <is>
          <t>DT005</t>
        </is>
      </c>
      <c r="H1054" t="inlineStr">
        <is>
          <t>tblDeviceTypeIDCrosswalk</t>
        </is>
      </c>
      <c r="I1054" t="inlineStr"/>
      <c r="J1054" t="inlineStr">
        <is>
          <t>No Supported Match</t>
        </is>
      </c>
      <c r="K1054" t="inlineStr">
        <is>
          <t>None</t>
        </is>
      </c>
      <c r="L1054" t="inlineStr">
        <is>
          <t>Crosswalk Pending</t>
        </is>
      </c>
      <c r="M1054" t="inlineStr">
        <is>
          <t>Open</t>
        </is>
      </c>
      <c r="N1054" t="inlineStr"/>
    </row>
    <row r="1055">
      <c r="A1055" t="inlineStr">
        <is>
          <t>FKEX01054</t>
        </is>
      </c>
      <c r="B1055" t="inlineStr">
        <is>
          <t>15 LL_Device</t>
        </is>
      </c>
      <c r="C1055" t="inlineStr">
        <is>
          <t>tblDeviceModel</t>
        </is>
      </c>
      <c r="D1055" t="n">
        <v>353</v>
      </c>
      <c r="E1055" t="inlineStr">
        <is>
          <t>MOD000350</t>
        </is>
      </c>
      <c r="F1055" t="inlineStr">
        <is>
          <t>ManufacturerID</t>
        </is>
      </c>
      <c r="G1055" t="inlineStr">
        <is>
          <t>MFG002</t>
        </is>
      </c>
      <c r="H1055" t="inlineStr">
        <is>
          <t>tblManufacturerIDCrosswalk</t>
        </is>
      </c>
      <c r="I1055" t="inlineStr"/>
      <c r="J1055" t="inlineStr">
        <is>
          <t>No Supported Match</t>
        </is>
      </c>
      <c r="K1055" t="inlineStr">
        <is>
          <t>None</t>
        </is>
      </c>
      <c r="L1055" t="inlineStr">
        <is>
          <t>Crosswalk Pending</t>
        </is>
      </c>
      <c r="M1055" t="inlineStr">
        <is>
          <t>Open</t>
        </is>
      </c>
      <c r="N1055" t="inlineStr"/>
    </row>
    <row r="1056">
      <c r="A1056" t="inlineStr">
        <is>
          <t>FKEX01055</t>
        </is>
      </c>
      <c r="B1056" t="inlineStr">
        <is>
          <t>15 LL_Device</t>
        </is>
      </c>
      <c r="C1056" t="inlineStr">
        <is>
          <t>tblDeviceModel</t>
        </is>
      </c>
      <c r="D1056" t="n">
        <v>353</v>
      </c>
      <c r="E1056" t="inlineStr">
        <is>
          <t>MOD000350</t>
        </is>
      </c>
      <c r="F1056" t="inlineStr">
        <is>
          <t>DeviceFamilyID</t>
        </is>
      </c>
      <c r="G1056" t="inlineStr">
        <is>
          <t>DF031</t>
        </is>
      </c>
      <c r="H1056" t="inlineStr">
        <is>
          <t>tblDeviceFamilyIDCrosswalk</t>
        </is>
      </c>
      <c r="I1056" t="inlineStr"/>
      <c r="J1056" t="inlineStr">
        <is>
          <t>tblDeviceModel</t>
        </is>
      </c>
      <c r="K1056" t="inlineStr">
        <is>
          <t>Exact ID</t>
        </is>
      </c>
      <c r="L1056" t="inlineStr">
        <is>
          <t>Crosswalk Pending</t>
        </is>
      </c>
      <c r="M1056" t="inlineStr">
        <is>
          <t>Open</t>
        </is>
      </c>
      <c r="N1056" t="inlineStr"/>
    </row>
    <row r="1057">
      <c r="A1057" t="inlineStr">
        <is>
          <t>FKEX01056</t>
        </is>
      </c>
      <c r="B1057" t="inlineStr">
        <is>
          <t>15 LL_Device</t>
        </is>
      </c>
      <c r="C1057" t="inlineStr">
        <is>
          <t>tblDeviceModel</t>
        </is>
      </c>
      <c r="D1057" t="n">
        <v>353</v>
      </c>
      <c r="E1057" t="inlineStr">
        <is>
          <t>MOD000350</t>
        </is>
      </c>
      <c r="F1057" t="inlineStr">
        <is>
          <t>DeviceTypeID</t>
        </is>
      </c>
      <c r="G1057" t="inlineStr">
        <is>
          <t>DT005</t>
        </is>
      </c>
      <c r="H1057" t="inlineStr">
        <is>
          <t>tblDeviceTypeIDCrosswalk</t>
        </is>
      </c>
      <c r="I1057" t="inlineStr"/>
      <c r="J1057" t="inlineStr">
        <is>
          <t>No Supported Match</t>
        </is>
      </c>
      <c r="K1057" t="inlineStr">
        <is>
          <t>None</t>
        </is>
      </c>
      <c r="L1057" t="inlineStr">
        <is>
          <t>Crosswalk Pending</t>
        </is>
      </c>
      <c r="M1057" t="inlineStr">
        <is>
          <t>Open</t>
        </is>
      </c>
      <c r="N1057" t="inlineStr"/>
    </row>
    <row r="1058">
      <c r="A1058" t="inlineStr">
        <is>
          <t>FKEX01057</t>
        </is>
      </c>
      <c r="B1058" t="inlineStr">
        <is>
          <t>15 LL_Device</t>
        </is>
      </c>
      <c r="C1058" t="inlineStr">
        <is>
          <t>tblDeviceModel</t>
        </is>
      </c>
      <c r="D1058" t="n">
        <v>354</v>
      </c>
      <c r="E1058" t="inlineStr">
        <is>
          <t>MOD000351</t>
        </is>
      </c>
      <c r="F1058" t="inlineStr">
        <is>
          <t>ManufacturerID</t>
        </is>
      </c>
      <c r="G1058" t="inlineStr">
        <is>
          <t>MFG002</t>
        </is>
      </c>
      <c r="H1058" t="inlineStr">
        <is>
          <t>tblManufacturerIDCrosswalk</t>
        </is>
      </c>
      <c r="I1058" t="inlineStr"/>
      <c r="J1058" t="inlineStr">
        <is>
          <t>No Supported Match</t>
        </is>
      </c>
      <c r="K1058" t="inlineStr">
        <is>
          <t>None</t>
        </is>
      </c>
      <c r="L1058" t="inlineStr">
        <is>
          <t>Crosswalk Pending</t>
        </is>
      </c>
      <c r="M1058" t="inlineStr">
        <is>
          <t>Open</t>
        </is>
      </c>
      <c r="N1058" t="inlineStr"/>
    </row>
    <row r="1059">
      <c r="A1059" t="inlineStr">
        <is>
          <t>FKEX01058</t>
        </is>
      </c>
      <c r="B1059" t="inlineStr">
        <is>
          <t>15 LL_Device</t>
        </is>
      </c>
      <c r="C1059" t="inlineStr">
        <is>
          <t>tblDeviceModel</t>
        </is>
      </c>
      <c r="D1059" t="n">
        <v>354</v>
      </c>
      <c r="E1059" t="inlineStr">
        <is>
          <t>MOD000351</t>
        </is>
      </c>
      <c r="F1059" t="inlineStr">
        <is>
          <t>DeviceFamilyID</t>
        </is>
      </c>
      <c r="G1059" t="inlineStr">
        <is>
          <t>DF031</t>
        </is>
      </c>
      <c r="H1059" t="inlineStr">
        <is>
          <t>tblDeviceFamilyIDCrosswalk</t>
        </is>
      </c>
      <c r="I1059" t="inlineStr"/>
      <c r="J1059" t="inlineStr">
        <is>
          <t>tblDeviceModel</t>
        </is>
      </c>
      <c r="K1059" t="inlineStr">
        <is>
          <t>Exact ID</t>
        </is>
      </c>
      <c r="L1059" t="inlineStr">
        <is>
          <t>Crosswalk Pending</t>
        </is>
      </c>
      <c r="M1059" t="inlineStr">
        <is>
          <t>Open</t>
        </is>
      </c>
      <c r="N1059" t="inlineStr"/>
    </row>
    <row r="1060">
      <c r="A1060" t="inlineStr">
        <is>
          <t>FKEX01059</t>
        </is>
      </c>
      <c r="B1060" t="inlineStr">
        <is>
          <t>15 LL_Device</t>
        </is>
      </c>
      <c r="C1060" t="inlineStr">
        <is>
          <t>tblDeviceModel</t>
        </is>
      </c>
      <c r="D1060" t="n">
        <v>354</v>
      </c>
      <c r="E1060" t="inlineStr">
        <is>
          <t>MOD000351</t>
        </is>
      </c>
      <c r="F1060" t="inlineStr">
        <is>
          <t>DeviceTypeID</t>
        </is>
      </c>
      <c r="G1060" t="inlineStr">
        <is>
          <t>DT005</t>
        </is>
      </c>
      <c r="H1060" t="inlineStr">
        <is>
          <t>tblDeviceTypeIDCrosswalk</t>
        </is>
      </c>
      <c r="I1060" t="inlineStr"/>
      <c r="J1060" t="inlineStr">
        <is>
          <t>No Supported Match</t>
        </is>
      </c>
      <c r="K1060" t="inlineStr">
        <is>
          <t>None</t>
        </is>
      </c>
      <c r="L1060" t="inlineStr">
        <is>
          <t>Crosswalk Pending</t>
        </is>
      </c>
      <c r="M1060" t="inlineStr">
        <is>
          <t>Open</t>
        </is>
      </c>
      <c r="N1060" t="inlineStr"/>
    </row>
    <row r="1061">
      <c r="A1061" t="inlineStr">
        <is>
          <t>FKEX01060</t>
        </is>
      </c>
      <c r="B1061" t="inlineStr">
        <is>
          <t>15 LL_Device</t>
        </is>
      </c>
      <c r="C1061" t="inlineStr">
        <is>
          <t>tblDeviceModel</t>
        </is>
      </c>
      <c r="D1061" t="n">
        <v>355</v>
      </c>
      <c r="E1061" t="inlineStr">
        <is>
          <t>MOD000352</t>
        </is>
      </c>
      <c r="F1061" t="inlineStr">
        <is>
          <t>ManufacturerID</t>
        </is>
      </c>
      <c r="G1061" t="inlineStr">
        <is>
          <t>MFG002</t>
        </is>
      </c>
      <c r="H1061" t="inlineStr">
        <is>
          <t>tblManufacturerIDCrosswalk</t>
        </is>
      </c>
      <c r="I1061" t="inlineStr"/>
      <c r="J1061" t="inlineStr">
        <is>
          <t>No Supported Match</t>
        </is>
      </c>
      <c r="K1061" t="inlineStr">
        <is>
          <t>None</t>
        </is>
      </c>
      <c r="L1061" t="inlineStr">
        <is>
          <t>Crosswalk Pending</t>
        </is>
      </c>
      <c r="M1061" t="inlineStr">
        <is>
          <t>Open</t>
        </is>
      </c>
      <c r="N1061" t="inlineStr"/>
    </row>
    <row r="1062">
      <c r="A1062" t="inlineStr">
        <is>
          <t>FKEX01061</t>
        </is>
      </c>
      <c r="B1062" t="inlineStr">
        <is>
          <t>15 LL_Device</t>
        </is>
      </c>
      <c r="C1062" t="inlineStr">
        <is>
          <t>tblDeviceModel</t>
        </is>
      </c>
      <c r="D1062" t="n">
        <v>355</v>
      </c>
      <c r="E1062" t="inlineStr">
        <is>
          <t>MOD000352</t>
        </is>
      </c>
      <c r="F1062" t="inlineStr">
        <is>
          <t>DeviceFamilyID</t>
        </is>
      </c>
      <c r="G1062" t="inlineStr">
        <is>
          <t>DF031</t>
        </is>
      </c>
      <c r="H1062" t="inlineStr">
        <is>
          <t>tblDeviceFamilyIDCrosswalk</t>
        </is>
      </c>
      <c r="I1062" t="inlineStr"/>
      <c r="J1062" t="inlineStr">
        <is>
          <t>tblDeviceModel</t>
        </is>
      </c>
      <c r="K1062" t="inlineStr">
        <is>
          <t>Exact ID</t>
        </is>
      </c>
      <c r="L1062" t="inlineStr">
        <is>
          <t>Crosswalk Pending</t>
        </is>
      </c>
      <c r="M1062" t="inlineStr">
        <is>
          <t>Open</t>
        </is>
      </c>
      <c r="N1062" t="inlineStr"/>
    </row>
    <row r="1063">
      <c r="A1063" t="inlineStr">
        <is>
          <t>FKEX01062</t>
        </is>
      </c>
      <c r="B1063" t="inlineStr">
        <is>
          <t>15 LL_Device</t>
        </is>
      </c>
      <c r="C1063" t="inlineStr">
        <is>
          <t>tblDeviceModel</t>
        </is>
      </c>
      <c r="D1063" t="n">
        <v>355</v>
      </c>
      <c r="E1063" t="inlineStr">
        <is>
          <t>MOD000352</t>
        </is>
      </c>
      <c r="F1063" t="inlineStr">
        <is>
          <t>DeviceTypeID</t>
        </is>
      </c>
      <c r="G1063" t="inlineStr">
        <is>
          <t>DT005</t>
        </is>
      </c>
      <c r="H1063" t="inlineStr">
        <is>
          <t>tblDeviceTypeIDCrosswalk</t>
        </is>
      </c>
      <c r="I1063" t="inlineStr"/>
      <c r="J1063" t="inlineStr">
        <is>
          <t>No Supported Match</t>
        </is>
      </c>
      <c r="K1063" t="inlineStr">
        <is>
          <t>None</t>
        </is>
      </c>
      <c r="L1063" t="inlineStr">
        <is>
          <t>Crosswalk Pending</t>
        </is>
      </c>
      <c r="M1063" t="inlineStr">
        <is>
          <t>Open</t>
        </is>
      </c>
      <c r="N1063" t="inlineStr"/>
    </row>
    <row r="1064">
      <c r="A1064" t="inlineStr">
        <is>
          <t>FKEX01063</t>
        </is>
      </c>
      <c r="B1064" t="inlineStr">
        <is>
          <t>15 LL_Device</t>
        </is>
      </c>
      <c r="C1064" t="inlineStr">
        <is>
          <t>tblDeviceModel</t>
        </is>
      </c>
      <c r="D1064" t="n">
        <v>356</v>
      </c>
      <c r="E1064" t="inlineStr">
        <is>
          <t>MOD000353</t>
        </is>
      </c>
      <c r="F1064" t="inlineStr">
        <is>
          <t>ManufacturerID</t>
        </is>
      </c>
      <c r="G1064" t="inlineStr">
        <is>
          <t>MFG002</t>
        </is>
      </c>
      <c r="H1064" t="inlineStr">
        <is>
          <t>tblManufacturerIDCrosswalk</t>
        </is>
      </c>
      <c r="I1064" t="inlineStr"/>
      <c r="J1064" t="inlineStr">
        <is>
          <t>No Supported Match</t>
        </is>
      </c>
      <c r="K1064" t="inlineStr">
        <is>
          <t>None</t>
        </is>
      </c>
      <c r="L1064" t="inlineStr">
        <is>
          <t>Crosswalk Pending</t>
        </is>
      </c>
      <c r="M1064" t="inlineStr">
        <is>
          <t>Open</t>
        </is>
      </c>
      <c r="N1064" t="inlineStr"/>
    </row>
    <row r="1065">
      <c r="A1065" t="inlineStr">
        <is>
          <t>FKEX01064</t>
        </is>
      </c>
      <c r="B1065" t="inlineStr">
        <is>
          <t>15 LL_Device</t>
        </is>
      </c>
      <c r="C1065" t="inlineStr">
        <is>
          <t>tblDeviceModel</t>
        </is>
      </c>
      <c r="D1065" t="n">
        <v>356</v>
      </c>
      <c r="E1065" t="inlineStr">
        <is>
          <t>MOD000353</t>
        </is>
      </c>
      <c r="F1065" t="inlineStr">
        <is>
          <t>DeviceFamilyID</t>
        </is>
      </c>
      <c r="G1065" t="inlineStr">
        <is>
          <t>DF031</t>
        </is>
      </c>
      <c r="H1065" t="inlineStr">
        <is>
          <t>tblDeviceFamilyIDCrosswalk</t>
        </is>
      </c>
      <c r="I1065" t="inlineStr"/>
      <c r="J1065" t="inlineStr">
        <is>
          <t>tblDeviceModel</t>
        </is>
      </c>
      <c r="K1065" t="inlineStr">
        <is>
          <t>Exact ID</t>
        </is>
      </c>
      <c r="L1065" t="inlineStr">
        <is>
          <t>Crosswalk Pending</t>
        </is>
      </c>
      <c r="M1065" t="inlineStr">
        <is>
          <t>Open</t>
        </is>
      </c>
      <c r="N1065" t="inlineStr"/>
    </row>
    <row r="1066">
      <c r="A1066" t="inlineStr">
        <is>
          <t>FKEX01065</t>
        </is>
      </c>
      <c r="B1066" t="inlineStr">
        <is>
          <t>15 LL_Device</t>
        </is>
      </c>
      <c r="C1066" t="inlineStr">
        <is>
          <t>tblDeviceModel</t>
        </is>
      </c>
      <c r="D1066" t="n">
        <v>356</v>
      </c>
      <c r="E1066" t="inlineStr">
        <is>
          <t>MOD000353</t>
        </is>
      </c>
      <c r="F1066" t="inlineStr">
        <is>
          <t>DeviceTypeID</t>
        </is>
      </c>
      <c r="G1066" t="inlineStr">
        <is>
          <t>DT005</t>
        </is>
      </c>
      <c r="H1066" t="inlineStr">
        <is>
          <t>tblDeviceTypeIDCrosswalk</t>
        </is>
      </c>
      <c r="I1066" t="inlineStr"/>
      <c r="J1066" t="inlineStr">
        <is>
          <t>No Supported Match</t>
        </is>
      </c>
      <c r="K1066" t="inlineStr">
        <is>
          <t>None</t>
        </is>
      </c>
      <c r="L1066" t="inlineStr">
        <is>
          <t>Crosswalk Pending</t>
        </is>
      </c>
      <c r="M1066" t="inlineStr">
        <is>
          <t>Open</t>
        </is>
      </c>
      <c r="N1066" t="inlineStr"/>
    </row>
    <row r="1067">
      <c r="A1067" t="inlineStr">
        <is>
          <t>FKEX01066</t>
        </is>
      </c>
      <c r="B1067" t="inlineStr">
        <is>
          <t>15 LL_Device</t>
        </is>
      </c>
      <c r="C1067" t="inlineStr">
        <is>
          <t>tblDeviceModel</t>
        </is>
      </c>
      <c r="D1067" t="n">
        <v>357</v>
      </c>
      <c r="E1067" t="inlineStr">
        <is>
          <t>MOD000354</t>
        </is>
      </c>
      <c r="F1067" t="inlineStr">
        <is>
          <t>ManufacturerID</t>
        </is>
      </c>
      <c r="G1067" t="inlineStr">
        <is>
          <t>MFG002</t>
        </is>
      </c>
      <c r="H1067" t="inlineStr">
        <is>
          <t>tblManufacturerIDCrosswalk</t>
        </is>
      </c>
      <c r="I1067" t="inlineStr"/>
      <c r="J1067" t="inlineStr">
        <is>
          <t>No Supported Match</t>
        </is>
      </c>
      <c r="K1067" t="inlineStr">
        <is>
          <t>None</t>
        </is>
      </c>
      <c r="L1067" t="inlineStr">
        <is>
          <t>Crosswalk Pending</t>
        </is>
      </c>
      <c r="M1067" t="inlineStr">
        <is>
          <t>Open</t>
        </is>
      </c>
      <c r="N1067" t="inlineStr"/>
    </row>
    <row r="1068">
      <c r="A1068" t="inlineStr">
        <is>
          <t>FKEX01067</t>
        </is>
      </c>
      <c r="B1068" t="inlineStr">
        <is>
          <t>15 LL_Device</t>
        </is>
      </c>
      <c r="C1068" t="inlineStr">
        <is>
          <t>tblDeviceModel</t>
        </is>
      </c>
      <c r="D1068" t="n">
        <v>357</v>
      </c>
      <c r="E1068" t="inlineStr">
        <is>
          <t>MOD000354</t>
        </is>
      </c>
      <c r="F1068" t="inlineStr">
        <is>
          <t>DeviceFamilyID</t>
        </is>
      </c>
      <c r="G1068" t="inlineStr">
        <is>
          <t>DF031</t>
        </is>
      </c>
      <c r="H1068" t="inlineStr">
        <is>
          <t>tblDeviceFamilyIDCrosswalk</t>
        </is>
      </c>
      <c r="I1068" t="inlineStr"/>
      <c r="J1068" t="inlineStr">
        <is>
          <t>tblDeviceModel</t>
        </is>
      </c>
      <c r="K1068" t="inlineStr">
        <is>
          <t>Exact ID</t>
        </is>
      </c>
      <c r="L1068" t="inlineStr">
        <is>
          <t>Crosswalk Pending</t>
        </is>
      </c>
      <c r="M1068" t="inlineStr">
        <is>
          <t>Open</t>
        </is>
      </c>
      <c r="N1068" t="inlineStr"/>
    </row>
    <row r="1069">
      <c r="A1069" t="inlineStr">
        <is>
          <t>FKEX01068</t>
        </is>
      </c>
      <c r="B1069" t="inlineStr">
        <is>
          <t>15 LL_Device</t>
        </is>
      </c>
      <c r="C1069" t="inlineStr">
        <is>
          <t>tblDeviceModel</t>
        </is>
      </c>
      <c r="D1069" t="n">
        <v>357</v>
      </c>
      <c r="E1069" t="inlineStr">
        <is>
          <t>MOD000354</t>
        </is>
      </c>
      <c r="F1069" t="inlineStr">
        <is>
          <t>DeviceTypeID</t>
        </is>
      </c>
      <c r="G1069" t="inlineStr">
        <is>
          <t>DT005</t>
        </is>
      </c>
      <c r="H1069" t="inlineStr">
        <is>
          <t>tblDeviceTypeIDCrosswalk</t>
        </is>
      </c>
      <c r="I1069" t="inlineStr"/>
      <c r="J1069" t="inlineStr">
        <is>
          <t>No Supported Match</t>
        </is>
      </c>
      <c r="K1069" t="inlineStr">
        <is>
          <t>None</t>
        </is>
      </c>
      <c r="L1069" t="inlineStr">
        <is>
          <t>Crosswalk Pending</t>
        </is>
      </c>
      <c r="M1069" t="inlineStr">
        <is>
          <t>Open</t>
        </is>
      </c>
      <c r="N1069" t="inlineStr"/>
    </row>
    <row r="1070">
      <c r="A1070" t="inlineStr">
        <is>
          <t>FKEX01069</t>
        </is>
      </c>
      <c r="B1070" t="inlineStr">
        <is>
          <t>15 LL_Device</t>
        </is>
      </c>
      <c r="C1070" t="inlineStr">
        <is>
          <t>tblDeviceModel</t>
        </is>
      </c>
      <c r="D1070" t="n">
        <v>358</v>
      </c>
      <c r="E1070" t="inlineStr">
        <is>
          <t>MOD000355</t>
        </is>
      </c>
      <c r="F1070" t="inlineStr">
        <is>
          <t>ManufacturerID</t>
        </is>
      </c>
      <c r="G1070" t="inlineStr">
        <is>
          <t>MFG003</t>
        </is>
      </c>
      <c r="H1070" t="inlineStr">
        <is>
          <t>tblManufacturerIDCrosswalk</t>
        </is>
      </c>
      <c r="I1070" t="inlineStr"/>
      <c r="J1070" t="inlineStr">
        <is>
          <t>No Supported Match</t>
        </is>
      </c>
      <c r="K1070" t="inlineStr">
        <is>
          <t>None</t>
        </is>
      </c>
      <c r="L1070" t="inlineStr">
        <is>
          <t>Crosswalk Pending</t>
        </is>
      </c>
      <c r="M1070" t="inlineStr">
        <is>
          <t>Open</t>
        </is>
      </c>
      <c r="N1070" t="inlineStr"/>
    </row>
    <row r="1071">
      <c r="A1071" t="inlineStr">
        <is>
          <t>FKEX01070</t>
        </is>
      </c>
      <c r="B1071" t="inlineStr">
        <is>
          <t>15 LL_Device</t>
        </is>
      </c>
      <c r="C1071" t="inlineStr">
        <is>
          <t>tblDeviceModel</t>
        </is>
      </c>
      <c r="D1071" t="n">
        <v>358</v>
      </c>
      <c r="E1071" t="inlineStr">
        <is>
          <t>MOD000355</t>
        </is>
      </c>
      <c r="F1071" t="inlineStr">
        <is>
          <t>DeviceFamilyID</t>
        </is>
      </c>
      <c r="G1071" t="inlineStr">
        <is>
          <t>DF032</t>
        </is>
      </c>
      <c r="H1071" t="inlineStr">
        <is>
          <t>tblDeviceFamilyIDCrosswalk</t>
        </is>
      </c>
      <c r="I1071" t="inlineStr"/>
      <c r="J1071" t="inlineStr">
        <is>
          <t>tblDeviceModel</t>
        </is>
      </c>
      <c r="K1071" t="inlineStr">
        <is>
          <t>Exact ID</t>
        </is>
      </c>
      <c r="L1071" t="inlineStr">
        <is>
          <t>Crosswalk Pending</t>
        </is>
      </c>
      <c r="M1071" t="inlineStr">
        <is>
          <t>Open</t>
        </is>
      </c>
      <c r="N1071" t="inlineStr"/>
    </row>
    <row r="1072">
      <c r="A1072" t="inlineStr">
        <is>
          <t>FKEX01071</t>
        </is>
      </c>
      <c r="B1072" t="inlineStr">
        <is>
          <t>15 LL_Device</t>
        </is>
      </c>
      <c r="C1072" t="inlineStr">
        <is>
          <t>tblDeviceModel</t>
        </is>
      </c>
      <c r="D1072" t="n">
        <v>358</v>
      </c>
      <c r="E1072" t="inlineStr">
        <is>
          <t>MOD000355</t>
        </is>
      </c>
      <c r="F1072" t="inlineStr">
        <is>
          <t>DeviceTypeID</t>
        </is>
      </c>
      <c r="G1072" t="inlineStr">
        <is>
          <t>DT001</t>
        </is>
      </c>
      <c r="H1072" t="inlineStr">
        <is>
          <t>tblDeviceTypeIDCrosswalk</t>
        </is>
      </c>
      <c r="I1072" t="inlineStr"/>
      <c r="J1072" t="inlineStr">
        <is>
          <t>No Supported Match</t>
        </is>
      </c>
      <c r="K1072" t="inlineStr">
        <is>
          <t>None</t>
        </is>
      </c>
      <c r="L1072" t="inlineStr">
        <is>
          <t>Crosswalk Pending</t>
        </is>
      </c>
      <c r="M1072" t="inlineStr">
        <is>
          <t>Open</t>
        </is>
      </c>
      <c r="N1072" t="inlineStr"/>
    </row>
    <row r="1073">
      <c r="A1073" t="inlineStr">
        <is>
          <t>FKEX01072</t>
        </is>
      </c>
      <c r="B1073" t="inlineStr">
        <is>
          <t>15 LL_Device</t>
        </is>
      </c>
      <c r="C1073" t="inlineStr">
        <is>
          <t>tblDeviceModel</t>
        </is>
      </c>
      <c r="D1073" t="n">
        <v>359</v>
      </c>
      <c r="E1073" t="inlineStr">
        <is>
          <t>MOD000356</t>
        </is>
      </c>
      <c r="F1073" t="inlineStr">
        <is>
          <t>ManufacturerID</t>
        </is>
      </c>
      <c r="G1073" t="inlineStr">
        <is>
          <t>MFG003</t>
        </is>
      </c>
      <c r="H1073" t="inlineStr">
        <is>
          <t>tblManufacturerIDCrosswalk</t>
        </is>
      </c>
      <c r="I1073" t="inlineStr"/>
      <c r="J1073" t="inlineStr">
        <is>
          <t>No Supported Match</t>
        </is>
      </c>
      <c r="K1073" t="inlineStr">
        <is>
          <t>None</t>
        </is>
      </c>
      <c r="L1073" t="inlineStr">
        <is>
          <t>Crosswalk Pending</t>
        </is>
      </c>
      <c r="M1073" t="inlineStr">
        <is>
          <t>Open</t>
        </is>
      </c>
      <c r="N1073" t="inlineStr"/>
    </row>
    <row r="1074">
      <c r="A1074" t="inlineStr">
        <is>
          <t>FKEX01073</t>
        </is>
      </c>
      <c r="B1074" t="inlineStr">
        <is>
          <t>15 LL_Device</t>
        </is>
      </c>
      <c r="C1074" t="inlineStr">
        <is>
          <t>tblDeviceModel</t>
        </is>
      </c>
      <c r="D1074" t="n">
        <v>359</v>
      </c>
      <c r="E1074" t="inlineStr">
        <is>
          <t>MOD000356</t>
        </is>
      </c>
      <c r="F1074" t="inlineStr">
        <is>
          <t>DeviceFamilyID</t>
        </is>
      </c>
      <c r="G1074" t="inlineStr">
        <is>
          <t>DF032</t>
        </is>
      </c>
      <c r="H1074" t="inlineStr">
        <is>
          <t>tblDeviceFamilyIDCrosswalk</t>
        </is>
      </c>
      <c r="I1074" t="inlineStr"/>
      <c r="J1074" t="inlineStr">
        <is>
          <t>tblDeviceModel</t>
        </is>
      </c>
      <c r="K1074" t="inlineStr">
        <is>
          <t>Exact ID</t>
        </is>
      </c>
      <c r="L1074" t="inlineStr">
        <is>
          <t>Crosswalk Pending</t>
        </is>
      </c>
      <c r="M1074" t="inlineStr">
        <is>
          <t>Open</t>
        </is>
      </c>
      <c r="N1074" t="inlineStr"/>
    </row>
    <row r="1075">
      <c r="A1075" t="inlineStr">
        <is>
          <t>FKEX01074</t>
        </is>
      </c>
      <c r="B1075" t="inlineStr">
        <is>
          <t>15 LL_Device</t>
        </is>
      </c>
      <c r="C1075" t="inlineStr">
        <is>
          <t>tblDeviceModel</t>
        </is>
      </c>
      <c r="D1075" t="n">
        <v>359</v>
      </c>
      <c r="E1075" t="inlineStr">
        <is>
          <t>MOD000356</t>
        </is>
      </c>
      <c r="F1075" t="inlineStr">
        <is>
          <t>DeviceTypeID</t>
        </is>
      </c>
      <c r="G1075" t="inlineStr">
        <is>
          <t>DT001</t>
        </is>
      </c>
      <c r="H1075" t="inlineStr">
        <is>
          <t>tblDeviceTypeIDCrosswalk</t>
        </is>
      </c>
      <c r="I1075" t="inlineStr"/>
      <c r="J1075" t="inlineStr">
        <is>
          <t>No Supported Match</t>
        </is>
      </c>
      <c r="K1075" t="inlineStr">
        <is>
          <t>None</t>
        </is>
      </c>
      <c r="L1075" t="inlineStr">
        <is>
          <t>Crosswalk Pending</t>
        </is>
      </c>
      <c r="M1075" t="inlineStr">
        <is>
          <t>Open</t>
        </is>
      </c>
      <c r="N1075" t="inlineStr"/>
    </row>
    <row r="1076">
      <c r="A1076" t="inlineStr">
        <is>
          <t>FKEX01075</t>
        </is>
      </c>
      <c r="B1076" t="inlineStr">
        <is>
          <t>15 LL_Device</t>
        </is>
      </c>
      <c r="C1076" t="inlineStr">
        <is>
          <t>tblDeviceModel</t>
        </is>
      </c>
      <c r="D1076" t="n">
        <v>360</v>
      </c>
      <c r="E1076" t="inlineStr">
        <is>
          <t>MOD000357</t>
        </is>
      </c>
      <c r="F1076" t="inlineStr">
        <is>
          <t>ManufacturerID</t>
        </is>
      </c>
      <c r="G1076" t="inlineStr">
        <is>
          <t>MFG003</t>
        </is>
      </c>
      <c r="H1076" t="inlineStr">
        <is>
          <t>tblManufacturerIDCrosswalk</t>
        </is>
      </c>
      <c r="I1076" t="inlineStr"/>
      <c r="J1076" t="inlineStr">
        <is>
          <t>No Supported Match</t>
        </is>
      </c>
      <c r="K1076" t="inlineStr">
        <is>
          <t>None</t>
        </is>
      </c>
      <c r="L1076" t="inlineStr">
        <is>
          <t>Crosswalk Pending</t>
        </is>
      </c>
      <c r="M1076" t="inlineStr">
        <is>
          <t>Open</t>
        </is>
      </c>
      <c r="N1076" t="inlineStr"/>
    </row>
    <row r="1077">
      <c r="A1077" t="inlineStr">
        <is>
          <t>FKEX01076</t>
        </is>
      </c>
      <c r="B1077" t="inlineStr">
        <is>
          <t>15 LL_Device</t>
        </is>
      </c>
      <c r="C1077" t="inlineStr">
        <is>
          <t>tblDeviceModel</t>
        </is>
      </c>
      <c r="D1077" t="n">
        <v>360</v>
      </c>
      <c r="E1077" t="inlineStr">
        <is>
          <t>MOD000357</t>
        </is>
      </c>
      <c r="F1077" t="inlineStr">
        <is>
          <t>DeviceFamilyID</t>
        </is>
      </c>
      <c r="G1077" t="inlineStr">
        <is>
          <t>DF032</t>
        </is>
      </c>
      <c r="H1077" t="inlineStr">
        <is>
          <t>tblDeviceFamilyIDCrosswalk</t>
        </is>
      </c>
      <c r="I1077" t="inlineStr"/>
      <c r="J1077" t="inlineStr">
        <is>
          <t>tblDeviceModel</t>
        </is>
      </c>
      <c r="K1077" t="inlineStr">
        <is>
          <t>Exact ID</t>
        </is>
      </c>
      <c r="L1077" t="inlineStr">
        <is>
          <t>Crosswalk Pending</t>
        </is>
      </c>
      <c r="M1077" t="inlineStr">
        <is>
          <t>Open</t>
        </is>
      </c>
      <c r="N1077" t="inlineStr"/>
    </row>
    <row r="1078">
      <c r="A1078" t="inlineStr">
        <is>
          <t>FKEX01077</t>
        </is>
      </c>
      <c r="B1078" t="inlineStr">
        <is>
          <t>15 LL_Device</t>
        </is>
      </c>
      <c r="C1078" t="inlineStr">
        <is>
          <t>tblDeviceModel</t>
        </is>
      </c>
      <c r="D1078" t="n">
        <v>360</v>
      </c>
      <c r="E1078" t="inlineStr">
        <is>
          <t>MOD000357</t>
        </is>
      </c>
      <c r="F1078" t="inlineStr">
        <is>
          <t>DeviceTypeID</t>
        </is>
      </c>
      <c r="G1078" t="inlineStr">
        <is>
          <t>DT001</t>
        </is>
      </c>
      <c r="H1078" t="inlineStr">
        <is>
          <t>tblDeviceTypeIDCrosswalk</t>
        </is>
      </c>
      <c r="I1078" t="inlineStr"/>
      <c r="J1078" t="inlineStr">
        <is>
          <t>No Supported Match</t>
        </is>
      </c>
      <c r="K1078" t="inlineStr">
        <is>
          <t>None</t>
        </is>
      </c>
      <c r="L1078" t="inlineStr">
        <is>
          <t>Crosswalk Pending</t>
        </is>
      </c>
      <c r="M1078" t="inlineStr">
        <is>
          <t>Open</t>
        </is>
      </c>
      <c r="N1078" t="inlineStr"/>
    </row>
    <row r="1079">
      <c r="A1079" t="inlineStr">
        <is>
          <t>FKEX01078</t>
        </is>
      </c>
      <c r="B1079" t="inlineStr">
        <is>
          <t>15 LL_Device</t>
        </is>
      </c>
      <c r="C1079" t="inlineStr">
        <is>
          <t>tblDeviceModel</t>
        </is>
      </c>
      <c r="D1079" t="n">
        <v>361</v>
      </c>
      <c r="E1079" t="inlineStr">
        <is>
          <t>MOD000358</t>
        </is>
      </c>
      <c r="F1079" t="inlineStr">
        <is>
          <t>ManufacturerID</t>
        </is>
      </c>
      <c r="G1079" t="inlineStr">
        <is>
          <t>MFG003</t>
        </is>
      </c>
      <c r="H1079" t="inlineStr">
        <is>
          <t>tblManufacturerIDCrosswalk</t>
        </is>
      </c>
      <c r="I1079" t="inlineStr"/>
      <c r="J1079" t="inlineStr">
        <is>
          <t>No Supported Match</t>
        </is>
      </c>
      <c r="K1079" t="inlineStr">
        <is>
          <t>None</t>
        </is>
      </c>
      <c r="L1079" t="inlineStr">
        <is>
          <t>Crosswalk Pending</t>
        </is>
      </c>
      <c r="M1079" t="inlineStr">
        <is>
          <t>Open</t>
        </is>
      </c>
      <c r="N1079" t="inlineStr"/>
    </row>
    <row r="1080">
      <c r="A1080" t="inlineStr">
        <is>
          <t>FKEX01079</t>
        </is>
      </c>
      <c r="B1080" t="inlineStr">
        <is>
          <t>15 LL_Device</t>
        </is>
      </c>
      <c r="C1080" t="inlineStr">
        <is>
          <t>tblDeviceModel</t>
        </is>
      </c>
      <c r="D1080" t="n">
        <v>361</v>
      </c>
      <c r="E1080" t="inlineStr">
        <is>
          <t>MOD000358</t>
        </is>
      </c>
      <c r="F1080" t="inlineStr">
        <is>
          <t>DeviceFamilyID</t>
        </is>
      </c>
      <c r="G1080" t="inlineStr">
        <is>
          <t>DF032</t>
        </is>
      </c>
      <c r="H1080" t="inlineStr">
        <is>
          <t>tblDeviceFamilyIDCrosswalk</t>
        </is>
      </c>
      <c r="I1080" t="inlineStr"/>
      <c r="J1080" t="inlineStr">
        <is>
          <t>tblDeviceModel</t>
        </is>
      </c>
      <c r="K1080" t="inlineStr">
        <is>
          <t>Exact ID</t>
        </is>
      </c>
      <c r="L1080" t="inlineStr">
        <is>
          <t>Crosswalk Pending</t>
        </is>
      </c>
      <c r="M1080" t="inlineStr">
        <is>
          <t>Open</t>
        </is>
      </c>
      <c r="N1080" t="inlineStr"/>
    </row>
    <row r="1081">
      <c r="A1081" t="inlineStr">
        <is>
          <t>FKEX01080</t>
        </is>
      </c>
      <c r="B1081" t="inlineStr">
        <is>
          <t>15 LL_Device</t>
        </is>
      </c>
      <c r="C1081" t="inlineStr">
        <is>
          <t>tblDeviceModel</t>
        </is>
      </c>
      <c r="D1081" t="n">
        <v>361</v>
      </c>
      <c r="E1081" t="inlineStr">
        <is>
          <t>MOD000358</t>
        </is>
      </c>
      <c r="F1081" t="inlineStr">
        <is>
          <t>DeviceTypeID</t>
        </is>
      </c>
      <c r="G1081" t="inlineStr">
        <is>
          <t>DT001</t>
        </is>
      </c>
      <c r="H1081" t="inlineStr">
        <is>
          <t>tblDeviceTypeIDCrosswalk</t>
        </is>
      </c>
      <c r="I1081" t="inlineStr"/>
      <c r="J1081" t="inlineStr">
        <is>
          <t>No Supported Match</t>
        </is>
      </c>
      <c r="K1081" t="inlineStr">
        <is>
          <t>None</t>
        </is>
      </c>
      <c r="L1081" t="inlineStr">
        <is>
          <t>Crosswalk Pending</t>
        </is>
      </c>
      <c r="M1081" t="inlineStr">
        <is>
          <t>Open</t>
        </is>
      </c>
      <c r="N1081" t="inlineStr"/>
    </row>
    <row r="1082">
      <c r="A1082" t="inlineStr">
        <is>
          <t>FKEX01081</t>
        </is>
      </c>
      <c r="B1082" t="inlineStr">
        <is>
          <t>15 LL_Device</t>
        </is>
      </c>
      <c r="C1082" t="inlineStr">
        <is>
          <t>tblDeviceModel</t>
        </is>
      </c>
      <c r="D1082" t="n">
        <v>362</v>
      </c>
      <c r="E1082" t="inlineStr">
        <is>
          <t>MOD000359</t>
        </is>
      </c>
      <c r="F1082" t="inlineStr">
        <is>
          <t>ManufacturerID</t>
        </is>
      </c>
      <c r="G1082" t="inlineStr">
        <is>
          <t>MFG003</t>
        </is>
      </c>
      <c r="H1082" t="inlineStr">
        <is>
          <t>tblManufacturerIDCrosswalk</t>
        </is>
      </c>
      <c r="I1082" t="inlineStr"/>
      <c r="J1082" t="inlineStr">
        <is>
          <t>No Supported Match</t>
        </is>
      </c>
      <c r="K1082" t="inlineStr">
        <is>
          <t>None</t>
        </is>
      </c>
      <c r="L1082" t="inlineStr">
        <is>
          <t>Crosswalk Pending</t>
        </is>
      </c>
      <c r="M1082" t="inlineStr">
        <is>
          <t>Open</t>
        </is>
      </c>
      <c r="N1082" t="inlineStr"/>
    </row>
    <row r="1083">
      <c r="A1083" t="inlineStr">
        <is>
          <t>FKEX01082</t>
        </is>
      </c>
      <c r="B1083" t="inlineStr">
        <is>
          <t>15 LL_Device</t>
        </is>
      </c>
      <c r="C1083" t="inlineStr">
        <is>
          <t>tblDeviceModel</t>
        </is>
      </c>
      <c r="D1083" t="n">
        <v>362</v>
      </c>
      <c r="E1083" t="inlineStr">
        <is>
          <t>MOD000359</t>
        </is>
      </c>
      <c r="F1083" t="inlineStr">
        <is>
          <t>DeviceFamilyID</t>
        </is>
      </c>
      <c r="G1083" t="inlineStr">
        <is>
          <t>DF032</t>
        </is>
      </c>
      <c r="H1083" t="inlineStr">
        <is>
          <t>tblDeviceFamilyIDCrosswalk</t>
        </is>
      </c>
      <c r="I1083" t="inlineStr"/>
      <c r="J1083" t="inlineStr">
        <is>
          <t>tblDeviceModel</t>
        </is>
      </c>
      <c r="K1083" t="inlineStr">
        <is>
          <t>Exact ID</t>
        </is>
      </c>
      <c r="L1083" t="inlineStr">
        <is>
          <t>Crosswalk Pending</t>
        </is>
      </c>
      <c r="M1083" t="inlineStr">
        <is>
          <t>Open</t>
        </is>
      </c>
      <c r="N1083" t="inlineStr"/>
    </row>
    <row r="1084">
      <c r="A1084" t="inlineStr">
        <is>
          <t>FKEX01083</t>
        </is>
      </c>
      <c r="B1084" t="inlineStr">
        <is>
          <t>15 LL_Device</t>
        </is>
      </c>
      <c r="C1084" t="inlineStr">
        <is>
          <t>tblDeviceModel</t>
        </is>
      </c>
      <c r="D1084" t="n">
        <v>362</v>
      </c>
      <c r="E1084" t="inlineStr">
        <is>
          <t>MOD000359</t>
        </is>
      </c>
      <c r="F1084" t="inlineStr">
        <is>
          <t>DeviceTypeID</t>
        </is>
      </c>
      <c r="G1084" t="inlineStr">
        <is>
          <t>DT001</t>
        </is>
      </c>
      <c r="H1084" t="inlineStr">
        <is>
          <t>tblDeviceTypeIDCrosswalk</t>
        </is>
      </c>
      <c r="I1084" t="inlineStr"/>
      <c r="J1084" t="inlineStr">
        <is>
          <t>No Supported Match</t>
        </is>
      </c>
      <c r="K1084" t="inlineStr">
        <is>
          <t>None</t>
        </is>
      </c>
      <c r="L1084" t="inlineStr">
        <is>
          <t>Crosswalk Pending</t>
        </is>
      </c>
      <c r="M1084" t="inlineStr">
        <is>
          <t>Open</t>
        </is>
      </c>
      <c r="N1084" t="inlineStr"/>
    </row>
    <row r="1085">
      <c r="A1085" t="inlineStr">
        <is>
          <t>FKEX01084</t>
        </is>
      </c>
      <c r="B1085" t="inlineStr">
        <is>
          <t>15 LL_Device</t>
        </is>
      </c>
      <c r="C1085" t="inlineStr">
        <is>
          <t>tblDeviceModel</t>
        </is>
      </c>
      <c r="D1085" t="n">
        <v>363</v>
      </c>
      <c r="E1085" t="inlineStr">
        <is>
          <t>MOD000360</t>
        </is>
      </c>
      <c r="F1085" t="inlineStr">
        <is>
          <t>ManufacturerID</t>
        </is>
      </c>
      <c r="G1085" t="inlineStr">
        <is>
          <t>MFG003</t>
        </is>
      </c>
      <c r="H1085" t="inlineStr">
        <is>
          <t>tblManufacturerIDCrosswalk</t>
        </is>
      </c>
      <c r="I1085" t="inlineStr"/>
      <c r="J1085" t="inlineStr">
        <is>
          <t>No Supported Match</t>
        </is>
      </c>
      <c r="K1085" t="inlineStr">
        <is>
          <t>None</t>
        </is>
      </c>
      <c r="L1085" t="inlineStr">
        <is>
          <t>Crosswalk Pending</t>
        </is>
      </c>
      <c r="M1085" t="inlineStr">
        <is>
          <t>Open</t>
        </is>
      </c>
      <c r="N1085" t="inlineStr"/>
    </row>
    <row r="1086">
      <c r="A1086" t="inlineStr">
        <is>
          <t>FKEX01085</t>
        </is>
      </c>
      <c r="B1086" t="inlineStr">
        <is>
          <t>15 LL_Device</t>
        </is>
      </c>
      <c r="C1086" t="inlineStr">
        <is>
          <t>tblDeviceModel</t>
        </is>
      </c>
      <c r="D1086" t="n">
        <v>363</v>
      </c>
      <c r="E1086" t="inlineStr">
        <is>
          <t>MOD000360</t>
        </is>
      </c>
      <c r="F1086" t="inlineStr">
        <is>
          <t>DeviceFamilyID</t>
        </is>
      </c>
      <c r="G1086" t="inlineStr">
        <is>
          <t>DF032</t>
        </is>
      </c>
      <c r="H1086" t="inlineStr">
        <is>
          <t>tblDeviceFamilyIDCrosswalk</t>
        </is>
      </c>
      <c r="I1086" t="inlineStr"/>
      <c r="J1086" t="inlineStr">
        <is>
          <t>tblDeviceModel</t>
        </is>
      </c>
      <c r="K1086" t="inlineStr">
        <is>
          <t>Exact ID</t>
        </is>
      </c>
      <c r="L1086" t="inlineStr">
        <is>
          <t>Crosswalk Pending</t>
        </is>
      </c>
      <c r="M1086" t="inlineStr">
        <is>
          <t>Open</t>
        </is>
      </c>
      <c r="N1086" t="inlineStr"/>
    </row>
    <row r="1087">
      <c r="A1087" t="inlineStr">
        <is>
          <t>FKEX01086</t>
        </is>
      </c>
      <c r="B1087" t="inlineStr">
        <is>
          <t>15 LL_Device</t>
        </is>
      </c>
      <c r="C1087" t="inlineStr">
        <is>
          <t>tblDeviceModel</t>
        </is>
      </c>
      <c r="D1087" t="n">
        <v>363</v>
      </c>
      <c r="E1087" t="inlineStr">
        <is>
          <t>MOD000360</t>
        </is>
      </c>
      <c r="F1087" t="inlineStr">
        <is>
          <t>DeviceTypeID</t>
        </is>
      </c>
      <c r="G1087" t="inlineStr">
        <is>
          <t>DT001</t>
        </is>
      </c>
      <c r="H1087" t="inlineStr">
        <is>
          <t>tblDeviceTypeIDCrosswalk</t>
        </is>
      </c>
      <c r="I1087" t="inlineStr"/>
      <c r="J1087" t="inlineStr">
        <is>
          <t>No Supported Match</t>
        </is>
      </c>
      <c r="K1087" t="inlineStr">
        <is>
          <t>None</t>
        </is>
      </c>
      <c r="L1087" t="inlineStr">
        <is>
          <t>Crosswalk Pending</t>
        </is>
      </c>
      <c r="M1087" t="inlineStr">
        <is>
          <t>Open</t>
        </is>
      </c>
      <c r="N1087" t="inlineStr"/>
    </row>
    <row r="1088">
      <c r="A1088" t="inlineStr">
        <is>
          <t>FKEX01087</t>
        </is>
      </c>
      <c r="B1088" t="inlineStr">
        <is>
          <t>15 LL_Device</t>
        </is>
      </c>
      <c r="C1088" t="inlineStr">
        <is>
          <t>tblDeviceModel</t>
        </is>
      </c>
      <c r="D1088" t="n">
        <v>364</v>
      </c>
      <c r="E1088" t="inlineStr">
        <is>
          <t>MOD000361</t>
        </is>
      </c>
      <c r="F1088" t="inlineStr">
        <is>
          <t>ManufacturerID</t>
        </is>
      </c>
      <c r="G1088" t="inlineStr">
        <is>
          <t>MFG003</t>
        </is>
      </c>
      <c r="H1088" t="inlineStr">
        <is>
          <t>tblManufacturerIDCrosswalk</t>
        </is>
      </c>
      <c r="I1088" t="inlineStr"/>
      <c r="J1088" t="inlineStr">
        <is>
          <t>No Supported Match</t>
        </is>
      </c>
      <c r="K1088" t="inlineStr">
        <is>
          <t>None</t>
        </is>
      </c>
      <c r="L1088" t="inlineStr">
        <is>
          <t>Crosswalk Pending</t>
        </is>
      </c>
      <c r="M1088" t="inlineStr">
        <is>
          <t>Open</t>
        </is>
      </c>
      <c r="N1088" t="inlineStr"/>
    </row>
    <row r="1089">
      <c r="A1089" t="inlineStr">
        <is>
          <t>FKEX01088</t>
        </is>
      </c>
      <c r="B1089" t="inlineStr">
        <is>
          <t>15 LL_Device</t>
        </is>
      </c>
      <c r="C1089" t="inlineStr">
        <is>
          <t>tblDeviceModel</t>
        </is>
      </c>
      <c r="D1089" t="n">
        <v>364</v>
      </c>
      <c r="E1089" t="inlineStr">
        <is>
          <t>MOD000361</t>
        </is>
      </c>
      <c r="F1089" t="inlineStr">
        <is>
          <t>DeviceFamilyID</t>
        </is>
      </c>
      <c r="G1089" t="inlineStr">
        <is>
          <t>DF032</t>
        </is>
      </c>
      <c r="H1089" t="inlineStr">
        <is>
          <t>tblDeviceFamilyIDCrosswalk</t>
        </is>
      </c>
      <c r="I1089" t="inlineStr"/>
      <c r="J1089" t="inlineStr">
        <is>
          <t>tblDeviceModel</t>
        </is>
      </c>
      <c r="K1089" t="inlineStr">
        <is>
          <t>Exact ID</t>
        </is>
      </c>
      <c r="L1089" t="inlineStr">
        <is>
          <t>Crosswalk Pending</t>
        </is>
      </c>
      <c r="M1089" t="inlineStr">
        <is>
          <t>Open</t>
        </is>
      </c>
      <c r="N1089" t="inlineStr"/>
    </row>
    <row r="1090">
      <c r="A1090" t="inlineStr">
        <is>
          <t>FKEX01089</t>
        </is>
      </c>
      <c r="B1090" t="inlineStr">
        <is>
          <t>15 LL_Device</t>
        </is>
      </c>
      <c r="C1090" t="inlineStr">
        <is>
          <t>tblDeviceModel</t>
        </is>
      </c>
      <c r="D1090" t="n">
        <v>364</v>
      </c>
      <c r="E1090" t="inlineStr">
        <is>
          <t>MOD000361</t>
        </is>
      </c>
      <c r="F1090" t="inlineStr">
        <is>
          <t>DeviceTypeID</t>
        </is>
      </c>
      <c r="G1090" t="inlineStr">
        <is>
          <t>DT001</t>
        </is>
      </c>
      <c r="H1090" t="inlineStr">
        <is>
          <t>tblDeviceTypeIDCrosswalk</t>
        </is>
      </c>
      <c r="I1090" t="inlineStr"/>
      <c r="J1090" t="inlineStr">
        <is>
          <t>No Supported Match</t>
        </is>
      </c>
      <c r="K1090" t="inlineStr">
        <is>
          <t>None</t>
        </is>
      </c>
      <c r="L1090" t="inlineStr">
        <is>
          <t>Crosswalk Pending</t>
        </is>
      </c>
      <c r="M1090" t="inlineStr">
        <is>
          <t>Open</t>
        </is>
      </c>
      <c r="N1090" t="inlineStr"/>
    </row>
    <row r="1091">
      <c r="A1091" t="inlineStr">
        <is>
          <t>FKEX01090</t>
        </is>
      </c>
      <c r="B1091" t="inlineStr">
        <is>
          <t>15 LL_Device</t>
        </is>
      </c>
      <c r="C1091" t="inlineStr">
        <is>
          <t>tblDeviceModel</t>
        </is>
      </c>
      <c r="D1091" t="n">
        <v>365</v>
      </c>
      <c r="E1091" t="inlineStr">
        <is>
          <t>MOD000362</t>
        </is>
      </c>
      <c r="F1091" t="inlineStr">
        <is>
          <t>ManufacturerID</t>
        </is>
      </c>
      <c r="G1091" t="inlineStr">
        <is>
          <t>MFG003</t>
        </is>
      </c>
      <c r="H1091" t="inlineStr">
        <is>
          <t>tblManufacturerIDCrosswalk</t>
        </is>
      </c>
      <c r="I1091" t="inlineStr"/>
      <c r="J1091" t="inlineStr">
        <is>
          <t>No Supported Match</t>
        </is>
      </c>
      <c r="K1091" t="inlineStr">
        <is>
          <t>None</t>
        </is>
      </c>
      <c r="L1091" t="inlineStr">
        <is>
          <t>Crosswalk Pending</t>
        </is>
      </c>
      <c r="M1091" t="inlineStr">
        <is>
          <t>Open</t>
        </is>
      </c>
      <c r="N1091" t="inlineStr"/>
    </row>
    <row r="1092">
      <c r="A1092" t="inlineStr">
        <is>
          <t>FKEX01091</t>
        </is>
      </c>
      <c r="B1092" t="inlineStr">
        <is>
          <t>15 LL_Device</t>
        </is>
      </c>
      <c r="C1092" t="inlineStr">
        <is>
          <t>tblDeviceModel</t>
        </is>
      </c>
      <c r="D1092" t="n">
        <v>365</v>
      </c>
      <c r="E1092" t="inlineStr">
        <is>
          <t>MOD000362</t>
        </is>
      </c>
      <c r="F1092" t="inlineStr">
        <is>
          <t>DeviceFamilyID</t>
        </is>
      </c>
      <c r="G1092" t="inlineStr">
        <is>
          <t>DF032</t>
        </is>
      </c>
      <c r="H1092" t="inlineStr">
        <is>
          <t>tblDeviceFamilyIDCrosswalk</t>
        </is>
      </c>
      <c r="I1092" t="inlineStr"/>
      <c r="J1092" t="inlineStr">
        <is>
          <t>tblDeviceModel</t>
        </is>
      </c>
      <c r="K1092" t="inlineStr">
        <is>
          <t>Exact ID</t>
        </is>
      </c>
      <c r="L1092" t="inlineStr">
        <is>
          <t>Crosswalk Pending</t>
        </is>
      </c>
      <c r="M1092" t="inlineStr">
        <is>
          <t>Open</t>
        </is>
      </c>
      <c r="N1092" t="inlineStr"/>
    </row>
    <row r="1093">
      <c r="A1093" t="inlineStr">
        <is>
          <t>FKEX01092</t>
        </is>
      </c>
      <c r="B1093" t="inlineStr">
        <is>
          <t>15 LL_Device</t>
        </is>
      </c>
      <c r="C1093" t="inlineStr">
        <is>
          <t>tblDeviceModel</t>
        </is>
      </c>
      <c r="D1093" t="n">
        <v>365</v>
      </c>
      <c r="E1093" t="inlineStr">
        <is>
          <t>MOD000362</t>
        </is>
      </c>
      <c r="F1093" t="inlineStr">
        <is>
          <t>DeviceTypeID</t>
        </is>
      </c>
      <c r="G1093" t="inlineStr">
        <is>
          <t>DT001</t>
        </is>
      </c>
      <c r="H1093" t="inlineStr">
        <is>
          <t>tblDeviceTypeIDCrosswalk</t>
        </is>
      </c>
      <c r="I1093" t="inlineStr"/>
      <c r="J1093" t="inlineStr">
        <is>
          <t>No Supported Match</t>
        </is>
      </c>
      <c r="K1093" t="inlineStr">
        <is>
          <t>None</t>
        </is>
      </c>
      <c r="L1093" t="inlineStr">
        <is>
          <t>Crosswalk Pending</t>
        </is>
      </c>
      <c r="M1093" t="inlineStr">
        <is>
          <t>Open</t>
        </is>
      </c>
      <c r="N1093" t="inlineStr"/>
    </row>
    <row r="1094">
      <c r="A1094" t="inlineStr">
        <is>
          <t>FKEX01093</t>
        </is>
      </c>
      <c r="B1094" t="inlineStr">
        <is>
          <t>15 LL_Device</t>
        </is>
      </c>
      <c r="C1094" t="inlineStr">
        <is>
          <t>tblDeviceModel</t>
        </is>
      </c>
      <c r="D1094" t="n">
        <v>366</v>
      </c>
      <c r="E1094" t="inlineStr">
        <is>
          <t>MOD000363</t>
        </is>
      </c>
      <c r="F1094" t="inlineStr">
        <is>
          <t>ManufacturerID</t>
        </is>
      </c>
      <c r="G1094" t="inlineStr">
        <is>
          <t>MFG003</t>
        </is>
      </c>
      <c r="H1094" t="inlineStr">
        <is>
          <t>tblManufacturerIDCrosswalk</t>
        </is>
      </c>
      <c r="I1094" t="inlineStr"/>
      <c r="J1094" t="inlineStr">
        <is>
          <t>No Supported Match</t>
        </is>
      </c>
      <c r="K1094" t="inlineStr">
        <is>
          <t>None</t>
        </is>
      </c>
      <c r="L1094" t="inlineStr">
        <is>
          <t>Crosswalk Pending</t>
        </is>
      </c>
      <c r="M1094" t="inlineStr">
        <is>
          <t>Open</t>
        </is>
      </c>
      <c r="N1094" t="inlineStr"/>
    </row>
    <row r="1095">
      <c r="A1095" t="inlineStr">
        <is>
          <t>FKEX01094</t>
        </is>
      </c>
      <c r="B1095" t="inlineStr">
        <is>
          <t>15 LL_Device</t>
        </is>
      </c>
      <c r="C1095" t="inlineStr">
        <is>
          <t>tblDeviceModel</t>
        </is>
      </c>
      <c r="D1095" t="n">
        <v>366</v>
      </c>
      <c r="E1095" t="inlineStr">
        <is>
          <t>MOD000363</t>
        </is>
      </c>
      <c r="F1095" t="inlineStr">
        <is>
          <t>DeviceFamilyID</t>
        </is>
      </c>
      <c r="G1095" t="inlineStr">
        <is>
          <t>DF032</t>
        </is>
      </c>
      <c r="H1095" t="inlineStr">
        <is>
          <t>tblDeviceFamilyIDCrosswalk</t>
        </is>
      </c>
      <c r="I1095" t="inlineStr"/>
      <c r="J1095" t="inlineStr">
        <is>
          <t>tblDeviceModel</t>
        </is>
      </c>
      <c r="K1095" t="inlineStr">
        <is>
          <t>Exact ID</t>
        </is>
      </c>
      <c r="L1095" t="inlineStr">
        <is>
          <t>Crosswalk Pending</t>
        </is>
      </c>
      <c r="M1095" t="inlineStr">
        <is>
          <t>Open</t>
        </is>
      </c>
      <c r="N1095" t="inlineStr"/>
    </row>
    <row r="1096">
      <c r="A1096" t="inlineStr">
        <is>
          <t>FKEX01095</t>
        </is>
      </c>
      <c r="B1096" t="inlineStr">
        <is>
          <t>15 LL_Device</t>
        </is>
      </c>
      <c r="C1096" t="inlineStr">
        <is>
          <t>tblDeviceModel</t>
        </is>
      </c>
      <c r="D1096" t="n">
        <v>366</v>
      </c>
      <c r="E1096" t="inlineStr">
        <is>
          <t>MOD000363</t>
        </is>
      </c>
      <c r="F1096" t="inlineStr">
        <is>
          <t>DeviceTypeID</t>
        </is>
      </c>
      <c r="G1096" t="inlineStr">
        <is>
          <t>DT001</t>
        </is>
      </c>
      <c r="H1096" t="inlineStr">
        <is>
          <t>tblDeviceTypeIDCrosswalk</t>
        </is>
      </c>
      <c r="I1096" t="inlineStr"/>
      <c r="J1096" t="inlineStr">
        <is>
          <t>No Supported Match</t>
        </is>
      </c>
      <c r="K1096" t="inlineStr">
        <is>
          <t>None</t>
        </is>
      </c>
      <c r="L1096" t="inlineStr">
        <is>
          <t>Crosswalk Pending</t>
        </is>
      </c>
      <c r="M1096" t="inlineStr">
        <is>
          <t>Open</t>
        </is>
      </c>
      <c r="N1096" t="inlineStr"/>
    </row>
    <row r="1097">
      <c r="A1097" t="inlineStr">
        <is>
          <t>FKEX01096</t>
        </is>
      </c>
      <c r="B1097" t="inlineStr">
        <is>
          <t>15 LL_Device</t>
        </is>
      </c>
      <c r="C1097" t="inlineStr">
        <is>
          <t>tblDeviceModel</t>
        </is>
      </c>
      <c r="D1097" t="n">
        <v>367</v>
      </c>
      <c r="E1097" t="inlineStr">
        <is>
          <t>MOD000364</t>
        </is>
      </c>
      <c r="F1097" t="inlineStr">
        <is>
          <t>ManufacturerID</t>
        </is>
      </c>
      <c r="G1097" t="inlineStr">
        <is>
          <t>MFG003</t>
        </is>
      </c>
      <c r="H1097" t="inlineStr">
        <is>
          <t>tblManufacturerIDCrosswalk</t>
        </is>
      </c>
      <c r="I1097" t="inlineStr"/>
      <c r="J1097" t="inlineStr">
        <is>
          <t>No Supported Match</t>
        </is>
      </c>
      <c r="K1097" t="inlineStr">
        <is>
          <t>None</t>
        </is>
      </c>
      <c r="L1097" t="inlineStr">
        <is>
          <t>Crosswalk Pending</t>
        </is>
      </c>
      <c r="M1097" t="inlineStr">
        <is>
          <t>Open</t>
        </is>
      </c>
      <c r="N1097" t="inlineStr"/>
    </row>
    <row r="1098">
      <c r="A1098" t="inlineStr">
        <is>
          <t>FKEX01097</t>
        </is>
      </c>
      <c r="B1098" t="inlineStr">
        <is>
          <t>15 LL_Device</t>
        </is>
      </c>
      <c r="C1098" t="inlineStr">
        <is>
          <t>tblDeviceModel</t>
        </is>
      </c>
      <c r="D1098" t="n">
        <v>367</v>
      </c>
      <c r="E1098" t="inlineStr">
        <is>
          <t>MOD000364</t>
        </is>
      </c>
      <c r="F1098" t="inlineStr">
        <is>
          <t>DeviceFamilyID</t>
        </is>
      </c>
      <c r="G1098" t="inlineStr">
        <is>
          <t>DF032</t>
        </is>
      </c>
      <c r="H1098" t="inlineStr">
        <is>
          <t>tblDeviceFamilyIDCrosswalk</t>
        </is>
      </c>
      <c r="I1098" t="inlineStr"/>
      <c r="J1098" t="inlineStr">
        <is>
          <t>tblDeviceModel</t>
        </is>
      </c>
      <c r="K1098" t="inlineStr">
        <is>
          <t>Exact ID</t>
        </is>
      </c>
      <c r="L1098" t="inlineStr">
        <is>
          <t>Crosswalk Pending</t>
        </is>
      </c>
      <c r="M1098" t="inlineStr">
        <is>
          <t>Open</t>
        </is>
      </c>
      <c r="N1098" t="inlineStr"/>
    </row>
    <row r="1099">
      <c r="A1099" t="inlineStr">
        <is>
          <t>FKEX01098</t>
        </is>
      </c>
      <c r="B1099" t="inlineStr">
        <is>
          <t>15 LL_Device</t>
        </is>
      </c>
      <c r="C1099" t="inlineStr">
        <is>
          <t>tblDeviceModel</t>
        </is>
      </c>
      <c r="D1099" t="n">
        <v>367</v>
      </c>
      <c r="E1099" t="inlineStr">
        <is>
          <t>MOD000364</t>
        </is>
      </c>
      <c r="F1099" t="inlineStr">
        <is>
          <t>DeviceTypeID</t>
        </is>
      </c>
      <c r="G1099" t="inlineStr">
        <is>
          <t>DT001</t>
        </is>
      </c>
      <c r="H1099" t="inlineStr">
        <is>
          <t>tblDeviceTypeIDCrosswalk</t>
        </is>
      </c>
      <c r="I1099" t="inlineStr"/>
      <c r="J1099" t="inlineStr">
        <is>
          <t>No Supported Match</t>
        </is>
      </c>
      <c r="K1099" t="inlineStr">
        <is>
          <t>None</t>
        </is>
      </c>
      <c r="L1099" t="inlineStr">
        <is>
          <t>Crosswalk Pending</t>
        </is>
      </c>
      <c r="M1099" t="inlineStr">
        <is>
          <t>Open</t>
        </is>
      </c>
      <c r="N1099" t="inlineStr"/>
    </row>
    <row r="1100">
      <c r="A1100" t="inlineStr">
        <is>
          <t>FKEX01099</t>
        </is>
      </c>
      <c r="B1100" t="inlineStr">
        <is>
          <t>15 LL_Device</t>
        </is>
      </c>
      <c r="C1100" t="inlineStr">
        <is>
          <t>tblDeviceModel</t>
        </is>
      </c>
      <c r="D1100" t="n">
        <v>368</v>
      </c>
      <c r="E1100" t="inlineStr">
        <is>
          <t>MOD000365</t>
        </is>
      </c>
      <c r="F1100" t="inlineStr">
        <is>
          <t>ManufacturerID</t>
        </is>
      </c>
      <c r="G1100" t="inlineStr">
        <is>
          <t>MFG003</t>
        </is>
      </c>
      <c r="H1100" t="inlineStr">
        <is>
          <t>tblManufacturerIDCrosswalk</t>
        </is>
      </c>
      <c r="I1100" t="inlineStr"/>
      <c r="J1100" t="inlineStr">
        <is>
          <t>No Supported Match</t>
        </is>
      </c>
      <c r="K1100" t="inlineStr">
        <is>
          <t>None</t>
        </is>
      </c>
      <c r="L1100" t="inlineStr">
        <is>
          <t>Crosswalk Pending</t>
        </is>
      </c>
      <c r="M1100" t="inlineStr">
        <is>
          <t>Open</t>
        </is>
      </c>
      <c r="N1100" t="inlineStr"/>
    </row>
    <row r="1101">
      <c r="A1101" t="inlineStr">
        <is>
          <t>FKEX01100</t>
        </is>
      </c>
      <c r="B1101" t="inlineStr">
        <is>
          <t>15 LL_Device</t>
        </is>
      </c>
      <c r="C1101" t="inlineStr">
        <is>
          <t>tblDeviceModel</t>
        </is>
      </c>
      <c r="D1101" t="n">
        <v>368</v>
      </c>
      <c r="E1101" t="inlineStr">
        <is>
          <t>MOD000365</t>
        </is>
      </c>
      <c r="F1101" t="inlineStr">
        <is>
          <t>DeviceFamilyID</t>
        </is>
      </c>
      <c r="G1101" t="inlineStr">
        <is>
          <t>DF032</t>
        </is>
      </c>
      <c r="H1101" t="inlineStr">
        <is>
          <t>tblDeviceFamilyIDCrosswalk</t>
        </is>
      </c>
      <c r="I1101" t="inlineStr"/>
      <c r="J1101" t="inlineStr">
        <is>
          <t>tblDeviceModel</t>
        </is>
      </c>
      <c r="K1101" t="inlineStr">
        <is>
          <t>Exact ID</t>
        </is>
      </c>
      <c r="L1101" t="inlineStr">
        <is>
          <t>Crosswalk Pending</t>
        </is>
      </c>
      <c r="M1101" t="inlineStr">
        <is>
          <t>Open</t>
        </is>
      </c>
      <c r="N1101" t="inlineStr"/>
    </row>
    <row r="1102">
      <c r="A1102" t="inlineStr">
        <is>
          <t>FKEX01101</t>
        </is>
      </c>
      <c r="B1102" t="inlineStr">
        <is>
          <t>15 LL_Device</t>
        </is>
      </c>
      <c r="C1102" t="inlineStr">
        <is>
          <t>tblDeviceModel</t>
        </is>
      </c>
      <c r="D1102" t="n">
        <v>368</v>
      </c>
      <c r="E1102" t="inlineStr">
        <is>
          <t>MOD000365</t>
        </is>
      </c>
      <c r="F1102" t="inlineStr">
        <is>
          <t>DeviceTypeID</t>
        </is>
      </c>
      <c r="G1102" t="inlineStr">
        <is>
          <t>DT001</t>
        </is>
      </c>
      <c r="H1102" t="inlineStr">
        <is>
          <t>tblDeviceTypeIDCrosswalk</t>
        </is>
      </c>
      <c r="I1102" t="inlineStr"/>
      <c r="J1102" t="inlineStr">
        <is>
          <t>No Supported Match</t>
        </is>
      </c>
      <c r="K1102" t="inlineStr">
        <is>
          <t>None</t>
        </is>
      </c>
      <c r="L1102" t="inlineStr">
        <is>
          <t>Crosswalk Pending</t>
        </is>
      </c>
      <c r="M1102" t="inlineStr">
        <is>
          <t>Open</t>
        </is>
      </c>
      <c r="N1102" t="inlineStr"/>
    </row>
    <row r="1103">
      <c r="A1103" t="inlineStr">
        <is>
          <t>FKEX01102</t>
        </is>
      </c>
      <c r="B1103" t="inlineStr">
        <is>
          <t>15 LL_Device</t>
        </is>
      </c>
      <c r="C1103" t="inlineStr">
        <is>
          <t>tblDeviceModel</t>
        </is>
      </c>
      <c r="D1103" t="n">
        <v>369</v>
      </c>
      <c r="E1103" t="inlineStr">
        <is>
          <t>MOD000366</t>
        </is>
      </c>
      <c r="F1103" t="inlineStr">
        <is>
          <t>ManufacturerID</t>
        </is>
      </c>
      <c r="G1103" t="inlineStr">
        <is>
          <t>MFG003</t>
        </is>
      </c>
      <c r="H1103" t="inlineStr">
        <is>
          <t>tblManufacturerIDCrosswalk</t>
        </is>
      </c>
      <c r="I1103" t="inlineStr"/>
      <c r="J1103" t="inlineStr">
        <is>
          <t>No Supported Match</t>
        </is>
      </c>
      <c r="K1103" t="inlineStr">
        <is>
          <t>None</t>
        </is>
      </c>
      <c r="L1103" t="inlineStr">
        <is>
          <t>Crosswalk Pending</t>
        </is>
      </c>
      <c r="M1103" t="inlineStr">
        <is>
          <t>Open</t>
        </is>
      </c>
      <c r="N1103" t="inlineStr"/>
    </row>
    <row r="1104">
      <c r="A1104" t="inlineStr">
        <is>
          <t>FKEX01103</t>
        </is>
      </c>
      <c r="B1104" t="inlineStr">
        <is>
          <t>15 LL_Device</t>
        </is>
      </c>
      <c r="C1104" t="inlineStr">
        <is>
          <t>tblDeviceModel</t>
        </is>
      </c>
      <c r="D1104" t="n">
        <v>369</v>
      </c>
      <c r="E1104" t="inlineStr">
        <is>
          <t>MOD000366</t>
        </is>
      </c>
      <c r="F1104" t="inlineStr">
        <is>
          <t>DeviceFamilyID</t>
        </is>
      </c>
      <c r="G1104" t="inlineStr">
        <is>
          <t>DF032</t>
        </is>
      </c>
      <c r="H1104" t="inlineStr">
        <is>
          <t>tblDeviceFamilyIDCrosswalk</t>
        </is>
      </c>
      <c r="I1104" t="inlineStr"/>
      <c r="J1104" t="inlineStr">
        <is>
          <t>tblDeviceModel</t>
        </is>
      </c>
      <c r="K1104" t="inlineStr">
        <is>
          <t>Exact ID</t>
        </is>
      </c>
      <c r="L1104" t="inlineStr">
        <is>
          <t>Crosswalk Pending</t>
        </is>
      </c>
      <c r="M1104" t="inlineStr">
        <is>
          <t>Open</t>
        </is>
      </c>
      <c r="N1104" t="inlineStr"/>
    </row>
    <row r="1105">
      <c r="A1105" t="inlineStr">
        <is>
          <t>FKEX01104</t>
        </is>
      </c>
      <c r="B1105" t="inlineStr">
        <is>
          <t>15 LL_Device</t>
        </is>
      </c>
      <c r="C1105" t="inlineStr">
        <is>
          <t>tblDeviceModel</t>
        </is>
      </c>
      <c r="D1105" t="n">
        <v>369</v>
      </c>
      <c r="E1105" t="inlineStr">
        <is>
          <t>MOD000366</t>
        </is>
      </c>
      <c r="F1105" t="inlineStr">
        <is>
          <t>DeviceTypeID</t>
        </is>
      </c>
      <c r="G1105" t="inlineStr">
        <is>
          <t>DT001</t>
        </is>
      </c>
      <c r="H1105" t="inlineStr">
        <is>
          <t>tblDeviceTypeIDCrosswalk</t>
        </is>
      </c>
      <c r="I1105" t="inlineStr"/>
      <c r="J1105" t="inlineStr">
        <is>
          <t>No Supported Match</t>
        </is>
      </c>
      <c r="K1105" t="inlineStr">
        <is>
          <t>None</t>
        </is>
      </c>
      <c r="L1105" t="inlineStr">
        <is>
          <t>Crosswalk Pending</t>
        </is>
      </c>
      <c r="M1105" t="inlineStr">
        <is>
          <t>Open</t>
        </is>
      </c>
      <c r="N1105" t="inlineStr"/>
    </row>
    <row r="1106">
      <c r="A1106" t="inlineStr">
        <is>
          <t>FKEX01105</t>
        </is>
      </c>
      <c r="B1106" t="inlineStr">
        <is>
          <t>15 LL_Device</t>
        </is>
      </c>
      <c r="C1106" t="inlineStr">
        <is>
          <t>tblDeviceModel</t>
        </is>
      </c>
      <c r="D1106" t="n">
        <v>370</v>
      </c>
      <c r="E1106" t="inlineStr">
        <is>
          <t>MOD000367</t>
        </is>
      </c>
      <c r="F1106" t="inlineStr">
        <is>
          <t>ManufacturerID</t>
        </is>
      </c>
      <c r="G1106" t="inlineStr">
        <is>
          <t>MFG003</t>
        </is>
      </c>
      <c r="H1106" t="inlineStr">
        <is>
          <t>tblManufacturerIDCrosswalk</t>
        </is>
      </c>
      <c r="I1106" t="inlineStr"/>
      <c r="J1106" t="inlineStr">
        <is>
          <t>No Supported Match</t>
        </is>
      </c>
      <c r="K1106" t="inlineStr">
        <is>
          <t>None</t>
        </is>
      </c>
      <c r="L1106" t="inlineStr">
        <is>
          <t>Crosswalk Pending</t>
        </is>
      </c>
      <c r="M1106" t="inlineStr">
        <is>
          <t>Open</t>
        </is>
      </c>
      <c r="N1106" t="inlineStr"/>
    </row>
    <row r="1107">
      <c r="A1107" t="inlineStr">
        <is>
          <t>FKEX01106</t>
        </is>
      </c>
      <c r="B1107" t="inlineStr">
        <is>
          <t>15 LL_Device</t>
        </is>
      </c>
      <c r="C1107" t="inlineStr">
        <is>
          <t>tblDeviceModel</t>
        </is>
      </c>
      <c r="D1107" t="n">
        <v>370</v>
      </c>
      <c r="E1107" t="inlineStr">
        <is>
          <t>MOD000367</t>
        </is>
      </c>
      <c r="F1107" t="inlineStr">
        <is>
          <t>DeviceFamilyID</t>
        </is>
      </c>
      <c r="G1107" t="inlineStr">
        <is>
          <t>DF032</t>
        </is>
      </c>
      <c r="H1107" t="inlineStr">
        <is>
          <t>tblDeviceFamilyIDCrosswalk</t>
        </is>
      </c>
      <c r="I1107" t="inlineStr"/>
      <c r="J1107" t="inlineStr">
        <is>
          <t>tblDeviceModel</t>
        </is>
      </c>
      <c r="K1107" t="inlineStr">
        <is>
          <t>Exact ID</t>
        </is>
      </c>
      <c r="L1107" t="inlineStr">
        <is>
          <t>Crosswalk Pending</t>
        </is>
      </c>
      <c r="M1107" t="inlineStr">
        <is>
          <t>Open</t>
        </is>
      </c>
      <c r="N1107" t="inlineStr"/>
    </row>
    <row r="1108">
      <c r="A1108" t="inlineStr">
        <is>
          <t>FKEX01107</t>
        </is>
      </c>
      <c r="B1108" t="inlineStr">
        <is>
          <t>15 LL_Device</t>
        </is>
      </c>
      <c r="C1108" t="inlineStr">
        <is>
          <t>tblDeviceModel</t>
        </is>
      </c>
      <c r="D1108" t="n">
        <v>370</v>
      </c>
      <c r="E1108" t="inlineStr">
        <is>
          <t>MOD000367</t>
        </is>
      </c>
      <c r="F1108" t="inlineStr">
        <is>
          <t>DeviceTypeID</t>
        </is>
      </c>
      <c r="G1108" t="inlineStr">
        <is>
          <t>DT001</t>
        </is>
      </c>
      <c r="H1108" t="inlineStr">
        <is>
          <t>tblDeviceTypeIDCrosswalk</t>
        </is>
      </c>
      <c r="I1108" t="inlineStr"/>
      <c r="J1108" t="inlineStr">
        <is>
          <t>No Supported Match</t>
        </is>
      </c>
      <c r="K1108" t="inlineStr">
        <is>
          <t>None</t>
        </is>
      </c>
      <c r="L1108" t="inlineStr">
        <is>
          <t>Crosswalk Pending</t>
        </is>
      </c>
      <c r="M1108" t="inlineStr">
        <is>
          <t>Open</t>
        </is>
      </c>
      <c r="N1108" t="inlineStr"/>
    </row>
    <row r="1109">
      <c r="A1109" t="inlineStr">
        <is>
          <t>FKEX01108</t>
        </is>
      </c>
      <c r="B1109" t="inlineStr">
        <is>
          <t>15 LL_Device</t>
        </is>
      </c>
      <c r="C1109" t="inlineStr">
        <is>
          <t>tblDeviceModel</t>
        </is>
      </c>
      <c r="D1109" t="n">
        <v>371</v>
      </c>
      <c r="E1109" t="inlineStr">
        <is>
          <t>MOD000368</t>
        </is>
      </c>
      <c r="F1109" t="inlineStr">
        <is>
          <t>ManufacturerID</t>
        </is>
      </c>
      <c r="G1109" t="inlineStr">
        <is>
          <t>MFG003</t>
        </is>
      </c>
      <c r="H1109" t="inlineStr">
        <is>
          <t>tblManufacturerIDCrosswalk</t>
        </is>
      </c>
      <c r="I1109" t="inlineStr"/>
      <c r="J1109" t="inlineStr">
        <is>
          <t>No Supported Match</t>
        </is>
      </c>
      <c r="K1109" t="inlineStr">
        <is>
          <t>None</t>
        </is>
      </c>
      <c r="L1109" t="inlineStr">
        <is>
          <t>Crosswalk Pending</t>
        </is>
      </c>
      <c r="M1109" t="inlineStr">
        <is>
          <t>Open</t>
        </is>
      </c>
      <c r="N1109" t="inlineStr"/>
    </row>
    <row r="1110">
      <c r="A1110" t="inlineStr">
        <is>
          <t>FKEX01109</t>
        </is>
      </c>
      <c r="B1110" t="inlineStr">
        <is>
          <t>15 LL_Device</t>
        </is>
      </c>
      <c r="C1110" t="inlineStr">
        <is>
          <t>tblDeviceModel</t>
        </is>
      </c>
      <c r="D1110" t="n">
        <v>371</v>
      </c>
      <c r="E1110" t="inlineStr">
        <is>
          <t>MOD000368</t>
        </is>
      </c>
      <c r="F1110" t="inlineStr">
        <is>
          <t>DeviceFamilyID</t>
        </is>
      </c>
      <c r="G1110" t="inlineStr">
        <is>
          <t>DF032</t>
        </is>
      </c>
      <c r="H1110" t="inlineStr">
        <is>
          <t>tblDeviceFamilyIDCrosswalk</t>
        </is>
      </c>
      <c r="I1110" t="inlineStr"/>
      <c r="J1110" t="inlineStr">
        <is>
          <t>tblDeviceModel</t>
        </is>
      </c>
      <c r="K1110" t="inlineStr">
        <is>
          <t>Exact ID</t>
        </is>
      </c>
      <c r="L1110" t="inlineStr">
        <is>
          <t>Crosswalk Pending</t>
        </is>
      </c>
      <c r="M1110" t="inlineStr">
        <is>
          <t>Open</t>
        </is>
      </c>
      <c r="N1110" t="inlineStr"/>
    </row>
    <row r="1111">
      <c r="A1111" t="inlineStr">
        <is>
          <t>FKEX01110</t>
        </is>
      </c>
      <c r="B1111" t="inlineStr">
        <is>
          <t>15 LL_Device</t>
        </is>
      </c>
      <c r="C1111" t="inlineStr">
        <is>
          <t>tblDeviceModel</t>
        </is>
      </c>
      <c r="D1111" t="n">
        <v>371</v>
      </c>
      <c r="E1111" t="inlineStr">
        <is>
          <t>MOD000368</t>
        </is>
      </c>
      <c r="F1111" t="inlineStr">
        <is>
          <t>DeviceTypeID</t>
        </is>
      </c>
      <c r="G1111" t="inlineStr">
        <is>
          <t>DT001</t>
        </is>
      </c>
      <c r="H1111" t="inlineStr">
        <is>
          <t>tblDeviceTypeIDCrosswalk</t>
        </is>
      </c>
      <c r="I1111" t="inlineStr"/>
      <c r="J1111" t="inlineStr">
        <is>
          <t>No Supported Match</t>
        </is>
      </c>
      <c r="K1111" t="inlineStr">
        <is>
          <t>None</t>
        </is>
      </c>
      <c r="L1111" t="inlineStr">
        <is>
          <t>Crosswalk Pending</t>
        </is>
      </c>
      <c r="M1111" t="inlineStr">
        <is>
          <t>Open</t>
        </is>
      </c>
      <c r="N1111" t="inlineStr"/>
    </row>
    <row r="1112">
      <c r="A1112" t="inlineStr">
        <is>
          <t>FKEX01111</t>
        </is>
      </c>
      <c r="B1112" t="inlineStr">
        <is>
          <t>15 LL_Device</t>
        </is>
      </c>
      <c r="C1112" t="inlineStr">
        <is>
          <t>tblDeviceModel</t>
        </is>
      </c>
      <c r="D1112" t="n">
        <v>372</v>
      </c>
      <c r="E1112" t="inlineStr">
        <is>
          <t>MOD000369</t>
        </is>
      </c>
      <c r="F1112" t="inlineStr">
        <is>
          <t>ManufacturerID</t>
        </is>
      </c>
      <c r="G1112" t="inlineStr">
        <is>
          <t>MFG003</t>
        </is>
      </c>
      <c r="H1112" t="inlineStr">
        <is>
          <t>tblManufacturerIDCrosswalk</t>
        </is>
      </c>
      <c r="I1112" t="inlineStr"/>
      <c r="J1112" t="inlineStr">
        <is>
          <t>No Supported Match</t>
        </is>
      </c>
      <c r="K1112" t="inlineStr">
        <is>
          <t>None</t>
        </is>
      </c>
      <c r="L1112" t="inlineStr">
        <is>
          <t>Crosswalk Pending</t>
        </is>
      </c>
      <c r="M1112" t="inlineStr">
        <is>
          <t>Open</t>
        </is>
      </c>
      <c r="N1112" t="inlineStr"/>
    </row>
    <row r="1113">
      <c r="A1113" t="inlineStr">
        <is>
          <t>FKEX01112</t>
        </is>
      </c>
      <c r="B1113" t="inlineStr">
        <is>
          <t>15 LL_Device</t>
        </is>
      </c>
      <c r="C1113" t="inlineStr">
        <is>
          <t>tblDeviceModel</t>
        </is>
      </c>
      <c r="D1113" t="n">
        <v>372</v>
      </c>
      <c r="E1113" t="inlineStr">
        <is>
          <t>MOD000369</t>
        </is>
      </c>
      <c r="F1113" t="inlineStr">
        <is>
          <t>DeviceFamilyID</t>
        </is>
      </c>
      <c r="G1113" t="inlineStr">
        <is>
          <t>DF032</t>
        </is>
      </c>
      <c r="H1113" t="inlineStr">
        <is>
          <t>tblDeviceFamilyIDCrosswalk</t>
        </is>
      </c>
      <c r="I1113" t="inlineStr"/>
      <c r="J1113" t="inlineStr">
        <is>
          <t>tblDeviceModel</t>
        </is>
      </c>
      <c r="K1113" t="inlineStr">
        <is>
          <t>Exact ID</t>
        </is>
      </c>
      <c r="L1113" t="inlineStr">
        <is>
          <t>Crosswalk Pending</t>
        </is>
      </c>
      <c r="M1113" t="inlineStr">
        <is>
          <t>Open</t>
        </is>
      </c>
      <c r="N1113" t="inlineStr"/>
    </row>
    <row r="1114">
      <c r="A1114" t="inlineStr">
        <is>
          <t>FKEX01113</t>
        </is>
      </c>
      <c r="B1114" t="inlineStr">
        <is>
          <t>15 LL_Device</t>
        </is>
      </c>
      <c r="C1114" t="inlineStr">
        <is>
          <t>tblDeviceModel</t>
        </is>
      </c>
      <c r="D1114" t="n">
        <v>372</v>
      </c>
      <c r="E1114" t="inlineStr">
        <is>
          <t>MOD000369</t>
        </is>
      </c>
      <c r="F1114" t="inlineStr">
        <is>
          <t>DeviceTypeID</t>
        </is>
      </c>
      <c r="G1114" t="inlineStr">
        <is>
          <t>DT001</t>
        </is>
      </c>
      <c r="H1114" t="inlineStr">
        <is>
          <t>tblDeviceTypeIDCrosswalk</t>
        </is>
      </c>
      <c r="I1114" t="inlineStr"/>
      <c r="J1114" t="inlineStr">
        <is>
          <t>No Supported Match</t>
        </is>
      </c>
      <c r="K1114" t="inlineStr">
        <is>
          <t>None</t>
        </is>
      </c>
      <c r="L1114" t="inlineStr">
        <is>
          <t>Crosswalk Pending</t>
        </is>
      </c>
      <c r="M1114" t="inlineStr">
        <is>
          <t>Open</t>
        </is>
      </c>
      <c r="N1114" t="inlineStr"/>
    </row>
    <row r="1115">
      <c r="A1115" t="inlineStr">
        <is>
          <t>FKEX01114</t>
        </is>
      </c>
      <c r="B1115" t="inlineStr">
        <is>
          <t>15 LL_Device</t>
        </is>
      </c>
      <c r="C1115" t="inlineStr">
        <is>
          <t>tblDeviceModel</t>
        </is>
      </c>
      <c r="D1115" t="n">
        <v>373</v>
      </c>
      <c r="E1115" t="inlineStr">
        <is>
          <t>MOD000370</t>
        </is>
      </c>
      <c r="F1115" t="inlineStr">
        <is>
          <t>ManufacturerID</t>
        </is>
      </c>
      <c r="G1115" t="inlineStr">
        <is>
          <t>MFG003</t>
        </is>
      </c>
      <c r="H1115" t="inlineStr">
        <is>
          <t>tblManufacturerIDCrosswalk</t>
        </is>
      </c>
      <c r="I1115" t="inlineStr"/>
      <c r="J1115" t="inlineStr">
        <is>
          <t>No Supported Match</t>
        </is>
      </c>
      <c r="K1115" t="inlineStr">
        <is>
          <t>None</t>
        </is>
      </c>
      <c r="L1115" t="inlineStr">
        <is>
          <t>Crosswalk Pending</t>
        </is>
      </c>
      <c r="M1115" t="inlineStr">
        <is>
          <t>Open</t>
        </is>
      </c>
      <c r="N1115" t="inlineStr"/>
    </row>
    <row r="1116">
      <c r="A1116" t="inlineStr">
        <is>
          <t>FKEX01115</t>
        </is>
      </c>
      <c r="B1116" t="inlineStr">
        <is>
          <t>15 LL_Device</t>
        </is>
      </c>
      <c r="C1116" t="inlineStr">
        <is>
          <t>tblDeviceModel</t>
        </is>
      </c>
      <c r="D1116" t="n">
        <v>373</v>
      </c>
      <c r="E1116" t="inlineStr">
        <is>
          <t>MOD000370</t>
        </is>
      </c>
      <c r="F1116" t="inlineStr">
        <is>
          <t>DeviceFamilyID</t>
        </is>
      </c>
      <c r="G1116" t="inlineStr">
        <is>
          <t>DF032</t>
        </is>
      </c>
      <c r="H1116" t="inlineStr">
        <is>
          <t>tblDeviceFamilyIDCrosswalk</t>
        </is>
      </c>
      <c r="I1116" t="inlineStr"/>
      <c r="J1116" t="inlineStr">
        <is>
          <t>tblDeviceModel</t>
        </is>
      </c>
      <c r="K1116" t="inlineStr">
        <is>
          <t>Exact ID</t>
        </is>
      </c>
      <c r="L1116" t="inlineStr">
        <is>
          <t>Crosswalk Pending</t>
        </is>
      </c>
      <c r="M1116" t="inlineStr">
        <is>
          <t>Open</t>
        </is>
      </c>
      <c r="N1116" t="inlineStr"/>
    </row>
    <row r="1117">
      <c r="A1117" t="inlineStr">
        <is>
          <t>FKEX01116</t>
        </is>
      </c>
      <c r="B1117" t="inlineStr">
        <is>
          <t>15 LL_Device</t>
        </is>
      </c>
      <c r="C1117" t="inlineStr">
        <is>
          <t>tblDeviceModel</t>
        </is>
      </c>
      <c r="D1117" t="n">
        <v>373</v>
      </c>
      <c r="E1117" t="inlineStr">
        <is>
          <t>MOD000370</t>
        </is>
      </c>
      <c r="F1117" t="inlineStr">
        <is>
          <t>DeviceTypeID</t>
        </is>
      </c>
      <c r="G1117" t="inlineStr">
        <is>
          <t>DT001</t>
        </is>
      </c>
      <c r="H1117" t="inlineStr">
        <is>
          <t>tblDeviceTypeIDCrosswalk</t>
        </is>
      </c>
      <c r="I1117" t="inlineStr"/>
      <c r="J1117" t="inlineStr">
        <is>
          <t>No Supported Match</t>
        </is>
      </c>
      <c r="K1117" t="inlineStr">
        <is>
          <t>None</t>
        </is>
      </c>
      <c r="L1117" t="inlineStr">
        <is>
          <t>Crosswalk Pending</t>
        </is>
      </c>
      <c r="M1117" t="inlineStr">
        <is>
          <t>Open</t>
        </is>
      </c>
      <c r="N1117" t="inlineStr"/>
    </row>
    <row r="1118">
      <c r="A1118" t="inlineStr">
        <is>
          <t>FKEX01117</t>
        </is>
      </c>
      <c r="B1118" t="inlineStr">
        <is>
          <t>15 LL_Device</t>
        </is>
      </c>
      <c r="C1118" t="inlineStr">
        <is>
          <t>tblDeviceModel</t>
        </is>
      </c>
      <c r="D1118" t="n">
        <v>374</v>
      </c>
      <c r="E1118" t="inlineStr">
        <is>
          <t>MOD000371</t>
        </is>
      </c>
      <c r="F1118" t="inlineStr">
        <is>
          <t>ManufacturerID</t>
        </is>
      </c>
      <c r="G1118" t="inlineStr">
        <is>
          <t>MFG003</t>
        </is>
      </c>
      <c r="H1118" t="inlineStr">
        <is>
          <t>tblManufacturerIDCrosswalk</t>
        </is>
      </c>
      <c r="I1118" t="inlineStr"/>
      <c r="J1118" t="inlineStr">
        <is>
          <t>No Supported Match</t>
        </is>
      </c>
      <c r="K1118" t="inlineStr">
        <is>
          <t>None</t>
        </is>
      </c>
      <c r="L1118" t="inlineStr">
        <is>
          <t>Crosswalk Pending</t>
        </is>
      </c>
      <c r="M1118" t="inlineStr">
        <is>
          <t>Open</t>
        </is>
      </c>
      <c r="N1118" t="inlineStr"/>
    </row>
    <row r="1119">
      <c r="A1119" t="inlineStr">
        <is>
          <t>FKEX01118</t>
        </is>
      </c>
      <c r="B1119" t="inlineStr">
        <is>
          <t>15 LL_Device</t>
        </is>
      </c>
      <c r="C1119" t="inlineStr">
        <is>
          <t>tblDeviceModel</t>
        </is>
      </c>
      <c r="D1119" t="n">
        <v>374</v>
      </c>
      <c r="E1119" t="inlineStr">
        <is>
          <t>MOD000371</t>
        </is>
      </c>
      <c r="F1119" t="inlineStr">
        <is>
          <t>DeviceFamilyID</t>
        </is>
      </c>
      <c r="G1119" t="inlineStr">
        <is>
          <t>DF032</t>
        </is>
      </c>
      <c r="H1119" t="inlineStr">
        <is>
          <t>tblDeviceFamilyIDCrosswalk</t>
        </is>
      </c>
      <c r="I1119" t="inlineStr"/>
      <c r="J1119" t="inlineStr">
        <is>
          <t>tblDeviceModel</t>
        </is>
      </c>
      <c r="K1119" t="inlineStr">
        <is>
          <t>Exact ID</t>
        </is>
      </c>
      <c r="L1119" t="inlineStr">
        <is>
          <t>Crosswalk Pending</t>
        </is>
      </c>
      <c r="M1119" t="inlineStr">
        <is>
          <t>Open</t>
        </is>
      </c>
      <c r="N1119" t="inlineStr"/>
    </row>
    <row r="1120">
      <c r="A1120" t="inlineStr">
        <is>
          <t>FKEX01119</t>
        </is>
      </c>
      <c r="B1120" t="inlineStr">
        <is>
          <t>15 LL_Device</t>
        </is>
      </c>
      <c r="C1120" t="inlineStr">
        <is>
          <t>tblDeviceModel</t>
        </is>
      </c>
      <c r="D1120" t="n">
        <v>374</v>
      </c>
      <c r="E1120" t="inlineStr">
        <is>
          <t>MOD000371</t>
        </is>
      </c>
      <c r="F1120" t="inlineStr">
        <is>
          <t>DeviceTypeID</t>
        </is>
      </c>
      <c r="G1120" t="inlineStr">
        <is>
          <t>DT001</t>
        </is>
      </c>
      <c r="H1120" t="inlineStr">
        <is>
          <t>tblDeviceTypeIDCrosswalk</t>
        </is>
      </c>
      <c r="I1120" t="inlineStr"/>
      <c r="J1120" t="inlineStr">
        <is>
          <t>No Supported Match</t>
        </is>
      </c>
      <c r="K1120" t="inlineStr">
        <is>
          <t>None</t>
        </is>
      </c>
      <c r="L1120" t="inlineStr">
        <is>
          <t>Crosswalk Pending</t>
        </is>
      </c>
      <c r="M1120" t="inlineStr">
        <is>
          <t>Open</t>
        </is>
      </c>
      <c r="N1120" t="inlineStr"/>
    </row>
    <row r="1121">
      <c r="A1121" t="inlineStr">
        <is>
          <t>FKEX01120</t>
        </is>
      </c>
      <c r="B1121" t="inlineStr">
        <is>
          <t>15 LL_Device</t>
        </is>
      </c>
      <c r="C1121" t="inlineStr">
        <is>
          <t>tblDeviceModel</t>
        </is>
      </c>
      <c r="D1121" t="n">
        <v>375</v>
      </c>
      <c r="E1121" t="inlineStr">
        <is>
          <t>MOD000372</t>
        </is>
      </c>
      <c r="F1121" t="inlineStr">
        <is>
          <t>ManufacturerID</t>
        </is>
      </c>
      <c r="G1121" t="inlineStr">
        <is>
          <t>MFG003</t>
        </is>
      </c>
      <c r="H1121" t="inlineStr">
        <is>
          <t>tblManufacturerIDCrosswalk</t>
        </is>
      </c>
      <c r="I1121" t="inlineStr"/>
      <c r="J1121" t="inlineStr">
        <is>
          <t>No Supported Match</t>
        </is>
      </c>
      <c r="K1121" t="inlineStr">
        <is>
          <t>None</t>
        </is>
      </c>
      <c r="L1121" t="inlineStr">
        <is>
          <t>Crosswalk Pending</t>
        </is>
      </c>
      <c r="M1121" t="inlineStr">
        <is>
          <t>Open</t>
        </is>
      </c>
      <c r="N1121" t="inlineStr"/>
    </row>
    <row r="1122">
      <c r="A1122" t="inlineStr">
        <is>
          <t>FKEX01121</t>
        </is>
      </c>
      <c r="B1122" t="inlineStr">
        <is>
          <t>15 LL_Device</t>
        </is>
      </c>
      <c r="C1122" t="inlineStr">
        <is>
          <t>tblDeviceModel</t>
        </is>
      </c>
      <c r="D1122" t="n">
        <v>375</v>
      </c>
      <c r="E1122" t="inlineStr">
        <is>
          <t>MOD000372</t>
        </is>
      </c>
      <c r="F1122" t="inlineStr">
        <is>
          <t>DeviceFamilyID</t>
        </is>
      </c>
      <c r="G1122" t="inlineStr">
        <is>
          <t>DF032</t>
        </is>
      </c>
      <c r="H1122" t="inlineStr">
        <is>
          <t>tblDeviceFamilyIDCrosswalk</t>
        </is>
      </c>
      <c r="I1122" t="inlineStr"/>
      <c r="J1122" t="inlineStr">
        <is>
          <t>tblDeviceModel</t>
        </is>
      </c>
      <c r="K1122" t="inlineStr">
        <is>
          <t>Exact ID</t>
        </is>
      </c>
      <c r="L1122" t="inlineStr">
        <is>
          <t>Crosswalk Pending</t>
        </is>
      </c>
      <c r="M1122" t="inlineStr">
        <is>
          <t>Open</t>
        </is>
      </c>
      <c r="N1122" t="inlineStr"/>
    </row>
    <row r="1123">
      <c r="A1123" t="inlineStr">
        <is>
          <t>FKEX01122</t>
        </is>
      </c>
      <c r="B1123" t="inlineStr">
        <is>
          <t>15 LL_Device</t>
        </is>
      </c>
      <c r="C1123" t="inlineStr">
        <is>
          <t>tblDeviceModel</t>
        </is>
      </c>
      <c r="D1123" t="n">
        <v>375</v>
      </c>
      <c r="E1123" t="inlineStr">
        <is>
          <t>MOD000372</t>
        </is>
      </c>
      <c r="F1123" t="inlineStr">
        <is>
          <t>DeviceTypeID</t>
        </is>
      </c>
      <c r="G1123" t="inlineStr">
        <is>
          <t>DT001</t>
        </is>
      </c>
      <c r="H1123" t="inlineStr">
        <is>
          <t>tblDeviceTypeIDCrosswalk</t>
        </is>
      </c>
      <c r="I1123" t="inlineStr"/>
      <c r="J1123" t="inlineStr">
        <is>
          <t>No Supported Match</t>
        </is>
      </c>
      <c r="K1123" t="inlineStr">
        <is>
          <t>None</t>
        </is>
      </c>
      <c r="L1123" t="inlineStr">
        <is>
          <t>Crosswalk Pending</t>
        </is>
      </c>
      <c r="M1123" t="inlineStr">
        <is>
          <t>Open</t>
        </is>
      </c>
      <c r="N1123" t="inlineStr"/>
    </row>
    <row r="1124">
      <c r="A1124" t="inlineStr">
        <is>
          <t>FKEX01123</t>
        </is>
      </c>
      <c r="B1124" t="inlineStr">
        <is>
          <t>15 LL_Device</t>
        </is>
      </c>
      <c r="C1124" t="inlineStr">
        <is>
          <t>tblDeviceModel</t>
        </is>
      </c>
      <c r="D1124" t="n">
        <v>376</v>
      </c>
      <c r="E1124" t="inlineStr">
        <is>
          <t>MOD000373</t>
        </is>
      </c>
      <c r="F1124" t="inlineStr">
        <is>
          <t>ManufacturerID</t>
        </is>
      </c>
      <c r="G1124" t="inlineStr">
        <is>
          <t>MFG003</t>
        </is>
      </c>
      <c r="H1124" t="inlineStr">
        <is>
          <t>tblManufacturerIDCrosswalk</t>
        </is>
      </c>
      <c r="I1124" t="inlineStr"/>
      <c r="J1124" t="inlineStr">
        <is>
          <t>No Supported Match</t>
        </is>
      </c>
      <c r="K1124" t="inlineStr">
        <is>
          <t>None</t>
        </is>
      </c>
      <c r="L1124" t="inlineStr">
        <is>
          <t>Crosswalk Pending</t>
        </is>
      </c>
      <c r="M1124" t="inlineStr">
        <is>
          <t>Open</t>
        </is>
      </c>
      <c r="N1124" t="inlineStr"/>
    </row>
    <row r="1125">
      <c r="A1125" t="inlineStr">
        <is>
          <t>FKEX01124</t>
        </is>
      </c>
      <c r="B1125" t="inlineStr">
        <is>
          <t>15 LL_Device</t>
        </is>
      </c>
      <c r="C1125" t="inlineStr">
        <is>
          <t>tblDeviceModel</t>
        </is>
      </c>
      <c r="D1125" t="n">
        <v>376</v>
      </c>
      <c r="E1125" t="inlineStr">
        <is>
          <t>MOD000373</t>
        </is>
      </c>
      <c r="F1125" t="inlineStr">
        <is>
          <t>DeviceFamilyID</t>
        </is>
      </c>
      <c r="G1125" t="inlineStr">
        <is>
          <t>DF032</t>
        </is>
      </c>
      <c r="H1125" t="inlineStr">
        <is>
          <t>tblDeviceFamilyIDCrosswalk</t>
        </is>
      </c>
      <c r="I1125" t="inlineStr"/>
      <c r="J1125" t="inlineStr">
        <is>
          <t>tblDeviceModel</t>
        </is>
      </c>
      <c r="K1125" t="inlineStr">
        <is>
          <t>Exact ID</t>
        </is>
      </c>
      <c r="L1125" t="inlineStr">
        <is>
          <t>Crosswalk Pending</t>
        </is>
      </c>
      <c r="M1125" t="inlineStr">
        <is>
          <t>Open</t>
        </is>
      </c>
      <c r="N1125" t="inlineStr"/>
    </row>
    <row r="1126">
      <c r="A1126" t="inlineStr">
        <is>
          <t>FKEX01125</t>
        </is>
      </c>
      <c r="B1126" t="inlineStr">
        <is>
          <t>15 LL_Device</t>
        </is>
      </c>
      <c r="C1126" t="inlineStr">
        <is>
          <t>tblDeviceModel</t>
        </is>
      </c>
      <c r="D1126" t="n">
        <v>376</v>
      </c>
      <c r="E1126" t="inlineStr">
        <is>
          <t>MOD000373</t>
        </is>
      </c>
      <c r="F1126" t="inlineStr">
        <is>
          <t>DeviceTypeID</t>
        </is>
      </c>
      <c r="G1126" t="inlineStr">
        <is>
          <t>DT001</t>
        </is>
      </c>
      <c r="H1126" t="inlineStr">
        <is>
          <t>tblDeviceTypeIDCrosswalk</t>
        </is>
      </c>
      <c r="I1126" t="inlineStr"/>
      <c r="J1126" t="inlineStr">
        <is>
          <t>No Supported Match</t>
        </is>
      </c>
      <c r="K1126" t="inlineStr">
        <is>
          <t>None</t>
        </is>
      </c>
      <c r="L1126" t="inlineStr">
        <is>
          <t>Crosswalk Pending</t>
        </is>
      </c>
      <c r="M1126" t="inlineStr">
        <is>
          <t>Open</t>
        </is>
      </c>
      <c r="N1126" t="inlineStr"/>
    </row>
    <row r="1127">
      <c r="A1127" t="inlineStr">
        <is>
          <t>FKEX01126</t>
        </is>
      </c>
      <c r="B1127" t="inlineStr">
        <is>
          <t>15 LL_Device</t>
        </is>
      </c>
      <c r="C1127" t="inlineStr">
        <is>
          <t>tblDeviceModel</t>
        </is>
      </c>
      <c r="D1127" t="n">
        <v>377</v>
      </c>
      <c r="E1127" t="inlineStr">
        <is>
          <t>MOD000374</t>
        </is>
      </c>
      <c r="F1127" t="inlineStr">
        <is>
          <t>ManufacturerID</t>
        </is>
      </c>
      <c r="G1127" t="inlineStr">
        <is>
          <t>MFG003</t>
        </is>
      </c>
      <c r="H1127" t="inlineStr">
        <is>
          <t>tblManufacturerIDCrosswalk</t>
        </is>
      </c>
      <c r="I1127" t="inlineStr"/>
      <c r="J1127" t="inlineStr">
        <is>
          <t>No Supported Match</t>
        </is>
      </c>
      <c r="K1127" t="inlineStr">
        <is>
          <t>None</t>
        </is>
      </c>
      <c r="L1127" t="inlineStr">
        <is>
          <t>Crosswalk Pending</t>
        </is>
      </c>
      <c r="M1127" t="inlineStr">
        <is>
          <t>Open</t>
        </is>
      </c>
      <c r="N1127" t="inlineStr"/>
    </row>
    <row r="1128">
      <c r="A1128" t="inlineStr">
        <is>
          <t>FKEX01127</t>
        </is>
      </c>
      <c r="B1128" t="inlineStr">
        <is>
          <t>15 LL_Device</t>
        </is>
      </c>
      <c r="C1128" t="inlineStr">
        <is>
          <t>tblDeviceModel</t>
        </is>
      </c>
      <c r="D1128" t="n">
        <v>377</v>
      </c>
      <c r="E1128" t="inlineStr">
        <is>
          <t>MOD000374</t>
        </is>
      </c>
      <c r="F1128" t="inlineStr">
        <is>
          <t>DeviceFamilyID</t>
        </is>
      </c>
      <c r="G1128" t="inlineStr">
        <is>
          <t>DF032</t>
        </is>
      </c>
      <c r="H1128" t="inlineStr">
        <is>
          <t>tblDeviceFamilyIDCrosswalk</t>
        </is>
      </c>
      <c r="I1128" t="inlineStr"/>
      <c r="J1128" t="inlineStr">
        <is>
          <t>tblDeviceModel</t>
        </is>
      </c>
      <c r="K1128" t="inlineStr">
        <is>
          <t>Exact ID</t>
        </is>
      </c>
      <c r="L1128" t="inlineStr">
        <is>
          <t>Crosswalk Pending</t>
        </is>
      </c>
      <c r="M1128" t="inlineStr">
        <is>
          <t>Open</t>
        </is>
      </c>
      <c r="N1128" t="inlineStr"/>
    </row>
    <row r="1129">
      <c r="A1129" t="inlineStr">
        <is>
          <t>FKEX01128</t>
        </is>
      </c>
      <c r="B1129" t="inlineStr">
        <is>
          <t>15 LL_Device</t>
        </is>
      </c>
      <c r="C1129" t="inlineStr">
        <is>
          <t>tblDeviceModel</t>
        </is>
      </c>
      <c r="D1129" t="n">
        <v>377</v>
      </c>
      <c r="E1129" t="inlineStr">
        <is>
          <t>MOD000374</t>
        </is>
      </c>
      <c r="F1129" t="inlineStr">
        <is>
          <t>DeviceTypeID</t>
        </is>
      </c>
      <c r="G1129" t="inlineStr">
        <is>
          <t>DT001</t>
        </is>
      </c>
      <c r="H1129" t="inlineStr">
        <is>
          <t>tblDeviceTypeIDCrosswalk</t>
        </is>
      </c>
      <c r="I1129" t="inlineStr"/>
      <c r="J1129" t="inlineStr">
        <is>
          <t>No Supported Match</t>
        </is>
      </c>
      <c r="K1129" t="inlineStr">
        <is>
          <t>None</t>
        </is>
      </c>
      <c r="L1129" t="inlineStr">
        <is>
          <t>Crosswalk Pending</t>
        </is>
      </c>
      <c r="M1129" t="inlineStr">
        <is>
          <t>Open</t>
        </is>
      </c>
      <c r="N1129" t="inlineStr"/>
    </row>
    <row r="1130">
      <c r="A1130" t="inlineStr">
        <is>
          <t>FKEX01129</t>
        </is>
      </c>
      <c r="B1130" t="inlineStr">
        <is>
          <t>15 LL_Device</t>
        </is>
      </c>
      <c r="C1130" t="inlineStr">
        <is>
          <t>tblDeviceModel</t>
        </is>
      </c>
      <c r="D1130" t="n">
        <v>378</v>
      </c>
      <c r="E1130" t="inlineStr">
        <is>
          <t>MOD000375</t>
        </is>
      </c>
      <c r="F1130" t="inlineStr">
        <is>
          <t>ManufacturerID</t>
        </is>
      </c>
      <c r="G1130" t="inlineStr">
        <is>
          <t>MFG003</t>
        </is>
      </c>
      <c r="H1130" t="inlineStr">
        <is>
          <t>tblManufacturerIDCrosswalk</t>
        </is>
      </c>
      <c r="I1130" t="inlineStr"/>
      <c r="J1130" t="inlineStr">
        <is>
          <t>No Supported Match</t>
        </is>
      </c>
      <c r="K1130" t="inlineStr">
        <is>
          <t>None</t>
        </is>
      </c>
      <c r="L1130" t="inlineStr">
        <is>
          <t>Crosswalk Pending</t>
        </is>
      </c>
      <c r="M1130" t="inlineStr">
        <is>
          <t>Open</t>
        </is>
      </c>
      <c r="N1130" t="inlineStr"/>
    </row>
    <row r="1131">
      <c r="A1131" t="inlineStr">
        <is>
          <t>FKEX01130</t>
        </is>
      </c>
      <c r="B1131" t="inlineStr">
        <is>
          <t>15 LL_Device</t>
        </is>
      </c>
      <c r="C1131" t="inlineStr">
        <is>
          <t>tblDeviceModel</t>
        </is>
      </c>
      <c r="D1131" t="n">
        <v>378</v>
      </c>
      <c r="E1131" t="inlineStr">
        <is>
          <t>MOD000375</t>
        </is>
      </c>
      <c r="F1131" t="inlineStr">
        <is>
          <t>DeviceFamilyID</t>
        </is>
      </c>
      <c r="G1131" t="inlineStr">
        <is>
          <t>DF032</t>
        </is>
      </c>
      <c r="H1131" t="inlineStr">
        <is>
          <t>tblDeviceFamilyIDCrosswalk</t>
        </is>
      </c>
      <c r="I1131" t="inlineStr"/>
      <c r="J1131" t="inlineStr">
        <is>
          <t>tblDeviceModel</t>
        </is>
      </c>
      <c r="K1131" t="inlineStr">
        <is>
          <t>Exact ID</t>
        </is>
      </c>
      <c r="L1131" t="inlineStr">
        <is>
          <t>Crosswalk Pending</t>
        </is>
      </c>
      <c r="M1131" t="inlineStr">
        <is>
          <t>Open</t>
        </is>
      </c>
      <c r="N1131" t="inlineStr"/>
    </row>
    <row r="1132">
      <c r="A1132" t="inlineStr">
        <is>
          <t>FKEX01131</t>
        </is>
      </c>
      <c r="B1132" t="inlineStr">
        <is>
          <t>15 LL_Device</t>
        </is>
      </c>
      <c r="C1132" t="inlineStr">
        <is>
          <t>tblDeviceModel</t>
        </is>
      </c>
      <c r="D1132" t="n">
        <v>378</v>
      </c>
      <c r="E1132" t="inlineStr">
        <is>
          <t>MOD000375</t>
        </is>
      </c>
      <c r="F1132" t="inlineStr">
        <is>
          <t>DeviceTypeID</t>
        </is>
      </c>
      <c r="G1132" t="inlineStr">
        <is>
          <t>DT001</t>
        </is>
      </c>
      <c r="H1132" t="inlineStr">
        <is>
          <t>tblDeviceTypeIDCrosswalk</t>
        </is>
      </c>
      <c r="I1132" t="inlineStr"/>
      <c r="J1132" t="inlineStr">
        <is>
          <t>No Supported Match</t>
        </is>
      </c>
      <c r="K1132" t="inlineStr">
        <is>
          <t>None</t>
        </is>
      </c>
      <c r="L1132" t="inlineStr">
        <is>
          <t>Crosswalk Pending</t>
        </is>
      </c>
      <c r="M1132" t="inlineStr">
        <is>
          <t>Open</t>
        </is>
      </c>
      <c r="N1132" t="inlineStr"/>
    </row>
    <row r="1133">
      <c r="A1133" t="inlineStr">
        <is>
          <t>FKEX01132</t>
        </is>
      </c>
      <c r="B1133" t="inlineStr">
        <is>
          <t>15 LL_Device</t>
        </is>
      </c>
      <c r="C1133" t="inlineStr">
        <is>
          <t>tblDeviceModel</t>
        </is>
      </c>
      <c r="D1133" t="n">
        <v>379</v>
      </c>
      <c r="E1133" t="inlineStr">
        <is>
          <t>MOD000376</t>
        </is>
      </c>
      <c r="F1133" t="inlineStr">
        <is>
          <t>ManufacturerID</t>
        </is>
      </c>
      <c r="G1133" t="inlineStr">
        <is>
          <t>MFG003</t>
        </is>
      </c>
      <c r="H1133" t="inlineStr">
        <is>
          <t>tblManufacturerIDCrosswalk</t>
        </is>
      </c>
      <c r="I1133" t="inlineStr"/>
      <c r="J1133" t="inlineStr">
        <is>
          <t>No Supported Match</t>
        </is>
      </c>
      <c r="K1133" t="inlineStr">
        <is>
          <t>None</t>
        </is>
      </c>
      <c r="L1133" t="inlineStr">
        <is>
          <t>Crosswalk Pending</t>
        </is>
      </c>
      <c r="M1133" t="inlineStr">
        <is>
          <t>Open</t>
        </is>
      </c>
      <c r="N1133" t="inlineStr"/>
    </row>
    <row r="1134">
      <c r="A1134" t="inlineStr">
        <is>
          <t>FKEX01133</t>
        </is>
      </c>
      <c r="B1134" t="inlineStr">
        <is>
          <t>15 LL_Device</t>
        </is>
      </c>
      <c r="C1134" t="inlineStr">
        <is>
          <t>tblDeviceModel</t>
        </is>
      </c>
      <c r="D1134" t="n">
        <v>379</v>
      </c>
      <c r="E1134" t="inlineStr">
        <is>
          <t>MOD000376</t>
        </is>
      </c>
      <c r="F1134" t="inlineStr">
        <is>
          <t>DeviceFamilyID</t>
        </is>
      </c>
      <c r="G1134" t="inlineStr">
        <is>
          <t>DF033</t>
        </is>
      </c>
      <c r="H1134" t="inlineStr">
        <is>
          <t>tblDeviceFamilyIDCrosswalk</t>
        </is>
      </c>
      <c r="I1134" t="inlineStr"/>
      <c r="J1134" t="inlineStr">
        <is>
          <t>tblDeviceModel</t>
        </is>
      </c>
      <c r="K1134" t="inlineStr">
        <is>
          <t>Exact ID</t>
        </is>
      </c>
      <c r="L1134" t="inlineStr">
        <is>
          <t>Crosswalk Pending</t>
        </is>
      </c>
      <c r="M1134" t="inlineStr">
        <is>
          <t>Open</t>
        </is>
      </c>
      <c r="N1134" t="inlineStr"/>
    </row>
    <row r="1135">
      <c r="A1135" t="inlineStr">
        <is>
          <t>FKEX01134</t>
        </is>
      </c>
      <c r="B1135" t="inlineStr">
        <is>
          <t>15 LL_Device</t>
        </is>
      </c>
      <c r="C1135" t="inlineStr">
        <is>
          <t>tblDeviceModel</t>
        </is>
      </c>
      <c r="D1135" t="n">
        <v>379</v>
      </c>
      <c r="E1135" t="inlineStr">
        <is>
          <t>MOD000376</t>
        </is>
      </c>
      <c r="F1135" t="inlineStr">
        <is>
          <t>DeviceTypeID</t>
        </is>
      </c>
      <c r="G1135" t="inlineStr">
        <is>
          <t>DT002</t>
        </is>
      </c>
      <c r="H1135" t="inlineStr">
        <is>
          <t>tblDeviceTypeIDCrosswalk</t>
        </is>
      </c>
      <c r="I1135" t="inlineStr"/>
      <c r="J1135" t="inlineStr">
        <is>
          <t>No Supported Match</t>
        </is>
      </c>
      <c r="K1135" t="inlineStr">
        <is>
          <t>None</t>
        </is>
      </c>
      <c r="L1135" t="inlineStr">
        <is>
          <t>Crosswalk Pending</t>
        </is>
      </c>
      <c r="M1135" t="inlineStr">
        <is>
          <t>Open</t>
        </is>
      </c>
      <c r="N1135" t="inlineStr"/>
    </row>
    <row r="1136">
      <c r="A1136" t="inlineStr">
        <is>
          <t>FKEX01135</t>
        </is>
      </c>
      <c r="B1136" t="inlineStr">
        <is>
          <t>15 LL_Device</t>
        </is>
      </c>
      <c r="C1136" t="inlineStr">
        <is>
          <t>tblDeviceModel</t>
        </is>
      </c>
      <c r="D1136" t="n">
        <v>380</v>
      </c>
      <c r="E1136" t="inlineStr">
        <is>
          <t>MOD000377</t>
        </is>
      </c>
      <c r="F1136" t="inlineStr">
        <is>
          <t>ManufacturerID</t>
        </is>
      </c>
      <c r="G1136" t="inlineStr">
        <is>
          <t>MFG003</t>
        </is>
      </c>
      <c r="H1136" t="inlineStr">
        <is>
          <t>tblManufacturerIDCrosswalk</t>
        </is>
      </c>
      <c r="I1136" t="inlineStr"/>
      <c r="J1136" t="inlineStr">
        <is>
          <t>No Supported Match</t>
        </is>
      </c>
      <c r="K1136" t="inlineStr">
        <is>
          <t>None</t>
        </is>
      </c>
      <c r="L1136" t="inlineStr">
        <is>
          <t>Crosswalk Pending</t>
        </is>
      </c>
      <c r="M1136" t="inlineStr">
        <is>
          <t>Open</t>
        </is>
      </c>
      <c r="N1136" t="inlineStr"/>
    </row>
    <row r="1137">
      <c r="A1137" t="inlineStr">
        <is>
          <t>FKEX01136</t>
        </is>
      </c>
      <c r="B1137" t="inlineStr">
        <is>
          <t>15 LL_Device</t>
        </is>
      </c>
      <c r="C1137" t="inlineStr">
        <is>
          <t>tblDeviceModel</t>
        </is>
      </c>
      <c r="D1137" t="n">
        <v>380</v>
      </c>
      <c r="E1137" t="inlineStr">
        <is>
          <t>MOD000377</t>
        </is>
      </c>
      <c r="F1137" t="inlineStr">
        <is>
          <t>DeviceFamilyID</t>
        </is>
      </c>
      <c r="G1137" t="inlineStr">
        <is>
          <t>DF032</t>
        </is>
      </c>
      <c r="H1137" t="inlineStr">
        <is>
          <t>tblDeviceFamilyIDCrosswalk</t>
        </is>
      </c>
      <c r="I1137" t="inlineStr"/>
      <c r="J1137" t="inlineStr">
        <is>
          <t>tblDeviceModel</t>
        </is>
      </c>
      <c r="K1137" t="inlineStr">
        <is>
          <t>Exact ID</t>
        </is>
      </c>
      <c r="L1137" t="inlineStr">
        <is>
          <t>Crosswalk Pending</t>
        </is>
      </c>
      <c r="M1137" t="inlineStr">
        <is>
          <t>Open</t>
        </is>
      </c>
      <c r="N1137" t="inlineStr"/>
    </row>
    <row r="1138">
      <c r="A1138" t="inlineStr">
        <is>
          <t>FKEX01137</t>
        </is>
      </c>
      <c r="B1138" t="inlineStr">
        <is>
          <t>15 LL_Device</t>
        </is>
      </c>
      <c r="C1138" t="inlineStr">
        <is>
          <t>tblDeviceModel</t>
        </is>
      </c>
      <c r="D1138" t="n">
        <v>380</v>
      </c>
      <c r="E1138" t="inlineStr">
        <is>
          <t>MOD000377</t>
        </is>
      </c>
      <c r="F1138" t="inlineStr">
        <is>
          <t>DeviceTypeID</t>
        </is>
      </c>
      <c r="G1138" t="inlineStr">
        <is>
          <t>DT001</t>
        </is>
      </c>
      <c r="H1138" t="inlineStr">
        <is>
          <t>tblDeviceTypeIDCrosswalk</t>
        </is>
      </c>
      <c r="I1138" t="inlineStr"/>
      <c r="J1138" t="inlineStr">
        <is>
          <t>No Supported Match</t>
        </is>
      </c>
      <c r="K1138" t="inlineStr">
        <is>
          <t>None</t>
        </is>
      </c>
      <c r="L1138" t="inlineStr">
        <is>
          <t>Crosswalk Pending</t>
        </is>
      </c>
      <c r="M1138" t="inlineStr">
        <is>
          <t>Open</t>
        </is>
      </c>
      <c r="N1138" t="inlineStr"/>
    </row>
    <row r="1139">
      <c r="A1139" t="inlineStr">
        <is>
          <t>FKEX01138</t>
        </is>
      </c>
      <c r="B1139" t="inlineStr">
        <is>
          <t>15 LL_Device</t>
        </is>
      </c>
      <c r="C1139" t="inlineStr">
        <is>
          <t>tblDeviceModel</t>
        </is>
      </c>
      <c r="D1139" t="n">
        <v>381</v>
      </c>
      <c r="E1139" t="inlineStr">
        <is>
          <t>MOD000378</t>
        </is>
      </c>
      <c r="F1139" t="inlineStr">
        <is>
          <t>ManufacturerID</t>
        </is>
      </c>
      <c r="G1139" t="inlineStr">
        <is>
          <t>MFG003</t>
        </is>
      </c>
      <c r="H1139" t="inlineStr">
        <is>
          <t>tblManufacturerIDCrosswalk</t>
        </is>
      </c>
      <c r="I1139" t="inlineStr"/>
      <c r="J1139" t="inlineStr">
        <is>
          <t>No Supported Match</t>
        </is>
      </c>
      <c r="K1139" t="inlineStr">
        <is>
          <t>None</t>
        </is>
      </c>
      <c r="L1139" t="inlineStr">
        <is>
          <t>Crosswalk Pending</t>
        </is>
      </c>
      <c r="M1139" t="inlineStr">
        <is>
          <t>Open</t>
        </is>
      </c>
      <c r="N1139" t="inlineStr"/>
    </row>
    <row r="1140">
      <c r="A1140" t="inlineStr">
        <is>
          <t>FKEX01139</t>
        </is>
      </c>
      <c r="B1140" t="inlineStr">
        <is>
          <t>15 LL_Device</t>
        </is>
      </c>
      <c r="C1140" t="inlineStr">
        <is>
          <t>tblDeviceModel</t>
        </is>
      </c>
      <c r="D1140" t="n">
        <v>381</v>
      </c>
      <c r="E1140" t="inlineStr">
        <is>
          <t>MOD000378</t>
        </is>
      </c>
      <c r="F1140" t="inlineStr">
        <is>
          <t>DeviceFamilyID</t>
        </is>
      </c>
      <c r="G1140" t="inlineStr">
        <is>
          <t>DF032</t>
        </is>
      </c>
      <c r="H1140" t="inlineStr">
        <is>
          <t>tblDeviceFamilyIDCrosswalk</t>
        </is>
      </c>
      <c r="I1140" t="inlineStr"/>
      <c r="J1140" t="inlineStr">
        <is>
          <t>tblDeviceModel</t>
        </is>
      </c>
      <c r="K1140" t="inlineStr">
        <is>
          <t>Exact ID</t>
        </is>
      </c>
      <c r="L1140" t="inlineStr">
        <is>
          <t>Crosswalk Pending</t>
        </is>
      </c>
      <c r="M1140" t="inlineStr">
        <is>
          <t>Open</t>
        </is>
      </c>
      <c r="N1140" t="inlineStr"/>
    </row>
    <row r="1141">
      <c r="A1141" t="inlineStr">
        <is>
          <t>FKEX01140</t>
        </is>
      </c>
      <c r="B1141" t="inlineStr">
        <is>
          <t>15 LL_Device</t>
        </is>
      </c>
      <c r="C1141" t="inlineStr">
        <is>
          <t>tblDeviceModel</t>
        </is>
      </c>
      <c r="D1141" t="n">
        <v>381</v>
      </c>
      <c r="E1141" t="inlineStr">
        <is>
          <t>MOD000378</t>
        </is>
      </c>
      <c r="F1141" t="inlineStr">
        <is>
          <t>DeviceTypeID</t>
        </is>
      </c>
      <c r="G1141" t="inlineStr">
        <is>
          <t>DT001</t>
        </is>
      </c>
      <c r="H1141" t="inlineStr">
        <is>
          <t>tblDeviceTypeIDCrosswalk</t>
        </is>
      </c>
      <c r="I1141" t="inlineStr"/>
      <c r="J1141" t="inlineStr">
        <is>
          <t>No Supported Match</t>
        </is>
      </c>
      <c r="K1141" t="inlineStr">
        <is>
          <t>None</t>
        </is>
      </c>
      <c r="L1141" t="inlineStr">
        <is>
          <t>Crosswalk Pending</t>
        </is>
      </c>
      <c r="M1141" t="inlineStr">
        <is>
          <t>Open</t>
        </is>
      </c>
      <c r="N1141" t="inlineStr"/>
    </row>
    <row r="1142">
      <c r="A1142" t="inlineStr">
        <is>
          <t>FKEX01141</t>
        </is>
      </c>
      <c r="B1142" t="inlineStr">
        <is>
          <t>15 LL_Device</t>
        </is>
      </c>
      <c r="C1142" t="inlineStr">
        <is>
          <t>tblDeviceModel</t>
        </is>
      </c>
      <c r="D1142" t="n">
        <v>382</v>
      </c>
      <c r="E1142" t="inlineStr">
        <is>
          <t>MOD000379</t>
        </is>
      </c>
      <c r="F1142" t="inlineStr">
        <is>
          <t>ManufacturerID</t>
        </is>
      </c>
      <c r="G1142" t="inlineStr">
        <is>
          <t>MFG003</t>
        </is>
      </c>
      <c r="H1142" t="inlineStr">
        <is>
          <t>tblManufacturerIDCrosswalk</t>
        </is>
      </c>
      <c r="I1142" t="inlineStr"/>
      <c r="J1142" t="inlineStr">
        <is>
          <t>No Supported Match</t>
        </is>
      </c>
      <c r="K1142" t="inlineStr">
        <is>
          <t>None</t>
        </is>
      </c>
      <c r="L1142" t="inlineStr">
        <is>
          <t>Crosswalk Pending</t>
        </is>
      </c>
      <c r="M1142" t="inlineStr">
        <is>
          <t>Open</t>
        </is>
      </c>
      <c r="N1142" t="inlineStr"/>
    </row>
    <row r="1143">
      <c r="A1143" t="inlineStr">
        <is>
          <t>FKEX01142</t>
        </is>
      </c>
      <c r="B1143" t="inlineStr">
        <is>
          <t>15 LL_Device</t>
        </is>
      </c>
      <c r="C1143" t="inlineStr">
        <is>
          <t>tblDeviceModel</t>
        </is>
      </c>
      <c r="D1143" t="n">
        <v>382</v>
      </c>
      <c r="E1143" t="inlineStr">
        <is>
          <t>MOD000379</t>
        </is>
      </c>
      <c r="F1143" t="inlineStr">
        <is>
          <t>DeviceFamilyID</t>
        </is>
      </c>
      <c r="G1143" t="inlineStr">
        <is>
          <t>DF032</t>
        </is>
      </c>
      <c r="H1143" t="inlineStr">
        <is>
          <t>tblDeviceFamilyIDCrosswalk</t>
        </is>
      </c>
      <c r="I1143" t="inlineStr"/>
      <c r="J1143" t="inlineStr">
        <is>
          <t>tblDeviceModel</t>
        </is>
      </c>
      <c r="K1143" t="inlineStr">
        <is>
          <t>Exact ID</t>
        </is>
      </c>
      <c r="L1143" t="inlineStr">
        <is>
          <t>Crosswalk Pending</t>
        </is>
      </c>
      <c r="M1143" t="inlineStr">
        <is>
          <t>Open</t>
        </is>
      </c>
      <c r="N1143" t="inlineStr"/>
    </row>
    <row r="1144">
      <c r="A1144" t="inlineStr">
        <is>
          <t>FKEX01143</t>
        </is>
      </c>
      <c r="B1144" t="inlineStr">
        <is>
          <t>15 LL_Device</t>
        </is>
      </c>
      <c r="C1144" t="inlineStr">
        <is>
          <t>tblDeviceModel</t>
        </is>
      </c>
      <c r="D1144" t="n">
        <v>382</v>
      </c>
      <c r="E1144" t="inlineStr">
        <is>
          <t>MOD000379</t>
        </is>
      </c>
      <c r="F1144" t="inlineStr">
        <is>
          <t>DeviceTypeID</t>
        </is>
      </c>
      <c r="G1144" t="inlineStr">
        <is>
          <t>DT001</t>
        </is>
      </c>
      <c r="H1144" t="inlineStr">
        <is>
          <t>tblDeviceTypeIDCrosswalk</t>
        </is>
      </c>
      <c r="I1144" t="inlineStr"/>
      <c r="J1144" t="inlineStr">
        <is>
          <t>No Supported Match</t>
        </is>
      </c>
      <c r="K1144" t="inlineStr">
        <is>
          <t>None</t>
        </is>
      </c>
      <c r="L1144" t="inlineStr">
        <is>
          <t>Crosswalk Pending</t>
        </is>
      </c>
      <c r="M1144" t="inlineStr">
        <is>
          <t>Open</t>
        </is>
      </c>
      <c r="N1144" t="inlineStr"/>
    </row>
    <row r="1145">
      <c r="A1145" t="inlineStr">
        <is>
          <t>FKEX01144</t>
        </is>
      </c>
      <c r="B1145" t="inlineStr">
        <is>
          <t>15 LL_Device</t>
        </is>
      </c>
      <c r="C1145" t="inlineStr">
        <is>
          <t>tblDeviceModel</t>
        </is>
      </c>
      <c r="D1145" t="n">
        <v>383</v>
      </c>
      <c r="E1145" t="inlineStr">
        <is>
          <t>MOD000380</t>
        </is>
      </c>
      <c r="F1145" t="inlineStr">
        <is>
          <t>ManufacturerID</t>
        </is>
      </c>
      <c r="G1145" t="inlineStr">
        <is>
          <t>MFG003</t>
        </is>
      </c>
      <c r="H1145" t="inlineStr">
        <is>
          <t>tblManufacturerIDCrosswalk</t>
        </is>
      </c>
      <c r="I1145" t="inlineStr"/>
      <c r="J1145" t="inlineStr">
        <is>
          <t>No Supported Match</t>
        </is>
      </c>
      <c r="K1145" t="inlineStr">
        <is>
          <t>None</t>
        </is>
      </c>
      <c r="L1145" t="inlineStr">
        <is>
          <t>Crosswalk Pending</t>
        </is>
      </c>
      <c r="M1145" t="inlineStr">
        <is>
          <t>Open</t>
        </is>
      </c>
      <c r="N1145" t="inlineStr"/>
    </row>
    <row r="1146">
      <c r="A1146" t="inlineStr">
        <is>
          <t>FKEX01145</t>
        </is>
      </c>
      <c r="B1146" t="inlineStr">
        <is>
          <t>15 LL_Device</t>
        </is>
      </c>
      <c r="C1146" t="inlineStr">
        <is>
          <t>tblDeviceModel</t>
        </is>
      </c>
      <c r="D1146" t="n">
        <v>383</v>
      </c>
      <c r="E1146" t="inlineStr">
        <is>
          <t>MOD000380</t>
        </is>
      </c>
      <c r="F1146" t="inlineStr">
        <is>
          <t>DeviceFamilyID</t>
        </is>
      </c>
      <c r="G1146" t="inlineStr">
        <is>
          <t>DF032</t>
        </is>
      </c>
      <c r="H1146" t="inlineStr">
        <is>
          <t>tblDeviceFamilyIDCrosswalk</t>
        </is>
      </c>
      <c r="I1146" t="inlineStr"/>
      <c r="J1146" t="inlineStr">
        <is>
          <t>tblDeviceModel</t>
        </is>
      </c>
      <c r="K1146" t="inlineStr">
        <is>
          <t>Exact ID</t>
        </is>
      </c>
      <c r="L1146" t="inlineStr">
        <is>
          <t>Crosswalk Pending</t>
        </is>
      </c>
      <c r="M1146" t="inlineStr">
        <is>
          <t>Open</t>
        </is>
      </c>
      <c r="N1146" t="inlineStr"/>
    </row>
    <row r="1147">
      <c r="A1147" t="inlineStr">
        <is>
          <t>FKEX01146</t>
        </is>
      </c>
      <c r="B1147" t="inlineStr">
        <is>
          <t>15 LL_Device</t>
        </is>
      </c>
      <c r="C1147" t="inlineStr">
        <is>
          <t>tblDeviceModel</t>
        </is>
      </c>
      <c r="D1147" t="n">
        <v>383</v>
      </c>
      <c r="E1147" t="inlineStr">
        <is>
          <t>MOD000380</t>
        </is>
      </c>
      <c r="F1147" t="inlineStr">
        <is>
          <t>DeviceTypeID</t>
        </is>
      </c>
      <c r="G1147" t="inlineStr">
        <is>
          <t>DT001</t>
        </is>
      </c>
      <c r="H1147" t="inlineStr">
        <is>
          <t>tblDeviceTypeIDCrosswalk</t>
        </is>
      </c>
      <c r="I1147" t="inlineStr"/>
      <c r="J1147" t="inlineStr">
        <is>
          <t>No Supported Match</t>
        </is>
      </c>
      <c r="K1147" t="inlineStr">
        <is>
          <t>None</t>
        </is>
      </c>
      <c r="L1147" t="inlineStr">
        <is>
          <t>Crosswalk Pending</t>
        </is>
      </c>
      <c r="M1147" t="inlineStr">
        <is>
          <t>Open</t>
        </is>
      </c>
      <c r="N1147" t="inlineStr"/>
    </row>
    <row r="1148">
      <c r="A1148" t="inlineStr">
        <is>
          <t>FKEX01147</t>
        </is>
      </c>
      <c r="B1148" t="inlineStr">
        <is>
          <t>15 LL_Device</t>
        </is>
      </c>
      <c r="C1148" t="inlineStr">
        <is>
          <t>tblDeviceModel</t>
        </is>
      </c>
      <c r="D1148" t="n">
        <v>384</v>
      </c>
      <c r="E1148" t="inlineStr">
        <is>
          <t>MOD000381</t>
        </is>
      </c>
      <c r="F1148" t="inlineStr">
        <is>
          <t>ManufacturerID</t>
        </is>
      </c>
      <c r="G1148" t="inlineStr">
        <is>
          <t>MFG003</t>
        </is>
      </c>
      <c r="H1148" t="inlineStr">
        <is>
          <t>tblManufacturerIDCrosswalk</t>
        </is>
      </c>
      <c r="I1148" t="inlineStr"/>
      <c r="J1148" t="inlineStr">
        <is>
          <t>No Supported Match</t>
        </is>
      </c>
      <c r="K1148" t="inlineStr">
        <is>
          <t>None</t>
        </is>
      </c>
      <c r="L1148" t="inlineStr">
        <is>
          <t>Crosswalk Pending</t>
        </is>
      </c>
      <c r="M1148" t="inlineStr">
        <is>
          <t>Open</t>
        </is>
      </c>
      <c r="N1148" t="inlineStr"/>
    </row>
    <row r="1149">
      <c r="A1149" t="inlineStr">
        <is>
          <t>FKEX01148</t>
        </is>
      </c>
      <c r="B1149" t="inlineStr">
        <is>
          <t>15 LL_Device</t>
        </is>
      </c>
      <c r="C1149" t="inlineStr">
        <is>
          <t>tblDeviceModel</t>
        </is>
      </c>
      <c r="D1149" t="n">
        <v>384</v>
      </c>
      <c r="E1149" t="inlineStr">
        <is>
          <t>MOD000381</t>
        </is>
      </c>
      <c r="F1149" t="inlineStr">
        <is>
          <t>DeviceFamilyID</t>
        </is>
      </c>
      <c r="G1149" t="inlineStr">
        <is>
          <t>DF032</t>
        </is>
      </c>
      <c r="H1149" t="inlineStr">
        <is>
          <t>tblDeviceFamilyIDCrosswalk</t>
        </is>
      </c>
      <c r="I1149" t="inlineStr"/>
      <c r="J1149" t="inlineStr">
        <is>
          <t>tblDeviceModel</t>
        </is>
      </c>
      <c r="K1149" t="inlineStr">
        <is>
          <t>Exact ID</t>
        </is>
      </c>
      <c r="L1149" t="inlineStr">
        <is>
          <t>Crosswalk Pending</t>
        </is>
      </c>
      <c r="M1149" t="inlineStr">
        <is>
          <t>Open</t>
        </is>
      </c>
      <c r="N1149" t="inlineStr"/>
    </row>
    <row r="1150">
      <c r="A1150" t="inlineStr">
        <is>
          <t>FKEX01149</t>
        </is>
      </c>
      <c r="B1150" t="inlineStr">
        <is>
          <t>15 LL_Device</t>
        </is>
      </c>
      <c r="C1150" t="inlineStr">
        <is>
          <t>tblDeviceModel</t>
        </is>
      </c>
      <c r="D1150" t="n">
        <v>384</v>
      </c>
      <c r="E1150" t="inlineStr">
        <is>
          <t>MOD000381</t>
        </is>
      </c>
      <c r="F1150" t="inlineStr">
        <is>
          <t>DeviceTypeID</t>
        </is>
      </c>
      <c r="G1150" t="inlineStr">
        <is>
          <t>DT001</t>
        </is>
      </c>
      <c r="H1150" t="inlineStr">
        <is>
          <t>tblDeviceTypeIDCrosswalk</t>
        </is>
      </c>
      <c r="I1150" t="inlineStr"/>
      <c r="J1150" t="inlineStr">
        <is>
          <t>No Supported Match</t>
        </is>
      </c>
      <c r="K1150" t="inlineStr">
        <is>
          <t>None</t>
        </is>
      </c>
      <c r="L1150" t="inlineStr">
        <is>
          <t>Crosswalk Pending</t>
        </is>
      </c>
      <c r="M1150" t="inlineStr">
        <is>
          <t>Open</t>
        </is>
      </c>
      <c r="N1150" t="inlineStr"/>
    </row>
    <row r="1151">
      <c r="A1151" t="inlineStr">
        <is>
          <t>FKEX01150</t>
        </is>
      </c>
      <c r="B1151" t="inlineStr">
        <is>
          <t>15 LL_Device</t>
        </is>
      </c>
      <c r="C1151" t="inlineStr">
        <is>
          <t>tblDeviceModel</t>
        </is>
      </c>
      <c r="D1151" t="n">
        <v>385</v>
      </c>
      <c r="E1151" t="inlineStr">
        <is>
          <t>MOD000382</t>
        </is>
      </c>
      <c r="F1151" t="inlineStr">
        <is>
          <t>ManufacturerID</t>
        </is>
      </c>
      <c r="G1151" t="inlineStr">
        <is>
          <t>MFG003</t>
        </is>
      </c>
      <c r="H1151" t="inlineStr">
        <is>
          <t>tblManufacturerIDCrosswalk</t>
        </is>
      </c>
      <c r="I1151" t="inlineStr"/>
      <c r="J1151" t="inlineStr">
        <is>
          <t>No Supported Match</t>
        </is>
      </c>
      <c r="K1151" t="inlineStr">
        <is>
          <t>None</t>
        </is>
      </c>
      <c r="L1151" t="inlineStr">
        <is>
          <t>Crosswalk Pending</t>
        </is>
      </c>
      <c r="M1151" t="inlineStr">
        <is>
          <t>Open</t>
        </is>
      </c>
      <c r="N1151" t="inlineStr"/>
    </row>
    <row r="1152">
      <c r="A1152" t="inlineStr">
        <is>
          <t>FKEX01151</t>
        </is>
      </c>
      <c r="B1152" t="inlineStr">
        <is>
          <t>15 LL_Device</t>
        </is>
      </c>
      <c r="C1152" t="inlineStr">
        <is>
          <t>tblDeviceModel</t>
        </is>
      </c>
      <c r="D1152" t="n">
        <v>385</v>
      </c>
      <c r="E1152" t="inlineStr">
        <is>
          <t>MOD000382</t>
        </is>
      </c>
      <c r="F1152" t="inlineStr">
        <is>
          <t>DeviceFamilyID</t>
        </is>
      </c>
      <c r="G1152" t="inlineStr">
        <is>
          <t>DF032</t>
        </is>
      </c>
      <c r="H1152" t="inlineStr">
        <is>
          <t>tblDeviceFamilyIDCrosswalk</t>
        </is>
      </c>
      <c r="I1152" t="inlineStr"/>
      <c r="J1152" t="inlineStr">
        <is>
          <t>tblDeviceModel</t>
        </is>
      </c>
      <c r="K1152" t="inlineStr">
        <is>
          <t>Exact ID</t>
        </is>
      </c>
      <c r="L1152" t="inlineStr">
        <is>
          <t>Crosswalk Pending</t>
        </is>
      </c>
      <c r="M1152" t="inlineStr">
        <is>
          <t>Open</t>
        </is>
      </c>
      <c r="N1152" t="inlineStr"/>
    </row>
    <row r="1153">
      <c r="A1153" t="inlineStr">
        <is>
          <t>FKEX01152</t>
        </is>
      </c>
      <c r="B1153" t="inlineStr">
        <is>
          <t>15 LL_Device</t>
        </is>
      </c>
      <c r="C1153" t="inlineStr">
        <is>
          <t>tblDeviceModel</t>
        </is>
      </c>
      <c r="D1153" t="n">
        <v>385</v>
      </c>
      <c r="E1153" t="inlineStr">
        <is>
          <t>MOD000382</t>
        </is>
      </c>
      <c r="F1153" t="inlineStr">
        <is>
          <t>DeviceTypeID</t>
        </is>
      </c>
      <c r="G1153" t="inlineStr">
        <is>
          <t>DT001</t>
        </is>
      </c>
      <c r="H1153" t="inlineStr">
        <is>
          <t>tblDeviceTypeIDCrosswalk</t>
        </is>
      </c>
      <c r="I1153" t="inlineStr"/>
      <c r="J1153" t="inlineStr">
        <is>
          <t>No Supported Match</t>
        </is>
      </c>
      <c r="K1153" t="inlineStr">
        <is>
          <t>None</t>
        </is>
      </c>
      <c r="L1153" t="inlineStr">
        <is>
          <t>Crosswalk Pending</t>
        </is>
      </c>
      <c r="M1153" t="inlineStr">
        <is>
          <t>Open</t>
        </is>
      </c>
      <c r="N1153" t="inlineStr"/>
    </row>
    <row r="1154">
      <c r="A1154" t="inlineStr">
        <is>
          <t>FKEX01153</t>
        </is>
      </c>
      <c r="B1154" t="inlineStr">
        <is>
          <t>15 LL_Device</t>
        </is>
      </c>
      <c r="C1154" t="inlineStr">
        <is>
          <t>tblDeviceModel</t>
        </is>
      </c>
      <c r="D1154" t="n">
        <v>386</v>
      </c>
      <c r="E1154" t="inlineStr">
        <is>
          <t>MOD000383</t>
        </is>
      </c>
      <c r="F1154" t="inlineStr">
        <is>
          <t>ManufacturerID</t>
        </is>
      </c>
      <c r="G1154" t="inlineStr">
        <is>
          <t>MFG003</t>
        </is>
      </c>
      <c r="H1154" t="inlineStr">
        <is>
          <t>tblManufacturerIDCrosswalk</t>
        </is>
      </c>
      <c r="I1154" t="inlineStr"/>
      <c r="J1154" t="inlineStr">
        <is>
          <t>No Supported Match</t>
        </is>
      </c>
      <c r="K1154" t="inlineStr">
        <is>
          <t>None</t>
        </is>
      </c>
      <c r="L1154" t="inlineStr">
        <is>
          <t>Crosswalk Pending</t>
        </is>
      </c>
      <c r="M1154" t="inlineStr">
        <is>
          <t>Open</t>
        </is>
      </c>
      <c r="N1154" t="inlineStr"/>
    </row>
    <row r="1155">
      <c r="A1155" t="inlineStr">
        <is>
          <t>FKEX01154</t>
        </is>
      </c>
      <c r="B1155" t="inlineStr">
        <is>
          <t>15 LL_Device</t>
        </is>
      </c>
      <c r="C1155" t="inlineStr">
        <is>
          <t>tblDeviceModel</t>
        </is>
      </c>
      <c r="D1155" t="n">
        <v>386</v>
      </c>
      <c r="E1155" t="inlineStr">
        <is>
          <t>MOD000383</t>
        </is>
      </c>
      <c r="F1155" t="inlineStr">
        <is>
          <t>DeviceFamilyID</t>
        </is>
      </c>
      <c r="G1155" t="inlineStr">
        <is>
          <t>DF032</t>
        </is>
      </c>
      <c r="H1155" t="inlineStr">
        <is>
          <t>tblDeviceFamilyIDCrosswalk</t>
        </is>
      </c>
      <c r="I1155" t="inlineStr"/>
      <c r="J1155" t="inlineStr">
        <is>
          <t>tblDeviceModel</t>
        </is>
      </c>
      <c r="K1155" t="inlineStr">
        <is>
          <t>Exact ID</t>
        </is>
      </c>
      <c r="L1155" t="inlineStr">
        <is>
          <t>Crosswalk Pending</t>
        </is>
      </c>
      <c r="M1155" t="inlineStr">
        <is>
          <t>Open</t>
        </is>
      </c>
      <c r="N1155" t="inlineStr"/>
    </row>
    <row r="1156">
      <c r="A1156" t="inlineStr">
        <is>
          <t>FKEX01155</t>
        </is>
      </c>
      <c r="B1156" t="inlineStr">
        <is>
          <t>15 LL_Device</t>
        </is>
      </c>
      <c r="C1156" t="inlineStr">
        <is>
          <t>tblDeviceModel</t>
        </is>
      </c>
      <c r="D1156" t="n">
        <v>386</v>
      </c>
      <c r="E1156" t="inlineStr">
        <is>
          <t>MOD000383</t>
        </is>
      </c>
      <c r="F1156" t="inlineStr">
        <is>
          <t>DeviceTypeID</t>
        </is>
      </c>
      <c r="G1156" t="inlineStr">
        <is>
          <t>DT001</t>
        </is>
      </c>
      <c r="H1156" t="inlineStr">
        <is>
          <t>tblDeviceTypeIDCrosswalk</t>
        </is>
      </c>
      <c r="I1156" t="inlineStr"/>
      <c r="J1156" t="inlineStr">
        <is>
          <t>No Supported Match</t>
        </is>
      </c>
      <c r="K1156" t="inlineStr">
        <is>
          <t>None</t>
        </is>
      </c>
      <c r="L1156" t="inlineStr">
        <is>
          <t>Crosswalk Pending</t>
        </is>
      </c>
      <c r="M1156" t="inlineStr">
        <is>
          <t>Open</t>
        </is>
      </c>
      <c r="N1156" t="inlineStr"/>
    </row>
    <row r="1157">
      <c r="A1157" t="inlineStr">
        <is>
          <t>FKEX01156</t>
        </is>
      </c>
      <c r="B1157" t="inlineStr">
        <is>
          <t>15 LL_Device</t>
        </is>
      </c>
      <c r="C1157" t="inlineStr">
        <is>
          <t>tblDeviceModel</t>
        </is>
      </c>
      <c r="D1157" t="n">
        <v>387</v>
      </c>
      <c r="E1157" t="inlineStr">
        <is>
          <t>MOD000384</t>
        </is>
      </c>
      <c r="F1157" t="inlineStr">
        <is>
          <t>ManufacturerID</t>
        </is>
      </c>
      <c r="G1157" t="inlineStr">
        <is>
          <t>MFG003</t>
        </is>
      </c>
      <c r="H1157" t="inlineStr">
        <is>
          <t>tblManufacturerIDCrosswalk</t>
        </is>
      </c>
      <c r="I1157" t="inlineStr"/>
      <c r="J1157" t="inlineStr">
        <is>
          <t>No Supported Match</t>
        </is>
      </c>
      <c r="K1157" t="inlineStr">
        <is>
          <t>None</t>
        </is>
      </c>
      <c r="L1157" t="inlineStr">
        <is>
          <t>Crosswalk Pending</t>
        </is>
      </c>
      <c r="M1157" t="inlineStr">
        <is>
          <t>Open</t>
        </is>
      </c>
      <c r="N1157" t="inlineStr"/>
    </row>
    <row r="1158">
      <c r="A1158" t="inlineStr">
        <is>
          <t>FKEX01157</t>
        </is>
      </c>
      <c r="B1158" t="inlineStr">
        <is>
          <t>15 LL_Device</t>
        </is>
      </c>
      <c r="C1158" t="inlineStr">
        <is>
          <t>tblDeviceModel</t>
        </is>
      </c>
      <c r="D1158" t="n">
        <v>387</v>
      </c>
      <c r="E1158" t="inlineStr">
        <is>
          <t>MOD000384</t>
        </is>
      </c>
      <c r="F1158" t="inlineStr">
        <is>
          <t>DeviceFamilyID</t>
        </is>
      </c>
      <c r="G1158" t="inlineStr">
        <is>
          <t>DF032</t>
        </is>
      </c>
      <c r="H1158" t="inlineStr">
        <is>
          <t>tblDeviceFamilyIDCrosswalk</t>
        </is>
      </c>
      <c r="I1158" t="inlineStr"/>
      <c r="J1158" t="inlineStr">
        <is>
          <t>tblDeviceModel</t>
        </is>
      </c>
      <c r="K1158" t="inlineStr">
        <is>
          <t>Exact ID</t>
        </is>
      </c>
      <c r="L1158" t="inlineStr">
        <is>
          <t>Crosswalk Pending</t>
        </is>
      </c>
      <c r="M1158" t="inlineStr">
        <is>
          <t>Open</t>
        </is>
      </c>
      <c r="N1158" t="inlineStr"/>
    </row>
    <row r="1159">
      <c r="A1159" t="inlineStr">
        <is>
          <t>FKEX01158</t>
        </is>
      </c>
      <c r="B1159" t="inlineStr">
        <is>
          <t>15 LL_Device</t>
        </is>
      </c>
      <c r="C1159" t="inlineStr">
        <is>
          <t>tblDeviceModel</t>
        </is>
      </c>
      <c r="D1159" t="n">
        <v>387</v>
      </c>
      <c r="E1159" t="inlineStr">
        <is>
          <t>MOD000384</t>
        </is>
      </c>
      <c r="F1159" t="inlineStr">
        <is>
          <t>DeviceTypeID</t>
        </is>
      </c>
      <c r="G1159" t="inlineStr">
        <is>
          <t>DT001</t>
        </is>
      </c>
      <c r="H1159" t="inlineStr">
        <is>
          <t>tblDeviceTypeIDCrosswalk</t>
        </is>
      </c>
      <c r="I1159" t="inlineStr"/>
      <c r="J1159" t="inlineStr">
        <is>
          <t>No Supported Match</t>
        </is>
      </c>
      <c r="K1159" t="inlineStr">
        <is>
          <t>None</t>
        </is>
      </c>
      <c r="L1159" t="inlineStr">
        <is>
          <t>Crosswalk Pending</t>
        </is>
      </c>
      <c r="M1159" t="inlineStr">
        <is>
          <t>Open</t>
        </is>
      </c>
      <c r="N1159" t="inlineStr"/>
    </row>
    <row r="1160">
      <c r="A1160" t="inlineStr">
        <is>
          <t>FKEX01159</t>
        </is>
      </c>
      <c r="B1160" t="inlineStr">
        <is>
          <t>15 LL_Device</t>
        </is>
      </c>
      <c r="C1160" t="inlineStr">
        <is>
          <t>tblDeviceModel</t>
        </is>
      </c>
      <c r="D1160" t="n">
        <v>388</v>
      </c>
      <c r="E1160" t="inlineStr">
        <is>
          <t>MOD000385</t>
        </is>
      </c>
      <c r="F1160" t="inlineStr">
        <is>
          <t>ManufacturerID</t>
        </is>
      </c>
      <c r="G1160" t="inlineStr">
        <is>
          <t>MFG004</t>
        </is>
      </c>
      <c r="H1160" t="inlineStr">
        <is>
          <t>tblManufacturerIDCrosswalk</t>
        </is>
      </c>
      <c r="I1160" t="inlineStr"/>
      <c r="J1160" t="inlineStr">
        <is>
          <t>No Supported Match</t>
        </is>
      </c>
      <c r="K1160" t="inlineStr">
        <is>
          <t>None</t>
        </is>
      </c>
      <c r="L1160" t="inlineStr">
        <is>
          <t>Crosswalk Pending</t>
        </is>
      </c>
      <c r="M1160" t="inlineStr">
        <is>
          <t>Open</t>
        </is>
      </c>
      <c r="N1160" t="inlineStr"/>
    </row>
    <row r="1161">
      <c r="A1161" t="inlineStr">
        <is>
          <t>FKEX01160</t>
        </is>
      </c>
      <c r="B1161" t="inlineStr">
        <is>
          <t>15 LL_Device</t>
        </is>
      </c>
      <c r="C1161" t="inlineStr">
        <is>
          <t>tblDeviceModel</t>
        </is>
      </c>
      <c r="D1161" t="n">
        <v>388</v>
      </c>
      <c r="E1161" t="inlineStr">
        <is>
          <t>MOD000385</t>
        </is>
      </c>
      <c r="F1161" t="inlineStr">
        <is>
          <t>DeviceFamilyID</t>
        </is>
      </c>
      <c r="G1161" t="inlineStr">
        <is>
          <t>DF040</t>
        </is>
      </c>
      <c r="H1161" t="inlineStr">
        <is>
          <t>tblDeviceFamilyIDCrosswalk</t>
        </is>
      </c>
      <c r="I1161" t="inlineStr"/>
      <c r="J1161" t="inlineStr">
        <is>
          <t>tblDeviceModel</t>
        </is>
      </c>
      <c r="K1161" t="inlineStr">
        <is>
          <t>Exact ID</t>
        </is>
      </c>
      <c r="L1161" t="inlineStr">
        <is>
          <t>Crosswalk Pending</t>
        </is>
      </c>
      <c r="M1161" t="inlineStr">
        <is>
          <t>Open</t>
        </is>
      </c>
      <c r="N1161" t="inlineStr"/>
    </row>
    <row r="1162">
      <c r="A1162" t="inlineStr">
        <is>
          <t>FKEX01161</t>
        </is>
      </c>
      <c r="B1162" t="inlineStr">
        <is>
          <t>15 LL_Device</t>
        </is>
      </c>
      <c r="C1162" t="inlineStr">
        <is>
          <t>tblDeviceModel</t>
        </is>
      </c>
      <c r="D1162" t="n">
        <v>388</v>
      </c>
      <c r="E1162" t="inlineStr">
        <is>
          <t>MOD000385</t>
        </is>
      </c>
      <c r="F1162" t="inlineStr">
        <is>
          <t>DeviceTypeID</t>
        </is>
      </c>
      <c r="G1162" t="inlineStr">
        <is>
          <t>DT001</t>
        </is>
      </c>
      <c r="H1162" t="inlineStr">
        <is>
          <t>tblDeviceTypeIDCrosswalk</t>
        </is>
      </c>
      <c r="I1162" t="inlineStr"/>
      <c r="J1162" t="inlineStr">
        <is>
          <t>No Supported Match</t>
        </is>
      </c>
      <c r="K1162" t="inlineStr">
        <is>
          <t>None</t>
        </is>
      </c>
      <c r="L1162" t="inlineStr">
        <is>
          <t>Crosswalk Pending</t>
        </is>
      </c>
      <c r="M1162" t="inlineStr">
        <is>
          <t>Open</t>
        </is>
      </c>
      <c r="N1162" t="inlineStr"/>
    </row>
    <row r="1163">
      <c r="A1163" t="inlineStr">
        <is>
          <t>FKEX01162</t>
        </is>
      </c>
      <c r="B1163" t="inlineStr">
        <is>
          <t>15 LL_Device</t>
        </is>
      </c>
      <c r="C1163" t="inlineStr">
        <is>
          <t>tblDeviceModel</t>
        </is>
      </c>
      <c r="D1163" t="n">
        <v>389</v>
      </c>
      <c r="E1163" t="inlineStr">
        <is>
          <t>MOD000386</t>
        </is>
      </c>
      <c r="F1163" t="inlineStr">
        <is>
          <t>ManufacturerID</t>
        </is>
      </c>
      <c r="G1163" t="inlineStr">
        <is>
          <t>MFG004</t>
        </is>
      </c>
      <c r="H1163" t="inlineStr">
        <is>
          <t>tblManufacturerIDCrosswalk</t>
        </is>
      </c>
      <c r="I1163" t="inlineStr"/>
      <c r="J1163" t="inlineStr">
        <is>
          <t>No Supported Match</t>
        </is>
      </c>
      <c r="K1163" t="inlineStr">
        <is>
          <t>None</t>
        </is>
      </c>
      <c r="L1163" t="inlineStr">
        <is>
          <t>Crosswalk Pending</t>
        </is>
      </c>
      <c r="M1163" t="inlineStr">
        <is>
          <t>Open</t>
        </is>
      </c>
      <c r="N1163" t="inlineStr"/>
    </row>
    <row r="1164">
      <c r="A1164" t="inlineStr">
        <is>
          <t>FKEX01163</t>
        </is>
      </c>
      <c r="B1164" t="inlineStr">
        <is>
          <t>15 LL_Device</t>
        </is>
      </c>
      <c r="C1164" t="inlineStr">
        <is>
          <t>tblDeviceModel</t>
        </is>
      </c>
      <c r="D1164" t="n">
        <v>389</v>
      </c>
      <c r="E1164" t="inlineStr">
        <is>
          <t>MOD000386</t>
        </is>
      </c>
      <c r="F1164" t="inlineStr">
        <is>
          <t>DeviceFamilyID</t>
        </is>
      </c>
      <c r="G1164" t="inlineStr">
        <is>
          <t>DF040</t>
        </is>
      </c>
      <c r="H1164" t="inlineStr">
        <is>
          <t>tblDeviceFamilyIDCrosswalk</t>
        </is>
      </c>
      <c r="I1164" t="inlineStr"/>
      <c r="J1164" t="inlineStr">
        <is>
          <t>tblDeviceModel</t>
        </is>
      </c>
      <c r="K1164" t="inlineStr">
        <is>
          <t>Exact ID</t>
        </is>
      </c>
      <c r="L1164" t="inlineStr">
        <is>
          <t>Crosswalk Pending</t>
        </is>
      </c>
      <c r="M1164" t="inlineStr">
        <is>
          <t>Open</t>
        </is>
      </c>
      <c r="N1164" t="inlineStr"/>
    </row>
    <row r="1165">
      <c r="A1165" t="inlineStr">
        <is>
          <t>FKEX01164</t>
        </is>
      </c>
      <c r="B1165" t="inlineStr">
        <is>
          <t>15 LL_Device</t>
        </is>
      </c>
      <c r="C1165" t="inlineStr">
        <is>
          <t>tblDeviceModel</t>
        </is>
      </c>
      <c r="D1165" t="n">
        <v>389</v>
      </c>
      <c r="E1165" t="inlineStr">
        <is>
          <t>MOD000386</t>
        </is>
      </c>
      <c r="F1165" t="inlineStr">
        <is>
          <t>DeviceTypeID</t>
        </is>
      </c>
      <c r="G1165" t="inlineStr">
        <is>
          <t>DT001</t>
        </is>
      </c>
      <c r="H1165" t="inlineStr">
        <is>
          <t>tblDeviceTypeIDCrosswalk</t>
        </is>
      </c>
      <c r="I1165" t="inlineStr"/>
      <c r="J1165" t="inlineStr">
        <is>
          <t>No Supported Match</t>
        </is>
      </c>
      <c r="K1165" t="inlineStr">
        <is>
          <t>None</t>
        </is>
      </c>
      <c r="L1165" t="inlineStr">
        <is>
          <t>Crosswalk Pending</t>
        </is>
      </c>
      <c r="M1165" t="inlineStr">
        <is>
          <t>Open</t>
        </is>
      </c>
      <c r="N1165" t="inlineStr"/>
    </row>
    <row r="1166">
      <c r="A1166" t="inlineStr">
        <is>
          <t>FKEX01165</t>
        </is>
      </c>
      <c r="B1166" t="inlineStr">
        <is>
          <t>15 LL_Device</t>
        </is>
      </c>
      <c r="C1166" t="inlineStr">
        <is>
          <t>tblDeviceModel</t>
        </is>
      </c>
      <c r="D1166" t="n">
        <v>390</v>
      </c>
      <c r="E1166" t="inlineStr">
        <is>
          <t>MOD000387</t>
        </is>
      </c>
      <c r="F1166" t="inlineStr">
        <is>
          <t>ManufacturerID</t>
        </is>
      </c>
      <c r="G1166" t="inlineStr">
        <is>
          <t>MFG004</t>
        </is>
      </c>
      <c r="H1166" t="inlineStr">
        <is>
          <t>tblManufacturerIDCrosswalk</t>
        </is>
      </c>
      <c r="I1166" t="inlineStr"/>
      <c r="J1166" t="inlineStr">
        <is>
          <t>No Supported Match</t>
        </is>
      </c>
      <c r="K1166" t="inlineStr">
        <is>
          <t>None</t>
        </is>
      </c>
      <c r="L1166" t="inlineStr">
        <is>
          <t>Crosswalk Pending</t>
        </is>
      </c>
      <c r="M1166" t="inlineStr">
        <is>
          <t>Open</t>
        </is>
      </c>
      <c r="N1166" t="inlineStr"/>
    </row>
    <row r="1167">
      <c r="A1167" t="inlineStr">
        <is>
          <t>FKEX01166</t>
        </is>
      </c>
      <c r="B1167" t="inlineStr">
        <is>
          <t>15 LL_Device</t>
        </is>
      </c>
      <c r="C1167" t="inlineStr">
        <is>
          <t>tblDeviceModel</t>
        </is>
      </c>
      <c r="D1167" t="n">
        <v>390</v>
      </c>
      <c r="E1167" t="inlineStr">
        <is>
          <t>MOD000387</t>
        </is>
      </c>
      <c r="F1167" t="inlineStr">
        <is>
          <t>DeviceFamilyID</t>
        </is>
      </c>
      <c r="G1167" t="inlineStr">
        <is>
          <t>DF040</t>
        </is>
      </c>
      <c r="H1167" t="inlineStr">
        <is>
          <t>tblDeviceFamilyIDCrosswalk</t>
        </is>
      </c>
      <c r="I1167" t="inlineStr"/>
      <c r="J1167" t="inlineStr">
        <is>
          <t>tblDeviceModel</t>
        </is>
      </c>
      <c r="K1167" t="inlineStr">
        <is>
          <t>Exact ID</t>
        </is>
      </c>
      <c r="L1167" t="inlineStr">
        <is>
          <t>Crosswalk Pending</t>
        </is>
      </c>
      <c r="M1167" t="inlineStr">
        <is>
          <t>Open</t>
        </is>
      </c>
      <c r="N1167" t="inlineStr"/>
    </row>
    <row r="1168">
      <c r="A1168" t="inlineStr">
        <is>
          <t>FKEX01167</t>
        </is>
      </c>
      <c r="B1168" t="inlineStr">
        <is>
          <t>15 LL_Device</t>
        </is>
      </c>
      <c r="C1168" t="inlineStr">
        <is>
          <t>tblDeviceModel</t>
        </is>
      </c>
      <c r="D1168" t="n">
        <v>390</v>
      </c>
      <c r="E1168" t="inlineStr">
        <is>
          <t>MOD000387</t>
        </is>
      </c>
      <c r="F1168" t="inlineStr">
        <is>
          <t>DeviceTypeID</t>
        </is>
      </c>
      <c r="G1168" t="inlineStr">
        <is>
          <t>DT001</t>
        </is>
      </c>
      <c r="H1168" t="inlineStr">
        <is>
          <t>tblDeviceTypeIDCrosswalk</t>
        </is>
      </c>
      <c r="I1168" t="inlineStr"/>
      <c r="J1168" t="inlineStr">
        <is>
          <t>No Supported Match</t>
        </is>
      </c>
      <c r="K1168" t="inlineStr">
        <is>
          <t>None</t>
        </is>
      </c>
      <c r="L1168" t="inlineStr">
        <is>
          <t>Crosswalk Pending</t>
        </is>
      </c>
      <c r="M1168" t="inlineStr">
        <is>
          <t>Open</t>
        </is>
      </c>
      <c r="N1168" t="inlineStr"/>
    </row>
    <row r="1169">
      <c r="A1169" t="inlineStr">
        <is>
          <t>FKEX01168</t>
        </is>
      </c>
      <c r="B1169" t="inlineStr">
        <is>
          <t>15 LL_Device</t>
        </is>
      </c>
      <c r="C1169" t="inlineStr">
        <is>
          <t>tblDeviceModel</t>
        </is>
      </c>
      <c r="D1169" t="n">
        <v>391</v>
      </c>
      <c r="E1169" t="inlineStr">
        <is>
          <t>MOD000388</t>
        </is>
      </c>
      <c r="F1169" t="inlineStr">
        <is>
          <t>ManufacturerID</t>
        </is>
      </c>
      <c r="G1169" t="inlineStr">
        <is>
          <t>MFG004</t>
        </is>
      </c>
      <c r="H1169" t="inlineStr">
        <is>
          <t>tblManufacturerIDCrosswalk</t>
        </is>
      </c>
      <c r="I1169" t="inlineStr"/>
      <c r="J1169" t="inlineStr">
        <is>
          <t>No Supported Match</t>
        </is>
      </c>
      <c r="K1169" t="inlineStr">
        <is>
          <t>None</t>
        </is>
      </c>
      <c r="L1169" t="inlineStr">
        <is>
          <t>Crosswalk Pending</t>
        </is>
      </c>
      <c r="M1169" t="inlineStr">
        <is>
          <t>Open</t>
        </is>
      </c>
      <c r="N1169" t="inlineStr"/>
    </row>
    <row r="1170">
      <c r="A1170" t="inlineStr">
        <is>
          <t>FKEX01169</t>
        </is>
      </c>
      <c r="B1170" t="inlineStr">
        <is>
          <t>15 LL_Device</t>
        </is>
      </c>
      <c r="C1170" t="inlineStr">
        <is>
          <t>tblDeviceModel</t>
        </is>
      </c>
      <c r="D1170" t="n">
        <v>391</v>
      </c>
      <c r="E1170" t="inlineStr">
        <is>
          <t>MOD000388</t>
        </is>
      </c>
      <c r="F1170" t="inlineStr">
        <is>
          <t>DeviceFamilyID</t>
        </is>
      </c>
      <c r="G1170" t="inlineStr">
        <is>
          <t>DF040</t>
        </is>
      </c>
      <c r="H1170" t="inlineStr">
        <is>
          <t>tblDeviceFamilyIDCrosswalk</t>
        </is>
      </c>
      <c r="I1170" t="inlineStr"/>
      <c r="J1170" t="inlineStr">
        <is>
          <t>tblDeviceModel</t>
        </is>
      </c>
      <c r="K1170" t="inlineStr">
        <is>
          <t>Exact ID</t>
        </is>
      </c>
      <c r="L1170" t="inlineStr">
        <is>
          <t>Crosswalk Pending</t>
        </is>
      </c>
      <c r="M1170" t="inlineStr">
        <is>
          <t>Open</t>
        </is>
      </c>
      <c r="N1170" t="inlineStr"/>
    </row>
    <row r="1171">
      <c r="A1171" t="inlineStr">
        <is>
          <t>FKEX01170</t>
        </is>
      </c>
      <c r="B1171" t="inlineStr">
        <is>
          <t>15 LL_Device</t>
        </is>
      </c>
      <c r="C1171" t="inlineStr">
        <is>
          <t>tblDeviceModel</t>
        </is>
      </c>
      <c r="D1171" t="n">
        <v>391</v>
      </c>
      <c r="E1171" t="inlineStr">
        <is>
          <t>MOD000388</t>
        </is>
      </c>
      <c r="F1171" t="inlineStr">
        <is>
          <t>DeviceTypeID</t>
        </is>
      </c>
      <c r="G1171" t="inlineStr">
        <is>
          <t>DT001</t>
        </is>
      </c>
      <c r="H1171" t="inlineStr">
        <is>
          <t>tblDeviceTypeIDCrosswalk</t>
        </is>
      </c>
      <c r="I1171" t="inlineStr"/>
      <c r="J1171" t="inlineStr">
        <is>
          <t>No Supported Match</t>
        </is>
      </c>
      <c r="K1171" t="inlineStr">
        <is>
          <t>None</t>
        </is>
      </c>
      <c r="L1171" t="inlineStr">
        <is>
          <t>Crosswalk Pending</t>
        </is>
      </c>
      <c r="M1171" t="inlineStr">
        <is>
          <t>Open</t>
        </is>
      </c>
      <c r="N1171" t="inlineStr"/>
    </row>
    <row r="1172">
      <c r="A1172" t="inlineStr">
        <is>
          <t>FKEX01171</t>
        </is>
      </c>
      <c r="B1172" t="inlineStr">
        <is>
          <t>15 LL_Device</t>
        </is>
      </c>
      <c r="C1172" t="inlineStr">
        <is>
          <t>tblDeviceModel</t>
        </is>
      </c>
      <c r="D1172" t="n">
        <v>392</v>
      </c>
      <c r="E1172" t="inlineStr">
        <is>
          <t>MOD000389</t>
        </is>
      </c>
      <c r="F1172" t="inlineStr">
        <is>
          <t>ManufacturerID</t>
        </is>
      </c>
      <c r="G1172" t="inlineStr">
        <is>
          <t>MFG004</t>
        </is>
      </c>
      <c r="H1172" t="inlineStr">
        <is>
          <t>tblManufacturerIDCrosswalk</t>
        </is>
      </c>
      <c r="I1172" t="inlineStr"/>
      <c r="J1172" t="inlineStr">
        <is>
          <t>No Supported Match</t>
        </is>
      </c>
      <c r="K1172" t="inlineStr">
        <is>
          <t>None</t>
        </is>
      </c>
      <c r="L1172" t="inlineStr">
        <is>
          <t>Crosswalk Pending</t>
        </is>
      </c>
      <c r="M1172" t="inlineStr">
        <is>
          <t>Open</t>
        </is>
      </c>
      <c r="N1172" t="inlineStr"/>
    </row>
    <row r="1173">
      <c r="A1173" t="inlineStr">
        <is>
          <t>FKEX01172</t>
        </is>
      </c>
      <c r="B1173" t="inlineStr">
        <is>
          <t>15 LL_Device</t>
        </is>
      </c>
      <c r="C1173" t="inlineStr">
        <is>
          <t>tblDeviceModel</t>
        </is>
      </c>
      <c r="D1173" t="n">
        <v>392</v>
      </c>
      <c r="E1173" t="inlineStr">
        <is>
          <t>MOD000389</t>
        </is>
      </c>
      <c r="F1173" t="inlineStr">
        <is>
          <t>DeviceFamilyID</t>
        </is>
      </c>
      <c r="G1173" t="inlineStr">
        <is>
          <t>DF040</t>
        </is>
      </c>
      <c r="H1173" t="inlineStr">
        <is>
          <t>tblDeviceFamilyIDCrosswalk</t>
        </is>
      </c>
      <c r="I1173" t="inlineStr"/>
      <c r="J1173" t="inlineStr">
        <is>
          <t>tblDeviceModel</t>
        </is>
      </c>
      <c r="K1173" t="inlineStr">
        <is>
          <t>Exact ID</t>
        </is>
      </c>
      <c r="L1173" t="inlineStr">
        <is>
          <t>Crosswalk Pending</t>
        </is>
      </c>
      <c r="M1173" t="inlineStr">
        <is>
          <t>Open</t>
        </is>
      </c>
      <c r="N1173" t="inlineStr"/>
    </row>
    <row r="1174">
      <c r="A1174" t="inlineStr">
        <is>
          <t>FKEX01173</t>
        </is>
      </c>
      <c r="B1174" t="inlineStr">
        <is>
          <t>15 LL_Device</t>
        </is>
      </c>
      <c r="C1174" t="inlineStr">
        <is>
          <t>tblDeviceModel</t>
        </is>
      </c>
      <c r="D1174" t="n">
        <v>392</v>
      </c>
      <c r="E1174" t="inlineStr">
        <is>
          <t>MOD000389</t>
        </is>
      </c>
      <c r="F1174" t="inlineStr">
        <is>
          <t>DeviceTypeID</t>
        </is>
      </c>
      <c r="G1174" t="inlineStr">
        <is>
          <t>DT001</t>
        </is>
      </c>
      <c r="H1174" t="inlineStr">
        <is>
          <t>tblDeviceTypeIDCrosswalk</t>
        </is>
      </c>
      <c r="I1174" t="inlineStr"/>
      <c r="J1174" t="inlineStr">
        <is>
          <t>No Supported Match</t>
        </is>
      </c>
      <c r="K1174" t="inlineStr">
        <is>
          <t>None</t>
        </is>
      </c>
      <c r="L1174" t="inlineStr">
        <is>
          <t>Crosswalk Pending</t>
        </is>
      </c>
      <c r="M1174" t="inlineStr">
        <is>
          <t>Open</t>
        </is>
      </c>
      <c r="N1174" t="inlineStr"/>
    </row>
    <row r="1175">
      <c r="A1175" t="inlineStr">
        <is>
          <t>FKEX01174</t>
        </is>
      </c>
      <c r="B1175" t="inlineStr">
        <is>
          <t>15 LL_Device</t>
        </is>
      </c>
      <c r="C1175" t="inlineStr">
        <is>
          <t>tblDeviceModel</t>
        </is>
      </c>
      <c r="D1175" t="n">
        <v>393</v>
      </c>
      <c r="E1175" t="inlineStr">
        <is>
          <t>MOD000390</t>
        </is>
      </c>
      <c r="F1175" t="inlineStr">
        <is>
          <t>ManufacturerID</t>
        </is>
      </c>
      <c r="G1175" t="inlineStr">
        <is>
          <t>MFG004</t>
        </is>
      </c>
      <c r="H1175" t="inlineStr">
        <is>
          <t>tblManufacturerIDCrosswalk</t>
        </is>
      </c>
      <c r="I1175" t="inlineStr"/>
      <c r="J1175" t="inlineStr">
        <is>
          <t>No Supported Match</t>
        </is>
      </c>
      <c r="K1175" t="inlineStr">
        <is>
          <t>None</t>
        </is>
      </c>
      <c r="L1175" t="inlineStr">
        <is>
          <t>Crosswalk Pending</t>
        </is>
      </c>
      <c r="M1175" t="inlineStr">
        <is>
          <t>Open</t>
        </is>
      </c>
      <c r="N1175" t="inlineStr"/>
    </row>
    <row r="1176">
      <c r="A1176" t="inlineStr">
        <is>
          <t>FKEX01175</t>
        </is>
      </c>
      <c r="B1176" t="inlineStr">
        <is>
          <t>15 LL_Device</t>
        </is>
      </c>
      <c r="C1176" t="inlineStr">
        <is>
          <t>tblDeviceModel</t>
        </is>
      </c>
      <c r="D1176" t="n">
        <v>393</v>
      </c>
      <c r="E1176" t="inlineStr">
        <is>
          <t>MOD000390</t>
        </is>
      </c>
      <c r="F1176" t="inlineStr">
        <is>
          <t>DeviceFamilyID</t>
        </is>
      </c>
      <c r="G1176" t="inlineStr">
        <is>
          <t>DF040</t>
        </is>
      </c>
      <c r="H1176" t="inlineStr">
        <is>
          <t>tblDeviceFamilyIDCrosswalk</t>
        </is>
      </c>
      <c r="I1176" t="inlineStr"/>
      <c r="J1176" t="inlineStr">
        <is>
          <t>tblDeviceModel</t>
        </is>
      </c>
      <c r="K1176" t="inlineStr">
        <is>
          <t>Exact ID</t>
        </is>
      </c>
      <c r="L1176" t="inlineStr">
        <is>
          <t>Crosswalk Pending</t>
        </is>
      </c>
      <c r="M1176" t="inlineStr">
        <is>
          <t>Open</t>
        </is>
      </c>
      <c r="N1176" t="inlineStr"/>
    </row>
    <row r="1177">
      <c r="A1177" t="inlineStr">
        <is>
          <t>FKEX01176</t>
        </is>
      </c>
      <c r="B1177" t="inlineStr">
        <is>
          <t>15 LL_Device</t>
        </is>
      </c>
      <c r="C1177" t="inlineStr">
        <is>
          <t>tblDeviceModel</t>
        </is>
      </c>
      <c r="D1177" t="n">
        <v>393</v>
      </c>
      <c r="E1177" t="inlineStr">
        <is>
          <t>MOD000390</t>
        </is>
      </c>
      <c r="F1177" t="inlineStr">
        <is>
          <t>DeviceTypeID</t>
        </is>
      </c>
      <c r="G1177" t="inlineStr">
        <is>
          <t>DT001</t>
        </is>
      </c>
      <c r="H1177" t="inlineStr">
        <is>
          <t>tblDeviceTypeIDCrosswalk</t>
        </is>
      </c>
      <c r="I1177" t="inlineStr"/>
      <c r="J1177" t="inlineStr">
        <is>
          <t>No Supported Match</t>
        </is>
      </c>
      <c r="K1177" t="inlineStr">
        <is>
          <t>None</t>
        </is>
      </c>
      <c r="L1177" t="inlineStr">
        <is>
          <t>Crosswalk Pending</t>
        </is>
      </c>
      <c r="M1177" t="inlineStr">
        <is>
          <t>Open</t>
        </is>
      </c>
      <c r="N1177" t="inlineStr"/>
    </row>
    <row r="1178">
      <c r="A1178" t="inlineStr">
        <is>
          <t>FKEX01177</t>
        </is>
      </c>
      <c r="B1178" t="inlineStr">
        <is>
          <t>15 LL_Device</t>
        </is>
      </c>
      <c r="C1178" t="inlineStr">
        <is>
          <t>tblDeviceModel</t>
        </is>
      </c>
      <c r="D1178" t="n">
        <v>394</v>
      </c>
      <c r="E1178" t="inlineStr">
        <is>
          <t>MOD000391</t>
        </is>
      </c>
      <c r="F1178" t="inlineStr">
        <is>
          <t>ManufacturerID</t>
        </is>
      </c>
      <c r="G1178" t="inlineStr">
        <is>
          <t>MFG004</t>
        </is>
      </c>
      <c r="H1178" t="inlineStr">
        <is>
          <t>tblManufacturerIDCrosswalk</t>
        </is>
      </c>
      <c r="I1178" t="inlineStr"/>
      <c r="J1178" t="inlineStr">
        <is>
          <t>No Supported Match</t>
        </is>
      </c>
      <c r="K1178" t="inlineStr">
        <is>
          <t>None</t>
        </is>
      </c>
      <c r="L1178" t="inlineStr">
        <is>
          <t>Crosswalk Pending</t>
        </is>
      </c>
      <c r="M1178" t="inlineStr">
        <is>
          <t>Open</t>
        </is>
      </c>
      <c r="N1178" t="inlineStr"/>
    </row>
    <row r="1179">
      <c r="A1179" t="inlineStr">
        <is>
          <t>FKEX01178</t>
        </is>
      </c>
      <c r="B1179" t="inlineStr">
        <is>
          <t>15 LL_Device</t>
        </is>
      </c>
      <c r="C1179" t="inlineStr">
        <is>
          <t>tblDeviceModel</t>
        </is>
      </c>
      <c r="D1179" t="n">
        <v>394</v>
      </c>
      <c r="E1179" t="inlineStr">
        <is>
          <t>MOD000391</t>
        </is>
      </c>
      <c r="F1179" t="inlineStr">
        <is>
          <t>DeviceFamilyID</t>
        </is>
      </c>
      <c r="G1179" t="inlineStr">
        <is>
          <t>DF040</t>
        </is>
      </c>
      <c r="H1179" t="inlineStr">
        <is>
          <t>tblDeviceFamilyIDCrosswalk</t>
        </is>
      </c>
      <c r="I1179" t="inlineStr"/>
      <c r="J1179" t="inlineStr">
        <is>
          <t>tblDeviceModel</t>
        </is>
      </c>
      <c r="K1179" t="inlineStr">
        <is>
          <t>Exact ID</t>
        </is>
      </c>
      <c r="L1179" t="inlineStr">
        <is>
          <t>Crosswalk Pending</t>
        </is>
      </c>
      <c r="M1179" t="inlineStr">
        <is>
          <t>Open</t>
        </is>
      </c>
      <c r="N1179" t="inlineStr"/>
    </row>
    <row r="1180">
      <c r="A1180" t="inlineStr">
        <is>
          <t>FKEX01179</t>
        </is>
      </c>
      <c r="B1180" t="inlineStr">
        <is>
          <t>15 LL_Device</t>
        </is>
      </c>
      <c r="C1180" t="inlineStr">
        <is>
          <t>tblDeviceModel</t>
        </is>
      </c>
      <c r="D1180" t="n">
        <v>394</v>
      </c>
      <c r="E1180" t="inlineStr">
        <is>
          <t>MOD000391</t>
        </is>
      </c>
      <c r="F1180" t="inlineStr">
        <is>
          <t>DeviceTypeID</t>
        </is>
      </c>
      <c r="G1180" t="inlineStr">
        <is>
          <t>DT001</t>
        </is>
      </c>
      <c r="H1180" t="inlineStr">
        <is>
          <t>tblDeviceTypeIDCrosswalk</t>
        </is>
      </c>
      <c r="I1180" t="inlineStr"/>
      <c r="J1180" t="inlineStr">
        <is>
          <t>No Supported Match</t>
        </is>
      </c>
      <c r="K1180" t="inlineStr">
        <is>
          <t>None</t>
        </is>
      </c>
      <c r="L1180" t="inlineStr">
        <is>
          <t>Crosswalk Pending</t>
        </is>
      </c>
      <c r="M1180" t="inlineStr">
        <is>
          <t>Open</t>
        </is>
      </c>
      <c r="N1180" t="inlineStr"/>
    </row>
    <row r="1181">
      <c r="A1181" t="inlineStr">
        <is>
          <t>FKEX01180</t>
        </is>
      </c>
      <c r="B1181" t="inlineStr">
        <is>
          <t>15 LL_Device</t>
        </is>
      </c>
      <c r="C1181" t="inlineStr">
        <is>
          <t>tblDeviceModel</t>
        </is>
      </c>
      <c r="D1181" t="n">
        <v>395</v>
      </c>
      <c r="E1181" t="inlineStr">
        <is>
          <t>MOD000392</t>
        </is>
      </c>
      <c r="F1181" t="inlineStr">
        <is>
          <t>ManufacturerID</t>
        </is>
      </c>
      <c r="G1181" t="inlineStr">
        <is>
          <t>MFG004</t>
        </is>
      </c>
      <c r="H1181" t="inlineStr">
        <is>
          <t>tblManufacturerIDCrosswalk</t>
        </is>
      </c>
      <c r="I1181" t="inlineStr"/>
      <c r="J1181" t="inlineStr">
        <is>
          <t>No Supported Match</t>
        </is>
      </c>
      <c r="K1181" t="inlineStr">
        <is>
          <t>None</t>
        </is>
      </c>
      <c r="L1181" t="inlineStr">
        <is>
          <t>Crosswalk Pending</t>
        </is>
      </c>
      <c r="M1181" t="inlineStr">
        <is>
          <t>Open</t>
        </is>
      </c>
      <c r="N1181" t="inlineStr"/>
    </row>
    <row r="1182">
      <c r="A1182" t="inlineStr">
        <is>
          <t>FKEX01181</t>
        </is>
      </c>
      <c r="B1182" t="inlineStr">
        <is>
          <t>15 LL_Device</t>
        </is>
      </c>
      <c r="C1182" t="inlineStr">
        <is>
          <t>tblDeviceModel</t>
        </is>
      </c>
      <c r="D1182" t="n">
        <v>395</v>
      </c>
      <c r="E1182" t="inlineStr">
        <is>
          <t>MOD000392</t>
        </is>
      </c>
      <c r="F1182" t="inlineStr">
        <is>
          <t>DeviceFamilyID</t>
        </is>
      </c>
      <c r="G1182" t="inlineStr">
        <is>
          <t>DF040</t>
        </is>
      </c>
      <c r="H1182" t="inlineStr">
        <is>
          <t>tblDeviceFamilyIDCrosswalk</t>
        </is>
      </c>
      <c r="I1182" t="inlineStr"/>
      <c r="J1182" t="inlineStr">
        <is>
          <t>tblDeviceModel</t>
        </is>
      </c>
      <c r="K1182" t="inlineStr">
        <is>
          <t>Exact ID</t>
        </is>
      </c>
      <c r="L1182" t="inlineStr">
        <is>
          <t>Crosswalk Pending</t>
        </is>
      </c>
      <c r="M1182" t="inlineStr">
        <is>
          <t>Open</t>
        </is>
      </c>
      <c r="N1182" t="inlineStr"/>
    </row>
    <row r="1183">
      <c r="A1183" t="inlineStr">
        <is>
          <t>FKEX01182</t>
        </is>
      </c>
      <c r="B1183" t="inlineStr">
        <is>
          <t>15 LL_Device</t>
        </is>
      </c>
      <c r="C1183" t="inlineStr">
        <is>
          <t>tblDeviceModel</t>
        </is>
      </c>
      <c r="D1183" t="n">
        <v>395</v>
      </c>
      <c r="E1183" t="inlineStr">
        <is>
          <t>MOD000392</t>
        </is>
      </c>
      <c r="F1183" t="inlineStr">
        <is>
          <t>DeviceTypeID</t>
        </is>
      </c>
      <c r="G1183" t="inlineStr">
        <is>
          <t>DT001</t>
        </is>
      </c>
      <c r="H1183" t="inlineStr">
        <is>
          <t>tblDeviceTypeIDCrosswalk</t>
        </is>
      </c>
      <c r="I1183" t="inlineStr"/>
      <c r="J1183" t="inlineStr">
        <is>
          <t>No Supported Match</t>
        </is>
      </c>
      <c r="K1183" t="inlineStr">
        <is>
          <t>None</t>
        </is>
      </c>
      <c r="L1183" t="inlineStr">
        <is>
          <t>Crosswalk Pending</t>
        </is>
      </c>
      <c r="M1183" t="inlineStr">
        <is>
          <t>Open</t>
        </is>
      </c>
      <c r="N1183" t="inlineStr"/>
    </row>
    <row r="1184">
      <c r="A1184" t="inlineStr">
        <is>
          <t>FKEX01183</t>
        </is>
      </c>
      <c r="B1184" t="inlineStr">
        <is>
          <t>15 LL_Device</t>
        </is>
      </c>
      <c r="C1184" t="inlineStr">
        <is>
          <t>tblDeviceModel</t>
        </is>
      </c>
      <c r="D1184" t="n">
        <v>396</v>
      </c>
      <c r="E1184" t="inlineStr">
        <is>
          <t>MOD000393</t>
        </is>
      </c>
      <c r="F1184" t="inlineStr">
        <is>
          <t>ManufacturerID</t>
        </is>
      </c>
      <c r="G1184" t="inlineStr">
        <is>
          <t>MFG004</t>
        </is>
      </c>
      <c r="H1184" t="inlineStr">
        <is>
          <t>tblManufacturerIDCrosswalk</t>
        </is>
      </c>
      <c r="I1184" t="inlineStr"/>
      <c r="J1184" t="inlineStr">
        <is>
          <t>No Supported Match</t>
        </is>
      </c>
      <c r="K1184" t="inlineStr">
        <is>
          <t>None</t>
        </is>
      </c>
      <c r="L1184" t="inlineStr">
        <is>
          <t>Crosswalk Pending</t>
        </is>
      </c>
      <c r="M1184" t="inlineStr">
        <is>
          <t>Open</t>
        </is>
      </c>
      <c r="N1184" t="inlineStr"/>
    </row>
    <row r="1185">
      <c r="A1185" t="inlineStr">
        <is>
          <t>FKEX01184</t>
        </is>
      </c>
      <c r="B1185" t="inlineStr">
        <is>
          <t>15 LL_Device</t>
        </is>
      </c>
      <c r="C1185" t="inlineStr">
        <is>
          <t>tblDeviceModel</t>
        </is>
      </c>
      <c r="D1185" t="n">
        <v>396</v>
      </c>
      <c r="E1185" t="inlineStr">
        <is>
          <t>MOD000393</t>
        </is>
      </c>
      <c r="F1185" t="inlineStr">
        <is>
          <t>DeviceFamilyID</t>
        </is>
      </c>
      <c r="G1185" t="inlineStr">
        <is>
          <t>DF040</t>
        </is>
      </c>
      <c r="H1185" t="inlineStr">
        <is>
          <t>tblDeviceFamilyIDCrosswalk</t>
        </is>
      </c>
      <c r="I1185" t="inlineStr"/>
      <c r="J1185" t="inlineStr">
        <is>
          <t>tblDeviceModel</t>
        </is>
      </c>
      <c r="K1185" t="inlineStr">
        <is>
          <t>Exact ID</t>
        </is>
      </c>
      <c r="L1185" t="inlineStr">
        <is>
          <t>Crosswalk Pending</t>
        </is>
      </c>
      <c r="M1185" t="inlineStr">
        <is>
          <t>Open</t>
        </is>
      </c>
      <c r="N1185" t="inlineStr"/>
    </row>
    <row r="1186">
      <c r="A1186" t="inlineStr">
        <is>
          <t>FKEX01185</t>
        </is>
      </c>
      <c r="B1186" t="inlineStr">
        <is>
          <t>15 LL_Device</t>
        </is>
      </c>
      <c r="C1186" t="inlineStr">
        <is>
          <t>tblDeviceModel</t>
        </is>
      </c>
      <c r="D1186" t="n">
        <v>396</v>
      </c>
      <c r="E1186" t="inlineStr">
        <is>
          <t>MOD000393</t>
        </is>
      </c>
      <c r="F1186" t="inlineStr">
        <is>
          <t>DeviceTypeID</t>
        </is>
      </c>
      <c r="G1186" t="inlineStr">
        <is>
          <t>DT001</t>
        </is>
      </c>
      <c r="H1186" t="inlineStr">
        <is>
          <t>tblDeviceTypeIDCrosswalk</t>
        </is>
      </c>
      <c r="I1186" t="inlineStr"/>
      <c r="J1186" t="inlineStr">
        <is>
          <t>No Supported Match</t>
        </is>
      </c>
      <c r="K1186" t="inlineStr">
        <is>
          <t>None</t>
        </is>
      </c>
      <c r="L1186" t="inlineStr">
        <is>
          <t>Crosswalk Pending</t>
        </is>
      </c>
      <c r="M1186" t="inlineStr">
        <is>
          <t>Open</t>
        </is>
      </c>
      <c r="N1186" t="inlineStr"/>
    </row>
    <row r="1187">
      <c r="A1187" t="inlineStr">
        <is>
          <t>FKEX01186</t>
        </is>
      </c>
      <c r="B1187" t="inlineStr">
        <is>
          <t>15 LL_Device</t>
        </is>
      </c>
      <c r="C1187" t="inlineStr">
        <is>
          <t>tblDeviceModel</t>
        </is>
      </c>
      <c r="D1187" t="n">
        <v>397</v>
      </c>
      <c r="E1187" t="inlineStr">
        <is>
          <t>MOD000394</t>
        </is>
      </c>
      <c r="F1187" t="inlineStr">
        <is>
          <t>ManufacturerID</t>
        </is>
      </c>
      <c r="G1187" t="inlineStr">
        <is>
          <t>MFG004</t>
        </is>
      </c>
      <c r="H1187" t="inlineStr">
        <is>
          <t>tblManufacturerIDCrosswalk</t>
        </is>
      </c>
      <c r="I1187" t="inlineStr"/>
      <c r="J1187" t="inlineStr">
        <is>
          <t>No Supported Match</t>
        </is>
      </c>
      <c r="K1187" t="inlineStr">
        <is>
          <t>None</t>
        </is>
      </c>
      <c r="L1187" t="inlineStr">
        <is>
          <t>Crosswalk Pending</t>
        </is>
      </c>
      <c r="M1187" t="inlineStr">
        <is>
          <t>Open</t>
        </is>
      </c>
      <c r="N1187" t="inlineStr"/>
    </row>
    <row r="1188">
      <c r="A1188" t="inlineStr">
        <is>
          <t>FKEX01187</t>
        </is>
      </c>
      <c r="B1188" t="inlineStr">
        <is>
          <t>15 LL_Device</t>
        </is>
      </c>
      <c r="C1188" t="inlineStr">
        <is>
          <t>tblDeviceModel</t>
        </is>
      </c>
      <c r="D1188" t="n">
        <v>397</v>
      </c>
      <c r="E1188" t="inlineStr">
        <is>
          <t>MOD000394</t>
        </is>
      </c>
      <c r="F1188" t="inlineStr">
        <is>
          <t>DeviceFamilyID</t>
        </is>
      </c>
      <c r="G1188" t="inlineStr">
        <is>
          <t>DF040</t>
        </is>
      </c>
      <c r="H1188" t="inlineStr">
        <is>
          <t>tblDeviceFamilyIDCrosswalk</t>
        </is>
      </c>
      <c r="I1188" t="inlineStr"/>
      <c r="J1188" t="inlineStr">
        <is>
          <t>tblDeviceModel</t>
        </is>
      </c>
      <c r="K1188" t="inlineStr">
        <is>
          <t>Exact ID</t>
        </is>
      </c>
      <c r="L1188" t="inlineStr">
        <is>
          <t>Crosswalk Pending</t>
        </is>
      </c>
      <c r="M1188" t="inlineStr">
        <is>
          <t>Open</t>
        </is>
      </c>
      <c r="N1188" t="inlineStr"/>
    </row>
    <row r="1189">
      <c r="A1189" t="inlineStr">
        <is>
          <t>FKEX01188</t>
        </is>
      </c>
      <c r="B1189" t="inlineStr">
        <is>
          <t>15 LL_Device</t>
        </is>
      </c>
      <c r="C1189" t="inlineStr">
        <is>
          <t>tblDeviceModel</t>
        </is>
      </c>
      <c r="D1189" t="n">
        <v>397</v>
      </c>
      <c r="E1189" t="inlineStr">
        <is>
          <t>MOD000394</t>
        </is>
      </c>
      <c r="F1189" t="inlineStr">
        <is>
          <t>DeviceTypeID</t>
        </is>
      </c>
      <c r="G1189" t="inlineStr">
        <is>
          <t>DT001</t>
        </is>
      </c>
      <c r="H1189" t="inlineStr">
        <is>
          <t>tblDeviceTypeIDCrosswalk</t>
        </is>
      </c>
      <c r="I1189" t="inlineStr"/>
      <c r="J1189" t="inlineStr">
        <is>
          <t>No Supported Match</t>
        </is>
      </c>
      <c r="K1189" t="inlineStr">
        <is>
          <t>None</t>
        </is>
      </c>
      <c r="L1189" t="inlineStr">
        <is>
          <t>Crosswalk Pending</t>
        </is>
      </c>
      <c r="M1189" t="inlineStr">
        <is>
          <t>Open</t>
        </is>
      </c>
      <c r="N1189" t="inlineStr"/>
    </row>
    <row r="1190">
      <c r="A1190" t="inlineStr">
        <is>
          <t>FKEX01189</t>
        </is>
      </c>
      <c r="B1190" t="inlineStr">
        <is>
          <t>15 LL_Device</t>
        </is>
      </c>
      <c r="C1190" t="inlineStr">
        <is>
          <t>tblDeviceModel</t>
        </is>
      </c>
      <c r="D1190" t="n">
        <v>398</v>
      </c>
      <c r="E1190" t="inlineStr">
        <is>
          <t>MOD000395</t>
        </is>
      </c>
      <c r="F1190" t="inlineStr">
        <is>
          <t>ManufacturerID</t>
        </is>
      </c>
      <c r="G1190" t="inlineStr">
        <is>
          <t>MFG004</t>
        </is>
      </c>
      <c r="H1190" t="inlineStr">
        <is>
          <t>tblManufacturerIDCrosswalk</t>
        </is>
      </c>
      <c r="I1190" t="inlineStr"/>
      <c r="J1190" t="inlineStr">
        <is>
          <t>No Supported Match</t>
        </is>
      </c>
      <c r="K1190" t="inlineStr">
        <is>
          <t>None</t>
        </is>
      </c>
      <c r="L1190" t="inlineStr">
        <is>
          <t>Crosswalk Pending</t>
        </is>
      </c>
      <c r="M1190" t="inlineStr">
        <is>
          <t>Open</t>
        </is>
      </c>
      <c r="N1190" t="inlineStr"/>
    </row>
    <row r="1191">
      <c r="A1191" t="inlineStr">
        <is>
          <t>FKEX01190</t>
        </is>
      </c>
      <c r="B1191" t="inlineStr">
        <is>
          <t>15 LL_Device</t>
        </is>
      </c>
      <c r="C1191" t="inlineStr">
        <is>
          <t>tblDeviceModel</t>
        </is>
      </c>
      <c r="D1191" t="n">
        <v>398</v>
      </c>
      <c r="E1191" t="inlineStr">
        <is>
          <t>MOD000395</t>
        </is>
      </c>
      <c r="F1191" t="inlineStr">
        <is>
          <t>DeviceFamilyID</t>
        </is>
      </c>
      <c r="G1191" t="inlineStr">
        <is>
          <t>DF040</t>
        </is>
      </c>
      <c r="H1191" t="inlineStr">
        <is>
          <t>tblDeviceFamilyIDCrosswalk</t>
        </is>
      </c>
      <c r="I1191" t="inlineStr"/>
      <c r="J1191" t="inlineStr">
        <is>
          <t>tblDeviceModel</t>
        </is>
      </c>
      <c r="K1191" t="inlineStr">
        <is>
          <t>Exact ID</t>
        </is>
      </c>
      <c r="L1191" t="inlineStr">
        <is>
          <t>Crosswalk Pending</t>
        </is>
      </c>
      <c r="M1191" t="inlineStr">
        <is>
          <t>Open</t>
        </is>
      </c>
      <c r="N1191" t="inlineStr"/>
    </row>
    <row r="1192">
      <c r="A1192" t="inlineStr">
        <is>
          <t>FKEX01191</t>
        </is>
      </c>
      <c r="B1192" t="inlineStr">
        <is>
          <t>15 LL_Device</t>
        </is>
      </c>
      <c r="C1192" t="inlineStr">
        <is>
          <t>tblDeviceModel</t>
        </is>
      </c>
      <c r="D1192" t="n">
        <v>398</v>
      </c>
      <c r="E1192" t="inlineStr">
        <is>
          <t>MOD000395</t>
        </is>
      </c>
      <c r="F1192" t="inlineStr">
        <is>
          <t>DeviceTypeID</t>
        </is>
      </c>
      <c r="G1192" t="inlineStr">
        <is>
          <t>DT001</t>
        </is>
      </c>
      <c r="H1192" t="inlineStr">
        <is>
          <t>tblDeviceTypeIDCrosswalk</t>
        </is>
      </c>
      <c r="I1192" t="inlineStr"/>
      <c r="J1192" t="inlineStr">
        <is>
          <t>No Supported Match</t>
        </is>
      </c>
      <c r="K1192" t="inlineStr">
        <is>
          <t>None</t>
        </is>
      </c>
      <c r="L1192" t="inlineStr">
        <is>
          <t>Crosswalk Pending</t>
        </is>
      </c>
      <c r="M1192" t="inlineStr">
        <is>
          <t>Open</t>
        </is>
      </c>
      <c r="N1192" t="inlineStr"/>
    </row>
    <row r="1193">
      <c r="A1193" t="inlineStr">
        <is>
          <t>FKEX01192</t>
        </is>
      </c>
      <c r="B1193" t="inlineStr">
        <is>
          <t>15 LL_Device</t>
        </is>
      </c>
      <c r="C1193" t="inlineStr">
        <is>
          <t>tblDeviceModel</t>
        </is>
      </c>
      <c r="D1193" t="n">
        <v>399</v>
      </c>
      <c r="E1193" t="inlineStr">
        <is>
          <t>MOD000396</t>
        </is>
      </c>
      <c r="F1193" t="inlineStr">
        <is>
          <t>ManufacturerID</t>
        </is>
      </c>
      <c r="G1193" t="inlineStr">
        <is>
          <t>MFG004</t>
        </is>
      </c>
      <c r="H1193" t="inlineStr">
        <is>
          <t>tblManufacturerIDCrosswalk</t>
        </is>
      </c>
      <c r="I1193" t="inlineStr"/>
      <c r="J1193" t="inlineStr">
        <is>
          <t>No Supported Match</t>
        </is>
      </c>
      <c r="K1193" t="inlineStr">
        <is>
          <t>None</t>
        </is>
      </c>
      <c r="L1193" t="inlineStr">
        <is>
          <t>Crosswalk Pending</t>
        </is>
      </c>
      <c r="M1193" t="inlineStr">
        <is>
          <t>Open</t>
        </is>
      </c>
      <c r="N1193" t="inlineStr"/>
    </row>
    <row r="1194">
      <c r="A1194" t="inlineStr">
        <is>
          <t>FKEX01193</t>
        </is>
      </c>
      <c r="B1194" t="inlineStr">
        <is>
          <t>15 LL_Device</t>
        </is>
      </c>
      <c r="C1194" t="inlineStr">
        <is>
          <t>tblDeviceModel</t>
        </is>
      </c>
      <c r="D1194" t="n">
        <v>399</v>
      </c>
      <c r="E1194" t="inlineStr">
        <is>
          <t>MOD000396</t>
        </is>
      </c>
      <c r="F1194" t="inlineStr">
        <is>
          <t>DeviceFamilyID</t>
        </is>
      </c>
      <c r="G1194" t="inlineStr">
        <is>
          <t>DF040</t>
        </is>
      </c>
      <c r="H1194" t="inlineStr">
        <is>
          <t>tblDeviceFamilyIDCrosswalk</t>
        </is>
      </c>
      <c r="I1194" t="inlineStr"/>
      <c r="J1194" t="inlineStr">
        <is>
          <t>tblDeviceModel</t>
        </is>
      </c>
      <c r="K1194" t="inlineStr">
        <is>
          <t>Exact ID</t>
        </is>
      </c>
      <c r="L1194" t="inlineStr">
        <is>
          <t>Crosswalk Pending</t>
        </is>
      </c>
      <c r="M1194" t="inlineStr">
        <is>
          <t>Open</t>
        </is>
      </c>
      <c r="N1194" t="inlineStr"/>
    </row>
    <row r="1195">
      <c r="A1195" t="inlineStr">
        <is>
          <t>FKEX01194</t>
        </is>
      </c>
      <c r="B1195" t="inlineStr">
        <is>
          <t>15 LL_Device</t>
        </is>
      </c>
      <c r="C1195" t="inlineStr">
        <is>
          <t>tblDeviceModel</t>
        </is>
      </c>
      <c r="D1195" t="n">
        <v>399</v>
      </c>
      <c r="E1195" t="inlineStr">
        <is>
          <t>MOD000396</t>
        </is>
      </c>
      <c r="F1195" t="inlineStr">
        <is>
          <t>DeviceTypeID</t>
        </is>
      </c>
      <c r="G1195" t="inlineStr">
        <is>
          <t>DT001</t>
        </is>
      </c>
      <c r="H1195" t="inlineStr">
        <is>
          <t>tblDeviceTypeIDCrosswalk</t>
        </is>
      </c>
      <c r="I1195" t="inlineStr"/>
      <c r="J1195" t="inlineStr">
        <is>
          <t>No Supported Match</t>
        </is>
      </c>
      <c r="K1195" t="inlineStr">
        <is>
          <t>None</t>
        </is>
      </c>
      <c r="L1195" t="inlineStr">
        <is>
          <t>Crosswalk Pending</t>
        </is>
      </c>
      <c r="M1195" t="inlineStr">
        <is>
          <t>Open</t>
        </is>
      </c>
      <c r="N1195" t="inlineStr"/>
    </row>
    <row r="1196">
      <c r="A1196" t="inlineStr">
        <is>
          <t>FKEX01195</t>
        </is>
      </c>
      <c r="B1196" t="inlineStr">
        <is>
          <t>15 LL_Device</t>
        </is>
      </c>
      <c r="C1196" t="inlineStr">
        <is>
          <t>tblDeviceModel</t>
        </is>
      </c>
      <c r="D1196" t="n">
        <v>400</v>
      </c>
      <c r="E1196" t="inlineStr">
        <is>
          <t>MOD000397</t>
        </is>
      </c>
      <c r="F1196" t="inlineStr">
        <is>
          <t>ManufacturerID</t>
        </is>
      </c>
      <c r="G1196" t="inlineStr">
        <is>
          <t>MFG004</t>
        </is>
      </c>
      <c r="H1196" t="inlineStr">
        <is>
          <t>tblManufacturerIDCrosswalk</t>
        </is>
      </c>
      <c r="I1196" t="inlineStr"/>
      <c r="J1196" t="inlineStr">
        <is>
          <t>No Supported Match</t>
        </is>
      </c>
      <c r="K1196" t="inlineStr">
        <is>
          <t>None</t>
        </is>
      </c>
      <c r="L1196" t="inlineStr">
        <is>
          <t>Crosswalk Pending</t>
        </is>
      </c>
      <c r="M1196" t="inlineStr">
        <is>
          <t>Open</t>
        </is>
      </c>
      <c r="N1196" t="inlineStr"/>
    </row>
    <row r="1197">
      <c r="A1197" t="inlineStr">
        <is>
          <t>FKEX01196</t>
        </is>
      </c>
      <c r="B1197" t="inlineStr">
        <is>
          <t>15 LL_Device</t>
        </is>
      </c>
      <c r="C1197" t="inlineStr">
        <is>
          <t>tblDeviceModel</t>
        </is>
      </c>
      <c r="D1197" t="n">
        <v>400</v>
      </c>
      <c r="E1197" t="inlineStr">
        <is>
          <t>MOD000397</t>
        </is>
      </c>
      <c r="F1197" t="inlineStr">
        <is>
          <t>DeviceFamilyID</t>
        </is>
      </c>
      <c r="G1197" t="inlineStr">
        <is>
          <t>DF041</t>
        </is>
      </c>
      <c r="H1197" t="inlineStr">
        <is>
          <t>tblDeviceFamilyIDCrosswalk</t>
        </is>
      </c>
      <c r="I1197" t="inlineStr"/>
      <c r="J1197" t="inlineStr">
        <is>
          <t>tblDeviceModel</t>
        </is>
      </c>
      <c r="K1197" t="inlineStr">
        <is>
          <t>Exact ID</t>
        </is>
      </c>
      <c r="L1197" t="inlineStr">
        <is>
          <t>Crosswalk Pending</t>
        </is>
      </c>
      <c r="M1197" t="inlineStr">
        <is>
          <t>Open</t>
        </is>
      </c>
      <c r="N1197" t="inlineStr"/>
    </row>
    <row r="1198">
      <c r="A1198" t="inlineStr">
        <is>
          <t>FKEX01197</t>
        </is>
      </c>
      <c r="B1198" t="inlineStr">
        <is>
          <t>15 LL_Device</t>
        </is>
      </c>
      <c r="C1198" t="inlineStr">
        <is>
          <t>tblDeviceModel</t>
        </is>
      </c>
      <c r="D1198" t="n">
        <v>400</v>
      </c>
      <c r="E1198" t="inlineStr">
        <is>
          <t>MOD000397</t>
        </is>
      </c>
      <c r="F1198" t="inlineStr">
        <is>
          <t>DeviceTypeID</t>
        </is>
      </c>
      <c r="G1198" t="inlineStr">
        <is>
          <t>DT001</t>
        </is>
      </c>
      <c r="H1198" t="inlineStr">
        <is>
          <t>tblDeviceTypeIDCrosswalk</t>
        </is>
      </c>
      <c r="I1198" t="inlineStr"/>
      <c r="J1198" t="inlineStr">
        <is>
          <t>No Supported Match</t>
        </is>
      </c>
      <c r="K1198" t="inlineStr">
        <is>
          <t>None</t>
        </is>
      </c>
      <c r="L1198" t="inlineStr">
        <is>
          <t>Crosswalk Pending</t>
        </is>
      </c>
      <c r="M1198" t="inlineStr">
        <is>
          <t>Open</t>
        </is>
      </c>
      <c r="N1198" t="inlineStr"/>
    </row>
    <row r="1199">
      <c r="A1199" t="inlineStr">
        <is>
          <t>FKEX01198</t>
        </is>
      </c>
      <c r="B1199" t="inlineStr">
        <is>
          <t>15 LL_Device</t>
        </is>
      </c>
      <c r="C1199" t="inlineStr">
        <is>
          <t>tblDeviceModel</t>
        </is>
      </c>
      <c r="D1199" t="n">
        <v>401</v>
      </c>
      <c r="E1199" t="inlineStr">
        <is>
          <t>MOD000398</t>
        </is>
      </c>
      <c r="F1199" t="inlineStr">
        <is>
          <t>ManufacturerID</t>
        </is>
      </c>
      <c r="G1199" t="inlineStr">
        <is>
          <t>MFG004</t>
        </is>
      </c>
      <c r="H1199" t="inlineStr">
        <is>
          <t>tblManufacturerIDCrosswalk</t>
        </is>
      </c>
      <c r="I1199" t="inlineStr"/>
      <c r="J1199" t="inlineStr">
        <is>
          <t>No Supported Match</t>
        </is>
      </c>
      <c r="K1199" t="inlineStr">
        <is>
          <t>None</t>
        </is>
      </c>
      <c r="L1199" t="inlineStr">
        <is>
          <t>Crosswalk Pending</t>
        </is>
      </c>
      <c r="M1199" t="inlineStr">
        <is>
          <t>Open</t>
        </is>
      </c>
      <c r="N1199" t="inlineStr"/>
    </row>
    <row r="1200">
      <c r="A1200" t="inlineStr">
        <is>
          <t>FKEX01199</t>
        </is>
      </c>
      <c r="B1200" t="inlineStr">
        <is>
          <t>15 LL_Device</t>
        </is>
      </c>
      <c r="C1200" t="inlineStr">
        <is>
          <t>tblDeviceModel</t>
        </is>
      </c>
      <c r="D1200" t="n">
        <v>401</v>
      </c>
      <c r="E1200" t="inlineStr">
        <is>
          <t>MOD000398</t>
        </is>
      </c>
      <c r="F1200" t="inlineStr">
        <is>
          <t>DeviceFamilyID</t>
        </is>
      </c>
      <c r="G1200" t="inlineStr">
        <is>
          <t>DF041</t>
        </is>
      </c>
      <c r="H1200" t="inlineStr">
        <is>
          <t>tblDeviceFamilyIDCrosswalk</t>
        </is>
      </c>
      <c r="I1200" t="inlineStr"/>
      <c r="J1200" t="inlineStr">
        <is>
          <t>tblDeviceModel</t>
        </is>
      </c>
      <c r="K1200" t="inlineStr">
        <is>
          <t>Exact ID</t>
        </is>
      </c>
      <c r="L1200" t="inlineStr">
        <is>
          <t>Crosswalk Pending</t>
        </is>
      </c>
      <c r="M1200" t="inlineStr">
        <is>
          <t>Open</t>
        </is>
      </c>
      <c r="N1200" t="inlineStr"/>
    </row>
    <row r="1201">
      <c r="A1201" t="inlineStr">
        <is>
          <t>FKEX01200</t>
        </is>
      </c>
      <c r="B1201" t="inlineStr">
        <is>
          <t>15 LL_Device</t>
        </is>
      </c>
      <c r="C1201" t="inlineStr">
        <is>
          <t>tblDeviceModel</t>
        </is>
      </c>
      <c r="D1201" t="n">
        <v>401</v>
      </c>
      <c r="E1201" t="inlineStr">
        <is>
          <t>MOD000398</t>
        </is>
      </c>
      <c r="F1201" t="inlineStr">
        <is>
          <t>DeviceTypeID</t>
        </is>
      </c>
      <c r="G1201" t="inlineStr">
        <is>
          <t>DT001</t>
        </is>
      </c>
      <c r="H1201" t="inlineStr">
        <is>
          <t>tblDeviceTypeIDCrosswalk</t>
        </is>
      </c>
      <c r="I1201" t="inlineStr"/>
      <c r="J1201" t="inlineStr">
        <is>
          <t>No Supported Match</t>
        </is>
      </c>
      <c r="K1201" t="inlineStr">
        <is>
          <t>None</t>
        </is>
      </c>
      <c r="L1201" t="inlineStr">
        <is>
          <t>Crosswalk Pending</t>
        </is>
      </c>
      <c r="M1201" t="inlineStr">
        <is>
          <t>Open</t>
        </is>
      </c>
      <c r="N1201" t="inlineStr"/>
    </row>
    <row r="1202">
      <c r="A1202" t="inlineStr">
        <is>
          <t>FKEX01201</t>
        </is>
      </c>
      <c r="B1202" t="inlineStr">
        <is>
          <t>15 LL_Device</t>
        </is>
      </c>
      <c r="C1202" t="inlineStr">
        <is>
          <t>tblDeviceModel</t>
        </is>
      </c>
      <c r="D1202" t="n">
        <v>402</v>
      </c>
      <c r="E1202" t="inlineStr">
        <is>
          <t>MOD000399</t>
        </is>
      </c>
      <c r="F1202" t="inlineStr">
        <is>
          <t>ManufacturerID</t>
        </is>
      </c>
      <c r="G1202" t="inlineStr">
        <is>
          <t>MFG004</t>
        </is>
      </c>
      <c r="H1202" t="inlineStr">
        <is>
          <t>tblManufacturerIDCrosswalk</t>
        </is>
      </c>
      <c r="I1202" t="inlineStr"/>
      <c r="J1202" t="inlineStr">
        <is>
          <t>No Supported Match</t>
        </is>
      </c>
      <c r="K1202" t="inlineStr">
        <is>
          <t>None</t>
        </is>
      </c>
      <c r="L1202" t="inlineStr">
        <is>
          <t>Crosswalk Pending</t>
        </is>
      </c>
      <c r="M1202" t="inlineStr">
        <is>
          <t>Open</t>
        </is>
      </c>
      <c r="N1202" t="inlineStr"/>
    </row>
    <row r="1203">
      <c r="A1203" t="inlineStr">
        <is>
          <t>FKEX01202</t>
        </is>
      </c>
      <c r="B1203" t="inlineStr">
        <is>
          <t>15 LL_Device</t>
        </is>
      </c>
      <c r="C1203" t="inlineStr">
        <is>
          <t>tblDeviceModel</t>
        </is>
      </c>
      <c r="D1203" t="n">
        <v>402</v>
      </c>
      <c r="E1203" t="inlineStr">
        <is>
          <t>MOD000399</t>
        </is>
      </c>
      <c r="F1203" t="inlineStr">
        <is>
          <t>DeviceFamilyID</t>
        </is>
      </c>
      <c r="G1203" t="inlineStr">
        <is>
          <t>DF042</t>
        </is>
      </c>
      <c r="H1203" t="inlineStr">
        <is>
          <t>tblDeviceFamilyIDCrosswalk</t>
        </is>
      </c>
      <c r="I1203" t="inlineStr"/>
      <c r="J1203" t="inlineStr">
        <is>
          <t>tblDeviceModel</t>
        </is>
      </c>
      <c r="K1203" t="inlineStr">
        <is>
          <t>Exact ID</t>
        </is>
      </c>
      <c r="L1203" t="inlineStr">
        <is>
          <t>Crosswalk Pending</t>
        </is>
      </c>
      <c r="M1203" t="inlineStr">
        <is>
          <t>Open</t>
        </is>
      </c>
      <c r="N1203" t="inlineStr"/>
    </row>
    <row r="1204">
      <c r="A1204" t="inlineStr">
        <is>
          <t>FKEX01203</t>
        </is>
      </c>
      <c r="B1204" t="inlineStr">
        <is>
          <t>15 LL_Device</t>
        </is>
      </c>
      <c r="C1204" t="inlineStr">
        <is>
          <t>tblDeviceModel</t>
        </is>
      </c>
      <c r="D1204" t="n">
        <v>402</v>
      </c>
      <c r="E1204" t="inlineStr">
        <is>
          <t>MOD000399</t>
        </is>
      </c>
      <c r="F1204" t="inlineStr">
        <is>
          <t>DeviceTypeID</t>
        </is>
      </c>
      <c r="G1204" t="inlineStr">
        <is>
          <t>DT001</t>
        </is>
      </c>
      <c r="H1204" t="inlineStr">
        <is>
          <t>tblDeviceTypeIDCrosswalk</t>
        </is>
      </c>
      <c r="I1204" t="inlineStr"/>
      <c r="J1204" t="inlineStr">
        <is>
          <t>No Supported Match</t>
        </is>
      </c>
      <c r="K1204" t="inlineStr">
        <is>
          <t>None</t>
        </is>
      </c>
      <c r="L1204" t="inlineStr">
        <is>
          <t>Crosswalk Pending</t>
        </is>
      </c>
      <c r="M1204" t="inlineStr">
        <is>
          <t>Open</t>
        </is>
      </c>
      <c r="N1204" t="inlineStr"/>
    </row>
    <row r="1205">
      <c r="A1205" t="inlineStr">
        <is>
          <t>FKEX01204</t>
        </is>
      </c>
      <c r="B1205" t="inlineStr">
        <is>
          <t>15 LL_Device</t>
        </is>
      </c>
      <c r="C1205" t="inlineStr">
        <is>
          <t>tblDeviceModel</t>
        </is>
      </c>
      <c r="D1205" t="n">
        <v>403</v>
      </c>
      <c r="E1205" t="inlineStr">
        <is>
          <t>MOD000400</t>
        </is>
      </c>
      <c r="F1205" t="inlineStr">
        <is>
          <t>ManufacturerID</t>
        </is>
      </c>
      <c r="G1205" t="inlineStr">
        <is>
          <t>MFG004</t>
        </is>
      </c>
      <c r="H1205" t="inlineStr">
        <is>
          <t>tblManufacturerIDCrosswalk</t>
        </is>
      </c>
      <c r="I1205" t="inlineStr"/>
      <c r="J1205" t="inlineStr">
        <is>
          <t>No Supported Match</t>
        </is>
      </c>
      <c r="K1205" t="inlineStr">
        <is>
          <t>None</t>
        </is>
      </c>
      <c r="L1205" t="inlineStr">
        <is>
          <t>Crosswalk Pending</t>
        </is>
      </c>
      <c r="M1205" t="inlineStr">
        <is>
          <t>Open</t>
        </is>
      </c>
      <c r="N1205" t="inlineStr"/>
    </row>
    <row r="1206">
      <c r="A1206" t="inlineStr">
        <is>
          <t>FKEX01205</t>
        </is>
      </c>
      <c r="B1206" t="inlineStr">
        <is>
          <t>15 LL_Device</t>
        </is>
      </c>
      <c r="C1206" t="inlineStr">
        <is>
          <t>tblDeviceModel</t>
        </is>
      </c>
      <c r="D1206" t="n">
        <v>403</v>
      </c>
      <c r="E1206" t="inlineStr">
        <is>
          <t>MOD000400</t>
        </is>
      </c>
      <c r="F1206" t="inlineStr">
        <is>
          <t>DeviceFamilyID</t>
        </is>
      </c>
      <c r="G1206" t="inlineStr">
        <is>
          <t>DF043</t>
        </is>
      </c>
      <c r="H1206" t="inlineStr">
        <is>
          <t>tblDeviceFamilyIDCrosswalk</t>
        </is>
      </c>
      <c r="I1206" t="inlineStr"/>
      <c r="J1206" t="inlineStr">
        <is>
          <t>tblDeviceModel</t>
        </is>
      </c>
      <c r="K1206" t="inlineStr">
        <is>
          <t>Exact ID</t>
        </is>
      </c>
      <c r="L1206" t="inlineStr">
        <is>
          <t>Crosswalk Pending</t>
        </is>
      </c>
      <c r="M1206" t="inlineStr">
        <is>
          <t>Open</t>
        </is>
      </c>
      <c r="N1206" t="inlineStr"/>
    </row>
    <row r="1207">
      <c r="A1207" t="inlineStr">
        <is>
          <t>FKEX01206</t>
        </is>
      </c>
      <c r="B1207" t="inlineStr">
        <is>
          <t>15 LL_Device</t>
        </is>
      </c>
      <c r="C1207" t="inlineStr">
        <is>
          <t>tblDeviceModel</t>
        </is>
      </c>
      <c r="D1207" t="n">
        <v>403</v>
      </c>
      <c r="E1207" t="inlineStr">
        <is>
          <t>MOD000400</t>
        </is>
      </c>
      <c r="F1207" t="inlineStr">
        <is>
          <t>DeviceTypeID</t>
        </is>
      </c>
      <c r="G1207" t="inlineStr">
        <is>
          <t>DT001</t>
        </is>
      </c>
      <c r="H1207" t="inlineStr">
        <is>
          <t>tblDeviceTypeIDCrosswalk</t>
        </is>
      </c>
      <c r="I1207" t="inlineStr"/>
      <c r="J1207" t="inlineStr">
        <is>
          <t>No Supported Match</t>
        </is>
      </c>
      <c r="K1207" t="inlineStr">
        <is>
          <t>None</t>
        </is>
      </c>
      <c r="L1207" t="inlineStr">
        <is>
          <t>Crosswalk Pending</t>
        </is>
      </c>
      <c r="M1207" t="inlineStr">
        <is>
          <t>Open</t>
        </is>
      </c>
      <c r="N1207" t="inlineStr"/>
    </row>
    <row r="1208">
      <c r="A1208" t="inlineStr">
        <is>
          <t>FKEX01207</t>
        </is>
      </c>
      <c r="B1208" t="inlineStr">
        <is>
          <t>15 LL_Device</t>
        </is>
      </c>
      <c r="C1208" t="inlineStr">
        <is>
          <t>tblDeviceModel</t>
        </is>
      </c>
      <c r="D1208" t="n">
        <v>404</v>
      </c>
      <c r="E1208" t="inlineStr">
        <is>
          <t>MOD000401</t>
        </is>
      </c>
      <c r="F1208" t="inlineStr">
        <is>
          <t>ManufacturerID</t>
        </is>
      </c>
      <c r="G1208" t="inlineStr">
        <is>
          <t>MFG004</t>
        </is>
      </c>
      <c r="H1208" t="inlineStr">
        <is>
          <t>tblManufacturerIDCrosswalk</t>
        </is>
      </c>
      <c r="I1208" t="inlineStr"/>
      <c r="J1208" t="inlineStr">
        <is>
          <t>No Supported Match</t>
        </is>
      </c>
      <c r="K1208" t="inlineStr">
        <is>
          <t>None</t>
        </is>
      </c>
      <c r="L1208" t="inlineStr">
        <is>
          <t>Crosswalk Pending</t>
        </is>
      </c>
      <c r="M1208" t="inlineStr">
        <is>
          <t>Open</t>
        </is>
      </c>
      <c r="N1208" t="inlineStr"/>
    </row>
    <row r="1209">
      <c r="A1209" t="inlineStr">
        <is>
          <t>FKEX01208</t>
        </is>
      </c>
      <c r="B1209" t="inlineStr">
        <is>
          <t>15 LL_Device</t>
        </is>
      </c>
      <c r="C1209" t="inlineStr">
        <is>
          <t>tblDeviceModel</t>
        </is>
      </c>
      <c r="D1209" t="n">
        <v>404</v>
      </c>
      <c r="E1209" t="inlineStr">
        <is>
          <t>MOD000401</t>
        </is>
      </c>
      <c r="F1209" t="inlineStr">
        <is>
          <t>DeviceFamilyID</t>
        </is>
      </c>
      <c r="G1209" t="inlineStr">
        <is>
          <t>DF043</t>
        </is>
      </c>
      <c r="H1209" t="inlineStr">
        <is>
          <t>tblDeviceFamilyIDCrosswalk</t>
        </is>
      </c>
      <c r="I1209" t="inlineStr"/>
      <c r="J1209" t="inlineStr">
        <is>
          <t>tblDeviceModel</t>
        </is>
      </c>
      <c r="K1209" t="inlineStr">
        <is>
          <t>Exact ID</t>
        </is>
      </c>
      <c r="L1209" t="inlineStr">
        <is>
          <t>Crosswalk Pending</t>
        </is>
      </c>
      <c r="M1209" t="inlineStr">
        <is>
          <t>Open</t>
        </is>
      </c>
      <c r="N1209" t="inlineStr"/>
    </row>
    <row r="1210">
      <c r="A1210" t="inlineStr">
        <is>
          <t>FKEX01209</t>
        </is>
      </c>
      <c r="B1210" t="inlineStr">
        <is>
          <t>15 LL_Device</t>
        </is>
      </c>
      <c r="C1210" t="inlineStr">
        <is>
          <t>tblDeviceModel</t>
        </is>
      </c>
      <c r="D1210" t="n">
        <v>404</v>
      </c>
      <c r="E1210" t="inlineStr">
        <is>
          <t>MOD000401</t>
        </is>
      </c>
      <c r="F1210" t="inlineStr">
        <is>
          <t>DeviceTypeID</t>
        </is>
      </c>
      <c r="G1210" t="inlineStr">
        <is>
          <t>DT001</t>
        </is>
      </c>
      <c r="H1210" t="inlineStr">
        <is>
          <t>tblDeviceTypeIDCrosswalk</t>
        </is>
      </c>
      <c r="I1210" t="inlineStr"/>
      <c r="J1210" t="inlineStr">
        <is>
          <t>No Supported Match</t>
        </is>
      </c>
      <c r="K1210" t="inlineStr">
        <is>
          <t>None</t>
        </is>
      </c>
      <c r="L1210" t="inlineStr">
        <is>
          <t>Crosswalk Pending</t>
        </is>
      </c>
      <c r="M1210" t="inlineStr">
        <is>
          <t>Open</t>
        </is>
      </c>
      <c r="N1210" t="inlineStr"/>
    </row>
    <row r="1211">
      <c r="A1211" t="inlineStr">
        <is>
          <t>FKEX01210</t>
        </is>
      </c>
      <c r="B1211" t="inlineStr">
        <is>
          <t>15 LL_Device</t>
        </is>
      </c>
      <c r="C1211" t="inlineStr">
        <is>
          <t>tblDeviceModel</t>
        </is>
      </c>
      <c r="D1211" t="n">
        <v>405</v>
      </c>
      <c r="E1211" t="inlineStr">
        <is>
          <t>MOD000402</t>
        </is>
      </c>
      <c r="F1211" t="inlineStr">
        <is>
          <t>ManufacturerID</t>
        </is>
      </c>
      <c r="G1211" t="inlineStr">
        <is>
          <t>MFG004</t>
        </is>
      </c>
      <c r="H1211" t="inlineStr">
        <is>
          <t>tblManufacturerIDCrosswalk</t>
        </is>
      </c>
      <c r="I1211" t="inlineStr"/>
      <c r="J1211" t="inlineStr">
        <is>
          <t>No Supported Match</t>
        </is>
      </c>
      <c r="K1211" t="inlineStr">
        <is>
          <t>None</t>
        </is>
      </c>
      <c r="L1211" t="inlineStr">
        <is>
          <t>Crosswalk Pending</t>
        </is>
      </c>
      <c r="M1211" t="inlineStr">
        <is>
          <t>Open</t>
        </is>
      </c>
      <c r="N1211" t="inlineStr"/>
    </row>
    <row r="1212">
      <c r="A1212" t="inlineStr">
        <is>
          <t>FKEX01211</t>
        </is>
      </c>
      <c r="B1212" t="inlineStr">
        <is>
          <t>15 LL_Device</t>
        </is>
      </c>
      <c r="C1212" t="inlineStr">
        <is>
          <t>tblDeviceModel</t>
        </is>
      </c>
      <c r="D1212" t="n">
        <v>405</v>
      </c>
      <c r="E1212" t="inlineStr">
        <is>
          <t>MOD000402</t>
        </is>
      </c>
      <c r="F1212" t="inlineStr">
        <is>
          <t>DeviceFamilyID</t>
        </is>
      </c>
      <c r="G1212" t="inlineStr">
        <is>
          <t>DF044</t>
        </is>
      </c>
      <c r="H1212" t="inlineStr">
        <is>
          <t>tblDeviceFamilyIDCrosswalk</t>
        </is>
      </c>
      <c r="I1212" t="inlineStr"/>
      <c r="J1212" t="inlineStr">
        <is>
          <t>tblDeviceModel</t>
        </is>
      </c>
      <c r="K1212" t="inlineStr">
        <is>
          <t>Exact ID</t>
        </is>
      </c>
      <c r="L1212" t="inlineStr">
        <is>
          <t>Crosswalk Pending</t>
        </is>
      </c>
      <c r="M1212" t="inlineStr">
        <is>
          <t>Open</t>
        </is>
      </c>
      <c r="N1212" t="inlineStr"/>
    </row>
    <row r="1213">
      <c r="A1213" t="inlineStr">
        <is>
          <t>FKEX01212</t>
        </is>
      </c>
      <c r="B1213" t="inlineStr">
        <is>
          <t>15 LL_Device</t>
        </is>
      </c>
      <c r="C1213" t="inlineStr">
        <is>
          <t>tblDeviceModel</t>
        </is>
      </c>
      <c r="D1213" t="n">
        <v>405</v>
      </c>
      <c r="E1213" t="inlineStr">
        <is>
          <t>MOD000402</t>
        </is>
      </c>
      <c r="F1213" t="inlineStr">
        <is>
          <t>DeviceTypeID</t>
        </is>
      </c>
      <c r="G1213" t="inlineStr">
        <is>
          <t>DT001</t>
        </is>
      </c>
      <c r="H1213" t="inlineStr">
        <is>
          <t>tblDeviceTypeIDCrosswalk</t>
        </is>
      </c>
      <c r="I1213" t="inlineStr"/>
      <c r="J1213" t="inlineStr">
        <is>
          <t>No Supported Match</t>
        </is>
      </c>
      <c r="K1213" t="inlineStr">
        <is>
          <t>None</t>
        </is>
      </c>
      <c r="L1213" t="inlineStr">
        <is>
          <t>Crosswalk Pending</t>
        </is>
      </c>
      <c r="M1213" t="inlineStr">
        <is>
          <t>Open</t>
        </is>
      </c>
      <c r="N1213" t="inlineStr"/>
    </row>
    <row r="1214">
      <c r="A1214" t="inlineStr">
        <is>
          <t>FKEX01213</t>
        </is>
      </c>
      <c r="B1214" t="inlineStr">
        <is>
          <t>15 LL_Device</t>
        </is>
      </c>
      <c r="C1214" t="inlineStr">
        <is>
          <t>tblDeviceModel</t>
        </is>
      </c>
      <c r="D1214" t="n">
        <v>406</v>
      </c>
      <c r="E1214" t="inlineStr">
        <is>
          <t>MOD000403</t>
        </is>
      </c>
      <c r="F1214" t="inlineStr">
        <is>
          <t>ManufacturerID</t>
        </is>
      </c>
      <c r="G1214" t="inlineStr">
        <is>
          <t>MFG004</t>
        </is>
      </c>
      <c r="H1214" t="inlineStr">
        <is>
          <t>tblManufacturerIDCrosswalk</t>
        </is>
      </c>
      <c r="I1214" t="inlineStr"/>
      <c r="J1214" t="inlineStr">
        <is>
          <t>No Supported Match</t>
        </is>
      </c>
      <c r="K1214" t="inlineStr">
        <is>
          <t>None</t>
        </is>
      </c>
      <c r="L1214" t="inlineStr">
        <is>
          <t>Crosswalk Pending</t>
        </is>
      </c>
      <c r="M1214" t="inlineStr">
        <is>
          <t>Open</t>
        </is>
      </c>
      <c r="N1214" t="inlineStr"/>
    </row>
    <row r="1215">
      <c r="A1215" t="inlineStr">
        <is>
          <t>FKEX01214</t>
        </is>
      </c>
      <c r="B1215" t="inlineStr">
        <is>
          <t>15 LL_Device</t>
        </is>
      </c>
      <c r="C1215" t="inlineStr">
        <is>
          <t>tblDeviceModel</t>
        </is>
      </c>
      <c r="D1215" t="n">
        <v>406</v>
      </c>
      <c r="E1215" t="inlineStr">
        <is>
          <t>MOD000403</t>
        </is>
      </c>
      <c r="F1215" t="inlineStr">
        <is>
          <t>DeviceFamilyID</t>
        </is>
      </c>
      <c r="G1215" t="inlineStr">
        <is>
          <t>DF044</t>
        </is>
      </c>
      <c r="H1215" t="inlineStr">
        <is>
          <t>tblDeviceFamilyIDCrosswalk</t>
        </is>
      </c>
      <c r="I1215" t="inlineStr"/>
      <c r="J1215" t="inlineStr">
        <is>
          <t>tblDeviceModel</t>
        </is>
      </c>
      <c r="K1215" t="inlineStr">
        <is>
          <t>Exact ID</t>
        </is>
      </c>
      <c r="L1215" t="inlineStr">
        <is>
          <t>Crosswalk Pending</t>
        </is>
      </c>
      <c r="M1215" t="inlineStr">
        <is>
          <t>Open</t>
        </is>
      </c>
      <c r="N1215" t="inlineStr"/>
    </row>
    <row r="1216">
      <c r="A1216" t="inlineStr">
        <is>
          <t>FKEX01215</t>
        </is>
      </c>
      <c r="B1216" t="inlineStr">
        <is>
          <t>15 LL_Device</t>
        </is>
      </c>
      <c r="C1216" t="inlineStr">
        <is>
          <t>tblDeviceModel</t>
        </is>
      </c>
      <c r="D1216" t="n">
        <v>406</v>
      </c>
      <c r="E1216" t="inlineStr">
        <is>
          <t>MOD000403</t>
        </is>
      </c>
      <c r="F1216" t="inlineStr">
        <is>
          <t>DeviceTypeID</t>
        </is>
      </c>
      <c r="G1216" t="inlineStr">
        <is>
          <t>DT001</t>
        </is>
      </c>
      <c r="H1216" t="inlineStr">
        <is>
          <t>tblDeviceTypeIDCrosswalk</t>
        </is>
      </c>
      <c r="I1216" t="inlineStr"/>
      <c r="J1216" t="inlineStr">
        <is>
          <t>No Supported Match</t>
        </is>
      </c>
      <c r="K1216" t="inlineStr">
        <is>
          <t>None</t>
        </is>
      </c>
      <c r="L1216" t="inlineStr">
        <is>
          <t>Crosswalk Pending</t>
        </is>
      </c>
      <c r="M1216" t="inlineStr">
        <is>
          <t>Open</t>
        </is>
      </c>
      <c r="N1216" t="inlineStr"/>
    </row>
    <row r="1217">
      <c r="A1217" t="inlineStr">
        <is>
          <t>FKEX01216</t>
        </is>
      </c>
      <c r="B1217" t="inlineStr">
        <is>
          <t>15 LL_Device</t>
        </is>
      </c>
      <c r="C1217" t="inlineStr">
        <is>
          <t>tblDeviceModel</t>
        </is>
      </c>
      <c r="D1217" t="n">
        <v>407</v>
      </c>
      <c r="E1217" t="inlineStr">
        <is>
          <t>MOD000404</t>
        </is>
      </c>
      <c r="F1217" t="inlineStr">
        <is>
          <t>ManufacturerID</t>
        </is>
      </c>
      <c r="G1217" t="inlineStr">
        <is>
          <t>MFG004</t>
        </is>
      </c>
      <c r="H1217" t="inlineStr">
        <is>
          <t>tblManufacturerIDCrosswalk</t>
        </is>
      </c>
      <c r="I1217" t="inlineStr"/>
      <c r="J1217" t="inlineStr">
        <is>
          <t>No Supported Match</t>
        </is>
      </c>
      <c r="K1217" t="inlineStr">
        <is>
          <t>None</t>
        </is>
      </c>
      <c r="L1217" t="inlineStr">
        <is>
          <t>Crosswalk Pending</t>
        </is>
      </c>
      <c r="M1217" t="inlineStr">
        <is>
          <t>Open</t>
        </is>
      </c>
      <c r="N1217" t="inlineStr"/>
    </row>
    <row r="1218">
      <c r="A1218" t="inlineStr">
        <is>
          <t>FKEX01217</t>
        </is>
      </c>
      <c r="B1218" t="inlineStr">
        <is>
          <t>15 LL_Device</t>
        </is>
      </c>
      <c r="C1218" t="inlineStr">
        <is>
          <t>tblDeviceModel</t>
        </is>
      </c>
      <c r="D1218" t="n">
        <v>407</v>
      </c>
      <c r="E1218" t="inlineStr">
        <is>
          <t>MOD000404</t>
        </is>
      </c>
      <c r="F1218" t="inlineStr">
        <is>
          <t>DeviceFamilyID</t>
        </is>
      </c>
      <c r="G1218" t="inlineStr">
        <is>
          <t>DF040</t>
        </is>
      </c>
      <c r="H1218" t="inlineStr">
        <is>
          <t>tblDeviceFamilyIDCrosswalk</t>
        </is>
      </c>
      <c r="I1218" t="inlineStr"/>
      <c r="J1218" t="inlineStr">
        <is>
          <t>tblDeviceModel</t>
        </is>
      </c>
      <c r="K1218" t="inlineStr">
        <is>
          <t>Exact ID</t>
        </is>
      </c>
      <c r="L1218" t="inlineStr">
        <is>
          <t>Crosswalk Pending</t>
        </is>
      </c>
      <c r="M1218" t="inlineStr">
        <is>
          <t>Open</t>
        </is>
      </c>
      <c r="N1218" t="inlineStr"/>
    </row>
    <row r="1219">
      <c r="A1219" t="inlineStr">
        <is>
          <t>FKEX01218</t>
        </is>
      </c>
      <c r="B1219" t="inlineStr">
        <is>
          <t>15 LL_Device</t>
        </is>
      </c>
      <c r="C1219" t="inlineStr">
        <is>
          <t>tblDeviceModel</t>
        </is>
      </c>
      <c r="D1219" t="n">
        <v>407</v>
      </c>
      <c r="E1219" t="inlineStr">
        <is>
          <t>MOD000404</t>
        </is>
      </c>
      <c r="F1219" t="inlineStr">
        <is>
          <t>DeviceTypeID</t>
        </is>
      </c>
      <c r="G1219" t="inlineStr">
        <is>
          <t>DT001</t>
        </is>
      </c>
      <c r="H1219" t="inlineStr">
        <is>
          <t>tblDeviceTypeIDCrosswalk</t>
        </is>
      </c>
      <c r="I1219" t="inlineStr"/>
      <c r="J1219" t="inlineStr">
        <is>
          <t>No Supported Match</t>
        </is>
      </c>
      <c r="K1219" t="inlineStr">
        <is>
          <t>None</t>
        </is>
      </c>
      <c r="L1219" t="inlineStr">
        <is>
          <t>Crosswalk Pending</t>
        </is>
      </c>
      <c r="M1219" t="inlineStr">
        <is>
          <t>Open</t>
        </is>
      </c>
      <c r="N1219" t="inlineStr"/>
    </row>
    <row r="1220">
      <c r="A1220" t="inlineStr">
        <is>
          <t>FKEX01219</t>
        </is>
      </c>
      <c r="B1220" t="inlineStr">
        <is>
          <t>15 LL_Device</t>
        </is>
      </c>
      <c r="C1220" t="inlineStr">
        <is>
          <t>tblDeviceModel</t>
        </is>
      </c>
      <c r="D1220" t="n">
        <v>408</v>
      </c>
      <c r="E1220" t="inlineStr">
        <is>
          <t>MOD000405</t>
        </is>
      </c>
      <c r="F1220" t="inlineStr">
        <is>
          <t>ManufacturerID</t>
        </is>
      </c>
      <c r="G1220" t="inlineStr">
        <is>
          <t>MFG004</t>
        </is>
      </c>
      <c r="H1220" t="inlineStr">
        <is>
          <t>tblManufacturerIDCrosswalk</t>
        </is>
      </c>
      <c r="I1220" t="inlineStr"/>
      <c r="J1220" t="inlineStr">
        <is>
          <t>No Supported Match</t>
        </is>
      </c>
      <c r="K1220" t="inlineStr">
        <is>
          <t>None</t>
        </is>
      </c>
      <c r="L1220" t="inlineStr">
        <is>
          <t>Crosswalk Pending</t>
        </is>
      </c>
      <c r="M1220" t="inlineStr">
        <is>
          <t>Open</t>
        </is>
      </c>
      <c r="N1220" t="inlineStr"/>
    </row>
    <row r="1221">
      <c r="A1221" t="inlineStr">
        <is>
          <t>FKEX01220</t>
        </is>
      </c>
      <c r="B1221" t="inlineStr">
        <is>
          <t>15 LL_Device</t>
        </is>
      </c>
      <c r="C1221" t="inlineStr">
        <is>
          <t>tblDeviceModel</t>
        </is>
      </c>
      <c r="D1221" t="n">
        <v>408</v>
      </c>
      <c r="E1221" t="inlineStr">
        <is>
          <t>MOD000405</t>
        </is>
      </c>
      <c r="F1221" t="inlineStr">
        <is>
          <t>DeviceFamilyID</t>
        </is>
      </c>
      <c r="G1221" t="inlineStr">
        <is>
          <t>DF040</t>
        </is>
      </c>
      <c r="H1221" t="inlineStr">
        <is>
          <t>tblDeviceFamilyIDCrosswalk</t>
        </is>
      </c>
      <c r="I1221" t="inlineStr"/>
      <c r="J1221" t="inlineStr">
        <is>
          <t>tblDeviceModel</t>
        </is>
      </c>
      <c r="K1221" t="inlineStr">
        <is>
          <t>Exact ID</t>
        </is>
      </c>
      <c r="L1221" t="inlineStr">
        <is>
          <t>Crosswalk Pending</t>
        </is>
      </c>
      <c r="M1221" t="inlineStr">
        <is>
          <t>Open</t>
        </is>
      </c>
      <c r="N1221" t="inlineStr"/>
    </row>
    <row r="1222">
      <c r="A1222" t="inlineStr">
        <is>
          <t>FKEX01221</t>
        </is>
      </c>
      <c r="B1222" t="inlineStr">
        <is>
          <t>15 LL_Device</t>
        </is>
      </c>
      <c r="C1222" t="inlineStr">
        <is>
          <t>tblDeviceModel</t>
        </is>
      </c>
      <c r="D1222" t="n">
        <v>408</v>
      </c>
      <c r="E1222" t="inlineStr">
        <is>
          <t>MOD000405</t>
        </is>
      </c>
      <c r="F1222" t="inlineStr">
        <is>
          <t>DeviceTypeID</t>
        </is>
      </c>
      <c r="G1222" t="inlineStr">
        <is>
          <t>DT001</t>
        </is>
      </c>
      <c r="H1222" t="inlineStr">
        <is>
          <t>tblDeviceTypeIDCrosswalk</t>
        </is>
      </c>
      <c r="I1222" t="inlineStr"/>
      <c r="J1222" t="inlineStr">
        <is>
          <t>No Supported Match</t>
        </is>
      </c>
      <c r="K1222" t="inlineStr">
        <is>
          <t>None</t>
        </is>
      </c>
      <c r="L1222" t="inlineStr">
        <is>
          <t>Crosswalk Pending</t>
        </is>
      </c>
      <c r="M1222" t="inlineStr">
        <is>
          <t>Open</t>
        </is>
      </c>
      <c r="N1222" t="inlineStr"/>
    </row>
    <row r="1223">
      <c r="A1223" t="inlineStr">
        <is>
          <t>FKEX01222</t>
        </is>
      </c>
      <c r="B1223" t="inlineStr">
        <is>
          <t>15 LL_Device</t>
        </is>
      </c>
      <c r="C1223" t="inlineStr">
        <is>
          <t>tblDeviceModel</t>
        </is>
      </c>
      <c r="D1223" t="n">
        <v>409</v>
      </c>
      <c r="E1223" t="inlineStr">
        <is>
          <t>MOD000406</t>
        </is>
      </c>
      <c r="F1223" t="inlineStr">
        <is>
          <t>ManufacturerID</t>
        </is>
      </c>
      <c r="G1223" t="inlineStr">
        <is>
          <t>MFG004</t>
        </is>
      </c>
      <c r="H1223" t="inlineStr">
        <is>
          <t>tblManufacturerIDCrosswalk</t>
        </is>
      </c>
      <c r="I1223" t="inlineStr"/>
      <c r="J1223" t="inlineStr">
        <is>
          <t>No Supported Match</t>
        </is>
      </c>
      <c r="K1223" t="inlineStr">
        <is>
          <t>None</t>
        </is>
      </c>
      <c r="L1223" t="inlineStr">
        <is>
          <t>Crosswalk Pending</t>
        </is>
      </c>
      <c r="M1223" t="inlineStr">
        <is>
          <t>Open</t>
        </is>
      </c>
      <c r="N1223" t="inlineStr"/>
    </row>
    <row r="1224">
      <c r="A1224" t="inlineStr">
        <is>
          <t>FKEX01223</t>
        </is>
      </c>
      <c r="B1224" t="inlineStr">
        <is>
          <t>15 LL_Device</t>
        </is>
      </c>
      <c r="C1224" t="inlineStr">
        <is>
          <t>tblDeviceModel</t>
        </is>
      </c>
      <c r="D1224" t="n">
        <v>409</v>
      </c>
      <c r="E1224" t="inlineStr">
        <is>
          <t>MOD000406</t>
        </is>
      </c>
      <c r="F1224" t="inlineStr">
        <is>
          <t>DeviceFamilyID</t>
        </is>
      </c>
      <c r="G1224" t="inlineStr">
        <is>
          <t>DF040</t>
        </is>
      </c>
      <c r="H1224" t="inlineStr">
        <is>
          <t>tblDeviceFamilyIDCrosswalk</t>
        </is>
      </c>
      <c r="I1224" t="inlineStr"/>
      <c r="J1224" t="inlineStr">
        <is>
          <t>tblDeviceModel</t>
        </is>
      </c>
      <c r="K1224" t="inlineStr">
        <is>
          <t>Exact ID</t>
        </is>
      </c>
      <c r="L1224" t="inlineStr">
        <is>
          <t>Crosswalk Pending</t>
        </is>
      </c>
      <c r="M1224" t="inlineStr">
        <is>
          <t>Open</t>
        </is>
      </c>
      <c r="N1224" t="inlineStr"/>
    </row>
    <row r="1225">
      <c r="A1225" t="inlineStr">
        <is>
          <t>FKEX01224</t>
        </is>
      </c>
      <c r="B1225" t="inlineStr">
        <is>
          <t>15 LL_Device</t>
        </is>
      </c>
      <c r="C1225" t="inlineStr">
        <is>
          <t>tblDeviceModel</t>
        </is>
      </c>
      <c r="D1225" t="n">
        <v>409</v>
      </c>
      <c r="E1225" t="inlineStr">
        <is>
          <t>MOD000406</t>
        </is>
      </c>
      <c r="F1225" t="inlineStr">
        <is>
          <t>DeviceTypeID</t>
        </is>
      </c>
      <c r="G1225" t="inlineStr">
        <is>
          <t>DT001</t>
        </is>
      </c>
      <c r="H1225" t="inlineStr">
        <is>
          <t>tblDeviceTypeIDCrosswalk</t>
        </is>
      </c>
      <c r="I1225" t="inlineStr"/>
      <c r="J1225" t="inlineStr">
        <is>
          <t>No Supported Match</t>
        </is>
      </c>
      <c r="K1225" t="inlineStr">
        <is>
          <t>None</t>
        </is>
      </c>
      <c r="L1225" t="inlineStr">
        <is>
          <t>Crosswalk Pending</t>
        </is>
      </c>
      <c r="M1225" t="inlineStr">
        <is>
          <t>Open</t>
        </is>
      </c>
      <c r="N1225" t="inlineStr"/>
    </row>
    <row r="1226">
      <c r="A1226" t="inlineStr">
        <is>
          <t>FKEX01225</t>
        </is>
      </c>
      <c r="B1226" t="inlineStr">
        <is>
          <t>15 LL_Device</t>
        </is>
      </c>
      <c r="C1226" t="inlineStr">
        <is>
          <t>tblDeviceModel</t>
        </is>
      </c>
      <c r="D1226" t="n">
        <v>410</v>
      </c>
      <c r="E1226" t="inlineStr">
        <is>
          <t>MOD000407</t>
        </is>
      </c>
      <c r="F1226" t="inlineStr">
        <is>
          <t>ManufacturerID</t>
        </is>
      </c>
      <c r="G1226" t="inlineStr">
        <is>
          <t>MFG004</t>
        </is>
      </c>
      <c r="H1226" t="inlineStr">
        <is>
          <t>tblManufacturerIDCrosswalk</t>
        </is>
      </c>
      <c r="I1226" t="inlineStr"/>
      <c r="J1226" t="inlineStr">
        <is>
          <t>No Supported Match</t>
        </is>
      </c>
      <c r="K1226" t="inlineStr">
        <is>
          <t>None</t>
        </is>
      </c>
      <c r="L1226" t="inlineStr">
        <is>
          <t>Crosswalk Pending</t>
        </is>
      </c>
      <c r="M1226" t="inlineStr">
        <is>
          <t>Open</t>
        </is>
      </c>
      <c r="N1226" t="inlineStr"/>
    </row>
    <row r="1227">
      <c r="A1227" t="inlineStr">
        <is>
          <t>FKEX01226</t>
        </is>
      </c>
      <c r="B1227" t="inlineStr">
        <is>
          <t>15 LL_Device</t>
        </is>
      </c>
      <c r="C1227" t="inlineStr">
        <is>
          <t>tblDeviceModel</t>
        </is>
      </c>
      <c r="D1227" t="n">
        <v>410</v>
      </c>
      <c r="E1227" t="inlineStr">
        <is>
          <t>MOD000407</t>
        </is>
      </c>
      <c r="F1227" t="inlineStr">
        <is>
          <t>DeviceFamilyID</t>
        </is>
      </c>
      <c r="G1227" t="inlineStr">
        <is>
          <t>DF043</t>
        </is>
      </c>
      <c r="H1227" t="inlineStr">
        <is>
          <t>tblDeviceFamilyIDCrosswalk</t>
        </is>
      </c>
      <c r="I1227" t="inlineStr"/>
      <c r="J1227" t="inlineStr">
        <is>
          <t>tblDeviceModel</t>
        </is>
      </c>
      <c r="K1227" t="inlineStr">
        <is>
          <t>Exact ID</t>
        </is>
      </c>
      <c r="L1227" t="inlineStr">
        <is>
          <t>Crosswalk Pending</t>
        </is>
      </c>
      <c r="M1227" t="inlineStr">
        <is>
          <t>Open</t>
        </is>
      </c>
      <c r="N1227" t="inlineStr"/>
    </row>
    <row r="1228">
      <c r="A1228" t="inlineStr">
        <is>
          <t>FKEX01227</t>
        </is>
      </c>
      <c r="B1228" t="inlineStr">
        <is>
          <t>15 LL_Device</t>
        </is>
      </c>
      <c r="C1228" t="inlineStr">
        <is>
          <t>tblDeviceModel</t>
        </is>
      </c>
      <c r="D1228" t="n">
        <v>410</v>
      </c>
      <c r="E1228" t="inlineStr">
        <is>
          <t>MOD000407</t>
        </is>
      </c>
      <c r="F1228" t="inlineStr">
        <is>
          <t>DeviceTypeID</t>
        </is>
      </c>
      <c r="G1228" t="inlineStr">
        <is>
          <t>DT001</t>
        </is>
      </c>
      <c r="H1228" t="inlineStr">
        <is>
          <t>tblDeviceTypeIDCrosswalk</t>
        </is>
      </c>
      <c r="I1228" t="inlineStr"/>
      <c r="J1228" t="inlineStr">
        <is>
          <t>No Supported Match</t>
        </is>
      </c>
      <c r="K1228" t="inlineStr">
        <is>
          <t>None</t>
        </is>
      </c>
      <c r="L1228" t="inlineStr">
        <is>
          <t>Crosswalk Pending</t>
        </is>
      </c>
      <c r="M1228" t="inlineStr">
        <is>
          <t>Open</t>
        </is>
      </c>
      <c r="N1228" t="inlineStr"/>
    </row>
    <row r="1229">
      <c r="A1229" t="inlineStr">
        <is>
          <t>FKEX01228</t>
        </is>
      </c>
      <c r="B1229" t="inlineStr">
        <is>
          <t>15 LL_Device</t>
        </is>
      </c>
      <c r="C1229" t="inlineStr">
        <is>
          <t>tblDeviceModel</t>
        </is>
      </c>
      <c r="D1229" t="n">
        <v>411</v>
      </c>
      <c r="E1229" t="inlineStr">
        <is>
          <t>MOD000408</t>
        </is>
      </c>
      <c r="F1229" t="inlineStr">
        <is>
          <t>ManufacturerID</t>
        </is>
      </c>
      <c r="G1229" t="inlineStr">
        <is>
          <t>MFG004</t>
        </is>
      </c>
      <c r="H1229" t="inlineStr">
        <is>
          <t>tblManufacturerIDCrosswalk</t>
        </is>
      </c>
      <c r="I1229" t="inlineStr"/>
      <c r="J1229" t="inlineStr">
        <is>
          <t>No Supported Match</t>
        </is>
      </c>
      <c r="K1229" t="inlineStr">
        <is>
          <t>None</t>
        </is>
      </c>
      <c r="L1229" t="inlineStr">
        <is>
          <t>Crosswalk Pending</t>
        </is>
      </c>
      <c r="M1229" t="inlineStr">
        <is>
          <t>Open</t>
        </is>
      </c>
      <c r="N1229" t="inlineStr"/>
    </row>
    <row r="1230">
      <c r="A1230" t="inlineStr">
        <is>
          <t>FKEX01229</t>
        </is>
      </c>
      <c r="B1230" t="inlineStr">
        <is>
          <t>15 LL_Device</t>
        </is>
      </c>
      <c r="C1230" t="inlineStr">
        <is>
          <t>tblDeviceModel</t>
        </is>
      </c>
      <c r="D1230" t="n">
        <v>411</v>
      </c>
      <c r="E1230" t="inlineStr">
        <is>
          <t>MOD000408</t>
        </is>
      </c>
      <c r="F1230" t="inlineStr">
        <is>
          <t>DeviceFamilyID</t>
        </is>
      </c>
      <c r="G1230" t="inlineStr">
        <is>
          <t>DF043</t>
        </is>
      </c>
      <c r="H1230" t="inlineStr">
        <is>
          <t>tblDeviceFamilyIDCrosswalk</t>
        </is>
      </c>
      <c r="I1230" t="inlineStr"/>
      <c r="J1230" t="inlineStr">
        <is>
          <t>tblDeviceModel</t>
        </is>
      </c>
      <c r="K1230" t="inlineStr">
        <is>
          <t>Exact ID</t>
        </is>
      </c>
      <c r="L1230" t="inlineStr">
        <is>
          <t>Crosswalk Pending</t>
        </is>
      </c>
      <c r="M1230" t="inlineStr">
        <is>
          <t>Open</t>
        </is>
      </c>
      <c r="N1230" t="inlineStr"/>
    </row>
    <row r="1231">
      <c r="A1231" t="inlineStr">
        <is>
          <t>FKEX01230</t>
        </is>
      </c>
      <c r="B1231" t="inlineStr">
        <is>
          <t>15 LL_Device</t>
        </is>
      </c>
      <c r="C1231" t="inlineStr">
        <is>
          <t>tblDeviceModel</t>
        </is>
      </c>
      <c r="D1231" t="n">
        <v>411</v>
      </c>
      <c r="E1231" t="inlineStr">
        <is>
          <t>MOD000408</t>
        </is>
      </c>
      <c r="F1231" t="inlineStr">
        <is>
          <t>DeviceTypeID</t>
        </is>
      </c>
      <c r="G1231" t="inlineStr">
        <is>
          <t>DT001</t>
        </is>
      </c>
      <c r="H1231" t="inlineStr">
        <is>
          <t>tblDeviceTypeIDCrosswalk</t>
        </is>
      </c>
      <c r="I1231" t="inlineStr"/>
      <c r="J1231" t="inlineStr">
        <is>
          <t>No Supported Match</t>
        </is>
      </c>
      <c r="K1231" t="inlineStr">
        <is>
          <t>None</t>
        </is>
      </c>
      <c r="L1231" t="inlineStr">
        <is>
          <t>Crosswalk Pending</t>
        </is>
      </c>
      <c r="M1231" t="inlineStr">
        <is>
          <t>Open</t>
        </is>
      </c>
      <c r="N1231" t="inlineStr"/>
    </row>
    <row r="1232">
      <c r="A1232" t="inlineStr">
        <is>
          <t>FKEX01231</t>
        </is>
      </c>
      <c r="B1232" t="inlineStr">
        <is>
          <t>15 LL_Device</t>
        </is>
      </c>
      <c r="C1232" t="inlineStr">
        <is>
          <t>tblDeviceModel</t>
        </is>
      </c>
      <c r="D1232" t="n">
        <v>412</v>
      </c>
      <c r="E1232" t="inlineStr">
        <is>
          <t>MOD000409</t>
        </is>
      </c>
      <c r="F1232" t="inlineStr">
        <is>
          <t>ManufacturerID</t>
        </is>
      </c>
      <c r="G1232" t="inlineStr">
        <is>
          <t>MFG004</t>
        </is>
      </c>
      <c r="H1232" t="inlineStr">
        <is>
          <t>tblManufacturerIDCrosswalk</t>
        </is>
      </c>
      <c r="I1232" t="inlineStr"/>
      <c r="J1232" t="inlineStr">
        <is>
          <t>No Supported Match</t>
        </is>
      </c>
      <c r="K1232" t="inlineStr">
        <is>
          <t>None</t>
        </is>
      </c>
      <c r="L1232" t="inlineStr">
        <is>
          <t>Crosswalk Pending</t>
        </is>
      </c>
      <c r="M1232" t="inlineStr">
        <is>
          <t>Open</t>
        </is>
      </c>
      <c r="N1232" t="inlineStr"/>
    </row>
    <row r="1233">
      <c r="A1233" t="inlineStr">
        <is>
          <t>FKEX01232</t>
        </is>
      </c>
      <c r="B1233" t="inlineStr">
        <is>
          <t>15 LL_Device</t>
        </is>
      </c>
      <c r="C1233" t="inlineStr">
        <is>
          <t>tblDeviceModel</t>
        </is>
      </c>
      <c r="D1233" t="n">
        <v>412</v>
      </c>
      <c r="E1233" t="inlineStr">
        <is>
          <t>MOD000409</t>
        </is>
      </c>
      <c r="F1233" t="inlineStr">
        <is>
          <t>DeviceFamilyID</t>
        </is>
      </c>
      <c r="G1233" t="inlineStr">
        <is>
          <t>DF043</t>
        </is>
      </c>
      <c r="H1233" t="inlineStr">
        <is>
          <t>tblDeviceFamilyIDCrosswalk</t>
        </is>
      </c>
      <c r="I1233" t="inlineStr"/>
      <c r="J1233" t="inlineStr">
        <is>
          <t>tblDeviceModel</t>
        </is>
      </c>
      <c r="K1233" t="inlineStr">
        <is>
          <t>Exact ID</t>
        </is>
      </c>
      <c r="L1233" t="inlineStr">
        <is>
          <t>Crosswalk Pending</t>
        </is>
      </c>
      <c r="M1233" t="inlineStr">
        <is>
          <t>Open</t>
        </is>
      </c>
      <c r="N1233" t="inlineStr"/>
    </row>
    <row r="1234">
      <c r="A1234" t="inlineStr">
        <is>
          <t>FKEX01233</t>
        </is>
      </c>
      <c r="B1234" t="inlineStr">
        <is>
          <t>15 LL_Device</t>
        </is>
      </c>
      <c r="C1234" t="inlineStr">
        <is>
          <t>tblDeviceModel</t>
        </is>
      </c>
      <c r="D1234" t="n">
        <v>412</v>
      </c>
      <c r="E1234" t="inlineStr">
        <is>
          <t>MOD000409</t>
        </is>
      </c>
      <c r="F1234" t="inlineStr">
        <is>
          <t>DeviceTypeID</t>
        </is>
      </c>
      <c r="G1234" t="inlineStr">
        <is>
          <t>DT001</t>
        </is>
      </c>
      <c r="H1234" t="inlineStr">
        <is>
          <t>tblDeviceTypeIDCrosswalk</t>
        </is>
      </c>
      <c r="I1234" t="inlineStr"/>
      <c r="J1234" t="inlineStr">
        <is>
          <t>No Supported Match</t>
        </is>
      </c>
      <c r="K1234" t="inlineStr">
        <is>
          <t>None</t>
        </is>
      </c>
      <c r="L1234" t="inlineStr">
        <is>
          <t>Crosswalk Pending</t>
        </is>
      </c>
      <c r="M1234" t="inlineStr">
        <is>
          <t>Open</t>
        </is>
      </c>
      <c r="N1234" t="inlineStr"/>
    </row>
    <row r="1235">
      <c r="A1235" t="inlineStr">
        <is>
          <t>FKEX01234</t>
        </is>
      </c>
      <c r="B1235" t="inlineStr">
        <is>
          <t>15 LL_Device</t>
        </is>
      </c>
      <c r="C1235" t="inlineStr">
        <is>
          <t>tblDeviceModel</t>
        </is>
      </c>
      <c r="D1235" t="n">
        <v>413</v>
      </c>
      <c r="E1235" t="inlineStr">
        <is>
          <t>MOD000410</t>
        </is>
      </c>
      <c r="F1235" t="inlineStr">
        <is>
          <t>ManufacturerID</t>
        </is>
      </c>
      <c r="G1235" t="inlineStr">
        <is>
          <t>MFG004</t>
        </is>
      </c>
      <c r="H1235" t="inlineStr">
        <is>
          <t>tblManufacturerIDCrosswalk</t>
        </is>
      </c>
      <c r="I1235" t="inlineStr"/>
      <c r="J1235" t="inlineStr">
        <is>
          <t>No Supported Match</t>
        </is>
      </c>
      <c r="K1235" t="inlineStr">
        <is>
          <t>None</t>
        </is>
      </c>
      <c r="L1235" t="inlineStr">
        <is>
          <t>Crosswalk Pending</t>
        </is>
      </c>
      <c r="M1235" t="inlineStr">
        <is>
          <t>Open</t>
        </is>
      </c>
      <c r="N1235" t="inlineStr"/>
    </row>
    <row r="1236">
      <c r="A1236" t="inlineStr">
        <is>
          <t>FKEX01235</t>
        </is>
      </c>
      <c r="B1236" t="inlineStr">
        <is>
          <t>15 LL_Device</t>
        </is>
      </c>
      <c r="C1236" t="inlineStr">
        <is>
          <t>tblDeviceModel</t>
        </is>
      </c>
      <c r="D1236" t="n">
        <v>413</v>
      </c>
      <c r="E1236" t="inlineStr">
        <is>
          <t>MOD000410</t>
        </is>
      </c>
      <c r="F1236" t="inlineStr">
        <is>
          <t>DeviceFamilyID</t>
        </is>
      </c>
      <c r="G1236" t="inlineStr">
        <is>
          <t>DF043</t>
        </is>
      </c>
      <c r="H1236" t="inlineStr">
        <is>
          <t>tblDeviceFamilyIDCrosswalk</t>
        </is>
      </c>
      <c r="I1236" t="inlineStr"/>
      <c r="J1236" t="inlineStr">
        <is>
          <t>tblDeviceModel</t>
        </is>
      </c>
      <c r="K1236" t="inlineStr">
        <is>
          <t>Exact ID</t>
        </is>
      </c>
      <c r="L1236" t="inlineStr">
        <is>
          <t>Crosswalk Pending</t>
        </is>
      </c>
      <c r="M1236" t="inlineStr">
        <is>
          <t>Open</t>
        </is>
      </c>
      <c r="N1236" t="inlineStr"/>
    </row>
    <row r="1237">
      <c r="A1237" t="inlineStr">
        <is>
          <t>FKEX01236</t>
        </is>
      </c>
      <c r="B1237" t="inlineStr">
        <is>
          <t>15 LL_Device</t>
        </is>
      </c>
      <c r="C1237" t="inlineStr">
        <is>
          <t>tblDeviceModel</t>
        </is>
      </c>
      <c r="D1237" t="n">
        <v>413</v>
      </c>
      <c r="E1237" t="inlineStr">
        <is>
          <t>MOD000410</t>
        </is>
      </c>
      <c r="F1237" t="inlineStr">
        <is>
          <t>DeviceTypeID</t>
        </is>
      </c>
      <c r="G1237" t="inlineStr">
        <is>
          <t>DT001</t>
        </is>
      </c>
      <c r="H1237" t="inlineStr">
        <is>
          <t>tblDeviceTypeIDCrosswalk</t>
        </is>
      </c>
      <c r="I1237" t="inlineStr"/>
      <c r="J1237" t="inlineStr">
        <is>
          <t>No Supported Match</t>
        </is>
      </c>
      <c r="K1237" t="inlineStr">
        <is>
          <t>None</t>
        </is>
      </c>
      <c r="L1237" t="inlineStr">
        <is>
          <t>Crosswalk Pending</t>
        </is>
      </c>
      <c r="M1237" t="inlineStr">
        <is>
          <t>Open</t>
        </is>
      </c>
      <c r="N1237" t="inlineStr"/>
    </row>
    <row r="1238">
      <c r="A1238" t="inlineStr">
        <is>
          <t>FKEX01237</t>
        </is>
      </c>
      <c r="B1238" t="inlineStr">
        <is>
          <t>15 LL_Device</t>
        </is>
      </c>
      <c r="C1238" t="inlineStr">
        <is>
          <t>tblDeviceModel</t>
        </is>
      </c>
      <c r="D1238" t="n">
        <v>414</v>
      </c>
      <c r="E1238" t="inlineStr">
        <is>
          <t>MOD000411</t>
        </is>
      </c>
      <c r="F1238" t="inlineStr">
        <is>
          <t>ManufacturerID</t>
        </is>
      </c>
      <c r="G1238" t="inlineStr">
        <is>
          <t>MFG004</t>
        </is>
      </c>
      <c r="H1238" t="inlineStr">
        <is>
          <t>tblManufacturerIDCrosswalk</t>
        </is>
      </c>
      <c r="I1238" t="inlineStr"/>
      <c r="J1238" t="inlineStr">
        <is>
          <t>No Supported Match</t>
        </is>
      </c>
      <c r="K1238" t="inlineStr">
        <is>
          <t>None</t>
        </is>
      </c>
      <c r="L1238" t="inlineStr">
        <is>
          <t>Crosswalk Pending</t>
        </is>
      </c>
      <c r="M1238" t="inlineStr">
        <is>
          <t>Open</t>
        </is>
      </c>
      <c r="N1238" t="inlineStr"/>
    </row>
    <row r="1239">
      <c r="A1239" t="inlineStr">
        <is>
          <t>FKEX01238</t>
        </is>
      </c>
      <c r="B1239" t="inlineStr">
        <is>
          <t>15 LL_Device</t>
        </is>
      </c>
      <c r="C1239" t="inlineStr">
        <is>
          <t>tblDeviceModel</t>
        </is>
      </c>
      <c r="D1239" t="n">
        <v>414</v>
      </c>
      <c r="E1239" t="inlineStr">
        <is>
          <t>MOD000411</t>
        </is>
      </c>
      <c r="F1239" t="inlineStr">
        <is>
          <t>DeviceFamilyID</t>
        </is>
      </c>
      <c r="G1239" t="inlineStr">
        <is>
          <t>DF044</t>
        </is>
      </c>
      <c r="H1239" t="inlineStr">
        <is>
          <t>tblDeviceFamilyIDCrosswalk</t>
        </is>
      </c>
      <c r="I1239" t="inlineStr"/>
      <c r="J1239" t="inlineStr">
        <is>
          <t>tblDeviceModel</t>
        </is>
      </c>
      <c r="K1239" t="inlineStr">
        <is>
          <t>Exact ID</t>
        </is>
      </c>
      <c r="L1239" t="inlineStr">
        <is>
          <t>Crosswalk Pending</t>
        </is>
      </c>
      <c r="M1239" t="inlineStr">
        <is>
          <t>Open</t>
        </is>
      </c>
      <c r="N1239" t="inlineStr"/>
    </row>
    <row r="1240">
      <c r="A1240" t="inlineStr">
        <is>
          <t>FKEX01239</t>
        </is>
      </c>
      <c r="B1240" t="inlineStr">
        <is>
          <t>15 LL_Device</t>
        </is>
      </c>
      <c r="C1240" t="inlineStr">
        <is>
          <t>tblDeviceModel</t>
        </is>
      </c>
      <c r="D1240" t="n">
        <v>414</v>
      </c>
      <c r="E1240" t="inlineStr">
        <is>
          <t>MOD000411</t>
        </is>
      </c>
      <c r="F1240" t="inlineStr">
        <is>
          <t>DeviceTypeID</t>
        </is>
      </c>
      <c r="G1240" t="inlineStr">
        <is>
          <t>DT001</t>
        </is>
      </c>
      <c r="H1240" t="inlineStr">
        <is>
          <t>tblDeviceTypeIDCrosswalk</t>
        </is>
      </c>
      <c r="I1240" t="inlineStr"/>
      <c r="J1240" t="inlineStr">
        <is>
          <t>No Supported Match</t>
        </is>
      </c>
      <c r="K1240" t="inlineStr">
        <is>
          <t>None</t>
        </is>
      </c>
      <c r="L1240" t="inlineStr">
        <is>
          <t>Crosswalk Pending</t>
        </is>
      </c>
      <c r="M1240" t="inlineStr">
        <is>
          <t>Open</t>
        </is>
      </c>
      <c r="N1240" t="inlineStr"/>
    </row>
    <row r="1241">
      <c r="A1241" t="inlineStr">
        <is>
          <t>FKEX01240</t>
        </is>
      </c>
      <c r="B1241" t="inlineStr">
        <is>
          <t>15 LL_Device</t>
        </is>
      </c>
      <c r="C1241" t="inlineStr">
        <is>
          <t>tblDeviceModel</t>
        </is>
      </c>
      <c r="D1241" t="n">
        <v>415</v>
      </c>
      <c r="E1241" t="inlineStr">
        <is>
          <t>MOD000412</t>
        </is>
      </c>
      <c r="F1241" t="inlineStr">
        <is>
          <t>ManufacturerID</t>
        </is>
      </c>
      <c r="G1241" t="inlineStr">
        <is>
          <t>MFG004</t>
        </is>
      </c>
      <c r="H1241" t="inlineStr">
        <is>
          <t>tblManufacturerIDCrosswalk</t>
        </is>
      </c>
      <c r="I1241" t="inlineStr"/>
      <c r="J1241" t="inlineStr">
        <is>
          <t>No Supported Match</t>
        </is>
      </c>
      <c r="K1241" t="inlineStr">
        <is>
          <t>None</t>
        </is>
      </c>
      <c r="L1241" t="inlineStr">
        <is>
          <t>Crosswalk Pending</t>
        </is>
      </c>
      <c r="M1241" t="inlineStr">
        <is>
          <t>Open</t>
        </is>
      </c>
      <c r="N1241" t="inlineStr"/>
    </row>
    <row r="1242">
      <c r="A1242" t="inlineStr">
        <is>
          <t>FKEX01241</t>
        </is>
      </c>
      <c r="B1242" t="inlineStr">
        <is>
          <t>15 LL_Device</t>
        </is>
      </c>
      <c r="C1242" t="inlineStr">
        <is>
          <t>tblDeviceModel</t>
        </is>
      </c>
      <c r="D1242" t="n">
        <v>415</v>
      </c>
      <c r="E1242" t="inlineStr">
        <is>
          <t>MOD000412</t>
        </is>
      </c>
      <c r="F1242" t="inlineStr">
        <is>
          <t>DeviceFamilyID</t>
        </is>
      </c>
      <c r="G1242" t="inlineStr">
        <is>
          <t>DF045</t>
        </is>
      </c>
      <c r="H1242" t="inlineStr">
        <is>
          <t>tblDeviceFamilyIDCrosswalk</t>
        </is>
      </c>
      <c r="I1242" t="inlineStr"/>
      <c r="J1242" t="inlineStr">
        <is>
          <t>tblDeviceModel</t>
        </is>
      </c>
      <c r="K1242" t="inlineStr">
        <is>
          <t>Exact ID</t>
        </is>
      </c>
      <c r="L1242" t="inlineStr">
        <is>
          <t>Crosswalk Pending</t>
        </is>
      </c>
      <c r="M1242" t="inlineStr">
        <is>
          <t>Open</t>
        </is>
      </c>
      <c r="N1242" t="inlineStr"/>
    </row>
    <row r="1243">
      <c r="A1243" t="inlineStr">
        <is>
          <t>FKEX01242</t>
        </is>
      </c>
      <c r="B1243" t="inlineStr">
        <is>
          <t>15 LL_Device</t>
        </is>
      </c>
      <c r="C1243" t="inlineStr">
        <is>
          <t>tblDeviceModel</t>
        </is>
      </c>
      <c r="D1243" t="n">
        <v>415</v>
      </c>
      <c r="E1243" t="inlineStr">
        <is>
          <t>MOD000412</t>
        </is>
      </c>
      <c r="F1243" t="inlineStr">
        <is>
          <t>DeviceTypeID</t>
        </is>
      </c>
      <c r="G1243" t="inlineStr">
        <is>
          <t>DT001</t>
        </is>
      </c>
      <c r="H1243" t="inlineStr">
        <is>
          <t>tblDeviceTypeIDCrosswalk</t>
        </is>
      </c>
      <c r="I1243" t="inlineStr"/>
      <c r="J1243" t="inlineStr">
        <is>
          <t>No Supported Match</t>
        </is>
      </c>
      <c r="K1243" t="inlineStr">
        <is>
          <t>None</t>
        </is>
      </c>
      <c r="L1243" t="inlineStr">
        <is>
          <t>Crosswalk Pending</t>
        </is>
      </c>
      <c r="M1243" t="inlineStr">
        <is>
          <t>Open</t>
        </is>
      </c>
      <c r="N1243" t="inlineStr"/>
    </row>
    <row r="1244">
      <c r="A1244" t="inlineStr">
        <is>
          <t>FKEX01243</t>
        </is>
      </c>
      <c r="B1244" t="inlineStr">
        <is>
          <t>15 LL_Device</t>
        </is>
      </c>
      <c r="C1244" t="inlineStr">
        <is>
          <t>tblDeviceModel</t>
        </is>
      </c>
      <c r="D1244" t="n">
        <v>416</v>
      </c>
      <c r="E1244" t="inlineStr">
        <is>
          <t>MOD000413</t>
        </is>
      </c>
      <c r="F1244" t="inlineStr">
        <is>
          <t>ManufacturerID</t>
        </is>
      </c>
      <c r="G1244" t="inlineStr">
        <is>
          <t>MFG004</t>
        </is>
      </c>
      <c r="H1244" t="inlineStr">
        <is>
          <t>tblManufacturerIDCrosswalk</t>
        </is>
      </c>
      <c r="I1244" t="inlineStr"/>
      <c r="J1244" t="inlineStr">
        <is>
          <t>No Supported Match</t>
        </is>
      </c>
      <c r="K1244" t="inlineStr">
        <is>
          <t>None</t>
        </is>
      </c>
      <c r="L1244" t="inlineStr">
        <is>
          <t>Crosswalk Pending</t>
        </is>
      </c>
      <c r="M1244" t="inlineStr">
        <is>
          <t>Open</t>
        </is>
      </c>
      <c r="N1244" t="inlineStr"/>
    </row>
    <row r="1245">
      <c r="A1245" t="inlineStr">
        <is>
          <t>FKEX01244</t>
        </is>
      </c>
      <c r="B1245" t="inlineStr">
        <is>
          <t>15 LL_Device</t>
        </is>
      </c>
      <c r="C1245" t="inlineStr">
        <is>
          <t>tblDeviceModel</t>
        </is>
      </c>
      <c r="D1245" t="n">
        <v>416</v>
      </c>
      <c r="E1245" t="inlineStr">
        <is>
          <t>MOD000413</t>
        </is>
      </c>
      <c r="F1245" t="inlineStr">
        <is>
          <t>DeviceFamilyID</t>
        </is>
      </c>
      <c r="G1245" t="inlineStr">
        <is>
          <t>DF045</t>
        </is>
      </c>
      <c r="H1245" t="inlineStr">
        <is>
          <t>tblDeviceFamilyIDCrosswalk</t>
        </is>
      </c>
      <c r="I1245" t="inlineStr"/>
      <c r="J1245" t="inlineStr">
        <is>
          <t>tblDeviceModel</t>
        </is>
      </c>
      <c r="K1245" t="inlineStr">
        <is>
          <t>Exact ID</t>
        </is>
      </c>
      <c r="L1245" t="inlineStr">
        <is>
          <t>Crosswalk Pending</t>
        </is>
      </c>
      <c r="M1245" t="inlineStr">
        <is>
          <t>Open</t>
        </is>
      </c>
      <c r="N1245" t="inlineStr"/>
    </row>
    <row r="1246">
      <c r="A1246" t="inlineStr">
        <is>
          <t>FKEX01245</t>
        </is>
      </c>
      <c r="B1246" t="inlineStr">
        <is>
          <t>15 LL_Device</t>
        </is>
      </c>
      <c r="C1246" t="inlineStr">
        <is>
          <t>tblDeviceModel</t>
        </is>
      </c>
      <c r="D1246" t="n">
        <v>416</v>
      </c>
      <c r="E1246" t="inlineStr">
        <is>
          <t>MOD000413</t>
        </is>
      </c>
      <c r="F1246" t="inlineStr">
        <is>
          <t>DeviceTypeID</t>
        </is>
      </c>
      <c r="G1246" t="inlineStr">
        <is>
          <t>DT001</t>
        </is>
      </c>
      <c r="H1246" t="inlineStr">
        <is>
          <t>tblDeviceTypeIDCrosswalk</t>
        </is>
      </c>
      <c r="I1246" t="inlineStr"/>
      <c r="J1246" t="inlineStr">
        <is>
          <t>No Supported Match</t>
        </is>
      </c>
      <c r="K1246" t="inlineStr">
        <is>
          <t>None</t>
        </is>
      </c>
      <c r="L1246" t="inlineStr">
        <is>
          <t>Crosswalk Pending</t>
        </is>
      </c>
      <c r="M1246" t="inlineStr">
        <is>
          <t>Open</t>
        </is>
      </c>
      <c r="N1246" t="inlineStr"/>
    </row>
    <row r="1247">
      <c r="A1247" t="inlineStr">
        <is>
          <t>FKEX01246</t>
        </is>
      </c>
      <c r="B1247" t="inlineStr">
        <is>
          <t>15 LL_Device</t>
        </is>
      </c>
      <c r="C1247" t="inlineStr">
        <is>
          <t>tblDeviceModel</t>
        </is>
      </c>
      <c r="D1247" t="n">
        <v>417</v>
      </c>
      <c r="E1247" t="inlineStr">
        <is>
          <t>MOD000414</t>
        </is>
      </c>
      <c r="F1247" t="inlineStr">
        <is>
          <t>ManufacturerID</t>
        </is>
      </c>
      <c r="G1247" t="inlineStr">
        <is>
          <t>MFG005</t>
        </is>
      </c>
      <c r="H1247" t="inlineStr">
        <is>
          <t>tblManufacturerIDCrosswalk</t>
        </is>
      </c>
      <c r="I1247" t="inlineStr"/>
      <c r="J1247" t="inlineStr">
        <is>
          <t>No Supported Match</t>
        </is>
      </c>
      <c r="K1247" t="inlineStr">
        <is>
          <t>None</t>
        </is>
      </c>
      <c r="L1247" t="inlineStr">
        <is>
          <t>Crosswalk Pending</t>
        </is>
      </c>
      <c r="M1247" t="inlineStr">
        <is>
          <t>Open</t>
        </is>
      </c>
      <c r="N1247" t="inlineStr"/>
    </row>
    <row r="1248">
      <c r="A1248" t="inlineStr">
        <is>
          <t>FKEX01247</t>
        </is>
      </c>
      <c r="B1248" t="inlineStr">
        <is>
          <t>15 LL_Device</t>
        </is>
      </c>
      <c r="C1248" t="inlineStr">
        <is>
          <t>tblDeviceModel</t>
        </is>
      </c>
      <c r="D1248" t="n">
        <v>417</v>
      </c>
      <c r="E1248" t="inlineStr">
        <is>
          <t>MOD000414</t>
        </is>
      </c>
      <c r="F1248" t="inlineStr">
        <is>
          <t>DeviceFamilyID</t>
        </is>
      </c>
      <c r="G1248" t="inlineStr">
        <is>
          <t>DF050</t>
        </is>
      </c>
      <c r="H1248" t="inlineStr">
        <is>
          <t>tblDeviceFamilyIDCrosswalk</t>
        </is>
      </c>
      <c r="I1248" t="inlineStr"/>
      <c r="J1248" t="inlineStr">
        <is>
          <t>tblDeviceModel</t>
        </is>
      </c>
      <c r="K1248" t="inlineStr">
        <is>
          <t>Exact ID</t>
        </is>
      </c>
      <c r="L1248" t="inlineStr">
        <is>
          <t>Crosswalk Pending</t>
        </is>
      </c>
      <c r="M1248" t="inlineStr">
        <is>
          <t>Open</t>
        </is>
      </c>
      <c r="N1248" t="inlineStr"/>
    </row>
    <row r="1249">
      <c r="A1249" t="inlineStr">
        <is>
          <t>FKEX01248</t>
        </is>
      </c>
      <c r="B1249" t="inlineStr">
        <is>
          <t>15 LL_Device</t>
        </is>
      </c>
      <c r="C1249" t="inlineStr">
        <is>
          <t>tblDeviceModel</t>
        </is>
      </c>
      <c r="D1249" t="n">
        <v>417</v>
      </c>
      <c r="E1249" t="inlineStr">
        <is>
          <t>MOD000414</t>
        </is>
      </c>
      <c r="F1249" t="inlineStr">
        <is>
          <t>DeviceTypeID</t>
        </is>
      </c>
      <c r="G1249" t="inlineStr">
        <is>
          <t>DT001</t>
        </is>
      </c>
      <c r="H1249" t="inlineStr">
        <is>
          <t>tblDeviceTypeIDCrosswalk</t>
        </is>
      </c>
      <c r="I1249" t="inlineStr"/>
      <c r="J1249" t="inlineStr">
        <is>
          <t>No Supported Match</t>
        </is>
      </c>
      <c r="K1249" t="inlineStr">
        <is>
          <t>None</t>
        </is>
      </c>
      <c r="L1249" t="inlineStr">
        <is>
          <t>Crosswalk Pending</t>
        </is>
      </c>
      <c r="M1249" t="inlineStr">
        <is>
          <t>Open</t>
        </is>
      </c>
      <c r="N1249" t="inlineStr"/>
    </row>
    <row r="1250">
      <c r="A1250" t="inlineStr">
        <is>
          <t>FKEX01249</t>
        </is>
      </c>
      <c r="B1250" t="inlineStr">
        <is>
          <t>15 LL_Device</t>
        </is>
      </c>
      <c r="C1250" t="inlineStr">
        <is>
          <t>tblDeviceModel</t>
        </is>
      </c>
      <c r="D1250" t="n">
        <v>418</v>
      </c>
      <c r="E1250" t="inlineStr">
        <is>
          <t>MOD000415</t>
        </is>
      </c>
      <c r="F1250" t="inlineStr">
        <is>
          <t>ManufacturerID</t>
        </is>
      </c>
      <c r="G1250" t="inlineStr">
        <is>
          <t>MFG005</t>
        </is>
      </c>
      <c r="H1250" t="inlineStr">
        <is>
          <t>tblManufacturerIDCrosswalk</t>
        </is>
      </c>
      <c r="I1250" t="inlineStr"/>
      <c r="J1250" t="inlineStr">
        <is>
          <t>No Supported Match</t>
        </is>
      </c>
      <c r="K1250" t="inlineStr">
        <is>
          <t>None</t>
        </is>
      </c>
      <c r="L1250" t="inlineStr">
        <is>
          <t>Crosswalk Pending</t>
        </is>
      </c>
      <c r="M1250" t="inlineStr">
        <is>
          <t>Open</t>
        </is>
      </c>
      <c r="N1250" t="inlineStr"/>
    </row>
    <row r="1251">
      <c r="A1251" t="inlineStr">
        <is>
          <t>FKEX01250</t>
        </is>
      </c>
      <c r="B1251" t="inlineStr">
        <is>
          <t>15 LL_Device</t>
        </is>
      </c>
      <c r="C1251" t="inlineStr">
        <is>
          <t>tblDeviceModel</t>
        </is>
      </c>
      <c r="D1251" t="n">
        <v>418</v>
      </c>
      <c r="E1251" t="inlineStr">
        <is>
          <t>MOD000415</t>
        </is>
      </c>
      <c r="F1251" t="inlineStr">
        <is>
          <t>DeviceFamilyID</t>
        </is>
      </c>
      <c r="G1251" t="inlineStr">
        <is>
          <t>DF050</t>
        </is>
      </c>
      <c r="H1251" t="inlineStr">
        <is>
          <t>tblDeviceFamilyIDCrosswalk</t>
        </is>
      </c>
      <c r="I1251" t="inlineStr"/>
      <c r="J1251" t="inlineStr">
        <is>
          <t>tblDeviceModel</t>
        </is>
      </c>
      <c r="K1251" t="inlineStr">
        <is>
          <t>Exact ID</t>
        </is>
      </c>
      <c r="L1251" t="inlineStr">
        <is>
          <t>Crosswalk Pending</t>
        </is>
      </c>
      <c r="M1251" t="inlineStr">
        <is>
          <t>Open</t>
        </is>
      </c>
      <c r="N1251" t="inlineStr"/>
    </row>
    <row r="1252">
      <c r="A1252" t="inlineStr">
        <is>
          <t>FKEX01251</t>
        </is>
      </c>
      <c r="B1252" t="inlineStr">
        <is>
          <t>15 LL_Device</t>
        </is>
      </c>
      <c r="C1252" t="inlineStr">
        <is>
          <t>tblDeviceModel</t>
        </is>
      </c>
      <c r="D1252" t="n">
        <v>418</v>
      </c>
      <c r="E1252" t="inlineStr">
        <is>
          <t>MOD000415</t>
        </is>
      </c>
      <c r="F1252" t="inlineStr">
        <is>
          <t>DeviceTypeID</t>
        </is>
      </c>
      <c r="G1252" t="inlineStr">
        <is>
          <t>DT001</t>
        </is>
      </c>
      <c r="H1252" t="inlineStr">
        <is>
          <t>tblDeviceTypeIDCrosswalk</t>
        </is>
      </c>
      <c r="I1252" t="inlineStr"/>
      <c r="J1252" t="inlineStr">
        <is>
          <t>No Supported Match</t>
        </is>
      </c>
      <c r="K1252" t="inlineStr">
        <is>
          <t>None</t>
        </is>
      </c>
      <c r="L1252" t="inlineStr">
        <is>
          <t>Crosswalk Pending</t>
        </is>
      </c>
      <c r="M1252" t="inlineStr">
        <is>
          <t>Open</t>
        </is>
      </c>
      <c r="N1252" t="inlineStr"/>
    </row>
    <row r="1253">
      <c r="A1253" t="inlineStr">
        <is>
          <t>FKEX01252</t>
        </is>
      </c>
      <c r="B1253" t="inlineStr">
        <is>
          <t>15 LL_Device</t>
        </is>
      </c>
      <c r="C1253" t="inlineStr">
        <is>
          <t>tblDeviceModel</t>
        </is>
      </c>
      <c r="D1253" t="n">
        <v>419</v>
      </c>
      <c r="E1253" t="inlineStr">
        <is>
          <t>MOD000416</t>
        </is>
      </c>
      <c r="F1253" t="inlineStr">
        <is>
          <t>ManufacturerID</t>
        </is>
      </c>
      <c r="G1253" t="inlineStr">
        <is>
          <t>MFG005</t>
        </is>
      </c>
      <c r="H1253" t="inlineStr">
        <is>
          <t>tblManufacturerIDCrosswalk</t>
        </is>
      </c>
      <c r="I1253" t="inlineStr"/>
      <c r="J1253" t="inlineStr">
        <is>
          <t>No Supported Match</t>
        </is>
      </c>
      <c r="K1253" t="inlineStr">
        <is>
          <t>None</t>
        </is>
      </c>
      <c r="L1253" t="inlineStr">
        <is>
          <t>Crosswalk Pending</t>
        </is>
      </c>
      <c r="M1253" t="inlineStr">
        <is>
          <t>Open</t>
        </is>
      </c>
      <c r="N1253" t="inlineStr"/>
    </row>
    <row r="1254">
      <c r="A1254" t="inlineStr">
        <is>
          <t>FKEX01253</t>
        </is>
      </c>
      <c r="B1254" t="inlineStr">
        <is>
          <t>15 LL_Device</t>
        </is>
      </c>
      <c r="C1254" t="inlineStr">
        <is>
          <t>tblDeviceModel</t>
        </is>
      </c>
      <c r="D1254" t="n">
        <v>419</v>
      </c>
      <c r="E1254" t="inlineStr">
        <is>
          <t>MOD000416</t>
        </is>
      </c>
      <c r="F1254" t="inlineStr">
        <is>
          <t>DeviceFamilyID</t>
        </is>
      </c>
      <c r="G1254" t="inlineStr">
        <is>
          <t>DF050</t>
        </is>
      </c>
      <c r="H1254" t="inlineStr">
        <is>
          <t>tblDeviceFamilyIDCrosswalk</t>
        </is>
      </c>
      <c r="I1254" t="inlineStr"/>
      <c r="J1254" t="inlineStr">
        <is>
          <t>tblDeviceModel</t>
        </is>
      </c>
      <c r="K1254" t="inlineStr">
        <is>
          <t>Exact ID</t>
        </is>
      </c>
      <c r="L1254" t="inlineStr">
        <is>
          <t>Crosswalk Pending</t>
        </is>
      </c>
      <c r="M1254" t="inlineStr">
        <is>
          <t>Open</t>
        </is>
      </c>
      <c r="N1254" t="inlineStr"/>
    </row>
    <row r="1255">
      <c r="A1255" t="inlineStr">
        <is>
          <t>FKEX01254</t>
        </is>
      </c>
      <c r="B1255" t="inlineStr">
        <is>
          <t>15 LL_Device</t>
        </is>
      </c>
      <c r="C1255" t="inlineStr">
        <is>
          <t>tblDeviceModel</t>
        </is>
      </c>
      <c r="D1255" t="n">
        <v>419</v>
      </c>
      <c r="E1255" t="inlineStr">
        <is>
          <t>MOD000416</t>
        </is>
      </c>
      <c r="F1255" t="inlineStr">
        <is>
          <t>DeviceTypeID</t>
        </is>
      </c>
      <c r="G1255" t="inlineStr">
        <is>
          <t>DT001</t>
        </is>
      </c>
      <c r="H1255" t="inlineStr">
        <is>
          <t>tblDeviceTypeIDCrosswalk</t>
        </is>
      </c>
      <c r="I1255" t="inlineStr"/>
      <c r="J1255" t="inlineStr">
        <is>
          <t>No Supported Match</t>
        </is>
      </c>
      <c r="K1255" t="inlineStr">
        <is>
          <t>None</t>
        </is>
      </c>
      <c r="L1255" t="inlineStr">
        <is>
          <t>Crosswalk Pending</t>
        </is>
      </c>
      <c r="M1255" t="inlineStr">
        <is>
          <t>Open</t>
        </is>
      </c>
      <c r="N1255" t="inlineStr"/>
    </row>
    <row r="1256">
      <c r="A1256" t="inlineStr">
        <is>
          <t>FKEX01255</t>
        </is>
      </c>
      <c r="B1256" t="inlineStr">
        <is>
          <t>15 LL_Device</t>
        </is>
      </c>
      <c r="C1256" t="inlineStr">
        <is>
          <t>tblDeviceModel</t>
        </is>
      </c>
      <c r="D1256" t="n">
        <v>420</v>
      </c>
      <c r="E1256" t="inlineStr">
        <is>
          <t>MOD000417</t>
        </is>
      </c>
      <c r="F1256" t="inlineStr">
        <is>
          <t>ManufacturerID</t>
        </is>
      </c>
      <c r="G1256" t="inlineStr">
        <is>
          <t>MFG005</t>
        </is>
      </c>
      <c r="H1256" t="inlineStr">
        <is>
          <t>tblManufacturerIDCrosswalk</t>
        </is>
      </c>
      <c r="I1256" t="inlineStr"/>
      <c r="J1256" t="inlineStr">
        <is>
          <t>No Supported Match</t>
        </is>
      </c>
      <c r="K1256" t="inlineStr">
        <is>
          <t>None</t>
        </is>
      </c>
      <c r="L1256" t="inlineStr">
        <is>
          <t>Crosswalk Pending</t>
        </is>
      </c>
      <c r="M1256" t="inlineStr">
        <is>
          <t>Open</t>
        </is>
      </c>
      <c r="N1256" t="inlineStr"/>
    </row>
    <row r="1257">
      <c r="A1257" t="inlineStr">
        <is>
          <t>FKEX01256</t>
        </is>
      </c>
      <c r="B1257" t="inlineStr">
        <is>
          <t>15 LL_Device</t>
        </is>
      </c>
      <c r="C1257" t="inlineStr">
        <is>
          <t>tblDeviceModel</t>
        </is>
      </c>
      <c r="D1257" t="n">
        <v>420</v>
      </c>
      <c r="E1257" t="inlineStr">
        <is>
          <t>MOD000417</t>
        </is>
      </c>
      <c r="F1257" t="inlineStr">
        <is>
          <t>DeviceFamilyID</t>
        </is>
      </c>
      <c r="G1257" t="inlineStr">
        <is>
          <t>DF050</t>
        </is>
      </c>
      <c r="H1257" t="inlineStr">
        <is>
          <t>tblDeviceFamilyIDCrosswalk</t>
        </is>
      </c>
      <c r="I1257" t="inlineStr"/>
      <c r="J1257" t="inlineStr">
        <is>
          <t>tblDeviceModel</t>
        </is>
      </c>
      <c r="K1257" t="inlineStr">
        <is>
          <t>Exact ID</t>
        </is>
      </c>
      <c r="L1257" t="inlineStr">
        <is>
          <t>Crosswalk Pending</t>
        </is>
      </c>
      <c r="M1257" t="inlineStr">
        <is>
          <t>Open</t>
        </is>
      </c>
      <c r="N1257" t="inlineStr"/>
    </row>
    <row r="1258">
      <c r="A1258" t="inlineStr">
        <is>
          <t>FKEX01257</t>
        </is>
      </c>
      <c r="B1258" t="inlineStr">
        <is>
          <t>15 LL_Device</t>
        </is>
      </c>
      <c r="C1258" t="inlineStr">
        <is>
          <t>tblDeviceModel</t>
        </is>
      </c>
      <c r="D1258" t="n">
        <v>420</v>
      </c>
      <c r="E1258" t="inlineStr">
        <is>
          <t>MOD000417</t>
        </is>
      </c>
      <c r="F1258" t="inlineStr">
        <is>
          <t>DeviceTypeID</t>
        </is>
      </c>
      <c r="G1258" t="inlineStr">
        <is>
          <t>DT001</t>
        </is>
      </c>
      <c r="H1258" t="inlineStr">
        <is>
          <t>tblDeviceTypeIDCrosswalk</t>
        </is>
      </c>
      <c r="I1258" t="inlineStr"/>
      <c r="J1258" t="inlineStr">
        <is>
          <t>No Supported Match</t>
        </is>
      </c>
      <c r="K1258" t="inlineStr">
        <is>
          <t>None</t>
        </is>
      </c>
      <c r="L1258" t="inlineStr">
        <is>
          <t>Crosswalk Pending</t>
        </is>
      </c>
      <c r="M1258" t="inlineStr">
        <is>
          <t>Open</t>
        </is>
      </c>
      <c r="N1258" t="inlineStr"/>
    </row>
    <row r="1259">
      <c r="A1259" t="inlineStr">
        <is>
          <t>FKEX01258</t>
        </is>
      </c>
      <c r="B1259" t="inlineStr">
        <is>
          <t>15 LL_Device</t>
        </is>
      </c>
      <c r="C1259" t="inlineStr">
        <is>
          <t>tblDeviceModel</t>
        </is>
      </c>
      <c r="D1259" t="n">
        <v>421</v>
      </c>
      <c r="E1259" t="inlineStr">
        <is>
          <t>MOD000418</t>
        </is>
      </c>
      <c r="F1259" t="inlineStr">
        <is>
          <t>ManufacturerID</t>
        </is>
      </c>
      <c r="G1259" t="inlineStr">
        <is>
          <t>MFG005</t>
        </is>
      </c>
      <c r="H1259" t="inlineStr">
        <is>
          <t>tblManufacturerIDCrosswalk</t>
        </is>
      </c>
      <c r="I1259" t="inlineStr"/>
      <c r="J1259" t="inlineStr">
        <is>
          <t>No Supported Match</t>
        </is>
      </c>
      <c r="K1259" t="inlineStr">
        <is>
          <t>None</t>
        </is>
      </c>
      <c r="L1259" t="inlineStr">
        <is>
          <t>Crosswalk Pending</t>
        </is>
      </c>
      <c r="M1259" t="inlineStr">
        <is>
          <t>Open</t>
        </is>
      </c>
      <c r="N1259" t="inlineStr"/>
    </row>
    <row r="1260">
      <c r="A1260" t="inlineStr">
        <is>
          <t>FKEX01259</t>
        </is>
      </c>
      <c r="B1260" t="inlineStr">
        <is>
          <t>15 LL_Device</t>
        </is>
      </c>
      <c r="C1260" t="inlineStr">
        <is>
          <t>tblDeviceModel</t>
        </is>
      </c>
      <c r="D1260" t="n">
        <v>421</v>
      </c>
      <c r="E1260" t="inlineStr">
        <is>
          <t>MOD000418</t>
        </is>
      </c>
      <c r="F1260" t="inlineStr">
        <is>
          <t>DeviceFamilyID</t>
        </is>
      </c>
      <c r="G1260" t="inlineStr">
        <is>
          <t>DF050</t>
        </is>
      </c>
      <c r="H1260" t="inlineStr">
        <is>
          <t>tblDeviceFamilyIDCrosswalk</t>
        </is>
      </c>
      <c r="I1260" t="inlineStr"/>
      <c r="J1260" t="inlineStr">
        <is>
          <t>tblDeviceModel</t>
        </is>
      </c>
      <c r="K1260" t="inlineStr">
        <is>
          <t>Exact ID</t>
        </is>
      </c>
      <c r="L1260" t="inlineStr">
        <is>
          <t>Crosswalk Pending</t>
        </is>
      </c>
      <c r="M1260" t="inlineStr">
        <is>
          <t>Open</t>
        </is>
      </c>
      <c r="N1260" t="inlineStr"/>
    </row>
    <row r="1261">
      <c r="A1261" t="inlineStr">
        <is>
          <t>FKEX01260</t>
        </is>
      </c>
      <c r="B1261" t="inlineStr">
        <is>
          <t>15 LL_Device</t>
        </is>
      </c>
      <c r="C1261" t="inlineStr">
        <is>
          <t>tblDeviceModel</t>
        </is>
      </c>
      <c r="D1261" t="n">
        <v>421</v>
      </c>
      <c r="E1261" t="inlineStr">
        <is>
          <t>MOD000418</t>
        </is>
      </c>
      <c r="F1261" t="inlineStr">
        <is>
          <t>DeviceTypeID</t>
        </is>
      </c>
      <c r="G1261" t="inlineStr">
        <is>
          <t>DT001</t>
        </is>
      </c>
      <c r="H1261" t="inlineStr">
        <is>
          <t>tblDeviceTypeIDCrosswalk</t>
        </is>
      </c>
      <c r="I1261" t="inlineStr"/>
      <c r="J1261" t="inlineStr">
        <is>
          <t>No Supported Match</t>
        </is>
      </c>
      <c r="K1261" t="inlineStr">
        <is>
          <t>None</t>
        </is>
      </c>
      <c r="L1261" t="inlineStr">
        <is>
          <t>Crosswalk Pending</t>
        </is>
      </c>
      <c r="M1261" t="inlineStr">
        <is>
          <t>Open</t>
        </is>
      </c>
      <c r="N1261" t="inlineStr"/>
    </row>
    <row r="1262">
      <c r="A1262" t="inlineStr">
        <is>
          <t>FKEX01261</t>
        </is>
      </c>
      <c r="B1262" t="inlineStr">
        <is>
          <t>15 LL_Device</t>
        </is>
      </c>
      <c r="C1262" t="inlineStr">
        <is>
          <t>tblDeviceModel</t>
        </is>
      </c>
      <c r="D1262" t="n">
        <v>422</v>
      </c>
      <c r="E1262" t="inlineStr">
        <is>
          <t>MOD000419</t>
        </is>
      </c>
      <c r="F1262" t="inlineStr">
        <is>
          <t>ManufacturerID</t>
        </is>
      </c>
      <c r="G1262" t="inlineStr">
        <is>
          <t>MFG005</t>
        </is>
      </c>
      <c r="H1262" t="inlineStr">
        <is>
          <t>tblManufacturerIDCrosswalk</t>
        </is>
      </c>
      <c r="I1262" t="inlineStr"/>
      <c r="J1262" t="inlineStr">
        <is>
          <t>No Supported Match</t>
        </is>
      </c>
      <c r="K1262" t="inlineStr">
        <is>
          <t>None</t>
        </is>
      </c>
      <c r="L1262" t="inlineStr">
        <is>
          <t>Crosswalk Pending</t>
        </is>
      </c>
      <c r="M1262" t="inlineStr">
        <is>
          <t>Open</t>
        </is>
      </c>
      <c r="N1262" t="inlineStr"/>
    </row>
    <row r="1263">
      <c r="A1263" t="inlineStr">
        <is>
          <t>FKEX01262</t>
        </is>
      </c>
      <c r="B1263" t="inlineStr">
        <is>
          <t>15 LL_Device</t>
        </is>
      </c>
      <c r="C1263" t="inlineStr">
        <is>
          <t>tblDeviceModel</t>
        </is>
      </c>
      <c r="D1263" t="n">
        <v>422</v>
      </c>
      <c r="E1263" t="inlineStr">
        <is>
          <t>MOD000419</t>
        </is>
      </c>
      <c r="F1263" t="inlineStr">
        <is>
          <t>DeviceFamilyID</t>
        </is>
      </c>
      <c r="G1263" t="inlineStr">
        <is>
          <t>DF050</t>
        </is>
      </c>
      <c r="H1263" t="inlineStr">
        <is>
          <t>tblDeviceFamilyIDCrosswalk</t>
        </is>
      </c>
      <c r="I1263" t="inlineStr"/>
      <c r="J1263" t="inlineStr">
        <is>
          <t>tblDeviceModel</t>
        </is>
      </c>
      <c r="K1263" t="inlineStr">
        <is>
          <t>Exact ID</t>
        </is>
      </c>
      <c r="L1263" t="inlineStr">
        <is>
          <t>Crosswalk Pending</t>
        </is>
      </c>
      <c r="M1263" t="inlineStr">
        <is>
          <t>Open</t>
        </is>
      </c>
      <c r="N1263" t="inlineStr"/>
    </row>
    <row r="1264">
      <c r="A1264" t="inlineStr">
        <is>
          <t>FKEX01263</t>
        </is>
      </c>
      <c r="B1264" t="inlineStr">
        <is>
          <t>15 LL_Device</t>
        </is>
      </c>
      <c r="C1264" t="inlineStr">
        <is>
          <t>tblDeviceModel</t>
        </is>
      </c>
      <c r="D1264" t="n">
        <v>422</v>
      </c>
      <c r="E1264" t="inlineStr">
        <is>
          <t>MOD000419</t>
        </is>
      </c>
      <c r="F1264" t="inlineStr">
        <is>
          <t>DeviceTypeID</t>
        </is>
      </c>
      <c r="G1264" t="inlineStr">
        <is>
          <t>DT001</t>
        </is>
      </c>
      <c r="H1264" t="inlineStr">
        <is>
          <t>tblDeviceTypeIDCrosswalk</t>
        </is>
      </c>
      <c r="I1264" t="inlineStr"/>
      <c r="J1264" t="inlineStr">
        <is>
          <t>No Supported Match</t>
        </is>
      </c>
      <c r="K1264" t="inlineStr">
        <is>
          <t>None</t>
        </is>
      </c>
      <c r="L1264" t="inlineStr">
        <is>
          <t>Crosswalk Pending</t>
        </is>
      </c>
      <c r="M1264" t="inlineStr">
        <is>
          <t>Open</t>
        </is>
      </c>
      <c r="N1264" t="inlineStr"/>
    </row>
    <row r="1265">
      <c r="A1265" t="inlineStr">
        <is>
          <t>FKEX01264</t>
        </is>
      </c>
      <c r="B1265" t="inlineStr">
        <is>
          <t>15 LL_Device</t>
        </is>
      </c>
      <c r="C1265" t="inlineStr">
        <is>
          <t>tblDeviceModel</t>
        </is>
      </c>
      <c r="D1265" t="n">
        <v>423</v>
      </c>
      <c r="E1265" t="inlineStr">
        <is>
          <t>MOD000420</t>
        </is>
      </c>
      <c r="F1265" t="inlineStr">
        <is>
          <t>ManufacturerID</t>
        </is>
      </c>
      <c r="G1265" t="inlineStr">
        <is>
          <t>MFG005</t>
        </is>
      </c>
      <c r="H1265" t="inlineStr">
        <is>
          <t>tblManufacturerIDCrosswalk</t>
        </is>
      </c>
      <c r="I1265" t="inlineStr"/>
      <c r="J1265" t="inlineStr">
        <is>
          <t>No Supported Match</t>
        </is>
      </c>
      <c r="K1265" t="inlineStr">
        <is>
          <t>None</t>
        </is>
      </c>
      <c r="L1265" t="inlineStr">
        <is>
          <t>Crosswalk Pending</t>
        </is>
      </c>
      <c r="M1265" t="inlineStr">
        <is>
          <t>Open</t>
        </is>
      </c>
      <c r="N1265" t="inlineStr"/>
    </row>
    <row r="1266">
      <c r="A1266" t="inlineStr">
        <is>
          <t>FKEX01265</t>
        </is>
      </c>
      <c r="B1266" t="inlineStr">
        <is>
          <t>15 LL_Device</t>
        </is>
      </c>
      <c r="C1266" t="inlineStr">
        <is>
          <t>tblDeviceModel</t>
        </is>
      </c>
      <c r="D1266" t="n">
        <v>423</v>
      </c>
      <c r="E1266" t="inlineStr">
        <is>
          <t>MOD000420</t>
        </is>
      </c>
      <c r="F1266" t="inlineStr">
        <is>
          <t>DeviceFamilyID</t>
        </is>
      </c>
      <c r="G1266" t="inlineStr">
        <is>
          <t>DF050</t>
        </is>
      </c>
      <c r="H1266" t="inlineStr">
        <is>
          <t>tblDeviceFamilyIDCrosswalk</t>
        </is>
      </c>
      <c r="I1266" t="inlineStr"/>
      <c r="J1266" t="inlineStr">
        <is>
          <t>tblDeviceModel</t>
        </is>
      </c>
      <c r="K1266" t="inlineStr">
        <is>
          <t>Exact ID</t>
        </is>
      </c>
      <c r="L1266" t="inlineStr">
        <is>
          <t>Crosswalk Pending</t>
        </is>
      </c>
      <c r="M1266" t="inlineStr">
        <is>
          <t>Open</t>
        </is>
      </c>
      <c r="N1266" t="inlineStr"/>
    </row>
    <row r="1267">
      <c r="A1267" t="inlineStr">
        <is>
          <t>FKEX01266</t>
        </is>
      </c>
      <c r="B1267" t="inlineStr">
        <is>
          <t>15 LL_Device</t>
        </is>
      </c>
      <c r="C1267" t="inlineStr">
        <is>
          <t>tblDeviceModel</t>
        </is>
      </c>
      <c r="D1267" t="n">
        <v>423</v>
      </c>
      <c r="E1267" t="inlineStr">
        <is>
          <t>MOD000420</t>
        </is>
      </c>
      <c r="F1267" t="inlineStr">
        <is>
          <t>DeviceTypeID</t>
        </is>
      </c>
      <c r="G1267" t="inlineStr">
        <is>
          <t>DT001</t>
        </is>
      </c>
      <c r="H1267" t="inlineStr">
        <is>
          <t>tblDeviceTypeIDCrosswalk</t>
        </is>
      </c>
      <c r="I1267" t="inlineStr"/>
      <c r="J1267" t="inlineStr">
        <is>
          <t>No Supported Match</t>
        </is>
      </c>
      <c r="K1267" t="inlineStr">
        <is>
          <t>None</t>
        </is>
      </c>
      <c r="L1267" t="inlineStr">
        <is>
          <t>Crosswalk Pending</t>
        </is>
      </c>
      <c r="M1267" t="inlineStr">
        <is>
          <t>Open</t>
        </is>
      </c>
      <c r="N1267" t="inlineStr"/>
    </row>
    <row r="1268">
      <c r="A1268" t="inlineStr">
        <is>
          <t>FKEX01267</t>
        </is>
      </c>
      <c r="B1268" t="inlineStr">
        <is>
          <t>15 LL_Device</t>
        </is>
      </c>
      <c r="C1268" t="inlineStr">
        <is>
          <t>tblDeviceModel</t>
        </is>
      </c>
      <c r="D1268" t="n">
        <v>424</v>
      </c>
      <c r="E1268" t="inlineStr">
        <is>
          <t>MOD000421</t>
        </is>
      </c>
      <c r="F1268" t="inlineStr">
        <is>
          <t>ManufacturerID</t>
        </is>
      </c>
      <c r="G1268" t="inlineStr">
        <is>
          <t>MFG005</t>
        </is>
      </c>
      <c r="H1268" t="inlineStr">
        <is>
          <t>tblManufacturerIDCrosswalk</t>
        </is>
      </c>
      <c r="I1268" t="inlineStr"/>
      <c r="J1268" t="inlineStr">
        <is>
          <t>No Supported Match</t>
        </is>
      </c>
      <c r="K1268" t="inlineStr">
        <is>
          <t>None</t>
        </is>
      </c>
      <c r="L1268" t="inlineStr">
        <is>
          <t>Crosswalk Pending</t>
        </is>
      </c>
      <c r="M1268" t="inlineStr">
        <is>
          <t>Open</t>
        </is>
      </c>
      <c r="N1268" t="inlineStr"/>
    </row>
    <row r="1269">
      <c r="A1269" t="inlineStr">
        <is>
          <t>FKEX01268</t>
        </is>
      </c>
      <c r="B1269" t="inlineStr">
        <is>
          <t>15 LL_Device</t>
        </is>
      </c>
      <c r="C1269" t="inlineStr">
        <is>
          <t>tblDeviceModel</t>
        </is>
      </c>
      <c r="D1269" t="n">
        <v>424</v>
      </c>
      <c r="E1269" t="inlineStr">
        <is>
          <t>MOD000421</t>
        </is>
      </c>
      <c r="F1269" t="inlineStr">
        <is>
          <t>DeviceFamilyID</t>
        </is>
      </c>
      <c r="G1269" t="inlineStr">
        <is>
          <t>DF051</t>
        </is>
      </c>
      <c r="H1269" t="inlineStr">
        <is>
          <t>tblDeviceFamilyIDCrosswalk</t>
        </is>
      </c>
      <c r="I1269" t="inlineStr"/>
      <c r="J1269" t="inlineStr">
        <is>
          <t>tblDeviceModel</t>
        </is>
      </c>
      <c r="K1269" t="inlineStr">
        <is>
          <t>Exact ID</t>
        </is>
      </c>
      <c r="L1269" t="inlineStr">
        <is>
          <t>Crosswalk Pending</t>
        </is>
      </c>
      <c r="M1269" t="inlineStr">
        <is>
          <t>Open</t>
        </is>
      </c>
      <c r="N1269" t="inlineStr"/>
    </row>
    <row r="1270">
      <c r="A1270" t="inlineStr">
        <is>
          <t>FKEX01269</t>
        </is>
      </c>
      <c r="B1270" t="inlineStr">
        <is>
          <t>15 LL_Device</t>
        </is>
      </c>
      <c r="C1270" t="inlineStr">
        <is>
          <t>tblDeviceModel</t>
        </is>
      </c>
      <c r="D1270" t="n">
        <v>424</v>
      </c>
      <c r="E1270" t="inlineStr">
        <is>
          <t>MOD000421</t>
        </is>
      </c>
      <c r="F1270" t="inlineStr">
        <is>
          <t>DeviceTypeID</t>
        </is>
      </c>
      <c r="G1270" t="inlineStr">
        <is>
          <t>DT001</t>
        </is>
      </c>
      <c r="H1270" t="inlineStr">
        <is>
          <t>tblDeviceTypeIDCrosswalk</t>
        </is>
      </c>
      <c r="I1270" t="inlineStr"/>
      <c r="J1270" t="inlineStr">
        <is>
          <t>No Supported Match</t>
        </is>
      </c>
      <c r="K1270" t="inlineStr">
        <is>
          <t>None</t>
        </is>
      </c>
      <c r="L1270" t="inlineStr">
        <is>
          <t>Crosswalk Pending</t>
        </is>
      </c>
      <c r="M1270" t="inlineStr">
        <is>
          <t>Open</t>
        </is>
      </c>
      <c r="N1270" t="inlineStr"/>
    </row>
    <row r="1271">
      <c r="A1271" t="inlineStr">
        <is>
          <t>FKEX01270</t>
        </is>
      </c>
      <c r="B1271" t="inlineStr">
        <is>
          <t>15 LL_Device</t>
        </is>
      </c>
      <c r="C1271" t="inlineStr">
        <is>
          <t>tblDeviceModel</t>
        </is>
      </c>
      <c r="D1271" t="n">
        <v>425</v>
      </c>
      <c r="E1271" t="inlineStr">
        <is>
          <t>MOD000422</t>
        </is>
      </c>
      <c r="F1271" t="inlineStr">
        <is>
          <t>ManufacturerID</t>
        </is>
      </c>
      <c r="G1271" t="inlineStr">
        <is>
          <t>MFG005</t>
        </is>
      </c>
      <c r="H1271" t="inlineStr">
        <is>
          <t>tblManufacturerIDCrosswalk</t>
        </is>
      </c>
      <c r="I1271" t="inlineStr"/>
      <c r="J1271" t="inlineStr">
        <is>
          <t>No Supported Match</t>
        </is>
      </c>
      <c r="K1271" t="inlineStr">
        <is>
          <t>None</t>
        </is>
      </c>
      <c r="L1271" t="inlineStr">
        <is>
          <t>Crosswalk Pending</t>
        </is>
      </c>
      <c r="M1271" t="inlineStr">
        <is>
          <t>Open</t>
        </is>
      </c>
      <c r="N1271" t="inlineStr"/>
    </row>
    <row r="1272">
      <c r="A1272" t="inlineStr">
        <is>
          <t>FKEX01271</t>
        </is>
      </c>
      <c r="B1272" t="inlineStr">
        <is>
          <t>15 LL_Device</t>
        </is>
      </c>
      <c r="C1272" t="inlineStr">
        <is>
          <t>tblDeviceModel</t>
        </is>
      </c>
      <c r="D1272" t="n">
        <v>425</v>
      </c>
      <c r="E1272" t="inlineStr">
        <is>
          <t>MOD000422</t>
        </is>
      </c>
      <c r="F1272" t="inlineStr">
        <is>
          <t>DeviceFamilyID</t>
        </is>
      </c>
      <c r="G1272" t="inlineStr">
        <is>
          <t>DF051</t>
        </is>
      </c>
      <c r="H1272" t="inlineStr">
        <is>
          <t>tblDeviceFamilyIDCrosswalk</t>
        </is>
      </c>
      <c r="I1272" t="inlineStr"/>
      <c r="J1272" t="inlineStr">
        <is>
          <t>tblDeviceModel</t>
        </is>
      </c>
      <c r="K1272" t="inlineStr">
        <is>
          <t>Exact ID</t>
        </is>
      </c>
      <c r="L1272" t="inlineStr">
        <is>
          <t>Crosswalk Pending</t>
        </is>
      </c>
      <c r="M1272" t="inlineStr">
        <is>
          <t>Open</t>
        </is>
      </c>
      <c r="N1272" t="inlineStr"/>
    </row>
    <row r="1273">
      <c r="A1273" t="inlineStr">
        <is>
          <t>FKEX01272</t>
        </is>
      </c>
      <c r="B1273" t="inlineStr">
        <is>
          <t>15 LL_Device</t>
        </is>
      </c>
      <c r="C1273" t="inlineStr">
        <is>
          <t>tblDeviceModel</t>
        </is>
      </c>
      <c r="D1273" t="n">
        <v>425</v>
      </c>
      <c r="E1273" t="inlineStr">
        <is>
          <t>MOD000422</t>
        </is>
      </c>
      <c r="F1273" t="inlineStr">
        <is>
          <t>DeviceTypeID</t>
        </is>
      </c>
      <c r="G1273" t="inlineStr">
        <is>
          <t>DT001</t>
        </is>
      </c>
      <c r="H1273" t="inlineStr">
        <is>
          <t>tblDeviceTypeIDCrosswalk</t>
        </is>
      </c>
      <c r="I1273" t="inlineStr"/>
      <c r="J1273" t="inlineStr">
        <is>
          <t>No Supported Match</t>
        </is>
      </c>
      <c r="K1273" t="inlineStr">
        <is>
          <t>None</t>
        </is>
      </c>
      <c r="L1273" t="inlineStr">
        <is>
          <t>Crosswalk Pending</t>
        </is>
      </c>
      <c r="M1273" t="inlineStr">
        <is>
          <t>Open</t>
        </is>
      </c>
      <c r="N1273" t="inlineStr"/>
    </row>
    <row r="1274">
      <c r="A1274" t="inlineStr">
        <is>
          <t>FKEX01273</t>
        </is>
      </c>
      <c r="B1274" t="inlineStr">
        <is>
          <t>15 LL_Device</t>
        </is>
      </c>
      <c r="C1274" t="inlineStr">
        <is>
          <t>tblDeviceModel</t>
        </is>
      </c>
      <c r="D1274" t="n">
        <v>426</v>
      </c>
      <c r="E1274" t="inlineStr">
        <is>
          <t>MOD000423</t>
        </is>
      </c>
      <c r="F1274" t="inlineStr">
        <is>
          <t>ManufacturerID</t>
        </is>
      </c>
      <c r="G1274" t="inlineStr">
        <is>
          <t>MFG005</t>
        </is>
      </c>
      <c r="H1274" t="inlineStr">
        <is>
          <t>tblManufacturerIDCrosswalk</t>
        </is>
      </c>
      <c r="I1274" t="inlineStr"/>
      <c r="J1274" t="inlineStr">
        <is>
          <t>No Supported Match</t>
        </is>
      </c>
      <c r="K1274" t="inlineStr">
        <is>
          <t>None</t>
        </is>
      </c>
      <c r="L1274" t="inlineStr">
        <is>
          <t>Crosswalk Pending</t>
        </is>
      </c>
      <c r="M1274" t="inlineStr">
        <is>
          <t>Open</t>
        </is>
      </c>
      <c r="N1274" t="inlineStr"/>
    </row>
    <row r="1275">
      <c r="A1275" t="inlineStr">
        <is>
          <t>FKEX01274</t>
        </is>
      </c>
      <c r="B1275" t="inlineStr">
        <is>
          <t>15 LL_Device</t>
        </is>
      </c>
      <c r="C1275" t="inlineStr">
        <is>
          <t>tblDeviceModel</t>
        </is>
      </c>
      <c r="D1275" t="n">
        <v>426</v>
      </c>
      <c r="E1275" t="inlineStr">
        <is>
          <t>MOD000423</t>
        </is>
      </c>
      <c r="F1275" t="inlineStr">
        <is>
          <t>DeviceFamilyID</t>
        </is>
      </c>
      <c r="G1275" t="inlineStr">
        <is>
          <t>DF051</t>
        </is>
      </c>
      <c r="H1275" t="inlineStr">
        <is>
          <t>tblDeviceFamilyIDCrosswalk</t>
        </is>
      </c>
      <c r="I1275" t="inlineStr"/>
      <c r="J1275" t="inlineStr">
        <is>
          <t>tblDeviceModel</t>
        </is>
      </c>
      <c r="K1275" t="inlineStr">
        <is>
          <t>Exact ID</t>
        </is>
      </c>
      <c r="L1275" t="inlineStr">
        <is>
          <t>Crosswalk Pending</t>
        </is>
      </c>
      <c r="M1275" t="inlineStr">
        <is>
          <t>Open</t>
        </is>
      </c>
      <c r="N1275" t="inlineStr"/>
    </row>
    <row r="1276">
      <c r="A1276" t="inlineStr">
        <is>
          <t>FKEX01275</t>
        </is>
      </c>
      <c r="B1276" t="inlineStr">
        <is>
          <t>15 LL_Device</t>
        </is>
      </c>
      <c r="C1276" t="inlineStr">
        <is>
          <t>tblDeviceModel</t>
        </is>
      </c>
      <c r="D1276" t="n">
        <v>426</v>
      </c>
      <c r="E1276" t="inlineStr">
        <is>
          <t>MOD000423</t>
        </is>
      </c>
      <c r="F1276" t="inlineStr">
        <is>
          <t>DeviceTypeID</t>
        </is>
      </c>
      <c r="G1276" t="inlineStr">
        <is>
          <t>DT001</t>
        </is>
      </c>
      <c r="H1276" t="inlineStr">
        <is>
          <t>tblDeviceTypeIDCrosswalk</t>
        </is>
      </c>
      <c r="I1276" t="inlineStr"/>
      <c r="J1276" t="inlineStr">
        <is>
          <t>No Supported Match</t>
        </is>
      </c>
      <c r="K1276" t="inlineStr">
        <is>
          <t>None</t>
        </is>
      </c>
      <c r="L1276" t="inlineStr">
        <is>
          <t>Crosswalk Pending</t>
        </is>
      </c>
      <c r="M1276" t="inlineStr">
        <is>
          <t>Open</t>
        </is>
      </c>
      <c r="N1276" t="inlineStr"/>
    </row>
    <row r="1277">
      <c r="A1277" t="inlineStr">
        <is>
          <t>FKEX01276</t>
        </is>
      </c>
      <c r="B1277" t="inlineStr">
        <is>
          <t>15 LL_Device</t>
        </is>
      </c>
      <c r="C1277" t="inlineStr">
        <is>
          <t>tblDeviceModel</t>
        </is>
      </c>
      <c r="D1277" t="n">
        <v>427</v>
      </c>
      <c r="E1277" t="inlineStr">
        <is>
          <t>MOD000424</t>
        </is>
      </c>
      <c r="F1277" t="inlineStr">
        <is>
          <t>ManufacturerID</t>
        </is>
      </c>
      <c r="G1277" t="inlineStr">
        <is>
          <t>MFG005</t>
        </is>
      </c>
      <c r="H1277" t="inlineStr">
        <is>
          <t>tblManufacturerIDCrosswalk</t>
        </is>
      </c>
      <c r="I1277" t="inlineStr"/>
      <c r="J1277" t="inlineStr">
        <is>
          <t>No Supported Match</t>
        </is>
      </c>
      <c r="K1277" t="inlineStr">
        <is>
          <t>None</t>
        </is>
      </c>
      <c r="L1277" t="inlineStr">
        <is>
          <t>Crosswalk Pending</t>
        </is>
      </c>
      <c r="M1277" t="inlineStr">
        <is>
          <t>Open</t>
        </is>
      </c>
      <c r="N1277" t="inlineStr"/>
    </row>
    <row r="1278">
      <c r="A1278" t="inlineStr">
        <is>
          <t>FKEX01277</t>
        </is>
      </c>
      <c r="B1278" t="inlineStr">
        <is>
          <t>15 LL_Device</t>
        </is>
      </c>
      <c r="C1278" t="inlineStr">
        <is>
          <t>tblDeviceModel</t>
        </is>
      </c>
      <c r="D1278" t="n">
        <v>427</v>
      </c>
      <c r="E1278" t="inlineStr">
        <is>
          <t>MOD000424</t>
        </is>
      </c>
      <c r="F1278" t="inlineStr">
        <is>
          <t>DeviceFamilyID</t>
        </is>
      </c>
      <c r="G1278" t="inlineStr">
        <is>
          <t>DF052</t>
        </is>
      </c>
      <c r="H1278" t="inlineStr">
        <is>
          <t>tblDeviceFamilyIDCrosswalk</t>
        </is>
      </c>
      <c r="I1278" t="inlineStr"/>
      <c r="J1278" t="inlineStr">
        <is>
          <t>tblDeviceModel</t>
        </is>
      </c>
      <c r="K1278" t="inlineStr">
        <is>
          <t>Exact ID</t>
        </is>
      </c>
      <c r="L1278" t="inlineStr">
        <is>
          <t>Crosswalk Pending</t>
        </is>
      </c>
      <c r="M1278" t="inlineStr">
        <is>
          <t>Open</t>
        </is>
      </c>
      <c r="N1278" t="inlineStr"/>
    </row>
    <row r="1279">
      <c r="A1279" t="inlineStr">
        <is>
          <t>FKEX01278</t>
        </is>
      </c>
      <c r="B1279" t="inlineStr">
        <is>
          <t>15 LL_Device</t>
        </is>
      </c>
      <c r="C1279" t="inlineStr">
        <is>
          <t>tblDeviceModel</t>
        </is>
      </c>
      <c r="D1279" t="n">
        <v>427</v>
      </c>
      <c r="E1279" t="inlineStr">
        <is>
          <t>MOD000424</t>
        </is>
      </c>
      <c r="F1279" t="inlineStr">
        <is>
          <t>DeviceTypeID</t>
        </is>
      </c>
      <c r="G1279" t="inlineStr">
        <is>
          <t>DT001</t>
        </is>
      </c>
      <c r="H1279" t="inlineStr">
        <is>
          <t>tblDeviceTypeIDCrosswalk</t>
        </is>
      </c>
      <c r="I1279" t="inlineStr"/>
      <c r="J1279" t="inlineStr">
        <is>
          <t>No Supported Match</t>
        </is>
      </c>
      <c r="K1279" t="inlineStr">
        <is>
          <t>None</t>
        </is>
      </c>
      <c r="L1279" t="inlineStr">
        <is>
          <t>Crosswalk Pending</t>
        </is>
      </c>
      <c r="M1279" t="inlineStr">
        <is>
          <t>Open</t>
        </is>
      </c>
      <c r="N1279" t="inlineStr"/>
    </row>
    <row r="1280">
      <c r="A1280" t="inlineStr">
        <is>
          <t>FKEX01279</t>
        </is>
      </c>
      <c r="B1280" t="inlineStr">
        <is>
          <t>15 LL_Device</t>
        </is>
      </c>
      <c r="C1280" t="inlineStr">
        <is>
          <t>tblDeviceModel</t>
        </is>
      </c>
      <c r="D1280" t="n">
        <v>428</v>
      </c>
      <c r="E1280" t="inlineStr">
        <is>
          <t>MOD000425</t>
        </is>
      </c>
      <c r="F1280" t="inlineStr">
        <is>
          <t>ManufacturerID</t>
        </is>
      </c>
      <c r="G1280" t="inlineStr">
        <is>
          <t>MFG005</t>
        </is>
      </c>
      <c r="H1280" t="inlineStr">
        <is>
          <t>tblManufacturerIDCrosswalk</t>
        </is>
      </c>
      <c r="I1280" t="inlineStr"/>
      <c r="J1280" t="inlineStr">
        <is>
          <t>No Supported Match</t>
        </is>
      </c>
      <c r="K1280" t="inlineStr">
        <is>
          <t>None</t>
        </is>
      </c>
      <c r="L1280" t="inlineStr">
        <is>
          <t>Crosswalk Pending</t>
        </is>
      </c>
      <c r="M1280" t="inlineStr">
        <is>
          <t>Open</t>
        </is>
      </c>
      <c r="N1280" t="inlineStr"/>
    </row>
    <row r="1281">
      <c r="A1281" t="inlineStr">
        <is>
          <t>FKEX01280</t>
        </is>
      </c>
      <c r="B1281" t="inlineStr">
        <is>
          <t>15 LL_Device</t>
        </is>
      </c>
      <c r="C1281" t="inlineStr">
        <is>
          <t>tblDeviceModel</t>
        </is>
      </c>
      <c r="D1281" t="n">
        <v>428</v>
      </c>
      <c r="E1281" t="inlineStr">
        <is>
          <t>MOD000425</t>
        </is>
      </c>
      <c r="F1281" t="inlineStr">
        <is>
          <t>DeviceFamilyID</t>
        </is>
      </c>
      <c r="G1281" t="inlineStr">
        <is>
          <t>DF053</t>
        </is>
      </c>
      <c r="H1281" t="inlineStr">
        <is>
          <t>tblDeviceFamilyIDCrosswalk</t>
        </is>
      </c>
      <c r="I1281" t="inlineStr"/>
      <c r="J1281" t="inlineStr">
        <is>
          <t>tblDeviceModel</t>
        </is>
      </c>
      <c r="K1281" t="inlineStr">
        <is>
          <t>Exact ID</t>
        </is>
      </c>
      <c r="L1281" t="inlineStr">
        <is>
          <t>Crosswalk Pending</t>
        </is>
      </c>
      <c r="M1281" t="inlineStr">
        <is>
          <t>Open</t>
        </is>
      </c>
      <c r="N1281" t="inlineStr"/>
    </row>
    <row r="1282">
      <c r="A1282" t="inlineStr">
        <is>
          <t>FKEX01281</t>
        </is>
      </c>
      <c r="B1282" t="inlineStr">
        <is>
          <t>15 LL_Device</t>
        </is>
      </c>
      <c r="C1282" t="inlineStr">
        <is>
          <t>tblDeviceModel</t>
        </is>
      </c>
      <c r="D1282" t="n">
        <v>428</v>
      </c>
      <c r="E1282" t="inlineStr">
        <is>
          <t>MOD000425</t>
        </is>
      </c>
      <c r="F1282" t="inlineStr">
        <is>
          <t>DeviceTypeID</t>
        </is>
      </c>
      <c r="G1282" t="inlineStr">
        <is>
          <t>DT001</t>
        </is>
      </c>
      <c r="H1282" t="inlineStr">
        <is>
          <t>tblDeviceTypeIDCrosswalk</t>
        </is>
      </c>
      <c r="I1282" t="inlineStr"/>
      <c r="J1282" t="inlineStr">
        <is>
          <t>No Supported Match</t>
        </is>
      </c>
      <c r="K1282" t="inlineStr">
        <is>
          <t>None</t>
        </is>
      </c>
      <c r="L1282" t="inlineStr">
        <is>
          <t>Crosswalk Pending</t>
        </is>
      </c>
      <c r="M1282" t="inlineStr">
        <is>
          <t>Open</t>
        </is>
      </c>
      <c r="N1282" t="inlineStr"/>
    </row>
    <row r="1283">
      <c r="A1283" t="inlineStr">
        <is>
          <t>FKEX01282</t>
        </is>
      </c>
      <c r="B1283" t="inlineStr">
        <is>
          <t>15 LL_Device</t>
        </is>
      </c>
      <c r="C1283" t="inlineStr">
        <is>
          <t>tblDeviceModel</t>
        </is>
      </c>
      <c r="D1283" t="n">
        <v>429</v>
      </c>
      <c r="E1283" t="inlineStr">
        <is>
          <t>MOD000426</t>
        </is>
      </c>
      <c r="F1283" t="inlineStr">
        <is>
          <t>ManufacturerID</t>
        </is>
      </c>
      <c r="G1283" t="inlineStr">
        <is>
          <t>MFG005</t>
        </is>
      </c>
      <c r="H1283" t="inlineStr">
        <is>
          <t>tblManufacturerIDCrosswalk</t>
        </is>
      </c>
      <c r="I1283" t="inlineStr"/>
      <c r="J1283" t="inlineStr">
        <is>
          <t>No Supported Match</t>
        </is>
      </c>
      <c r="K1283" t="inlineStr">
        <is>
          <t>None</t>
        </is>
      </c>
      <c r="L1283" t="inlineStr">
        <is>
          <t>Crosswalk Pending</t>
        </is>
      </c>
      <c r="M1283" t="inlineStr">
        <is>
          <t>Open</t>
        </is>
      </c>
      <c r="N1283" t="inlineStr"/>
    </row>
    <row r="1284">
      <c r="A1284" t="inlineStr">
        <is>
          <t>FKEX01283</t>
        </is>
      </c>
      <c r="B1284" t="inlineStr">
        <is>
          <t>15 LL_Device</t>
        </is>
      </c>
      <c r="C1284" t="inlineStr">
        <is>
          <t>tblDeviceModel</t>
        </is>
      </c>
      <c r="D1284" t="n">
        <v>429</v>
      </c>
      <c r="E1284" t="inlineStr">
        <is>
          <t>MOD000426</t>
        </is>
      </c>
      <c r="F1284" t="inlineStr">
        <is>
          <t>DeviceFamilyID</t>
        </is>
      </c>
      <c r="G1284" t="inlineStr">
        <is>
          <t>DF054</t>
        </is>
      </c>
      <c r="H1284" t="inlineStr">
        <is>
          <t>tblDeviceFamilyIDCrosswalk</t>
        </is>
      </c>
      <c r="I1284" t="inlineStr"/>
      <c r="J1284" t="inlineStr">
        <is>
          <t>tblDeviceModel</t>
        </is>
      </c>
      <c r="K1284" t="inlineStr">
        <is>
          <t>Exact ID</t>
        </is>
      </c>
      <c r="L1284" t="inlineStr">
        <is>
          <t>Crosswalk Pending</t>
        </is>
      </c>
      <c r="M1284" t="inlineStr">
        <is>
          <t>Open</t>
        </is>
      </c>
      <c r="N1284" t="inlineStr"/>
    </row>
    <row r="1285">
      <c r="A1285" t="inlineStr">
        <is>
          <t>FKEX01284</t>
        </is>
      </c>
      <c r="B1285" t="inlineStr">
        <is>
          <t>15 LL_Device</t>
        </is>
      </c>
      <c r="C1285" t="inlineStr">
        <is>
          <t>tblDeviceModel</t>
        </is>
      </c>
      <c r="D1285" t="n">
        <v>429</v>
      </c>
      <c r="E1285" t="inlineStr">
        <is>
          <t>MOD000426</t>
        </is>
      </c>
      <c r="F1285" t="inlineStr">
        <is>
          <t>DeviceTypeID</t>
        </is>
      </c>
      <c r="G1285" t="inlineStr">
        <is>
          <t>DT001</t>
        </is>
      </c>
      <c r="H1285" t="inlineStr">
        <is>
          <t>tblDeviceTypeIDCrosswalk</t>
        </is>
      </c>
      <c r="I1285" t="inlineStr"/>
      <c r="J1285" t="inlineStr">
        <is>
          <t>No Supported Match</t>
        </is>
      </c>
      <c r="K1285" t="inlineStr">
        <is>
          <t>None</t>
        </is>
      </c>
      <c r="L1285" t="inlineStr">
        <is>
          <t>Crosswalk Pending</t>
        </is>
      </c>
      <c r="M1285" t="inlineStr">
        <is>
          <t>Open</t>
        </is>
      </c>
      <c r="N1285" t="inlineStr"/>
    </row>
    <row r="1286">
      <c r="A1286" t="inlineStr">
        <is>
          <t>FKEX01285</t>
        </is>
      </c>
      <c r="B1286" t="inlineStr">
        <is>
          <t>15 LL_Device</t>
        </is>
      </c>
      <c r="C1286" t="inlineStr">
        <is>
          <t>tblDeviceModel</t>
        </is>
      </c>
      <c r="D1286" t="n">
        <v>430</v>
      </c>
      <c r="E1286" t="inlineStr">
        <is>
          <t>MOD000427</t>
        </is>
      </c>
      <c r="F1286" t="inlineStr">
        <is>
          <t>ManufacturerID</t>
        </is>
      </c>
      <c r="G1286" t="inlineStr">
        <is>
          <t>MFG005</t>
        </is>
      </c>
      <c r="H1286" t="inlineStr">
        <is>
          <t>tblManufacturerIDCrosswalk</t>
        </is>
      </c>
      <c r="I1286" t="inlineStr"/>
      <c r="J1286" t="inlineStr">
        <is>
          <t>No Supported Match</t>
        </is>
      </c>
      <c r="K1286" t="inlineStr">
        <is>
          <t>None</t>
        </is>
      </c>
      <c r="L1286" t="inlineStr">
        <is>
          <t>Crosswalk Pending</t>
        </is>
      </c>
      <c r="M1286" t="inlineStr">
        <is>
          <t>Open</t>
        </is>
      </c>
      <c r="N1286" t="inlineStr"/>
    </row>
    <row r="1287">
      <c r="A1287" t="inlineStr">
        <is>
          <t>FKEX01286</t>
        </is>
      </c>
      <c r="B1287" t="inlineStr">
        <is>
          <t>15 LL_Device</t>
        </is>
      </c>
      <c r="C1287" t="inlineStr">
        <is>
          <t>tblDeviceModel</t>
        </is>
      </c>
      <c r="D1287" t="n">
        <v>430</v>
      </c>
      <c r="E1287" t="inlineStr">
        <is>
          <t>MOD000427</t>
        </is>
      </c>
      <c r="F1287" t="inlineStr">
        <is>
          <t>DeviceFamilyID</t>
        </is>
      </c>
      <c r="G1287" t="inlineStr">
        <is>
          <t>DF054</t>
        </is>
      </c>
      <c r="H1287" t="inlineStr">
        <is>
          <t>tblDeviceFamilyIDCrosswalk</t>
        </is>
      </c>
      <c r="I1287" t="inlineStr"/>
      <c r="J1287" t="inlineStr">
        <is>
          <t>tblDeviceModel</t>
        </is>
      </c>
      <c r="K1287" t="inlineStr">
        <is>
          <t>Exact ID</t>
        </is>
      </c>
      <c r="L1287" t="inlineStr">
        <is>
          <t>Crosswalk Pending</t>
        </is>
      </c>
      <c r="M1287" t="inlineStr">
        <is>
          <t>Open</t>
        </is>
      </c>
      <c r="N1287" t="inlineStr"/>
    </row>
    <row r="1288">
      <c r="A1288" t="inlineStr">
        <is>
          <t>FKEX01287</t>
        </is>
      </c>
      <c r="B1288" t="inlineStr">
        <is>
          <t>15 LL_Device</t>
        </is>
      </c>
      <c r="C1288" t="inlineStr">
        <is>
          <t>tblDeviceModel</t>
        </is>
      </c>
      <c r="D1288" t="n">
        <v>430</v>
      </c>
      <c r="E1288" t="inlineStr">
        <is>
          <t>MOD000427</t>
        </is>
      </c>
      <c r="F1288" t="inlineStr">
        <is>
          <t>DeviceTypeID</t>
        </is>
      </c>
      <c r="G1288" t="inlineStr">
        <is>
          <t>DT001</t>
        </is>
      </c>
      <c r="H1288" t="inlineStr">
        <is>
          <t>tblDeviceTypeIDCrosswalk</t>
        </is>
      </c>
      <c r="I1288" t="inlineStr"/>
      <c r="J1288" t="inlineStr">
        <is>
          <t>No Supported Match</t>
        </is>
      </c>
      <c r="K1288" t="inlineStr">
        <is>
          <t>None</t>
        </is>
      </c>
      <c r="L1288" t="inlineStr">
        <is>
          <t>Crosswalk Pending</t>
        </is>
      </c>
      <c r="M1288" t="inlineStr">
        <is>
          <t>Open</t>
        </is>
      </c>
      <c r="N1288" t="inlineStr"/>
    </row>
    <row r="1289">
      <c r="A1289" t="inlineStr">
        <is>
          <t>FKEX01288</t>
        </is>
      </c>
      <c r="B1289" t="inlineStr">
        <is>
          <t>15 LL_Device</t>
        </is>
      </c>
      <c r="C1289" t="inlineStr">
        <is>
          <t>tblDeviceModel</t>
        </is>
      </c>
      <c r="D1289" t="n">
        <v>431</v>
      </c>
      <c r="E1289" t="inlineStr">
        <is>
          <t>MOD000428</t>
        </is>
      </c>
      <c r="F1289" t="inlineStr">
        <is>
          <t>ManufacturerID</t>
        </is>
      </c>
      <c r="G1289" t="inlineStr">
        <is>
          <t>MFG005</t>
        </is>
      </c>
      <c r="H1289" t="inlineStr">
        <is>
          <t>tblManufacturerIDCrosswalk</t>
        </is>
      </c>
      <c r="I1289" t="inlineStr"/>
      <c r="J1289" t="inlineStr">
        <is>
          <t>No Supported Match</t>
        </is>
      </c>
      <c r="K1289" t="inlineStr">
        <is>
          <t>None</t>
        </is>
      </c>
      <c r="L1289" t="inlineStr">
        <is>
          <t>Crosswalk Pending</t>
        </is>
      </c>
      <c r="M1289" t="inlineStr">
        <is>
          <t>Open</t>
        </is>
      </c>
      <c r="N1289" t="inlineStr"/>
    </row>
    <row r="1290">
      <c r="A1290" t="inlineStr">
        <is>
          <t>FKEX01289</t>
        </is>
      </c>
      <c r="B1290" t="inlineStr">
        <is>
          <t>15 LL_Device</t>
        </is>
      </c>
      <c r="C1290" t="inlineStr">
        <is>
          <t>tblDeviceModel</t>
        </is>
      </c>
      <c r="D1290" t="n">
        <v>431</v>
      </c>
      <c r="E1290" t="inlineStr">
        <is>
          <t>MOD000428</t>
        </is>
      </c>
      <c r="F1290" t="inlineStr">
        <is>
          <t>DeviceFamilyID</t>
        </is>
      </c>
      <c r="G1290" t="inlineStr">
        <is>
          <t>DF054</t>
        </is>
      </c>
      <c r="H1290" t="inlineStr">
        <is>
          <t>tblDeviceFamilyIDCrosswalk</t>
        </is>
      </c>
      <c r="I1290" t="inlineStr"/>
      <c r="J1290" t="inlineStr">
        <is>
          <t>tblDeviceModel</t>
        </is>
      </c>
      <c r="K1290" t="inlineStr">
        <is>
          <t>Exact ID</t>
        </is>
      </c>
      <c r="L1290" t="inlineStr">
        <is>
          <t>Crosswalk Pending</t>
        </is>
      </c>
      <c r="M1290" t="inlineStr">
        <is>
          <t>Open</t>
        </is>
      </c>
      <c r="N1290" t="inlineStr"/>
    </row>
    <row r="1291">
      <c r="A1291" t="inlineStr">
        <is>
          <t>FKEX01290</t>
        </is>
      </c>
      <c r="B1291" t="inlineStr">
        <is>
          <t>15 LL_Device</t>
        </is>
      </c>
      <c r="C1291" t="inlineStr">
        <is>
          <t>tblDeviceModel</t>
        </is>
      </c>
      <c r="D1291" t="n">
        <v>431</v>
      </c>
      <c r="E1291" t="inlineStr">
        <is>
          <t>MOD000428</t>
        </is>
      </c>
      <c r="F1291" t="inlineStr">
        <is>
          <t>DeviceTypeID</t>
        </is>
      </c>
      <c r="G1291" t="inlineStr">
        <is>
          <t>DT001</t>
        </is>
      </c>
      <c r="H1291" t="inlineStr">
        <is>
          <t>tblDeviceTypeIDCrosswalk</t>
        </is>
      </c>
      <c r="I1291" t="inlineStr"/>
      <c r="J1291" t="inlineStr">
        <is>
          <t>No Supported Match</t>
        </is>
      </c>
      <c r="K1291" t="inlineStr">
        <is>
          <t>None</t>
        </is>
      </c>
      <c r="L1291" t="inlineStr">
        <is>
          <t>Crosswalk Pending</t>
        </is>
      </c>
      <c r="M1291" t="inlineStr">
        <is>
          <t>Open</t>
        </is>
      </c>
      <c r="N1291" t="inlineStr"/>
    </row>
    <row r="1292">
      <c r="A1292" t="inlineStr">
        <is>
          <t>FKEX01291</t>
        </is>
      </c>
      <c r="B1292" t="inlineStr">
        <is>
          <t>15 LL_Device</t>
        </is>
      </c>
      <c r="C1292" t="inlineStr">
        <is>
          <t>tblDeviceModel</t>
        </is>
      </c>
      <c r="D1292" t="n">
        <v>432</v>
      </c>
      <c r="E1292" t="inlineStr">
        <is>
          <t>MOD000429</t>
        </is>
      </c>
      <c r="F1292" t="inlineStr">
        <is>
          <t>ManufacturerID</t>
        </is>
      </c>
      <c r="G1292" t="inlineStr">
        <is>
          <t>MFG005</t>
        </is>
      </c>
      <c r="H1292" t="inlineStr">
        <is>
          <t>tblManufacturerIDCrosswalk</t>
        </is>
      </c>
      <c r="I1292" t="inlineStr"/>
      <c r="J1292" t="inlineStr">
        <is>
          <t>No Supported Match</t>
        </is>
      </c>
      <c r="K1292" t="inlineStr">
        <is>
          <t>None</t>
        </is>
      </c>
      <c r="L1292" t="inlineStr">
        <is>
          <t>Crosswalk Pending</t>
        </is>
      </c>
      <c r="M1292" t="inlineStr">
        <is>
          <t>Open</t>
        </is>
      </c>
      <c r="N1292" t="inlineStr"/>
    </row>
    <row r="1293">
      <c r="A1293" t="inlineStr">
        <is>
          <t>FKEX01292</t>
        </is>
      </c>
      <c r="B1293" t="inlineStr">
        <is>
          <t>15 LL_Device</t>
        </is>
      </c>
      <c r="C1293" t="inlineStr">
        <is>
          <t>tblDeviceModel</t>
        </is>
      </c>
      <c r="D1293" t="n">
        <v>432</v>
      </c>
      <c r="E1293" t="inlineStr">
        <is>
          <t>MOD000429</t>
        </is>
      </c>
      <c r="F1293" t="inlineStr">
        <is>
          <t>DeviceFamilyID</t>
        </is>
      </c>
      <c r="G1293" t="inlineStr">
        <is>
          <t>DF055</t>
        </is>
      </c>
      <c r="H1293" t="inlineStr">
        <is>
          <t>tblDeviceFamilyIDCrosswalk</t>
        </is>
      </c>
      <c r="I1293" t="inlineStr"/>
      <c r="J1293" t="inlineStr">
        <is>
          <t>tblDeviceModel</t>
        </is>
      </c>
      <c r="K1293" t="inlineStr">
        <is>
          <t>Exact ID</t>
        </is>
      </c>
      <c r="L1293" t="inlineStr">
        <is>
          <t>Crosswalk Pending</t>
        </is>
      </c>
      <c r="M1293" t="inlineStr">
        <is>
          <t>Open</t>
        </is>
      </c>
      <c r="N1293" t="inlineStr"/>
    </row>
    <row r="1294">
      <c r="A1294" t="inlineStr">
        <is>
          <t>FKEX01293</t>
        </is>
      </c>
      <c r="B1294" t="inlineStr">
        <is>
          <t>15 LL_Device</t>
        </is>
      </c>
      <c r="C1294" t="inlineStr">
        <is>
          <t>tblDeviceModel</t>
        </is>
      </c>
      <c r="D1294" t="n">
        <v>432</v>
      </c>
      <c r="E1294" t="inlineStr">
        <is>
          <t>MOD000429</t>
        </is>
      </c>
      <c r="F1294" t="inlineStr">
        <is>
          <t>DeviceTypeID</t>
        </is>
      </c>
      <c r="G1294" t="inlineStr">
        <is>
          <t>DT001</t>
        </is>
      </c>
      <c r="H1294" t="inlineStr">
        <is>
          <t>tblDeviceTypeIDCrosswalk</t>
        </is>
      </c>
      <c r="I1294" t="inlineStr"/>
      <c r="J1294" t="inlineStr">
        <is>
          <t>No Supported Match</t>
        </is>
      </c>
      <c r="K1294" t="inlineStr">
        <is>
          <t>None</t>
        </is>
      </c>
      <c r="L1294" t="inlineStr">
        <is>
          <t>Crosswalk Pending</t>
        </is>
      </c>
      <c r="M1294" t="inlineStr">
        <is>
          <t>Open</t>
        </is>
      </c>
      <c r="N1294" t="inlineStr"/>
    </row>
    <row r="1295">
      <c r="A1295" t="inlineStr">
        <is>
          <t>FKEX01294</t>
        </is>
      </c>
      <c r="B1295" t="inlineStr">
        <is>
          <t>15 LL_Device</t>
        </is>
      </c>
      <c r="C1295" t="inlineStr">
        <is>
          <t>tblDeviceModel</t>
        </is>
      </c>
      <c r="D1295" t="n">
        <v>433</v>
      </c>
      <c r="E1295" t="inlineStr">
        <is>
          <t>MOD000430</t>
        </is>
      </c>
      <c r="F1295" t="inlineStr">
        <is>
          <t>ManufacturerID</t>
        </is>
      </c>
      <c r="G1295" t="inlineStr">
        <is>
          <t>MFG005</t>
        </is>
      </c>
      <c r="H1295" t="inlineStr">
        <is>
          <t>tblManufacturerIDCrosswalk</t>
        </is>
      </c>
      <c r="I1295" t="inlineStr"/>
      <c r="J1295" t="inlineStr">
        <is>
          <t>No Supported Match</t>
        </is>
      </c>
      <c r="K1295" t="inlineStr">
        <is>
          <t>None</t>
        </is>
      </c>
      <c r="L1295" t="inlineStr">
        <is>
          <t>Crosswalk Pending</t>
        </is>
      </c>
      <c r="M1295" t="inlineStr">
        <is>
          <t>Open</t>
        </is>
      </c>
      <c r="N1295" t="inlineStr"/>
    </row>
    <row r="1296">
      <c r="A1296" t="inlineStr">
        <is>
          <t>FKEX01295</t>
        </is>
      </c>
      <c r="B1296" t="inlineStr">
        <is>
          <t>15 LL_Device</t>
        </is>
      </c>
      <c r="C1296" t="inlineStr">
        <is>
          <t>tblDeviceModel</t>
        </is>
      </c>
      <c r="D1296" t="n">
        <v>433</v>
      </c>
      <c r="E1296" t="inlineStr">
        <is>
          <t>MOD000430</t>
        </is>
      </c>
      <c r="F1296" t="inlineStr">
        <is>
          <t>DeviceFamilyID</t>
        </is>
      </c>
      <c r="G1296" t="inlineStr">
        <is>
          <t>DF055</t>
        </is>
      </c>
      <c r="H1296" t="inlineStr">
        <is>
          <t>tblDeviceFamilyIDCrosswalk</t>
        </is>
      </c>
      <c r="I1296" t="inlineStr"/>
      <c r="J1296" t="inlineStr">
        <is>
          <t>tblDeviceModel</t>
        </is>
      </c>
      <c r="K1296" t="inlineStr">
        <is>
          <t>Exact ID</t>
        </is>
      </c>
      <c r="L1296" t="inlineStr">
        <is>
          <t>Crosswalk Pending</t>
        </is>
      </c>
      <c r="M1296" t="inlineStr">
        <is>
          <t>Open</t>
        </is>
      </c>
      <c r="N1296" t="inlineStr"/>
    </row>
    <row r="1297">
      <c r="A1297" t="inlineStr">
        <is>
          <t>FKEX01296</t>
        </is>
      </c>
      <c r="B1297" t="inlineStr">
        <is>
          <t>15 LL_Device</t>
        </is>
      </c>
      <c r="C1297" t="inlineStr">
        <is>
          <t>tblDeviceModel</t>
        </is>
      </c>
      <c r="D1297" t="n">
        <v>433</v>
      </c>
      <c r="E1297" t="inlineStr">
        <is>
          <t>MOD000430</t>
        </is>
      </c>
      <c r="F1297" t="inlineStr">
        <is>
          <t>DeviceTypeID</t>
        </is>
      </c>
      <c r="G1297" t="inlineStr">
        <is>
          <t>DT001</t>
        </is>
      </c>
      <c r="H1297" t="inlineStr">
        <is>
          <t>tblDeviceTypeIDCrosswalk</t>
        </is>
      </c>
      <c r="I1297" t="inlineStr"/>
      <c r="J1297" t="inlineStr">
        <is>
          <t>No Supported Match</t>
        </is>
      </c>
      <c r="K1297" t="inlineStr">
        <is>
          <t>None</t>
        </is>
      </c>
      <c r="L1297" t="inlineStr">
        <is>
          <t>Crosswalk Pending</t>
        </is>
      </c>
      <c r="M1297" t="inlineStr">
        <is>
          <t>Open</t>
        </is>
      </c>
      <c r="N1297" t="inlineStr"/>
    </row>
    <row r="1298">
      <c r="A1298" t="inlineStr">
        <is>
          <t>FKEX01297</t>
        </is>
      </c>
      <c r="B1298" t="inlineStr">
        <is>
          <t>15 LL_Device</t>
        </is>
      </c>
      <c r="C1298" t="inlineStr">
        <is>
          <t>tblDeviceModel</t>
        </is>
      </c>
      <c r="D1298" t="n">
        <v>434</v>
      </c>
      <c r="E1298" t="inlineStr">
        <is>
          <t>MOD000431</t>
        </is>
      </c>
      <c r="F1298" t="inlineStr">
        <is>
          <t>ManufacturerID</t>
        </is>
      </c>
      <c r="G1298" t="inlineStr">
        <is>
          <t>MFG005</t>
        </is>
      </c>
      <c r="H1298" t="inlineStr">
        <is>
          <t>tblManufacturerIDCrosswalk</t>
        </is>
      </c>
      <c r="I1298" t="inlineStr"/>
      <c r="J1298" t="inlineStr">
        <is>
          <t>No Supported Match</t>
        </is>
      </c>
      <c r="K1298" t="inlineStr">
        <is>
          <t>None</t>
        </is>
      </c>
      <c r="L1298" t="inlineStr">
        <is>
          <t>Crosswalk Pending</t>
        </is>
      </c>
      <c r="M1298" t="inlineStr">
        <is>
          <t>Open</t>
        </is>
      </c>
      <c r="N1298" t="inlineStr"/>
    </row>
    <row r="1299">
      <c r="A1299" t="inlineStr">
        <is>
          <t>FKEX01298</t>
        </is>
      </c>
      <c r="B1299" t="inlineStr">
        <is>
          <t>15 LL_Device</t>
        </is>
      </c>
      <c r="C1299" t="inlineStr">
        <is>
          <t>tblDeviceModel</t>
        </is>
      </c>
      <c r="D1299" t="n">
        <v>434</v>
      </c>
      <c r="E1299" t="inlineStr">
        <is>
          <t>MOD000431</t>
        </is>
      </c>
      <c r="F1299" t="inlineStr">
        <is>
          <t>DeviceFamilyID</t>
        </is>
      </c>
      <c r="G1299" t="inlineStr">
        <is>
          <t>DF056</t>
        </is>
      </c>
      <c r="H1299" t="inlineStr">
        <is>
          <t>tblDeviceFamilyIDCrosswalk</t>
        </is>
      </c>
      <c r="I1299" t="inlineStr"/>
      <c r="J1299" t="inlineStr">
        <is>
          <t>tblDeviceModel</t>
        </is>
      </c>
      <c r="K1299" t="inlineStr">
        <is>
          <t>Exact ID</t>
        </is>
      </c>
      <c r="L1299" t="inlineStr">
        <is>
          <t>Crosswalk Pending</t>
        </is>
      </c>
      <c r="M1299" t="inlineStr">
        <is>
          <t>Open</t>
        </is>
      </c>
      <c r="N1299" t="inlineStr"/>
    </row>
    <row r="1300">
      <c r="A1300" t="inlineStr">
        <is>
          <t>FKEX01299</t>
        </is>
      </c>
      <c r="B1300" t="inlineStr">
        <is>
          <t>15 LL_Device</t>
        </is>
      </c>
      <c r="C1300" t="inlineStr">
        <is>
          <t>tblDeviceModel</t>
        </is>
      </c>
      <c r="D1300" t="n">
        <v>434</v>
      </c>
      <c r="E1300" t="inlineStr">
        <is>
          <t>MOD000431</t>
        </is>
      </c>
      <c r="F1300" t="inlineStr">
        <is>
          <t>DeviceTypeID</t>
        </is>
      </c>
      <c r="G1300" t="inlineStr">
        <is>
          <t>DT001</t>
        </is>
      </c>
      <c r="H1300" t="inlineStr">
        <is>
          <t>tblDeviceTypeIDCrosswalk</t>
        </is>
      </c>
      <c r="I1300" t="inlineStr"/>
      <c r="J1300" t="inlineStr">
        <is>
          <t>No Supported Match</t>
        </is>
      </c>
      <c r="K1300" t="inlineStr">
        <is>
          <t>None</t>
        </is>
      </c>
      <c r="L1300" t="inlineStr">
        <is>
          <t>Crosswalk Pending</t>
        </is>
      </c>
      <c r="M1300" t="inlineStr">
        <is>
          <t>Open</t>
        </is>
      </c>
      <c r="N1300" t="inlineStr"/>
    </row>
    <row r="1301">
      <c r="A1301" t="inlineStr">
        <is>
          <t>FKEX01300</t>
        </is>
      </c>
      <c r="B1301" t="inlineStr">
        <is>
          <t>15 LL_Device</t>
        </is>
      </c>
      <c r="C1301" t="inlineStr">
        <is>
          <t>tblDeviceModel</t>
        </is>
      </c>
      <c r="D1301" t="n">
        <v>435</v>
      </c>
      <c r="E1301" t="inlineStr">
        <is>
          <t>MOD000432</t>
        </is>
      </c>
      <c r="F1301" t="inlineStr">
        <is>
          <t>ManufacturerID</t>
        </is>
      </c>
      <c r="G1301" t="inlineStr">
        <is>
          <t>MFG005</t>
        </is>
      </c>
      <c r="H1301" t="inlineStr">
        <is>
          <t>tblManufacturerIDCrosswalk</t>
        </is>
      </c>
      <c r="I1301" t="inlineStr"/>
      <c r="J1301" t="inlineStr">
        <is>
          <t>No Supported Match</t>
        </is>
      </c>
      <c r="K1301" t="inlineStr">
        <is>
          <t>None</t>
        </is>
      </c>
      <c r="L1301" t="inlineStr">
        <is>
          <t>Crosswalk Pending</t>
        </is>
      </c>
      <c r="M1301" t="inlineStr">
        <is>
          <t>Open</t>
        </is>
      </c>
      <c r="N1301" t="inlineStr"/>
    </row>
    <row r="1302">
      <c r="A1302" t="inlineStr">
        <is>
          <t>FKEX01301</t>
        </is>
      </c>
      <c r="B1302" t="inlineStr">
        <is>
          <t>15 LL_Device</t>
        </is>
      </c>
      <c r="C1302" t="inlineStr">
        <is>
          <t>tblDeviceModel</t>
        </is>
      </c>
      <c r="D1302" t="n">
        <v>435</v>
      </c>
      <c r="E1302" t="inlineStr">
        <is>
          <t>MOD000432</t>
        </is>
      </c>
      <c r="F1302" t="inlineStr">
        <is>
          <t>DeviceFamilyID</t>
        </is>
      </c>
      <c r="G1302" t="inlineStr">
        <is>
          <t>DF056</t>
        </is>
      </c>
      <c r="H1302" t="inlineStr">
        <is>
          <t>tblDeviceFamilyIDCrosswalk</t>
        </is>
      </c>
      <c r="I1302" t="inlineStr"/>
      <c r="J1302" t="inlineStr">
        <is>
          <t>tblDeviceModel</t>
        </is>
      </c>
      <c r="K1302" t="inlineStr">
        <is>
          <t>Exact ID</t>
        </is>
      </c>
      <c r="L1302" t="inlineStr">
        <is>
          <t>Crosswalk Pending</t>
        </is>
      </c>
      <c r="M1302" t="inlineStr">
        <is>
          <t>Open</t>
        </is>
      </c>
      <c r="N1302" t="inlineStr"/>
    </row>
    <row r="1303">
      <c r="A1303" t="inlineStr">
        <is>
          <t>FKEX01302</t>
        </is>
      </c>
      <c r="B1303" t="inlineStr">
        <is>
          <t>15 LL_Device</t>
        </is>
      </c>
      <c r="C1303" t="inlineStr">
        <is>
          <t>tblDeviceModel</t>
        </is>
      </c>
      <c r="D1303" t="n">
        <v>435</v>
      </c>
      <c r="E1303" t="inlineStr">
        <is>
          <t>MOD000432</t>
        </is>
      </c>
      <c r="F1303" t="inlineStr">
        <is>
          <t>DeviceTypeID</t>
        </is>
      </c>
      <c r="G1303" t="inlineStr">
        <is>
          <t>DT001</t>
        </is>
      </c>
      <c r="H1303" t="inlineStr">
        <is>
          <t>tblDeviceTypeIDCrosswalk</t>
        </is>
      </c>
      <c r="I1303" t="inlineStr"/>
      <c r="J1303" t="inlineStr">
        <is>
          <t>No Supported Match</t>
        </is>
      </c>
      <c r="K1303" t="inlineStr">
        <is>
          <t>None</t>
        </is>
      </c>
      <c r="L1303" t="inlineStr">
        <is>
          <t>Crosswalk Pending</t>
        </is>
      </c>
      <c r="M1303" t="inlineStr">
        <is>
          <t>Open</t>
        </is>
      </c>
      <c r="N1303" t="inlineStr"/>
    </row>
    <row r="1304">
      <c r="A1304" t="inlineStr">
        <is>
          <t>FKEX01303</t>
        </is>
      </c>
      <c r="B1304" t="inlineStr">
        <is>
          <t>15 LL_Device</t>
        </is>
      </c>
      <c r="C1304" t="inlineStr">
        <is>
          <t>tblDeviceModel</t>
        </is>
      </c>
      <c r="D1304" t="n">
        <v>436</v>
      </c>
      <c r="E1304" t="inlineStr">
        <is>
          <t>MOD000433</t>
        </is>
      </c>
      <c r="F1304" t="inlineStr">
        <is>
          <t>ManufacturerID</t>
        </is>
      </c>
      <c r="G1304" t="inlineStr">
        <is>
          <t>MFG005</t>
        </is>
      </c>
      <c r="H1304" t="inlineStr">
        <is>
          <t>tblManufacturerIDCrosswalk</t>
        </is>
      </c>
      <c r="I1304" t="inlineStr"/>
      <c r="J1304" t="inlineStr">
        <is>
          <t>No Supported Match</t>
        </is>
      </c>
      <c r="K1304" t="inlineStr">
        <is>
          <t>None</t>
        </is>
      </c>
      <c r="L1304" t="inlineStr">
        <is>
          <t>Crosswalk Pending</t>
        </is>
      </c>
      <c r="M1304" t="inlineStr">
        <is>
          <t>Open</t>
        </is>
      </c>
      <c r="N1304" t="inlineStr"/>
    </row>
    <row r="1305">
      <c r="A1305" t="inlineStr">
        <is>
          <t>FKEX01304</t>
        </is>
      </c>
      <c r="B1305" t="inlineStr">
        <is>
          <t>15 LL_Device</t>
        </is>
      </c>
      <c r="C1305" t="inlineStr">
        <is>
          <t>tblDeviceModel</t>
        </is>
      </c>
      <c r="D1305" t="n">
        <v>436</v>
      </c>
      <c r="E1305" t="inlineStr">
        <is>
          <t>MOD000433</t>
        </is>
      </c>
      <c r="F1305" t="inlineStr">
        <is>
          <t>DeviceFamilyID</t>
        </is>
      </c>
      <c r="G1305" t="inlineStr">
        <is>
          <t>DF056</t>
        </is>
      </c>
      <c r="H1305" t="inlineStr">
        <is>
          <t>tblDeviceFamilyIDCrosswalk</t>
        </is>
      </c>
      <c r="I1305" t="inlineStr"/>
      <c r="J1305" t="inlineStr">
        <is>
          <t>tblDeviceModel</t>
        </is>
      </c>
      <c r="K1305" t="inlineStr">
        <is>
          <t>Exact ID</t>
        </is>
      </c>
      <c r="L1305" t="inlineStr">
        <is>
          <t>Crosswalk Pending</t>
        </is>
      </c>
      <c r="M1305" t="inlineStr">
        <is>
          <t>Open</t>
        </is>
      </c>
      <c r="N1305" t="inlineStr"/>
    </row>
    <row r="1306">
      <c r="A1306" t="inlineStr">
        <is>
          <t>FKEX01305</t>
        </is>
      </c>
      <c r="B1306" t="inlineStr">
        <is>
          <t>15 LL_Device</t>
        </is>
      </c>
      <c r="C1306" t="inlineStr">
        <is>
          <t>tblDeviceModel</t>
        </is>
      </c>
      <c r="D1306" t="n">
        <v>436</v>
      </c>
      <c r="E1306" t="inlineStr">
        <is>
          <t>MOD000433</t>
        </is>
      </c>
      <c r="F1306" t="inlineStr">
        <is>
          <t>DeviceTypeID</t>
        </is>
      </c>
      <c r="G1306" t="inlineStr">
        <is>
          <t>DT001</t>
        </is>
      </c>
      <c r="H1306" t="inlineStr">
        <is>
          <t>tblDeviceTypeIDCrosswalk</t>
        </is>
      </c>
      <c r="I1306" t="inlineStr"/>
      <c r="J1306" t="inlineStr">
        <is>
          <t>No Supported Match</t>
        </is>
      </c>
      <c r="K1306" t="inlineStr">
        <is>
          <t>None</t>
        </is>
      </c>
      <c r="L1306" t="inlineStr">
        <is>
          <t>Crosswalk Pending</t>
        </is>
      </c>
      <c r="M1306" t="inlineStr">
        <is>
          <t>Open</t>
        </is>
      </c>
      <c r="N1306" t="inlineStr"/>
    </row>
    <row r="1307">
      <c r="A1307" t="inlineStr">
        <is>
          <t>FKEX01306</t>
        </is>
      </c>
      <c r="B1307" t="inlineStr">
        <is>
          <t>15 LL_Device</t>
        </is>
      </c>
      <c r="C1307" t="inlineStr">
        <is>
          <t>tblDeviceModel</t>
        </is>
      </c>
      <c r="D1307" t="n">
        <v>437</v>
      </c>
      <c r="E1307" t="inlineStr">
        <is>
          <t>MOD000434</t>
        </is>
      </c>
      <c r="F1307" t="inlineStr">
        <is>
          <t>ManufacturerID</t>
        </is>
      </c>
      <c r="G1307" t="inlineStr">
        <is>
          <t>MFG006</t>
        </is>
      </c>
      <c r="H1307" t="inlineStr">
        <is>
          <t>tblManufacturerIDCrosswalk</t>
        </is>
      </c>
      <c r="I1307" t="inlineStr"/>
      <c r="J1307" t="inlineStr">
        <is>
          <t>No Supported Match</t>
        </is>
      </c>
      <c r="K1307" t="inlineStr">
        <is>
          <t>None</t>
        </is>
      </c>
      <c r="L1307" t="inlineStr">
        <is>
          <t>Crosswalk Pending</t>
        </is>
      </c>
      <c r="M1307" t="inlineStr">
        <is>
          <t>Open</t>
        </is>
      </c>
      <c r="N1307" t="inlineStr"/>
    </row>
    <row r="1308">
      <c r="A1308" t="inlineStr">
        <is>
          <t>FKEX01307</t>
        </is>
      </c>
      <c r="B1308" t="inlineStr">
        <is>
          <t>15 LL_Device</t>
        </is>
      </c>
      <c r="C1308" t="inlineStr">
        <is>
          <t>tblDeviceModel</t>
        </is>
      </c>
      <c r="D1308" t="n">
        <v>437</v>
      </c>
      <c r="E1308" t="inlineStr">
        <is>
          <t>MOD000434</t>
        </is>
      </c>
      <c r="F1308" t="inlineStr">
        <is>
          <t>DeviceFamilyID</t>
        </is>
      </c>
      <c r="G1308" t="inlineStr">
        <is>
          <t>DF060</t>
        </is>
      </c>
      <c r="H1308" t="inlineStr">
        <is>
          <t>tblDeviceFamilyIDCrosswalk</t>
        </is>
      </c>
      <c r="I1308" t="inlineStr"/>
      <c r="J1308" t="inlineStr">
        <is>
          <t>tblDeviceModel</t>
        </is>
      </c>
      <c r="K1308" t="inlineStr">
        <is>
          <t>Exact ID</t>
        </is>
      </c>
      <c r="L1308" t="inlineStr">
        <is>
          <t>Crosswalk Pending</t>
        </is>
      </c>
      <c r="M1308" t="inlineStr">
        <is>
          <t>Open</t>
        </is>
      </c>
      <c r="N1308" t="inlineStr"/>
    </row>
    <row r="1309">
      <c r="A1309" t="inlineStr">
        <is>
          <t>FKEX01308</t>
        </is>
      </c>
      <c r="B1309" t="inlineStr">
        <is>
          <t>15 LL_Device</t>
        </is>
      </c>
      <c r="C1309" t="inlineStr">
        <is>
          <t>tblDeviceModel</t>
        </is>
      </c>
      <c r="D1309" t="n">
        <v>437</v>
      </c>
      <c r="E1309" t="inlineStr">
        <is>
          <t>MOD000434</t>
        </is>
      </c>
      <c r="F1309" t="inlineStr">
        <is>
          <t>DeviceTypeID</t>
        </is>
      </c>
      <c r="G1309" t="inlineStr">
        <is>
          <t>DT001</t>
        </is>
      </c>
      <c r="H1309" t="inlineStr">
        <is>
          <t>tblDeviceTypeIDCrosswalk</t>
        </is>
      </c>
      <c r="I1309" t="inlineStr"/>
      <c r="J1309" t="inlineStr">
        <is>
          <t>No Supported Match</t>
        </is>
      </c>
      <c r="K1309" t="inlineStr">
        <is>
          <t>None</t>
        </is>
      </c>
      <c r="L1309" t="inlineStr">
        <is>
          <t>Crosswalk Pending</t>
        </is>
      </c>
      <c r="M1309" t="inlineStr">
        <is>
          <t>Open</t>
        </is>
      </c>
      <c r="N1309" t="inlineStr"/>
    </row>
    <row r="1310">
      <c r="A1310" t="inlineStr">
        <is>
          <t>FKEX01309</t>
        </is>
      </c>
      <c r="B1310" t="inlineStr">
        <is>
          <t>15 LL_Device</t>
        </is>
      </c>
      <c r="C1310" t="inlineStr">
        <is>
          <t>tblDeviceModel</t>
        </is>
      </c>
      <c r="D1310" t="n">
        <v>438</v>
      </c>
      <c r="E1310" t="inlineStr">
        <is>
          <t>MOD000435</t>
        </is>
      </c>
      <c r="F1310" t="inlineStr">
        <is>
          <t>ManufacturerID</t>
        </is>
      </c>
      <c r="G1310" t="inlineStr">
        <is>
          <t>MFG006</t>
        </is>
      </c>
      <c r="H1310" t="inlineStr">
        <is>
          <t>tblManufacturerIDCrosswalk</t>
        </is>
      </c>
      <c r="I1310" t="inlineStr"/>
      <c r="J1310" t="inlineStr">
        <is>
          <t>No Supported Match</t>
        </is>
      </c>
      <c r="K1310" t="inlineStr">
        <is>
          <t>None</t>
        </is>
      </c>
      <c r="L1310" t="inlineStr">
        <is>
          <t>Crosswalk Pending</t>
        </is>
      </c>
      <c r="M1310" t="inlineStr">
        <is>
          <t>Open</t>
        </is>
      </c>
      <c r="N1310" t="inlineStr"/>
    </row>
    <row r="1311">
      <c r="A1311" t="inlineStr">
        <is>
          <t>FKEX01310</t>
        </is>
      </c>
      <c r="B1311" t="inlineStr">
        <is>
          <t>15 LL_Device</t>
        </is>
      </c>
      <c r="C1311" t="inlineStr">
        <is>
          <t>tblDeviceModel</t>
        </is>
      </c>
      <c r="D1311" t="n">
        <v>438</v>
      </c>
      <c r="E1311" t="inlineStr">
        <is>
          <t>MOD000435</t>
        </is>
      </c>
      <c r="F1311" t="inlineStr">
        <is>
          <t>DeviceFamilyID</t>
        </is>
      </c>
      <c r="G1311" t="inlineStr">
        <is>
          <t>DF060</t>
        </is>
      </c>
      <c r="H1311" t="inlineStr">
        <is>
          <t>tblDeviceFamilyIDCrosswalk</t>
        </is>
      </c>
      <c r="I1311" t="inlineStr"/>
      <c r="J1311" t="inlineStr">
        <is>
          <t>tblDeviceModel</t>
        </is>
      </c>
      <c r="K1311" t="inlineStr">
        <is>
          <t>Exact ID</t>
        </is>
      </c>
      <c r="L1311" t="inlineStr">
        <is>
          <t>Crosswalk Pending</t>
        </is>
      </c>
      <c r="M1311" t="inlineStr">
        <is>
          <t>Open</t>
        </is>
      </c>
      <c r="N1311" t="inlineStr"/>
    </row>
    <row r="1312">
      <c r="A1312" t="inlineStr">
        <is>
          <t>FKEX01311</t>
        </is>
      </c>
      <c r="B1312" t="inlineStr">
        <is>
          <t>15 LL_Device</t>
        </is>
      </c>
      <c r="C1312" t="inlineStr">
        <is>
          <t>tblDeviceModel</t>
        </is>
      </c>
      <c r="D1312" t="n">
        <v>438</v>
      </c>
      <c r="E1312" t="inlineStr">
        <is>
          <t>MOD000435</t>
        </is>
      </c>
      <c r="F1312" t="inlineStr">
        <is>
          <t>DeviceTypeID</t>
        </is>
      </c>
      <c r="G1312" t="inlineStr">
        <is>
          <t>DT001</t>
        </is>
      </c>
      <c r="H1312" t="inlineStr">
        <is>
          <t>tblDeviceTypeIDCrosswalk</t>
        </is>
      </c>
      <c r="I1312" t="inlineStr"/>
      <c r="J1312" t="inlineStr">
        <is>
          <t>No Supported Match</t>
        </is>
      </c>
      <c r="K1312" t="inlineStr">
        <is>
          <t>None</t>
        </is>
      </c>
      <c r="L1312" t="inlineStr">
        <is>
          <t>Crosswalk Pending</t>
        </is>
      </c>
      <c r="M1312" t="inlineStr">
        <is>
          <t>Open</t>
        </is>
      </c>
      <c r="N1312" t="inlineStr"/>
    </row>
    <row r="1313">
      <c r="A1313" t="inlineStr">
        <is>
          <t>FKEX01312</t>
        </is>
      </c>
      <c r="B1313" t="inlineStr">
        <is>
          <t>15 LL_Device</t>
        </is>
      </c>
      <c r="C1313" t="inlineStr">
        <is>
          <t>tblDeviceModel</t>
        </is>
      </c>
      <c r="D1313" t="n">
        <v>439</v>
      </c>
      <c r="E1313" t="inlineStr">
        <is>
          <t>MOD000436</t>
        </is>
      </c>
      <c r="F1313" t="inlineStr">
        <is>
          <t>ManufacturerID</t>
        </is>
      </c>
      <c r="G1313" t="inlineStr">
        <is>
          <t>MFG006</t>
        </is>
      </c>
      <c r="H1313" t="inlineStr">
        <is>
          <t>tblManufacturerIDCrosswalk</t>
        </is>
      </c>
      <c r="I1313" t="inlineStr"/>
      <c r="J1313" t="inlineStr">
        <is>
          <t>No Supported Match</t>
        </is>
      </c>
      <c r="K1313" t="inlineStr">
        <is>
          <t>None</t>
        </is>
      </c>
      <c r="L1313" t="inlineStr">
        <is>
          <t>Crosswalk Pending</t>
        </is>
      </c>
      <c r="M1313" t="inlineStr">
        <is>
          <t>Open</t>
        </is>
      </c>
      <c r="N1313" t="inlineStr"/>
    </row>
    <row r="1314">
      <c r="A1314" t="inlineStr">
        <is>
          <t>FKEX01313</t>
        </is>
      </c>
      <c r="B1314" t="inlineStr">
        <is>
          <t>15 LL_Device</t>
        </is>
      </c>
      <c r="C1314" t="inlineStr">
        <is>
          <t>tblDeviceModel</t>
        </is>
      </c>
      <c r="D1314" t="n">
        <v>439</v>
      </c>
      <c r="E1314" t="inlineStr">
        <is>
          <t>MOD000436</t>
        </is>
      </c>
      <c r="F1314" t="inlineStr">
        <is>
          <t>DeviceFamilyID</t>
        </is>
      </c>
      <c r="G1314" t="inlineStr">
        <is>
          <t>DF060</t>
        </is>
      </c>
      <c r="H1314" t="inlineStr">
        <is>
          <t>tblDeviceFamilyIDCrosswalk</t>
        </is>
      </c>
      <c r="I1314" t="inlineStr"/>
      <c r="J1314" t="inlineStr">
        <is>
          <t>tblDeviceModel</t>
        </is>
      </c>
      <c r="K1314" t="inlineStr">
        <is>
          <t>Exact ID</t>
        </is>
      </c>
      <c r="L1314" t="inlineStr">
        <is>
          <t>Crosswalk Pending</t>
        </is>
      </c>
      <c r="M1314" t="inlineStr">
        <is>
          <t>Open</t>
        </is>
      </c>
      <c r="N1314" t="inlineStr"/>
    </row>
    <row r="1315">
      <c r="A1315" t="inlineStr">
        <is>
          <t>FKEX01314</t>
        </is>
      </c>
      <c r="B1315" t="inlineStr">
        <is>
          <t>15 LL_Device</t>
        </is>
      </c>
      <c r="C1315" t="inlineStr">
        <is>
          <t>tblDeviceModel</t>
        </is>
      </c>
      <c r="D1315" t="n">
        <v>439</v>
      </c>
      <c r="E1315" t="inlineStr">
        <is>
          <t>MOD000436</t>
        </is>
      </c>
      <c r="F1315" t="inlineStr">
        <is>
          <t>DeviceTypeID</t>
        </is>
      </c>
      <c r="G1315" t="inlineStr">
        <is>
          <t>DT001</t>
        </is>
      </c>
      <c r="H1315" t="inlineStr">
        <is>
          <t>tblDeviceTypeIDCrosswalk</t>
        </is>
      </c>
      <c r="I1315" t="inlineStr"/>
      <c r="J1315" t="inlineStr">
        <is>
          <t>No Supported Match</t>
        </is>
      </c>
      <c r="K1315" t="inlineStr">
        <is>
          <t>None</t>
        </is>
      </c>
      <c r="L1315" t="inlineStr">
        <is>
          <t>Crosswalk Pending</t>
        </is>
      </c>
      <c r="M1315" t="inlineStr">
        <is>
          <t>Open</t>
        </is>
      </c>
      <c r="N1315" t="inlineStr"/>
    </row>
    <row r="1316">
      <c r="A1316" t="inlineStr">
        <is>
          <t>FKEX01315</t>
        </is>
      </c>
      <c r="B1316" t="inlineStr">
        <is>
          <t>15 LL_Device</t>
        </is>
      </c>
      <c r="C1316" t="inlineStr">
        <is>
          <t>tblDeviceModel</t>
        </is>
      </c>
      <c r="D1316" t="n">
        <v>440</v>
      </c>
      <c r="E1316" t="inlineStr">
        <is>
          <t>MOD000437</t>
        </is>
      </c>
      <c r="F1316" t="inlineStr">
        <is>
          <t>ManufacturerID</t>
        </is>
      </c>
      <c r="G1316" t="inlineStr">
        <is>
          <t>MFG006</t>
        </is>
      </c>
      <c r="H1316" t="inlineStr">
        <is>
          <t>tblManufacturerIDCrosswalk</t>
        </is>
      </c>
      <c r="I1316" t="inlineStr"/>
      <c r="J1316" t="inlineStr">
        <is>
          <t>No Supported Match</t>
        </is>
      </c>
      <c r="K1316" t="inlineStr">
        <is>
          <t>None</t>
        </is>
      </c>
      <c r="L1316" t="inlineStr">
        <is>
          <t>Crosswalk Pending</t>
        </is>
      </c>
      <c r="M1316" t="inlineStr">
        <is>
          <t>Open</t>
        </is>
      </c>
      <c r="N1316" t="inlineStr"/>
    </row>
    <row r="1317">
      <c r="A1317" t="inlineStr">
        <is>
          <t>FKEX01316</t>
        </is>
      </c>
      <c r="B1317" t="inlineStr">
        <is>
          <t>15 LL_Device</t>
        </is>
      </c>
      <c r="C1317" t="inlineStr">
        <is>
          <t>tblDeviceModel</t>
        </is>
      </c>
      <c r="D1317" t="n">
        <v>440</v>
      </c>
      <c r="E1317" t="inlineStr">
        <is>
          <t>MOD000437</t>
        </is>
      </c>
      <c r="F1317" t="inlineStr">
        <is>
          <t>DeviceFamilyID</t>
        </is>
      </c>
      <c r="G1317" t="inlineStr">
        <is>
          <t>DF060</t>
        </is>
      </c>
      <c r="H1317" t="inlineStr">
        <is>
          <t>tblDeviceFamilyIDCrosswalk</t>
        </is>
      </c>
      <c r="I1317" t="inlineStr"/>
      <c r="J1317" t="inlineStr">
        <is>
          <t>tblDeviceModel</t>
        </is>
      </c>
      <c r="K1317" t="inlineStr">
        <is>
          <t>Exact ID</t>
        </is>
      </c>
      <c r="L1317" t="inlineStr">
        <is>
          <t>Crosswalk Pending</t>
        </is>
      </c>
      <c r="M1317" t="inlineStr">
        <is>
          <t>Open</t>
        </is>
      </c>
      <c r="N1317" t="inlineStr"/>
    </row>
    <row r="1318">
      <c r="A1318" t="inlineStr">
        <is>
          <t>FKEX01317</t>
        </is>
      </c>
      <c r="B1318" t="inlineStr">
        <is>
          <t>15 LL_Device</t>
        </is>
      </c>
      <c r="C1318" t="inlineStr">
        <is>
          <t>tblDeviceModel</t>
        </is>
      </c>
      <c r="D1318" t="n">
        <v>440</v>
      </c>
      <c r="E1318" t="inlineStr">
        <is>
          <t>MOD000437</t>
        </is>
      </c>
      <c r="F1318" t="inlineStr">
        <is>
          <t>DeviceTypeID</t>
        </is>
      </c>
      <c r="G1318" t="inlineStr">
        <is>
          <t>DT001</t>
        </is>
      </c>
      <c r="H1318" t="inlineStr">
        <is>
          <t>tblDeviceTypeIDCrosswalk</t>
        </is>
      </c>
      <c r="I1318" t="inlineStr"/>
      <c r="J1318" t="inlineStr">
        <is>
          <t>No Supported Match</t>
        </is>
      </c>
      <c r="K1318" t="inlineStr">
        <is>
          <t>None</t>
        </is>
      </c>
      <c r="L1318" t="inlineStr">
        <is>
          <t>Crosswalk Pending</t>
        </is>
      </c>
      <c r="M1318" t="inlineStr">
        <is>
          <t>Open</t>
        </is>
      </c>
      <c r="N1318" t="inlineStr"/>
    </row>
    <row r="1319">
      <c r="A1319" t="inlineStr">
        <is>
          <t>FKEX01318</t>
        </is>
      </c>
      <c r="B1319" t="inlineStr">
        <is>
          <t>15 LL_Device</t>
        </is>
      </c>
      <c r="C1319" t="inlineStr">
        <is>
          <t>tblDeviceModel</t>
        </is>
      </c>
      <c r="D1319" t="n">
        <v>441</v>
      </c>
      <c r="E1319" t="inlineStr">
        <is>
          <t>MOD000438</t>
        </is>
      </c>
      <c r="F1319" t="inlineStr">
        <is>
          <t>ManufacturerID</t>
        </is>
      </c>
      <c r="G1319" t="inlineStr">
        <is>
          <t>MFG006</t>
        </is>
      </c>
      <c r="H1319" t="inlineStr">
        <is>
          <t>tblManufacturerIDCrosswalk</t>
        </is>
      </c>
      <c r="I1319" t="inlineStr"/>
      <c r="J1319" t="inlineStr">
        <is>
          <t>No Supported Match</t>
        </is>
      </c>
      <c r="K1319" t="inlineStr">
        <is>
          <t>None</t>
        </is>
      </c>
      <c r="L1319" t="inlineStr">
        <is>
          <t>Crosswalk Pending</t>
        </is>
      </c>
      <c r="M1319" t="inlineStr">
        <is>
          <t>Open</t>
        </is>
      </c>
      <c r="N1319" t="inlineStr"/>
    </row>
    <row r="1320">
      <c r="A1320" t="inlineStr">
        <is>
          <t>FKEX01319</t>
        </is>
      </c>
      <c r="B1320" t="inlineStr">
        <is>
          <t>15 LL_Device</t>
        </is>
      </c>
      <c r="C1320" t="inlineStr">
        <is>
          <t>tblDeviceModel</t>
        </is>
      </c>
      <c r="D1320" t="n">
        <v>441</v>
      </c>
      <c r="E1320" t="inlineStr">
        <is>
          <t>MOD000438</t>
        </is>
      </c>
      <c r="F1320" t="inlineStr">
        <is>
          <t>DeviceFamilyID</t>
        </is>
      </c>
      <c r="G1320" t="inlineStr">
        <is>
          <t>DF060</t>
        </is>
      </c>
      <c r="H1320" t="inlineStr">
        <is>
          <t>tblDeviceFamilyIDCrosswalk</t>
        </is>
      </c>
      <c r="I1320" t="inlineStr"/>
      <c r="J1320" t="inlineStr">
        <is>
          <t>tblDeviceModel</t>
        </is>
      </c>
      <c r="K1320" t="inlineStr">
        <is>
          <t>Exact ID</t>
        </is>
      </c>
      <c r="L1320" t="inlineStr">
        <is>
          <t>Crosswalk Pending</t>
        </is>
      </c>
      <c r="M1320" t="inlineStr">
        <is>
          <t>Open</t>
        </is>
      </c>
      <c r="N1320" t="inlineStr"/>
    </row>
    <row r="1321">
      <c r="A1321" t="inlineStr">
        <is>
          <t>FKEX01320</t>
        </is>
      </c>
      <c r="B1321" t="inlineStr">
        <is>
          <t>15 LL_Device</t>
        </is>
      </c>
      <c r="C1321" t="inlineStr">
        <is>
          <t>tblDeviceModel</t>
        </is>
      </c>
      <c r="D1321" t="n">
        <v>441</v>
      </c>
      <c r="E1321" t="inlineStr">
        <is>
          <t>MOD000438</t>
        </is>
      </c>
      <c r="F1321" t="inlineStr">
        <is>
          <t>DeviceTypeID</t>
        </is>
      </c>
      <c r="G1321" t="inlineStr">
        <is>
          <t>DT001</t>
        </is>
      </c>
      <c r="H1321" t="inlineStr">
        <is>
          <t>tblDeviceTypeIDCrosswalk</t>
        </is>
      </c>
      <c r="I1321" t="inlineStr"/>
      <c r="J1321" t="inlineStr">
        <is>
          <t>No Supported Match</t>
        </is>
      </c>
      <c r="K1321" t="inlineStr">
        <is>
          <t>None</t>
        </is>
      </c>
      <c r="L1321" t="inlineStr">
        <is>
          <t>Crosswalk Pending</t>
        </is>
      </c>
      <c r="M1321" t="inlineStr">
        <is>
          <t>Open</t>
        </is>
      </c>
      <c r="N1321" t="inlineStr"/>
    </row>
    <row r="1322">
      <c r="A1322" t="inlineStr">
        <is>
          <t>FKEX01321</t>
        </is>
      </c>
      <c r="B1322" t="inlineStr">
        <is>
          <t>15 LL_Device</t>
        </is>
      </c>
      <c r="C1322" t="inlineStr">
        <is>
          <t>tblDeviceModel</t>
        </is>
      </c>
      <c r="D1322" t="n">
        <v>442</v>
      </c>
      <c r="E1322" t="inlineStr">
        <is>
          <t>MOD000439</t>
        </is>
      </c>
      <c r="F1322" t="inlineStr">
        <is>
          <t>ManufacturerID</t>
        </is>
      </c>
      <c r="G1322" t="inlineStr">
        <is>
          <t>MFG006</t>
        </is>
      </c>
      <c r="H1322" t="inlineStr">
        <is>
          <t>tblManufacturerIDCrosswalk</t>
        </is>
      </c>
      <c r="I1322" t="inlineStr"/>
      <c r="J1322" t="inlineStr">
        <is>
          <t>No Supported Match</t>
        </is>
      </c>
      <c r="K1322" t="inlineStr">
        <is>
          <t>None</t>
        </is>
      </c>
      <c r="L1322" t="inlineStr">
        <is>
          <t>Crosswalk Pending</t>
        </is>
      </c>
      <c r="M1322" t="inlineStr">
        <is>
          <t>Open</t>
        </is>
      </c>
      <c r="N1322" t="inlineStr"/>
    </row>
    <row r="1323">
      <c r="A1323" t="inlineStr">
        <is>
          <t>FKEX01322</t>
        </is>
      </c>
      <c r="B1323" t="inlineStr">
        <is>
          <t>15 LL_Device</t>
        </is>
      </c>
      <c r="C1323" t="inlineStr">
        <is>
          <t>tblDeviceModel</t>
        </is>
      </c>
      <c r="D1323" t="n">
        <v>442</v>
      </c>
      <c r="E1323" t="inlineStr">
        <is>
          <t>MOD000439</t>
        </is>
      </c>
      <c r="F1323" t="inlineStr">
        <is>
          <t>DeviceFamilyID</t>
        </is>
      </c>
      <c r="G1323" t="inlineStr">
        <is>
          <t>DF061</t>
        </is>
      </c>
      <c r="H1323" t="inlineStr">
        <is>
          <t>tblDeviceFamilyIDCrosswalk</t>
        </is>
      </c>
      <c r="I1323" t="inlineStr"/>
      <c r="J1323" t="inlineStr">
        <is>
          <t>tblDeviceModel</t>
        </is>
      </c>
      <c r="K1323" t="inlineStr">
        <is>
          <t>Exact ID</t>
        </is>
      </c>
      <c r="L1323" t="inlineStr">
        <is>
          <t>Crosswalk Pending</t>
        </is>
      </c>
      <c r="M1323" t="inlineStr">
        <is>
          <t>Open</t>
        </is>
      </c>
      <c r="N1323" t="inlineStr"/>
    </row>
    <row r="1324">
      <c r="A1324" t="inlineStr">
        <is>
          <t>FKEX01323</t>
        </is>
      </c>
      <c r="B1324" t="inlineStr">
        <is>
          <t>15 LL_Device</t>
        </is>
      </c>
      <c r="C1324" t="inlineStr">
        <is>
          <t>tblDeviceModel</t>
        </is>
      </c>
      <c r="D1324" t="n">
        <v>442</v>
      </c>
      <c r="E1324" t="inlineStr">
        <is>
          <t>MOD000439</t>
        </is>
      </c>
      <c r="F1324" t="inlineStr">
        <is>
          <t>DeviceTypeID</t>
        </is>
      </c>
      <c r="G1324" t="inlineStr">
        <is>
          <t>DT001</t>
        </is>
      </c>
      <c r="H1324" t="inlineStr">
        <is>
          <t>tblDeviceTypeIDCrosswalk</t>
        </is>
      </c>
      <c r="I1324" t="inlineStr"/>
      <c r="J1324" t="inlineStr">
        <is>
          <t>No Supported Match</t>
        </is>
      </c>
      <c r="K1324" t="inlineStr">
        <is>
          <t>None</t>
        </is>
      </c>
      <c r="L1324" t="inlineStr">
        <is>
          <t>Crosswalk Pending</t>
        </is>
      </c>
      <c r="M1324" t="inlineStr">
        <is>
          <t>Open</t>
        </is>
      </c>
      <c r="N1324" t="inlineStr"/>
    </row>
    <row r="1325">
      <c r="A1325" t="inlineStr">
        <is>
          <t>FKEX01324</t>
        </is>
      </c>
      <c r="B1325" t="inlineStr">
        <is>
          <t>15 LL_Device</t>
        </is>
      </c>
      <c r="C1325" t="inlineStr">
        <is>
          <t>tblDeviceModel</t>
        </is>
      </c>
      <c r="D1325" t="n">
        <v>443</v>
      </c>
      <c r="E1325" t="inlineStr">
        <is>
          <t>MOD000440</t>
        </is>
      </c>
      <c r="F1325" t="inlineStr">
        <is>
          <t>ManufacturerID</t>
        </is>
      </c>
      <c r="G1325" t="inlineStr">
        <is>
          <t>MFG006</t>
        </is>
      </c>
      <c r="H1325" t="inlineStr">
        <is>
          <t>tblManufacturerIDCrosswalk</t>
        </is>
      </c>
      <c r="I1325" t="inlineStr"/>
      <c r="J1325" t="inlineStr">
        <is>
          <t>No Supported Match</t>
        </is>
      </c>
      <c r="K1325" t="inlineStr">
        <is>
          <t>None</t>
        </is>
      </c>
      <c r="L1325" t="inlineStr">
        <is>
          <t>Crosswalk Pending</t>
        </is>
      </c>
      <c r="M1325" t="inlineStr">
        <is>
          <t>Open</t>
        </is>
      </c>
      <c r="N1325" t="inlineStr"/>
    </row>
    <row r="1326">
      <c r="A1326" t="inlineStr">
        <is>
          <t>FKEX01325</t>
        </is>
      </c>
      <c r="B1326" t="inlineStr">
        <is>
          <t>15 LL_Device</t>
        </is>
      </c>
      <c r="C1326" t="inlineStr">
        <is>
          <t>tblDeviceModel</t>
        </is>
      </c>
      <c r="D1326" t="n">
        <v>443</v>
      </c>
      <c r="E1326" t="inlineStr">
        <is>
          <t>MOD000440</t>
        </is>
      </c>
      <c r="F1326" t="inlineStr">
        <is>
          <t>DeviceFamilyID</t>
        </is>
      </c>
      <c r="G1326" t="inlineStr">
        <is>
          <t>DF061</t>
        </is>
      </c>
      <c r="H1326" t="inlineStr">
        <is>
          <t>tblDeviceFamilyIDCrosswalk</t>
        </is>
      </c>
      <c r="I1326" t="inlineStr"/>
      <c r="J1326" t="inlineStr">
        <is>
          <t>tblDeviceModel</t>
        </is>
      </c>
      <c r="K1326" t="inlineStr">
        <is>
          <t>Exact ID</t>
        </is>
      </c>
      <c r="L1326" t="inlineStr">
        <is>
          <t>Crosswalk Pending</t>
        </is>
      </c>
      <c r="M1326" t="inlineStr">
        <is>
          <t>Open</t>
        </is>
      </c>
      <c r="N1326" t="inlineStr"/>
    </row>
    <row r="1327">
      <c r="A1327" t="inlineStr">
        <is>
          <t>FKEX01326</t>
        </is>
      </c>
      <c r="B1327" t="inlineStr">
        <is>
          <t>15 LL_Device</t>
        </is>
      </c>
      <c r="C1327" t="inlineStr">
        <is>
          <t>tblDeviceModel</t>
        </is>
      </c>
      <c r="D1327" t="n">
        <v>443</v>
      </c>
      <c r="E1327" t="inlineStr">
        <is>
          <t>MOD000440</t>
        </is>
      </c>
      <c r="F1327" t="inlineStr">
        <is>
          <t>DeviceTypeID</t>
        </is>
      </c>
      <c r="G1327" t="inlineStr">
        <is>
          <t>DT001</t>
        </is>
      </c>
      <c r="H1327" t="inlineStr">
        <is>
          <t>tblDeviceTypeIDCrosswalk</t>
        </is>
      </c>
      <c r="I1327" t="inlineStr"/>
      <c r="J1327" t="inlineStr">
        <is>
          <t>No Supported Match</t>
        </is>
      </c>
      <c r="K1327" t="inlineStr">
        <is>
          <t>None</t>
        </is>
      </c>
      <c r="L1327" t="inlineStr">
        <is>
          <t>Crosswalk Pending</t>
        </is>
      </c>
      <c r="M1327" t="inlineStr">
        <is>
          <t>Open</t>
        </is>
      </c>
      <c r="N1327" t="inlineStr"/>
    </row>
    <row r="1328">
      <c r="A1328" t="inlineStr">
        <is>
          <t>FKEX01327</t>
        </is>
      </c>
      <c r="B1328" t="inlineStr">
        <is>
          <t>15 LL_Device</t>
        </is>
      </c>
      <c r="C1328" t="inlineStr">
        <is>
          <t>tblDeviceModel</t>
        </is>
      </c>
      <c r="D1328" t="n">
        <v>444</v>
      </c>
      <c r="E1328" t="inlineStr">
        <is>
          <t>MOD000441</t>
        </is>
      </c>
      <c r="F1328" t="inlineStr">
        <is>
          <t>ManufacturerID</t>
        </is>
      </c>
      <c r="G1328" t="inlineStr">
        <is>
          <t>MFG006</t>
        </is>
      </c>
      <c r="H1328" t="inlineStr">
        <is>
          <t>tblManufacturerIDCrosswalk</t>
        </is>
      </c>
      <c r="I1328" t="inlineStr"/>
      <c r="J1328" t="inlineStr">
        <is>
          <t>No Supported Match</t>
        </is>
      </c>
      <c r="K1328" t="inlineStr">
        <is>
          <t>None</t>
        </is>
      </c>
      <c r="L1328" t="inlineStr">
        <is>
          <t>Crosswalk Pending</t>
        </is>
      </c>
      <c r="M1328" t="inlineStr">
        <is>
          <t>Open</t>
        </is>
      </c>
      <c r="N1328" t="inlineStr"/>
    </row>
    <row r="1329">
      <c r="A1329" t="inlineStr">
        <is>
          <t>FKEX01328</t>
        </is>
      </c>
      <c r="B1329" t="inlineStr">
        <is>
          <t>15 LL_Device</t>
        </is>
      </c>
      <c r="C1329" t="inlineStr">
        <is>
          <t>tblDeviceModel</t>
        </is>
      </c>
      <c r="D1329" t="n">
        <v>444</v>
      </c>
      <c r="E1329" t="inlineStr">
        <is>
          <t>MOD000441</t>
        </is>
      </c>
      <c r="F1329" t="inlineStr">
        <is>
          <t>DeviceFamilyID</t>
        </is>
      </c>
      <c r="G1329" t="inlineStr">
        <is>
          <t>DF061</t>
        </is>
      </c>
      <c r="H1329" t="inlineStr">
        <is>
          <t>tblDeviceFamilyIDCrosswalk</t>
        </is>
      </c>
      <c r="I1329" t="inlineStr"/>
      <c r="J1329" t="inlineStr">
        <is>
          <t>tblDeviceModel</t>
        </is>
      </c>
      <c r="K1329" t="inlineStr">
        <is>
          <t>Exact ID</t>
        </is>
      </c>
      <c r="L1329" t="inlineStr">
        <is>
          <t>Crosswalk Pending</t>
        </is>
      </c>
      <c r="M1329" t="inlineStr">
        <is>
          <t>Open</t>
        </is>
      </c>
      <c r="N1329" t="inlineStr"/>
    </row>
    <row r="1330">
      <c r="A1330" t="inlineStr">
        <is>
          <t>FKEX01329</t>
        </is>
      </c>
      <c r="B1330" t="inlineStr">
        <is>
          <t>15 LL_Device</t>
        </is>
      </c>
      <c r="C1330" t="inlineStr">
        <is>
          <t>tblDeviceModel</t>
        </is>
      </c>
      <c r="D1330" t="n">
        <v>444</v>
      </c>
      <c r="E1330" t="inlineStr">
        <is>
          <t>MOD000441</t>
        </is>
      </c>
      <c r="F1330" t="inlineStr">
        <is>
          <t>DeviceTypeID</t>
        </is>
      </c>
      <c r="G1330" t="inlineStr">
        <is>
          <t>DT001</t>
        </is>
      </c>
      <c r="H1330" t="inlineStr">
        <is>
          <t>tblDeviceTypeIDCrosswalk</t>
        </is>
      </c>
      <c r="I1330" t="inlineStr"/>
      <c r="J1330" t="inlineStr">
        <is>
          <t>No Supported Match</t>
        </is>
      </c>
      <c r="K1330" t="inlineStr">
        <is>
          <t>None</t>
        </is>
      </c>
      <c r="L1330" t="inlineStr">
        <is>
          <t>Crosswalk Pending</t>
        </is>
      </c>
      <c r="M1330" t="inlineStr">
        <is>
          <t>Open</t>
        </is>
      </c>
      <c r="N1330" t="inlineStr"/>
    </row>
    <row r="1331">
      <c r="A1331" t="inlineStr">
        <is>
          <t>FKEX01330</t>
        </is>
      </c>
      <c r="B1331" t="inlineStr">
        <is>
          <t>15 LL_Device</t>
        </is>
      </c>
      <c r="C1331" t="inlineStr">
        <is>
          <t>tblDeviceModel</t>
        </is>
      </c>
      <c r="D1331" t="n">
        <v>445</v>
      </c>
      <c r="E1331" t="inlineStr">
        <is>
          <t>MOD000442</t>
        </is>
      </c>
      <c r="F1331" t="inlineStr">
        <is>
          <t>ManufacturerID</t>
        </is>
      </c>
      <c r="G1331" t="inlineStr">
        <is>
          <t>MFG006</t>
        </is>
      </c>
      <c r="H1331" t="inlineStr">
        <is>
          <t>tblManufacturerIDCrosswalk</t>
        </is>
      </c>
      <c r="I1331" t="inlineStr"/>
      <c r="J1331" t="inlineStr">
        <is>
          <t>No Supported Match</t>
        </is>
      </c>
      <c r="K1331" t="inlineStr">
        <is>
          <t>None</t>
        </is>
      </c>
      <c r="L1331" t="inlineStr">
        <is>
          <t>Crosswalk Pending</t>
        </is>
      </c>
      <c r="M1331" t="inlineStr">
        <is>
          <t>Open</t>
        </is>
      </c>
      <c r="N1331" t="inlineStr"/>
    </row>
    <row r="1332">
      <c r="A1332" t="inlineStr">
        <is>
          <t>FKEX01331</t>
        </is>
      </c>
      <c r="B1332" t="inlineStr">
        <is>
          <t>15 LL_Device</t>
        </is>
      </c>
      <c r="C1332" t="inlineStr">
        <is>
          <t>tblDeviceModel</t>
        </is>
      </c>
      <c r="D1332" t="n">
        <v>445</v>
      </c>
      <c r="E1332" t="inlineStr">
        <is>
          <t>MOD000442</t>
        </is>
      </c>
      <c r="F1332" t="inlineStr">
        <is>
          <t>DeviceFamilyID</t>
        </is>
      </c>
      <c r="G1332" t="inlineStr">
        <is>
          <t>DF061</t>
        </is>
      </c>
      <c r="H1332" t="inlineStr">
        <is>
          <t>tblDeviceFamilyIDCrosswalk</t>
        </is>
      </c>
      <c r="I1332" t="inlineStr"/>
      <c r="J1332" t="inlineStr">
        <is>
          <t>tblDeviceModel</t>
        </is>
      </c>
      <c r="K1332" t="inlineStr">
        <is>
          <t>Exact ID</t>
        </is>
      </c>
      <c r="L1332" t="inlineStr">
        <is>
          <t>Crosswalk Pending</t>
        </is>
      </c>
      <c r="M1332" t="inlineStr">
        <is>
          <t>Open</t>
        </is>
      </c>
      <c r="N1332" t="inlineStr"/>
    </row>
    <row r="1333">
      <c r="A1333" t="inlineStr">
        <is>
          <t>FKEX01332</t>
        </is>
      </c>
      <c r="B1333" t="inlineStr">
        <is>
          <t>15 LL_Device</t>
        </is>
      </c>
      <c r="C1333" t="inlineStr">
        <is>
          <t>tblDeviceModel</t>
        </is>
      </c>
      <c r="D1333" t="n">
        <v>445</v>
      </c>
      <c r="E1333" t="inlineStr">
        <is>
          <t>MOD000442</t>
        </is>
      </c>
      <c r="F1333" t="inlineStr">
        <is>
          <t>DeviceTypeID</t>
        </is>
      </c>
      <c r="G1333" t="inlineStr">
        <is>
          <t>DT001</t>
        </is>
      </c>
      <c r="H1333" t="inlineStr">
        <is>
          <t>tblDeviceTypeIDCrosswalk</t>
        </is>
      </c>
      <c r="I1333" t="inlineStr"/>
      <c r="J1333" t="inlineStr">
        <is>
          <t>No Supported Match</t>
        </is>
      </c>
      <c r="K1333" t="inlineStr">
        <is>
          <t>None</t>
        </is>
      </c>
      <c r="L1333" t="inlineStr">
        <is>
          <t>Crosswalk Pending</t>
        </is>
      </c>
      <c r="M1333" t="inlineStr">
        <is>
          <t>Open</t>
        </is>
      </c>
      <c r="N1333" t="inlineStr"/>
    </row>
    <row r="1334">
      <c r="A1334" t="inlineStr">
        <is>
          <t>FKEX01333</t>
        </is>
      </c>
      <c r="B1334" t="inlineStr">
        <is>
          <t>15 LL_Device</t>
        </is>
      </c>
      <c r="C1334" t="inlineStr">
        <is>
          <t>tblDeviceModel</t>
        </is>
      </c>
      <c r="D1334" t="n">
        <v>446</v>
      </c>
      <c r="E1334" t="inlineStr">
        <is>
          <t>MOD000443</t>
        </is>
      </c>
      <c r="F1334" t="inlineStr">
        <is>
          <t>ManufacturerID</t>
        </is>
      </c>
      <c r="G1334" t="inlineStr">
        <is>
          <t>MFG006</t>
        </is>
      </c>
      <c r="H1334" t="inlineStr">
        <is>
          <t>tblManufacturerIDCrosswalk</t>
        </is>
      </c>
      <c r="I1334" t="inlineStr"/>
      <c r="J1334" t="inlineStr">
        <is>
          <t>No Supported Match</t>
        </is>
      </c>
      <c r="K1334" t="inlineStr">
        <is>
          <t>None</t>
        </is>
      </c>
      <c r="L1334" t="inlineStr">
        <is>
          <t>Crosswalk Pending</t>
        </is>
      </c>
      <c r="M1334" t="inlineStr">
        <is>
          <t>Open</t>
        </is>
      </c>
      <c r="N1334" t="inlineStr"/>
    </row>
    <row r="1335">
      <c r="A1335" t="inlineStr">
        <is>
          <t>FKEX01334</t>
        </is>
      </c>
      <c r="B1335" t="inlineStr">
        <is>
          <t>15 LL_Device</t>
        </is>
      </c>
      <c r="C1335" t="inlineStr">
        <is>
          <t>tblDeviceModel</t>
        </is>
      </c>
      <c r="D1335" t="n">
        <v>446</v>
      </c>
      <c r="E1335" t="inlineStr">
        <is>
          <t>MOD000443</t>
        </is>
      </c>
      <c r="F1335" t="inlineStr">
        <is>
          <t>DeviceFamilyID</t>
        </is>
      </c>
      <c r="G1335" t="inlineStr">
        <is>
          <t>DF062</t>
        </is>
      </c>
      <c r="H1335" t="inlineStr">
        <is>
          <t>tblDeviceFamilyIDCrosswalk</t>
        </is>
      </c>
      <c r="I1335" t="inlineStr"/>
      <c r="J1335" t="inlineStr">
        <is>
          <t>tblDeviceModel</t>
        </is>
      </c>
      <c r="K1335" t="inlineStr">
        <is>
          <t>Exact ID</t>
        </is>
      </c>
      <c r="L1335" t="inlineStr">
        <is>
          <t>Crosswalk Pending</t>
        </is>
      </c>
      <c r="M1335" t="inlineStr">
        <is>
          <t>Open</t>
        </is>
      </c>
      <c r="N1335" t="inlineStr"/>
    </row>
    <row r="1336">
      <c r="A1336" t="inlineStr">
        <is>
          <t>FKEX01335</t>
        </is>
      </c>
      <c r="B1336" t="inlineStr">
        <is>
          <t>15 LL_Device</t>
        </is>
      </c>
      <c r="C1336" t="inlineStr">
        <is>
          <t>tblDeviceModel</t>
        </is>
      </c>
      <c r="D1336" t="n">
        <v>446</v>
      </c>
      <c r="E1336" t="inlineStr">
        <is>
          <t>MOD000443</t>
        </is>
      </c>
      <c r="F1336" t="inlineStr">
        <is>
          <t>DeviceTypeID</t>
        </is>
      </c>
      <c r="G1336" t="inlineStr">
        <is>
          <t>DT001</t>
        </is>
      </c>
      <c r="H1336" t="inlineStr">
        <is>
          <t>tblDeviceTypeIDCrosswalk</t>
        </is>
      </c>
      <c r="I1336" t="inlineStr"/>
      <c r="J1336" t="inlineStr">
        <is>
          <t>No Supported Match</t>
        </is>
      </c>
      <c r="K1336" t="inlineStr">
        <is>
          <t>None</t>
        </is>
      </c>
      <c r="L1336" t="inlineStr">
        <is>
          <t>Crosswalk Pending</t>
        </is>
      </c>
      <c r="M1336" t="inlineStr">
        <is>
          <t>Open</t>
        </is>
      </c>
      <c r="N1336" t="inlineStr"/>
    </row>
    <row r="1337">
      <c r="A1337" t="inlineStr">
        <is>
          <t>FKEX01336</t>
        </is>
      </c>
      <c r="B1337" t="inlineStr">
        <is>
          <t>15 LL_Device</t>
        </is>
      </c>
      <c r="C1337" t="inlineStr">
        <is>
          <t>tblDeviceModel</t>
        </is>
      </c>
      <c r="D1337" t="n">
        <v>447</v>
      </c>
      <c r="E1337" t="inlineStr">
        <is>
          <t>MOD000444</t>
        </is>
      </c>
      <c r="F1337" t="inlineStr">
        <is>
          <t>ManufacturerID</t>
        </is>
      </c>
      <c r="G1337" t="inlineStr">
        <is>
          <t>MFG006</t>
        </is>
      </c>
      <c r="H1337" t="inlineStr">
        <is>
          <t>tblManufacturerIDCrosswalk</t>
        </is>
      </c>
      <c r="I1337" t="inlineStr"/>
      <c r="J1337" t="inlineStr">
        <is>
          <t>No Supported Match</t>
        </is>
      </c>
      <c r="K1337" t="inlineStr">
        <is>
          <t>None</t>
        </is>
      </c>
      <c r="L1337" t="inlineStr">
        <is>
          <t>Crosswalk Pending</t>
        </is>
      </c>
      <c r="M1337" t="inlineStr">
        <is>
          <t>Open</t>
        </is>
      </c>
      <c r="N1337" t="inlineStr"/>
    </row>
    <row r="1338">
      <c r="A1338" t="inlineStr">
        <is>
          <t>FKEX01337</t>
        </is>
      </c>
      <c r="B1338" t="inlineStr">
        <is>
          <t>15 LL_Device</t>
        </is>
      </c>
      <c r="C1338" t="inlineStr">
        <is>
          <t>tblDeviceModel</t>
        </is>
      </c>
      <c r="D1338" t="n">
        <v>447</v>
      </c>
      <c r="E1338" t="inlineStr">
        <is>
          <t>MOD000444</t>
        </is>
      </c>
      <c r="F1338" t="inlineStr">
        <is>
          <t>DeviceFamilyID</t>
        </is>
      </c>
      <c r="G1338" t="inlineStr">
        <is>
          <t>DF062</t>
        </is>
      </c>
      <c r="H1338" t="inlineStr">
        <is>
          <t>tblDeviceFamilyIDCrosswalk</t>
        </is>
      </c>
      <c r="I1338" t="inlineStr"/>
      <c r="J1338" t="inlineStr">
        <is>
          <t>tblDeviceModel</t>
        </is>
      </c>
      <c r="K1338" t="inlineStr">
        <is>
          <t>Exact ID</t>
        </is>
      </c>
      <c r="L1338" t="inlineStr">
        <is>
          <t>Crosswalk Pending</t>
        </is>
      </c>
      <c r="M1338" t="inlineStr">
        <is>
          <t>Open</t>
        </is>
      </c>
      <c r="N1338" t="inlineStr"/>
    </row>
    <row r="1339">
      <c r="A1339" t="inlineStr">
        <is>
          <t>FKEX01338</t>
        </is>
      </c>
      <c r="B1339" t="inlineStr">
        <is>
          <t>15 LL_Device</t>
        </is>
      </c>
      <c r="C1339" t="inlineStr">
        <is>
          <t>tblDeviceModel</t>
        </is>
      </c>
      <c r="D1339" t="n">
        <v>447</v>
      </c>
      <c r="E1339" t="inlineStr">
        <is>
          <t>MOD000444</t>
        </is>
      </c>
      <c r="F1339" t="inlineStr">
        <is>
          <t>DeviceTypeID</t>
        </is>
      </c>
      <c r="G1339" t="inlineStr">
        <is>
          <t>DT001</t>
        </is>
      </c>
      <c r="H1339" t="inlineStr">
        <is>
          <t>tblDeviceTypeIDCrosswalk</t>
        </is>
      </c>
      <c r="I1339" t="inlineStr"/>
      <c r="J1339" t="inlineStr">
        <is>
          <t>No Supported Match</t>
        </is>
      </c>
      <c r="K1339" t="inlineStr">
        <is>
          <t>None</t>
        </is>
      </c>
      <c r="L1339" t="inlineStr">
        <is>
          <t>Crosswalk Pending</t>
        </is>
      </c>
      <c r="M1339" t="inlineStr">
        <is>
          <t>Open</t>
        </is>
      </c>
      <c r="N1339" t="inlineStr"/>
    </row>
    <row r="1340">
      <c r="A1340" t="inlineStr">
        <is>
          <t>FKEX01339</t>
        </is>
      </c>
      <c r="B1340" t="inlineStr">
        <is>
          <t>15 LL_Device</t>
        </is>
      </c>
      <c r="C1340" t="inlineStr">
        <is>
          <t>tblDeviceModel</t>
        </is>
      </c>
      <c r="D1340" t="n">
        <v>448</v>
      </c>
      <c r="E1340" t="inlineStr">
        <is>
          <t>MOD000445</t>
        </is>
      </c>
      <c r="F1340" t="inlineStr">
        <is>
          <t>ManufacturerID</t>
        </is>
      </c>
      <c r="G1340" t="inlineStr">
        <is>
          <t>MFG006</t>
        </is>
      </c>
      <c r="H1340" t="inlineStr">
        <is>
          <t>tblManufacturerIDCrosswalk</t>
        </is>
      </c>
      <c r="I1340" t="inlineStr"/>
      <c r="J1340" t="inlineStr">
        <is>
          <t>No Supported Match</t>
        </is>
      </c>
      <c r="K1340" t="inlineStr">
        <is>
          <t>None</t>
        </is>
      </c>
      <c r="L1340" t="inlineStr">
        <is>
          <t>Crosswalk Pending</t>
        </is>
      </c>
      <c r="M1340" t="inlineStr">
        <is>
          <t>Open</t>
        </is>
      </c>
      <c r="N1340" t="inlineStr"/>
    </row>
    <row r="1341">
      <c r="A1341" t="inlineStr">
        <is>
          <t>FKEX01340</t>
        </is>
      </c>
      <c r="B1341" t="inlineStr">
        <is>
          <t>15 LL_Device</t>
        </is>
      </c>
      <c r="C1341" t="inlineStr">
        <is>
          <t>tblDeviceModel</t>
        </is>
      </c>
      <c r="D1341" t="n">
        <v>448</v>
      </c>
      <c r="E1341" t="inlineStr">
        <is>
          <t>MOD000445</t>
        </is>
      </c>
      <c r="F1341" t="inlineStr">
        <is>
          <t>DeviceFamilyID</t>
        </is>
      </c>
      <c r="G1341" t="inlineStr">
        <is>
          <t>DF062</t>
        </is>
      </c>
      <c r="H1341" t="inlineStr">
        <is>
          <t>tblDeviceFamilyIDCrosswalk</t>
        </is>
      </c>
      <c r="I1341" t="inlineStr"/>
      <c r="J1341" t="inlineStr">
        <is>
          <t>tblDeviceModel</t>
        </is>
      </c>
      <c r="K1341" t="inlineStr">
        <is>
          <t>Exact ID</t>
        </is>
      </c>
      <c r="L1341" t="inlineStr">
        <is>
          <t>Crosswalk Pending</t>
        </is>
      </c>
      <c r="M1341" t="inlineStr">
        <is>
          <t>Open</t>
        </is>
      </c>
      <c r="N1341" t="inlineStr"/>
    </row>
    <row r="1342">
      <c r="A1342" t="inlineStr">
        <is>
          <t>FKEX01341</t>
        </is>
      </c>
      <c r="B1342" t="inlineStr">
        <is>
          <t>15 LL_Device</t>
        </is>
      </c>
      <c r="C1342" t="inlineStr">
        <is>
          <t>tblDeviceModel</t>
        </is>
      </c>
      <c r="D1342" t="n">
        <v>448</v>
      </c>
      <c r="E1342" t="inlineStr">
        <is>
          <t>MOD000445</t>
        </is>
      </c>
      <c r="F1342" t="inlineStr">
        <is>
          <t>DeviceTypeID</t>
        </is>
      </c>
      <c r="G1342" t="inlineStr">
        <is>
          <t>DT001</t>
        </is>
      </c>
      <c r="H1342" t="inlineStr">
        <is>
          <t>tblDeviceTypeIDCrosswalk</t>
        </is>
      </c>
      <c r="I1342" t="inlineStr"/>
      <c r="J1342" t="inlineStr">
        <is>
          <t>No Supported Match</t>
        </is>
      </c>
      <c r="K1342" t="inlineStr">
        <is>
          <t>None</t>
        </is>
      </c>
      <c r="L1342" t="inlineStr">
        <is>
          <t>Crosswalk Pending</t>
        </is>
      </c>
      <c r="M1342" t="inlineStr">
        <is>
          <t>Open</t>
        </is>
      </c>
      <c r="N1342" t="inlineStr"/>
    </row>
    <row r="1343">
      <c r="A1343" t="inlineStr">
        <is>
          <t>FKEX01342</t>
        </is>
      </c>
      <c r="B1343" t="inlineStr">
        <is>
          <t>15 LL_Device</t>
        </is>
      </c>
      <c r="C1343" t="inlineStr">
        <is>
          <t>tblDeviceModel</t>
        </is>
      </c>
      <c r="D1343" t="n">
        <v>449</v>
      </c>
      <c r="E1343" t="inlineStr">
        <is>
          <t>MOD000446</t>
        </is>
      </c>
      <c r="F1343" t="inlineStr">
        <is>
          <t>ManufacturerID</t>
        </is>
      </c>
      <c r="G1343" t="inlineStr">
        <is>
          <t>MFG006</t>
        </is>
      </c>
      <c r="H1343" t="inlineStr">
        <is>
          <t>tblManufacturerIDCrosswalk</t>
        </is>
      </c>
      <c r="I1343" t="inlineStr"/>
      <c r="J1343" t="inlineStr">
        <is>
          <t>No Supported Match</t>
        </is>
      </c>
      <c r="K1343" t="inlineStr">
        <is>
          <t>None</t>
        </is>
      </c>
      <c r="L1343" t="inlineStr">
        <is>
          <t>Crosswalk Pending</t>
        </is>
      </c>
      <c r="M1343" t="inlineStr">
        <is>
          <t>Open</t>
        </is>
      </c>
      <c r="N1343" t="inlineStr"/>
    </row>
    <row r="1344">
      <c r="A1344" t="inlineStr">
        <is>
          <t>FKEX01343</t>
        </is>
      </c>
      <c r="B1344" t="inlineStr">
        <is>
          <t>15 LL_Device</t>
        </is>
      </c>
      <c r="C1344" t="inlineStr">
        <is>
          <t>tblDeviceModel</t>
        </is>
      </c>
      <c r="D1344" t="n">
        <v>449</v>
      </c>
      <c r="E1344" t="inlineStr">
        <is>
          <t>MOD000446</t>
        </is>
      </c>
      <c r="F1344" t="inlineStr">
        <is>
          <t>DeviceFamilyID</t>
        </is>
      </c>
      <c r="G1344" t="inlineStr">
        <is>
          <t>DF062</t>
        </is>
      </c>
      <c r="H1344" t="inlineStr">
        <is>
          <t>tblDeviceFamilyIDCrosswalk</t>
        </is>
      </c>
      <c r="I1344" t="inlineStr"/>
      <c r="J1344" t="inlineStr">
        <is>
          <t>tblDeviceModel</t>
        </is>
      </c>
      <c r="K1344" t="inlineStr">
        <is>
          <t>Exact ID</t>
        </is>
      </c>
      <c r="L1344" t="inlineStr">
        <is>
          <t>Crosswalk Pending</t>
        </is>
      </c>
      <c r="M1344" t="inlineStr">
        <is>
          <t>Open</t>
        </is>
      </c>
      <c r="N1344" t="inlineStr"/>
    </row>
    <row r="1345">
      <c r="A1345" t="inlineStr">
        <is>
          <t>FKEX01344</t>
        </is>
      </c>
      <c r="B1345" t="inlineStr">
        <is>
          <t>15 LL_Device</t>
        </is>
      </c>
      <c r="C1345" t="inlineStr">
        <is>
          <t>tblDeviceModel</t>
        </is>
      </c>
      <c r="D1345" t="n">
        <v>449</v>
      </c>
      <c r="E1345" t="inlineStr">
        <is>
          <t>MOD000446</t>
        </is>
      </c>
      <c r="F1345" t="inlineStr">
        <is>
          <t>DeviceTypeID</t>
        </is>
      </c>
      <c r="G1345" t="inlineStr">
        <is>
          <t>DT001</t>
        </is>
      </c>
      <c r="H1345" t="inlineStr">
        <is>
          <t>tblDeviceTypeIDCrosswalk</t>
        </is>
      </c>
      <c r="I1345" t="inlineStr"/>
      <c r="J1345" t="inlineStr">
        <is>
          <t>No Supported Match</t>
        </is>
      </c>
      <c r="K1345" t="inlineStr">
        <is>
          <t>None</t>
        </is>
      </c>
      <c r="L1345" t="inlineStr">
        <is>
          <t>Crosswalk Pending</t>
        </is>
      </c>
      <c r="M1345" t="inlineStr">
        <is>
          <t>Open</t>
        </is>
      </c>
      <c r="N1345" t="inlineStr"/>
    </row>
    <row r="1346">
      <c r="A1346" t="inlineStr">
        <is>
          <t>FKEX01345</t>
        </is>
      </c>
      <c r="B1346" t="inlineStr">
        <is>
          <t>15 LL_Device</t>
        </is>
      </c>
      <c r="C1346" t="inlineStr">
        <is>
          <t>tblDeviceModel</t>
        </is>
      </c>
      <c r="D1346" t="n">
        <v>450</v>
      </c>
      <c r="E1346" t="inlineStr">
        <is>
          <t>MOD000447</t>
        </is>
      </c>
      <c r="F1346" t="inlineStr">
        <is>
          <t>ManufacturerID</t>
        </is>
      </c>
      <c r="G1346" t="inlineStr">
        <is>
          <t>MFG006</t>
        </is>
      </c>
      <c r="H1346" t="inlineStr">
        <is>
          <t>tblManufacturerIDCrosswalk</t>
        </is>
      </c>
      <c r="I1346" t="inlineStr"/>
      <c r="J1346" t="inlineStr">
        <is>
          <t>No Supported Match</t>
        </is>
      </c>
      <c r="K1346" t="inlineStr">
        <is>
          <t>None</t>
        </is>
      </c>
      <c r="L1346" t="inlineStr">
        <is>
          <t>Crosswalk Pending</t>
        </is>
      </c>
      <c r="M1346" t="inlineStr">
        <is>
          <t>Open</t>
        </is>
      </c>
      <c r="N1346" t="inlineStr"/>
    </row>
    <row r="1347">
      <c r="A1347" t="inlineStr">
        <is>
          <t>FKEX01346</t>
        </is>
      </c>
      <c r="B1347" t="inlineStr">
        <is>
          <t>15 LL_Device</t>
        </is>
      </c>
      <c r="C1347" t="inlineStr">
        <is>
          <t>tblDeviceModel</t>
        </is>
      </c>
      <c r="D1347" t="n">
        <v>450</v>
      </c>
      <c r="E1347" t="inlineStr">
        <is>
          <t>MOD000447</t>
        </is>
      </c>
      <c r="F1347" t="inlineStr">
        <is>
          <t>DeviceFamilyID</t>
        </is>
      </c>
      <c r="G1347" t="inlineStr">
        <is>
          <t>DF062</t>
        </is>
      </c>
      <c r="H1347" t="inlineStr">
        <is>
          <t>tblDeviceFamilyIDCrosswalk</t>
        </is>
      </c>
      <c r="I1347" t="inlineStr"/>
      <c r="J1347" t="inlineStr">
        <is>
          <t>tblDeviceModel</t>
        </is>
      </c>
      <c r="K1347" t="inlineStr">
        <is>
          <t>Exact ID</t>
        </is>
      </c>
      <c r="L1347" t="inlineStr">
        <is>
          <t>Crosswalk Pending</t>
        </is>
      </c>
      <c r="M1347" t="inlineStr">
        <is>
          <t>Open</t>
        </is>
      </c>
      <c r="N1347" t="inlineStr"/>
    </row>
    <row r="1348">
      <c r="A1348" t="inlineStr">
        <is>
          <t>FKEX01347</t>
        </is>
      </c>
      <c r="B1348" t="inlineStr">
        <is>
          <t>15 LL_Device</t>
        </is>
      </c>
      <c r="C1348" t="inlineStr">
        <is>
          <t>tblDeviceModel</t>
        </is>
      </c>
      <c r="D1348" t="n">
        <v>450</v>
      </c>
      <c r="E1348" t="inlineStr">
        <is>
          <t>MOD000447</t>
        </is>
      </c>
      <c r="F1348" t="inlineStr">
        <is>
          <t>DeviceTypeID</t>
        </is>
      </c>
      <c r="G1348" t="inlineStr">
        <is>
          <t>DT001</t>
        </is>
      </c>
      <c r="H1348" t="inlineStr">
        <is>
          <t>tblDeviceTypeIDCrosswalk</t>
        </is>
      </c>
      <c r="I1348" t="inlineStr"/>
      <c r="J1348" t="inlineStr">
        <is>
          <t>No Supported Match</t>
        </is>
      </c>
      <c r="K1348" t="inlineStr">
        <is>
          <t>None</t>
        </is>
      </c>
      <c r="L1348" t="inlineStr">
        <is>
          <t>Crosswalk Pending</t>
        </is>
      </c>
      <c r="M1348" t="inlineStr">
        <is>
          <t>Open</t>
        </is>
      </c>
      <c r="N1348" t="inlineStr"/>
    </row>
    <row r="1349">
      <c r="A1349" t="inlineStr">
        <is>
          <t>FKEX01348</t>
        </is>
      </c>
      <c r="B1349" t="inlineStr">
        <is>
          <t>15 LL_Device</t>
        </is>
      </c>
      <c r="C1349" t="inlineStr">
        <is>
          <t>tblDeviceModel</t>
        </is>
      </c>
      <c r="D1349" t="n">
        <v>451</v>
      </c>
      <c r="E1349" t="inlineStr">
        <is>
          <t>MOD000448</t>
        </is>
      </c>
      <c r="F1349" t="inlineStr">
        <is>
          <t>ManufacturerID</t>
        </is>
      </c>
      <c r="G1349" t="inlineStr">
        <is>
          <t>MFG006</t>
        </is>
      </c>
      <c r="H1349" t="inlineStr">
        <is>
          <t>tblManufacturerIDCrosswalk</t>
        </is>
      </c>
      <c r="I1349" t="inlineStr"/>
      <c r="J1349" t="inlineStr">
        <is>
          <t>No Supported Match</t>
        </is>
      </c>
      <c r="K1349" t="inlineStr">
        <is>
          <t>None</t>
        </is>
      </c>
      <c r="L1349" t="inlineStr">
        <is>
          <t>Crosswalk Pending</t>
        </is>
      </c>
      <c r="M1349" t="inlineStr">
        <is>
          <t>Open</t>
        </is>
      </c>
      <c r="N1349" t="inlineStr"/>
    </row>
    <row r="1350">
      <c r="A1350" t="inlineStr">
        <is>
          <t>FKEX01349</t>
        </is>
      </c>
      <c r="B1350" t="inlineStr">
        <is>
          <t>15 LL_Device</t>
        </is>
      </c>
      <c r="C1350" t="inlineStr">
        <is>
          <t>tblDeviceModel</t>
        </is>
      </c>
      <c r="D1350" t="n">
        <v>451</v>
      </c>
      <c r="E1350" t="inlineStr">
        <is>
          <t>MOD000448</t>
        </is>
      </c>
      <c r="F1350" t="inlineStr">
        <is>
          <t>DeviceFamilyID</t>
        </is>
      </c>
      <c r="G1350" t="inlineStr">
        <is>
          <t>DF062</t>
        </is>
      </c>
      <c r="H1350" t="inlineStr">
        <is>
          <t>tblDeviceFamilyIDCrosswalk</t>
        </is>
      </c>
      <c r="I1350" t="inlineStr"/>
      <c r="J1350" t="inlineStr">
        <is>
          <t>tblDeviceModel</t>
        </is>
      </c>
      <c r="K1350" t="inlineStr">
        <is>
          <t>Exact ID</t>
        </is>
      </c>
      <c r="L1350" t="inlineStr">
        <is>
          <t>Crosswalk Pending</t>
        </is>
      </c>
      <c r="M1350" t="inlineStr">
        <is>
          <t>Open</t>
        </is>
      </c>
      <c r="N1350" t="inlineStr"/>
    </row>
    <row r="1351">
      <c r="A1351" t="inlineStr">
        <is>
          <t>FKEX01350</t>
        </is>
      </c>
      <c r="B1351" t="inlineStr">
        <is>
          <t>15 LL_Device</t>
        </is>
      </c>
      <c r="C1351" t="inlineStr">
        <is>
          <t>tblDeviceModel</t>
        </is>
      </c>
      <c r="D1351" t="n">
        <v>451</v>
      </c>
      <c r="E1351" t="inlineStr">
        <is>
          <t>MOD000448</t>
        </is>
      </c>
      <c r="F1351" t="inlineStr">
        <is>
          <t>DeviceTypeID</t>
        </is>
      </c>
      <c r="G1351" t="inlineStr">
        <is>
          <t>DT001</t>
        </is>
      </c>
      <c r="H1351" t="inlineStr">
        <is>
          <t>tblDeviceTypeIDCrosswalk</t>
        </is>
      </c>
      <c r="I1351" t="inlineStr"/>
      <c r="J1351" t="inlineStr">
        <is>
          <t>No Supported Match</t>
        </is>
      </c>
      <c r="K1351" t="inlineStr">
        <is>
          <t>None</t>
        </is>
      </c>
      <c r="L1351" t="inlineStr">
        <is>
          <t>Crosswalk Pending</t>
        </is>
      </c>
      <c r="M1351" t="inlineStr">
        <is>
          <t>Open</t>
        </is>
      </c>
      <c r="N1351" t="inlineStr"/>
    </row>
    <row r="1352">
      <c r="A1352" t="inlineStr">
        <is>
          <t>FKEX01351</t>
        </is>
      </c>
      <c r="B1352" t="inlineStr">
        <is>
          <t>15 LL_Device</t>
        </is>
      </c>
      <c r="C1352" t="inlineStr">
        <is>
          <t>tblDeviceModel</t>
        </is>
      </c>
      <c r="D1352" t="n">
        <v>452</v>
      </c>
      <c r="E1352" t="inlineStr">
        <is>
          <t>MOD000449</t>
        </is>
      </c>
      <c r="F1352" t="inlineStr">
        <is>
          <t>ManufacturerID</t>
        </is>
      </c>
      <c r="G1352" t="inlineStr">
        <is>
          <t>MFG006</t>
        </is>
      </c>
      <c r="H1352" t="inlineStr">
        <is>
          <t>tblManufacturerIDCrosswalk</t>
        </is>
      </c>
      <c r="I1352" t="inlineStr"/>
      <c r="J1352" t="inlineStr">
        <is>
          <t>No Supported Match</t>
        </is>
      </c>
      <c r="K1352" t="inlineStr">
        <is>
          <t>None</t>
        </is>
      </c>
      <c r="L1352" t="inlineStr">
        <is>
          <t>Crosswalk Pending</t>
        </is>
      </c>
      <c r="M1352" t="inlineStr">
        <is>
          <t>Open</t>
        </is>
      </c>
      <c r="N1352" t="inlineStr"/>
    </row>
    <row r="1353">
      <c r="A1353" t="inlineStr">
        <is>
          <t>FKEX01352</t>
        </is>
      </c>
      <c r="B1353" t="inlineStr">
        <is>
          <t>15 LL_Device</t>
        </is>
      </c>
      <c r="C1353" t="inlineStr">
        <is>
          <t>tblDeviceModel</t>
        </is>
      </c>
      <c r="D1353" t="n">
        <v>452</v>
      </c>
      <c r="E1353" t="inlineStr">
        <is>
          <t>MOD000449</t>
        </is>
      </c>
      <c r="F1353" t="inlineStr">
        <is>
          <t>DeviceFamilyID</t>
        </is>
      </c>
      <c r="G1353" t="inlineStr">
        <is>
          <t>DF063</t>
        </is>
      </c>
      <c r="H1353" t="inlineStr">
        <is>
          <t>tblDeviceFamilyIDCrosswalk</t>
        </is>
      </c>
      <c r="I1353" t="inlineStr"/>
      <c r="J1353" t="inlineStr">
        <is>
          <t>tblDeviceModel</t>
        </is>
      </c>
      <c r="K1353" t="inlineStr">
        <is>
          <t>Exact ID</t>
        </is>
      </c>
      <c r="L1353" t="inlineStr">
        <is>
          <t>Crosswalk Pending</t>
        </is>
      </c>
      <c r="M1353" t="inlineStr">
        <is>
          <t>Open</t>
        </is>
      </c>
      <c r="N1353" t="inlineStr"/>
    </row>
    <row r="1354">
      <c r="A1354" t="inlineStr">
        <is>
          <t>FKEX01353</t>
        </is>
      </c>
      <c r="B1354" t="inlineStr">
        <is>
          <t>15 LL_Device</t>
        </is>
      </c>
      <c r="C1354" t="inlineStr">
        <is>
          <t>tblDeviceModel</t>
        </is>
      </c>
      <c r="D1354" t="n">
        <v>452</v>
      </c>
      <c r="E1354" t="inlineStr">
        <is>
          <t>MOD000449</t>
        </is>
      </c>
      <c r="F1354" t="inlineStr">
        <is>
          <t>DeviceTypeID</t>
        </is>
      </c>
      <c r="G1354" t="inlineStr">
        <is>
          <t>DT001</t>
        </is>
      </c>
      <c r="H1354" t="inlineStr">
        <is>
          <t>tblDeviceTypeIDCrosswalk</t>
        </is>
      </c>
      <c r="I1354" t="inlineStr"/>
      <c r="J1354" t="inlineStr">
        <is>
          <t>No Supported Match</t>
        </is>
      </c>
      <c r="K1354" t="inlineStr">
        <is>
          <t>None</t>
        </is>
      </c>
      <c r="L1354" t="inlineStr">
        <is>
          <t>Crosswalk Pending</t>
        </is>
      </c>
      <c r="M1354" t="inlineStr">
        <is>
          <t>Open</t>
        </is>
      </c>
      <c r="N1354" t="inlineStr"/>
    </row>
    <row r="1355">
      <c r="A1355" t="inlineStr">
        <is>
          <t>FKEX01354</t>
        </is>
      </c>
      <c r="B1355" t="inlineStr">
        <is>
          <t>15 LL_Device</t>
        </is>
      </c>
      <c r="C1355" t="inlineStr">
        <is>
          <t>tblDeviceModel</t>
        </is>
      </c>
      <c r="D1355" t="n">
        <v>453</v>
      </c>
      <c r="E1355" t="inlineStr">
        <is>
          <t>MOD000450</t>
        </is>
      </c>
      <c r="F1355" t="inlineStr">
        <is>
          <t>ManufacturerID</t>
        </is>
      </c>
      <c r="G1355" t="inlineStr">
        <is>
          <t>MFG006</t>
        </is>
      </c>
      <c r="H1355" t="inlineStr">
        <is>
          <t>tblManufacturerIDCrosswalk</t>
        </is>
      </c>
      <c r="I1355" t="inlineStr"/>
      <c r="J1355" t="inlineStr">
        <is>
          <t>No Supported Match</t>
        </is>
      </c>
      <c r="K1355" t="inlineStr">
        <is>
          <t>None</t>
        </is>
      </c>
      <c r="L1355" t="inlineStr">
        <is>
          <t>Crosswalk Pending</t>
        </is>
      </c>
      <c r="M1355" t="inlineStr">
        <is>
          <t>Open</t>
        </is>
      </c>
      <c r="N1355" t="inlineStr"/>
    </row>
    <row r="1356">
      <c r="A1356" t="inlineStr">
        <is>
          <t>FKEX01355</t>
        </is>
      </c>
      <c r="B1356" t="inlineStr">
        <is>
          <t>15 LL_Device</t>
        </is>
      </c>
      <c r="C1356" t="inlineStr">
        <is>
          <t>tblDeviceModel</t>
        </is>
      </c>
      <c r="D1356" t="n">
        <v>453</v>
      </c>
      <c r="E1356" t="inlineStr">
        <is>
          <t>MOD000450</t>
        </is>
      </c>
      <c r="F1356" t="inlineStr">
        <is>
          <t>DeviceFamilyID</t>
        </is>
      </c>
      <c r="G1356" t="inlineStr">
        <is>
          <t>DF063</t>
        </is>
      </c>
      <c r="H1356" t="inlineStr">
        <is>
          <t>tblDeviceFamilyIDCrosswalk</t>
        </is>
      </c>
      <c r="I1356" t="inlineStr"/>
      <c r="J1356" t="inlineStr">
        <is>
          <t>tblDeviceModel</t>
        </is>
      </c>
      <c r="K1356" t="inlineStr">
        <is>
          <t>Exact ID</t>
        </is>
      </c>
      <c r="L1356" t="inlineStr">
        <is>
          <t>Crosswalk Pending</t>
        </is>
      </c>
      <c r="M1356" t="inlineStr">
        <is>
          <t>Open</t>
        </is>
      </c>
      <c r="N1356" t="inlineStr"/>
    </row>
    <row r="1357">
      <c r="A1357" t="inlineStr">
        <is>
          <t>FKEX01356</t>
        </is>
      </c>
      <c r="B1357" t="inlineStr">
        <is>
          <t>15 LL_Device</t>
        </is>
      </c>
      <c r="C1357" t="inlineStr">
        <is>
          <t>tblDeviceModel</t>
        </is>
      </c>
      <c r="D1357" t="n">
        <v>453</v>
      </c>
      <c r="E1357" t="inlineStr">
        <is>
          <t>MOD000450</t>
        </is>
      </c>
      <c r="F1357" t="inlineStr">
        <is>
          <t>DeviceTypeID</t>
        </is>
      </c>
      <c r="G1357" t="inlineStr">
        <is>
          <t>DT001</t>
        </is>
      </c>
      <c r="H1357" t="inlineStr">
        <is>
          <t>tblDeviceTypeIDCrosswalk</t>
        </is>
      </c>
      <c r="I1357" t="inlineStr"/>
      <c r="J1357" t="inlineStr">
        <is>
          <t>No Supported Match</t>
        </is>
      </c>
      <c r="K1357" t="inlineStr">
        <is>
          <t>None</t>
        </is>
      </c>
      <c r="L1357" t="inlineStr">
        <is>
          <t>Crosswalk Pending</t>
        </is>
      </c>
      <c r="M1357" t="inlineStr">
        <is>
          <t>Open</t>
        </is>
      </c>
      <c r="N1357" t="inlineStr"/>
    </row>
    <row r="1358">
      <c r="A1358" t="inlineStr">
        <is>
          <t>FKEX01357</t>
        </is>
      </c>
      <c r="B1358" t="inlineStr">
        <is>
          <t>15 LL_Device</t>
        </is>
      </c>
      <c r="C1358" t="inlineStr">
        <is>
          <t>tblDeviceModel</t>
        </is>
      </c>
      <c r="D1358" t="n">
        <v>454</v>
      </c>
      <c r="E1358" t="inlineStr">
        <is>
          <t>MOD000451</t>
        </is>
      </c>
      <c r="F1358" t="inlineStr">
        <is>
          <t>ManufacturerID</t>
        </is>
      </c>
      <c r="G1358" t="inlineStr">
        <is>
          <t>MFG006</t>
        </is>
      </c>
      <c r="H1358" t="inlineStr">
        <is>
          <t>tblManufacturerIDCrosswalk</t>
        </is>
      </c>
      <c r="I1358" t="inlineStr"/>
      <c r="J1358" t="inlineStr">
        <is>
          <t>No Supported Match</t>
        </is>
      </c>
      <c r="K1358" t="inlineStr">
        <is>
          <t>None</t>
        </is>
      </c>
      <c r="L1358" t="inlineStr">
        <is>
          <t>Crosswalk Pending</t>
        </is>
      </c>
      <c r="M1358" t="inlineStr">
        <is>
          <t>Open</t>
        </is>
      </c>
      <c r="N1358" t="inlineStr"/>
    </row>
    <row r="1359">
      <c r="A1359" t="inlineStr">
        <is>
          <t>FKEX01358</t>
        </is>
      </c>
      <c r="B1359" t="inlineStr">
        <is>
          <t>15 LL_Device</t>
        </is>
      </c>
      <c r="C1359" t="inlineStr">
        <is>
          <t>tblDeviceModel</t>
        </is>
      </c>
      <c r="D1359" t="n">
        <v>454</v>
      </c>
      <c r="E1359" t="inlineStr">
        <is>
          <t>MOD000451</t>
        </is>
      </c>
      <c r="F1359" t="inlineStr">
        <is>
          <t>DeviceFamilyID</t>
        </is>
      </c>
      <c r="G1359" t="inlineStr">
        <is>
          <t>DF064</t>
        </is>
      </c>
      <c r="H1359" t="inlineStr">
        <is>
          <t>tblDeviceFamilyIDCrosswalk</t>
        </is>
      </c>
      <c r="I1359" t="inlineStr"/>
      <c r="J1359" t="inlineStr">
        <is>
          <t>tblDeviceModel</t>
        </is>
      </c>
      <c r="K1359" t="inlineStr">
        <is>
          <t>Exact ID</t>
        </is>
      </c>
      <c r="L1359" t="inlineStr">
        <is>
          <t>Crosswalk Pending</t>
        </is>
      </c>
      <c r="M1359" t="inlineStr">
        <is>
          <t>Open</t>
        </is>
      </c>
      <c r="N1359" t="inlineStr"/>
    </row>
    <row r="1360">
      <c r="A1360" t="inlineStr">
        <is>
          <t>FKEX01359</t>
        </is>
      </c>
      <c r="B1360" t="inlineStr">
        <is>
          <t>15 LL_Device</t>
        </is>
      </c>
      <c r="C1360" t="inlineStr">
        <is>
          <t>tblDeviceModel</t>
        </is>
      </c>
      <c r="D1360" t="n">
        <v>454</v>
      </c>
      <c r="E1360" t="inlineStr">
        <is>
          <t>MOD000451</t>
        </is>
      </c>
      <c r="F1360" t="inlineStr">
        <is>
          <t>DeviceTypeID</t>
        </is>
      </c>
      <c r="G1360" t="inlineStr">
        <is>
          <t>DT001</t>
        </is>
      </c>
      <c r="H1360" t="inlineStr">
        <is>
          <t>tblDeviceTypeIDCrosswalk</t>
        </is>
      </c>
      <c r="I1360" t="inlineStr"/>
      <c r="J1360" t="inlineStr">
        <is>
          <t>No Supported Match</t>
        </is>
      </c>
      <c r="K1360" t="inlineStr">
        <is>
          <t>None</t>
        </is>
      </c>
      <c r="L1360" t="inlineStr">
        <is>
          <t>Crosswalk Pending</t>
        </is>
      </c>
      <c r="M1360" t="inlineStr">
        <is>
          <t>Open</t>
        </is>
      </c>
      <c r="N1360" t="inlineStr"/>
    </row>
    <row r="1361">
      <c r="A1361" t="inlineStr">
        <is>
          <t>FKEX01360</t>
        </is>
      </c>
      <c r="B1361" t="inlineStr">
        <is>
          <t>15 LL_Device</t>
        </is>
      </c>
      <c r="C1361" t="inlineStr">
        <is>
          <t>tblDeviceModel</t>
        </is>
      </c>
      <c r="D1361" t="n">
        <v>455</v>
      </c>
      <c r="E1361" t="inlineStr">
        <is>
          <t>MOD000452</t>
        </is>
      </c>
      <c r="F1361" t="inlineStr">
        <is>
          <t>ManufacturerID</t>
        </is>
      </c>
      <c r="G1361" t="inlineStr">
        <is>
          <t>MFG006</t>
        </is>
      </c>
      <c r="H1361" t="inlineStr">
        <is>
          <t>tblManufacturerIDCrosswalk</t>
        </is>
      </c>
      <c r="I1361" t="inlineStr"/>
      <c r="J1361" t="inlineStr">
        <is>
          <t>No Supported Match</t>
        </is>
      </c>
      <c r="K1361" t="inlineStr">
        <is>
          <t>None</t>
        </is>
      </c>
      <c r="L1361" t="inlineStr">
        <is>
          <t>Crosswalk Pending</t>
        </is>
      </c>
      <c r="M1361" t="inlineStr">
        <is>
          <t>Open</t>
        </is>
      </c>
      <c r="N1361" t="inlineStr"/>
    </row>
    <row r="1362">
      <c r="A1362" t="inlineStr">
        <is>
          <t>FKEX01361</t>
        </is>
      </c>
      <c r="B1362" t="inlineStr">
        <is>
          <t>15 LL_Device</t>
        </is>
      </c>
      <c r="C1362" t="inlineStr">
        <is>
          <t>tblDeviceModel</t>
        </is>
      </c>
      <c r="D1362" t="n">
        <v>455</v>
      </c>
      <c r="E1362" t="inlineStr">
        <is>
          <t>MOD000452</t>
        </is>
      </c>
      <c r="F1362" t="inlineStr">
        <is>
          <t>DeviceFamilyID</t>
        </is>
      </c>
      <c r="G1362" t="inlineStr">
        <is>
          <t>DF064</t>
        </is>
      </c>
      <c r="H1362" t="inlineStr">
        <is>
          <t>tblDeviceFamilyIDCrosswalk</t>
        </is>
      </c>
      <c r="I1362" t="inlineStr"/>
      <c r="J1362" t="inlineStr">
        <is>
          <t>tblDeviceModel</t>
        </is>
      </c>
      <c r="K1362" t="inlineStr">
        <is>
          <t>Exact ID</t>
        </is>
      </c>
      <c r="L1362" t="inlineStr">
        <is>
          <t>Crosswalk Pending</t>
        </is>
      </c>
      <c r="M1362" t="inlineStr">
        <is>
          <t>Open</t>
        </is>
      </c>
      <c r="N1362" t="inlineStr"/>
    </row>
    <row r="1363">
      <c r="A1363" t="inlineStr">
        <is>
          <t>FKEX01362</t>
        </is>
      </c>
      <c r="B1363" t="inlineStr">
        <is>
          <t>15 LL_Device</t>
        </is>
      </c>
      <c r="C1363" t="inlineStr">
        <is>
          <t>tblDeviceModel</t>
        </is>
      </c>
      <c r="D1363" t="n">
        <v>455</v>
      </c>
      <c r="E1363" t="inlineStr">
        <is>
          <t>MOD000452</t>
        </is>
      </c>
      <c r="F1363" t="inlineStr">
        <is>
          <t>DeviceTypeID</t>
        </is>
      </c>
      <c r="G1363" t="inlineStr">
        <is>
          <t>DT001</t>
        </is>
      </c>
      <c r="H1363" t="inlineStr">
        <is>
          <t>tblDeviceTypeIDCrosswalk</t>
        </is>
      </c>
      <c r="I1363" t="inlineStr"/>
      <c r="J1363" t="inlineStr">
        <is>
          <t>No Supported Match</t>
        </is>
      </c>
      <c r="K1363" t="inlineStr">
        <is>
          <t>None</t>
        </is>
      </c>
      <c r="L1363" t="inlineStr">
        <is>
          <t>Crosswalk Pending</t>
        </is>
      </c>
      <c r="M1363" t="inlineStr">
        <is>
          <t>Open</t>
        </is>
      </c>
      <c r="N1363" t="inlineStr"/>
    </row>
    <row r="1364">
      <c r="A1364" t="inlineStr">
        <is>
          <t>FKEX01363</t>
        </is>
      </c>
      <c r="B1364" t="inlineStr">
        <is>
          <t>15 LL_Device</t>
        </is>
      </c>
      <c r="C1364" t="inlineStr">
        <is>
          <t>tblDeviceModel</t>
        </is>
      </c>
      <c r="D1364" t="n">
        <v>456</v>
      </c>
      <c r="E1364" t="inlineStr">
        <is>
          <t>MOD000453</t>
        </is>
      </c>
      <c r="F1364" t="inlineStr">
        <is>
          <t>ManufacturerID</t>
        </is>
      </c>
      <c r="G1364" t="inlineStr">
        <is>
          <t>MFG006</t>
        </is>
      </c>
      <c r="H1364" t="inlineStr">
        <is>
          <t>tblManufacturerIDCrosswalk</t>
        </is>
      </c>
      <c r="I1364" t="inlineStr"/>
      <c r="J1364" t="inlineStr">
        <is>
          <t>No Supported Match</t>
        </is>
      </c>
      <c r="K1364" t="inlineStr">
        <is>
          <t>None</t>
        </is>
      </c>
      <c r="L1364" t="inlineStr">
        <is>
          <t>Crosswalk Pending</t>
        </is>
      </c>
      <c r="M1364" t="inlineStr">
        <is>
          <t>Open</t>
        </is>
      </c>
      <c r="N1364" t="inlineStr"/>
    </row>
    <row r="1365">
      <c r="A1365" t="inlineStr">
        <is>
          <t>FKEX01364</t>
        </is>
      </c>
      <c r="B1365" t="inlineStr">
        <is>
          <t>15 LL_Device</t>
        </is>
      </c>
      <c r="C1365" t="inlineStr">
        <is>
          <t>tblDeviceModel</t>
        </is>
      </c>
      <c r="D1365" t="n">
        <v>456</v>
      </c>
      <c r="E1365" t="inlineStr">
        <is>
          <t>MOD000453</t>
        </is>
      </c>
      <c r="F1365" t="inlineStr">
        <is>
          <t>DeviceFamilyID</t>
        </is>
      </c>
      <c r="G1365" t="inlineStr">
        <is>
          <t>DF064</t>
        </is>
      </c>
      <c r="H1365" t="inlineStr">
        <is>
          <t>tblDeviceFamilyIDCrosswalk</t>
        </is>
      </c>
      <c r="I1365" t="inlineStr"/>
      <c r="J1365" t="inlineStr">
        <is>
          <t>tblDeviceModel</t>
        </is>
      </c>
      <c r="K1365" t="inlineStr">
        <is>
          <t>Exact ID</t>
        </is>
      </c>
      <c r="L1365" t="inlineStr">
        <is>
          <t>Crosswalk Pending</t>
        </is>
      </c>
      <c r="M1365" t="inlineStr">
        <is>
          <t>Open</t>
        </is>
      </c>
      <c r="N1365" t="inlineStr"/>
    </row>
    <row r="1366">
      <c r="A1366" t="inlineStr">
        <is>
          <t>FKEX01365</t>
        </is>
      </c>
      <c r="B1366" t="inlineStr">
        <is>
          <t>15 LL_Device</t>
        </is>
      </c>
      <c r="C1366" t="inlineStr">
        <is>
          <t>tblDeviceModel</t>
        </is>
      </c>
      <c r="D1366" t="n">
        <v>456</v>
      </c>
      <c r="E1366" t="inlineStr">
        <is>
          <t>MOD000453</t>
        </is>
      </c>
      <c r="F1366" t="inlineStr">
        <is>
          <t>DeviceTypeID</t>
        </is>
      </c>
      <c r="G1366" t="inlineStr">
        <is>
          <t>DT001</t>
        </is>
      </c>
      <c r="H1366" t="inlineStr">
        <is>
          <t>tblDeviceTypeIDCrosswalk</t>
        </is>
      </c>
      <c r="I1366" t="inlineStr"/>
      <c r="J1366" t="inlineStr">
        <is>
          <t>No Supported Match</t>
        </is>
      </c>
      <c r="K1366" t="inlineStr">
        <is>
          <t>None</t>
        </is>
      </c>
      <c r="L1366" t="inlineStr">
        <is>
          <t>Crosswalk Pending</t>
        </is>
      </c>
      <c r="M1366" t="inlineStr">
        <is>
          <t>Open</t>
        </is>
      </c>
      <c r="N1366" t="inlineStr"/>
    </row>
    <row r="1367">
      <c r="A1367" t="inlineStr">
        <is>
          <t>FKEX01366</t>
        </is>
      </c>
      <c r="B1367" t="inlineStr">
        <is>
          <t>15 LL_Device</t>
        </is>
      </c>
      <c r="C1367" t="inlineStr">
        <is>
          <t>tblDeviceModel</t>
        </is>
      </c>
      <c r="D1367" t="n">
        <v>457</v>
      </c>
      <c r="E1367" t="inlineStr">
        <is>
          <t>MOD000454</t>
        </is>
      </c>
      <c r="F1367" t="inlineStr">
        <is>
          <t>ManufacturerID</t>
        </is>
      </c>
      <c r="G1367" t="inlineStr">
        <is>
          <t>MFG007</t>
        </is>
      </c>
      <c r="H1367" t="inlineStr">
        <is>
          <t>tblManufacturerIDCrosswalk</t>
        </is>
      </c>
      <c r="I1367" t="inlineStr"/>
      <c r="J1367" t="inlineStr">
        <is>
          <t>No Supported Match</t>
        </is>
      </c>
      <c r="K1367" t="inlineStr">
        <is>
          <t>None</t>
        </is>
      </c>
      <c r="L1367" t="inlineStr">
        <is>
          <t>Crosswalk Pending</t>
        </is>
      </c>
      <c r="M1367" t="inlineStr">
        <is>
          <t>Open</t>
        </is>
      </c>
      <c r="N1367" t="inlineStr"/>
    </row>
    <row r="1368">
      <c r="A1368" t="inlineStr">
        <is>
          <t>FKEX01367</t>
        </is>
      </c>
      <c r="B1368" t="inlineStr">
        <is>
          <t>15 LL_Device</t>
        </is>
      </c>
      <c r="C1368" t="inlineStr">
        <is>
          <t>tblDeviceModel</t>
        </is>
      </c>
      <c r="D1368" t="n">
        <v>457</v>
      </c>
      <c r="E1368" t="inlineStr">
        <is>
          <t>MOD000454</t>
        </is>
      </c>
      <c r="F1368" t="inlineStr">
        <is>
          <t>DeviceFamilyID</t>
        </is>
      </c>
      <c r="G1368" t="inlineStr">
        <is>
          <t>DF070</t>
        </is>
      </c>
      <c r="H1368" t="inlineStr">
        <is>
          <t>tblDeviceFamilyIDCrosswalk</t>
        </is>
      </c>
      <c r="I1368" t="inlineStr"/>
      <c r="J1368" t="inlineStr">
        <is>
          <t>tblDeviceModel</t>
        </is>
      </c>
      <c r="K1368" t="inlineStr">
        <is>
          <t>Exact ID</t>
        </is>
      </c>
      <c r="L1368" t="inlineStr">
        <is>
          <t>Crosswalk Pending</t>
        </is>
      </c>
      <c r="M1368" t="inlineStr">
        <is>
          <t>Open</t>
        </is>
      </c>
      <c r="N1368" t="inlineStr"/>
    </row>
    <row r="1369">
      <c r="A1369" t="inlineStr">
        <is>
          <t>FKEX01368</t>
        </is>
      </c>
      <c r="B1369" t="inlineStr">
        <is>
          <t>15 LL_Device</t>
        </is>
      </c>
      <c r="C1369" t="inlineStr">
        <is>
          <t>tblDeviceModel</t>
        </is>
      </c>
      <c r="D1369" t="n">
        <v>457</v>
      </c>
      <c r="E1369" t="inlineStr">
        <is>
          <t>MOD000454</t>
        </is>
      </c>
      <c r="F1369" t="inlineStr">
        <is>
          <t>DeviceTypeID</t>
        </is>
      </c>
      <c r="G1369" t="inlineStr">
        <is>
          <t>DT001</t>
        </is>
      </c>
      <c r="H1369" t="inlineStr">
        <is>
          <t>tblDeviceTypeIDCrosswalk</t>
        </is>
      </c>
      <c r="I1369" t="inlineStr"/>
      <c r="J1369" t="inlineStr">
        <is>
          <t>No Supported Match</t>
        </is>
      </c>
      <c r="K1369" t="inlineStr">
        <is>
          <t>None</t>
        </is>
      </c>
      <c r="L1369" t="inlineStr">
        <is>
          <t>Crosswalk Pending</t>
        </is>
      </c>
      <c r="M1369" t="inlineStr">
        <is>
          <t>Open</t>
        </is>
      </c>
      <c r="N1369" t="inlineStr"/>
    </row>
    <row r="1370">
      <c r="A1370" t="inlineStr">
        <is>
          <t>FKEX01369</t>
        </is>
      </c>
      <c r="B1370" t="inlineStr">
        <is>
          <t>15 LL_Device</t>
        </is>
      </c>
      <c r="C1370" t="inlineStr">
        <is>
          <t>tblDeviceModel</t>
        </is>
      </c>
      <c r="D1370" t="n">
        <v>458</v>
      </c>
      <c r="E1370" t="inlineStr">
        <is>
          <t>MOD000455</t>
        </is>
      </c>
      <c r="F1370" t="inlineStr">
        <is>
          <t>ManufacturerID</t>
        </is>
      </c>
      <c r="G1370" t="inlineStr">
        <is>
          <t>MFG007</t>
        </is>
      </c>
      <c r="H1370" t="inlineStr">
        <is>
          <t>tblManufacturerIDCrosswalk</t>
        </is>
      </c>
      <c r="I1370" t="inlineStr"/>
      <c r="J1370" t="inlineStr">
        <is>
          <t>No Supported Match</t>
        </is>
      </c>
      <c r="K1370" t="inlineStr">
        <is>
          <t>None</t>
        </is>
      </c>
      <c r="L1370" t="inlineStr">
        <is>
          <t>Crosswalk Pending</t>
        </is>
      </c>
      <c r="M1370" t="inlineStr">
        <is>
          <t>Open</t>
        </is>
      </c>
      <c r="N1370" t="inlineStr"/>
    </row>
    <row r="1371">
      <c r="A1371" t="inlineStr">
        <is>
          <t>FKEX01370</t>
        </is>
      </c>
      <c r="B1371" t="inlineStr">
        <is>
          <t>15 LL_Device</t>
        </is>
      </c>
      <c r="C1371" t="inlineStr">
        <is>
          <t>tblDeviceModel</t>
        </is>
      </c>
      <c r="D1371" t="n">
        <v>458</v>
      </c>
      <c r="E1371" t="inlineStr">
        <is>
          <t>MOD000455</t>
        </is>
      </c>
      <c r="F1371" t="inlineStr">
        <is>
          <t>DeviceFamilyID</t>
        </is>
      </c>
      <c r="G1371" t="inlineStr">
        <is>
          <t>DF070</t>
        </is>
      </c>
      <c r="H1371" t="inlineStr">
        <is>
          <t>tblDeviceFamilyIDCrosswalk</t>
        </is>
      </c>
      <c r="I1371" t="inlineStr"/>
      <c r="J1371" t="inlineStr">
        <is>
          <t>tblDeviceModel</t>
        </is>
      </c>
      <c r="K1371" t="inlineStr">
        <is>
          <t>Exact ID</t>
        </is>
      </c>
      <c r="L1371" t="inlineStr">
        <is>
          <t>Crosswalk Pending</t>
        </is>
      </c>
      <c r="M1371" t="inlineStr">
        <is>
          <t>Open</t>
        </is>
      </c>
      <c r="N1371" t="inlineStr"/>
    </row>
    <row r="1372">
      <c r="A1372" t="inlineStr">
        <is>
          <t>FKEX01371</t>
        </is>
      </c>
      <c r="B1372" t="inlineStr">
        <is>
          <t>15 LL_Device</t>
        </is>
      </c>
      <c r="C1372" t="inlineStr">
        <is>
          <t>tblDeviceModel</t>
        </is>
      </c>
      <c r="D1372" t="n">
        <v>458</v>
      </c>
      <c r="E1372" t="inlineStr">
        <is>
          <t>MOD000455</t>
        </is>
      </c>
      <c r="F1372" t="inlineStr">
        <is>
          <t>DeviceTypeID</t>
        </is>
      </c>
      <c r="G1372" t="inlineStr">
        <is>
          <t>DT001</t>
        </is>
      </c>
      <c r="H1372" t="inlineStr">
        <is>
          <t>tblDeviceTypeIDCrosswalk</t>
        </is>
      </c>
      <c r="I1372" t="inlineStr"/>
      <c r="J1372" t="inlineStr">
        <is>
          <t>No Supported Match</t>
        </is>
      </c>
      <c r="K1372" t="inlineStr">
        <is>
          <t>None</t>
        </is>
      </c>
      <c r="L1372" t="inlineStr">
        <is>
          <t>Crosswalk Pending</t>
        </is>
      </c>
      <c r="M1372" t="inlineStr">
        <is>
          <t>Open</t>
        </is>
      </c>
      <c r="N1372" t="inlineStr"/>
    </row>
    <row r="1373">
      <c r="A1373" t="inlineStr">
        <is>
          <t>FKEX01372</t>
        </is>
      </c>
      <c r="B1373" t="inlineStr">
        <is>
          <t>15 LL_Device</t>
        </is>
      </c>
      <c r="C1373" t="inlineStr">
        <is>
          <t>tblDeviceModel</t>
        </is>
      </c>
      <c r="D1373" t="n">
        <v>459</v>
      </c>
      <c r="E1373" t="inlineStr">
        <is>
          <t>MOD000456</t>
        </is>
      </c>
      <c r="F1373" t="inlineStr">
        <is>
          <t>ManufacturerID</t>
        </is>
      </c>
      <c r="G1373" t="inlineStr">
        <is>
          <t>MFG007</t>
        </is>
      </c>
      <c r="H1373" t="inlineStr">
        <is>
          <t>tblManufacturerIDCrosswalk</t>
        </is>
      </c>
      <c r="I1373" t="inlineStr"/>
      <c r="J1373" t="inlineStr">
        <is>
          <t>No Supported Match</t>
        </is>
      </c>
      <c r="K1373" t="inlineStr">
        <is>
          <t>None</t>
        </is>
      </c>
      <c r="L1373" t="inlineStr">
        <is>
          <t>Crosswalk Pending</t>
        </is>
      </c>
      <c r="M1373" t="inlineStr">
        <is>
          <t>Open</t>
        </is>
      </c>
      <c r="N1373" t="inlineStr"/>
    </row>
    <row r="1374">
      <c r="A1374" t="inlineStr">
        <is>
          <t>FKEX01373</t>
        </is>
      </c>
      <c r="B1374" t="inlineStr">
        <is>
          <t>15 LL_Device</t>
        </is>
      </c>
      <c r="C1374" t="inlineStr">
        <is>
          <t>tblDeviceModel</t>
        </is>
      </c>
      <c r="D1374" t="n">
        <v>459</v>
      </c>
      <c r="E1374" t="inlineStr">
        <is>
          <t>MOD000456</t>
        </is>
      </c>
      <c r="F1374" t="inlineStr">
        <is>
          <t>DeviceFamilyID</t>
        </is>
      </c>
      <c r="G1374" t="inlineStr">
        <is>
          <t>DF070</t>
        </is>
      </c>
      <c r="H1374" t="inlineStr">
        <is>
          <t>tblDeviceFamilyIDCrosswalk</t>
        </is>
      </c>
      <c r="I1374" t="inlineStr"/>
      <c r="J1374" t="inlineStr">
        <is>
          <t>tblDeviceModel</t>
        </is>
      </c>
      <c r="K1374" t="inlineStr">
        <is>
          <t>Exact ID</t>
        </is>
      </c>
      <c r="L1374" t="inlineStr">
        <is>
          <t>Crosswalk Pending</t>
        </is>
      </c>
      <c r="M1374" t="inlineStr">
        <is>
          <t>Open</t>
        </is>
      </c>
      <c r="N1374" t="inlineStr"/>
    </row>
    <row r="1375">
      <c r="A1375" t="inlineStr">
        <is>
          <t>FKEX01374</t>
        </is>
      </c>
      <c r="B1375" t="inlineStr">
        <is>
          <t>15 LL_Device</t>
        </is>
      </c>
      <c r="C1375" t="inlineStr">
        <is>
          <t>tblDeviceModel</t>
        </is>
      </c>
      <c r="D1375" t="n">
        <v>459</v>
      </c>
      <c r="E1375" t="inlineStr">
        <is>
          <t>MOD000456</t>
        </is>
      </c>
      <c r="F1375" t="inlineStr">
        <is>
          <t>DeviceTypeID</t>
        </is>
      </c>
      <c r="G1375" t="inlineStr">
        <is>
          <t>DT001</t>
        </is>
      </c>
      <c r="H1375" t="inlineStr">
        <is>
          <t>tblDeviceTypeIDCrosswalk</t>
        </is>
      </c>
      <c r="I1375" t="inlineStr"/>
      <c r="J1375" t="inlineStr">
        <is>
          <t>No Supported Match</t>
        </is>
      </c>
      <c r="K1375" t="inlineStr">
        <is>
          <t>None</t>
        </is>
      </c>
      <c r="L1375" t="inlineStr">
        <is>
          <t>Crosswalk Pending</t>
        </is>
      </c>
      <c r="M1375" t="inlineStr">
        <is>
          <t>Open</t>
        </is>
      </c>
      <c r="N1375" t="inlineStr"/>
    </row>
    <row r="1376">
      <c r="A1376" t="inlineStr">
        <is>
          <t>FKEX01375</t>
        </is>
      </c>
      <c r="B1376" t="inlineStr">
        <is>
          <t>15 LL_Device</t>
        </is>
      </c>
      <c r="C1376" t="inlineStr">
        <is>
          <t>tblDeviceModel</t>
        </is>
      </c>
      <c r="D1376" t="n">
        <v>460</v>
      </c>
      <c r="E1376" t="inlineStr">
        <is>
          <t>MOD000457</t>
        </is>
      </c>
      <c r="F1376" t="inlineStr">
        <is>
          <t>ManufacturerID</t>
        </is>
      </c>
      <c r="G1376" t="inlineStr">
        <is>
          <t>MFG007</t>
        </is>
      </c>
      <c r="H1376" t="inlineStr">
        <is>
          <t>tblManufacturerIDCrosswalk</t>
        </is>
      </c>
      <c r="I1376" t="inlineStr"/>
      <c r="J1376" t="inlineStr">
        <is>
          <t>No Supported Match</t>
        </is>
      </c>
      <c r="K1376" t="inlineStr">
        <is>
          <t>None</t>
        </is>
      </c>
      <c r="L1376" t="inlineStr">
        <is>
          <t>Crosswalk Pending</t>
        </is>
      </c>
      <c r="M1376" t="inlineStr">
        <is>
          <t>Open</t>
        </is>
      </c>
      <c r="N1376" t="inlineStr"/>
    </row>
    <row r="1377">
      <c r="A1377" t="inlineStr">
        <is>
          <t>FKEX01376</t>
        </is>
      </c>
      <c r="B1377" t="inlineStr">
        <is>
          <t>15 LL_Device</t>
        </is>
      </c>
      <c r="C1377" t="inlineStr">
        <is>
          <t>tblDeviceModel</t>
        </is>
      </c>
      <c r="D1377" t="n">
        <v>460</v>
      </c>
      <c r="E1377" t="inlineStr">
        <is>
          <t>MOD000457</t>
        </is>
      </c>
      <c r="F1377" t="inlineStr">
        <is>
          <t>DeviceFamilyID</t>
        </is>
      </c>
      <c r="G1377" t="inlineStr">
        <is>
          <t>DF070</t>
        </is>
      </c>
      <c r="H1377" t="inlineStr">
        <is>
          <t>tblDeviceFamilyIDCrosswalk</t>
        </is>
      </c>
      <c r="I1377" t="inlineStr"/>
      <c r="J1377" t="inlineStr">
        <is>
          <t>tblDeviceModel</t>
        </is>
      </c>
      <c r="K1377" t="inlineStr">
        <is>
          <t>Exact ID</t>
        </is>
      </c>
      <c r="L1377" t="inlineStr">
        <is>
          <t>Crosswalk Pending</t>
        </is>
      </c>
      <c r="M1377" t="inlineStr">
        <is>
          <t>Open</t>
        </is>
      </c>
      <c r="N1377" t="inlineStr"/>
    </row>
    <row r="1378">
      <c r="A1378" t="inlineStr">
        <is>
          <t>FKEX01377</t>
        </is>
      </c>
      <c r="B1378" t="inlineStr">
        <is>
          <t>15 LL_Device</t>
        </is>
      </c>
      <c r="C1378" t="inlineStr">
        <is>
          <t>tblDeviceModel</t>
        </is>
      </c>
      <c r="D1378" t="n">
        <v>460</v>
      </c>
      <c r="E1378" t="inlineStr">
        <is>
          <t>MOD000457</t>
        </is>
      </c>
      <c r="F1378" t="inlineStr">
        <is>
          <t>DeviceTypeID</t>
        </is>
      </c>
      <c r="G1378" t="inlineStr">
        <is>
          <t>DT001</t>
        </is>
      </c>
      <c r="H1378" t="inlineStr">
        <is>
          <t>tblDeviceTypeIDCrosswalk</t>
        </is>
      </c>
      <c r="I1378" t="inlineStr"/>
      <c r="J1378" t="inlineStr">
        <is>
          <t>No Supported Match</t>
        </is>
      </c>
      <c r="K1378" t="inlineStr">
        <is>
          <t>None</t>
        </is>
      </c>
      <c r="L1378" t="inlineStr">
        <is>
          <t>Crosswalk Pending</t>
        </is>
      </c>
      <c r="M1378" t="inlineStr">
        <is>
          <t>Open</t>
        </is>
      </c>
      <c r="N1378" t="inlineStr"/>
    </row>
    <row r="1379">
      <c r="A1379" t="inlineStr">
        <is>
          <t>FKEX01378</t>
        </is>
      </c>
      <c r="B1379" t="inlineStr">
        <is>
          <t>15 LL_Device</t>
        </is>
      </c>
      <c r="C1379" t="inlineStr">
        <is>
          <t>tblDeviceModel</t>
        </is>
      </c>
      <c r="D1379" t="n">
        <v>461</v>
      </c>
      <c r="E1379" t="inlineStr">
        <is>
          <t>MOD000458</t>
        </is>
      </c>
      <c r="F1379" t="inlineStr">
        <is>
          <t>ManufacturerID</t>
        </is>
      </c>
      <c r="G1379" t="inlineStr">
        <is>
          <t>MFG007</t>
        </is>
      </c>
      <c r="H1379" t="inlineStr">
        <is>
          <t>tblManufacturerIDCrosswalk</t>
        </is>
      </c>
      <c r="I1379" t="inlineStr"/>
      <c r="J1379" t="inlineStr">
        <is>
          <t>No Supported Match</t>
        </is>
      </c>
      <c r="K1379" t="inlineStr">
        <is>
          <t>None</t>
        </is>
      </c>
      <c r="L1379" t="inlineStr">
        <is>
          <t>Crosswalk Pending</t>
        </is>
      </c>
      <c r="M1379" t="inlineStr">
        <is>
          <t>Open</t>
        </is>
      </c>
      <c r="N1379" t="inlineStr"/>
    </row>
    <row r="1380">
      <c r="A1380" t="inlineStr">
        <is>
          <t>FKEX01379</t>
        </is>
      </c>
      <c r="B1380" t="inlineStr">
        <is>
          <t>15 LL_Device</t>
        </is>
      </c>
      <c r="C1380" t="inlineStr">
        <is>
          <t>tblDeviceModel</t>
        </is>
      </c>
      <c r="D1380" t="n">
        <v>461</v>
      </c>
      <c r="E1380" t="inlineStr">
        <is>
          <t>MOD000458</t>
        </is>
      </c>
      <c r="F1380" t="inlineStr">
        <is>
          <t>DeviceFamilyID</t>
        </is>
      </c>
      <c r="G1380" t="inlineStr">
        <is>
          <t>DF070</t>
        </is>
      </c>
      <c r="H1380" t="inlineStr">
        <is>
          <t>tblDeviceFamilyIDCrosswalk</t>
        </is>
      </c>
      <c r="I1380" t="inlineStr"/>
      <c r="J1380" t="inlineStr">
        <is>
          <t>tblDeviceModel</t>
        </is>
      </c>
      <c r="K1380" t="inlineStr">
        <is>
          <t>Exact ID</t>
        </is>
      </c>
      <c r="L1380" t="inlineStr">
        <is>
          <t>Crosswalk Pending</t>
        </is>
      </c>
      <c r="M1380" t="inlineStr">
        <is>
          <t>Open</t>
        </is>
      </c>
      <c r="N1380" t="inlineStr"/>
    </row>
    <row r="1381">
      <c r="A1381" t="inlineStr">
        <is>
          <t>FKEX01380</t>
        </is>
      </c>
      <c r="B1381" t="inlineStr">
        <is>
          <t>15 LL_Device</t>
        </is>
      </c>
      <c r="C1381" t="inlineStr">
        <is>
          <t>tblDeviceModel</t>
        </is>
      </c>
      <c r="D1381" t="n">
        <v>461</v>
      </c>
      <c r="E1381" t="inlineStr">
        <is>
          <t>MOD000458</t>
        </is>
      </c>
      <c r="F1381" t="inlineStr">
        <is>
          <t>DeviceTypeID</t>
        </is>
      </c>
      <c r="G1381" t="inlineStr">
        <is>
          <t>DT001</t>
        </is>
      </c>
      <c r="H1381" t="inlineStr">
        <is>
          <t>tblDeviceTypeIDCrosswalk</t>
        </is>
      </c>
      <c r="I1381" t="inlineStr"/>
      <c r="J1381" t="inlineStr">
        <is>
          <t>No Supported Match</t>
        </is>
      </c>
      <c r="K1381" t="inlineStr">
        <is>
          <t>None</t>
        </is>
      </c>
      <c r="L1381" t="inlineStr">
        <is>
          <t>Crosswalk Pending</t>
        </is>
      </c>
      <c r="M1381" t="inlineStr">
        <is>
          <t>Open</t>
        </is>
      </c>
      <c r="N1381" t="inlineStr"/>
    </row>
    <row r="1382">
      <c r="A1382" t="inlineStr">
        <is>
          <t>FKEX01381</t>
        </is>
      </c>
      <c r="B1382" t="inlineStr">
        <is>
          <t>15 LL_Device</t>
        </is>
      </c>
      <c r="C1382" t="inlineStr">
        <is>
          <t>tblDeviceModel</t>
        </is>
      </c>
      <c r="D1382" t="n">
        <v>462</v>
      </c>
      <c r="E1382" t="inlineStr">
        <is>
          <t>MOD000459</t>
        </is>
      </c>
      <c r="F1382" t="inlineStr">
        <is>
          <t>ManufacturerID</t>
        </is>
      </c>
      <c r="G1382" t="inlineStr">
        <is>
          <t>MFG007</t>
        </is>
      </c>
      <c r="H1382" t="inlineStr">
        <is>
          <t>tblManufacturerIDCrosswalk</t>
        </is>
      </c>
      <c r="I1382" t="inlineStr"/>
      <c r="J1382" t="inlineStr">
        <is>
          <t>No Supported Match</t>
        </is>
      </c>
      <c r="K1382" t="inlineStr">
        <is>
          <t>None</t>
        </is>
      </c>
      <c r="L1382" t="inlineStr">
        <is>
          <t>Crosswalk Pending</t>
        </is>
      </c>
      <c r="M1382" t="inlineStr">
        <is>
          <t>Open</t>
        </is>
      </c>
      <c r="N1382" t="inlineStr"/>
    </row>
    <row r="1383">
      <c r="A1383" t="inlineStr">
        <is>
          <t>FKEX01382</t>
        </is>
      </c>
      <c r="B1383" t="inlineStr">
        <is>
          <t>15 LL_Device</t>
        </is>
      </c>
      <c r="C1383" t="inlineStr">
        <is>
          <t>tblDeviceModel</t>
        </is>
      </c>
      <c r="D1383" t="n">
        <v>462</v>
      </c>
      <c r="E1383" t="inlineStr">
        <is>
          <t>MOD000459</t>
        </is>
      </c>
      <c r="F1383" t="inlineStr">
        <is>
          <t>DeviceFamilyID</t>
        </is>
      </c>
      <c r="G1383" t="inlineStr">
        <is>
          <t>DF071</t>
        </is>
      </c>
      <c r="H1383" t="inlineStr">
        <is>
          <t>tblDeviceFamilyIDCrosswalk</t>
        </is>
      </c>
      <c r="I1383" t="inlineStr"/>
      <c r="J1383" t="inlineStr">
        <is>
          <t>tblDeviceModel</t>
        </is>
      </c>
      <c r="K1383" t="inlineStr">
        <is>
          <t>Exact ID</t>
        </is>
      </c>
      <c r="L1383" t="inlineStr">
        <is>
          <t>Crosswalk Pending</t>
        </is>
      </c>
      <c r="M1383" t="inlineStr">
        <is>
          <t>Open</t>
        </is>
      </c>
      <c r="N1383" t="inlineStr"/>
    </row>
    <row r="1384">
      <c r="A1384" t="inlineStr">
        <is>
          <t>FKEX01383</t>
        </is>
      </c>
      <c r="B1384" t="inlineStr">
        <is>
          <t>15 LL_Device</t>
        </is>
      </c>
      <c r="C1384" t="inlineStr">
        <is>
          <t>tblDeviceModel</t>
        </is>
      </c>
      <c r="D1384" t="n">
        <v>462</v>
      </c>
      <c r="E1384" t="inlineStr">
        <is>
          <t>MOD000459</t>
        </is>
      </c>
      <c r="F1384" t="inlineStr">
        <is>
          <t>DeviceTypeID</t>
        </is>
      </c>
      <c r="G1384" t="inlineStr">
        <is>
          <t>DT001</t>
        </is>
      </c>
      <c r="H1384" t="inlineStr">
        <is>
          <t>tblDeviceTypeIDCrosswalk</t>
        </is>
      </c>
      <c r="I1384" t="inlineStr"/>
      <c r="J1384" t="inlineStr">
        <is>
          <t>No Supported Match</t>
        </is>
      </c>
      <c r="K1384" t="inlineStr">
        <is>
          <t>None</t>
        </is>
      </c>
      <c r="L1384" t="inlineStr">
        <is>
          <t>Crosswalk Pending</t>
        </is>
      </c>
      <c r="M1384" t="inlineStr">
        <is>
          <t>Open</t>
        </is>
      </c>
      <c r="N1384" t="inlineStr"/>
    </row>
    <row r="1385">
      <c r="A1385" t="inlineStr">
        <is>
          <t>FKEX01384</t>
        </is>
      </c>
      <c r="B1385" t="inlineStr">
        <is>
          <t>15 LL_Device</t>
        </is>
      </c>
      <c r="C1385" t="inlineStr">
        <is>
          <t>tblDeviceModel</t>
        </is>
      </c>
      <c r="D1385" t="n">
        <v>463</v>
      </c>
      <c r="E1385" t="inlineStr">
        <is>
          <t>MOD000460</t>
        </is>
      </c>
      <c r="F1385" t="inlineStr">
        <is>
          <t>ManufacturerID</t>
        </is>
      </c>
      <c r="G1385" t="inlineStr">
        <is>
          <t>MFG007</t>
        </is>
      </c>
      <c r="H1385" t="inlineStr">
        <is>
          <t>tblManufacturerIDCrosswalk</t>
        </is>
      </c>
      <c r="I1385" t="inlineStr"/>
      <c r="J1385" t="inlineStr">
        <is>
          <t>No Supported Match</t>
        </is>
      </c>
      <c r="K1385" t="inlineStr">
        <is>
          <t>None</t>
        </is>
      </c>
      <c r="L1385" t="inlineStr">
        <is>
          <t>Crosswalk Pending</t>
        </is>
      </c>
      <c r="M1385" t="inlineStr">
        <is>
          <t>Open</t>
        </is>
      </c>
      <c r="N1385" t="inlineStr"/>
    </row>
    <row r="1386">
      <c r="A1386" t="inlineStr">
        <is>
          <t>FKEX01385</t>
        </is>
      </c>
      <c r="B1386" t="inlineStr">
        <is>
          <t>15 LL_Device</t>
        </is>
      </c>
      <c r="C1386" t="inlineStr">
        <is>
          <t>tblDeviceModel</t>
        </is>
      </c>
      <c r="D1386" t="n">
        <v>463</v>
      </c>
      <c r="E1386" t="inlineStr">
        <is>
          <t>MOD000460</t>
        </is>
      </c>
      <c r="F1386" t="inlineStr">
        <is>
          <t>DeviceFamilyID</t>
        </is>
      </c>
      <c r="G1386" t="inlineStr">
        <is>
          <t>DF071</t>
        </is>
      </c>
      <c r="H1386" t="inlineStr">
        <is>
          <t>tblDeviceFamilyIDCrosswalk</t>
        </is>
      </c>
      <c r="I1386" t="inlineStr"/>
      <c r="J1386" t="inlineStr">
        <is>
          <t>tblDeviceModel</t>
        </is>
      </c>
      <c r="K1386" t="inlineStr">
        <is>
          <t>Exact ID</t>
        </is>
      </c>
      <c r="L1386" t="inlineStr">
        <is>
          <t>Crosswalk Pending</t>
        </is>
      </c>
      <c r="M1386" t="inlineStr">
        <is>
          <t>Open</t>
        </is>
      </c>
      <c r="N1386" t="inlineStr"/>
    </row>
    <row r="1387">
      <c r="A1387" t="inlineStr">
        <is>
          <t>FKEX01386</t>
        </is>
      </c>
      <c r="B1387" t="inlineStr">
        <is>
          <t>15 LL_Device</t>
        </is>
      </c>
      <c r="C1387" t="inlineStr">
        <is>
          <t>tblDeviceModel</t>
        </is>
      </c>
      <c r="D1387" t="n">
        <v>463</v>
      </c>
      <c r="E1387" t="inlineStr">
        <is>
          <t>MOD000460</t>
        </is>
      </c>
      <c r="F1387" t="inlineStr">
        <is>
          <t>DeviceTypeID</t>
        </is>
      </c>
      <c r="G1387" t="inlineStr">
        <is>
          <t>DT001</t>
        </is>
      </c>
      <c r="H1387" t="inlineStr">
        <is>
          <t>tblDeviceTypeIDCrosswalk</t>
        </is>
      </c>
      <c r="I1387" t="inlineStr"/>
      <c r="J1387" t="inlineStr">
        <is>
          <t>No Supported Match</t>
        </is>
      </c>
      <c r="K1387" t="inlineStr">
        <is>
          <t>None</t>
        </is>
      </c>
      <c r="L1387" t="inlineStr">
        <is>
          <t>Crosswalk Pending</t>
        </is>
      </c>
      <c r="M1387" t="inlineStr">
        <is>
          <t>Open</t>
        </is>
      </c>
      <c r="N1387" t="inlineStr"/>
    </row>
    <row r="1388">
      <c r="A1388" t="inlineStr">
        <is>
          <t>FKEX01387</t>
        </is>
      </c>
      <c r="B1388" t="inlineStr">
        <is>
          <t>15 LL_Device</t>
        </is>
      </c>
      <c r="C1388" t="inlineStr">
        <is>
          <t>tblDeviceModel</t>
        </is>
      </c>
      <c r="D1388" t="n">
        <v>464</v>
      </c>
      <c r="E1388" t="inlineStr">
        <is>
          <t>MOD000461</t>
        </is>
      </c>
      <c r="F1388" t="inlineStr">
        <is>
          <t>ManufacturerID</t>
        </is>
      </c>
      <c r="G1388" t="inlineStr">
        <is>
          <t>MFG007</t>
        </is>
      </c>
      <c r="H1388" t="inlineStr">
        <is>
          <t>tblManufacturerIDCrosswalk</t>
        </is>
      </c>
      <c r="I1388" t="inlineStr"/>
      <c r="J1388" t="inlineStr">
        <is>
          <t>No Supported Match</t>
        </is>
      </c>
      <c r="K1388" t="inlineStr">
        <is>
          <t>None</t>
        </is>
      </c>
      <c r="L1388" t="inlineStr">
        <is>
          <t>Crosswalk Pending</t>
        </is>
      </c>
      <c r="M1388" t="inlineStr">
        <is>
          <t>Open</t>
        </is>
      </c>
      <c r="N1388" t="inlineStr"/>
    </row>
    <row r="1389">
      <c r="A1389" t="inlineStr">
        <is>
          <t>FKEX01388</t>
        </is>
      </c>
      <c r="B1389" t="inlineStr">
        <is>
          <t>15 LL_Device</t>
        </is>
      </c>
      <c r="C1389" t="inlineStr">
        <is>
          <t>tblDeviceModel</t>
        </is>
      </c>
      <c r="D1389" t="n">
        <v>464</v>
      </c>
      <c r="E1389" t="inlineStr">
        <is>
          <t>MOD000461</t>
        </is>
      </c>
      <c r="F1389" t="inlineStr">
        <is>
          <t>DeviceFamilyID</t>
        </is>
      </c>
      <c r="G1389" t="inlineStr">
        <is>
          <t>DF071</t>
        </is>
      </c>
      <c r="H1389" t="inlineStr">
        <is>
          <t>tblDeviceFamilyIDCrosswalk</t>
        </is>
      </c>
      <c r="I1389" t="inlineStr"/>
      <c r="J1389" t="inlineStr">
        <is>
          <t>tblDeviceModel</t>
        </is>
      </c>
      <c r="K1389" t="inlineStr">
        <is>
          <t>Exact ID</t>
        </is>
      </c>
      <c r="L1389" t="inlineStr">
        <is>
          <t>Crosswalk Pending</t>
        </is>
      </c>
      <c r="M1389" t="inlineStr">
        <is>
          <t>Open</t>
        </is>
      </c>
      <c r="N1389" t="inlineStr"/>
    </row>
    <row r="1390">
      <c r="A1390" t="inlineStr">
        <is>
          <t>FKEX01389</t>
        </is>
      </c>
      <c r="B1390" t="inlineStr">
        <is>
          <t>15 LL_Device</t>
        </is>
      </c>
      <c r="C1390" t="inlineStr">
        <is>
          <t>tblDeviceModel</t>
        </is>
      </c>
      <c r="D1390" t="n">
        <v>464</v>
      </c>
      <c r="E1390" t="inlineStr">
        <is>
          <t>MOD000461</t>
        </is>
      </c>
      <c r="F1390" t="inlineStr">
        <is>
          <t>DeviceTypeID</t>
        </is>
      </c>
      <c r="G1390" t="inlineStr">
        <is>
          <t>DT001</t>
        </is>
      </c>
      <c r="H1390" t="inlineStr">
        <is>
          <t>tblDeviceTypeIDCrosswalk</t>
        </is>
      </c>
      <c r="I1390" t="inlineStr"/>
      <c r="J1390" t="inlineStr">
        <is>
          <t>No Supported Match</t>
        </is>
      </c>
      <c r="K1390" t="inlineStr">
        <is>
          <t>None</t>
        </is>
      </c>
      <c r="L1390" t="inlineStr">
        <is>
          <t>Crosswalk Pending</t>
        </is>
      </c>
      <c r="M1390" t="inlineStr">
        <is>
          <t>Open</t>
        </is>
      </c>
      <c r="N1390" t="inlineStr"/>
    </row>
    <row r="1391">
      <c r="A1391" t="inlineStr">
        <is>
          <t>FKEX01390</t>
        </is>
      </c>
      <c r="B1391" t="inlineStr">
        <is>
          <t>15 LL_Device</t>
        </is>
      </c>
      <c r="C1391" t="inlineStr">
        <is>
          <t>tblDeviceModel</t>
        </is>
      </c>
      <c r="D1391" t="n">
        <v>465</v>
      </c>
      <c r="E1391" t="inlineStr">
        <is>
          <t>MOD000462</t>
        </is>
      </c>
      <c r="F1391" t="inlineStr">
        <is>
          <t>ManufacturerID</t>
        </is>
      </c>
      <c r="G1391" t="inlineStr">
        <is>
          <t>MFG007</t>
        </is>
      </c>
      <c r="H1391" t="inlineStr">
        <is>
          <t>tblManufacturerIDCrosswalk</t>
        </is>
      </c>
      <c r="I1391" t="inlineStr"/>
      <c r="J1391" t="inlineStr">
        <is>
          <t>No Supported Match</t>
        </is>
      </c>
      <c r="K1391" t="inlineStr">
        <is>
          <t>None</t>
        </is>
      </c>
      <c r="L1391" t="inlineStr">
        <is>
          <t>Crosswalk Pending</t>
        </is>
      </c>
      <c r="M1391" t="inlineStr">
        <is>
          <t>Open</t>
        </is>
      </c>
      <c r="N1391" t="inlineStr"/>
    </row>
    <row r="1392">
      <c r="A1392" t="inlineStr">
        <is>
          <t>FKEX01391</t>
        </is>
      </c>
      <c r="B1392" t="inlineStr">
        <is>
          <t>15 LL_Device</t>
        </is>
      </c>
      <c r="C1392" t="inlineStr">
        <is>
          <t>tblDeviceModel</t>
        </is>
      </c>
      <c r="D1392" t="n">
        <v>465</v>
      </c>
      <c r="E1392" t="inlineStr">
        <is>
          <t>MOD000462</t>
        </is>
      </c>
      <c r="F1392" t="inlineStr">
        <is>
          <t>DeviceFamilyID</t>
        </is>
      </c>
      <c r="G1392" t="inlineStr">
        <is>
          <t>DF072</t>
        </is>
      </c>
      <c r="H1392" t="inlineStr">
        <is>
          <t>tblDeviceFamilyIDCrosswalk</t>
        </is>
      </c>
      <c r="I1392" t="inlineStr"/>
      <c r="J1392" t="inlineStr">
        <is>
          <t>tblDeviceModel</t>
        </is>
      </c>
      <c r="K1392" t="inlineStr">
        <is>
          <t>Exact ID</t>
        </is>
      </c>
      <c r="L1392" t="inlineStr">
        <is>
          <t>Crosswalk Pending</t>
        </is>
      </c>
      <c r="M1392" t="inlineStr">
        <is>
          <t>Open</t>
        </is>
      </c>
      <c r="N1392" t="inlineStr"/>
    </row>
    <row r="1393">
      <c r="A1393" t="inlineStr">
        <is>
          <t>FKEX01392</t>
        </is>
      </c>
      <c r="B1393" t="inlineStr">
        <is>
          <t>15 LL_Device</t>
        </is>
      </c>
      <c r="C1393" t="inlineStr">
        <is>
          <t>tblDeviceModel</t>
        </is>
      </c>
      <c r="D1393" t="n">
        <v>465</v>
      </c>
      <c r="E1393" t="inlineStr">
        <is>
          <t>MOD000462</t>
        </is>
      </c>
      <c r="F1393" t="inlineStr">
        <is>
          <t>DeviceTypeID</t>
        </is>
      </c>
      <c r="G1393" t="inlineStr">
        <is>
          <t>DT001</t>
        </is>
      </c>
      <c r="H1393" t="inlineStr">
        <is>
          <t>tblDeviceTypeIDCrosswalk</t>
        </is>
      </c>
      <c r="I1393" t="inlineStr"/>
      <c r="J1393" t="inlineStr">
        <is>
          <t>No Supported Match</t>
        </is>
      </c>
      <c r="K1393" t="inlineStr">
        <is>
          <t>None</t>
        </is>
      </c>
      <c r="L1393" t="inlineStr">
        <is>
          <t>Crosswalk Pending</t>
        </is>
      </c>
      <c r="M1393" t="inlineStr">
        <is>
          <t>Open</t>
        </is>
      </c>
      <c r="N1393" t="inlineStr"/>
    </row>
    <row r="1394">
      <c r="A1394" t="inlineStr">
        <is>
          <t>FKEX01393</t>
        </is>
      </c>
      <c r="B1394" t="inlineStr">
        <is>
          <t>15 LL_Device</t>
        </is>
      </c>
      <c r="C1394" t="inlineStr">
        <is>
          <t>tblDeviceModel</t>
        </is>
      </c>
      <c r="D1394" t="n">
        <v>466</v>
      </c>
      <c r="E1394" t="inlineStr">
        <is>
          <t>MOD000463</t>
        </is>
      </c>
      <c r="F1394" t="inlineStr">
        <is>
          <t>ManufacturerID</t>
        </is>
      </c>
      <c r="G1394" t="inlineStr">
        <is>
          <t>MFG007</t>
        </is>
      </c>
      <c r="H1394" t="inlineStr">
        <is>
          <t>tblManufacturerIDCrosswalk</t>
        </is>
      </c>
      <c r="I1394" t="inlineStr"/>
      <c r="J1394" t="inlineStr">
        <is>
          <t>No Supported Match</t>
        </is>
      </c>
      <c r="K1394" t="inlineStr">
        <is>
          <t>None</t>
        </is>
      </c>
      <c r="L1394" t="inlineStr">
        <is>
          <t>Crosswalk Pending</t>
        </is>
      </c>
      <c r="M1394" t="inlineStr">
        <is>
          <t>Open</t>
        </is>
      </c>
      <c r="N1394" t="inlineStr"/>
    </row>
    <row r="1395">
      <c r="A1395" t="inlineStr">
        <is>
          <t>FKEX01394</t>
        </is>
      </c>
      <c r="B1395" t="inlineStr">
        <is>
          <t>15 LL_Device</t>
        </is>
      </c>
      <c r="C1395" t="inlineStr">
        <is>
          <t>tblDeviceModel</t>
        </is>
      </c>
      <c r="D1395" t="n">
        <v>466</v>
      </c>
      <c r="E1395" t="inlineStr">
        <is>
          <t>MOD000463</t>
        </is>
      </c>
      <c r="F1395" t="inlineStr">
        <is>
          <t>DeviceFamilyID</t>
        </is>
      </c>
      <c r="G1395" t="inlineStr">
        <is>
          <t>DF072</t>
        </is>
      </c>
      <c r="H1395" t="inlineStr">
        <is>
          <t>tblDeviceFamilyIDCrosswalk</t>
        </is>
      </c>
      <c r="I1395" t="inlineStr"/>
      <c r="J1395" t="inlineStr">
        <is>
          <t>tblDeviceModel</t>
        </is>
      </c>
      <c r="K1395" t="inlineStr">
        <is>
          <t>Exact ID</t>
        </is>
      </c>
      <c r="L1395" t="inlineStr">
        <is>
          <t>Crosswalk Pending</t>
        </is>
      </c>
      <c r="M1395" t="inlineStr">
        <is>
          <t>Open</t>
        </is>
      </c>
      <c r="N1395" t="inlineStr"/>
    </row>
    <row r="1396">
      <c r="A1396" t="inlineStr">
        <is>
          <t>FKEX01395</t>
        </is>
      </c>
      <c r="B1396" t="inlineStr">
        <is>
          <t>15 LL_Device</t>
        </is>
      </c>
      <c r="C1396" t="inlineStr">
        <is>
          <t>tblDeviceModel</t>
        </is>
      </c>
      <c r="D1396" t="n">
        <v>466</v>
      </c>
      <c r="E1396" t="inlineStr">
        <is>
          <t>MOD000463</t>
        </is>
      </c>
      <c r="F1396" t="inlineStr">
        <is>
          <t>DeviceTypeID</t>
        </is>
      </c>
      <c r="G1396" t="inlineStr">
        <is>
          <t>DT001</t>
        </is>
      </c>
      <c r="H1396" t="inlineStr">
        <is>
          <t>tblDeviceTypeIDCrosswalk</t>
        </is>
      </c>
      <c r="I1396" t="inlineStr"/>
      <c r="J1396" t="inlineStr">
        <is>
          <t>No Supported Match</t>
        </is>
      </c>
      <c r="K1396" t="inlineStr">
        <is>
          <t>None</t>
        </is>
      </c>
      <c r="L1396" t="inlineStr">
        <is>
          <t>Crosswalk Pending</t>
        </is>
      </c>
      <c r="M1396" t="inlineStr">
        <is>
          <t>Open</t>
        </is>
      </c>
      <c r="N1396" t="inlineStr"/>
    </row>
    <row r="1397">
      <c r="A1397" t="inlineStr">
        <is>
          <t>FKEX01396</t>
        </is>
      </c>
      <c r="B1397" t="inlineStr">
        <is>
          <t>15 LL_Device</t>
        </is>
      </c>
      <c r="C1397" t="inlineStr">
        <is>
          <t>tblDeviceModel</t>
        </is>
      </c>
      <c r="D1397" t="n">
        <v>467</v>
      </c>
      <c r="E1397" t="inlineStr">
        <is>
          <t>MOD000464</t>
        </is>
      </c>
      <c r="F1397" t="inlineStr">
        <is>
          <t>ManufacturerID</t>
        </is>
      </c>
      <c r="G1397" t="inlineStr">
        <is>
          <t>MFG007</t>
        </is>
      </c>
      <c r="H1397" t="inlineStr">
        <is>
          <t>tblManufacturerIDCrosswalk</t>
        </is>
      </c>
      <c r="I1397" t="inlineStr"/>
      <c r="J1397" t="inlineStr">
        <is>
          <t>No Supported Match</t>
        </is>
      </c>
      <c r="K1397" t="inlineStr">
        <is>
          <t>None</t>
        </is>
      </c>
      <c r="L1397" t="inlineStr">
        <is>
          <t>Crosswalk Pending</t>
        </is>
      </c>
      <c r="M1397" t="inlineStr">
        <is>
          <t>Open</t>
        </is>
      </c>
      <c r="N1397" t="inlineStr"/>
    </row>
    <row r="1398">
      <c r="A1398" t="inlineStr">
        <is>
          <t>FKEX01397</t>
        </is>
      </c>
      <c r="B1398" t="inlineStr">
        <is>
          <t>15 LL_Device</t>
        </is>
      </c>
      <c r="C1398" t="inlineStr">
        <is>
          <t>tblDeviceModel</t>
        </is>
      </c>
      <c r="D1398" t="n">
        <v>467</v>
      </c>
      <c r="E1398" t="inlineStr">
        <is>
          <t>MOD000464</t>
        </is>
      </c>
      <c r="F1398" t="inlineStr">
        <is>
          <t>DeviceFamilyID</t>
        </is>
      </c>
      <c r="G1398" t="inlineStr">
        <is>
          <t>DF073</t>
        </is>
      </c>
      <c r="H1398" t="inlineStr">
        <is>
          <t>tblDeviceFamilyIDCrosswalk</t>
        </is>
      </c>
      <c r="I1398" t="inlineStr"/>
      <c r="J1398" t="inlineStr">
        <is>
          <t>tblDeviceModel</t>
        </is>
      </c>
      <c r="K1398" t="inlineStr">
        <is>
          <t>Exact ID</t>
        </is>
      </c>
      <c r="L1398" t="inlineStr">
        <is>
          <t>Crosswalk Pending</t>
        </is>
      </c>
      <c r="M1398" t="inlineStr">
        <is>
          <t>Open</t>
        </is>
      </c>
      <c r="N1398" t="inlineStr"/>
    </row>
    <row r="1399">
      <c r="A1399" t="inlineStr">
        <is>
          <t>FKEX01398</t>
        </is>
      </c>
      <c r="B1399" t="inlineStr">
        <is>
          <t>15 LL_Device</t>
        </is>
      </c>
      <c r="C1399" t="inlineStr">
        <is>
          <t>tblDeviceModel</t>
        </is>
      </c>
      <c r="D1399" t="n">
        <v>467</v>
      </c>
      <c r="E1399" t="inlineStr">
        <is>
          <t>MOD000464</t>
        </is>
      </c>
      <c r="F1399" t="inlineStr">
        <is>
          <t>DeviceTypeID</t>
        </is>
      </c>
      <c r="G1399" t="inlineStr">
        <is>
          <t>DT001</t>
        </is>
      </c>
      <c r="H1399" t="inlineStr">
        <is>
          <t>tblDeviceTypeIDCrosswalk</t>
        </is>
      </c>
      <c r="I1399" t="inlineStr"/>
      <c r="J1399" t="inlineStr">
        <is>
          <t>No Supported Match</t>
        </is>
      </c>
      <c r="K1399" t="inlineStr">
        <is>
          <t>None</t>
        </is>
      </c>
      <c r="L1399" t="inlineStr">
        <is>
          <t>Crosswalk Pending</t>
        </is>
      </c>
      <c r="M1399" t="inlineStr">
        <is>
          <t>Open</t>
        </is>
      </c>
      <c r="N1399" t="inlineStr"/>
    </row>
    <row r="1400">
      <c r="A1400" t="inlineStr">
        <is>
          <t>FKEX01399</t>
        </is>
      </c>
      <c r="B1400" t="inlineStr">
        <is>
          <t>15 LL_Device</t>
        </is>
      </c>
      <c r="C1400" t="inlineStr">
        <is>
          <t>tblDeviceModel</t>
        </is>
      </c>
      <c r="D1400" t="n">
        <v>468</v>
      </c>
      <c r="E1400" t="inlineStr">
        <is>
          <t>MOD000465</t>
        </is>
      </c>
      <c r="F1400" t="inlineStr">
        <is>
          <t>ManufacturerID</t>
        </is>
      </c>
      <c r="G1400" t="inlineStr">
        <is>
          <t>MFG007</t>
        </is>
      </c>
      <c r="H1400" t="inlineStr">
        <is>
          <t>tblManufacturerIDCrosswalk</t>
        </is>
      </c>
      <c r="I1400" t="inlineStr"/>
      <c r="J1400" t="inlineStr">
        <is>
          <t>No Supported Match</t>
        </is>
      </c>
      <c r="K1400" t="inlineStr">
        <is>
          <t>None</t>
        </is>
      </c>
      <c r="L1400" t="inlineStr">
        <is>
          <t>Crosswalk Pending</t>
        </is>
      </c>
      <c r="M1400" t="inlineStr">
        <is>
          <t>Open</t>
        </is>
      </c>
      <c r="N1400" t="inlineStr"/>
    </row>
    <row r="1401">
      <c r="A1401" t="inlineStr">
        <is>
          <t>FKEX01400</t>
        </is>
      </c>
      <c r="B1401" t="inlineStr">
        <is>
          <t>15 LL_Device</t>
        </is>
      </c>
      <c r="C1401" t="inlineStr">
        <is>
          <t>tblDeviceModel</t>
        </is>
      </c>
      <c r="D1401" t="n">
        <v>468</v>
      </c>
      <c r="E1401" t="inlineStr">
        <is>
          <t>MOD000465</t>
        </is>
      </c>
      <c r="F1401" t="inlineStr">
        <is>
          <t>DeviceFamilyID</t>
        </is>
      </c>
      <c r="G1401" t="inlineStr">
        <is>
          <t>DF073</t>
        </is>
      </c>
      <c r="H1401" t="inlineStr">
        <is>
          <t>tblDeviceFamilyIDCrosswalk</t>
        </is>
      </c>
      <c r="I1401" t="inlineStr"/>
      <c r="J1401" t="inlineStr">
        <is>
          <t>tblDeviceModel</t>
        </is>
      </c>
      <c r="K1401" t="inlineStr">
        <is>
          <t>Exact ID</t>
        </is>
      </c>
      <c r="L1401" t="inlineStr">
        <is>
          <t>Crosswalk Pending</t>
        </is>
      </c>
      <c r="M1401" t="inlineStr">
        <is>
          <t>Open</t>
        </is>
      </c>
      <c r="N1401" t="inlineStr"/>
    </row>
    <row r="1402">
      <c r="A1402" t="inlineStr">
        <is>
          <t>FKEX01401</t>
        </is>
      </c>
      <c r="B1402" t="inlineStr">
        <is>
          <t>15 LL_Device</t>
        </is>
      </c>
      <c r="C1402" t="inlineStr">
        <is>
          <t>tblDeviceModel</t>
        </is>
      </c>
      <c r="D1402" t="n">
        <v>468</v>
      </c>
      <c r="E1402" t="inlineStr">
        <is>
          <t>MOD000465</t>
        </is>
      </c>
      <c r="F1402" t="inlineStr">
        <is>
          <t>DeviceTypeID</t>
        </is>
      </c>
      <c r="G1402" t="inlineStr">
        <is>
          <t>DT001</t>
        </is>
      </c>
      <c r="H1402" t="inlineStr">
        <is>
          <t>tblDeviceTypeIDCrosswalk</t>
        </is>
      </c>
      <c r="I1402" t="inlineStr"/>
      <c r="J1402" t="inlineStr">
        <is>
          <t>No Supported Match</t>
        </is>
      </c>
      <c r="K1402" t="inlineStr">
        <is>
          <t>None</t>
        </is>
      </c>
      <c r="L1402" t="inlineStr">
        <is>
          <t>Crosswalk Pending</t>
        </is>
      </c>
      <c r="M1402" t="inlineStr">
        <is>
          <t>Open</t>
        </is>
      </c>
      <c r="N1402" t="inlineStr"/>
    </row>
    <row r="1403">
      <c r="A1403" t="inlineStr">
        <is>
          <t>FKEX01402</t>
        </is>
      </c>
      <c r="B1403" t="inlineStr">
        <is>
          <t>15 LL_Device</t>
        </is>
      </c>
      <c r="C1403" t="inlineStr">
        <is>
          <t>tblDeviceModel</t>
        </is>
      </c>
      <c r="D1403" t="n">
        <v>469</v>
      </c>
      <c r="E1403" t="inlineStr">
        <is>
          <t>MOD000466</t>
        </is>
      </c>
      <c r="F1403" t="inlineStr">
        <is>
          <t>ManufacturerID</t>
        </is>
      </c>
      <c r="G1403" t="inlineStr">
        <is>
          <t>MFG007</t>
        </is>
      </c>
      <c r="H1403" t="inlineStr">
        <is>
          <t>tblManufacturerIDCrosswalk</t>
        </is>
      </c>
      <c r="I1403" t="inlineStr"/>
      <c r="J1403" t="inlineStr">
        <is>
          <t>No Supported Match</t>
        </is>
      </c>
      <c r="K1403" t="inlineStr">
        <is>
          <t>None</t>
        </is>
      </c>
      <c r="L1403" t="inlineStr">
        <is>
          <t>Crosswalk Pending</t>
        </is>
      </c>
      <c r="M1403" t="inlineStr">
        <is>
          <t>Open</t>
        </is>
      </c>
      <c r="N1403" t="inlineStr"/>
    </row>
    <row r="1404">
      <c r="A1404" t="inlineStr">
        <is>
          <t>FKEX01403</t>
        </is>
      </c>
      <c r="B1404" t="inlineStr">
        <is>
          <t>15 LL_Device</t>
        </is>
      </c>
      <c r="C1404" t="inlineStr">
        <is>
          <t>tblDeviceModel</t>
        </is>
      </c>
      <c r="D1404" t="n">
        <v>469</v>
      </c>
      <c r="E1404" t="inlineStr">
        <is>
          <t>MOD000466</t>
        </is>
      </c>
      <c r="F1404" t="inlineStr">
        <is>
          <t>DeviceFamilyID</t>
        </is>
      </c>
      <c r="G1404" t="inlineStr">
        <is>
          <t>DF073</t>
        </is>
      </c>
      <c r="H1404" t="inlineStr">
        <is>
          <t>tblDeviceFamilyIDCrosswalk</t>
        </is>
      </c>
      <c r="I1404" t="inlineStr"/>
      <c r="J1404" t="inlineStr">
        <is>
          <t>tblDeviceModel</t>
        </is>
      </c>
      <c r="K1404" t="inlineStr">
        <is>
          <t>Exact ID</t>
        </is>
      </c>
      <c r="L1404" t="inlineStr">
        <is>
          <t>Crosswalk Pending</t>
        </is>
      </c>
      <c r="M1404" t="inlineStr">
        <is>
          <t>Open</t>
        </is>
      </c>
      <c r="N1404" t="inlineStr"/>
    </row>
    <row r="1405">
      <c r="A1405" t="inlineStr">
        <is>
          <t>FKEX01404</t>
        </is>
      </c>
      <c r="B1405" t="inlineStr">
        <is>
          <t>15 LL_Device</t>
        </is>
      </c>
      <c r="C1405" t="inlineStr">
        <is>
          <t>tblDeviceModel</t>
        </is>
      </c>
      <c r="D1405" t="n">
        <v>469</v>
      </c>
      <c r="E1405" t="inlineStr">
        <is>
          <t>MOD000466</t>
        </is>
      </c>
      <c r="F1405" t="inlineStr">
        <is>
          <t>DeviceTypeID</t>
        </is>
      </c>
      <c r="G1405" t="inlineStr">
        <is>
          <t>DT001</t>
        </is>
      </c>
      <c r="H1405" t="inlineStr">
        <is>
          <t>tblDeviceTypeIDCrosswalk</t>
        </is>
      </c>
      <c r="I1405" t="inlineStr"/>
      <c r="J1405" t="inlineStr">
        <is>
          <t>No Supported Match</t>
        </is>
      </c>
      <c r="K1405" t="inlineStr">
        <is>
          <t>None</t>
        </is>
      </c>
      <c r="L1405" t="inlineStr">
        <is>
          <t>Crosswalk Pending</t>
        </is>
      </c>
      <c r="M1405" t="inlineStr">
        <is>
          <t>Open</t>
        </is>
      </c>
      <c r="N1405" t="inlineStr"/>
    </row>
    <row r="1406">
      <c r="A1406" t="inlineStr">
        <is>
          <t>FKEX01405</t>
        </is>
      </c>
      <c r="B1406" t="inlineStr">
        <is>
          <t>15 LL_Device</t>
        </is>
      </c>
      <c r="C1406" t="inlineStr">
        <is>
          <t>tblDeviceModel</t>
        </is>
      </c>
      <c r="D1406" t="n">
        <v>470</v>
      </c>
      <c r="E1406" t="inlineStr">
        <is>
          <t>MOD000467</t>
        </is>
      </c>
      <c r="F1406" t="inlineStr">
        <is>
          <t>ManufacturerID</t>
        </is>
      </c>
      <c r="G1406" t="inlineStr">
        <is>
          <t>MFG007</t>
        </is>
      </c>
      <c r="H1406" t="inlineStr">
        <is>
          <t>tblManufacturerIDCrosswalk</t>
        </is>
      </c>
      <c r="I1406" t="inlineStr"/>
      <c r="J1406" t="inlineStr">
        <is>
          <t>No Supported Match</t>
        </is>
      </c>
      <c r="K1406" t="inlineStr">
        <is>
          <t>None</t>
        </is>
      </c>
      <c r="L1406" t="inlineStr">
        <is>
          <t>Crosswalk Pending</t>
        </is>
      </c>
      <c r="M1406" t="inlineStr">
        <is>
          <t>Open</t>
        </is>
      </c>
      <c r="N1406" t="inlineStr"/>
    </row>
    <row r="1407">
      <c r="A1407" t="inlineStr">
        <is>
          <t>FKEX01406</t>
        </is>
      </c>
      <c r="B1407" t="inlineStr">
        <is>
          <t>15 LL_Device</t>
        </is>
      </c>
      <c r="C1407" t="inlineStr">
        <is>
          <t>tblDeviceModel</t>
        </is>
      </c>
      <c r="D1407" t="n">
        <v>470</v>
      </c>
      <c r="E1407" t="inlineStr">
        <is>
          <t>MOD000467</t>
        </is>
      </c>
      <c r="F1407" t="inlineStr">
        <is>
          <t>DeviceFamilyID</t>
        </is>
      </c>
      <c r="G1407" t="inlineStr">
        <is>
          <t>DF074</t>
        </is>
      </c>
      <c r="H1407" t="inlineStr">
        <is>
          <t>tblDeviceFamilyIDCrosswalk</t>
        </is>
      </c>
      <c r="I1407" t="inlineStr"/>
      <c r="J1407" t="inlineStr">
        <is>
          <t>tblDeviceModel</t>
        </is>
      </c>
      <c r="K1407" t="inlineStr">
        <is>
          <t>Exact ID</t>
        </is>
      </c>
      <c r="L1407" t="inlineStr">
        <is>
          <t>Crosswalk Pending</t>
        </is>
      </c>
      <c r="M1407" t="inlineStr">
        <is>
          <t>Open</t>
        </is>
      </c>
      <c r="N1407" t="inlineStr"/>
    </row>
    <row r="1408">
      <c r="A1408" t="inlineStr">
        <is>
          <t>FKEX01407</t>
        </is>
      </c>
      <c r="B1408" t="inlineStr">
        <is>
          <t>15 LL_Device</t>
        </is>
      </c>
      <c r="C1408" t="inlineStr">
        <is>
          <t>tblDeviceModel</t>
        </is>
      </c>
      <c r="D1408" t="n">
        <v>470</v>
      </c>
      <c r="E1408" t="inlineStr">
        <is>
          <t>MOD000467</t>
        </is>
      </c>
      <c r="F1408" t="inlineStr">
        <is>
          <t>DeviceTypeID</t>
        </is>
      </c>
      <c r="G1408" t="inlineStr">
        <is>
          <t>DT001</t>
        </is>
      </c>
      <c r="H1408" t="inlineStr">
        <is>
          <t>tblDeviceTypeIDCrosswalk</t>
        </is>
      </c>
      <c r="I1408" t="inlineStr"/>
      <c r="J1408" t="inlineStr">
        <is>
          <t>No Supported Match</t>
        </is>
      </c>
      <c r="K1408" t="inlineStr">
        <is>
          <t>None</t>
        </is>
      </c>
      <c r="L1408" t="inlineStr">
        <is>
          <t>Crosswalk Pending</t>
        </is>
      </c>
      <c r="M1408" t="inlineStr">
        <is>
          <t>Open</t>
        </is>
      </c>
      <c r="N1408" t="inlineStr"/>
    </row>
    <row r="1409">
      <c r="A1409" t="inlineStr">
        <is>
          <t>FKEX01408</t>
        </is>
      </c>
      <c r="B1409" t="inlineStr">
        <is>
          <t>15 LL_Device</t>
        </is>
      </c>
      <c r="C1409" t="inlineStr">
        <is>
          <t>tblDeviceModel</t>
        </is>
      </c>
      <c r="D1409" t="n">
        <v>471</v>
      </c>
      <c r="E1409" t="inlineStr">
        <is>
          <t>MOD000468</t>
        </is>
      </c>
      <c r="F1409" t="inlineStr">
        <is>
          <t>ManufacturerID</t>
        </is>
      </c>
      <c r="G1409" t="inlineStr">
        <is>
          <t>MFG007</t>
        </is>
      </c>
      <c r="H1409" t="inlineStr">
        <is>
          <t>tblManufacturerIDCrosswalk</t>
        </is>
      </c>
      <c r="I1409" t="inlineStr"/>
      <c r="J1409" t="inlineStr">
        <is>
          <t>No Supported Match</t>
        </is>
      </c>
      <c r="K1409" t="inlineStr">
        <is>
          <t>None</t>
        </is>
      </c>
      <c r="L1409" t="inlineStr">
        <is>
          <t>Crosswalk Pending</t>
        </is>
      </c>
      <c r="M1409" t="inlineStr">
        <is>
          <t>Open</t>
        </is>
      </c>
      <c r="N1409" t="inlineStr"/>
    </row>
    <row r="1410">
      <c r="A1410" t="inlineStr">
        <is>
          <t>FKEX01409</t>
        </is>
      </c>
      <c r="B1410" t="inlineStr">
        <is>
          <t>15 LL_Device</t>
        </is>
      </c>
      <c r="C1410" t="inlineStr">
        <is>
          <t>tblDeviceModel</t>
        </is>
      </c>
      <c r="D1410" t="n">
        <v>471</v>
      </c>
      <c r="E1410" t="inlineStr">
        <is>
          <t>MOD000468</t>
        </is>
      </c>
      <c r="F1410" t="inlineStr">
        <is>
          <t>DeviceFamilyID</t>
        </is>
      </c>
      <c r="G1410" t="inlineStr">
        <is>
          <t>DF074</t>
        </is>
      </c>
      <c r="H1410" t="inlineStr">
        <is>
          <t>tblDeviceFamilyIDCrosswalk</t>
        </is>
      </c>
      <c r="I1410" t="inlineStr"/>
      <c r="J1410" t="inlineStr">
        <is>
          <t>tblDeviceModel</t>
        </is>
      </c>
      <c r="K1410" t="inlineStr">
        <is>
          <t>Exact ID</t>
        </is>
      </c>
      <c r="L1410" t="inlineStr">
        <is>
          <t>Crosswalk Pending</t>
        </is>
      </c>
      <c r="M1410" t="inlineStr">
        <is>
          <t>Open</t>
        </is>
      </c>
      <c r="N1410" t="inlineStr"/>
    </row>
    <row r="1411">
      <c r="A1411" t="inlineStr">
        <is>
          <t>FKEX01410</t>
        </is>
      </c>
      <c r="B1411" t="inlineStr">
        <is>
          <t>15 LL_Device</t>
        </is>
      </c>
      <c r="C1411" t="inlineStr">
        <is>
          <t>tblDeviceModel</t>
        </is>
      </c>
      <c r="D1411" t="n">
        <v>471</v>
      </c>
      <c r="E1411" t="inlineStr">
        <is>
          <t>MOD000468</t>
        </is>
      </c>
      <c r="F1411" t="inlineStr">
        <is>
          <t>DeviceTypeID</t>
        </is>
      </c>
      <c r="G1411" t="inlineStr">
        <is>
          <t>DT001</t>
        </is>
      </c>
      <c r="H1411" t="inlineStr">
        <is>
          <t>tblDeviceTypeIDCrosswalk</t>
        </is>
      </c>
      <c r="I1411" t="inlineStr"/>
      <c r="J1411" t="inlineStr">
        <is>
          <t>No Supported Match</t>
        </is>
      </c>
      <c r="K1411" t="inlineStr">
        <is>
          <t>None</t>
        </is>
      </c>
      <c r="L1411" t="inlineStr">
        <is>
          <t>Crosswalk Pending</t>
        </is>
      </c>
      <c r="M1411" t="inlineStr">
        <is>
          <t>Open</t>
        </is>
      </c>
      <c r="N1411" t="inlineStr"/>
    </row>
    <row r="1412">
      <c r="A1412" t="inlineStr">
        <is>
          <t>FKEX01411</t>
        </is>
      </c>
      <c r="B1412" t="inlineStr">
        <is>
          <t>15 LL_Device</t>
        </is>
      </c>
      <c r="C1412" t="inlineStr">
        <is>
          <t>tblDeviceModel</t>
        </is>
      </c>
      <c r="D1412" t="n">
        <v>472</v>
      </c>
      <c r="E1412" t="inlineStr">
        <is>
          <t>MOD000469</t>
        </is>
      </c>
      <c r="F1412" t="inlineStr">
        <is>
          <t>ManufacturerID</t>
        </is>
      </c>
      <c r="G1412" t="inlineStr">
        <is>
          <t>MFG007</t>
        </is>
      </c>
      <c r="H1412" t="inlineStr">
        <is>
          <t>tblManufacturerIDCrosswalk</t>
        </is>
      </c>
      <c r="I1412" t="inlineStr"/>
      <c r="J1412" t="inlineStr">
        <is>
          <t>No Supported Match</t>
        </is>
      </c>
      <c r="K1412" t="inlineStr">
        <is>
          <t>None</t>
        </is>
      </c>
      <c r="L1412" t="inlineStr">
        <is>
          <t>Crosswalk Pending</t>
        </is>
      </c>
      <c r="M1412" t="inlineStr">
        <is>
          <t>Open</t>
        </is>
      </c>
      <c r="N1412" t="inlineStr"/>
    </row>
    <row r="1413">
      <c r="A1413" t="inlineStr">
        <is>
          <t>FKEX01412</t>
        </is>
      </c>
      <c r="B1413" t="inlineStr">
        <is>
          <t>15 LL_Device</t>
        </is>
      </c>
      <c r="C1413" t="inlineStr">
        <is>
          <t>tblDeviceModel</t>
        </is>
      </c>
      <c r="D1413" t="n">
        <v>472</v>
      </c>
      <c r="E1413" t="inlineStr">
        <is>
          <t>MOD000469</t>
        </is>
      </c>
      <c r="F1413" t="inlineStr">
        <is>
          <t>DeviceFamilyID</t>
        </is>
      </c>
      <c r="G1413" t="inlineStr">
        <is>
          <t>DF071</t>
        </is>
      </c>
      <c r="H1413" t="inlineStr">
        <is>
          <t>tblDeviceFamilyIDCrosswalk</t>
        </is>
      </c>
      <c r="I1413" t="inlineStr"/>
      <c r="J1413" t="inlineStr">
        <is>
          <t>tblDeviceModel</t>
        </is>
      </c>
      <c r="K1413" t="inlineStr">
        <is>
          <t>Exact ID</t>
        </is>
      </c>
      <c r="L1413" t="inlineStr">
        <is>
          <t>Crosswalk Pending</t>
        </is>
      </c>
      <c r="M1413" t="inlineStr">
        <is>
          <t>Open</t>
        </is>
      </c>
      <c r="N1413" t="inlineStr"/>
    </row>
    <row r="1414">
      <c r="A1414" t="inlineStr">
        <is>
          <t>FKEX01413</t>
        </is>
      </c>
      <c r="B1414" t="inlineStr">
        <is>
          <t>15 LL_Device</t>
        </is>
      </c>
      <c r="C1414" t="inlineStr">
        <is>
          <t>tblDeviceModel</t>
        </is>
      </c>
      <c r="D1414" t="n">
        <v>472</v>
      </c>
      <c r="E1414" t="inlineStr">
        <is>
          <t>MOD000469</t>
        </is>
      </c>
      <c r="F1414" t="inlineStr">
        <is>
          <t>DeviceTypeID</t>
        </is>
      </c>
      <c r="G1414" t="inlineStr">
        <is>
          <t>DT001</t>
        </is>
      </c>
      <c r="H1414" t="inlineStr">
        <is>
          <t>tblDeviceTypeIDCrosswalk</t>
        </is>
      </c>
      <c r="I1414" t="inlineStr"/>
      <c r="J1414" t="inlineStr">
        <is>
          <t>No Supported Match</t>
        </is>
      </c>
      <c r="K1414" t="inlineStr">
        <is>
          <t>None</t>
        </is>
      </c>
      <c r="L1414" t="inlineStr">
        <is>
          <t>Crosswalk Pending</t>
        </is>
      </c>
      <c r="M1414" t="inlineStr">
        <is>
          <t>Open</t>
        </is>
      </c>
      <c r="N1414" t="inlineStr"/>
    </row>
    <row r="1415">
      <c r="A1415" t="inlineStr">
        <is>
          <t>FKEX01414</t>
        </is>
      </c>
      <c r="B1415" t="inlineStr">
        <is>
          <t>15 LL_Device</t>
        </is>
      </c>
      <c r="C1415" t="inlineStr">
        <is>
          <t>tblDeviceModel</t>
        </is>
      </c>
      <c r="D1415" t="n">
        <v>473</v>
      </c>
      <c r="E1415" t="inlineStr">
        <is>
          <t>MOD000470</t>
        </is>
      </c>
      <c r="F1415" t="inlineStr">
        <is>
          <t>ManufacturerID</t>
        </is>
      </c>
      <c r="G1415" t="inlineStr">
        <is>
          <t>MFG007</t>
        </is>
      </c>
      <c r="H1415" t="inlineStr">
        <is>
          <t>tblManufacturerIDCrosswalk</t>
        </is>
      </c>
      <c r="I1415" t="inlineStr"/>
      <c r="J1415" t="inlineStr">
        <is>
          <t>No Supported Match</t>
        </is>
      </c>
      <c r="K1415" t="inlineStr">
        <is>
          <t>None</t>
        </is>
      </c>
      <c r="L1415" t="inlineStr">
        <is>
          <t>Crosswalk Pending</t>
        </is>
      </c>
      <c r="M1415" t="inlineStr">
        <is>
          <t>Open</t>
        </is>
      </c>
      <c r="N1415" t="inlineStr"/>
    </row>
    <row r="1416">
      <c r="A1416" t="inlineStr">
        <is>
          <t>FKEX01415</t>
        </is>
      </c>
      <c r="B1416" t="inlineStr">
        <is>
          <t>15 LL_Device</t>
        </is>
      </c>
      <c r="C1416" t="inlineStr">
        <is>
          <t>tblDeviceModel</t>
        </is>
      </c>
      <c r="D1416" t="n">
        <v>473</v>
      </c>
      <c r="E1416" t="inlineStr">
        <is>
          <t>MOD000470</t>
        </is>
      </c>
      <c r="F1416" t="inlineStr">
        <is>
          <t>DeviceFamilyID</t>
        </is>
      </c>
      <c r="G1416" t="inlineStr">
        <is>
          <t>DF071</t>
        </is>
      </c>
      <c r="H1416" t="inlineStr">
        <is>
          <t>tblDeviceFamilyIDCrosswalk</t>
        </is>
      </c>
      <c r="I1416" t="inlineStr"/>
      <c r="J1416" t="inlineStr">
        <is>
          <t>tblDeviceModel</t>
        </is>
      </c>
      <c r="K1416" t="inlineStr">
        <is>
          <t>Exact ID</t>
        </is>
      </c>
      <c r="L1416" t="inlineStr">
        <is>
          <t>Crosswalk Pending</t>
        </is>
      </c>
      <c r="M1416" t="inlineStr">
        <is>
          <t>Open</t>
        </is>
      </c>
      <c r="N1416" t="inlineStr"/>
    </row>
    <row r="1417">
      <c r="A1417" t="inlineStr">
        <is>
          <t>FKEX01416</t>
        </is>
      </c>
      <c r="B1417" t="inlineStr">
        <is>
          <t>15 LL_Device</t>
        </is>
      </c>
      <c r="C1417" t="inlineStr">
        <is>
          <t>tblDeviceModel</t>
        </is>
      </c>
      <c r="D1417" t="n">
        <v>473</v>
      </c>
      <c r="E1417" t="inlineStr">
        <is>
          <t>MOD000470</t>
        </is>
      </c>
      <c r="F1417" t="inlineStr">
        <is>
          <t>DeviceTypeID</t>
        </is>
      </c>
      <c r="G1417" t="inlineStr">
        <is>
          <t>DT001</t>
        </is>
      </c>
      <c r="H1417" t="inlineStr">
        <is>
          <t>tblDeviceTypeIDCrosswalk</t>
        </is>
      </c>
      <c r="I1417" t="inlineStr"/>
      <c r="J1417" t="inlineStr">
        <is>
          <t>No Supported Match</t>
        </is>
      </c>
      <c r="K1417" t="inlineStr">
        <is>
          <t>None</t>
        </is>
      </c>
      <c r="L1417" t="inlineStr">
        <is>
          <t>Crosswalk Pending</t>
        </is>
      </c>
      <c r="M1417" t="inlineStr">
        <is>
          <t>Open</t>
        </is>
      </c>
      <c r="N1417" t="inlineStr"/>
    </row>
    <row r="1418">
      <c r="A1418" t="inlineStr">
        <is>
          <t>FKEX01417</t>
        </is>
      </c>
      <c r="B1418" t="inlineStr">
        <is>
          <t>15 LL_Device</t>
        </is>
      </c>
      <c r="C1418" t="inlineStr">
        <is>
          <t>tblDeviceModel</t>
        </is>
      </c>
      <c r="D1418" t="n">
        <v>474</v>
      </c>
      <c r="E1418" t="inlineStr">
        <is>
          <t>MOD000471</t>
        </is>
      </c>
      <c r="F1418" t="inlineStr">
        <is>
          <t>ManufacturerID</t>
        </is>
      </c>
      <c r="G1418" t="inlineStr">
        <is>
          <t>MFG007</t>
        </is>
      </c>
      <c r="H1418" t="inlineStr">
        <is>
          <t>tblManufacturerIDCrosswalk</t>
        </is>
      </c>
      <c r="I1418" t="inlineStr"/>
      <c r="J1418" t="inlineStr">
        <is>
          <t>No Supported Match</t>
        </is>
      </c>
      <c r="K1418" t="inlineStr">
        <is>
          <t>None</t>
        </is>
      </c>
      <c r="L1418" t="inlineStr">
        <is>
          <t>Crosswalk Pending</t>
        </is>
      </c>
      <c r="M1418" t="inlineStr">
        <is>
          <t>Open</t>
        </is>
      </c>
      <c r="N1418" t="inlineStr"/>
    </row>
    <row r="1419">
      <c r="A1419" t="inlineStr">
        <is>
          <t>FKEX01418</t>
        </is>
      </c>
      <c r="B1419" t="inlineStr">
        <is>
          <t>15 LL_Device</t>
        </is>
      </c>
      <c r="C1419" t="inlineStr">
        <is>
          <t>tblDeviceModel</t>
        </is>
      </c>
      <c r="D1419" t="n">
        <v>474</v>
      </c>
      <c r="E1419" t="inlineStr">
        <is>
          <t>MOD000471</t>
        </is>
      </c>
      <c r="F1419" t="inlineStr">
        <is>
          <t>DeviceFamilyID</t>
        </is>
      </c>
      <c r="G1419" t="inlineStr">
        <is>
          <t>DF075</t>
        </is>
      </c>
      <c r="H1419" t="inlineStr">
        <is>
          <t>tblDeviceFamilyIDCrosswalk</t>
        </is>
      </c>
      <c r="I1419" t="inlineStr"/>
      <c r="J1419" t="inlineStr">
        <is>
          <t>tblDeviceModel</t>
        </is>
      </c>
      <c r="K1419" t="inlineStr">
        <is>
          <t>Exact ID</t>
        </is>
      </c>
      <c r="L1419" t="inlineStr">
        <is>
          <t>Crosswalk Pending</t>
        </is>
      </c>
      <c r="M1419" t="inlineStr">
        <is>
          <t>Open</t>
        </is>
      </c>
      <c r="N1419" t="inlineStr"/>
    </row>
    <row r="1420">
      <c r="A1420" t="inlineStr">
        <is>
          <t>FKEX01419</t>
        </is>
      </c>
      <c r="B1420" t="inlineStr">
        <is>
          <t>15 LL_Device</t>
        </is>
      </c>
      <c r="C1420" t="inlineStr">
        <is>
          <t>tblDeviceModel</t>
        </is>
      </c>
      <c r="D1420" t="n">
        <v>474</v>
      </c>
      <c r="E1420" t="inlineStr">
        <is>
          <t>MOD000471</t>
        </is>
      </c>
      <c r="F1420" t="inlineStr">
        <is>
          <t>DeviceTypeID</t>
        </is>
      </c>
      <c r="G1420" t="inlineStr">
        <is>
          <t>DT002</t>
        </is>
      </c>
      <c r="H1420" t="inlineStr">
        <is>
          <t>tblDeviceTypeIDCrosswalk</t>
        </is>
      </c>
      <c r="I1420" t="inlineStr"/>
      <c r="J1420" t="inlineStr">
        <is>
          <t>No Supported Match</t>
        </is>
      </c>
      <c r="K1420" t="inlineStr">
        <is>
          <t>None</t>
        </is>
      </c>
      <c r="L1420" t="inlineStr">
        <is>
          <t>Crosswalk Pending</t>
        </is>
      </c>
      <c r="M1420" t="inlineStr">
        <is>
          <t>Open</t>
        </is>
      </c>
      <c r="N1420" t="inlineStr"/>
    </row>
    <row r="1421">
      <c r="A1421" t="inlineStr">
        <is>
          <t>FKEX01420</t>
        </is>
      </c>
      <c r="B1421" t="inlineStr">
        <is>
          <t>15 LL_Device</t>
        </is>
      </c>
      <c r="C1421" t="inlineStr">
        <is>
          <t>tblDeviceModel</t>
        </is>
      </c>
      <c r="D1421" t="n">
        <v>475</v>
      </c>
      <c r="E1421" t="inlineStr">
        <is>
          <t>MOD000472</t>
        </is>
      </c>
      <c r="F1421" t="inlineStr">
        <is>
          <t>ManufacturerID</t>
        </is>
      </c>
      <c r="G1421" t="inlineStr">
        <is>
          <t>MFG007</t>
        </is>
      </c>
      <c r="H1421" t="inlineStr">
        <is>
          <t>tblManufacturerIDCrosswalk</t>
        </is>
      </c>
      <c r="I1421" t="inlineStr"/>
      <c r="J1421" t="inlineStr">
        <is>
          <t>No Supported Match</t>
        </is>
      </c>
      <c r="K1421" t="inlineStr">
        <is>
          <t>None</t>
        </is>
      </c>
      <c r="L1421" t="inlineStr">
        <is>
          <t>Crosswalk Pending</t>
        </is>
      </c>
      <c r="M1421" t="inlineStr">
        <is>
          <t>Open</t>
        </is>
      </c>
      <c r="N1421" t="inlineStr"/>
    </row>
    <row r="1422">
      <c r="A1422" t="inlineStr">
        <is>
          <t>FKEX01421</t>
        </is>
      </c>
      <c r="B1422" t="inlineStr">
        <is>
          <t>15 LL_Device</t>
        </is>
      </c>
      <c r="C1422" t="inlineStr">
        <is>
          <t>tblDeviceModel</t>
        </is>
      </c>
      <c r="D1422" t="n">
        <v>475</v>
      </c>
      <c r="E1422" t="inlineStr">
        <is>
          <t>MOD000472</t>
        </is>
      </c>
      <c r="F1422" t="inlineStr">
        <is>
          <t>DeviceFamilyID</t>
        </is>
      </c>
      <c r="G1422" t="inlineStr">
        <is>
          <t>DF075</t>
        </is>
      </c>
      <c r="H1422" t="inlineStr">
        <is>
          <t>tblDeviceFamilyIDCrosswalk</t>
        </is>
      </c>
      <c r="I1422" t="inlineStr"/>
      <c r="J1422" t="inlineStr">
        <is>
          <t>tblDeviceModel</t>
        </is>
      </c>
      <c r="K1422" t="inlineStr">
        <is>
          <t>Exact ID</t>
        </is>
      </c>
      <c r="L1422" t="inlineStr">
        <is>
          <t>Crosswalk Pending</t>
        </is>
      </c>
      <c r="M1422" t="inlineStr">
        <is>
          <t>Open</t>
        </is>
      </c>
      <c r="N1422" t="inlineStr"/>
    </row>
    <row r="1423">
      <c r="A1423" t="inlineStr">
        <is>
          <t>FKEX01422</t>
        </is>
      </c>
      <c r="B1423" t="inlineStr">
        <is>
          <t>15 LL_Device</t>
        </is>
      </c>
      <c r="C1423" t="inlineStr">
        <is>
          <t>tblDeviceModel</t>
        </is>
      </c>
      <c r="D1423" t="n">
        <v>475</v>
      </c>
      <c r="E1423" t="inlineStr">
        <is>
          <t>MOD000472</t>
        </is>
      </c>
      <c r="F1423" t="inlineStr">
        <is>
          <t>DeviceTypeID</t>
        </is>
      </c>
      <c r="G1423" t="inlineStr">
        <is>
          <t>DT002</t>
        </is>
      </c>
      <c r="H1423" t="inlineStr">
        <is>
          <t>tblDeviceTypeIDCrosswalk</t>
        </is>
      </c>
      <c r="I1423" t="inlineStr"/>
      <c r="J1423" t="inlineStr">
        <is>
          <t>No Supported Match</t>
        </is>
      </c>
      <c r="K1423" t="inlineStr">
        <is>
          <t>None</t>
        </is>
      </c>
      <c r="L1423" t="inlineStr">
        <is>
          <t>Crosswalk Pending</t>
        </is>
      </c>
      <c r="M1423" t="inlineStr">
        <is>
          <t>Open</t>
        </is>
      </c>
      <c r="N1423" t="inlineStr"/>
    </row>
    <row r="1424">
      <c r="A1424" t="inlineStr">
        <is>
          <t>FKEX01423</t>
        </is>
      </c>
      <c r="B1424" t="inlineStr">
        <is>
          <t>15 LL_Device</t>
        </is>
      </c>
      <c r="C1424" t="inlineStr">
        <is>
          <t>tblDeviceModel</t>
        </is>
      </c>
      <c r="D1424" t="n">
        <v>476</v>
      </c>
      <c r="E1424" t="inlineStr">
        <is>
          <t>MOD000473</t>
        </is>
      </c>
      <c r="F1424" t="inlineStr">
        <is>
          <t>ManufacturerID</t>
        </is>
      </c>
      <c r="G1424" t="inlineStr">
        <is>
          <t>MFG007</t>
        </is>
      </c>
      <c r="H1424" t="inlineStr">
        <is>
          <t>tblManufacturerIDCrosswalk</t>
        </is>
      </c>
      <c r="I1424" t="inlineStr"/>
      <c r="J1424" t="inlineStr">
        <is>
          <t>No Supported Match</t>
        </is>
      </c>
      <c r="K1424" t="inlineStr">
        <is>
          <t>None</t>
        </is>
      </c>
      <c r="L1424" t="inlineStr">
        <is>
          <t>Crosswalk Pending</t>
        </is>
      </c>
      <c r="M1424" t="inlineStr">
        <is>
          <t>Open</t>
        </is>
      </c>
      <c r="N1424" t="inlineStr"/>
    </row>
    <row r="1425">
      <c r="A1425" t="inlineStr">
        <is>
          <t>FKEX01424</t>
        </is>
      </c>
      <c r="B1425" t="inlineStr">
        <is>
          <t>15 LL_Device</t>
        </is>
      </c>
      <c r="C1425" t="inlineStr">
        <is>
          <t>tblDeviceModel</t>
        </is>
      </c>
      <c r="D1425" t="n">
        <v>476</v>
      </c>
      <c r="E1425" t="inlineStr">
        <is>
          <t>MOD000473</t>
        </is>
      </c>
      <c r="F1425" t="inlineStr">
        <is>
          <t>DeviceFamilyID</t>
        </is>
      </c>
      <c r="G1425" t="inlineStr">
        <is>
          <t>DF076</t>
        </is>
      </c>
      <c r="H1425" t="inlineStr">
        <is>
          <t>tblDeviceFamilyIDCrosswalk</t>
        </is>
      </c>
      <c r="I1425" t="inlineStr"/>
      <c r="J1425" t="inlineStr">
        <is>
          <t>tblDeviceModel</t>
        </is>
      </c>
      <c r="K1425" t="inlineStr">
        <is>
          <t>Exact ID</t>
        </is>
      </c>
      <c r="L1425" t="inlineStr">
        <is>
          <t>Crosswalk Pending</t>
        </is>
      </c>
      <c r="M1425" t="inlineStr">
        <is>
          <t>Open</t>
        </is>
      </c>
      <c r="N1425" t="inlineStr"/>
    </row>
    <row r="1426">
      <c r="A1426" t="inlineStr">
        <is>
          <t>FKEX01425</t>
        </is>
      </c>
      <c r="B1426" t="inlineStr">
        <is>
          <t>15 LL_Device</t>
        </is>
      </c>
      <c r="C1426" t="inlineStr">
        <is>
          <t>tblDeviceModel</t>
        </is>
      </c>
      <c r="D1426" t="n">
        <v>476</v>
      </c>
      <c r="E1426" t="inlineStr">
        <is>
          <t>MOD000473</t>
        </is>
      </c>
      <c r="F1426" t="inlineStr">
        <is>
          <t>DeviceTypeID</t>
        </is>
      </c>
      <c r="G1426" t="inlineStr">
        <is>
          <t>DT001</t>
        </is>
      </c>
      <c r="H1426" t="inlineStr">
        <is>
          <t>tblDeviceTypeIDCrosswalk</t>
        </is>
      </c>
      <c r="I1426" t="inlineStr"/>
      <c r="J1426" t="inlineStr">
        <is>
          <t>No Supported Match</t>
        </is>
      </c>
      <c r="K1426" t="inlineStr">
        <is>
          <t>None</t>
        </is>
      </c>
      <c r="L1426" t="inlineStr">
        <is>
          <t>Crosswalk Pending</t>
        </is>
      </c>
      <c r="M1426" t="inlineStr">
        <is>
          <t>Open</t>
        </is>
      </c>
      <c r="N1426" t="inlineStr"/>
    </row>
    <row r="1427">
      <c r="A1427" t="inlineStr">
        <is>
          <t>FKEX01426</t>
        </is>
      </c>
      <c r="B1427" t="inlineStr">
        <is>
          <t>15 LL_Device</t>
        </is>
      </c>
      <c r="C1427" t="inlineStr">
        <is>
          <t>tblDeviceModel</t>
        </is>
      </c>
      <c r="D1427" t="n">
        <v>477</v>
      </c>
      <c r="E1427" t="inlineStr">
        <is>
          <t>MOD000474</t>
        </is>
      </c>
      <c r="F1427" t="inlineStr">
        <is>
          <t>ManufacturerID</t>
        </is>
      </c>
      <c r="G1427" t="inlineStr">
        <is>
          <t>MFG008</t>
        </is>
      </c>
      <c r="H1427" t="inlineStr">
        <is>
          <t>tblManufacturerIDCrosswalk</t>
        </is>
      </c>
      <c r="I1427" t="inlineStr"/>
      <c r="J1427" t="inlineStr">
        <is>
          <t>No Supported Match</t>
        </is>
      </c>
      <c r="K1427" t="inlineStr">
        <is>
          <t>None</t>
        </is>
      </c>
      <c r="L1427" t="inlineStr">
        <is>
          <t>Crosswalk Pending</t>
        </is>
      </c>
      <c r="M1427" t="inlineStr">
        <is>
          <t>Open</t>
        </is>
      </c>
      <c r="N1427" t="inlineStr"/>
    </row>
    <row r="1428">
      <c r="A1428" t="inlineStr">
        <is>
          <t>FKEX01427</t>
        </is>
      </c>
      <c r="B1428" t="inlineStr">
        <is>
          <t>15 LL_Device</t>
        </is>
      </c>
      <c r="C1428" t="inlineStr">
        <is>
          <t>tblDeviceModel</t>
        </is>
      </c>
      <c r="D1428" t="n">
        <v>477</v>
      </c>
      <c r="E1428" t="inlineStr">
        <is>
          <t>MOD000474</t>
        </is>
      </c>
      <c r="F1428" t="inlineStr">
        <is>
          <t>DeviceFamilyID</t>
        </is>
      </c>
      <c r="G1428" t="inlineStr">
        <is>
          <t>DF080</t>
        </is>
      </c>
      <c r="H1428" t="inlineStr">
        <is>
          <t>tblDeviceFamilyIDCrosswalk</t>
        </is>
      </c>
      <c r="I1428" t="inlineStr"/>
      <c r="J1428" t="inlineStr">
        <is>
          <t>tblDeviceModel</t>
        </is>
      </c>
      <c r="K1428" t="inlineStr">
        <is>
          <t>Exact ID</t>
        </is>
      </c>
      <c r="L1428" t="inlineStr">
        <is>
          <t>Crosswalk Pending</t>
        </is>
      </c>
      <c r="M1428" t="inlineStr">
        <is>
          <t>Open</t>
        </is>
      </c>
      <c r="N1428" t="inlineStr"/>
    </row>
    <row r="1429">
      <c r="A1429" t="inlineStr">
        <is>
          <t>FKEX01428</t>
        </is>
      </c>
      <c r="B1429" t="inlineStr">
        <is>
          <t>15 LL_Device</t>
        </is>
      </c>
      <c r="C1429" t="inlineStr">
        <is>
          <t>tblDeviceModel</t>
        </is>
      </c>
      <c r="D1429" t="n">
        <v>477</v>
      </c>
      <c r="E1429" t="inlineStr">
        <is>
          <t>MOD000474</t>
        </is>
      </c>
      <c r="F1429" t="inlineStr">
        <is>
          <t>DeviceTypeID</t>
        </is>
      </c>
      <c r="G1429" t="inlineStr">
        <is>
          <t>DT001</t>
        </is>
      </c>
      <c r="H1429" t="inlineStr">
        <is>
          <t>tblDeviceTypeIDCrosswalk</t>
        </is>
      </c>
      <c r="I1429" t="inlineStr"/>
      <c r="J1429" t="inlineStr">
        <is>
          <t>No Supported Match</t>
        </is>
      </c>
      <c r="K1429" t="inlineStr">
        <is>
          <t>None</t>
        </is>
      </c>
      <c r="L1429" t="inlineStr">
        <is>
          <t>Crosswalk Pending</t>
        </is>
      </c>
      <c r="M1429" t="inlineStr">
        <is>
          <t>Open</t>
        </is>
      </c>
      <c r="N1429" t="inlineStr"/>
    </row>
    <row r="1430">
      <c r="A1430" t="inlineStr">
        <is>
          <t>FKEX01429</t>
        </is>
      </c>
      <c r="B1430" t="inlineStr">
        <is>
          <t>15 LL_Device</t>
        </is>
      </c>
      <c r="C1430" t="inlineStr">
        <is>
          <t>tblDeviceModel</t>
        </is>
      </c>
      <c r="D1430" t="n">
        <v>478</v>
      </c>
      <c r="E1430" t="inlineStr">
        <is>
          <t>MOD000475</t>
        </is>
      </c>
      <c r="F1430" t="inlineStr">
        <is>
          <t>ManufacturerID</t>
        </is>
      </c>
      <c r="G1430" t="inlineStr">
        <is>
          <t>MFG008</t>
        </is>
      </c>
      <c r="H1430" t="inlineStr">
        <is>
          <t>tblManufacturerIDCrosswalk</t>
        </is>
      </c>
      <c r="I1430" t="inlineStr"/>
      <c r="J1430" t="inlineStr">
        <is>
          <t>No Supported Match</t>
        </is>
      </c>
      <c r="K1430" t="inlineStr">
        <is>
          <t>None</t>
        </is>
      </c>
      <c r="L1430" t="inlineStr">
        <is>
          <t>Crosswalk Pending</t>
        </is>
      </c>
      <c r="M1430" t="inlineStr">
        <is>
          <t>Open</t>
        </is>
      </c>
      <c r="N1430" t="inlineStr"/>
    </row>
    <row r="1431">
      <c r="A1431" t="inlineStr">
        <is>
          <t>FKEX01430</t>
        </is>
      </c>
      <c r="B1431" t="inlineStr">
        <is>
          <t>15 LL_Device</t>
        </is>
      </c>
      <c r="C1431" t="inlineStr">
        <is>
          <t>tblDeviceModel</t>
        </is>
      </c>
      <c r="D1431" t="n">
        <v>478</v>
      </c>
      <c r="E1431" t="inlineStr">
        <is>
          <t>MOD000475</t>
        </is>
      </c>
      <c r="F1431" t="inlineStr">
        <is>
          <t>DeviceFamilyID</t>
        </is>
      </c>
      <c r="G1431" t="inlineStr">
        <is>
          <t>DF080</t>
        </is>
      </c>
      <c r="H1431" t="inlineStr">
        <is>
          <t>tblDeviceFamilyIDCrosswalk</t>
        </is>
      </c>
      <c r="I1431" t="inlineStr"/>
      <c r="J1431" t="inlineStr">
        <is>
          <t>tblDeviceModel</t>
        </is>
      </c>
      <c r="K1431" t="inlineStr">
        <is>
          <t>Exact ID</t>
        </is>
      </c>
      <c r="L1431" t="inlineStr">
        <is>
          <t>Crosswalk Pending</t>
        </is>
      </c>
      <c r="M1431" t="inlineStr">
        <is>
          <t>Open</t>
        </is>
      </c>
      <c r="N1431" t="inlineStr"/>
    </row>
    <row r="1432">
      <c r="A1432" t="inlineStr">
        <is>
          <t>FKEX01431</t>
        </is>
      </c>
      <c r="B1432" t="inlineStr">
        <is>
          <t>15 LL_Device</t>
        </is>
      </c>
      <c r="C1432" t="inlineStr">
        <is>
          <t>tblDeviceModel</t>
        </is>
      </c>
      <c r="D1432" t="n">
        <v>478</v>
      </c>
      <c r="E1432" t="inlineStr">
        <is>
          <t>MOD000475</t>
        </is>
      </c>
      <c r="F1432" t="inlineStr">
        <is>
          <t>DeviceTypeID</t>
        </is>
      </c>
      <c r="G1432" t="inlineStr">
        <is>
          <t>DT001</t>
        </is>
      </c>
      <c r="H1432" t="inlineStr">
        <is>
          <t>tblDeviceTypeIDCrosswalk</t>
        </is>
      </c>
      <c r="I1432" t="inlineStr"/>
      <c r="J1432" t="inlineStr">
        <is>
          <t>No Supported Match</t>
        </is>
      </c>
      <c r="K1432" t="inlineStr">
        <is>
          <t>None</t>
        </is>
      </c>
      <c r="L1432" t="inlineStr">
        <is>
          <t>Crosswalk Pending</t>
        </is>
      </c>
      <c r="M1432" t="inlineStr">
        <is>
          <t>Open</t>
        </is>
      </c>
      <c r="N1432" t="inlineStr"/>
    </row>
    <row r="1433">
      <c r="A1433" t="inlineStr">
        <is>
          <t>FKEX01432</t>
        </is>
      </c>
      <c r="B1433" t="inlineStr">
        <is>
          <t>15 LL_Device</t>
        </is>
      </c>
      <c r="C1433" t="inlineStr">
        <is>
          <t>tblDeviceModel</t>
        </is>
      </c>
      <c r="D1433" t="n">
        <v>479</v>
      </c>
      <c r="E1433" t="inlineStr">
        <is>
          <t>MOD000476</t>
        </is>
      </c>
      <c r="F1433" t="inlineStr">
        <is>
          <t>ManufacturerID</t>
        </is>
      </c>
      <c r="G1433" t="inlineStr">
        <is>
          <t>MFG008</t>
        </is>
      </c>
      <c r="H1433" t="inlineStr">
        <is>
          <t>tblManufacturerIDCrosswalk</t>
        </is>
      </c>
      <c r="I1433" t="inlineStr"/>
      <c r="J1433" t="inlineStr">
        <is>
          <t>No Supported Match</t>
        </is>
      </c>
      <c r="K1433" t="inlineStr">
        <is>
          <t>None</t>
        </is>
      </c>
      <c r="L1433" t="inlineStr">
        <is>
          <t>Crosswalk Pending</t>
        </is>
      </c>
      <c r="M1433" t="inlineStr">
        <is>
          <t>Open</t>
        </is>
      </c>
      <c r="N1433" t="inlineStr"/>
    </row>
    <row r="1434">
      <c r="A1434" t="inlineStr">
        <is>
          <t>FKEX01433</t>
        </is>
      </c>
      <c r="B1434" t="inlineStr">
        <is>
          <t>15 LL_Device</t>
        </is>
      </c>
      <c r="C1434" t="inlineStr">
        <is>
          <t>tblDeviceModel</t>
        </is>
      </c>
      <c r="D1434" t="n">
        <v>479</v>
      </c>
      <c r="E1434" t="inlineStr">
        <is>
          <t>MOD000476</t>
        </is>
      </c>
      <c r="F1434" t="inlineStr">
        <is>
          <t>DeviceFamilyID</t>
        </is>
      </c>
      <c r="G1434" t="inlineStr">
        <is>
          <t>DF080</t>
        </is>
      </c>
      <c r="H1434" t="inlineStr">
        <is>
          <t>tblDeviceFamilyIDCrosswalk</t>
        </is>
      </c>
      <c r="I1434" t="inlineStr"/>
      <c r="J1434" t="inlineStr">
        <is>
          <t>tblDeviceModel</t>
        </is>
      </c>
      <c r="K1434" t="inlineStr">
        <is>
          <t>Exact ID</t>
        </is>
      </c>
      <c r="L1434" t="inlineStr">
        <is>
          <t>Crosswalk Pending</t>
        </is>
      </c>
      <c r="M1434" t="inlineStr">
        <is>
          <t>Open</t>
        </is>
      </c>
      <c r="N1434" t="inlineStr"/>
    </row>
    <row r="1435">
      <c r="A1435" t="inlineStr">
        <is>
          <t>FKEX01434</t>
        </is>
      </c>
      <c r="B1435" t="inlineStr">
        <is>
          <t>15 LL_Device</t>
        </is>
      </c>
      <c r="C1435" t="inlineStr">
        <is>
          <t>tblDeviceModel</t>
        </is>
      </c>
      <c r="D1435" t="n">
        <v>479</v>
      </c>
      <c r="E1435" t="inlineStr">
        <is>
          <t>MOD000476</t>
        </is>
      </c>
      <c r="F1435" t="inlineStr">
        <is>
          <t>DeviceTypeID</t>
        </is>
      </c>
      <c r="G1435" t="inlineStr">
        <is>
          <t>DT001</t>
        </is>
      </c>
      <c r="H1435" t="inlineStr">
        <is>
          <t>tblDeviceTypeIDCrosswalk</t>
        </is>
      </c>
      <c r="I1435" t="inlineStr"/>
      <c r="J1435" t="inlineStr">
        <is>
          <t>No Supported Match</t>
        </is>
      </c>
      <c r="K1435" t="inlineStr">
        <is>
          <t>None</t>
        </is>
      </c>
      <c r="L1435" t="inlineStr">
        <is>
          <t>Crosswalk Pending</t>
        </is>
      </c>
      <c r="M1435" t="inlineStr">
        <is>
          <t>Open</t>
        </is>
      </c>
      <c r="N1435" t="inlineStr"/>
    </row>
    <row r="1436">
      <c r="A1436" t="inlineStr">
        <is>
          <t>FKEX01435</t>
        </is>
      </c>
      <c r="B1436" t="inlineStr">
        <is>
          <t>15 LL_Device</t>
        </is>
      </c>
      <c r="C1436" t="inlineStr">
        <is>
          <t>tblDeviceModel</t>
        </is>
      </c>
      <c r="D1436" t="n">
        <v>480</v>
      </c>
      <c r="E1436" t="inlineStr">
        <is>
          <t>MOD000477</t>
        </is>
      </c>
      <c r="F1436" t="inlineStr">
        <is>
          <t>ManufacturerID</t>
        </is>
      </c>
      <c r="G1436" t="inlineStr">
        <is>
          <t>MFG008</t>
        </is>
      </c>
      <c r="H1436" t="inlineStr">
        <is>
          <t>tblManufacturerIDCrosswalk</t>
        </is>
      </c>
      <c r="I1436" t="inlineStr"/>
      <c r="J1436" t="inlineStr">
        <is>
          <t>No Supported Match</t>
        </is>
      </c>
      <c r="K1436" t="inlineStr">
        <is>
          <t>None</t>
        </is>
      </c>
      <c r="L1436" t="inlineStr">
        <is>
          <t>Crosswalk Pending</t>
        </is>
      </c>
      <c r="M1436" t="inlineStr">
        <is>
          <t>Open</t>
        </is>
      </c>
      <c r="N1436" t="inlineStr"/>
    </row>
    <row r="1437">
      <c r="A1437" t="inlineStr">
        <is>
          <t>FKEX01436</t>
        </is>
      </c>
      <c r="B1437" t="inlineStr">
        <is>
          <t>15 LL_Device</t>
        </is>
      </c>
      <c r="C1437" t="inlineStr">
        <is>
          <t>tblDeviceModel</t>
        </is>
      </c>
      <c r="D1437" t="n">
        <v>480</v>
      </c>
      <c r="E1437" t="inlineStr">
        <is>
          <t>MOD000477</t>
        </is>
      </c>
      <c r="F1437" t="inlineStr">
        <is>
          <t>DeviceFamilyID</t>
        </is>
      </c>
      <c r="G1437" t="inlineStr">
        <is>
          <t>DF080</t>
        </is>
      </c>
      <c r="H1437" t="inlineStr">
        <is>
          <t>tblDeviceFamilyIDCrosswalk</t>
        </is>
      </c>
      <c r="I1437" t="inlineStr"/>
      <c r="J1437" t="inlineStr">
        <is>
          <t>tblDeviceModel</t>
        </is>
      </c>
      <c r="K1437" t="inlineStr">
        <is>
          <t>Exact ID</t>
        </is>
      </c>
      <c r="L1437" t="inlineStr">
        <is>
          <t>Crosswalk Pending</t>
        </is>
      </c>
      <c r="M1437" t="inlineStr">
        <is>
          <t>Open</t>
        </is>
      </c>
      <c r="N1437" t="inlineStr"/>
    </row>
    <row r="1438">
      <c r="A1438" t="inlineStr">
        <is>
          <t>FKEX01437</t>
        </is>
      </c>
      <c r="B1438" t="inlineStr">
        <is>
          <t>15 LL_Device</t>
        </is>
      </c>
      <c r="C1438" t="inlineStr">
        <is>
          <t>tblDeviceModel</t>
        </is>
      </c>
      <c r="D1438" t="n">
        <v>480</v>
      </c>
      <c r="E1438" t="inlineStr">
        <is>
          <t>MOD000477</t>
        </is>
      </c>
      <c r="F1438" t="inlineStr">
        <is>
          <t>DeviceTypeID</t>
        </is>
      </c>
      <c r="G1438" t="inlineStr">
        <is>
          <t>DT001</t>
        </is>
      </c>
      <c r="H1438" t="inlineStr">
        <is>
          <t>tblDeviceTypeIDCrosswalk</t>
        </is>
      </c>
      <c r="I1438" t="inlineStr"/>
      <c r="J1438" t="inlineStr">
        <is>
          <t>No Supported Match</t>
        </is>
      </c>
      <c r="K1438" t="inlineStr">
        <is>
          <t>None</t>
        </is>
      </c>
      <c r="L1438" t="inlineStr">
        <is>
          <t>Crosswalk Pending</t>
        </is>
      </c>
      <c r="M1438" t="inlineStr">
        <is>
          <t>Open</t>
        </is>
      </c>
      <c r="N1438" t="inlineStr"/>
    </row>
    <row r="1439">
      <c r="A1439" t="inlineStr">
        <is>
          <t>FKEX01438</t>
        </is>
      </c>
      <c r="B1439" t="inlineStr">
        <is>
          <t>15 LL_Device</t>
        </is>
      </c>
      <c r="C1439" t="inlineStr">
        <is>
          <t>tblDeviceModel</t>
        </is>
      </c>
      <c r="D1439" t="n">
        <v>481</v>
      </c>
      <c r="E1439" t="inlineStr">
        <is>
          <t>MOD000478</t>
        </is>
      </c>
      <c r="F1439" t="inlineStr">
        <is>
          <t>ManufacturerID</t>
        </is>
      </c>
      <c r="G1439" t="inlineStr">
        <is>
          <t>MFG008</t>
        </is>
      </c>
      <c r="H1439" t="inlineStr">
        <is>
          <t>tblManufacturerIDCrosswalk</t>
        </is>
      </c>
      <c r="I1439" t="inlineStr"/>
      <c r="J1439" t="inlineStr">
        <is>
          <t>No Supported Match</t>
        </is>
      </c>
      <c r="K1439" t="inlineStr">
        <is>
          <t>None</t>
        </is>
      </c>
      <c r="L1439" t="inlineStr">
        <is>
          <t>Crosswalk Pending</t>
        </is>
      </c>
      <c r="M1439" t="inlineStr">
        <is>
          <t>Open</t>
        </is>
      </c>
      <c r="N1439" t="inlineStr"/>
    </row>
    <row r="1440">
      <c r="A1440" t="inlineStr">
        <is>
          <t>FKEX01439</t>
        </is>
      </c>
      <c r="B1440" t="inlineStr">
        <is>
          <t>15 LL_Device</t>
        </is>
      </c>
      <c r="C1440" t="inlineStr">
        <is>
          <t>tblDeviceModel</t>
        </is>
      </c>
      <c r="D1440" t="n">
        <v>481</v>
      </c>
      <c r="E1440" t="inlineStr">
        <is>
          <t>MOD000478</t>
        </is>
      </c>
      <c r="F1440" t="inlineStr">
        <is>
          <t>DeviceFamilyID</t>
        </is>
      </c>
      <c r="G1440" t="inlineStr">
        <is>
          <t>DF080</t>
        </is>
      </c>
      <c r="H1440" t="inlineStr">
        <is>
          <t>tblDeviceFamilyIDCrosswalk</t>
        </is>
      </c>
      <c r="I1440" t="inlineStr"/>
      <c r="J1440" t="inlineStr">
        <is>
          <t>tblDeviceModel</t>
        </is>
      </c>
      <c r="K1440" t="inlineStr">
        <is>
          <t>Exact ID</t>
        </is>
      </c>
      <c r="L1440" t="inlineStr">
        <is>
          <t>Crosswalk Pending</t>
        </is>
      </c>
      <c r="M1440" t="inlineStr">
        <is>
          <t>Open</t>
        </is>
      </c>
      <c r="N1440" t="inlineStr"/>
    </row>
    <row r="1441">
      <c r="A1441" t="inlineStr">
        <is>
          <t>FKEX01440</t>
        </is>
      </c>
      <c r="B1441" t="inlineStr">
        <is>
          <t>15 LL_Device</t>
        </is>
      </c>
      <c r="C1441" t="inlineStr">
        <is>
          <t>tblDeviceModel</t>
        </is>
      </c>
      <c r="D1441" t="n">
        <v>481</v>
      </c>
      <c r="E1441" t="inlineStr">
        <is>
          <t>MOD000478</t>
        </is>
      </c>
      <c r="F1441" t="inlineStr">
        <is>
          <t>DeviceTypeID</t>
        </is>
      </c>
      <c r="G1441" t="inlineStr">
        <is>
          <t>DT001</t>
        </is>
      </c>
      <c r="H1441" t="inlineStr">
        <is>
          <t>tblDeviceTypeIDCrosswalk</t>
        </is>
      </c>
      <c r="I1441" t="inlineStr"/>
      <c r="J1441" t="inlineStr">
        <is>
          <t>No Supported Match</t>
        </is>
      </c>
      <c r="K1441" t="inlineStr">
        <is>
          <t>None</t>
        </is>
      </c>
      <c r="L1441" t="inlineStr">
        <is>
          <t>Crosswalk Pending</t>
        </is>
      </c>
      <c r="M1441" t="inlineStr">
        <is>
          <t>Open</t>
        </is>
      </c>
      <c r="N1441" t="inlineStr"/>
    </row>
    <row r="1442">
      <c r="A1442" t="inlineStr">
        <is>
          <t>FKEX01441</t>
        </is>
      </c>
      <c r="B1442" t="inlineStr">
        <is>
          <t>15 LL_Device</t>
        </is>
      </c>
      <c r="C1442" t="inlineStr">
        <is>
          <t>tblDeviceModel</t>
        </is>
      </c>
      <c r="D1442" t="n">
        <v>482</v>
      </c>
      <c r="E1442" t="inlineStr">
        <is>
          <t>MOD000479</t>
        </is>
      </c>
      <c r="F1442" t="inlineStr">
        <is>
          <t>ManufacturerID</t>
        </is>
      </c>
      <c r="G1442" t="inlineStr">
        <is>
          <t>MFG008</t>
        </is>
      </c>
      <c r="H1442" t="inlineStr">
        <is>
          <t>tblManufacturerIDCrosswalk</t>
        </is>
      </c>
      <c r="I1442" t="inlineStr"/>
      <c r="J1442" t="inlineStr">
        <is>
          <t>No Supported Match</t>
        </is>
      </c>
      <c r="K1442" t="inlineStr">
        <is>
          <t>None</t>
        </is>
      </c>
      <c r="L1442" t="inlineStr">
        <is>
          <t>Crosswalk Pending</t>
        </is>
      </c>
      <c r="M1442" t="inlineStr">
        <is>
          <t>Open</t>
        </is>
      </c>
      <c r="N1442" t="inlineStr"/>
    </row>
    <row r="1443">
      <c r="A1443" t="inlineStr">
        <is>
          <t>FKEX01442</t>
        </is>
      </c>
      <c r="B1443" t="inlineStr">
        <is>
          <t>15 LL_Device</t>
        </is>
      </c>
      <c r="C1443" t="inlineStr">
        <is>
          <t>tblDeviceModel</t>
        </is>
      </c>
      <c r="D1443" t="n">
        <v>482</v>
      </c>
      <c r="E1443" t="inlineStr">
        <is>
          <t>MOD000479</t>
        </is>
      </c>
      <c r="F1443" t="inlineStr">
        <is>
          <t>DeviceFamilyID</t>
        </is>
      </c>
      <c r="G1443" t="inlineStr">
        <is>
          <t>DF080</t>
        </is>
      </c>
      <c r="H1443" t="inlineStr">
        <is>
          <t>tblDeviceFamilyIDCrosswalk</t>
        </is>
      </c>
      <c r="I1443" t="inlineStr"/>
      <c r="J1443" t="inlineStr">
        <is>
          <t>tblDeviceModel</t>
        </is>
      </c>
      <c r="K1443" t="inlineStr">
        <is>
          <t>Exact ID</t>
        </is>
      </c>
      <c r="L1443" t="inlineStr">
        <is>
          <t>Crosswalk Pending</t>
        </is>
      </c>
      <c r="M1443" t="inlineStr">
        <is>
          <t>Open</t>
        </is>
      </c>
      <c r="N1443" t="inlineStr"/>
    </row>
    <row r="1444">
      <c r="A1444" t="inlineStr">
        <is>
          <t>FKEX01443</t>
        </is>
      </c>
      <c r="B1444" t="inlineStr">
        <is>
          <t>15 LL_Device</t>
        </is>
      </c>
      <c r="C1444" t="inlineStr">
        <is>
          <t>tblDeviceModel</t>
        </is>
      </c>
      <c r="D1444" t="n">
        <v>482</v>
      </c>
      <c r="E1444" t="inlineStr">
        <is>
          <t>MOD000479</t>
        </is>
      </c>
      <c r="F1444" t="inlineStr">
        <is>
          <t>DeviceTypeID</t>
        </is>
      </c>
      <c r="G1444" t="inlineStr">
        <is>
          <t>DT001</t>
        </is>
      </c>
      <c r="H1444" t="inlineStr">
        <is>
          <t>tblDeviceTypeIDCrosswalk</t>
        </is>
      </c>
      <c r="I1444" t="inlineStr"/>
      <c r="J1444" t="inlineStr">
        <is>
          <t>No Supported Match</t>
        </is>
      </c>
      <c r="K1444" t="inlineStr">
        <is>
          <t>None</t>
        </is>
      </c>
      <c r="L1444" t="inlineStr">
        <is>
          <t>Crosswalk Pending</t>
        </is>
      </c>
      <c r="M1444" t="inlineStr">
        <is>
          <t>Open</t>
        </is>
      </c>
      <c r="N1444" t="inlineStr"/>
    </row>
    <row r="1445">
      <c r="A1445" t="inlineStr">
        <is>
          <t>FKEX01444</t>
        </is>
      </c>
      <c r="B1445" t="inlineStr">
        <is>
          <t>15 LL_Device</t>
        </is>
      </c>
      <c r="C1445" t="inlineStr">
        <is>
          <t>tblDeviceModel</t>
        </is>
      </c>
      <c r="D1445" t="n">
        <v>483</v>
      </c>
      <c r="E1445" t="inlineStr">
        <is>
          <t>MOD000480</t>
        </is>
      </c>
      <c r="F1445" t="inlineStr">
        <is>
          <t>ManufacturerID</t>
        </is>
      </c>
      <c r="G1445" t="inlineStr">
        <is>
          <t>MFG008</t>
        </is>
      </c>
      <c r="H1445" t="inlineStr">
        <is>
          <t>tblManufacturerIDCrosswalk</t>
        </is>
      </c>
      <c r="I1445" t="inlineStr"/>
      <c r="J1445" t="inlineStr">
        <is>
          <t>No Supported Match</t>
        </is>
      </c>
      <c r="K1445" t="inlineStr">
        <is>
          <t>None</t>
        </is>
      </c>
      <c r="L1445" t="inlineStr">
        <is>
          <t>Crosswalk Pending</t>
        </is>
      </c>
      <c r="M1445" t="inlineStr">
        <is>
          <t>Open</t>
        </is>
      </c>
      <c r="N1445" t="inlineStr"/>
    </row>
    <row r="1446">
      <c r="A1446" t="inlineStr">
        <is>
          <t>FKEX01445</t>
        </is>
      </c>
      <c r="B1446" t="inlineStr">
        <is>
          <t>15 LL_Device</t>
        </is>
      </c>
      <c r="C1446" t="inlineStr">
        <is>
          <t>tblDeviceModel</t>
        </is>
      </c>
      <c r="D1446" t="n">
        <v>483</v>
      </c>
      <c r="E1446" t="inlineStr">
        <is>
          <t>MOD000480</t>
        </is>
      </c>
      <c r="F1446" t="inlineStr">
        <is>
          <t>DeviceFamilyID</t>
        </is>
      </c>
      <c r="G1446" t="inlineStr">
        <is>
          <t>DF081</t>
        </is>
      </c>
      <c r="H1446" t="inlineStr">
        <is>
          <t>tblDeviceFamilyIDCrosswalk</t>
        </is>
      </c>
      <c r="I1446" t="inlineStr"/>
      <c r="J1446" t="inlineStr">
        <is>
          <t>tblDeviceModel</t>
        </is>
      </c>
      <c r="K1446" t="inlineStr">
        <is>
          <t>Exact ID</t>
        </is>
      </c>
      <c r="L1446" t="inlineStr">
        <is>
          <t>Crosswalk Pending</t>
        </is>
      </c>
      <c r="M1446" t="inlineStr">
        <is>
          <t>Open</t>
        </is>
      </c>
      <c r="N1446" t="inlineStr"/>
    </row>
    <row r="1447">
      <c r="A1447" t="inlineStr">
        <is>
          <t>FKEX01446</t>
        </is>
      </c>
      <c r="B1447" t="inlineStr">
        <is>
          <t>15 LL_Device</t>
        </is>
      </c>
      <c r="C1447" t="inlineStr">
        <is>
          <t>tblDeviceModel</t>
        </is>
      </c>
      <c r="D1447" t="n">
        <v>483</v>
      </c>
      <c r="E1447" t="inlineStr">
        <is>
          <t>MOD000480</t>
        </is>
      </c>
      <c r="F1447" t="inlineStr">
        <is>
          <t>DeviceTypeID</t>
        </is>
      </c>
      <c r="G1447" t="inlineStr">
        <is>
          <t>DT001</t>
        </is>
      </c>
      <c r="H1447" t="inlineStr">
        <is>
          <t>tblDeviceTypeIDCrosswalk</t>
        </is>
      </c>
      <c r="I1447" t="inlineStr"/>
      <c r="J1447" t="inlineStr">
        <is>
          <t>No Supported Match</t>
        </is>
      </c>
      <c r="K1447" t="inlineStr">
        <is>
          <t>None</t>
        </is>
      </c>
      <c r="L1447" t="inlineStr">
        <is>
          <t>Crosswalk Pending</t>
        </is>
      </c>
      <c r="M1447" t="inlineStr">
        <is>
          <t>Open</t>
        </is>
      </c>
      <c r="N1447" t="inlineStr"/>
    </row>
    <row r="1448">
      <c r="A1448" t="inlineStr">
        <is>
          <t>FKEX01447</t>
        </is>
      </c>
      <c r="B1448" t="inlineStr">
        <is>
          <t>15 LL_Device</t>
        </is>
      </c>
      <c r="C1448" t="inlineStr">
        <is>
          <t>tblDeviceModel</t>
        </is>
      </c>
      <c r="D1448" t="n">
        <v>484</v>
      </c>
      <c r="E1448" t="inlineStr">
        <is>
          <t>MOD000481</t>
        </is>
      </c>
      <c r="F1448" t="inlineStr">
        <is>
          <t>ManufacturerID</t>
        </is>
      </c>
      <c r="G1448" t="inlineStr">
        <is>
          <t>MFG008</t>
        </is>
      </c>
      <c r="H1448" t="inlineStr">
        <is>
          <t>tblManufacturerIDCrosswalk</t>
        </is>
      </c>
      <c r="I1448" t="inlineStr"/>
      <c r="J1448" t="inlineStr">
        <is>
          <t>No Supported Match</t>
        </is>
      </c>
      <c r="K1448" t="inlineStr">
        <is>
          <t>None</t>
        </is>
      </c>
      <c r="L1448" t="inlineStr">
        <is>
          <t>Crosswalk Pending</t>
        </is>
      </c>
      <c r="M1448" t="inlineStr">
        <is>
          <t>Open</t>
        </is>
      </c>
      <c r="N1448" t="inlineStr"/>
    </row>
    <row r="1449">
      <c r="A1449" t="inlineStr">
        <is>
          <t>FKEX01448</t>
        </is>
      </c>
      <c r="B1449" t="inlineStr">
        <is>
          <t>15 LL_Device</t>
        </is>
      </c>
      <c r="C1449" t="inlineStr">
        <is>
          <t>tblDeviceModel</t>
        </is>
      </c>
      <c r="D1449" t="n">
        <v>484</v>
      </c>
      <c r="E1449" t="inlineStr">
        <is>
          <t>MOD000481</t>
        </is>
      </c>
      <c r="F1449" t="inlineStr">
        <is>
          <t>DeviceFamilyID</t>
        </is>
      </c>
      <c r="G1449" t="inlineStr">
        <is>
          <t>DF081</t>
        </is>
      </c>
      <c r="H1449" t="inlineStr">
        <is>
          <t>tblDeviceFamilyIDCrosswalk</t>
        </is>
      </c>
      <c r="I1449" t="inlineStr"/>
      <c r="J1449" t="inlineStr">
        <is>
          <t>tblDeviceModel</t>
        </is>
      </c>
      <c r="K1449" t="inlineStr">
        <is>
          <t>Exact ID</t>
        </is>
      </c>
      <c r="L1449" t="inlineStr">
        <is>
          <t>Crosswalk Pending</t>
        </is>
      </c>
      <c r="M1449" t="inlineStr">
        <is>
          <t>Open</t>
        </is>
      </c>
      <c r="N1449" t="inlineStr"/>
    </row>
    <row r="1450">
      <c r="A1450" t="inlineStr">
        <is>
          <t>FKEX01449</t>
        </is>
      </c>
      <c r="B1450" t="inlineStr">
        <is>
          <t>15 LL_Device</t>
        </is>
      </c>
      <c r="C1450" t="inlineStr">
        <is>
          <t>tblDeviceModel</t>
        </is>
      </c>
      <c r="D1450" t="n">
        <v>484</v>
      </c>
      <c r="E1450" t="inlineStr">
        <is>
          <t>MOD000481</t>
        </is>
      </c>
      <c r="F1450" t="inlineStr">
        <is>
          <t>DeviceTypeID</t>
        </is>
      </c>
      <c r="G1450" t="inlineStr">
        <is>
          <t>DT001</t>
        </is>
      </c>
      <c r="H1450" t="inlineStr">
        <is>
          <t>tblDeviceTypeIDCrosswalk</t>
        </is>
      </c>
      <c r="I1450" t="inlineStr"/>
      <c r="J1450" t="inlineStr">
        <is>
          <t>No Supported Match</t>
        </is>
      </c>
      <c r="K1450" t="inlineStr">
        <is>
          <t>None</t>
        </is>
      </c>
      <c r="L1450" t="inlineStr">
        <is>
          <t>Crosswalk Pending</t>
        </is>
      </c>
      <c r="M1450" t="inlineStr">
        <is>
          <t>Open</t>
        </is>
      </c>
      <c r="N1450" t="inlineStr"/>
    </row>
    <row r="1451">
      <c r="A1451" t="inlineStr">
        <is>
          <t>FKEX01450</t>
        </is>
      </c>
      <c r="B1451" t="inlineStr">
        <is>
          <t>15 LL_Device</t>
        </is>
      </c>
      <c r="C1451" t="inlineStr">
        <is>
          <t>tblDeviceModel</t>
        </is>
      </c>
      <c r="D1451" t="n">
        <v>485</v>
      </c>
      <c r="E1451" t="inlineStr">
        <is>
          <t>MOD000482</t>
        </is>
      </c>
      <c r="F1451" t="inlineStr">
        <is>
          <t>ManufacturerID</t>
        </is>
      </c>
      <c r="G1451" t="inlineStr">
        <is>
          <t>MFG008</t>
        </is>
      </c>
      <c r="H1451" t="inlineStr">
        <is>
          <t>tblManufacturerIDCrosswalk</t>
        </is>
      </c>
      <c r="I1451" t="inlineStr"/>
      <c r="J1451" t="inlineStr">
        <is>
          <t>No Supported Match</t>
        </is>
      </c>
      <c r="K1451" t="inlineStr">
        <is>
          <t>None</t>
        </is>
      </c>
      <c r="L1451" t="inlineStr">
        <is>
          <t>Crosswalk Pending</t>
        </is>
      </c>
      <c r="M1451" t="inlineStr">
        <is>
          <t>Open</t>
        </is>
      </c>
      <c r="N1451" t="inlineStr"/>
    </row>
    <row r="1452">
      <c r="A1452" t="inlineStr">
        <is>
          <t>FKEX01451</t>
        </is>
      </c>
      <c r="B1452" t="inlineStr">
        <is>
          <t>15 LL_Device</t>
        </is>
      </c>
      <c r="C1452" t="inlineStr">
        <is>
          <t>tblDeviceModel</t>
        </is>
      </c>
      <c r="D1452" t="n">
        <v>485</v>
      </c>
      <c r="E1452" t="inlineStr">
        <is>
          <t>MOD000482</t>
        </is>
      </c>
      <c r="F1452" t="inlineStr">
        <is>
          <t>DeviceFamilyID</t>
        </is>
      </c>
      <c r="G1452" t="inlineStr">
        <is>
          <t>DF081</t>
        </is>
      </c>
      <c r="H1452" t="inlineStr">
        <is>
          <t>tblDeviceFamilyIDCrosswalk</t>
        </is>
      </c>
      <c r="I1452" t="inlineStr"/>
      <c r="J1452" t="inlineStr">
        <is>
          <t>tblDeviceModel</t>
        </is>
      </c>
      <c r="K1452" t="inlineStr">
        <is>
          <t>Exact ID</t>
        </is>
      </c>
      <c r="L1452" t="inlineStr">
        <is>
          <t>Crosswalk Pending</t>
        </is>
      </c>
      <c r="M1452" t="inlineStr">
        <is>
          <t>Open</t>
        </is>
      </c>
      <c r="N1452" t="inlineStr"/>
    </row>
    <row r="1453">
      <c r="A1453" t="inlineStr">
        <is>
          <t>FKEX01452</t>
        </is>
      </c>
      <c r="B1453" t="inlineStr">
        <is>
          <t>15 LL_Device</t>
        </is>
      </c>
      <c r="C1453" t="inlineStr">
        <is>
          <t>tblDeviceModel</t>
        </is>
      </c>
      <c r="D1453" t="n">
        <v>485</v>
      </c>
      <c r="E1453" t="inlineStr">
        <is>
          <t>MOD000482</t>
        </is>
      </c>
      <c r="F1453" t="inlineStr">
        <is>
          <t>DeviceTypeID</t>
        </is>
      </c>
      <c r="G1453" t="inlineStr">
        <is>
          <t>DT001</t>
        </is>
      </c>
      <c r="H1453" t="inlineStr">
        <is>
          <t>tblDeviceTypeIDCrosswalk</t>
        </is>
      </c>
      <c r="I1453" t="inlineStr"/>
      <c r="J1453" t="inlineStr">
        <is>
          <t>No Supported Match</t>
        </is>
      </c>
      <c r="K1453" t="inlineStr">
        <is>
          <t>None</t>
        </is>
      </c>
      <c r="L1453" t="inlineStr">
        <is>
          <t>Crosswalk Pending</t>
        </is>
      </c>
      <c r="M1453" t="inlineStr">
        <is>
          <t>Open</t>
        </is>
      </c>
      <c r="N1453" t="inlineStr"/>
    </row>
    <row r="1454">
      <c r="A1454" t="inlineStr">
        <is>
          <t>FKEX01453</t>
        </is>
      </c>
      <c r="B1454" t="inlineStr">
        <is>
          <t>15 LL_Device</t>
        </is>
      </c>
      <c r="C1454" t="inlineStr">
        <is>
          <t>tblDeviceModel</t>
        </is>
      </c>
      <c r="D1454" t="n">
        <v>486</v>
      </c>
      <c r="E1454" t="inlineStr">
        <is>
          <t>MOD000483</t>
        </is>
      </c>
      <c r="F1454" t="inlineStr">
        <is>
          <t>ManufacturerID</t>
        </is>
      </c>
      <c r="G1454" t="inlineStr">
        <is>
          <t>MFG008</t>
        </is>
      </c>
      <c r="H1454" t="inlineStr">
        <is>
          <t>tblManufacturerIDCrosswalk</t>
        </is>
      </c>
      <c r="I1454" t="inlineStr"/>
      <c r="J1454" t="inlineStr">
        <is>
          <t>No Supported Match</t>
        </is>
      </c>
      <c r="K1454" t="inlineStr">
        <is>
          <t>None</t>
        </is>
      </c>
      <c r="L1454" t="inlineStr">
        <is>
          <t>Crosswalk Pending</t>
        </is>
      </c>
      <c r="M1454" t="inlineStr">
        <is>
          <t>Open</t>
        </is>
      </c>
      <c r="N1454" t="inlineStr"/>
    </row>
    <row r="1455">
      <c r="A1455" t="inlineStr">
        <is>
          <t>FKEX01454</t>
        </is>
      </c>
      <c r="B1455" t="inlineStr">
        <is>
          <t>15 LL_Device</t>
        </is>
      </c>
      <c r="C1455" t="inlineStr">
        <is>
          <t>tblDeviceModel</t>
        </is>
      </c>
      <c r="D1455" t="n">
        <v>486</v>
      </c>
      <c r="E1455" t="inlineStr">
        <is>
          <t>MOD000483</t>
        </is>
      </c>
      <c r="F1455" t="inlineStr">
        <is>
          <t>DeviceFamilyID</t>
        </is>
      </c>
      <c r="G1455" t="inlineStr">
        <is>
          <t>DF081</t>
        </is>
      </c>
      <c r="H1455" t="inlineStr">
        <is>
          <t>tblDeviceFamilyIDCrosswalk</t>
        </is>
      </c>
      <c r="I1455" t="inlineStr"/>
      <c r="J1455" t="inlineStr">
        <is>
          <t>tblDeviceModel</t>
        </is>
      </c>
      <c r="K1455" t="inlineStr">
        <is>
          <t>Exact ID</t>
        </is>
      </c>
      <c r="L1455" t="inlineStr">
        <is>
          <t>Crosswalk Pending</t>
        </is>
      </c>
      <c r="M1455" t="inlineStr">
        <is>
          <t>Open</t>
        </is>
      </c>
      <c r="N1455" t="inlineStr"/>
    </row>
    <row r="1456">
      <c r="A1456" t="inlineStr">
        <is>
          <t>FKEX01455</t>
        </is>
      </c>
      <c r="B1456" t="inlineStr">
        <is>
          <t>15 LL_Device</t>
        </is>
      </c>
      <c r="C1456" t="inlineStr">
        <is>
          <t>tblDeviceModel</t>
        </is>
      </c>
      <c r="D1456" t="n">
        <v>486</v>
      </c>
      <c r="E1456" t="inlineStr">
        <is>
          <t>MOD000483</t>
        </is>
      </c>
      <c r="F1456" t="inlineStr">
        <is>
          <t>DeviceTypeID</t>
        </is>
      </c>
      <c r="G1456" t="inlineStr">
        <is>
          <t>DT001</t>
        </is>
      </c>
      <c r="H1456" t="inlineStr">
        <is>
          <t>tblDeviceTypeIDCrosswalk</t>
        </is>
      </c>
      <c r="I1456" t="inlineStr"/>
      <c r="J1456" t="inlineStr">
        <is>
          <t>No Supported Match</t>
        </is>
      </c>
      <c r="K1456" t="inlineStr">
        <is>
          <t>None</t>
        </is>
      </c>
      <c r="L1456" t="inlineStr">
        <is>
          <t>Crosswalk Pending</t>
        </is>
      </c>
      <c r="M1456" t="inlineStr">
        <is>
          <t>Open</t>
        </is>
      </c>
      <c r="N1456" t="inlineStr"/>
    </row>
    <row r="1457">
      <c r="A1457" t="inlineStr">
        <is>
          <t>FKEX01456</t>
        </is>
      </c>
      <c r="B1457" t="inlineStr">
        <is>
          <t>15 LL_Device</t>
        </is>
      </c>
      <c r="C1457" t="inlineStr">
        <is>
          <t>tblDeviceModel</t>
        </is>
      </c>
      <c r="D1457" t="n">
        <v>487</v>
      </c>
      <c r="E1457" t="inlineStr">
        <is>
          <t>MOD000484</t>
        </is>
      </c>
      <c r="F1457" t="inlineStr">
        <is>
          <t>ManufacturerID</t>
        </is>
      </c>
      <c r="G1457" t="inlineStr">
        <is>
          <t>MFG008</t>
        </is>
      </c>
      <c r="H1457" t="inlineStr">
        <is>
          <t>tblManufacturerIDCrosswalk</t>
        </is>
      </c>
      <c r="I1457" t="inlineStr"/>
      <c r="J1457" t="inlineStr">
        <is>
          <t>No Supported Match</t>
        </is>
      </c>
      <c r="K1457" t="inlineStr">
        <is>
          <t>None</t>
        </is>
      </c>
      <c r="L1457" t="inlineStr">
        <is>
          <t>Crosswalk Pending</t>
        </is>
      </c>
      <c r="M1457" t="inlineStr">
        <is>
          <t>Open</t>
        </is>
      </c>
      <c r="N1457" t="inlineStr"/>
    </row>
    <row r="1458">
      <c r="A1458" t="inlineStr">
        <is>
          <t>FKEX01457</t>
        </is>
      </c>
      <c r="B1458" t="inlineStr">
        <is>
          <t>15 LL_Device</t>
        </is>
      </c>
      <c r="C1458" t="inlineStr">
        <is>
          <t>tblDeviceModel</t>
        </is>
      </c>
      <c r="D1458" t="n">
        <v>487</v>
      </c>
      <c r="E1458" t="inlineStr">
        <is>
          <t>MOD000484</t>
        </is>
      </c>
      <c r="F1458" t="inlineStr">
        <is>
          <t>DeviceFamilyID</t>
        </is>
      </c>
      <c r="G1458" t="inlineStr">
        <is>
          <t>DF081</t>
        </is>
      </c>
      <c r="H1458" t="inlineStr">
        <is>
          <t>tblDeviceFamilyIDCrosswalk</t>
        </is>
      </c>
      <c r="I1458" t="inlineStr"/>
      <c r="J1458" t="inlineStr">
        <is>
          <t>tblDeviceModel</t>
        </is>
      </c>
      <c r="K1458" t="inlineStr">
        <is>
          <t>Exact ID</t>
        </is>
      </c>
      <c r="L1458" t="inlineStr">
        <is>
          <t>Crosswalk Pending</t>
        </is>
      </c>
      <c r="M1458" t="inlineStr">
        <is>
          <t>Open</t>
        </is>
      </c>
      <c r="N1458" t="inlineStr"/>
    </row>
    <row r="1459">
      <c r="A1459" t="inlineStr">
        <is>
          <t>FKEX01458</t>
        </is>
      </c>
      <c r="B1459" t="inlineStr">
        <is>
          <t>15 LL_Device</t>
        </is>
      </c>
      <c r="C1459" t="inlineStr">
        <is>
          <t>tblDeviceModel</t>
        </is>
      </c>
      <c r="D1459" t="n">
        <v>487</v>
      </c>
      <c r="E1459" t="inlineStr">
        <is>
          <t>MOD000484</t>
        </is>
      </c>
      <c r="F1459" t="inlineStr">
        <is>
          <t>DeviceTypeID</t>
        </is>
      </c>
      <c r="G1459" t="inlineStr">
        <is>
          <t>DT001</t>
        </is>
      </c>
      <c r="H1459" t="inlineStr">
        <is>
          <t>tblDeviceTypeIDCrosswalk</t>
        </is>
      </c>
      <c r="I1459" t="inlineStr"/>
      <c r="J1459" t="inlineStr">
        <is>
          <t>No Supported Match</t>
        </is>
      </c>
      <c r="K1459" t="inlineStr">
        <is>
          <t>None</t>
        </is>
      </c>
      <c r="L1459" t="inlineStr">
        <is>
          <t>Crosswalk Pending</t>
        </is>
      </c>
      <c r="M1459" t="inlineStr">
        <is>
          <t>Open</t>
        </is>
      </c>
      <c r="N1459" t="inlineStr"/>
    </row>
    <row r="1460">
      <c r="A1460" t="inlineStr">
        <is>
          <t>FKEX01459</t>
        </is>
      </c>
      <c r="B1460" t="inlineStr">
        <is>
          <t>15 LL_Device</t>
        </is>
      </c>
      <c r="C1460" t="inlineStr">
        <is>
          <t>tblDeviceModel</t>
        </is>
      </c>
      <c r="D1460" t="n">
        <v>488</v>
      </c>
      <c r="E1460" t="inlineStr">
        <is>
          <t>MOD000485</t>
        </is>
      </c>
      <c r="F1460" t="inlineStr">
        <is>
          <t>ManufacturerID</t>
        </is>
      </c>
      <c r="G1460" t="inlineStr">
        <is>
          <t>MFG008</t>
        </is>
      </c>
      <c r="H1460" t="inlineStr">
        <is>
          <t>tblManufacturerIDCrosswalk</t>
        </is>
      </c>
      <c r="I1460" t="inlineStr"/>
      <c r="J1460" t="inlineStr">
        <is>
          <t>No Supported Match</t>
        </is>
      </c>
      <c r="K1460" t="inlineStr">
        <is>
          <t>None</t>
        </is>
      </c>
      <c r="L1460" t="inlineStr">
        <is>
          <t>Crosswalk Pending</t>
        </is>
      </c>
      <c r="M1460" t="inlineStr">
        <is>
          <t>Open</t>
        </is>
      </c>
      <c r="N1460" t="inlineStr"/>
    </row>
    <row r="1461">
      <c r="A1461" t="inlineStr">
        <is>
          <t>FKEX01460</t>
        </is>
      </c>
      <c r="B1461" t="inlineStr">
        <is>
          <t>15 LL_Device</t>
        </is>
      </c>
      <c r="C1461" t="inlineStr">
        <is>
          <t>tblDeviceModel</t>
        </is>
      </c>
      <c r="D1461" t="n">
        <v>488</v>
      </c>
      <c r="E1461" t="inlineStr">
        <is>
          <t>MOD000485</t>
        </is>
      </c>
      <c r="F1461" t="inlineStr">
        <is>
          <t>DeviceFamilyID</t>
        </is>
      </c>
      <c r="G1461" t="inlineStr">
        <is>
          <t>DF081</t>
        </is>
      </c>
      <c r="H1461" t="inlineStr">
        <is>
          <t>tblDeviceFamilyIDCrosswalk</t>
        </is>
      </c>
      <c r="I1461" t="inlineStr"/>
      <c r="J1461" t="inlineStr">
        <is>
          <t>tblDeviceModel</t>
        </is>
      </c>
      <c r="K1461" t="inlineStr">
        <is>
          <t>Exact ID</t>
        </is>
      </c>
      <c r="L1461" t="inlineStr">
        <is>
          <t>Crosswalk Pending</t>
        </is>
      </c>
      <c r="M1461" t="inlineStr">
        <is>
          <t>Open</t>
        </is>
      </c>
      <c r="N1461" t="inlineStr"/>
    </row>
    <row r="1462">
      <c r="A1462" t="inlineStr">
        <is>
          <t>FKEX01461</t>
        </is>
      </c>
      <c r="B1462" t="inlineStr">
        <is>
          <t>15 LL_Device</t>
        </is>
      </c>
      <c r="C1462" t="inlineStr">
        <is>
          <t>tblDeviceModel</t>
        </is>
      </c>
      <c r="D1462" t="n">
        <v>488</v>
      </c>
      <c r="E1462" t="inlineStr">
        <is>
          <t>MOD000485</t>
        </is>
      </c>
      <c r="F1462" t="inlineStr">
        <is>
          <t>DeviceTypeID</t>
        </is>
      </c>
      <c r="G1462" t="inlineStr">
        <is>
          <t>DT001</t>
        </is>
      </c>
      <c r="H1462" t="inlineStr">
        <is>
          <t>tblDeviceTypeIDCrosswalk</t>
        </is>
      </c>
      <c r="I1462" t="inlineStr"/>
      <c r="J1462" t="inlineStr">
        <is>
          <t>No Supported Match</t>
        </is>
      </c>
      <c r="K1462" t="inlineStr">
        <is>
          <t>None</t>
        </is>
      </c>
      <c r="L1462" t="inlineStr">
        <is>
          <t>Crosswalk Pending</t>
        </is>
      </c>
      <c r="M1462" t="inlineStr">
        <is>
          <t>Open</t>
        </is>
      </c>
      <c r="N1462" t="inlineStr"/>
    </row>
    <row r="1463">
      <c r="A1463" t="inlineStr">
        <is>
          <t>FKEX01462</t>
        </is>
      </c>
      <c r="B1463" t="inlineStr">
        <is>
          <t>15 LL_Device</t>
        </is>
      </c>
      <c r="C1463" t="inlineStr">
        <is>
          <t>tblDeviceModel</t>
        </is>
      </c>
      <c r="D1463" t="n">
        <v>489</v>
      </c>
      <c r="E1463" t="inlineStr">
        <is>
          <t>MOD000486</t>
        </is>
      </c>
      <c r="F1463" t="inlineStr">
        <is>
          <t>ManufacturerID</t>
        </is>
      </c>
      <c r="G1463" t="inlineStr">
        <is>
          <t>MFG008</t>
        </is>
      </c>
      <c r="H1463" t="inlineStr">
        <is>
          <t>tblManufacturerIDCrosswalk</t>
        </is>
      </c>
      <c r="I1463" t="inlineStr"/>
      <c r="J1463" t="inlineStr">
        <is>
          <t>No Supported Match</t>
        </is>
      </c>
      <c r="K1463" t="inlineStr">
        <is>
          <t>None</t>
        </is>
      </c>
      <c r="L1463" t="inlineStr">
        <is>
          <t>Crosswalk Pending</t>
        </is>
      </c>
      <c r="M1463" t="inlineStr">
        <is>
          <t>Open</t>
        </is>
      </c>
      <c r="N1463" t="inlineStr"/>
    </row>
    <row r="1464">
      <c r="A1464" t="inlineStr">
        <is>
          <t>FKEX01463</t>
        </is>
      </c>
      <c r="B1464" t="inlineStr">
        <is>
          <t>15 LL_Device</t>
        </is>
      </c>
      <c r="C1464" t="inlineStr">
        <is>
          <t>tblDeviceModel</t>
        </is>
      </c>
      <c r="D1464" t="n">
        <v>489</v>
      </c>
      <c r="E1464" t="inlineStr">
        <is>
          <t>MOD000486</t>
        </is>
      </c>
      <c r="F1464" t="inlineStr">
        <is>
          <t>DeviceFamilyID</t>
        </is>
      </c>
      <c r="G1464" t="inlineStr">
        <is>
          <t>DF081</t>
        </is>
      </c>
      <c r="H1464" t="inlineStr">
        <is>
          <t>tblDeviceFamilyIDCrosswalk</t>
        </is>
      </c>
      <c r="I1464" t="inlineStr"/>
      <c r="J1464" t="inlineStr">
        <is>
          <t>tblDeviceModel</t>
        </is>
      </c>
      <c r="K1464" t="inlineStr">
        <is>
          <t>Exact ID</t>
        </is>
      </c>
      <c r="L1464" t="inlineStr">
        <is>
          <t>Crosswalk Pending</t>
        </is>
      </c>
      <c r="M1464" t="inlineStr">
        <is>
          <t>Open</t>
        </is>
      </c>
      <c r="N1464" t="inlineStr"/>
    </row>
    <row r="1465">
      <c r="A1465" t="inlineStr">
        <is>
          <t>FKEX01464</t>
        </is>
      </c>
      <c r="B1465" t="inlineStr">
        <is>
          <t>15 LL_Device</t>
        </is>
      </c>
      <c r="C1465" t="inlineStr">
        <is>
          <t>tblDeviceModel</t>
        </is>
      </c>
      <c r="D1465" t="n">
        <v>489</v>
      </c>
      <c r="E1465" t="inlineStr">
        <is>
          <t>MOD000486</t>
        </is>
      </c>
      <c r="F1465" t="inlineStr">
        <is>
          <t>DeviceTypeID</t>
        </is>
      </c>
      <c r="G1465" t="inlineStr">
        <is>
          <t>DT001</t>
        </is>
      </c>
      <c r="H1465" t="inlineStr">
        <is>
          <t>tblDeviceTypeIDCrosswalk</t>
        </is>
      </c>
      <c r="I1465" t="inlineStr"/>
      <c r="J1465" t="inlineStr">
        <is>
          <t>No Supported Match</t>
        </is>
      </c>
      <c r="K1465" t="inlineStr">
        <is>
          <t>None</t>
        </is>
      </c>
      <c r="L1465" t="inlineStr">
        <is>
          <t>Crosswalk Pending</t>
        </is>
      </c>
      <c r="M1465" t="inlineStr">
        <is>
          <t>Open</t>
        </is>
      </c>
      <c r="N1465" t="inlineStr"/>
    </row>
    <row r="1466">
      <c r="A1466" t="inlineStr">
        <is>
          <t>FKEX01465</t>
        </is>
      </c>
      <c r="B1466" t="inlineStr">
        <is>
          <t>15 LL_Device</t>
        </is>
      </c>
      <c r="C1466" t="inlineStr">
        <is>
          <t>tblDeviceModel</t>
        </is>
      </c>
      <c r="D1466" t="n">
        <v>490</v>
      </c>
      <c r="E1466" t="inlineStr">
        <is>
          <t>MOD000487</t>
        </is>
      </c>
      <c r="F1466" t="inlineStr">
        <is>
          <t>ManufacturerID</t>
        </is>
      </c>
      <c r="G1466" t="inlineStr">
        <is>
          <t>MFG008</t>
        </is>
      </c>
      <c r="H1466" t="inlineStr">
        <is>
          <t>tblManufacturerIDCrosswalk</t>
        </is>
      </c>
      <c r="I1466" t="inlineStr"/>
      <c r="J1466" t="inlineStr">
        <is>
          <t>No Supported Match</t>
        </is>
      </c>
      <c r="K1466" t="inlineStr">
        <is>
          <t>None</t>
        </is>
      </c>
      <c r="L1466" t="inlineStr">
        <is>
          <t>Crosswalk Pending</t>
        </is>
      </c>
      <c r="M1466" t="inlineStr">
        <is>
          <t>Open</t>
        </is>
      </c>
      <c r="N1466" t="inlineStr"/>
    </row>
    <row r="1467">
      <c r="A1467" t="inlineStr">
        <is>
          <t>FKEX01466</t>
        </is>
      </c>
      <c r="B1467" t="inlineStr">
        <is>
          <t>15 LL_Device</t>
        </is>
      </c>
      <c r="C1467" t="inlineStr">
        <is>
          <t>tblDeviceModel</t>
        </is>
      </c>
      <c r="D1467" t="n">
        <v>490</v>
      </c>
      <c r="E1467" t="inlineStr">
        <is>
          <t>MOD000487</t>
        </is>
      </c>
      <c r="F1467" t="inlineStr">
        <is>
          <t>DeviceFamilyID</t>
        </is>
      </c>
      <c r="G1467" t="inlineStr">
        <is>
          <t>DF081</t>
        </is>
      </c>
      <c r="H1467" t="inlineStr">
        <is>
          <t>tblDeviceFamilyIDCrosswalk</t>
        </is>
      </c>
      <c r="I1467" t="inlineStr"/>
      <c r="J1467" t="inlineStr">
        <is>
          <t>tblDeviceModel</t>
        </is>
      </c>
      <c r="K1467" t="inlineStr">
        <is>
          <t>Exact ID</t>
        </is>
      </c>
      <c r="L1467" t="inlineStr">
        <is>
          <t>Crosswalk Pending</t>
        </is>
      </c>
      <c r="M1467" t="inlineStr">
        <is>
          <t>Open</t>
        </is>
      </c>
      <c r="N1467" t="inlineStr"/>
    </row>
    <row r="1468">
      <c r="A1468" t="inlineStr">
        <is>
          <t>FKEX01467</t>
        </is>
      </c>
      <c r="B1468" t="inlineStr">
        <is>
          <t>15 LL_Device</t>
        </is>
      </c>
      <c r="C1468" t="inlineStr">
        <is>
          <t>tblDeviceModel</t>
        </is>
      </c>
      <c r="D1468" t="n">
        <v>490</v>
      </c>
      <c r="E1468" t="inlineStr">
        <is>
          <t>MOD000487</t>
        </is>
      </c>
      <c r="F1468" t="inlineStr">
        <is>
          <t>DeviceTypeID</t>
        </is>
      </c>
      <c r="G1468" t="inlineStr">
        <is>
          <t>DT001</t>
        </is>
      </c>
      <c r="H1468" t="inlineStr">
        <is>
          <t>tblDeviceTypeIDCrosswalk</t>
        </is>
      </c>
      <c r="I1468" t="inlineStr"/>
      <c r="J1468" t="inlineStr">
        <is>
          <t>No Supported Match</t>
        </is>
      </c>
      <c r="K1468" t="inlineStr">
        <is>
          <t>None</t>
        </is>
      </c>
      <c r="L1468" t="inlineStr">
        <is>
          <t>Crosswalk Pending</t>
        </is>
      </c>
      <c r="M1468" t="inlineStr">
        <is>
          <t>Open</t>
        </is>
      </c>
      <c r="N1468" t="inlineStr"/>
    </row>
    <row r="1469">
      <c r="A1469" t="inlineStr">
        <is>
          <t>FKEX01468</t>
        </is>
      </c>
      <c r="B1469" t="inlineStr">
        <is>
          <t>15 LL_Device</t>
        </is>
      </c>
      <c r="C1469" t="inlineStr">
        <is>
          <t>tblDeviceModel</t>
        </is>
      </c>
      <c r="D1469" t="n">
        <v>491</v>
      </c>
      <c r="E1469" t="inlineStr">
        <is>
          <t>MOD000488</t>
        </is>
      </c>
      <c r="F1469" t="inlineStr">
        <is>
          <t>ManufacturerID</t>
        </is>
      </c>
      <c r="G1469" t="inlineStr">
        <is>
          <t>MFG008</t>
        </is>
      </c>
      <c r="H1469" t="inlineStr">
        <is>
          <t>tblManufacturerIDCrosswalk</t>
        </is>
      </c>
      <c r="I1469" t="inlineStr"/>
      <c r="J1469" t="inlineStr">
        <is>
          <t>No Supported Match</t>
        </is>
      </c>
      <c r="K1469" t="inlineStr">
        <is>
          <t>None</t>
        </is>
      </c>
      <c r="L1469" t="inlineStr">
        <is>
          <t>Crosswalk Pending</t>
        </is>
      </c>
      <c r="M1469" t="inlineStr">
        <is>
          <t>Open</t>
        </is>
      </c>
      <c r="N1469" t="inlineStr"/>
    </row>
    <row r="1470">
      <c r="A1470" t="inlineStr">
        <is>
          <t>FKEX01469</t>
        </is>
      </c>
      <c r="B1470" t="inlineStr">
        <is>
          <t>15 LL_Device</t>
        </is>
      </c>
      <c r="C1470" t="inlineStr">
        <is>
          <t>tblDeviceModel</t>
        </is>
      </c>
      <c r="D1470" t="n">
        <v>491</v>
      </c>
      <c r="E1470" t="inlineStr">
        <is>
          <t>MOD000488</t>
        </is>
      </c>
      <c r="F1470" t="inlineStr">
        <is>
          <t>DeviceFamilyID</t>
        </is>
      </c>
      <c r="G1470" t="inlineStr">
        <is>
          <t>DF081</t>
        </is>
      </c>
      <c r="H1470" t="inlineStr">
        <is>
          <t>tblDeviceFamilyIDCrosswalk</t>
        </is>
      </c>
      <c r="I1470" t="inlineStr"/>
      <c r="J1470" t="inlineStr">
        <is>
          <t>tblDeviceModel</t>
        </is>
      </c>
      <c r="K1470" t="inlineStr">
        <is>
          <t>Exact ID</t>
        </is>
      </c>
      <c r="L1470" t="inlineStr">
        <is>
          <t>Crosswalk Pending</t>
        </is>
      </c>
      <c r="M1470" t="inlineStr">
        <is>
          <t>Open</t>
        </is>
      </c>
      <c r="N1470" t="inlineStr"/>
    </row>
    <row r="1471">
      <c r="A1471" t="inlineStr">
        <is>
          <t>FKEX01470</t>
        </is>
      </c>
      <c r="B1471" t="inlineStr">
        <is>
          <t>15 LL_Device</t>
        </is>
      </c>
      <c r="C1471" t="inlineStr">
        <is>
          <t>tblDeviceModel</t>
        </is>
      </c>
      <c r="D1471" t="n">
        <v>491</v>
      </c>
      <c r="E1471" t="inlineStr">
        <is>
          <t>MOD000488</t>
        </is>
      </c>
      <c r="F1471" t="inlineStr">
        <is>
          <t>DeviceTypeID</t>
        </is>
      </c>
      <c r="G1471" t="inlineStr">
        <is>
          <t>DT001</t>
        </is>
      </c>
      <c r="H1471" t="inlineStr">
        <is>
          <t>tblDeviceTypeIDCrosswalk</t>
        </is>
      </c>
      <c r="I1471" t="inlineStr"/>
      <c r="J1471" t="inlineStr">
        <is>
          <t>No Supported Match</t>
        </is>
      </c>
      <c r="K1471" t="inlineStr">
        <is>
          <t>None</t>
        </is>
      </c>
      <c r="L1471" t="inlineStr">
        <is>
          <t>Crosswalk Pending</t>
        </is>
      </c>
      <c r="M1471" t="inlineStr">
        <is>
          <t>Open</t>
        </is>
      </c>
      <c r="N1471" t="inlineStr"/>
    </row>
    <row r="1472">
      <c r="A1472" t="inlineStr">
        <is>
          <t>FKEX01471</t>
        </is>
      </c>
      <c r="B1472" t="inlineStr">
        <is>
          <t>15 LL_Device</t>
        </is>
      </c>
      <c r="C1472" t="inlineStr">
        <is>
          <t>tblDeviceModel</t>
        </is>
      </c>
      <c r="D1472" t="n">
        <v>492</v>
      </c>
      <c r="E1472" t="inlineStr">
        <is>
          <t>MOD000489</t>
        </is>
      </c>
      <c r="F1472" t="inlineStr">
        <is>
          <t>ManufacturerID</t>
        </is>
      </c>
      <c r="G1472" t="inlineStr">
        <is>
          <t>MFG008</t>
        </is>
      </c>
      <c r="H1472" t="inlineStr">
        <is>
          <t>tblManufacturerIDCrosswalk</t>
        </is>
      </c>
      <c r="I1472" t="inlineStr"/>
      <c r="J1472" t="inlineStr">
        <is>
          <t>No Supported Match</t>
        </is>
      </c>
      <c r="K1472" t="inlineStr">
        <is>
          <t>None</t>
        </is>
      </c>
      <c r="L1472" t="inlineStr">
        <is>
          <t>Crosswalk Pending</t>
        </is>
      </c>
      <c r="M1472" t="inlineStr">
        <is>
          <t>Open</t>
        </is>
      </c>
      <c r="N1472" t="inlineStr"/>
    </row>
    <row r="1473">
      <c r="A1473" t="inlineStr">
        <is>
          <t>FKEX01472</t>
        </is>
      </c>
      <c r="B1473" t="inlineStr">
        <is>
          <t>15 LL_Device</t>
        </is>
      </c>
      <c r="C1473" t="inlineStr">
        <is>
          <t>tblDeviceModel</t>
        </is>
      </c>
      <c r="D1473" t="n">
        <v>492</v>
      </c>
      <c r="E1473" t="inlineStr">
        <is>
          <t>MOD000489</t>
        </is>
      </c>
      <c r="F1473" t="inlineStr">
        <is>
          <t>DeviceFamilyID</t>
        </is>
      </c>
      <c r="G1473" t="inlineStr">
        <is>
          <t>DF081</t>
        </is>
      </c>
      <c r="H1473" t="inlineStr">
        <is>
          <t>tblDeviceFamilyIDCrosswalk</t>
        </is>
      </c>
      <c r="I1473" t="inlineStr"/>
      <c r="J1473" t="inlineStr">
        <is>
          <t>tblDeviceModel</t>
        </is>
      </c>
      <c r="K1473" t="inlineStr">
        <is>
          <t>Exact ID</t>
        </is>
      </c>
      <c r="L1473" t="inlineStr">
        <is>
          <t>Crosswalk Pending</t>
        </is>
      </c>
      <c r="M1473" t="inlineStr">
        <is>
          <t>Open</t>
        </is>
      </c>
      <c r="N1473" t="inlineStr"/>
    </row>
    <row r="1474">
      <c r="A1474" t="inlineStr">
        <is>
          <t>FKEX01473</t>
        </is>
      </c>
      <c r="B1474" t="inlineStr">
        <is>
          <t>15 LL_Device</t>
        </is>
      </c>
      <c r="C1474" t="inlineStr">
        <is>
          <t>tblDeviceModel</t>
        </is>
      </c>
      <c r="D1474" t="n">
        <v>492</v>
      </c>
      <c r="E1474" t="inlineStr">
        <is>
          <t>MOD000489</t>
        </is>
      </c>
      <c r="F1474" t="inlineStr">
        <is>
          <t>DeviceTypeID</t>
        </is>
      </c>
      <c r="G1474" t="inlineStr">
        <is>
          <t>DT001</t>
        </is>
      </c>
      <c r="H1474" t="inlineStr">
        <is>
          <t>tblDeviceTypeIDCrosswalk</t>
        </is>
      </c>
      <c r="I1474" t="inlineStr"/>
      <c r="J1474" t="inlineStr">
        <is>
          <t>No Supported Match</t>
        </is>
      </c>
      <c r="K1474" t="inlineStr">
        <is>
          <t>None</t>
        </is>
      </c>
      <c r="L1474" t="inlineStr">
        <is>
          <t>Crosswalk Pending</t>
        </is>
      </c>
      <c r="M1474" t="inlineStr">
        <is>
          <t>Open</t>
        </is>
      </c>
      <c r="N1474" t="inlineStr"/>
    </row>
    <row r="1475">
      <c r="A1475" t="inlineStr">
        <is>
          <t>FKEX01474</t>
        </is>
      </c>
      <c r="B1475" t="inlineStr">
        <is>
          <t>15 LL_Device</t>
        </is>
      </c>
      <c r="C1475" t="inlineStr">
        <is>
          <t>tblDeviceModel</t>
        </is>
      </c>
      <c r="D1475" t="n">
        <v>493</v>
      </c>
      <c r="E1475" t="inlineStr">
        <is>
          <t>MOD000490</t>
        </is>
      </c>
      <c r="F1475" t="inlineStr">
        <is>
          <t>ManufacturerID</t>
        </is>
      </c>
      <c r="G1475" t="inlineStr">
        <is>
          <t>MFG008</t>
        </is>
      </c>
      <c r="H1475" t="inlineStr">
        <is>
          <t>tblManufacturerIDCrosswalk</t>
        </is>
      </c>
      <c r="I1475" t="inlineStr"/>
      <c r="J1475" t="inlineStr">
        <is>
          <t>No Supported Match</t>
        </is>
      </c>
      <c r="K1475" t="inlineStr">
        <is>
          <t>None</t>
        </is>
      </c>
      <c r="L1475" t="inlineStr">
        <is>
          <t>Crosswalk Pending</t>
        </is>
      </c>
      <c r="M1475" t="inlineStr">
        <is>
          <t>Open</t>
        </is>
      </c>
      <c r="N1475" t="inlineStr"/>
    </row>
    <row r="1476">
      <c r="A1476" t="inlineStr">
        <is>
          <t>FKEX01475</t>
        </is>
      </c>
      <c r="B1476" t="inlineStr">
        <is>
          <t>15 LL_Device</t>
        </is>
      </c>
      <c r="C1476" t="inlineStr">
        <is>
          <t>tblDeviceModel</t>
        </is>
      </c>
      <c r="D1476" t="n">
        <v>493</v>
      </c>
      <c r="E1476" t="inlineStr">
        <is>
          <t>MOD000490</t>
        </is>
      </c>
      <c r="F1476" t="inlineStr">
        <is>
          <t>DeviceFamilyID</t>
        </is>
      </c>
      <c r="G1476" t="inlineStr">
        <is>
          <t>DF081</t>
        </is>
      </c>
      <c r="H1476" t="inlineStr">
        <is>
          <t>tblDeviceFamilyIDCrosswalk</t>
        </is>
      </c>
      <c r="I1476" t="inlineStr"/>
      <c r="J1476" t="inlineStr">
        <is>
          <t>tblDeviceModel</t>
        </is>
      </c>
      <c r="K1476" t="inlineStr">
        <is>
          <t>Exact ID</t>
        </is>
      </c>
      <c r="L1476" t="inlineStr">
        <is>
          <t>Crosswalk Pending</t>
        </is>
      </c>
      <c r="M1476" t="inlineStr">
        <is>
          <t>Open</t>
        </is>
      </c>
      <c r="N1476" t="inlineStr"/>
    </row>
    <row r="1477">
      <c r="A1477" t="inlineStr">
        <is>
          <t>FKEX01476</t>
        </is>
      </c>
      <c r="B1477" t="inlineStr">
        <is>
          <t>15 LL_Device</t>
        </is>
      </c>
      <c r="C1477" t="inlineStr">
        <is>
          <t>tblDeviceModel</t>
        </is>
      </c>
      <c r="D1477" t="n">
        <v>493</v>
      </c>
      <c r="E1477" t="inlineStr">
        <is>
          <t>MOD000490</t>
        </is>
      </c>
      <c r="F1477" t="inlineStr">
        <is>
          <t>DeviceTypeID</t>
        </is>
      </c>
      <c r="G1477" t="inlineStr">
        <is>
          <t>DT001</t>
        </is>
      </c>
      <c r="H1477" t="inlineStr">
        <is>
          <t>tblDeviceTypeIDCrosswalk</t>
        </is>
      </c>
      <c r="I1477" t="inlineStr"/>
      <c r="J1477" t="inlineStr">
        <is>
          <t>No Supported Match</t>
        </is>
      </c>
      <c r="K1477" t="inlineStr">
        <is>
          <t>None</t>
        </is>
      </c>
      <c r="L1477" t="inlineStr">
        <is>
          <t>Crosswalk Pending</t>
        </is>
      </c>
      <c r="M1477" t="inlineStr">
        <is>
          <t>Open</t>
        </is>
      </c>
      <c r="N1477" t="inlineStr"/>
    </row>
    <row r="1478">
      <c r="A1478" t="inlineStr">
        <is>
          <t>FKEX01477</t>
        </is>
      </c>
      <c r="B1478" t="inlineStr">
        <is>
          <t>15 LL_Device</t>
        </is>
      </c>
      <c r="C1478" t="inlineStr">
        <is>
          <t>tblDeviceModel</t>
        </is>
      </c>
      <c r="D1478" t="n">
        <v>494</v>
      </c>
      <c r="E1478" t="inlineStr">
        <is>
          <t>MOD000491</t>
        </is>
      </c>
      <c r="F1478" t="inlineStr">
        <is>
          <t>ManufacturerID</t>
        </is>
      </c>
      <c r="G1478" t="inlineStr">
        <is>
          <t>MFG008</t>
        </is>
      </c>
      <c r="H1478" t="inlineStr">
        <is>
          <t>tblManufacturerIDCrosswalk</t>
        </is>
      </c>
      <c r="I1478" t="inlineStr"/>
      <c r="J1478" t="inlineStr">
        <is>
          <t>No Supported Match</t>
        </is>
      </c>
      <c r="K1478" t="inlineStr">
        <is>
          <t>None</t>
        </is>
      </c>
      <c r="L1478" t="inlineStr">
        <is>
          <t>Crosswalk Pending</t>
        </is>
      </c>
      <c r="M1478" t="inlineStr">
        <is>
          <t>Open</t>
        </is>
      </c>
      <c r="N1478" t="inlineStr"/>
    </row>
    <row r="1479">
      <c r="A1479" t="inlineStr">
        <is>
          <t>FKEX01478</t>
        </is>
      </c>
      <c r="B1479" t="inlineStr">
        <is>
          <t>15 LL_Device</t>
        </is>
      </c>
      <c r="C1479" t="inlineStr">
        <is>
          <t>tblDeviceModel</t>
        </is>
      </c>
      <c r="D1479" t="n">
        <v>494</v>
      </c>
      <c r="E1479" t="inlineStr">
        <is>
          <t>MOD000491</t>
        </is>
      </c>
      <c r="F1479" t="inlineStr">
        <is>
          <t>DeviceFamilyID</t>
        </is>
      </c>
      <c r="G1479" t="inlineStr">
        <is>
          <t>DF080</t>
        </is>
      </c>
      <c r="H1479" t="inlineStr">
        <is>
          <t>tblDeviceFamilyIDCrosswalk</t>
        </is>
      </c>
      <c r="I1479" t="inlineStr"/>
      <c r="J1479" t="inlineStr">
        <is>
          <t>tblDeviceModel</t>
        </is>
      </c>
      <c r="K1479" t="inlineStr">
        <is>
          <t>Exact ID</t>
        </is>
      </c>
      <c r="L1479" t="inlineStr">
        <is>
          <t>Crosswalk Pending</t>
        </is>
      </c>
      <c r="M1479" t="inlineStr">
        <is>
          <t>Open</t>
        </is>
      </c>
      <c r="N1479" t="inlineStr"/>
    </row>
    <row r="1480">
      <c r="A1480" t="inlineStr">
        <is>
          <t>FKEX01479</t>
        </is>
      </c>
      <c r="B1480" t="inlineStr">
        <is>
          <t>15 LL_Device</t>
        </is>
      </c>
      <c r="C1480" t="inlineStr">
        <is>
          <t>tblDeviceModel</t>
        </is>
      </c>
      <c r="D1480" t="n">
        <v>494</v>
      </c>
      <c r="E1480" t="inlineStr">
        <is>
          <t>MOD000491</t>
        </is>
      </c>
      <c r="F1480" t="inlineStr">
        <is>
          <t>DeviceTypeID</t>
        </is>
      </c>
      <c r="G1480" t="inlineStr">
        <is>
          <t>DT001</t>
        </is>
      </c>
      <c r="H1480" t="inlineStr">
        <is>
          <t>tblDeviceTypeIDCrosswalk</t>
        </is>
      </c>
      <c r="I1480" t="inlineStr"/>
      <c r="J1480" t="inlineStr">
        <is>
          <t>No Supported Match</t>
        </is>
      </c>
      <c r="K1480" t="inlineStr">
        <is>
          <t>None</t>
        </is>
      </c>
      <c r="L1480" t="inlineStr">
        <is>
          <t>Crosswalk Pending</t>
        </is>
      </c>
      <c r="M1480" t="inlineStr">
        <is>
          <t>Open</t>
        </is>
      </c>
      <c r="N1480" t="inlineStr"/>
    </row>
    <row r="1481">
      <c r="A1481" t="inlineStr">
        <is>
          <t>FKEX01480</t>
        </is>
      </c>
      <c r="B1481" t="inlineStr">
        <is>
          <t>15 LL_Device</t>
        </is>
      </c>
      <c r="C1481" t="inlineStr">
        <is>
          <t>tblDeviceModel</t>
        </is>
      </c>
      <c r="D1481" t="n">
        <v>495</v>
      </c>
      <c r="E1481" t="inlineStr">
        <is>
          <t>MOD000492</t>
        </is>
      </c>
      <c r="F1481" t="inlineStr">
        <is>
          <t>ManufacturerID</t>
        </is>
      </c>
      <c r="G1481" t="inlineStr">
        <is>
          <t>MFG008</t>
        </is>
      </c>
      <c r="H1481" t="inlineStr">
        <is>
          <t>tblManufacturerIDCrosswalk</t>
        </is>
      </c>
      <c r="I1481" t="inlineStr"/>
      <c r="J1481" t="inlineStr">
        <is>
          <t>No Supported Match</t>
        </is>
      </c>
      <c r="K1481" t="inlineStr">
        <is>
          <t>None</t>
        </is>
      </c>
      <c r="L1481" t="inlineStr">
        <is>
          <t>Crosswalk Pending</t>
        </is>
      </c>
      <c r="M1481" t="inlineStr">
        <is>
          <t>Open</t>
        </is>
      </c>
      <c r="N1481" t="inlineStr"/>
    </row>
    <row r="1482">
      <c r="A1482" t="inlineStr">
        <is>
          <t>FKEX01481</t>
        </is>
      </c>
      <c r="B1482" t="inlineStr">
        <is>
          <t>15 LL_Device</t>
        </is>
      </c>
      <c r="C1482" t="inlineStr">
        <is>
          <t>tblDeviceModel</t>
        </is>
      </c>
      <c r="D1482" t="n">
        <v>495</v>
      </c>
      <c r="E1482" t="inlineStr">
        <is>
          <t>MOD000492</t>
        </is>
      </c>
      <c r="F1482" t="inlineStr">
        <is>
          <t>DeviceFamilyID</t>
        </is>
      </c>
      <c r="G1482" t="inlineStr">
        <is>
          <t>DF082</t>
        </is>
      </c>
      <c r="H1482" t="inlineStr">
        <is>
          <t>tblDeviceFamilyIDCrosswalk</t>
        </is>
      </c>
      <c r="I1482" t="inlineStr"/>
      <c r="J1482" t="inlineStr">
        <is>
          <t>tblDeviceModel</t>
        </is>
      </c>
      <c r="K1482" t="inlineStr">
        <is>
          <t>Exact ID</t>
        </is>
      </c>
      <c r="L1482" t="inlineStr">
        <is>
          <t>Crosswalk Pending</t>
        </is>
      </c>
      <c r="M1482" t="inlineStr">
        <is>
          <t>Open</t>
        </is>
      </c>
      <c r="N1482" t="inlineStr"/>
    </row>
    <row r="1483">
      <c r="A1483" t="inlineStr">
        <is>
          <t>FKEX01482</t>
        </is>
      </c>
      <c r="B1483" t="inlineStr">
        <is>
          <t>15 LL_Device</t>
        </is>
      </c>
      <c r="C1483" t="inlineStr">
        <is>
          <t>tblDeviceModel</t>
        </is>
      </c>
      <c r="D1483" t="n">
        <v>495</v>
      </c>
      <c r="E1483" t="inlineStr">
        <is>
          <t>MOD000492</t>
        </is>
      </c>
      <c r="F1483" t="inlineStr">
        <is>
          <t>DeviceTypeID</t>
        </is>
      </c>
      <c r="G1483" t="inlineStr">
        <is>
          <t>DT002</t>
        </is>
      </c>
      <c r="H1483" t="inlineStr">
        <is>
          <t>tblDeviceTypeIDCrosswalk</t>
        </is>
      </c>
      <c r="I1483" t="inlineStr"/>
      <c r="J1483" t="inlineStr">
        <is>
          <t>No Supported Match</t>
        </is>
      </c>
      <c r="K1483" t="inlineStr">
        <is>
          <t>None</t>
        </is>
      </c>
      <c r="L1483" t="inlineStr">
        <is>
          <t>Crosswalk Pending</t>
        </is>
      </c>
      <c r="M1483" t="inlineStr">
        <is>
          <t>Open</t>
        </is>
      </c>
      <c r="N1483" t="inlineStr"/>
    </row>
    <row r="1484">
      <c r="A1484" t="inlineStr">
        <is>
          <t>FKEX01483</t>
        </is>
      </c>
      <c r="B1484" t="inlineStr">
        <is>
          <t>15 LL_Device</t>
        </is>
      </c>
      <c r="C1484" t="inlineStr">
        <is>
          <t>tblDeviceModel</t>
        </is>
      </c>
      <c r="D1484" t="n">
        <v>496</v>
      </c>
      <c r="E1484" t="inlineStr">
        <is>
          <t>MOD000493</t>
        </is>
      </c>
      <c r="F1484" t="inlineStr">
        <is>
          <t>ManufacturerID</t>
        </is>
      </c>
      <c r="G1484" t="inlineStr">
        <is>
          <t>MFG008</t>
        </is>
      </c>
      <c r="H1484" t="inlineStr">
        <is>
          <t>tblManufacturerIDCrosswalk</t>
        </is>
      </c>
      <c r="I1484" t="inlineStr"/>
      <c r="J1484" t="inlineStr">
        <is>
          <t>No Supported Match</t>
        </is>
      </c>
      <c r="K1484" t="inlineStr">
        <is>
          <t>None</t>
        </is>
      </c>
      <c r="L1484" t="inlineStr">
        <is>
          <t>Crosswalk Pending</t>
        </is>
      </c>
      <c r="M1484" t="inlineStr">
        <is>
          <t>Open</t>
        </is>
      </c>
      <c r="N1484" t="inlineStr"/>
    </row>
    <row r="1485">
      <c r="A1485" t="inlineStr">
        <is>
          <t>FKEX01484</t>
        </is>
      </c>
      <c r="B1485" t="inlineStr">
        <is>
          <t>15 LL_Device</t>
        </is>
      </c>
      <c r="C1485" t="inlineStr">
        <is>
          <t>tblDeviceModel</t>
        </is>
      </c>
      <c r="D1485" t="n">
        <v>496</v>
      </c>
      <c r="E1485" t="inlineStr">
        <is>
          <t>MOD000493</t>
        </is>
      </c>
      <c r="F1485" t="inlineStr">
        <is>
          <t>DeviceFamilyID</t>
        </is>
      </c>
      <c r="G1485" t="inlineStr">
        <is>
          <t>DF082</t>
        </is>
      </c>
      <c r="H1485" t="inlineStr">
        <is>
          <t>tblDeviceFamilyIDCrosswalk</t>
        </is>
      </c>
      <c r="I1485" t="inlineStr"/>
      <c r="J1485" t="inlineStr">
        <is>
          <t>tblDeviceModel</t>
        </is>
      </c>
      <c r="K1485" t="inlineStr">
        <is>
          <t>Exact ID</t>
        </is>
      </c>
      <c r="L1485" t="inlineStr">
        <is>
          <t>Crosswalk Pending</t>
        </is>
      </c>
      <c r="M1485" t="inlineStr">
        <is>
          <t>Open</t>
        </is>
      </c>
      <c r="N1485" t="inlineStr"/>
    </row>
    <row r="1486">
      <c r="A1486" t="inlineStr">
        <is>
          <t>FKEX01485</t>
        </is>
      </c>
      <c r="B1486" t="inlineStr">
        <is>
          <t>15 LL_Device</t>
        </is>
      </c>
      <c r="C1486" t="inlineStr">
        <is>
          <t>tblDeviceModel</t>
        </is>
      </c>
      <c r="D1486" t="n">
        <v>496</v>
      </c>
      <c r="E1486" t="inlineStr">
        <is>
          <t>MOD000493</t>
        </is>
      </c>
      <c r="F1486" t="inlineStr">
        <is>
          <t>DeviceTypeID</t>
        </is>
      </c>
      <c r="G1486" t="inlineStr">
        <is>
          <t>DT002</t>
        </is>
      </c>
      <c r="H1486" t="inlineStr">
        <is>
          <t>tblDeviceTypeIDCrosswalk</t>
        </is>
      </c>
      <c r="I1486" t="inlineStr"/>
      <c r="J1486" t="inlineStr">
        <is>
          <t>No Supported Match</t>
        </is>
      </c>
      <c r="K1486" t="inlineStr">
        <is>
          <t>None</t>
        </is>
      </c>
      <c r="L1486" t="inlineStr">
        <is>
          <t>Crosswalk Pending</t>
        </is>
      </c>
      <c r="M1486" t="inlineStr">
        <is>
          <t>Open</t>
        </is>
      </c>
      <c r="N1486" t="inlineStr"/>
    </row>
    <row r="1487">
      <c r="A1487" t="inlineStr">
        <is>
          <t>FKEX01486</t>
        </is>
      </c>
      <c r="B1487" t="inlineStr">
        <is>
          <t>15 LL_Device</t>
        </is>
      </c>
      <c r="C1487" t="inlineStr">
        <is>
          <t>tblDeviceModel</t>
        </is>
      </c>
      <c r="D1487" t="n">
        <v>497</v>
      </c>
      <c r="E1487" t="inlineStr">
        <is>
          <t>MOD000494</t>
        </is>
      </c>
      <c r="F1487" t="inlineStr">
        <is>
          <t>ManufacturerID</t>
        </is>
      </c>
      <c r="G1487" t="inlineStr">
        <is>
          <t>MFG009</t>
        </is>
      </c>
      <c r="H1487" t="inlineStr">
        <is>
          <t>tblManufacturerIDCrosswalk</t>
        </is>
      </c>
      <c r="I1487" t="inlineStr"/>
      <c r="J1487" t="inlineStr">
        <is>
          <t>No Supported Match</t>
        </is>
      </c>
      <c r="K1487" t="inlineStr">
        <is>
          <t>None</t>
        </is>
      </c>
      <c r="L1487" t="inlineStr">
        <is>
          <t>Crosswalk Pending</t>
        </is>
      </c>
      <c r="M1487" t="inlineStr">
        <is>
          <t>Open</t>
        </is>
      </c>
      <c r="N1487" t="inlineStr"/>
    </row>
    <row r="1488">
      <c r="A1488" t="inlineStr">
        <is>
          <t>FKEX01487</t>
        </is>
      </c>
      <c r="B1488" t="inlineStr">
        <is>
          <t>15 LL_Device</t>
        </is>
      </c>
      <c r="C1488" t="inlineStr">
        <is>
          <t>tblDeviceModel</t>
        </is>
      </c>
      <c r="D1488" t="n">
        <v>497</v>
      </c>
      <c r="E1488" t="inlineStr">
        <is>
          <t>MOD000494</t>
        </is>
      </c>
      <c r="F1488" t="inlineStr">
        <is>
          <t>DeviceFamilyID</t>
        </is>
      </c>
      <c r="G1488" t="inlineStr">
        <is>
          <t>DF090</t>
        </is>
      </c>
      <c r="H1488" t="inlineStr">
        <is>
          <t>tblDeviceFamilyIDCrosswalk</t>
        </is>
      </c>
      <c r="I1488" t="inlineStr"/>
      <c r="J1488" t="inlineStr">
        <is>
          <t>tblDeviceModel</t>
        </is>
      </c>
      <c r="K1488" t="inlineStr">
        <is>
          <t>Exact ID</t>
        </is>
      </c>
      <c r="L1488" t="inlineStr">
        <is>
          <t>Crosswalk Pending</t>
        </is>
      </c>
      <c r="M1488" t="inlineStr">
        <is>
          <t>Open</t>
        </is>
      </c>
      <c r="N1488" t="inlineStr"/>
    </row>
    <row r="1489">
      <c r="A1489" t="inlineStr">
        <is>
          <t>FKEX01488</t>
        </is>
      </c>
      <c r="B1489" t="inlineStr">
        <is>
          <t>15 LL_Device</t>
        </is>
      </c>
      <c r="C1489" t="inlineStr">
        <is>
          <t>tblDeviceModel</t>
        </is>
      </c>
      <c r="D1489" t="n">
        <v>497</v>
      </c>
      <c r="E1489" t="inlineStr">
        <is>
          <t>MOD000494</t>
        </is>
      </c>
      <c r="F1489" t="inlineStr">
        <is>
          <t>DeviceTypeID</t>
        </is>
      </c>
      <c r="G1489" t="inlineStr">
        <is>
          <t>DT001</t>
        </is>
      </c>
      <c r="H1489" t="inlineStr">
        <is>
          <t>tblDeviceTypeIDCrosswalk</t>
        </is>
      </c>
      <c r="I1489" t="inlineStr"/>
      <c r="J1489" t="inlineStr">
        <is>
          <t>No Supported Match</t>
        </is>
      </c>
      <c r="K1489" t="inlineStr">
        <is>
          <t>None</t>
        </is>
      </c>
      <c r="L1489" t="inlineStr">
        <is>
          <t>Crosswalk Pending</t>
        </is>
      </c>
      <c r="M1489" t="inlineStr">
        <is>
          <t>Open</t>
        </is>
      </c>
      <c r="N1489" t="inlineStr"/>
    </row>
    <row r="1490">
      <c r="A1490" t="inlineStr">
        <is>
          <t>FKEX01489</t>
        </is>
      </c>
      <c r="B1490" t="inlineStr">
        <is>
          <t>15 LL_Device</t>
        </is>
      </c>
      <c r="C1490" t="inlineStr">
        <is>
          <t>tblDeviceModel</t>
        </is>
      </c>
      <c r="D1490" t="n">
        <v>498</v>
      </c>
      <c r="E1490" t="inlineStr">
        <is>
          <t>MOD000495</t>
        </is>
      </c>
      <c r="F1490" t="inlineStr">
        <is>
          <t>ManufacturerID</t>
        </is>
      </c>
      <c r="G1490" t="inlineStr">
        <is>
          <t>MFG009</t>
        </is>
      </c>
      <c r="H1490" t="inlineStr">
        <is>
          <t>tblManufacturerIDCrosswalk</t>
        </is>
      </c>
      <c r="I1490" t="inlineStr"/>
      <c r="J1490" t="inlineStr">
        <is>
          <t>No Supported Match</t>
        </is>
      </c>
      <c r="K1490" t="inlineStr">
        <is>
          <t>None</t>
        </is>
      </c>
      <c r="L1490" t="inlineStr">
        <is>
          <t>Crosswalk Pending</t>
        </is>
      </c>
      <c r="M1490" t="inlineStr">
        <is>
          <t>Open</t>
        </is>
      </c>
      <c r="N1490" t="inlineStr"/>
    </row>
    <row r="1491">
      <c r="A1491" t="inlineStr">
        <is>
          <t>FKEX01490</t>
        </is>
      </c>
      <c r="B1491" t="inlineStr">
        <is>
          <t>15 LL_Device</t>
        </is>
      </c>
      <c r="C1491" t="inlineStr">
        <is>
          <t>tblDeviceModel</t>
        </is>
      </c>
      <c r="D1491" t="n">
        <v>498</v>
      </c>
      <c r="E1491" t="inlineStr">
        <is>
          <t>MOD000495</t>
        </is>
      </c>
      <c r="F1491" t="inlineStr">
        <is>
          <t>DeviceFamilyID</t>
        </is>
      </c>
      <c r="G1491" t="inlineStr">
        <is>
          <t>DF090</t>
        </is>
      </c>
      <c r="H1491" t="inlineStr">
        <is>
          <t>tblDeviceFamilyIDCrosswalk</t>
        </is>
      </c>
      <c r="I1491" t="inlineStr"/>
      <c r="J1491" t="inlineStr">
        <is>
          <t>tblDeviceModel</t>
        </is>
      </c>
      <c r="K1491" t="inlineStr">
        <is>
          <t>Exact ID</t>
        </is>
      </c>
      <c r="L1491" t="inlineStr">
        <is>
          <t>Crosswalk Pending</t>
        </is>
      </c>
      <c r="M1491" t="inlineStr">
        <is>
          <t>Open</t>
        </is>
      </c>
      <c r="N1491" t="inlineStr"/>
    </row>
    <row r="1492">
      <c r="A1492" t="inlineStr">
        <is>
          <t>FKEX01491</t>
        </is>
      </c>
      <c r="B1492" t="inlineStr">
        <is>
          <t>15 LL_Device</t>
        </is>
      </c>
      <c r="C1492" t="inlineStr">
        <is>
          <t>tblDeviceModel</t>
        </is>
      </c>
      <c r="D1492" t="n">
        <v>498</v>
      </c>
      <c r="E1492" t="inlineStr">
        <is>
          <t>MOD000495</t>
        </is>
      </c>
      <c r="F1492" t="inlineStr">
        <is>
          <t>DeviceTypeID</t>
        </is>
      </c>
      <c r="G1492" t="inlineStr">
        <is>
          <t>DT001</t>
        </is>
      </c>
      <c r="H1492" t="inlineStr">
        <is>
          <t>tblDeviceTypeIDCrosswalk</t>
        </is>
      </c>
      <c r="I1492" t="inlineStr"/>
      <c r="J1492" t="inlineStr">
        <is>
          <t>No Supported Match</t>
        </is>
      </c>
      <c r="K1492" t="inlineStr">
        <is>
          <t>None</t>
        </is>
      </c>
      <c r="L1492" t="inlineStr">
        <is>
          <t>Crosswalk Pending</t>
        </is>
      </c>
      <c r="M1492" t="inlineStr">
        <is>
          <t>Open</t>
        </is>
      </c>
      <c r="N1492" t="inlineStr"/>
    </row>
    <row r="1493">
      <c r="A1493" t="inlineStr">
        <is>
          <t>FKEX01492</t>
        </is>
      </c>
      <c r="B1493" t="inlineStr">
        <is>
          <t>15 LL_Device</t>
        </is>
      </c>
      <c r="C1493" t="inlineStr">
        <is>
          <t>tblDeviceModel</t>
        </is>
      </c>
      <c r="D1493" t="n">
        <v>499</v>
      </c>
      <c r="E1493" t="inlineStr">
        <is>
          <t>MOD000496</t>
        </is>
      </c>
      <c r="F1493" t="inlineStr">
        <is>
          <t>ManufacturerID</t>
        </is>
      </c>
      <c r="G1493" t="inlineStr">
        <is>
          <t>MFG009</t>
        </is>
      </c>
      <c r="H1493" t="inlineStr">
        <is>
          <t>tblManufacturerIDCrosswalk</t>
        </is>
      </c>
      <c r="I1493" t="inlineStr"/>
      <c r="J1493" t="inlineStr">
        <is>
          <t>No Supported Match</t>
        </is>
      </c>
      <c r="K1493" t="inlineStr">
        <is>
          <t>None</t>
        </is>
      </c>
      <c r="L1493" t="inlineStr">
        <is>
          <t>Crosswalk Pending</t>
        </is>
      </c>
      <c r="M1493" t="inlineStr">
        <is>
          <t>Open</t>
        </is>
      </c>
      <c r="N1493" t="inlineStr"/>
    </row>
    <row r="1494">
      <c r="A1494" t="inlineStr">
        <is>
          <t>FKEX01493</t>
        </is>
      </c>
      <c r="B1494" t="inlineStr">
        <is>
          <t>15 LL_Device</t>
        </is>
      </c>
      <c r="C1494" t="inlineStr">
        <is>
          <t>tblDeviceModel</t>
        </is>
      </c>
      <c r="D1494" t="n">
        <v>499</v>
      </c>
      <c r="E1494" t="inlineStr">
        <is>
          <t>MOD000496</t>
        </is>
      </c>
      <c r="F1494" t="inlineStr">
        <is>
          <t>DeviceFamilyID</t>
        </is>
      </c>
      <c r="G1494" t="inlineStr">
        <is>
          <t>DF090</t>
        </is>
      </c>
      <c r="H1494" t="inlineStr">
        <is>
          <t>tblDeviceFamilyIDCrosswalk</t>
        </is>
      </c>
      <c r="I1494" t="inlineStr"/>
      <c r="J1494" t="inlineStr">
        <is>
          <t>tblDeviceModel</t>
        </is>
      </c>
      <c r="K1494" t="inlineStr">
        <is>
          <t>Exact ID</t>
        </is>
      </c>
      <c r="L1494" t="inlineStr">
        <is>
          <t>Crosswalk Pending</t>
        </is>
      </c>
      <c r="M1494" t="inlineStr">
        <is>
          <t>Open</t>
        </is>
      </c>
      <c r="N1494" t="inlineStr"/>
    </row>
    <row r="1495">
      <c r="A1495" t="inlineStr">
        <is>
          <t>FKEX01494</t>
        </is>
      </c>
      <c r="B1495" t="inlineStr">
        <is>
          <t>15 LL_Device</t>
        </is>
      </c>
      <c r="C1495" t="inlineStr">
        <is>
          <t>tblDeviceModel</t>
        </is>
      </c>
      <c r="D1495" t="n">
        <v>499</v>
      </c>
      <c r="E1495" t="inlineStr">
        <is>
          <t>MOD000496</t>
        </is>
      </c>
      <c r="F1495" t="inlineStr">
        <is>
          <t>DeviceTypeID</t>
        </is>
      </c>
      <c r="G1495" t="inlineStr">
        <is>
          <t>DT001</t>
        </is>
      </c>
      <c r="H1495" t="inlineStr">
        <is>
          <t>tblDeviceTypeIDCrosswalk</t>
        </is>
      </c>
      <c r="I1495" t="inlineStr"/>
      <c r="J1495" t="inlineStr">
        <is>
          <t>No Supported Match</t>
        </is>
      </c>
      <c r="K1495" t="inlineStr">
        <is>
          <t>None</t>
        </is>
      </c>
      <c r="L1495" t="inlineStr">
        <is>
          <t>Crosswalk Pending</t>
        </is>
      </c>
      <c r="M1495" t="inlineStr">
        <is>
          <t>Open</t>
        </is>
      </c>
      <c r="N1495" t="inlineStr"/>
    </row>
    <row r="1496">
      <c r="A1496" t="inlineStr">
        <is>
          <t>FKEX01495</t>
        </is>
      </c>
      <c r="B1496" t="inlineStr">
        <is>
          <t>15 LL_Device</t>
        </is>
      </c>
      <c r="C1496" t="inlineStr">
        <is>
          <t>tblDeviceModel</t>
        </is>
      </c>
      <c r="D1496" t="n">
        <v>500</v>
      </c>
      <c r="E1496" t="inlineStr">
        <is>
          <t>MOD000497</t>
        </is>
      </c>
      <c r="F1496" t="inlineStr">
        <is>
          <t>ManufacturerID</t>
        </is>
      </c>
      <c r="G1496" t="inlineStr">
        <is>
          <t>MFG009</t>
        </is>
      </c>
      <c r="H1496" t="inlineStr">
        <is>
          <t>tblManufacturerIDCrosswalk</t>
        </is>
      </c>
      <c r="I1496" t="inlineStr"/>
      <c r="J1496" t="inlineStr">
        <is>
          <t>No Supported Match</t>
        </is>
      </c>
      <c r="K1496" t="inlineStr">
        <is>
          <t>None</t>
        </is>
      </c>
      <c r="L1496" t="inlineStr">
        <is>
          <t>Crosswalk Pending</t>
        </is>
      </c>
      <c r="M1496" t="inlineStr">
        <is>
          <t>Open</t>
        </is>
      </c>
      <c r="N1496" t="inlineStr"/>
    </row>
    <row r="1497">
      <c r="A1497" t="inlineStr">
        <is>
          <t>FKEX01496</t>
        </is>
      </c>
      <c r="B1497" t="inlineStr">
        <is>
          <t>15 LL_Device</t>
        </is>
      </c>
      <c r="C1497" t="inlineStr">
        <is>
          <t>tblDeviceModel</t>
        </is>
      </c>
      <c r="D1497" t="n">
        <v>500</v>
      </c>
      <c r="E1497" t="inlineStr">
        <is>
          <t>MOD000497</t>
        </is>
      </c>
      <c r="F1497" t="inlineStr">
        <is>
          <t>DeviceFamilyID</t>
        </is>
      </c>
      <c r="G1497" t="inlineStr">
        <is>
          <t>DF090</t>
        </is>
      </c>
      <c r="H1497" t="inlineStr">
        <is>
          <t>tblDeviceFamilyIDCrosswalk</t>
        </is>
      </c>
      <c r="I1497" t="inlineStr"/>
      <c r="J1497" t="inlineStr">
        <is>
          <t>tblDeviceModel</t>
        </is>
      </c>
      <c r="K1497" t="inlineStr">
        <is>
          <t>Exact ID</t>
        </is>
      </c>
      <c r="L1497" t="inlineStr">
        <is>
          <t>Crosswalk Pending</t>
        </is>
      </c>
      <c r="M1497" t="inlineStr">
        <is>
          <t>Open</t>
        </is>
      </c>
      <c r="N1497" t="inlineStr"/>
    </row>
    <row r="1498">
      <c r="A1498" t="inlineStr">
        <is>
          <t>FKEX01497</t>
        </is>
      </c>
      <c r="B1498" t="inlineStr">
        <is>
          <t>15 LL_Device</t>
        </is>
      </c>
      <c r="C1498" t="inlineStr">
        <is>
          <t>tblDeviceModel</t>
        </is>
      </c>
      <c r="D1498" t="n">
        <v>500</v>
      </c>
      <c r="E1498" t="inlineStr">
        <is>
          <t>MOD000497</t>
        </is>
      </c>
      <c r="F1498" t="inlineStr">
        <is>
          <t>DeviceTypeID</t>
        </is>
      </c>
      <c r="G1498" t="inlineStr">
        <is>
          <t>DT001</t>
        </is>
      </c>
      <c r="H1498" t="inlineStr">
        <is>
          <t>tblDeviceTypeIDCrosswalk</t>
        </is>
      </c>
      <c r="I1498" t="inlineStr"/>
      <c r="J1498" t="inlineStr">
        <is>
          <t>No Supported Match</t>
        </is>
      </c>
      <c r="K1498" t="inlineStr">
        <is>
          <t>None</t>
        </is>
      </c>
      <c r="L1498" t="inlineStr">
        <is>
          <t>Crosswalk Pending</t>
        </is>
      </c>
      <c r="M1498" t="inlineStr">
        <is>
          <t>Open</t>
        </is>
      </c>
      <c r="N1498" t="inlineStr"/>
    </row>
    <row r="1499">
      <c r="A1499" t="inlineStr">
        <is>
          <t>FKEX01498</t>
        </is>
      </c>
      <c r="B1499" t="inlineStr">
        <is>
          <t>15 LL_Device</t>
        </is>
      </c>
      <c r="C1499" t="inlineStr">
        <is>
          <t>tblDeviceModel</t>
        </is>
      </c>
      <c r="D1499" t="n">
        <v>501</v>
      </c>
      <c r="E1499" t="inlineStr">
        <is>
          <t>MOD000498</t>
        </is>
      </c>
      <c r="F1499" t="inlineStr">
        <is>
          <t>ManufacturerID</t>
        </is>
      </c>
      <c r="G1499" t="inlineStr">
        <is>
          <t>MFG009</t>
        </is>
      </c>
      <c r="H1499" t="inlineStr">
        <is>
          <t>tblManufacturerIDCrosswalk</t>
        </is>
      </c>
      <c r="I1499" t="inlineStr"/>
      <c r="J1499" t="inlineStr">
        <is>
          <t>No Supported Match</t>
        </is>
      </c>
      <c r="K1499" t="inlineStr">
        <is>
          <t>None</t>
        </is>
      </c>
      <c r="L1499" t="inlineStr">
        <is>
          <t>Crosswalk Pending</t>
        </is>
      </c>
      <c r="M1499" t="inlineStr">
        <is>
          <t>Open</t>
        </is>
      </c>
      <c r="N1499" t="inlineStr"/>
    </row>
    <row r="1500">
      <c r="A1500" t="inlineStr">
        <is>
          <t>FKEX01499</t>
        </is>
      </c>
      <c r="B1500" t="inlineStr">
        <is>
          <t>15 LL_Device</t>
        </is>
      </c>
      <c r="C1500" t="inlineStr">
        <is>
          <t>tblDeviceModel</t>
        </is>
      </c>
      <c r="D1500" t="n">
        <v>501</v>
      </c>
      <c r="E1500" t="inlineStr">
        <is>
          <t>MOD000498</t>
        </is>
      </c>
      <c r="F1500" t="inlineStr">
        <is>
          <t>DeviceFamilyID</t>
        </is>
      </c>
      <c r="G1500" t="inlineStr">
        <is>
          <t>DF090</t>
        </is>
      </c>
      <c r="H1500" t="inlineStr">
        <is>
          <t>tblDeviceFamilyIDCrosswalk</t>
        </is>
      </c>
      <c r="I1500" t="inlineStr"/>
      <c r="J1500" t="inlineStr">
        <is>
          <t>tblDeviceModel</t>
        </is>
      </c>
      <c r="K1500" t="inlineStr">
        <is>
          <t>Exact ID</t>
        </is>
      </c>
      <c r="L1500" t="inlineStr">
        <is>
          <t>Crosswalk Pending</t>
        </is>
      </c>
      <c r="M1500" t="inlineStr">
        <is>
          <t>Open</t>
        </is>
      </c>
      <c r="N1500" t="inlineStr"/>
    </row>
    <row r="1501">
      <c r="A1501" t="inlineStr">
        <is>
          <t>FKEX01500</t>
        </is>
      </c>
      <c r="B1501" t="inlineStr">
        <is>
          <t>15 LL_Device</t>
        </is>
      </c>
      <c r="C1501" t="inlineStr">
        <is>
          <t>tblDeviceModel</t>
        </is>
      </c>
      <c r="D1501" t="n">
        <v>501</v>
      </c>
      <c r="E1501" t="inlineStr">
        <is>
          <t>MOD000498</t>
        </is>
      </c>
      <c r="F1501" t="inlineStr">
        <is>
          <t>DeviceTypeID</t>
        </is>
      </c>
      <c r="G1501" t="inlineStr">
        <is>
          <t>DT001</t>
        </is>
      </c>
      <c r="H1501" t="inlineStr">
        <is>
          <t>tblDeviceTypeIDCrosswalk</t>
        </is>
      </c>
      <c r="I1501" t="inlineStr"/>
      <c r="J1501" t="inlineStr">
        <is>
          <t>No Supported Match</t>
        </is>
      </c>
      <c r="K1501" t="inlineStr">
        <is>
          <t>None</t>
        </is>
      </c>
      <c r="L1501" t="inlineStr">
        <is>
          <t>Crosswalk Pending</t>
        </is>
      </c>
      <c r="M1501" t="inlineStr">
        <is>
          <t>Open</t>
        </is>
      </c>
      <c r="N1501" t="inlineStr"/>
    </row>
    <row r="1502">
      <c r="A1502" t="inlineStr">
        <is>
          <t>FKEX01501</t>
        </is>
      </c>
      <c r="B1502" t="inlineStr">
        <is>
          <t>15 LL_Device</t>
        </is>
      </c>
      <c r="C1502" t="inlineStr">
        <is>
          <t>tblDeviceModel</t>
        </is>
      </c>
      <c r="D1502" t="n">
        <v>502</v>
      </c>
      <c r="E1502" t="inlineStr">
        <is>
          <t>MOD000499</t>
        </is>
      </c>
      <c r="F1502" t="inlineStr">
        <is>
          <t>ManufacturerID</t>
        </is>
      </c>
      <c r="G1502" t="inlineStr">
        <is>
          <t>MFG009</t>
        </is>
      </c>
      <c r="H1502" t="inlineStr">
        <is>
          <t>tblManufacturerIDCrosswalk</t>
        </is>
      </c>
      <c r="I1502" t="inlineStr"/>
      <c r="J1502" t="inlineStr">
        <is>
          <t>No Supported Match</t>
        </is>
      </c>
      <c r="K1502" t="inlineStr">
        <is>
          <t>None</t>
        </is>
      </c>
      <c r="L1502" t="inlineStr">
        <is>
          <t>Crosswalk Pending</t>
        </is>
      </c>
      <c r="M1502" t="inlineStr">
        <is>
          <t>Open</t>
        </is>
      </c>
      <c r="N1502" t="inlineStr"/>
    </row>
    <row r="1503">
      <c r="A1503" t="inlineStr">
        <is>
          <t>FKEX01502</t>
        </is>
      </c>
      <c r="B1503" t="inlineStr">
        <is>
          <t>15 LL_Device</t>
        </is>
      </c>
      <c r="C1503" t="inlineStr">
        <is>
          <t>tblDeviceModel</t>
        </is>
      </c>
      <c r="D1503" t="n">
        <v>502</v>
      </c>
      <c r="E1503" t="inlineStr">
        <is>
          <t>MOD000499</t>
        </is>
      </c>
      <c r="F1503" t="inlineStr">
        <is>
          <t>DeviceFamilyID</t>
        </is>
      </c>
      <c r="G1503" t="inlineStr">
        <is>
          <t>DF090</t>
        </is>
      </c>
      <c r="H1503" t="inlineStr">
        <is>
          <t>tblDeviceFamilyIDCrosswalk</t>
        </is>
      </c>
      <c r="I1503" t="inlineStr"/>
      <c r="J1503" t="inlineStr">
        <is>
          <t>tblDeviceModel</t>
        </is>
      </c>
      <c r="K1503" t="inlineStr">
        <is>
          <t>Exact ID</t>
        </is>
      </c>
      <c r="L1503" t="inlineStr">
        <is>
          <t>Crosswalk Pending</t>
        </is>
      </c>
      <c r="M1503" t="inlineStr">
        <is>
          <t>Open</t>
        </is>
      </c>
      <c r="N1503" t="inlineStr"/>
    </row>
    <row r="1504">
      <c r="A1504" t="inlineStr">
        <is>
          <t>FKEX01503</t>
        </is>
      </c>
      <c r="B1504" t="inlineStr">
        <is>
          <t>15 LL_Device</t>
        </is>
      </c>
      <c r="C1504" t="inlineStr">
        <is>
          <t>tblDeviceModel</t>
        </is>
      </c>
      <c r="D1504" t="n">
        <v>502</v>
      </c>
      <c r="E1504" t="inlineStr">
        <is>
          <t>MOD000499</t>
        </is>
      </c>
      <c r="F1504" t="inlineStr">
        <is>
          <t>DeviceTypeID</t>
        </is>
      </c>
      <c r="G1504" t="inlineStr">
        <is>
          <t>DT001</t>
        </is>
      </c>
      <c r="H1504" t="inlineStr">
        <is>
          <t>tblDeviceTypeIDCrosswalk</t>
        </is>
      </c>
      <c r="I1504" t="inlineStr"/>
      <c r="J1504" t="inlineStr">
        <is>
          <t>No Supported Match</t>
        </is>
      </c>
      <c r="K1504" t="inlineStr">
        <is>
          <t>None</t>
        </is>
      </c>
      <c r="L1504" t="inlineStr">
        <is>
          <t>Crosswalk Pending</t>
        </is>
      </c>
      <c r="M1504" t="inlineStr">
        <is>
          <t>Open</t>
        </is>
      </c>
      <c r="N1504" t="inlineStr"/>
    </row>
    <row r="1505">
      <c r="A1505" t="inlineStr">
        <is>
          <t>FKEX01504</t>
        </is>
      </c>
      <c r="B1505" t="inlineStr">
        <is>
          <t>15 LL_Device</t>
        </is>
      </c>
      <c r="C1505" t="inlineStr">
        <is>
          <t>tblDeviceModel</t>
        </is>
      </c>
      <c r="D1505" t="n">
        <v>503</v>
      </c>
      <c r="E1505" t="inlineStr">
        <is>
          <t>MOD000500</t>
        </is>
      </c>
      <c r="F1505" t="inlineStr">
        <is>
          <t>ManufacturerID</t>
        </is>
      </c>
      <c r="G1505" t="inlineStr">
        <is>
          <t>MFG009</t>
        </is>
      </c>
      <c r="H1505" t="inlineStr">
        <is>
          <t>tblManufacturerIDCrosswalk</t>
        </is>
      </c>
      <c r="I1505" t="inlineStr"/>
      <c r="J1505" t="inlineStr">
        <is>
          <t>No Supported Match</t>
        </is>
      </c>
      <c r="K1505" t="inlineStr">
        <is>
          <t>None</t>
        </is>
      </c>
      <c r="L1505" t="inlineStr">
        <is>
          <t>Crosswalk Pending</t>
        </is>
      </c>
      <c r="M1505" t="inlineStr">
        <is>
          <t>Open</t>
        </is>
      </c>
      <c r="N1505" t="inlineStr"/>
    </row>
    <row r="1506">
      <c r="A1506" t="inlineStr">
        <is>
          <t>FKEX01505</t>
        </is>
      </c>
      <c r="B1506" t="inlineStr">
        <is>
          <t>15 LL_Device</t>
        </is>
      </c>
      <c r="C1506" t="inlineStr">
        <is>
          <t>tblDeviceModel</t>
        </is>
      </c>
      <c r="D1506" t="n">
        <v>503</v>
      </c>
      <c r="E1506" t="inlineStr">
        <is>
          <t>MOD000500</t>
        </is>
      </c>
      <c r="F1506" t="inlineStr">
        <is>
          <t>DeviceFamilyID</t>
        </is>
      </c>
      <c r="G1506" t="inlineStr">
        <is>
          <t>DF090</t>
        </is>
      </c>
      <c r="H1506" t="inlineStr">
        <is>
          <t>tblDeviceFamilyIDCrosswalk</t>
        </is>
      </c>
      <c r="I1506" t="inlineStr"/>
      <c r="J1506" t="inlineStr">
        <is>
          <t>tblDeviceModel</t>
        </is>
      </c>
      <c r="K1506" t="inlineStr">
        <is>
          <t>Exact ID</t>
        </is>
      </c>
      <c r="L1506" t="inlineStr">
        <is>
          <t>Crosswalk Pending</t>
        </is>
      </c>
      <c r="M1506" t="inlineStr">
        <is>
          <t>Open</t>
        </is>
      </c>
      <c r="N1506" t="inlineStr"/>
    </row>
    <row r="1507">
      <c r="A1507" t="inlineStr">
        <is>
          <t>FKEX01506</t>
        </is>
      </c>
      <c r="B1507" t="inlineStr">
        <is>
          <t>15 LL_Device</t>
        </is>
      </c>
      <c r="C1507" t="inlineStr">
        <is>
          <t>tblDeviceModel</t>
        </is>
      </c>
      <c r="D1507" t="n">
        <v>503</v>
      </c>
      <c r="E1507" t="inlineStr">
        <is>
          <t>MOD000500</t>
        </is>
      </c>
      <c r="F1507" t="inlineStr">
        <is>
          <t>DeviceTypeID</t>
        </is>
      </c>
      <c r="G1507" t="inlineStr">
        <is>
          <t>DT001</t>
        </is>
      </c>
      <c r="H1507" t="inlineStr">
        <is>
          <t>tblDeviceTypeIDCrosswalk</t>
        </is>
      </c>
      <c r="I1507" t="inlineStr"/>
      <c r="J1507" t="inlineStr">
        <is>
          <t>No Supported Match</t>
        </is>
      </c>
      <c r="K1507" t="inlineStr">
        <is>
          <t>None</t>
        </is>
      </c>
      <c r="L1507" t="inlineStr">
        <is>
          <t>Crosswalk Pending</t>
        </is>
      </c>
      <c r="M1507" t="inlineStr">
        <is>
          <t>Open</t>
        </is>
      </c>
      <c r="N1507" t="inlineStr"/>
    </row>
    <row r="1508">
      <c r="A1508" t="inlineStr">
        <is>
          <t>FKEX01507</t>
        </is>
      </c>
      <c r="B1508" t="inlineStr">
        <is>
          <t>15 LL_Device</t>
        </is>
      </c>
      <c r="C1508" t="inlineStr">
        <is>
          <t>tblDeviceModel</t>
        </is>
      </c>
      <c r="D1508" t="n">
        <v>504</v>
      </c>
      <c r="E1508" t="inlineStr">
        <is>
          <t>MOD000501</t>
        </is>
      </c>
      <c r="F1508" t="inlineStr">
        <is>
          <t>ManufacturerID</t>
        </is>
      </c>
      <c r="G1508" t="inlineStr">
        <is>
          <t>MFG009</t>
        </is>
      </c>
      <c r="H1508" t="inlineStr">
        <is>
          <t>tblManufacturerIDCrosswalk</t>
        </is>
      </c>
      <c r="I1508" t="inlineStr"/>
      <c r="J1508" t="inlineStr">
        <is>
          <t>No Supported Match</t>
        </is>
      </c>
      <c r="K1508" t="inlineStr">
        <is>
          <t>None</t>
        </is>
      </c>
      <c r="L1508" t="inlineStr">
        <is>
          <t>Crosswalk Pending</t>
        </is>
      </c>
      <c r="M1508" t="inlineStr">
        <is>
          <t>Open</t>
        </is>
      </c>
      <c r="N1508" t="inlineStr"/>
    </row>
    <row r="1509">
      <c r="A1509" t="inlineStr">
        <is>
          <t>FKEX01508</t>
        </is>
      </c>
      <c r="B1509" t="inlineStr">
        <is>
          <t>15 LL_Device</t>
        </is>
      </c>
      <c r="C1509" t="inlineStr">
        <is>
          <t>tblDeviceModel</t>
        </is>
      </c>
      <c r="D1509" t="n">
        <v>504</v>
      </c>
      <c r="E1509" t="inlineStr">
        <is>
          <t>MOD000501</t>
        </is>
      </c>
      <c r="F1509" t="inlineStr">
        <is>
          <t>DeviceFamilyID</t>
        </is>
      </c>
      <c r="G1509" t="inlineStr">
        <is>
          <t>DF090</t>
        </is>
      </c>
      <c r="H1509" t="inlineStr">
        <is>
          <t>tblDeviceFamilyIDCrosswalk</t>
        </is>
      </c>
      <c r="I1509" t="inlineStr"/>
      <c r="J1509" t="inlineStr">
        <is>
          <t>tblDeviceModel</t>
        </is>
      </c>
      <c r="K1509" t="inlineStr">
        <is>
          <t>Exact ID</t>
        </is>
      </c>
      <c r="L1509" t="inlineStr">
        <is>
          <t>Crosswalk Pending</t>
        </is>
      </c>
      <c r="M1509" t="inlineStr">
        <is>
          <t>Open</t>
        </is>
      </c>
      <c r="N1509" t="inlineStr"/>
    </row>
    <row r="1510">
      <c r="A1510" t="inlineStr">
        <is>
          <t>FKEX01509</t>
        </is>
      </c>
      <c r="B1510" t="inlineStr">
        <is>
          <t>15 LL_Device</t>
        </is>
      </c>
      <c r="C1510" t="inlineStr">
        <is>
          <t>tblDeviceModel</t>
        </is>
      </c>
      <c r="D1510" t="n">
        <v>504</v>
      </c>
      <c r="E1510" t="inlineStr">
        <is>
          <t>MOD000501</t>
        </is>
      </c>
      <c r="F1510" t="inlineStr">
        <is>
          <t>DeviceTypeID</t>
        </is>
      </c>
      <c r="G1510" t="inlineStr">
        <is>
          <t>DT001</t>
        </is>
      </c>
      <c r="H1510" t="inlineStr">
        <is>
          <t>tblDeviceTypeIDCrosswalk</t>
        </is>
      </c>
      <c r="I1510" t="inlineStr"/>
      <c r="J1510" t="inlineStr">
        <is>
          <t>No Supported Match</t>
        </is>
      </c>
      <c r="K1510" t="inlineStr">
        <is>
          <t>None</t>
        </is>
      </c>
      <c r="L1510" t="inlineStr">
        <is>
          <t>Crosswalk Pending</t>
        </is>
      </c>
      <c r="M1510" t="inlineStr">
        <is>
          <t>Open</t>
        </is>
      </c>
      <c r="N1510" t="inlineStr"/>
    </row>
    <row r="1511">
      <c r="A1511" t="inlineStr">
        <is>
          <t>FKEX01510</t>
        </is>
      </c>
      <c r="B1511" t="inlineStr">
        <is>
          <t>15 LL_Device</t>
        </is>
      </c>
      <c r="C1511" t="inlineStr">
        <is>
          <t>tblDeviceModel</t>
        </is>
      </c>
      <c r="D1511" t="n">
        <v>505</v>
      </c>
      <c r="E1511" t="inlineStr">
        <is>
          <t>MOD000502</t>
        </is>
      </c>
      <c r="F1511" t="inlineStr">
        <is>
          <t>ManufacturerID</t>
        </is>
      </c>
      <c r="G1511" t="inlineStr">
        <is>
          <t>MFG009</t>
        </is>
      </c>
      <c r="H1511" t="inlineStr">
        <is>
          <t>tblManufacturerIDCrosswalk</t>
        </is>
      </c>
      <c r="I1511" t="inlineStr"/>
      <c r="J1511" t="inlineStr">
        <is>
          <t>No Supported Match</t>
        </is>
      </c>
      <c r="K1511" t="inlineStr">
        <is>
          <t>None</t>
        </is>
      </c>
      <c r="L1511" t="inlineStr">
        <is>
          <t>Crosswalk Pending</t>
        </is>
      </c>
      <c r="M1511" t="inlineStr">
        <is>
          <t>Open</t>
        </is>
      </c>
      <c r="N1511" t="inlineStr"/>
    </row>
    <row r="1512">
      <c r="A1512" t="inlineStr">
        <is>
          <t>FKEX01511</t>
        </is>
      </c>
      <c r="B1512" t="inlineStr">
        <is>
          <t>15 LL_Device</t>
        </is>
      </c>
      <c r="C1512" t="inlineStr">
        <is>
          <t>tblDeviceModel</t>
        </is>
      </c>
      <c r="D1512" t="n">
        <v>505</v>
      </c>
      <c r="E1512" t="inlineStr">
        <is>
          <t>MOD000502</t>
        </is>
      </c>
      <c r="F1512" t="inlineStr">
        <is>
          <t>DeviceFamilyID</t>
        </is>
      </c>
      <c r="G1512" t="inlineStr">
        <is>
          <t>DF090</t>
        </is>
      </c>
      <c r="H1512" t="inlineStr">
        <is>
          <t>tblDeviceFamilyIDCrosswalk</t>
        </is>
      </c>
      <c r="I1512" t="inlineStr"/>
      <c r="J1512" t="inlineStr">
        <is>
          <t>tblDeviceModel</t>
        </is>
      </c>
      <c r="K1512" t="inlineStr">
        <is>
          <t>Exact ID</t>
        </is>
      </c>
      <c r="L1512" t="inlineStr">
        <is>
          <t>Crosswalk Pending</t>
        </is>
      </c>
      <c r="M1512" t="inlineStr">
        <is>
          <t>Open</t>
        </is>
      </c>
      <c r="N1512" t="inlineStr"/>
    </row>
    <row r="1513">
      <c r="A1513" t="inlineStr">
        <is>
          <t>FKEX01512</t>
        </is>
      </c>
      <c r="B1513" t="inlineStr">
        <is>
          <t>15 LL_Device</t>
        </is>
      </c>
      <c r="C1513" t="inlineStr">
        <is>
          <t>tblDeviceModel</t>
        </is>
      </c>
      <c r="D1513" t="n">
        <v>505</v>
      </c>
      <c r="E1513" t="inlineStr">
        <is>
          <t>MOD000502</t>
        </is>
      </c>
      <c r="F1513" t="inlineStr">
        <is>
          <t>DeviceTypeID</t>
        </is>
      </c>
      <c r="G1513" t="inlineStr">
        <is>
          <t>DT001</t>
        </is>
      </c>
      <c r="H1513" t="inlineStr">
        <is>
          <t>tblDeviceTypeIDCrosswalk</t>
        </is>
      </c>
      <c r="I1513" t="inlineStr"/>
      <c r="J1513" t="inlineStr">
        <is>
          <t>No Supported Match</t>
        </is>
      </c>
      <c r="K1513" t="inlineStr">
        <is>
          <t>None</t>
        </is>
      </c>
      <c r="L1513" t="inlineStr">
        <is>
          <t>Crosswalk Pending</t>
        </is>
      </c>
      <c r="M1513" t="inlineStr">
        <is>
          <t>Open</t>
        </is>
      </c>
      <c r="N1513" t="inlineStr"/>
    </row>
    <row r="1514">
      <c r="A1514" t="inlineStr">
        <is>
          <t>FKEX01513</t>
        </is>
      </c>
      <c r="B1514" t="inlineStr">
        <is>
          <t>15 LL_Device</t>
        </is>
      </c>
      <c r="C1514" t="inlineStr">
        <is>
          <t>tblDeviceModel</t>
        </is>
      </c>
      <c r="D1514" t="n">
        <v>506</v>
      </c>
      <c r="E1514" t="inlineStr">
        <is>
          <t>MOD000503</t>
        </is>
      </c>
      <c r="F1514" t="inlineStr">
        <is>
          <t>ManufacturerID</t>
        </is>
      </c>
      <c r="G1514" t="inlineStr">
        <is>
          <t>MFG009</t>
        </is>
      </c>
      <c r="H1514" t="inlineStr">
        <is>
          <t>tblManufacturerIDCrosswalk</t>
        </is>
      </c>
      <c r="I1514" t="inlineStr"/>
      <c r="J1514" t="inlineStr">
        <is>
          <t>No Supported Match</t>
        </is>
      </c>
      <c r="K1514" t="inlineStr">
        <is>
          <t>None</t>
        </is>
      </c>
      <c r="L1514" t="inlineStr">
        <is>
          <t>Crosswalk Pending</t>
        </is>
      </c>
      <c r="M1514" t="inlineStr">
        <is>
          <t>Open</t>
        </is>
      </c>
      <c r="N1514" t="inlineStr"/>
    </row>
    <row r="1515">
      <c r="A1515" t="inlineStr">
        <is>
          <t>FKEX01514</t>
        </is>
      </c>
      <c r="B1515" t="inlineStr">
        <is>
          <t>15 LL_Device</t>
        </is>
      </c>
      <c r="C1515" t="inlineStr">
        <is>
          <t>tblDeviceModel</t>
        </is>
      </c>
      <c r="D1515" t="n">
        <v>506</v>
      </c>
      <c r="E1515" t="inlineStr">
        <is>
          <t>MOD000503</t>
        </is>
      </c>
      <c r="F1515" t="inlineStr">
        <is>
          <t>DeviceFamilyID</t>
        </is>
      </c>
      <c r="G1515" t="inlineStr">
        <is>
          <t>DF090</t>
        </is>
      </c>
      <c r="H1515" t="inlineStr">
        <is>
          <t>tblDeviceFamilyIDCrosswalk</t>
        </is>
      </c>
      <c r="I1515" t="inlineStr"/>
      <c r="J1515" t="inlineStr">
        <is>
          <t>tblDeviceModel</t>
        </is>
      </c>
      <c r="K1515" t="inlineStr">
        <is>
          <t>Exact ID</t>
        </is>
      </c>
      <c r="L1515" t="inlineStr">
        <is>
          <t>Crosswalk Pending</t>
        </is>
      </c>
      <c r="M1515" t="inlineStr">
        <is>
          <t>Open</t>
        </is>
      </c>
      <c r="N1515" t="inlineStr"/>
    </row>
    <row r="1516">
      <c r="A1516" t="inlineStr">
        <is>
          <t>FKEX01515</t>
        </is>
      </c>
      <c r="B1516" t="inlineStr">
        <is>
          <t>15 LL_Device</t>
        </is>
      </c>
      <c r="C1516" t="inlineStr">
        <is>
          <t>tblDeviceModel</t>
        </is>
      </c>
      <c r="D1516" t="n">
        <v>506</v>
      </c>
      <c r="E1516" t="inlineStr">
        <is>
          <t>MOD000503</t>
        </is>
      </c>
      <c r="F1516" t="inlineStr">
        <is>
          <t>DeviceTypeID</t>
        </is>
      </c>
      <c r="G1516" t="inlineStr">
        <is>
          <t>DT001</t>
        </is>
      </c>
      <c r="H1516" t="inlineStr">
        <is>
          <t>tblDeviceTypeIDCrosswalk</t>
        </is>
      </c>
      <c r="I1516" t="inlineStr"/>
      <c r="J1516" t="inlineStr">
        <is>
          <t>No Supported Match</t>
        </is>
      </c>
      <c r="K1516" t="inlineStr">
        <is>
          <t>None</t>
        </is>
      </c>
      <c r="L1516" t="inlineStr">
        <is>
          <t>Crosswalk Pending</t>
        </is>
      </c>
      <c r="M1516" t="inlineStr">
        <is>
          <t>Open</t>
        </is>
      </c>
      <c r="N1516" t="inlineStr"/>
    </row>
    <row r="1517">
      <c r="A1517" t="inlineStr">
        <is>
          <t>FKEX01516</t>
        </is>
      </c>
      <c r="B1517" t="inlineStr">
        <is>
          <t>15 LL_Device</t>
        </is>
      </c>
      <c r="C1517" t="inlineStr">
        <is>
          <t>tblDeviceModel</t>
        </is>
      </c>
      <c r="D1517" t="n">
        <v>507</v>
      </c>
      <c r="E1517" t="inlineStr">
        <is>
          <t>MOD000504</t>
        </is>
      </c>
      <c r="F1517" t="inlineStr">
        <is>
          <t>ManufacturerID</t>
        </is>
      </c>
      <c r="G1517" t="inlineStr">
        <is>
          <t>MFG009</t>
        </is>
      </c>
      <c r="H1517" t="inlineStr">
        <is>
          <t>tblManufacturerIDCrosswalk</t>
        </is>
      </c>
      <c r="I1517" t="inlineStr"/>
      <c r="J1517" t="inlineStr">
        <is>
          <t>No Supported Match</t>
        </is>
      </c>
      <c r="K1517" t="inlineStr">
        <is>
          <t>None</t>
        </is>
      </c>
      <c r="L1517" t="inlineStr">
        <is>
          <t>Crosswalk Pending</t>
        </is>
      </c>
      <c r="M1517" t="inlineStr">
        <is>
          <t>Open</t>
        </is>
      </c>
      <c r="N1517" t="inlineStr"/>
    </row>
    <row r="1518">
      <c r="A1518" t="inlineStr">
        <is>
          <t>FKEX01517</t>
        </is>
      </c>
      <c r="B1518" t="inlineStr">
        <is>
          <t>15 LL_Device</t>
        </is>
      </c>
      <c r="C1518" t="inlineStr">
        <is>
          <t>tblDeviceModel</t>
        </is>
      </c>
      <c r="D1518" t="n">
        <v>507</v>
      </c>
      <c r="E1518" t="inlineStr">
        <is>
          <t>MOD000504</t>
        </is>
      </c>
      <c r="F1518" t="inlineStr">
        <is>
          <t>DeviceFamilyID</t>
        </is>
      </c>
      <c r="G1518" t="inlineStr">
        <is>
          <t>DF090</t>
        </is>
      </c>
      <c r="H1518" t="inlineStr">
        <is>
          <t>tblDeviceFamilyIDCrosswalk</t>
        </is>
      </c>
      <c r="I1518" t="inlineStr"/>
      <c r="J1518" t="inlineStr">
        <is>
          <t>tblDeviceModel</t>
        </is>
      </c>
      <c r="K1518" t="inlineStr">
        <is>
          <t>Exact ID</t>
        </is>
      </c>
      <c r="L1518" t="inlineStr">
        <is>
          <t>Crosswalk Pending</t>
        </is>
      </c>
      <c r="M1518" t="inlineStr">
        <is>
          <t>Open</t>
        </is>
      </c>
      <c r="N1518" t="inlineStr"/>
    </row>
    <row r="1519">
      <c r="A1519" t="inlineStr">
        <is>
          <t>FKEX01518</t>
        </is>
      </c>
      <c r="B1519" t="inlineStr">
        <is>
          <t>15 LL_Device</t>
        </is>
      </c>
      <c r="C1519" t="inlineStr">
        <is>
          <t>tblDeviceModel</t>
        </is>
      </c>
      <c r="D1519" t="n">
        <v>507</v>
      </c>
      <c r="E1519" t="inlineStr">
        <is>
          <t>MOD000504</t>
        </is>
      </c>
      <c r="F1519" t="inlineStr">
        <is>
          <t>DeviceTypeID</t>
        </is>
      </c>
      <c r="G1519" t="inlineStr">
        <is>
          <t>DT001</t>
        </is>
      </c>
      <c r="H1519" t="inlineStr">
        <is>
          <t>tblDeviceTypeIDCrosswalk</t>
        </is>
      </c>
      <c r="I1519" t="inlineStr"/>
      <c r="J1519" t="inlineStr">
        <is>
          <t>No Supported Match</t>
        </is>
      </c>
      <c r="K1519" t="inlineStr">
        <is>
          <t>None</t>
        </is>
      </c>
      <c r="L1519" t="inlineStr">
        <is>
          <t>Crosswalk Pending</t>
        </is>
      </c>
      <c r="M1519" t="inlineStr">
        <is>
          <t>Open</t>
        </is>
      </c>
      <c r="N1519" t="inlineStr"/>
    </row>
    <row r="1520">
      <c r="A1520" t="inlineStr">
        <is>
          <t>FKEX01519</t>
        </is>
      </c>
      <c r="B1520" t="inlineStr">
        <is>
          <t>15 LL_Device</t>
        </is>
      </c>
      <c r="C1520" t="inlineStr">
        <is>
          <t>tblDeviceModel</t>
        </is>
      </c>
      <c r="D1520" t="n">
        <v>508</v>
      </c>
      <c r="E1520" t="inlineStr">
        <is>
          <t>MOD000505</t>
        </is>
      </c>
      <c r="F1520" t="inlineStr">
        <is>
          <t>ManufacturerID</t>
        </is>
      </c>
      <c r="G1520" t="inlineStr">
        <is>
          <t>MFG009</t>
        </is>
      </c>
      <c r="H1520" t="inlineStr">
        <is>
          <t>tblManufacturerIDCrosswalk</t>
        </is>
      </c>
      <c r="I1520" t="inlineStr"/>
      <c r="J1520" t="inlineStr">
        <is>
          <t>No Supported Match</t>
        </is>
      </c>
      <c r="K1520" t="inlineStr">
        <is>
          <t>None</t>
        </is>
      </c>
      <c r="L1520" t="inlineStr">
        <is>
          <t>Crosswalk Pending</t>
        </is>
      </c>
      <c r="M1520" t="inlineStr">
        <is>
          <t>Open</t>
        </is>
      </c>
      <c r="N1520" t="inlineStr"/>
    </row>
    <row r="1521">
      <c r="A1521" t="inlineStr">
        <is>
          <t>FKEX01520</t>
        </is>
      </c>
      <c r="B1521" t="inlineStr">
        <is>
          <t>15 LL_Device</t>
        </is>
      </c>
      <c r="C1521" t="inlineStr">
        <is>
          <t>tblDeviceModel</t>
        </is>
      </c>
      <c r="D1521" t="n">
        <v>508</v>
      </c>
      <c r="E1521" t="inlineStr">
        <is>
          <t>MOD000505</t>
        </is>
      </c>
      <c r="F1521" t="inlineStr">
        <is>
          <t>DeviceFamilyID</t>
        </is>
      </c>
      <c r="G1521" t="inlineStr">
        <is>
          <t>DF090</t>
        </is>
      </c>
      <c r="H1521" t="inlineStr">
        <is>
          <t>tblDeviceFamilyIDCrosswalk</t>
        </is>
      </c>
      <c r="I1521" t="inlineStr"/>
      <c r="J1521" t="inlineStr">
        <is>
          <t>tblDeviceModel</t>
        </is>
      </c>
      <c r="K1521" t="inlineStr">
        <is>
          <t>Exact ID</t>
        </is>
      </c>
      <c r="L1521" t="inlineStr">
        <is>
          <t>Crosswalk Pending</t>
        </is>
      </c>
      <c r="M1521" t="inlineStr">
        <is>
          <t>Open</t>
        </is>
      </c>
      <c r="N1521" t="inlineStr"/>
    </row>
    <row r="1522">
      <c r="A1522" t="inlineStr">
        <is>
          <t>FKEX01521</t>
        </is>
      </c>
      <c r="B1522" t="inlineStr">
        <is>
          <t>15 LL_Device</t>
        </is>
      </c>
      <c r="C1522" t="inlineStr">
        <is>
          <t>tblDeviceModel</t>
        </is>
      </c>
      <c r="D1522" t="n">
        <v>508</v>
      </c>
      <c r="E1522" t="inlineStr">
        <is>
          <t>MOD000505</t>
        </is>
      </c>
      <c r="F1522" t="inlineStr">
        <is>
          <t>DeviceTypeID</t>
        </is>
      </c>
      <c r="G1522" t="inlineStr">
        <is>
          <t>DT001</t>
        </is>
      </c>
      <c r="H1522" t="inlineStr">
        <is>
          <t>tblDeviceTypeIDCrosswalk</t>
        </is>
      </c>
      <c r="I1522" t="inlineStr"/>
      <c r="J1522" t="inlineStr">
        <is>
          <t>No Supported Match</t>
        </is>
      </c>
      <c r="K1522" t="inlineStr">
        <is>
          <t>None</t>
        </is>
      </c>
      <c r="L1522" t="inlineStr">
        <is>
          <t>Crosswalk Pending</t>
        </is>
      </c>
      <c r="M1522" t="inlineStr">
        <is>
          <t>Open</t>
        </is>
      </c>
      <c r="N1522" t="inlineStr"/>
    </row>
    <row r="1523">
      <c r="A1523" t="inlineStr">
        <is>
          <t>FKEX01522</t>
        </is>
      </c>
      <c r="B1523" t="inlineStr">
        <is>
          <t>15 LL_Device</t>
        </is>
      </c>
      <c r="C1523" t="inlineStr">
        <is>
          <t>tblDeviceModel</t>
        </is>
      </c>
      <c r="D1523" t="n">
        <v>509</v>
      </c>
      <c r="E1523" t="inlineStr">
        <is>
          <t>MOD000506</t>
        </is>
      </c>
      <c r="F1523" t="inlineStr">
        <is>
          <t>ManufacturerID</t>
        </is>
      </c>
      <c r="G1523" t="inlineStr">
        <is>
          <t>MFG009</t>
        </is>
      </c>
      <c r="H1523" t="inlineStr">
        <is>
          <t>tblManufacturerIDCrosswalk</t>
        </is>
      </c>
      <c r="I1523" t="inlineStr"/>
      <c r="J1523" t="inlineStr">
        <is>
          <t>No Supported Match</t>
        </is>
      </c>
      <c r="K1523" t="inlineStr">
        <is>
          <t>None</t>
        </is>
      </c>
      <c r="L1523" t="inlineStr">
        <is>
          <t>Crosswalk Pending</t>
        </is>
      </c>
      <c r="M1523" t="inlineStr">
        <is>
          <t>Open</t>
        </is>
      </c>
      <c r="N1523" t="inlineStr"/>
    </row>
    <row r="1524">
      <c r="A1524" t="inlineStr">
        <is>
          <t>FKEX01523</t>
        </is>
      </c>
      <c r="B1524" t="inlineStr">
        <is>
          <t>15 LL_Device</t>
        </is>
      </c>
      <c r="C1524" t="inlineStr">
        <is>
          <t>tblDeviceModel</t>
        </is>
      </c>
      <c r="D1524" t="n">
        <v>509</v>
      </c>
      <c r="E1524" t="inlineStr">
        <is>
          <t>MOD000506</t>
        </is>
      </c>
      <c r="F1524" t="inlineStr">
        <is>
          <t>DeviceFamilyID</t>
        </is>
      </c>
      <c r="G1524" t="inlineStr">
        <is>
          <t>DF090</t>
        </is>
      </c>
      <c r="H1524" t="inlineStr">
        <is>
          <t>tblDeviceFamilyIDCrosswalk</t>
        </is>
      </c>
      <c r="I1524" t="inlineStr"/>
      <c r="J1524" t="inlineStr">
        <is>
          <t>tblDeviceModel</t>
        </is>
      </c>
      <c r="K1524" t="inlineStr">
        <is>
          <t>Exact ID</t>
        </is>
      </c>
      <c r="L1524" t="inlineStr">
        <is>
          <t>Crosswalk Pending</t>
        </is>
      </c>
      <c r="M1524" t="inlineStr">
        <is>
          <t>Open</t>
        </is>
      </c>
      <c r="N1524" t="inlineStr"/>
    </row>
    <row r="1525">
      <c r="A1525" t="inlineStr">
        <is>
          <t>FKEX01524</t>
        </is>
      </c>
      <c r="B1525" t="inlineStr">
        <is>
          <t>15 LL_Device</t>
        </is>
      </c>
      <c r="C1525" t="inlineStr">
        <is>
          <t>tblDeviceModel</t>
        </is>
      </c>
      <c r="D1525" t="n">
        <v>509</v>
      </c>
      <c r="E1525" t="inlineStr">
        <is>
          <t>MOD000506</t>
        </is>
      </c>
      <c r="F1525" t="inlineStr">
        <is>
          <t>DeviceTypeID</t>
        </is>
      </c>
      <c r="G1525" t="inlineStr">
        <is>
          <t>DT001</t>
        </is>
      </c>
      <c r="H1525" t="inlineStr">
        <is>
          <t>tblDeviceTypeIDCrosswalk</t>
        </is>
      </c>
      <c r="I1525" t="inlineStr"/>
      <c r="J1525" t="inlineStr">
        <is>
          <t>No Supported Match</t>
        </is>
      </c>
      <c r="K1525" t="inlineStr">
        <is>
          <t>None</t>
        </is>
      </c>
      <c r="L1525" t="inlineStr">
        <is>
          <t>Crosswalk Pending</t>
        </is>
      </c>
      <c r="M1525" t="inlineStr">
        <is>
          <t>Open</t>
        </is>
      </c>
      <c r="N1525" t="inlineStr"/>
    </row>
    <row r="1526">
      <c r="A1526" t="inlineStr">
        <is>
          <t>FKEX01525</t>
        </is>
      </c>
      <c r="B1526" t="inlineStr">
        <is>
          <t>15 LL_Device</t>
        </is>
      </c>
      <c r="C1526" t="inlineStr">
        <is>
          <t>tblDeviceModel</t>
        </is>
      </c>
      <c r="D1526" t="n">
        <v>510</v>
      </c>
      <c r="E1526" t="inlineStr">
        <is>
          <t>MOD000507</t>
        </is>
      </c>
      <c r="F1526" t="inlineStr">
        <is>
          <t>ManufacturerID</t>
        </is>
      </c>
      <c r="G1526" t="inlineStr">
        <is>
          <t>MFG009</t>
        </is>
      </c>
      <c r="H1526" t="inlineStr">
        <is>
          <t>tblManufacturerIDCrosswalk</t>
        </is>
      </c>
      <c r="I1526" t="inlineStr"/>
      <c r="J1526" t="inlineStr">
        <is>
          <t>No Supported Match</t>
        </is>
      </c>
      <c r="K1526" t="inlineStr">
        <is>
          <t>None</t>
        </is>
      </c>
      <c r="L1526" t="inlineStr">
        <is>
          <t>Crosswalk Pending</t>
        </is>
      </c>
      <c r="M1526" t="inlineStr">
        <is>
          <t>Open</t>
        </is>
      </c>
      <c r="N1526" t="inlineStr"/>
    </row>
    <row r="1527">
      <c r="A1527" t="inlineStr">
        <is>
          <t>FKEX01526</t>
        </is>
      </c>
      <c r="B1527" t="inlineStr">
        <is>
          <t>15 LL_Device</t>
        </is>
      </c>
      <c r="C1527" t="inlineStr">
        <is>
          <t>tblDeviceModel</t>
        </is>
      </c>
      <c r="D1527" t="n">
        <v>510</v>
      </c>
      <c r="E1527" t="inlineStr">
        <is>
          <t>MOD000507</t>
        </is>
      </c>
      <c r="F1527" t="inlineStr">
        <is>
          <t>DeviceFamilyID</t>
        </is>
      </c>
      <c r="G1527" t="inlineStr">
        <is>
          <t>DF090</t>
        </is>
      </c>
      <c r="H1527" t="inlineStr">
        <is>
          <t>tblDeviceFamilyIDCrosswalk</t>
        </is>
      </c>
      <c r="I1527" t="inlineStr"/>
      <c r="J1527" t="inlineStr">
        <is>
          <t>tblDeviceModel</t>
        </is>
      </c>
      <c r="K1527" t="inlineStr">
        <is>
          <t>Exact ID</t>
        </is>
      </c>
      <c r="L1527" t="inlineStr">
        <is>
          <t>Crosswalk Pending</t>
        </is>
      </c>
      <c r="M1527" t="inlineStr">
        <is>
          <t>Open</t>
        </is>
      </c>
      <c r="N1527" t="inlineStr"/>
    </row>
    <row r="1528">
      <c r="A1528" t="inlineStr">
        <is>
          <t>FKEX01527</t>
        </is>
      </c>
      <c r="B1528" t="inlineStr">
        <is>
          <t>15 LL_Device</t>
        </is>
      </c>
      <c r="C1528" t="inlineStr">
        <is>
          <t>tblDeviceModel</t>
        </is>
      </c>
      <c r="D1528" t="n">
        <v>510</v>
      </c>
      <c r="E1528" t="inlineStr">
        <is>
          <t>MOD000507</t>
        </is>
      </c>
      <c r="F1528" t="inlineStr">
        <is>
          <t>DeviceTypeID</t>
        </is>
      </c>
      <c r="G1528" t="inlineStr">
        <is>
          <t>DT001</t>
        </is>
      </c>
      <c r="H1528" t="inlineStr">
        <is>
          <t>tblDeviceTypeIDCrosswalk</t>
        </is>
      </c>
      <c r="I1528" t="inlineStr"/>
      <c r="J1528" t="inlineStr">
        <is>
          <t>No Supported Match</t>
        </is>
      </c>
      <c r="K1528" t="inlineStr">
        <is>
          <t>None</t>
        </is>
      </c>
      <c r="L1528" t="inlineStr">
        <is>
          <t>Crosswalk Pending</t>
        </is>
      </c>
      <c r="M1528" t="inlineStr">
        <is>
          <t>Open</t>
        </is>
      </c>
      <c r="N1528" t="inlineStr"/>
    </row>
    <row r="1529">
      <c r="A1529" t="inlineStr">
        <is>
          <t>FKEX01528</t>
        </is>
      </c>
      <c r="B1529" t="inlineStr">
        <is>
          <t>15 LL_Device</t>
        </is>
      </c>
      <c r="C1529" t="inlineStr">
        <is>
          <t>tblDeviceModel</t>
        </is>
      </c>
      <c r="D1529" t="n">
        <v>511</v>
      </c>
      <c r="E1529" t="inlineStr">
        <is>
          <t>MOD000508</t>
        </is>
      </c>
      <c r="F1529" t="inlineStr">
        <is>
          <t>ManufacturerID</t>
        </is>
      </c>
      <c r="G1529" t="inlineStr">
        <is>
          <t>MFG009</t>
        </is>
      </c>
      <c r="H1529" t="inlineStr">
        <is>
          <t>tblManufacturerIDCrosswalk</t>
        </is>
      </c>
      <c r="I1529" t="inlineStr"/>
      <c r="J1529" t="inlineStr">
        <is>
          <t>No Supported Match</t>
        </is>
      </c>
      <c r="K1529" t="inlineStr">
        <is>
          <t>None</t>
        </is>
      </c>
      <c r="L1529" t="inlineStr">
        <is>
          <t>Crosswalk Pending</t>
        </is>
      </c>
      <c r="M1529" t="inlineStr">
        <is>
          <t>Open</t>
        </is>
      </c>
      <c r="N1529" t="inlineStr"/>
    </row>
    <row r="1530">
      <c r="A1530" t="inlineStr">
        <is>
          <t>FKEX01529</t>
        </is>
      </c>
      <c r="B1530" t="inlineStr">
        <is>
          <t>15 LL_Device</t>
        </is>
      </c>
      <c r="C1530" t="inlineStr">
        <is>
          <t>tblDeviceModel</t>
        </is>
      </c>
      <c r="D1530" t="n">
        <v>511</v>
      </c>
      <c r="E1530" t="inlineStr">
        <is>
          <t>MOD000508</t>
        </is>
      </c>
      <c r="F1530" t="inlineStr">
        <is>
          <t>DeviceFamilyID</t>
        </is>
      </c>
      <c r="G1530" t="inlineStr">
        <is>
          <t>DF090</t>
        </is>
      </c>
      <c r="H1530" t="inlineStr">
        <is>
          <t>tblDeviceFamilyIDCrosswalk</t>
        </is>
      </c>
      <c r="I1530" t="inlineStr"/>
      <c r="J1530" t="inlineStr">
        <is>
          <t>tblDeviceModel</t>
        </is>
      </c>
      <c r="K1530" t="inlineStr">
        <is>
          <t>Exact ID</t>
        </is>
      </c>
      <c r="L1530" t="inlineStr">
        <is>
          <t>Crosswalk Pending</t>
        </is>
      </c>
      <c r="M1530" t="inlineStr">
        <is>
          <t>Open</t>
        </is>
      </c>
      <c r="N1530" t="inlineStr"/>
    </row>
    <row r="1531">
      <c r="A1531" t="inlineStr">
        <is>
          <t>FKEX01530</t>
        </is>
      </c>
      <c r="B1531" t="inlineStr">
        <is>
          <t>15 LL_Device</t>
        </is>
      </c>
      <c r="C1531" t="inlineStr">
        <is>
          <t>tblDeviceModel</t>
        </is>
      </c>
      <c r="D1531" t="n">
        <v>511</v>
      </c>
      <c r="E1531" t="inlineStr">
        <is>
          <t>MOD000508</t>
        </is>
      </c>
      <c r="F1531" t="inlineStr">
        <is>
          <t>DeviceTypeID</t>
        </is>
      </c>
      <c r="G1531" t="inlineStr">
        <is>
          <t>DT001</t>
        </is>
      </c>
      <c r="H1531" t="inlineStr">
        <is>
          <t>tblDeviceTypeIDCrosswalk</t>
        </is>
      </c>
      <c r="I1531" t="inlineStr"/>
      <c r="J1531" t="inlineStr">
        <is>
          <t>No Supported Match</t>
        </is>
      </c>
      <c r="K1531" t="inlineStr">
        <is>
          <t>None</t>
        </is>
      </c>
      <c r="L1531" t="inlineStr">
        <is>
          <t>Crosswalk Pending</t>
        </is>
      </c>
      <c r="M1531" t="inlineStr">
        <is>
          <t>Open</t>
        </is>
      </c>
      <c r="N1531" t="inlineStr"/>
    </row>
    <row r="1532">
      <c r="A1532" t="inlineStr">
        <is>
          <t>FKEX01531</t>
        </is>
      </c>
      <c r="B1532" t="inlineStr">
        <is>
          <t>15 LL_Device</t>
        </is>
      </c>
      <c r="C1532" t="inlineStr">
        <is>
          <t>tblDeviceModel</t>
        </is>
      </c>
      <c r="D1532" t="n">
        <v>512</v>
      </c>
      <c r="E1532" t="inlineStr">
        <is>
          <t>MOD000509</t>
        </is>
      </c>
      <c r="F1532" t="inlineStr">
        <is>
          <t>ManufacturerID</t>
        </is>
      </c>
      <c r="G1532" t="inlineStr">
        <is>
          <t>MFG009</t>
        </is>
      </c>
      <c r="H1532" t="inlineStr">
        <is>
          <t>tblManufacturerIDCrosswalk</t>
        </is>
      </c>
      <c r="I1532" t="inlineStr"/>
      <c r="J1532" t="inlineStr">
        <is>
          <t>No Supported Match</t>
        </is>
      </c>
      <c r="K1532" t="inlineStr">
        <is>
          <t>None</t>
        </is>
      </c>
      <c r="L1532" t="inlineStr">
        <is>
          <t>Crosswalk Pending</t>
        </is>
      </c>
      <c r="M1532" t="inlineStr">
        <is>
          <t>Open</t>
        </is>
      </c>
      <c r="N1532" t="inlineStr"/>
    </row>
    <row r="1533">
      <c r="A1533" t="inlineStr">
        <is>
          <t>FKEX01532</t>
        </is>
      </c>
      <c r="B1533" t="inlineStr">
        <is>
          <t>15 LL_Device</t>
        </is>
      </c>
      <c r="C1533" t="inlineStr">
        <is>
          <t>tblDeviceModel</t>
        </is>
      </c>
      <c r="D1533" t="n">
        <v>512</v>
      </c>
      <c r="E1533" t="inlineStr">
        <is>
          <t>MOD000509</t>
        </is>
      </c>
      <c r="F1533" t="inlineStr">
        <is>
          <t>DeviceFamilyID</t>
        </is>
      </c>
      <c r="G1533" t="inlineStr">
        <is>
          <t>DF090</t>
        </is>
      </c>
      <c r="H1533" t="inlineStr">
        <is>
          <t>tblDeviceFamilyIDCrosswalk</t>
        </is>
      </c>
      <c r="I1533" t="inlineStr"/>
      <c r="J1533" t="inlineStr">
        <is>
          <t>tblDeviceModel</t>
        </is>
      </c>
      <c r="K1533" t="inlineStr">
        <is>
          <t>Exact ID</t>
        </is>
      </c>
      <c r="L1533" t="inlineStr">
        <is>
          <t>Crosswalk Pending</t>
        </is>
      </c>
      <c r="M1533" t="inlineStr">
        <is>
          <t>Open</t>
        </is>
      </c>
      <c r="N1533" t="inlineStr"/>
    </row>
    <row r="1534">
      <c r="A1534" t="inlineStr">
        <is>
          <t>FKEX01533</t>
        </is>
      </c>
      <c r="B1534" t="inlineStr">
        <is>
          <t>15 LL_Device</t>
        </is>
      </c>
      <c r="C1534" t="inlineStr">
        <is>
          <t>tblDeviceModel</t>
        </is>
      </c>
      <c r="D1534" t="n">
        <v>512</v>
      </c>
      <c r="E1534" t="inlineStr">
        <is>
          <t>MOD000509</t>
        </is>
      </c>
      <c r="F1534" t="inlineStr">
        <is>
          <t>DeviceTypeID</t>
        </is>
      </c>
      <c r="G1534" t="inlineStr">
        <is>
          <t>DT001</t>
        </is>
      </c>
      <c r="H1534" t="inlineStr">
        <is>
          <t>tblDeviceTypeIDCrosswalk</t>
        </is>
      </c>
      <c r="I1534" t="inlineStr"/>
      <c r="J1534" t="inlineStr">
        <is>
          <t>No Supported Match</t>
        </is>
      </c>
      <c r="K1534" t="inlineStr">
        <is>
          <t>None</t>
        </is>
      </c>
      <c r="L1534" t="inlineStr">
        <is>
          <t>Crosswalk Pending</t>
        </is>
      </c>
      <c r="M1534" t="inlineStr">
        <is>
          <t>Open</t>
        </is>
      </c>
      <c r="N1534" t="inlineStr"/>
    </row>
    <row r="1535">
      <c r="A1535" t="inlineStr">
        <is>
          <t>FKEX01534</t>
        </is>
      </c>
      <c r="B1535" t="inlineStr">
        <is>
          <t>15 LL_Device</t>
        </is>
      </c>
      <c r="C1535" t="inlineStr">
        <is>
          <t>tblDeviceModel</t>
        </is>
      </c>
      <c r="D1535" t="n">
        <v>513</v>
      </c>
      <c r="E1535" t="inlineStr">
        <is>
          <t>MOD000510</t>
        </is>
      </c>
      <c r="F1535" t="inlineStr">
        <is>
          <t>ManufacturerID</t>
        </is>
      </c>
      <c r="G1535" t="inlineStr">
        <is>
          <t>MFG009</t>
        </is>
      </c>
      <c r="H1535" t="inlineStr">
        <is>
          <t>tblManufacturerIDCrosswalk</t>
        </is>
      </c>
      <c r="I1535" t="inlineStr"/>
      <c r="J1535" t="inlineStr">
        <is>
          <t>No Supported Match</t>
        </is>
      </c>
      <c r="K1535" t="inlineStr">
        <is>
          <t>None</t>
        </is>
      </c>
      <c r="L1535" t="inlineStr">
        <is>
          <t>Crosswalk Pending</t>
        </is>
      </c>
      <c r="M1535" t="inlineStr">
        <is>
          <t>Open</t>
        </is>
      </c>
      <c r="N1535" t="inlineStr"/>
    </row>
    <row r="1536">
      <c r="A1536" t="inlineStr">
        <is>
          <t>FKEX01535</t>
        </is>
      </c>
      <c r="B1536" t="inlineStr">
        <is>
          <t>15 LL_Device</t>
        </is>
      </c>
      <c r="C1536" t="inlineStr">
        <is>
          <t>tblDeviceModel</t>
        </is>
      </c>
      <c r="D1536" t="n">
        <v>513</v>
      </c>
      <c r="E1536" t="inlineStr">
        <is>
          <t>MOD000510</t>
        </is>
      </c>
      <c r="F1536" t="inlineStr">
        <is>
          <t>DeviceFamilyID</t>
        </is>
      </c>
      <c r="G1536" t="inlineStr">
        <is>
          <t>DF090</t>
        </is>
      </c>
      <c r="H1536" t="inlineStr">
        <is>
          <t>tblDeviceFamilyIDCrosswalk</t>
        </is>
      </c>
      <c r="I1536" t="inlineStr"/>
      <c r="J1536" t="inlineStr">
        <is>
          <t>tblDeviceModel</t>
        </is>
      </c>
      <c r="K1536" t="inlineStr">
        <is>
          <t>Exact ID</t>
        </is>
      </c>
      <c r="L1536" t="inlineStr">
        <is>
          <t>Crosswalk Pending</t>
        </is>
      </c>
      <c r="M1536" t="inlineStr">
        <is>
          <t>Open</t>
        </is>
      </c>
      <c r="N1536" t="inlineStr"/>
    </row>
    <row r="1537">
      <c r="A1537" t="inlineStr">
        <is>
          <t>FKEX01536</t>
        </is>
      </c>
      <c r="B1537" t="inlineStr">
        <is>
          <t>15 LL_Device</t>
        </is>
      </c>
      <c r="C1537" t="inlineStr">
        <is>
          <t>tblDeviceModel</t>
        </is>
      </c>
      <c r="D1537" t="n">
        <v>513</v>
      </c>
      <c r="E1537" t="inlineStr">
        <is>
          <t>MOD000510</t>
        </is>
      </c>
      <c r="F1537" t="inlineStr">
        <is>
          <t>DeviceTypeID</t>
        </is>
      </c>
      <c r="G1537" t="inlineStr">
        <is>
          <t>DT001</t>
        </is>
      </c>
      <c r="H1537" t="inlineStr">
        <is>
          <t>tblDeviceTypeIDCrosswalk</t>
        </is>
      </c>
      <c r="I1537" t="inlineStr"/>
      <c r="J1537" t="inlineStr">
        <is>
          <t>No Supported Match</t>
        </is>
      </c>
      <c r="K1537" t="inlineStr">
        <is>
          <t>None</t>
        </is>
      </c>
      <c r="L1537" t="inlineStr">
        <is>
          <t>Crosswalk Pending</t>
        </is>
      </c>
      <c r="M1537" t="inlineStr">
        <is>
          <t>Open</t>
        </is>
      </c>
      <c r="N1537" t="inlineStr"/>
    </row>
    <row r="1538">
      <c r="A1538" t="inlineStr">
        <is>
          <t>FKEX01537</t>
        </is>
      </c>
      <c r="B1538" t="inlineStr">
        <is>
          <t>15 LL_Device</t>
        </is>
      </c>
      <c r="C1538" t="inlineStr">
        <is>
          <t>tblDeviceModel</t>
        </is>
      </c>
      <c r="D1538" t="n">
        <v>514</v>
      </c>
      <c r="E1538" t="inlineStr">
        <is>
          <t>MOD000511</t>
        </is>
      </c>
      <c r="F1538" t="inlineStr">
        <is>
          <t>ManufacturerID</t>
        </is>
      </c>
      <c r="G1538" t="inlineStr">
        <is>
          <t>MFG009</t>
        </is>
      </c>
      <c r="H1538" t="inlineStr">
        <is>
          <t>tblManufacturerIDCrosswalk</t>
        </is>
      </c>
      <c r="I1538" t="inlineStr"/>
      <c r="J1538" t="inlineStr">
        <is>
          <t>No Supported Match</t>
        </is>
      </c>
      <c r="K1538" t="inlineStr">
        <is>
          <t>None</t>
        </is>
      </c>
      <c r="L1538" t="inlineStr">
        <is>
          <t>Crosswalk Pending</t>
        </is>
      </c>
      <c r="M1538" t="inlineStr">
        <is>
          <t>Open</t>
        </is>
      </c>
      <c r="N1538" t="inlineStr"/>
    </row>
    <row r="1539">
      <c r="A1539" t="inlineStr">
        <is>
          <t>FKEX01538</t>
        </is>
      </c>
      <c r="B1539" t="inlineStr">
        <is>
          <t>15 LL_Device</t>
        </is>
      </c>
      <c r="C1539" t="inlineStr">
        <is>
          <t>tblDeviceModel</t>
        </is>
      </c>
      <c r="D1539" t="n">
        <v>514</v>
      </c>
      <c r="E1539" t="inlineStr">
        <is>
          <t>MOD000511</t>
        </is>
      </c>
      <c r="F1539" t="inlineStr">
        <is>
          <t>DeviceFamilyID</t>
        </is>
      </c>
      <c r="G1539" t="inlineStr">
        <is>
          <t>DF090</t>
        </is>
      </c>
      <c r="H1539" t="inlineStr">
        <is>
          <t>tblDeviceFamilyIDCrosswalk</t>
        </is>
      </c>
      <c r="I1539" t="inlineStr"/>
      <c r="J1539" t="inlineStr">
        <is>
          <t>tblDeviceModel</t>
        </is>
      </c>
      <c r="K1539" t="inlineStr">
        <is>
          <t>Exact ID</t>
        </is>
      </c>
      <c r="L1539" t="inlineStr">
        <is>
          <t>Crosswalk Pending</t>
        </is>
      </c>
      <c r="M1539" t="inlineStr">
        <is>
          <t>Open</t>
        </is>
      </c>
      <c r="N1539" t="inlineStr"/>
    </row>
    <row r="1540">
      <c r="A1540" t="inlineStr">
        <is>
          <t>FKEX01539</t>
        </is>
      </c>
      <c r="B1540" t="inlineStr">
        <is>
          <t>15 LL_Device</t>
        </is>
      </c>
      <c r="C1540" t="inlineStr">
        <is>
          <t>tblDeviceModel</t>
        </is>
      </c>
      <c r="D1540" t="n">
        <v>514</v>
      </c>
      <c r="E1540" t="inlineStr">
        <is>
          <t>MOD000511</t>
        </is>
      </c>
      <c r="F1540" t="inlineStr">
        <is>
          <t>DeviceTypeID</t>
        </is>
      </c>
      <c r="G1540" t="inlineStr">
        <is>
          <t>DT001</t>
        </is>
      </c>
      <c r="H1540" t="inlineStr">
        <is>
          <t>tblDeviceTypeIDCrosswalk</t>
        </is>
      </c>
      <c r="I1540" t="inlineStr"/>
      <c r="J1540" t="inlineStr">
        <is>
          <t>No Supported Match</t>
        </is>
      </c>
      <c r="K1540" t="inlineStr">
        <is>
          <t>None</t>
        </is>
      </c>
      <c r="L1540" t="inlineStr">
        <is>
          <t>Crosswalk Pending</t>
        </is>
      </c>
      <c r="M1540" t="inlineStr">
        <is>
          <t>Open</t>
        </is>
      </c>
      <c r="N1540" t="inlineStr"/>
    </row>
    <row r="1541">
      <c r="A1541" t="inlineStr">
        <is>
          <t>FKEX01540</t>
        </is>
      </c>
      <c r="B1541" t="inlineStr">
        <is>
          <t>15 LL_Device</t>
        </is>
      </c>
      <c r="C1541" t="inlineStr">
        <is>
          <t>tblDeviceModel</t>
        </is>
      </c>
      <c r="D1541" t="n">
        <v>515</v>
      </c>
      <c r="E1541" t="inlineStr">
        <is>
          <t>MOD000512</t>
        </is>
      </c>
      <c r="F1541" t="inlineStr">
        <is>
          <t>ManufacturerID</t>
        </is>
      </c>
      <c r="G1541" t="inlineStr">
        <is>
          <t>MFG009</t>
        </is>
      </c>
      <c r="H1541" t="inlineStr">
        <is>
          <t>tblManufacturerIDCrosswalk</t>
        </is>
      </c>
      <c r="I1541" t="inlineStr"/>
      <c r="J1541" t="inlineStr">
        <is>
          <t>No Supported Match</t>
        </is>
      </c>
      <c r="K1541" t="inlineStr">
        <is>
          <t>None</t>
        </is>
      </c>
      <c r="L1541" t="inlineStr">
        <is>
          <t>Crosswalk Pending</t>
        </is>
      </c>
      <c r="M1541" t="inlineStr">
        <is>
          <t>Open</t>
        </is>
      </c>
      <c r="N1541" t="inlineStr"/>
    </row>
    <row r="1542">
      <c r="A1542" t="inlineStr">
        <is>
          <t>FKEX01541</t>
        </is>
      </c>
      <c r="B1542" t="inlineStr">
        <is>
          <t>15 LL_Device</t>
        </is>
      </c>
      <c r="C1542" t="inlineStr">
        <is>
          <t>tblDeviceModel</t>
        </is>
      </c>
      <c r="D1542" t="n">
        <v>515</v>
      </c>
      <c r="E1542" t="inlineStr">
        <is>
          <t>MOD000512</t>
        </is>
      </c>
      <c r="F1542" t="inlineStr">
        <is>
          <t>DeviceFamilyID</t>
        </is>
      </c>
      <c r="G1542" t="inlineStr">
        <is>
          <t>DF090</t>
        </is>
      </c>
      <c r="H1542" t="inlineStr">
        <is>
          <t>tblDeviceFamilyIDCrosswalk</t>
        </is>
      </c>
      <c r="I1542" t="inlineStr"/>
      <c r="J1542" t="inlineStr">
        <is>
          <t>tblDeviceModel</t>
        </is>
      </c>
      <c r="K1542" t="inlineStr">
        <is>
          <t>Exact ID</t>
        </is>
      </c>
      <c r="L1542" t="inlineStr">
        <is>
          <t>Crosswalk Pending</t>
        </is>
      </c>
      <c r="M1542" t="inlineStr">
        <is>
          <t>Open</t>
        </is>
      </c>
      <c r="N1542" t="inlineStr"/>
    </row>
    <row r="1543">
      <c r="A1543" t="inlineStr">
        <is>
          <t>FKEX01542</t>
        </is>
      </c>
      <c r="B1543" t="inlineStr">
        <is>
          <t>15 LL_Device</t>
        </is>
      </c>
      <c r="C1543" t="inlineStr">
        <is>
          <t>tblDeviceModel</t>
        </is>
      </c>
      <c r="D1543" t="n">
        <v>515</v>
      </c>
      <c r="E1543" t="inlineStr">
        <is>
          <t>MOD000512</t>
        </is>
      </c>
      <c r="F1543" t="inlineStr">
        <is>
          <t>DeviceTypeID</t>
        </is>
      </c>
      <c r="G1543" t="inlineStr">
        <is>
          <t>DT001</t>
        </is>
      </c>
      <c r="H1543" t="inlineStr">
        <is>
          <t>tblDeviceTypeIDCrosswalk</t>
        </is>
      </c>
      <c r="I1543" t="inlineStr"/>
      <c r="J1543" t="inlineStr">
        <is>
          <t>No Supported Match</t>
        </is>
      </c>
      <c r="K1543" t="inlineStr">
        <is>
          <t>None</t>
        </is>
      </c>
      <c r="L1543" t="inlineStr">
        <is>
          <t>Crosswalk Pending</t>
        </is>
      </c>
      <c r="M1543" t="inlineStr">
        <is>
          <t>Open</t>
        </is>
      </c>
      <c r="N1543" t="inlineStr"/>
    </row>
    <row r="1544">
      <c r="A1544" t="inlineStr">
        <is>
          <t>FKEX01543</t>
        </is>
      </c>
      <c r="B1544" t="inlineStr">
        <is>
          <t>15 LL_Device</t>
        </is>
      </c>
      <c r="C1544" t="inlineStr">
        <is>
          <t>tblDeviceModel</t>
        </is>
      </c>
      <c r="D1544" t="n">
        <v>516</v>
      </c>
      <c r="E1544" t="inlineStr">
        <is>
          <t>MOD000513</t>
        </is>
      </c>
      <c r="F1544" t="inlineStr">
        <is>
          <t>ManufacturerID</t>
        </is>
      </c>
      <c r="G1544" t="inlineStr">
        <is>
          <t>MFG009</t>
        </is>
      </c>
      <c r="H1544" t="inlineStr">
        <is>
          <t>tblManufacturerIDCrosswalk</t>
        </is>
      </c>
      <c r="I1544" t="inlineStr"/>
      <c r="J1544" t="inlineStr">
        <is>
          <t>No Supported Match</t>
        </is>
      </c>
      <c r="K1544" t="inlineStr">
        <is>
          <t>None</t>
        </is>
      </c>
      <c r="L1544" t="inlineStr">
        <is>
          <t>Crosswalk Pending</t>
        </is>
      </c>
      <c r="M1544" t="inlineStr">
        <is>
          <t>Open</t>
        </is>
      </c>
      <c r="N1544" t="inlineStr"/>
    </row>
    <row r="1545">
      <c r="A1545" t="inlineStr">
        <is>
          <t>FKEX01544</t>
        </is>
      </c>
      <c r="B1545" t="inlineStr">
        <is>
          <t>15 LL_Device</t>
        </is>
      </c>
      <c r="C1545" t="inlineStr">
        <is>
          <t>tblDeviceModel</t>
        </is>
      </c>
      <c r="D1545" t="n">
        <v>516</v>
      </c>
      <c r="E1545" t="inlineStr">
        <is>
          <t>MOD000513</t>
        </is>
      </c>
      <c r="F1545" t="inlineStr">
        <is>
          <t>DeviceFamilyID</t>
        </is>
      </c>
      <c r="G1545" t="inlineStr">
        <is>
          <t>DF090</t>
        </is>
      </c>
      <c r="H1545" t="inlineStr">
        <is>
          <t>tblDeviceFamilyIDCrosswalk</t>
        </is>
      </c>
      <c r="I1545" t="inlineStr"/>
      <c r="J1545" t="inlineStr">
        <is>
          <t>tblDeviceModel</t>
        </is>
      </c>
      <c r="K1545" t="inlineStr">
        <is>
          <t>Exact ID</t>
        </is>
      </c>
      <c r="L1545" t="inlineStr">
        <is>
          <t>Crosswalk Pending</t>
        </is>
      </c>
      <c r="M1545" t="inlineStr">
        <is>
          <t>Open</t>
        </is>
      </c>
      <c r="N1545" t="inlineStr"/>
    </row>
    <row r="1546">
      <c r="A1546" t="inlineStr">
        <is>
          <t>FKEX01545</t>
        </is>
      </c>
      <c r="B1546" t="inlineStr">
        <is>
          <t>15 LL_Device</t>
        </is>
      </c>
      <c r="C1546" t="inlineStr">
        <is>
          <t>tblDeviceModel</t>
        </is>
      </c>
      <c r="D1546" t="n">
        <v>516</v>
      </c>
      <c r="E1546" t="inlineStr">
        <is>
          <t>MOD000513</t>
        </is>
      </c>
      <c r="F1546" t="inlineStr">
        <is>
          <t>DeviceTypeID</t>
        </is>
      </c>
      <c r="G1546" t="inlineStr">
        <is>
          <t>DT001</t>
        </is>
      </c>
      <c r="H1546" t="inlineStr">
        <is>
          <t>tblDeviceTypeIDCrosswalk</t>
        </is>
      </c>
      <c r="I1546" t="inlineStr"/>
      <c r="J1546" t="inlineStr">
        <is>
          <t>No Supported Match</t>
        </is>
      </c>
      <c r="K1546" t="inlineStr">
        <is>
          <t>None</t>
        </is>
      </c>
      <c r="L1546" t="inlineStr">
        <is>
          <t>Crosswalk Pending</t>
        </is>
      </c>
      <c r="M1546" t="inlineStr">
        <is>
          <t>Open</t>
        </is>
      </c>
      <c r="N1546" t="inlineStr"/>
    </row>
    <row r="1547">
      <c r="A1547" t="inlineStr">
        <is>
          <t>FKEX01546</t>
        </is>
      </c>
      <c r="B1547" t="inlineStr">
        <is>
          <t>15 LL_Device</t>
        </is>
      </c>
      <c r="C1547" t="inlineStr">
        <is>
          <t>tblDeviceModel</t>
        </is>
      </c>
      <c r="D1547" t="n">
        <v>517</v>
      </c>
      <c r="E1547" t="inlineStr">
        <is>
          <t>MOD000514</t>
        </is>
      </c>
      <c r="F1547" t="inlineStr">
        <is>
          <t>ManufacturerID</t>
        </is>
      </c>
      <c r="G1547" t="inlineStr">
        <is>
          <t>MFG009</t>
        </is>
      </c>
      <c r="H1547" t="inlineStr">
        <is>
          <t>tblManufacturerIDCrosswalk</t>
        </is>
      </c>
      <c r="I1547" t="inlineStr"/>
      <c r="J1547" t="inlineStr">
        <is>
          <t>No Supported Match</t>
        </is>
      </c>
      <c r="K1547" t="inlineStr">
        <is>
          <t>None</t>
        </is>
      </c>
      <c r="L1547" t="inlineStr">
        <is>
          <t>Crosswalk Pending</t>
        </is>
      </c>
      <c r="M1547" t="inlineStr">
        <is>
          <t>Open</t>
        </is>
      </c>
      <c r="N1547" t="inlineStr"/>
    </row>
    <row r="1548">
      <c r="A1548" t="inlineStr">
        <is>
          <t>FKEX01547</t>
        </is>
      </c>
      <c r="B1548" t="inlineStr">
        <is>
          <t>15 LL_Device</t>
        </is>
      </c>
      <c r="C1548" t="inlineStr">
        <is>
          <t>tblDeviceModel</t>
        </is>
      </c>
      <c r="D1548" t="n">
        <v>517</v>
      </c>
      <c r="E1548" t="inlineStr">
        <is>
          <t>MOD000514</t>
        </is>
      </c>
      <c r="F1548" t="inlineStr">
        <is>
          <t>DeviceFamilyID</t>
        </is>
      </c>
      <c r="G1548" t="inlineStr">
        <is>
          <t>DF090</t>
        </is>
      </c>
      <c r="H1548" t="inlineStr">
        <is>
          <t>tblDeviceFamilyIDCrosswalk</t>
        </is>
      </c>
      <c r="I1548" t="inlineStr"/>
      <c r="J1548" t="inlineStr">
        <is>
          <t>tblDeviceModel</t>
        </is>
      </c>
      <c r="K1548" t="inlineStr">
        <is>
          <t>Exact ID</t>
        </is>
      </c>
      <c r="L1548" t="inlineStr">
        <is>
          <t>Crosswalk Pending</t>
        </is>
      </c>
      <c r="M1548" t="inlineStr">
        <is>
          <t>Open</t>
        </is>
      </c>
      <c r="N1548" t="inlineStr"/>
    </row>
    <row r="1549">
      <c r="A1549" t="inlineStr">
        <is>
          <t>FKEX01548</t>
        </is>
      </c>
      <c r="B1549" t="inlineStr">
        <is>
          <t>15 LL_Device</t>
        </is>
      </c>
      <c r="C1549" t="inlineStr">
        <is>
          <t>tblDeviceModel</t>
        </is>
      </c>
      <c r="D1549" t="n">
        <v>517</v>
      </c>
      <c r="E1549" t="inlineStr">
        <is>
          <t>MOD000514</t>
        </is>
      </c>
      <c r="F1549" t="inlineStr">
        <is>
          <t>DeviceTypeID</t>
        </is>
      </c>
      <c r="G1549" t="inlineStr">
        <is>
          <t>DT001</t>
        </is>
      </c>
      <c r="H1549" t="inlineStr">
        <is>
          <t>tblDeviceTypeIDCrosswalk</t>
        </is>
      </c>
      <c r="I1549" t="inlineStr"/>
      <c r="J1549" t="inlineStr">
        <is>
          <t>No Supported Match</t>
        </is>
      </c>
      <c r="K1549" t="inlineStr">
        <is>
          <t>None</t>
        </is>
      </c>
      <c r="L1549" t="inlineStr">
        <is>
          <t>Crosswalk Pending</t>
        </is>
      </c>
      <c r="M1549" t="inlineStr">
        <is>
          <t>Open</t>
        </is>
      </c>
      <c r="N1549" t="inlineStr"/>
    </row>
    <row r="1550">
      <c r="A1550" t="inlineStr">
        <is>
          <t>FKEX01549</t>
        </is>
      </c>
      <c r="B1550" t="inlineStr">
        <is>
          <t>15 LL_Device</t>
        </is>
      </c>
      <c r="C1550" t="inlineStr">
        <is>
          <t>tblDeviceModel</t>
        </is>
      </c>
      <c r="D1550" t="n">
        <v>518</v>
      </c>
      <c r="E1550" t="inlineStr">
        <is>
          <t>MOD000515</t>
        </is>
      </c>
      <c r="F1550" t="inlineStr">
        <is>
          <t>ManufacturerID</t>
        </is>
      </c>
      <c r="G1550" t="inlineStr">
        <is>
          <t>MFG009</t>
        </is>
      </c>
      <c r="H1550" t="inlineStr">
        <is>
          <t>tblManufacturerIDCrosswalk</t>
        </is>
      </c>
      <c r="I1550" t="inlineStr"/>
      <c r="J1550" t="inlineStr">
        <is>
          <t>No Supported Match</t>
        </is>
      </c>
      <c r="K1550" t="inlineStr">
        <is>
          <t>None</t>
        </is>
      </c>
      <c r="L1550" t="inlineStr">
        <is>
          <t>Crosswalk Pending</t>
        </is>
      </c>
      <c r="M1550" t="inlineStr">
        <is>
          <t>Open</t>
        </is>
      </c>
      <c r="N1550" t="inlineStr"/>
    </row>
    <row r="1551">
      <c r="A1551" t="inlineStr">
        <is>
          <t>FKEX01550</t>
        </is>
      </c>
      <c r="B1551" t="inlineStr">
        <is>
          <t>15 LL_Device</t>
        </is>
      </c>
      <c r="C1551" t="inlineStr">
        <is>
          <t>tblDeviceModel</t>
        </is>
      </c>
      <c r="D1551" t="n">
        <v>518</v>
      </c>
      <c r="E1551" t="inlineStr">
        <is>
          <t>MOD000515</t>
        </is>
      </c>
      <c r="F1551" t="inlineStr">
        <is>
          <t>DeviceFamilyID</t>
        </is>
      </c>
      <c r="G1551" t="inlineStr">
        <is>
          <t>DF090</t>
        </is>
      </c>
      <c r="H1551" t="inlineStr">
        <is>
          <t>tblDeviceFamilyIDCrosswalk</t>
        </is>
      </c>
      <c r="I1551" t="inlineStr"/>
      <c r="J1551" t="inlineStr">
        <is>
          <t>tblDeviceModel</t>
        </is>
      </c>
      <c r="K1551" t="inlineStr">
        <is>
          <t>Exact ID</t>
        </is>
      </c>
      <c r="L1551" t="inlineStr">
        <is>
          <t>Crosswalk Pending</t>
        </is>
      </c>
      <c r="M1551" t="inlineStr">
        <is>
          <t>Open</t>
        </is>
      </c>
      <c r="N1551" t="inlineStr"/>
    </row>
    <row r="1552">
      <c r="A1552" t="inlineStr">
        <is>
          <t>FKEX01551</t>
        </is>
      </c>
      <c r="B1552" t="inlineStr">
        <is>
          <t>15 LL_Device</t>
        </is>
      </c>
      <c r="C1552" t="inlineStr">
        <is>
          <t>tblDeviceModel</t>
        </is>
      </c>
      <c r="D1552" t="n">
        <v>518</v>
      </c>
      <c r="E1552" t="inlineStr">
        <is>
          <t>MOD000515</t>
        </is>
      </c>
      <c r="F1552" t="inlineStr">
        <is>
          <t>DeviceTypeID</t>
        </is>
      </c>
      <c r="G1552" t="inlineStr">
        <is>
          <t>DT001</t>
        </is>
      </c>
      <c r="H1552" t="inlineStr">
        <is>
          <t>tblDeviceTypeIDCrosswalk</t>
        </is>
      </c>
      <c r="I1552" t="inlineStr"/>
      <c r="J1552" t="inlineStr">
        <is>
          <t>No Supported Match</t>
        </is>
      </c>
      <c r="K1552" t="inlineStr">
        <is>
          <t>None</t>
        </is>
      </c>
      <c r="L1552" t="inlineStr">
        <is>
          <t>Crosswalk Pending</t>
        </is>
      </c>
      <c r="M1552" t="inlineStr">
        <is>
          <t>Open</t>
        </is>
      </c>
      <c r="N1552" t="inlineStr"/>
    </row>
    <row r="1553">
      <c r="A1553" t="inlineStr">
        <is>
          <t>FKEX01552</t>
        </is>
      </c>
      <c r="B1553" t="inlineStr">
        <is>
          <t>15 LL_Device</t>
        </is>
      </c>
      <c r="C1553" t="inlineStr">
        <is>
          <t>tblDeviceModel</t>
        </is>
      </c>
      <c r="D1553" t="n">
        <v>519</v>
      </c>
      <c r="E1553" t="inlineStr">
        <is>
          <t>MOD000516</t>
        </is>
      </c>
      <c r="F1553" t="inlineStr">
        <is>
          <t>ManufacturerID</t>
        </is>
      </c>
      <c r="G1553" t="inlineStr">
        <is>
          <t>MFG009</t>
        </is>
      </c>
      <c r="H1553" t="inlineStr">
        <is>
          <t>tblManufacturerIDCrosswalk</t>
        </is>
      </c>
      <c r="I1553" t="inlineStr"/>
      <c r="J1553" t="inlineStr">
        <is>
          <t>No Supported Match</t>
        </is>
      </c>
      <c r="K1553" t="inlineStr">
        <is>
          <t>None</t>
        </is>
      </c>
      <c r="L1553" t="inlineStr">
        <is>
          <t>Crosswalk Pending</t>
        </is>
      </c>
      <c r="M1553" t="inlineStr">
        <is>
          <t>Open</t>
        </is>
      </c>
      <c r="N1553" t="inlineStr"/>
    </row>
    <row r="1554">
      <c r="A1554" t="inlineStr">
        <is>
          <t>FKEX01553</t>
        </is>
      </c>
      <c r="B1554" t="inlineStr">
        <is>
          <t>15 LL_Device</t>
        </is>
      </c>
      <c r="C1554" t="inlineStr">
        <is>
          <t>tblDeviceModel</t>
        </is>
      </c>
      <c r="D1554" t="n">
        <v>519</v>
      </c>
      <c r="E1554" t="inlineStr">
        <is>
          <t>MOD000516</t>
        </is>
      </c>
      <c r="F1554" t="inlineStr">
        <is>
          <t>DeviceFamilyID</t>
        </is>
      </c>
      <c r="G1554" t="inlineStr">
        <is>
          <t>DF090</t>
        </is>
      </c>
      <c r="H1554" t="inlineStr">
        <is>
          <t>tblDeviceFamilyIDCrosswalk</t>
        </is>
      </c>
      <c r="I1554" t="inlineStr"/>
      <c r="J1554" t="inlineStr">
        <is>
          <t>tblDeviceModel</t>
        </is>
      </c>
      <c r="K1554" t="inlineStr">
        <is>
          <t>Exact ID</t>
        </is>
      </c>
      <c r="L1554" t="inlineStr">
        <is>
          <t>Crosswalk Pending</t>
        </is>
      </c>
      <c r="M1554" t="inlineStr">
        <is>
          <t>Open</t>
        </is>
      </c>
      <c r="N1554" t="inlineStr"/>
    </row>
    <row r="1555">
      <c r="A1555" t="inlineStr">
        <is>
          <t>FKEX01554</t>
        </is>
      </c>
      <c r="B1555" t="inlineStr">
        <is>
          <t>15 LL_Device</t>
        </is>
      </c>
      <c r="C1555" t="inlineStr">
        <is>
          <t>tblDeviceModel</t>
        </is>
      </c>
      <c r="D1555" t="n">
        <v>519</v>
      </c>
      <c r="E1555" t="inlineStr">
        <is>
          <t>MOD000516</t>
        </is>
      </c>
      <c r="F1555" t="inlineStr">
        <is>
          <t>DeviceTypeID</t>
        </is>
      </c>
      <c r="G1555" t="inlineStr">
        <is>
          <t>DT001</t>
        </is>
      </c>
      <c r="H1555" t="inlineStr">
        <is>
          <t>tblDeviceTypeIDCrosswalk</t>
        </is>
      </c>
      <c r="I1555" t="inlineStr"/>
      <c r="J1555" t="inlineStr">
        <is>
          <t>No Supported Match</t>
        </is>
      </c>
      <c r="K1555" t="inlineStr">
        <is>
          <t>None</t>
        </is>
      </c>
      <c r="L1555" t="inlineStr">
        <is>
          <t>Crosswalk Pending</t>
        </is>
      </c>
      <c r="M1555" t="inlineStr">
        <is>
          <t>Open</t>
        </is>
      </c>
      <c r="N1555" t="inlineStr"/>
    </row>
    <row r="1556">
      <c r="A1556" t="inlineStr">
        <is>
          <t>FKEX01555</t>
        </is>
      </c>
      <c r="B1556" t="inlineStr">
        <is>
          <t>15 LL_Device</t>
        </is>
      </c>
      <c r="C1556" t="inlineStr">
        <is>
          <t>tblDeviceModel</t>
        </is>
      </c>
      <c r="D1556" t="n">
        <v>520</v>
      </c>
      <c r="E1556" t="inlineStr">
        <is>
          <t>MOD000517</t>
        </is>
      </c>
      <c r="F1556" t="inlineStr">
        <is>
          <t>ManufacturerID</t>
        </is>
      </c>
      <c r="G1556" t="inlineStr">
        <is>
          <t>MFG009</t>
        </is>
      </c>
      <c r="H1556" t="inlineStr">
        <is>
          <t>tblManufacturerIDCrosswalk</t>
        </is>
      </c>
      <c r="I1556" t="inlineStr"/>
      <c r="J1556" t="inlineStr">
        <is>
          <t>No Supported Match</t>
        </is>
      </c>
      <c r="K1556" t="inlineStr">
        <is>
          <t>None</t>
        </is>
      </c>
      <c r="L1556" t="inlineStr">
        <is>
          <t>Crosswalk Pending</t>
        </is>
      </c>
      <c r="M1556" t="inlineStr">
        <is>
          <t>Open</t>
        </is>
      </c>
      <c r="N1556" t="inlineStr"/>
    </row>
    <row r="1557">
      <c r="A1557" t="inlineStr">
        <is>
          <t>FKEX01556</t>
        </is>
      </c>
      <c r="B1557" t="inlineStr">
        <is>
          <t>15 LL_Device</t>
        </is>
      </c>
      <c r="C1557" t="inlineStr">
        <is>
          <t>tblDeviceModel</t>
        </is>
      </c>
      <c r="D1557" t="n">
        <v>520</v>
      </c>
      <c r="E1557" t="inlineStr">
        <is>
          <t>MOD000517</t>
        </is>
      </c>
      <c r="F1557" t="inlineStr">
        <is>
          <t>DeviceFamilyID</t>
        </is>
      </c>
      <c r="G1557" t="inlineStr">
        <is>
          <t>DF090</t>
        </is>
      </c>
      <c r="H1557" t="inlineStr">
        <is>
          <t>tblDeviceFamilyIDCrosswalk</t>
        </is>
      </c>
      <c r="I1557" t="inlineStr"/>
      <c r="J1557" t="inlineStr">
        <is>
          <t>tblDeviceModel</t>
        </is>
      </c>
      <c r="K1557" t="inlineStr">
        <is>
          <t>Exact ID</t>
        </is>
      </c>
      <c r="L1557" t="inlineStr">
        <is>
          <t>Crosswalk Pending</t>
        </is>
      </c>
      <c r="M1557" t="inlineStr">
        <is>
          <t>Open</t>
        </is>
      </c>
      <c r="N1557" t="inlineStr"/>
    </row>
    <row r="1558">
      <c r="A1558" t="inlineStr">
        <is>
          <t>FKEX01557</t>
        </is>
      </c>
      <c r="B1558" t="inlineStr">
        <is>
          <t>15 LL_Device</t>
        </is>
      </c>
      <c r="C1558" t="inlineStr">
        <is>
          <t>tblDeviceModel</t>
        </is>
      </c>
      <c r="D1558" t="n">
        <v>520</v>
      </c>
      <c r="E1558" t="inlineStr">
        <is>
          <t>MOD000517</t>
        </is>
      </c>
      <c r="F1558" t="inlineStr">
        <is>
          <t>DeviceTypeID</t>
        </is>
      </c>
      <c r="G1558" t="inlineStr">
        <is>
          <t>DT001</t>
        </is>
      </c>
      <c r="H1558" t="inlineStr">
        <is>
          <t>tblDeviceTypeIDCrosswalk</t>
        </is>
      </c>
      <c r="I1558" t="inlineStr"/>
      <c r="J1558" t="inlineStr">
        <is>
          <t>No Supported Match</t>
        </is>
      </c>
      <c r="K1558" t="inlineStr">
        <is>
          <t>None</t>
        </is>
      </c>
      <c r="L1558" t="inlineStr">
        <is>
          <t>Crosswalk Pending</t>
        </is>
      </c>
      <c r="M1558" t="inlineStr">
        <is>
          <t>Open</t>
        </is>
      </c>
      <c r="N1558" t="inlineStr"/>
    </row>
    <row r="1559">
      <c r="A1559" t="inlineStr">
        <is>
          <t>FKEX01558</t>
        </is>
      </c>
      <c r="B1559" t="inlineStr">
        <is>
          <t>15 LL_Device</t>
        </is>
      </c>
      <c r="C1559" t="inlineStr">
        <is>
          <t>tblDeviceModel</t>
        </is>
      </c>
      <c r="D1559" t="n">
        <v>521</v>
      </c>
      <c r="E1559" t="inlineStr">
        <is>
          <t>MOD000518</t>
        </is>
      </c>
      <c r="F1559" t="inlineStr">
        <is>
          <t>ManufacturerID</t>
        </is>
      </c>
      <c r="G1559" t="inlineStr">
        <is>
          <t>MFG009</t>
        </is>
      </c>
      <c r="H1559" t="inlineStr">
        <is>
          <t>tblManufacturerIDCrosswalk</t>
        </is>
      </c>
      <c r="I1559" t="inlineStr"/>
      <c r="J1559" t="inlineStr">
        <is>
          <t>No Supported Match</t>
        </is>
      </c>
      <c r="K1559" t="inlineStr">
        <is>
          <t>None</t>
        </is>
      </c>
      <c r="L1559" t="inlineStr">
        <is>
          <t>Crosswalk Pending</t>
        </is>
      </c>
      <c r="M1559" t="inlineStr">
        <is>
          <t>Open</t>
        </is>
      </c>
      <c r="N1559" t="inlineStr"/>
    </row>
    <row r="1560">
      <c r="A1560" t="inlineStr">
        <is>
          <t>FKEX01559</t>
        </is>
      </c>
      <c r="B1560" t="inlineStr">
        <is>
          <t>15 LL_Device</t>
        </is>
      </c>
      <c r="C1560" t="inlineStr">
        <is>
          <t>tblDeviceModel</t>
        </is>
      </c>
      <c r="D1560" t="n">
        <v>521</v>
      </c>
      <c r="E1560" t="inlineStr">
        <is>
          <t>MOD000518</t>
        </is>
      </c>
      <c r="F1560" t="inlineStr">
        <is>
          <t>DeviceFamilyID</t>
        </is>
      </c>
      <c r="G1560" t="inlineStr">
        <is>
          <t>DF091</t>
        </is>
      </c>
      <c r="H1560" t="inlineStr">
        <is>
          <t>tblDeviceFamilyIDCrosswalk</t>
        </is>
      </c>
      <c r="I1560" t="inlineStr"/>
      <c r="J1560" t="inlineStr">
        <is>
          <t>tblDeviceModel</t>
        </is>
      </c>
      <c r="K1560" t="inlineStr">
        <is>
          <t>Exact ID</t>
        </is>
      </c>
      <c r="L1560" t="inlineStr">
        <is>
          <t>Crosswalk Pending</t>
        </is>
      </c>
      <c r="M1560" t="inlineStr">
        <is>
          <t>Open</t>
        </is>
      </c>
      <c r="N1560" t="inlineStr"/>
    </row>
    <row r="1561">
      <c r="A1561" t="inlineStr">
        <is>
          <t>FKEX01560</t>
        </is>
      </c>
      <c r="B1561" t="inlineStr">
        <is>
          <t>15 LL_Device</t>
        </is>
      </c>
      <c r="C1561" t="inlineStr">
        <is>
          <t>tblDeviceModel</t>
        </is>
      </c>
      <c r="D1561" t="n">
        <v>521</v>
      </c>
      <c r="E1561" t="inlineStr">
        <is>
          <t>MOD000518</t>
        </is>
      </c>
      <c r="F1561" t="inlineStr">
        <is>
          <t>DeviceTypeID</t>
        </is>
      </c>
      <c r="G1561" t="inlineStr">
        <is>
          <t>DT001</t>
        </is>
      </c>
      <c r="H1561" t="inlineStr">
        <is>
          <t>tblDeviceTypeIDCrosswalk</t>
        </is>
      </c>
      <c r="I1561" t="inlineStr"/>
      <c r="J1561" t="inlineStr">
        <is>
          <t>No Supported Match</t>
        </is>
      </c>
      <c r="K1561" t="inlineStr">
        <is>
          <t>None</t>
        </is>
      </c>
      <c r="L1561" t="inlineStr">
        <is>
          <t>Crosswalk Pending</t>
        </is>
      </c>
      <c r="M1561" t="inlineStr">
        <is>
          <t>Open</t>
        </is>
      </c>
      <c r="N1561" t="inlineStr"/>
    </row>
    <row r="1562">
      <c r="A1562" t="inlineStr">
        <is>
          <t>FKEX01561</t>
        </is>
      </c>
      <c r="B1562" t="inlineStr">
        <is>
          <t>15 LL_Device</t>
        </is>
      </c>
      <c r="C1562" t="inlineStr">
        <is>
          <t>tblDeviceModel</t>
        </is>
      </c>
      <c r="D1562" t="n">
        <v>522</v>
      </c>
      <c r="E1562" t="inlineStr">
        <is>
          <t>MOD000519</t>
        </is>
      </c>
      <c r="F1562" t="inlineStr">
        <is>
          <t>ManufacturerID</t>
        </is>
      </c>
      <c r="G1562" t="inlineStr">
        <is>
          <t>MFG009</t>
        </is>
      </c>
      <c r="H1562" t="inlineStr">
        <is>
          <t>tblManufacturerIDCrosswalk</t>
        </is>
      </c>
      <c r="I1562" t="inlineStr"/>
      <c r="J1562" t="inlineStr">
        <is>
          <t>No Supported Match</t>
        </is>
      </c>
      <c r="K1562" t="inlineStr">
        <is>
          <t>None</t>
        </is>
      </c>
      <c r="L1562" t="inlineStr">
        <is>
          <t>Crosswalk Pending</t>
        </is>
      </c>
      <c r="M1562" t="inlineStr">
        <is>
          <t>Open</t>
        </is>
      </c>
      <c r="N1562" t="inlineStr"/>
    </row>
    <row r="1563">
      <c r="A1563" t="inlineStr">
        <is>
          <t>FKEX01562</t>
        </is>
      </c>
      <c r="B1563" t="inlineStr">
        <is>
          <t>15 LL_Device</t>
        </is>
      </c>
      <c r="C1563" t="inlineStr">
        <is>
          <t>tblDeviceModel</t>
        </is>
      </c>
      <c r="D1563" t="n">
        <v>522</v>
      </c>
      <c r="E1563" t="inlineStr">
        <is>
          <t>MOD000519</t>
        </is>
      </c>
      <c r="F1563" t="inlineStr">
        <is>
          <t>DeviceFamilyID</t>
        </is>
      </c>
      <c r="G1563" t="inlineStr">
        <is>
          <t>DF091</t>
        </is>
      </c>
      <c r="H1563" t="inlineStr">
        <is>
          <t>tblDeviceFamilyIDCrosswalk</t>
        </is>
      </c>
      <c r="I1563" t="inlineStr"/>
      <c r="J1563" t="inlineStr">
        <is>
          <t>tblDeviceModel</t>
        </is>
      </c>
      <c r="K1563" t="inlineStr">
        <is>
          <t>Exact ID</t>
        </is>
      </c>
      <c r="L1563" t="inlineStr">
        <is>
          <t>Crosswalk Pending</t>
        </is>
      </c>
      <c r="M1563" t="inlineStr">
        <is>
          <t>Open</t>
        </is>
      </c>
      <c r="N1563" t="inlineStr"/>
    </row>
    <row r="1564">
      <c r="A1564" t="inlineStr">
        <is>
          <t>FKEX01563</t>
        </is>
      </c>
      <c r="B1564" t="inlineStr">
        <is>
          <t>15 LL_Device</t>
        </is>
      </c>
      <c r="C1564" t="inlineStr">
        <is>
          <t>tblDeviceModel</t>
        </is>
      </c>
      <c r="D1564" t="n">
        <v>522</v>
      </c>
      <c r="E1564" t="inlineStr">
        <is>
          <t>MOD000519</t>
        </is>
      </c>
      <c r="F1564" t="inlineStr">
        <is>
          <t>DeviceTypeID</t>
        </is>
      </c>
      <c r="G1564" t="inlineStr">
        <is>
          <t>DT001</t>
        </is>
      </c>
      <c r="H1564" t="inlineStr">
        <is>
          <t>tblDeviceTypeIDCrosswalk</t>
        </is>
      </c>
      <c r="I1564" t="inlineStr"/>
      <c r="J1564" t="inlineStr">
        <is>
          <t>No Supported Match</t>
        </is>
      </c>
      <c r="K1564" t="inlineStr">
        <is>
          <t>None</t>
        </is>
      </c>
      <c r="L1564" t="inlineStr">
        <is>
          <t>Crosswalk Pending</t>
        </is>
      </c>
      <c r="M1564" t="inlineStr">
        <is>
          <t>Open</t>
        </is>
      </c>
      <c r="N1564" t="inlineStr"/>
    </row>
    <row r="1565">
      <c r="A1565" t="inlineStr">
        <is>
          <t>FKEX01564</t>
        </is>
      </c>
      <c r="B1565" t="inlineStr">
        <is>
          <t>15 LL_Device</t>
        </is>
      </c>
      <c r="C1565" t="inlineStr">
        <is>
          <t>tblDeviceModel</t>
        </is>
      </c>
      <c r="D1565" t="n">
        <v>523</v>
      </c>
      <c r="E1565" t="inlineStr">
        <is>
          <t>MOD000520</t>
        </is>
      </c>
      <c r="F1565" t="inlineStr">
        <is>
          <t>ManufacturerID</t>
        </is>
      </c>
      <c r="G1565" t="inlineStr">
        <is>
          <t>MFG009</t>
        </is>
      </c>
      <c r="H1565" t="inlineStr">
        <is>
          <t>tblManufacturerIDCrosswalk</t>
        </is>
      </c>
      <c r="I1565" t="inlineStr"/>
      <c r="J1565" t="inlineStr">
        <is>
          <t>No Supported Match</t>
        </is>
      </c>
      <c r="K1565" t="inlineStr">
        <is>
          <t>None</t>
        </is>
      </c>
      <c r="L1565" t="inlineStr">
        <is>
          <t>Crosswalk Pending</t>
        </is>
      </c>
      <c r="M1565" t="inlineStr">
        <is>
          <t>Open</t>
        </is>
      </c>
      <c r="N1565" t="inlineStr"/>
    </row>
    <row r="1566">
      <c r="A1566" t="inlineStr">
        <is>
          <t>FKEX01565</t>
        </is>
      </c>
      <c r="B1566" t="inlineStr">
        <is>
          <t>15 LL_Device</t>
        </is>
      </c>
      <c r="C1566" t="inlineStr">
        <is>
          <t>tblDeviceModel</t>
        </is>
      </c>
      <c r="D1566" t="n">
        <v>523</v>
      </c>
      <c r="E1566" t="inlineStr">
        <is>
          <t>MOD000520</t>
        </is>
      </c>
      <c r="F1566" t="inlineStr">
        <is>
          <t>DeviceFamilyID</t>
        </is>
      </c>
      <c r="G1566" t="inlineStr">
        <is>
          <t>DF091</t>
        </is>
      </c>
      <c r="H1566" t="inlineStr">
        <is>
          <t>tblDeviceFamilyIDCrosswalk</t>
        </is>
      </c>
      <c r="I1566" t="inlineStr"/>
      <c r="J1566" t="inlineStr">
        <is>
          <t>tblDeviceModel</t>
        </is>
      </c>
      <c r="K1566" t="inlineStr">
        <is>
          <t>Exact ID</t>
        </is>
      </c>
      <c r="L1566" t="inlineStr">
        <is>
          <t>Crosswalk Pending</t>
        </is>
      </c>
      <c r="M1566" t="inlineStr">
        <is>
          <t>Open</t>
        </is>
      </c>
      <c r="N1566" t="inlineStr"/>
    </row>
    <row r="1567">
      <c r="A1567" t="inlineStr">
        <is>
          <t>FKEX01566</t>
        </is>
      </c>
      <c r="B1567" t="inlineStr">
        <is>
          <t>15 LL_Device</t>
        </is>
      </c>
      <c r="C1567" t="inlineStr">
        <is>
          <t>tblDeviceModel</t>
        </is>
      </c>
      <c r="D1567" t="n">
        <v>523</v>
      </c>
      <c r="E1567" t="inlineStr">
        <is>
          <t>MOD000520</t>
        </is>
      </c>
      <c r="F1567" t="inlineStr">
        <is>
          <t>DeviceTypeID</t>
        </is>
      </c>
      <c r="G1567" t="inlineStr">
        <is>
          <t>DT001</t>
        </is>
      </c>
      <c r="H1567" t="inlineStr">
        <is>
          <t>tblDeviceTypeIDCrosswalk</t>
        </is>
      </c>
      <c r="I1567" t="inlineStr"/>
      <c r="J1567" t="inlineStr">
        <is>
          <t>No Supported Match</t>
        </is>
      </c>
      <c r="K1567" t="inlineStr">
        <is>
          <t>None</t>
        </is>
      </c>
      <c r="L1567" t="inlineStr">
        <is>
          <t>Crosswalk Pending</t>
        </is>
      </c>
      <c r="M1567" t="inlineStr">
        <is>
          <t>Open</t>
        </is>
      </c>
      <c r="N1567" t="inlineStr"/>
    </row>
    <row r="1568">
      <c r="A1568" t="inlineStr">
        <is>
          <t>FKEX01567</t>
        </is>
      </c>
      <c r="B1568" t="inlineStr">
        <is>
          <t>15 LL_Device</t>
        </is>
      </c>
      <c r="C1568" t="inlineStr">
        <is>
          <t>tblDeviceModel</t>
        </is>
      </c>
      <c r="D1568" t="n">
        <v>524</v>
      </c>
      <c r="E1568" t="inlineStr">
        <is>
          <t>MOD000521</t>
        </is>
      </c>
      <c r="F1568" t="inlineStr">
        <is>
          <t>ManufacturerID</t>
        </is>
      </c>
      <c r="G1568" t="inlineStr">
        <is>
          <t>MFG009</t>
        </is>
      </c>
      <c r="H1568" t="inlineStr">
        <is>
          <t>tblManufacturerIDCrosswalk</t>
        </is>
      </c>
      <c r="I1568" t="inlineStr"/>
      <c r="J1568" t="inlineStr">
        <is>
          <t>No Supported Match</t>
        </is>
      </c>
      <c r="K1568" t="inlineStr">
        <is>
          <t>None</t>
        </is>
      </c>
      <c r="L1568" t="inlineStr">
        <is>
          <t>Crosswalk Pending</t>
        </is>
      </c>
      <c r="M1568" t="inlineStr">
        <is>
          <t>Open</t>
        </is>
      </c>
      <c r="N1568" t="inlineStr"/>
    </row>
    <row r="1569">
      <c r="A1569" t="inlineStr">
        <is>
          <t>FKEX01568</t>
        </is>
      </c>
      <c r="B1569" t="inlineStr">
        <is>
          <t>15 LL_Device</t>
        </is>
      </c>
      <c r="C1569" t="inlineStr">
        <is>
          <t>tblDeviceModel</t>
        </is>
      </c>
      <c r="D1569" t="n">
        <v>524</v>
      </c>
      <c r="E1569" t="inlineStr">
        <is>
          <t>MOD000521</t>
        </is>
      </c>
      <c r="F1569" t="inlineStr">
        <is>
          <t>DeviceFamilyID</t>
        </is>
      </c>
      <c r="G1569" t="inlineStr">
        <is>
          <t>DF092</t>
        </is>
      </c>
      <c r="H1569" t="inlineStr">
        <is>
          <t>tblDeviceFamilyIDCrosswalk</t>
        </is>
      </c>
      <c r="I1569" t="inlineStr"/>
      <c r="J1569" t="inlineStr">
        <is>
          <t>tblDeviceModel</t>
        </is>
      </c>
      <c r="K1569" t="inlineStr">
        <is>
          <t>Exact ID</t>
        </is>
      </c>
      <c r="L1569" t="inlineStr">
        <is>
          <t>Crosswalk Pending</t>
        </is>
      </c>
      <c r="M1569" t="inlineStr">
        <is>
          <t>Open</t>
        </is>
      </c>
      <c r="N1569" t="inlineStr"/>
    </row>
    <row r="1570">
      <c r="A1570" t="inlineStr">
        <is>
          <t>FKEX01569</t>
        </is>
      </c>
      <c r="B1570" t="inlineStr">
        <is>
          <t>15 LL_Device</t>
        </is>
      </c>
      <c r="C1570" t="inlineStr">
        <is>
          <t>tblDeviceModel</t>
        </is>
      </c>
      <c r="D1570" t="n">
        <v>524</v>
      </c>
      <c r="E1570" t="inlineStr">
        <is>
          <t>MOD000521</t>
        </is>
      </c>
      <c r="F1570" t="inlineStr">
        <is>
          <t>DeviceTypeID</t>
        </is>
      </c>
      <c r="G1570" t="inlineStr">
        <is>
          <t>DT001</t>
        </is>
      </c>
      <c r="H1570" t="inlineStr">
        <is>
          <t>tblDeviceTypeIDCrosswalk</t>
        </is>
      </c>
      <c r="I1570" t="inlineStr"/>
      <c r="J1570" t="inlineStr">
        <is>
          <t>No Supported Match</t>
        </is>
      </c>
      <c r="K1570" t="inlineStr">
        <is>
          <t>None</t>
        </is>
      </c>
      <c r="L1570" t="inlineStr">
        <is>
          <t>Crosswalk Pending</t>
        </is>
      </c>
      <c r="M1570" t="inlineStr">
        <is>
          <t>Open</t>
        </is>
      </c>
      <c r="N1570" t="inlineStr"/>
    </row>
    <row r="1571">
      <c r="A1571" t="inlineStr">
        <is>
          <t>FKEX01570</t>
        </is>
      </c>
      <c r="B1571" t="inlineStr">
        <is>
          <t>15 LL_Device</t>
        </is>
      </c>
      <c r="C1571" t="inlineStr">
        <is>
          <t>tblDeviceModel</t>
        </is>
      </c>
      <c r="D1571" t="n">
        <v>525</v>
      </c>
      <c r="E1571" t="inlineStr">
        <is>
          <t>MOD000522</t>
        </is>
      </c>
      <c r="F1571" t="inlineStr">
        <is>
          <t>ManufacturerID</t>
        </is>
      </c>
      <c r="G1571" t="inlineStr">
        <is>
          <t>MFG009</t>
        </is>
      </c>
      <c r="H1571" t="inlineStr">
        <is>
          <t>tblManufacturerIDCrosswalk</t>
        </is>
      </c>
      <c r="I1571" t="inlineStr"/>
      <c r="J1571" t="inlineStr">
        <is>
          <t>No Supported Match</t>
        </is>
      </c>
      <c r="K1571" t="inlineStr">
        <is>
          <t>None</t>
        </is>
      </c>
      <c r="L1571" t="inlineStr">
        <is>
          <t>Crosswalk Pending</t>
        </is>
      </c>
      <c r="M1571" t="inlineStr">
        <is>
          <t>Open</t>
        </is>
      </c>
      <c r="N1571" t="inlineStr"/>
    </row>
    <row r="1572">
      <c r="A1572" t="inlineStr">
        <is>
          <t>FKEX01571</t>
        </is>
      </c>
      <c r="B1572" t="inlineStr">
        <is>
          <t>15 LL_Device</t>
        </is>
      </c>
      <c r="C1572" t="inlineStr">
        <is>
          <t>tblDeviceModel</t>
        </is>
      </c>
      <c r="D1572" t="n">
        <v>525</v>
      </c>
      <c r="E1572" t="inlineStr">
        <is>
          <t>MOD000522</t>
        </is>
      </c>
      <c r="F1572" t="inlineStr">
        <is>
          <t>DeviceFamilyID</t>
        </is>
      </c>
      <c r="G1572" t="inlineStr">
        <is>
          <t>DF093</t>
        </is>
      </c>
      <c r="H1572" t="inlineStr">
        <is>
          <t>tblDeviceFamilyIDCrosswalk</t>
        </is>
      </c>
      <c r="I1572" t="inlineStr"/>
      <c r="J1572" t="inlineStr">
        <is>
          <t>tblDeviceModel</t>
        </is>
      </c>
      <c r="K1572" t="inlineStr">
        <is>
          <t>Exact ID</t>
        </is>
      </c>
      <c r="L1572" t="inlineStr">
        <is>
          <t>Crosswalk Pending</t>
        </is>
      </c>
      <c r="M1572" t="inlineStr">
        <is>
          <t>Open</t>
        </is>
      </c>
      <c r="N1572" t="inlineStr"/>
    </row>
    <row r="1573">
      <c r="A1573" t="inlineStr">
        <is>
          <t>FKEX01572</t>
        </is>
      </c>
      <c r="B1573" t="inlineStr">
        <is>
          <t>15 LL_Device</t>
        </is>
      </c>
      <c r="C1573" t="inlineStr">
        <is>
          <t>tblDeviceModel</t>
        </is>
      </c>
      <c r="D1573" t="n">
        <v>525</v>
      </c>
      <c r="E1573" t="inlineStr">
        <is>
          <t>MOD000522</t>
        </is>
      </c>
      <c r="F1573" t="inlineStr">
        <is>
          <t>DeviceTypeID</t>
        </is>
      </c>
      <c r="G1573" t="inlineStr">
        <is>
          <t>DT002</t>
        </is>
      </c>
      <c r="H1573" t="inlineStr">
        <is>
          <t>tblDeviceTypeIDCrosswalk</t>
        </is>
      </c>
      <c r="I1573" t="inlineStr"/>
      <c r="J1573" t="inlineStr">
        <is>
          <t>No Supported Match</t>
        </is>
      </c>
      <c r="K1573" t="inlineStr">
        <is>
          <t>None</t>
        </is>
      </c>
      <c r="L1573" t="inlineStr">
        <is>
          <t>Crosswalk Pending</t>
        </is>
      </c>
      <c r="M1573" t="inlineStr">
        <is>
          <t>Open</t>
        </is>
      </c>
      <c r="N1573" t="inlineStr"/>
    </row>
    <row r="1574">
      <c r="A1574" t="inlineStr">
        <is>
          <t>FKEX01573</t>
        </is>
      </c>
      <c r="B1574" t="inlineStr">
        <is>
          <t>15 LL_Device</t>
        </is>
      </c>
      <c r="C1574" t="inlineStr">
        <is>
          <t>tblDeviceModel</t>
        </is>
      </c>
      <c r="D1574" t="n">
        <v>526</v>
      </c>
      <c r="E1574" t="inlineStr">
        <is>
          <t>MOD000523</t>
        </is>
      </c>
      <c r="F1574" t="inlineStr">
        <is>
          <t>ManufacturerID</t>
        </is>
      </c>
      <c r="G1574" t="inlineStr">
        <is>
          <t>MFG009</t>
        </is>
      </c>
      <c r="H1574" t="inlineStr">
        <is>
          <t>tblManufacturerIDCrosswalk</t>
        </is>
      </c>
      <c r="I1574" t="inlineStr"/>
      <c r="J1574" t="inlineStr">
        <is>
          <t>No Supported Match</t>
        </is>
      </c>
      <c r="K1574" t="inlineStr">
        <is>
          <t>None</t>
        </is>
      </c>
      <c r="L1574" t="inlineStr">
        <is>
          <t>Crosswalk Pending</t>
        </is>
      </c>
      <c r="M1574" t="inlineStr">
        <is>
          <t>Open</t>
        </is>
      </c>
      <c r="N1574" t="inlineStr"/>
    </row>
    <row r="1575">
      <c r="A1575" t="inlineStr">
        <is>
          <t>FKEX01574</t>
        </is>
      </c>
      <c r="B1575" t="inlineStr">
        <is>
          <t>15 LL_Device</t>
        </is>
      </c>
      <c r="C1575" t="inlineStr">
        <is>
          <t>tblDeviceModel</t>
        </is>
      </c>
      <c r="D1575" t="n">
        <v>526</v>
      </c>
      <c r="E1575" t="inlineStr">
        <is>
          <t>MOD000523</t>
        </is>
      </c>
      <c r="F1575" t="inlineStr">
        <is>
          <t>DeviceFamilyID</t>
        </is>
      </c>
      <c r="G1575" t="inlineStr">
        <is>
          <t>DF093</t>
        </is>
      </c>
      <c r="H1575" t="inlineStr">
        <is>
          <t>tblDeviceFamilyIDCrosswalk</t>
        </is>
      </c>
      <c r="I1575" t="inlineStr"/>
      <c r="J1575" t="inlineStr">
        <is>
          <t>tblDeviceModel</t>
        </is>
      </c>
      <c r="K1575" t="inlineStr">
        <is>
          <t>Exact ID</t>
        </is>
      </c>
      <c r="L1575" t="inlineStr">
        <is>
          <t>Crosswalk Pending</t>
        </is>
      </c>
      <c r="M1575" t="inlineStr">
        <is>
          <t>Open</t>
        </is>
      </c>
      <c r="N1575" t="inlineStr"/>
    </row>
    <row r="1576">
      <c r="A1576" t="inlineStr">
        <is>
          <t>FKEX01575</t>
        </is>
      </c>
      <c r="B1576" t="inlineStr">
        <is>
          <t>15 LL_Device</t>
        </is>
      </c>
      <c r="C1576" t="inlineStr">
        <is>
          <t>tblDeviceModel</t>
        </is>
      </c>
      <c r="D1576" t="n">
        <v>526</v>
      </c>
      <c r="E1576" t="inlineStr">
        <is>
          <t>MOD000523</t>
        </is>
      </c>
      <c r="F1576" t="inlineStr">
        <is>
          <t>DeviceTypeID</t>
        </is>
      </c>
      <c r="G1576" t="inlineStr">
        <is>
          <t>DT002</t>
        </is>
      </c>
      <c r="H1576" t="inlineStr">
        <is>
          <t>tblDeviceTypeIDCrosswalk</t>
        </is>
      </c>
      <c r="I1576" t="inlineStr"/>
      <c r="J1576" t="inlineStr">
        <is>
          <t>No Supported Match</t>
        </is>
      </c>
      <c r="K1576" t="inlineStr">
        <is>
          <t>None</t>
        </is>
      </c>
      <c r="L1576" t="inlineStr">
        <is>
          <t>Crosswalk Pending</t>
        </is>
      </c>
      <c r="M1576" t="inlineStr">
        <is>
          <t>Open</t>
        </is>
      </c>
      <c r="N1576" t="inlineStr"/>
    </row>
    <row r="1577">
      <c r="A1577" t="inlineStr">
        <is>
          <t>FKEX01576</t>
        </is>
      </c>
      <c r="B1577" t="inlineStr">
        <is>
          <t>15 LL_Device</t>
        </is>
      </c>
      <c r="C1577" t="inlineStr">
        <is>
          <t>tblDeviceModel</t>
        </is>
      </c>
      <c r="D1577" t="n">
        <v>527</v>
      </c>
      <c r="E1577" t="inlineStr">
        <is>
          <t>MOD000524</t>
        </is>
      </c>
      <c r="F1577" t="inlineStr">
        <is>
          <t>ManufacturerID</t>
        </is>
      </c>
      <c r="G1577" t="inlineStr">
        <is>
          <t>MFG010</t>
        </is>
      </c>
      <c r="H1577" t="inlineStr">
        <is>
          <t>tblManufacturerIDCrosswalk</t>
        </is>
      </c>
      <c r="I1577" t="inlineStr"/>
      <c r="J1577" t="inlineStr">
        <is>
          <t>No Supported Match</t>
        </is>
      </c>
      <c r="K1577" t="inlineStr">
        <is>
          <t>None</t>
        </is>
      </c>
      <c r="L1577" t="inlineStr">
        <is>
          <t>Crosswalk Pending</t>
        </is>
      </c>
      <c r="M1577" t="inlineStr">
        <is>
          <t>Open</t>
        </is>
      </c>
      <c r="N1577" t="inlineStr"/>
    </row>
    <row r="1578">
      <c r="A1578" t="inlineStr">
        <is>
          <t>FKEX01577</t>
        </is>
      </c>
      <c r="B1578" t="inlineStr">
        <is>
          <t>15 LL_Device</t>
        </is>
      </c>
      <c r="C1578" t="inlineStr">
        <is>
          <t>tblDeviceModel</t>
        </is>
      </c>
      <c r="D1578" t="n">
        <v>527</v>
      </c>
      <c r="E1578" t="inlineStr">
        <is>
          <t>MOD000524</t>
        </is>
      </c>
      <c r="F1578" t="inlineStr">
        <is>
          <t>DeviceFamilyID</t>
        </is>
      </c>
      <c r="G1578" t="inlineStr">
        <is>
          <t>DF-100</t>
        </is>
      </c>
      <c r="H1578" t="inlineStr">
        <is>
          <t>tblDeviceFamilyIDCrosswalk</t>
        </is>
      </c>
      <c r="I1578" t="inlineStr"/>
      <c r="J1578" t="inlineStr">
        <is>
          <t>tblDeviceModel</t>
        </is>
      </c>
      <c r="K1578" t="inlineStr">
        <is>
          <t>Exact ID</t>
        </is>
      </c>
      <c r="L1578" t="inlineStr">
        <is>
          <t>Crosswalk Pending</t>
        </is>
      </c>
      <c r="M1578" t="inlineStr">
        <is>
          <t>Open</t>
        </is>
      </c>
      <c r="N1578" t="inlineStr"/>
    </row>
    <row r="1579">
      <c r="A1579" t="inlineStr">
        <is>
          <t>FKEX01578</t>
        </is>
      </c>
      <c r="B1579" t="inlineStr">
        <is>
          <t>15 LL_Device</t>
        </is>
      </c>
      <c r="C1579" t="inlineStr">
        <is>
          <t>tblDeviceModel</t>
        </is>
      </c>
      <c r="D1579" t="n">
        <v>527</v>
      </c>
      <c r="E1579" t="inlineStr">
        <is>
          <t>MOD000524</t>
        </is>
      </c>
      <c r="F1579" t="inlineStr">
        <is>
          <t>DeviceTypeID</t>
        </is>
      </c>
      <c r="G1579" t="inlineStr">
        <is>
          <t>DT001</t>
        </is>
      </c>
      <c r="H1579" t="inlineStr">
        <is>
          <t>tblDeviceTypeIDCrosswalk</t>
        </is>
      </c>
      <c r="I1579" t="inlineStr"/>
      <c r="J1579" t="inlineStr">
        <is>
          <t>No Supported Match</t>
        </is>
      </c>
      <c r="K1579" t="inlineStr">
        <is>
          <t>None</t>
        </is>
      </c>
      <c r="L1579" t="inlineStr">
        <is>
          <t>Crosswalk Pending</t>
        </is>
      </c>
      <c r="M1579" t="inlineStr">
        <is>
          <t>Open</t>
        </is>
      </c>
      <c r="N1579" t="inlineStr"/>
    </row>
    <row r="1580">
      <c r="A1580" t="inlineStr">
        <is>
          <t>FKEX01579</t>
        </is>
      </c>
      <c r="B1580" t="inlineStr">
        <is>
          <t>15 LL_Device</t>
        </is>
      </c>
      <c r="C1580" t="inlineStr">
        <is>
          <t>tblDeviceModel</t>
        </is>
      </c>
      <c r="D1580" t="n">
        <v>528</v>
      </c>
      <c r="E1580" t="inlineStr">
        <is>
          <t>MOD000525</t>
        </is>
      </c>
      <c r="F1580" t="inlineStr">
        <is>
          <t>ManufacturerID</t>
        </is>
      </c>
      <c r="G1580" t="inlineStr">
        <is>
          <t>MFG010</t>
        </is>
      </c>
      <c r="H1580" t="inlineStr">
        <is>
          <t>tblManufacturerIDCrosswalk</t>
        </is>
      </c>
      <c r="I1580" t="inlineStr"/>
      <c r="J1580" t="inlineStr">
        <is>
          <t>No Supported Match</t>
        </is>
      </c>
      <c r="K1580" t="inlineStr">
        <is>
          <t>None</t>
        </is>
      </c>
      <c r="L1580" t="inlineStr">
        <is>
          <t>Crosswalk Pending</t>
        </is>
      </c>
      <c r="M1580" t="inlineStr">
        <is>
          <t>Open</t>
        </is>
      </c>
      <c r="N1580" t="inlineStr"/>
    </row>
    <row r="1581">
      <c r="A1581" t="inlineStr">
        <is>
          <t>FKEX01580</t>
        </is>
      </c>
      <c r="B1581" t="inlineStr">
        <is>
          <t>15 LL_Device</t>
        </is>
      </c>
      <c r="C1581" t="inlineStr">
        <is>
          <t>tblDeviceModel</t>
        </is>
      </c>
      <c r="D1581" t="n">
        <v>528</v>
      </c>
      <c r="E1581" t="inlineStr">
        <is>
          <t>MOD000525</t>
        </is>
      </c>
      <c r="F1581" t="inlineStr">
        <is>
          <t>DeviceFamilyID</t>
        </is>
      </c>
      <c r="G1581" t="inlineStr">
        <is>
          <t>DF-100</t>
        </is>
      </c>
      <c r="H1581" t="inlineStr">
        <is>
          <t>tblDeviceFamilyIDCrosswalk</t>
        </is>
      </c>
      <c r="I1581" t="inlineStr"/>
      <c r="J1581" t="inlineStr">
        <is>
          <t>tblDeviceModel</t>
        </is>
      </c>
      <c r="K1581" t="inlineStr">
        <is>
          <t>Exact ID</t>
        </is>
      </c>
      <c r="L1581" t="inlineStr">
        <is>
          <t>Crosswalk Pending</t>
        </is>
      </c>
      <c r="M1581" t="inlineStr">
        <is>
          <t>Open</t>
        </is>
      </c>
      <c r="N1581" t="inlineStr"/>
    </row>
    <row r="1582">
      <c r="A1582" t="inlineStr">
        <is>
          <t>FKEX01581</t>
        </is>
      </c>
      <c r="B1582" t="inlineStr">
        <is>
          <t>15 LL_Device</t>
        </is>
      </c>
      <c r="C1582" t="inlineStr">
        <is>
          <t>tblDeviceModel</t>
        </is>
      </c>
      <c r="D1582" t="n">
        <v>528</v>
      </c>
      <c r="E1582" t="inlineStr">
        <is>
          <t>MOD000525</t>
        </is>
      </c>
      <c r="F1582" t="inlineStr">
        <is>
          <t>DeviceTypeID</t>
        </is>
      </c>
      <c r="G1582" t="inlineStr">
        <is>
          <t>DT001</t>
        </is>
      </c>
      <c r="H1582" t="inlineStr">
        <is>
          <t>tblDeviceTypeIDCrosswalk</t>
        </is>
      </c>
      <c r="I1582" t="inlineStr"/>
      <c r="J1582" t="inlineStr">
        <is>
          <t>No Supported Match</t>
        </is>
      </c>
      <c r="K1582" t="inlineStr">
        <is>
          <t>None</t>
        </is>
      </c>
      <c r="L1582" t="inlineStr">
        <is>
          <t>Crosswalk Pending</t>
        </is>
      </c>
      <c r="M1582" t="inlineStr">
        <is>
          <t>Open</t>
        </is>
      </c>
      <c r="N1582" t="inlineStr"/>
    </row>
    <row r="1583">
      <c r="A1583" t="inlineStr">
        <is>
          <t>FKEX01582</t>
        </is>
      </c>
      <c r="B1583" t="inlineStr">
        <is>
          <t>15 LL_Device</t>
        </is>
      </c>
      <c r="C1583" t="inlineStr">
        <is>
          <t>tblDeviceModel</t>
        </is>
      </c>
      <c r="D1583" t="n">
        <v>529</v>
      </c>
      <c r="E1583" t="inlineStr">
        <is>
          <t>MOD000526</t>
        </is>
      </c>
      <c r="F1583" t="inlineStr">
        <is>
          <t>ManufacturerID</t>
        </is>
      </c>
      <c r="G1583" t="inlineStr">
        <is>
          <t>MFG010</t>
        </is>
      </c>
      <c r="H1583" t="inlineStr">
        <is>
          <t>tblManufacturerIDCrosswalk</t>
        </is>
      </c>
      <c r="I1583" t="inlineStr"/>
      <c r="J1583" t="inlineStr">
        <is>
          <t>No Supported Match</t>
        </is>
      </c>
      <c r="K1583" t="inlineStr">
        <is>
          <t>None</t>
        </is>
      </c>
      <c r="L1583" t="inlineStr">
        <is>
          <t>Crosswalk Pending</t>
        </is>
      </c>
      <c r="M1583" t="inlineStr">
        <is>
          <t>Open</t>
        </is>
      </c>
      <c r="N1583" t="inlineStr"/>
    </row>
    <row r="1584">
      <c r="A1584" t="inlineStr">
        <is>
          <t>FKEX01583</t>
        </is>
      </c>
      <c r="B1584" t="inlineStr">
        <is>
          <t>15 LL_Device</t>
        </is>
      </c>
      <c r="C1584" t="inlineStr">
        <is>
          <t>tblDeviceModel</t>
        </is>
      </c>
      <c r="D1584" t="n">
        <v>529</v>
      </c>
      <c r="E1584" t="inlineStr">
        <is>
          <t>MOD000526</t>
        </is>
      </c>
      <c r="F1584" t="inlineStr">
        <is>
          <t>DeviceFamilyID</t>
        </is>
      </c>
      <c r="G1584" t="inlineStr">
        <is>
          <t>DF-100</t>
        </is>
      </c>
      <c r="H1584" t="inlineStr">
        <is>
          <t>tblDeviceFamilyIDCrosswalk</t>
        </is>
      </c>
      <c r="I1584" t="inlineStr"/>
      <c r="J1584" t="inlineStr">
        <is>
          <t>tblDeviceModel</t>
        </is>
      </c>
      <c r="K1584" t="inlineStr">
        <is>
          <t>Exact ID</t>
        </is>
      </c>
      <c r="L1584" t="inlineStr">
        <is>
          <t>Crosswalk Pending</t>
        </is>
      </c>
      <c r="M1584" t="inlineStr">
        <is>
          <t>Open</t>
        </is>
      </c>
      <c r="N1584" t="inlineStr"/>
    </row>
    <row r="1585">
      <c r="A1585" t="inlineStr">
        <is>
          <t>FKEX01584</t>
        </is>
      </c>
      <c r="B1585" t="inlineStr">
        <is>
          <t>15 LL_Device</t>
        </is>
      </c>
      <c r="C1585" t="inlineStr">
        <is>
          <t>tblDeviceModel</t>
        </is>
      </c>
      <c r="D1585" t="n">
        <v>529</v>
      </c>
      <c r="E1585" t="inlineStr">
        <is>
          <t>MOD000526</t>
        </is>
      </c>
      <c r="F1585" t="inlineStr">
        <is>
          <t>DeviceTypeID</t>
        </is>
      </c>
      <c r="G1585" t="inlineStr">
        <is>
          <t>DT001</t>
        </is>
      </c>
      <c r="H1585" t="inlineStr">
        <is>
          <t>tblDeviceTypeIDCrosswalk</t>
        </is>
      </c>
      <c r="I1585" t="inlineStr"/>
      <c r="J1585" t="inlineStr">
        <is>
          <t>No Supported Match</t>
        </is>
      </c>
      <c r="K1585" t="inlineStr">
        <is>
          <t>None</t>
        </is>
      </c>
      <c r="L1585" t="inlineStr">
        <is>
          <t>Crosswalk Pending</t>
        </is>
      </c>
      <c r="M1585" t="inlineStr">
        <is>
          <t>Open</t>
        </is>
      </c>
      <c r="N1585" t="inlineStr"/>
    </row>
    <row r="1586">
      <c r="A1586" t="inlineStr">
        <is>
          <t>FKEX01585</t>
        </is>
      </c>
      <c r="B1586" t="inlineStr">
        <is>
          <t>15 LL_Device</t>
        </is>
      </c>
      <c r="C1586" t="inlineStr">
        <is>
          <t>tblDeviceModel</t>
        </is>
      </c>
      <c r="D1586" t="n">
        <v>530</v>
      </c>
      <c r="E1586" t="inlineStr">
        <is>
          <t>MOD000527</t>
        </is>
      </c>
      <c r="F1586" t="inlineStr">
        <is>
          <t>ManufacturerID</t>
        </is>
      </c>
      <c r="G1586" t="inlineStr">
        <is>
          <t>MFG010</t>
        </is>
      </c>
      <c r="H1586" t="inlineStr">
        <is>
          <t>tblManufacturerIDCrosswalk</t>
        </is>
      </c>
      <c r="I1586" t="inlineStr"/>
      <c r="J1586" t="inlineStr">
        <is>
          <t>No Supported Match</t>
        </is>
      </c>
      <c r="K1586" t="inlineStr">
        <is>
          <t>None</t>
        </is>
      </c>
      <c r="L1586" t="inlineStr">
        <is>
          <t>Crosswalk Pending</t>
        </is>
      </c>
      <c r="M1586" t="inlineStr">
        <is>
          <t>Open</t>
        </is>
      </c>
      <c r="N1586" t="inlineStr"/>
    </row>
    <row r="1587">
      <c r="A1587" t="inlineStr">
        <is>
          <t>FKEX01586</t>
        </is>
      </c>
      <c r="B1587" t="inlineStr">
        <is>
          <t>15 LL_Device</t>
        </is>
      </c>
      <c r="C1587" t="inlineStr">
        <is>
          <t>tblDeviceModel</t>
        </is>
      </c>
      <c r="D1587" t="n">
        <v>530</v>
      </c>
      <c r="E1587" t="inlineStr">
        <is>
          <t>MOD000527</t>
        </is>
      </c>
      <c r="F1587" t="inlineStr">
        <is>
          <t>DeviceFamilyID</t>
        </is>
      </c>
      <c r="G1587" t="inlineStr">
        <is>
          <t>DF-100</t>
        </is>
      </c>
      <c r="H1587" t="inlineStr">
        <is>
          <t>tblDeviceFamilyIDCrosswalk</t>
        </is>
      </c>
      <c r="I1587" t="inlineStr"/>
      <c r="J1587" t="inlineStr">
        <is>
          <t>tblDeviceModel</t>
        </is>
      </c>
      <c r="K1587" t="inlineStr">
        <is>
          <t>Exact ID</t>
        </is>
      </c>
      <c r="L1587" t="inlineStr">
        <is>
          <t>Crosswalk Pending</t>
        </is>
      </c>
      <c r="M1587" t="inlineStr">
        <is>
          <t>Open</t>
        </is>
      </c>
      <c r="N1587" t="inlineStr"/>
    </row>
    <row r="1588">
      <c r="A1588" t="inlineStr">
        <is>
          <t>FKEX01587</t>
        </is>
      </c>
      <c r="B1588" t="inlineStr">
        <is>
          <t>15 LL_Device</t>
        </is>
      </c>
      <c r="C1588" t="inlineStr">
        <is>
          <t>tblDeviceModel</t>
        </is>
      </c>
      <c r="D1588" t="n">
        <v>530</v>
      </c>
      <c r="E1588" t="inlineStr">
        <is>
          <t>MOD000527</t>
        </is>
      </c>
      <c r="F1588" t="inlineStr">
        <is>
          <t>DeviceTypeID</t>
        </is>
      </c>
      <c r="G1588" t="inlineStr">
        <is>
          <t>DT001</t>
        </is>
      </c>
      <c r="H1588" t="inlineStr">
        <is>
          <t>tblDeviceTypeIDCrosswalk</t>
        </is>
      </c>
      <c r="I1588" t="inlineStr"/>
      <c r="J1588" t="inlineStr">
        <is>
          <t>No Supported Match</t>
        </is>
      </c>
      <c r="K1588" t="inlineStr">
        <is>
          <t>None</t>
        </is>
      </c>
      <c r="L1588" t="inlineStr">
        <is>
          <t>Crosswalk Pending</t>
        </is>
      </c>
      <c r="M1588" t="inlineStr">
        <is>
          <t>Open</t>
        </is>
      </c>
      <c r="N1588" t="inlineStr"/>
    </row>
    <row r="1589">
      <c r="A1589" t="inlineStr">
        <is>
          <t>FKEX01588</t>
        </is>
      </c>
      <c r="B1589" t="inlineStr">
        <is>
          <t>15 LL_Device</t>
        </is>
      </c>
      <c r="C1589" t="inlineStr">
        <is>
          <t>tblDeviceModel</t>
        </is>
      </c>
      <c r="D1589" t="n">
        <v>531</v>
      </c>
      <c r="E1589" t="inlineStr">
        <is>
          <t>MOD000528</t>
        </is>
      </c>
      <c r="F1589" t="inlineStr">
        <is>
          <t>ManufacturerID</t>
        </is>
      </c>
      <c r="G1589" t="inlineStr">
        <is>
          <t>MFG010</t>
        </is>
      </c>
      <c r="H1589" t="inlineStr">
        <is>
          <t>tblManufacturerIDCrosswalk</t>
        </is>
      </c>
      <c r="I1589" t="inlineStr"/>
      <c r="J1589" t="inlineStr">
        <is>
          <t>No Supported Match</t>
        </is>
      </c>
      <c r="K1589" t="inlineStr">
        <is>
          <t>None</t>
        </is>
      </c>
      <c r="L1589" t="inlineStr">
        <is>
          <t>Crosswalk Pending</t>
        </is>
      </c>
      <c r="M1589" t="inlineStr">
        <is>
          <t>Open</t>
        </is>
      </c>
      <c r="N1589" t="inlineStr"/>
    </row>
    <row r="1590">
      <c r="A1590" t="inlineStr">
        <is>
          <t>FKEX01589</t>
        </is>
      </c>
      <c r="B1590" t="inlineStr">
        <is>
          <t>15 LL_Device</t>
        </is>
      </c>
      <c r="C1590" t="inlineStr">
        <is>
          <t>tblDeviceModel</t>
        </is>
      </c>
      <c r="D1590" t="n">
        <v>531</v>
      </c>
      <c r="E1590" t="inlineStr">
        <is>
          <t>MOD000528</t>
        </is>
      </c>
      <c r="F1590" t="inlineStr">
        <is>
          <t>DeviceFamilyID</t>
        </is>
      </c>
      <c r="G1590" t="inlineStr">
        <is>
          <t>DF-100</t>
        </is>
      </c>
      <c r="H1590" t="inlineStr">
        <is>
          <t>tblDeviceFamilyIDCrosswalk</t>
        </is>
      </c>
      <c r="I1590" t="inlineStr"/>
      <c r="J1590" t="inlineStr">
        <is>
          <t>tblDeviceModel</t>
        </is>
      </c>
      <c r="K1590" t="inlineStr">
        <is>
          <t>Exact ID</t>
        </is>
      </c>
      <c r="L1590" t="inlineStr">
        <is>
          <t>Crosswalk Pending</t>
        </is>
      </c>
      <c r="M1590" t="inlineStr">
        <is>
          <t>Open</t>
        </is>
      </c>
      <c r="N1590" t="inlineStr"/>
    </row>
    <row r="1591">
      <c r="A1591" t="inlineStr">
        <is>
          <t>FKEX01590</t>
        </is>
      </c>
      <c r="B1591" t="inlineStr">
        <is>
          <t>15 LL_Device</t>
        </is>
      </c>
      <c r="C1591" t="inlineStr">
        <is>
          <t>tblDeviceModel</t>
        </is>
      </c>
      <c r="D1591" t="n">
        <v>531</v>
      </c>
      <c r="E1591" t="inlineStr">
        <is>
          <t>MOD000528</t>
        </is>
      </c>
      <c r="F1591" t="inlineStr">
        <is>
          <t>DeviceTypeID</t>
        </is>
      </c>
      <c r="G1591" t="inlineStr">
        <is>
          <t>DT001</t>
        </is>
      </c>
      <c r="H1591" t="inlineStr">
        <is>
          <t>tblDeviceTypeIDCrosswalk</t>
        </is>
      </c>
      <c r="I1591" t="inlineStr"/>
      <c r="J1591" t="inlineStr">
        <is>
          <t>No Supported Match</t>
        </is>
      </c>
      <c r="K1591" t="inlineStr">
        <is>
          <t>None</t>
        </is>
      </c>
      <c r="L1591" t="inlineStr">
        <is>
          <t>Crosswalk Pending</t>
        </is>
      </c>
      <c r="M1591" t="inlineStr">
        <is>
          <t>Open</t>
        </is>
      </c>
      <c r="N1591" t="inlineStr"/>
    </row>
    <row r="1592">
      <c r="A1592" t="inlineStr">
        <is>
          <t>FKEX01591</t>
        </is>
      </c>
      <c r="B1592" t="inlineStr">
        <is>
          <t>15 LL_Device</t>
        </is>
      </c>
      <c r="C1592" t="inlineStr">
        <is>
          <t>tblDeviceModel</t>
        </is>
      </c>
      <c r="D1592" t="n">
        <v>532</v>
      </c>
      <c r="E1592" t="inlineStr">
        <is>
          <t>MOD000529</t>
        </is>
      </c>
      <c r="F1592" t="inlineStr">
        <is>
          <t>ManufacturerID</t>
        </is>
      </c>
      <c r="G1592" t="inlineStr">
        <is>
          <t>MFG010</t>
        </is>
      </c>
      <c r="H1592" t="inlineStr">
        <is>
          <t>tblManufacturerIDCrosswalk</t>
        </is>
      </c>
      <c r="I1592" t="inlineStr"/>
      <c r="J1592" t="inlineStr">
        <is>
          <t>No Supported Match</t>
        </is>
      </c>
      <c r="K1592" t="inlineStr">
        <is>
          <t>None</t>
        </is>
      </c>
      <c r="L1592" t="inlineStr">
        <is>
          <t>Crosswalk Pending</t>
        </is>
      </c>
      <c r="M1592" t="inlineStr">
        <is>
          <t>Open</t>
        </is>
      </c>
      <c r="N1592" t="inlineStr"/>
    </row>
    <row r="1593">
      <c r="A1593" t="inlineStr">
        <is>
          <t>FKEX01592</t>
        </is>
      </c>
      <c r="B1593" t="inlineStr">
        <is>
          <t>15 LL_Device</t>
        </is>
      </c>
      <c r="C1593" t="inlineStr">
        <is>
          <t>tblDeviceModel</t>
        </is>
      </c>
      <c r="D1593" t="n">
        <v>532</v>
      </c>
      <c r="E1593" t="inlineStr">
        <is>
          <t>MOD000529</t>
        </is>
      </c>
      <c r="F1593" t="inlineStr">
        <is>
          <t>DeviceFamilyID</t>
        </is>
      </c>
      <c r="G1593" t="inlineStr">
        <is>
          <t>DF-100</t>
        </is>
      </c>
      <c r="H1593" t="inlineStr">
        <is>
          <t>tblDeviceFamilyIDCrosswalk</t>
        </is>
      </c>
      <c r="I1593" t="inlineStr"/>
      <c r="J1593" t="inlineStr">
        <is>
          <t>tblDeviceModel</t>
        </is>
      </c>
      <c r="K1593" t="inlineStr">
        <is>
          <t>Exact ID</t>
        </is>
      </c>
      <c r="L1593" t="inlineStr">
        <is>
          <t>Crosswalk Pending</t>
        </is>
      </c>
      <c r="M1593" t="inlineStr">
        <is>
          <t>Open</t>
        </is>
      </c>
      <c r="N1593" t="inlineStr"/>
    </row>
    <row r="1594">
      <c r="A1594" t="inlineStr">
        <is>
          <t>FKEX01593</t>
        </is>
      </c>
      <c r="B1594" t="inlineStr">
        <is>
          <t>15 LL_Device</t>
        </is>
      </c>
      <c r="C1594" t="inlineStr">
        <is>
          <t>tblDeviceModel</t>
        </is>
      </c>
      <c r="D1594" t="n">
        <v>532</v>
      </c>
      <c r="E1594" t="inlineStr">
        <is>
          <t>MOD000529</t>
        </is>
      </c>
      <c r="F1594" t="inlineStr">
        <is>
          <t>DeviceTypeID</t>
        </is>
      </c>
      <c r="G1594" t="inlineStr">
        <is>
          <t>DT001</t>
        </is>
      </c>
      <c r="H1594" t="inlineStr">
        <is>
          <t>tblDeviceTypeIDCrosswalk</t>
        </is>
      </c>
      <c r="I1594" t="inlineStr"/>
      <c r="J1594" t="inlineStr">
        <is>
          <t>No Supported Match</t>
        </is>
      </c>
      <c r="K1594" t="inlineStr">
        <is>
          <t>None</t>
        </is>
      </c>
      <c r="L1594" t="inlineStr">
        <is>
          <t>Crosswalk Pending</t>
        </is>
      </c>
      <c r="M1594" t="inlineStr">
        <is>
          <t>Open</t>
        </is>
      </c>
      <c r="N1594" t="inlineStr"/>
    </row>
    <row r="1595">
      <c r="A1595" t="inlineStr">
        <is>
          <t>FKEX01594</t>
        </is>
      </c>
      <c r="B1595" t="inlineStr">
        <is>
          <t>15 LL_Device</t>
        </is>
      </c>
      <c r="C1595" t="inlineStr">
        <is>
          <t>tblDeviceModel</t>
        </is>
      </c>
      <c r="D1595" t="n">
        <v>533</v>
      </c>
      <c r="E1595" t="inlineStr">
        <is>
          <t>MOD000530</t>
        </is>
      </c>
      <c r="F1595" t="inlineStr">
        <is>
          <t>ManufacturerID</t>
        </is>
      </c>
      <c r="G1595" t="inlineStr">
        <is>
          <t>MFG010</t>
        </is>
      </c>
      <c r="H1595" t="inlineStr">
        <is>
          <t>tblManufacturerIDCrosswalk</t>
        </is>
      </c>
      <c r="I1595" t="inlineStr"/>
      <c r="J1595" t="inlineStr">
        <is>
          <t>No Supported Match</t>
        </is>
      </c>
      <c r="K1595" t="inlineStr">
        <is>
          <t>None</t>
        </is>
      </c>
      <c r="L1595" t="inlineStr">
        <is>
          <t>Crosswalk Pending</t>
        </is>
      </c>
      <c r="M1595" t="inlineStr">
        <is>
          <t>Open</t>
        </is>
      </c>
      <c r="N1595" t="inlineStr"/>
    </row>
    <row r="1596">
      <c r="A1596" t="inlineStr">
        <is>
          <t>FKEX01595</t>
        </is>
      </c>
      <c r="B1596" t="inlineStr">
        <is>
          <t>15 LL_Device</t>
        </is>
      </c>
      <c r="C1596" t="inlineStr">
        <is>
          <t>tblDeviceModel</t>
        </is>
      </c>
      <c r="D1596" t="n">
        <v>533</v>
      </c>
      <c r="E1596" t="inlineStr">
        <is>
          <t>MOD000530</t>
        </is>
      </c>
      <c r="F1596" t="inlineStr">
        <is>
          <t>DeviceFamilyID</t>
        </is>
      </c>
      <c r="G1596" t="inlineStr">
        <is>
          <t>DF-100</t>
        </is>
      </c>
      <c r="H1596" t="inlineStr">
        <is>
          <t>tblDeviceFamilyIDCrosswalk</t>
        </is>
      </c>
      <c r="I1596" t="inlineStr"/>
      <c r="J1596" t="inlineStr">
        <is>
          <t>tblDeviceModel</t>
        </is>
      </c>
      <c r="K1596" t="inlineStr">
        <is>
          <t>Exact ID</t>
        </is>
      </c>
      <c r="L1596" t="inlineStr">
        <is>
          <t>Crosswalk Pending</t>
        </is>
      </c>
      <c r="M1596" t="inlineStr">
        <is>
          <t>Open</t>
        </is>
      </c>
      <c r="N1596" t="inlineStr"/>
    </row>
    <row r="1597">
      <c r="A1597" t="inlineStr">
        <is>
          <t>FKEX01596</t>
        </is>
      </c>
      <c r="B1597" t="inlineStr">
        <is>
          <t>15 LL_Device</t>
        </is>
      </c>
      <c r="C1597" t="inlineStr">
        <is>
          <t>tblDeviceModel</t>
        </is>
      </c>
      <c r="D1597" t="n">
        <v>533</v>
      </c>
      <c r="E1597" t="inlineStr">
        <is>
          <t>MOD000530</t>
        </is>
      </c>
      <c r="F1597" t="inlineStr">
        <is>
          <t>DeviceTypeID</t>
        </is>
      </c>
      <c r="G1597" t="inlineStr">
        <is>
          <t>DT001</t>
        </is>
      </c>
      <c r="H1597" t="inlineStr">
        <is>
          <t>tblDeviceTypeIDCrosswalk</t>
        </is>
      </c>
      <c r="I1597" t="inlineStr"/>
      <c r="J1597" t="inlineStr">
        <is>
          <t>No Supported Match</t>
        </is>
      </c>
      <c r="K1597" t="inlineStr">
        <is>
          <t>None</t>
        </is>
      </c>
      <c r="L1597" t="inlineStr">
        <is>
          <t>Crosswalk Pending</t>
        </is>
      </c>
      <c r="M1597" t="inlineStr">
        <is>
          <t>Open</t>
        </is>
      </c>
      <c r="N1597" t="inlineStr"/>
    </row>
    <row r="1598">
      <c r="A1598" t="inlineStr">
        <is>
          <t>FKEX01597</t>
        </is>
      </c>
      <c r="B1598" t="inlineStr">
        <is>
          <t>15 LL_Device</t>
        </is>
      </c>
      <c r="C1598" t="inlineStr">
        <is>
          <t>tblDeviceModel</t>
        </is>
      </c>
      <c r="D1598" t="n">
        <v>534</v>
      </c>
      <c r="E1598" t="inlineStr">
        <is>
          <t>MOD000531</t>
        </is>
      </c>
      <c r="F1598" t="inlineStr">
        <is>
          <t>ManufacturerID</t>
        </is>
      </c>
      <c r="G1598" t="inlineStr">
        <is>
          <t>MFG010</t>
        </is>
      </c>
      <c r="H1598" t="inlineStr">
        <is>
          <t>tblManufacturerIDCrosswalk</t>
        </is>
      </c>
      <c r="I1598" t="inlineStr"/>
      <c r="J1598" t="inlineStr">
        <is>
          <t>No Supported Match</t>
        </is>
      </c>
      <c r="K1598" t="inlineStr">
        <is>
          <t>None</t>
        </is>
      </c>
      <c r="L1598" t="inlineStr">
        <is>
          <t>Crosswalk Pending</t>
        </is>
      </c>
      <c r="M1598" t="inlineStr">
        <is>
          <t>Open</t>
        </is>
      </c>
      <c r="N1598" t="inlineStr"/>
    </row>
    <row r="1599">
      <c r="A1599" t="inlineStr">
        <is>
          <t>FKEX01598</t>
        </is>
      </c>
      <c r="B1599" t="inlineStr">
        <is>
          <t>15 LL_Device</t>
        </is>
      </c>
      <c r="C1599" t="inlineStr">
        <is>
          <t>tblDeviceModel</t>
        </is>
      </c>
      <c r="D1599" t="n">
        <v>534</v>
      </c>
      <c r="E1599" t="inlineStr">
        <is>
          <t>MOD000531</t>
        </is>
      </c>
      <c r="F1599" t="inlineStr">
        <is>
          <t>DeviceFamilyID</t>
        </is>
      </c>
      <c r="G1599" t="inlineStr">
        <is>
          <t>DF-101</t>
        </is>
      </c>
      <c r="H1599" t="inlineStr">
        <is>
          <t>tblDeviceFamilyIDCrosswalk</t>
        </is>
      </c>
      <c r="I1599" t="inlineStr"/>
      <c r="J1599" t="inlineStr">
        <is>
          <t>tblDeviceModel</t>
        </is>
      </c>
      <c r="K1599" t="inlineStr">
        <is>
          <t>Exact ID</t>
        </is>
      </c>
      <c r="L1599" t="inlineStr">
        <is>
          <t>Crosswalk Pending</t>
        </is>
      </c>
      <c r="M1599" t="inlineStr">
        <is>
          <t>Open</t>
        </is>
      </c>
      <c r="N1599" t="inlineStr"/>
    </row>
    <row r="1600">
      <c r="A1600" t="inlineStr">
        <is>
          <t>FKEX01599</t>
        </is>
      </c>
      <c r="B1600" t="inlineStr">
        <is>
          <t>15 LL_Device</t>
        </is>
      </c>
      <c r="C1600" t="inlineStr">
        <is>
          <t>tblDeviceModel</t>
        </is>
      </c>
      <c r="D1600" t="n">
        <v>534</v>
      </c>
      <c r="E1600" t="inlineStr">
        <is>
          <t>MOD000531</t>
        </is>
      </c>
      <c r="F1600" t="inlineStr">
        <is>
          <t>DeviceTypeID</t>
        </is>
      </c>
      <c r="G1600" t="inlineStr">
        <is>
          <t>DT001</t>
        </is>
      </c>
      <c r="H1600" t="inlineStr">
        <is>
          <t>tblDeviceTypeIDCrosswalk</t>
        </is>
      </c>
      <c r="I1600" t="inlineStr"/>
      <c r="J1600" t="inlineStr">
        <is>
          <t>No Supported Match</t>
        </is>
      </c>
      <c r="K1600" t="inlineStr">
        <is>
          <t>None</t>
        </is>
      </c>
      <c r="L1600" t="inlineStr">
        <is>
          <t>Crosswalk Pending</t>
        </is>
      </c>
      <c r="M1600" t="inlineStr">
        <is>
          <t>Open</t>
        </is>
      </c>
      <c r="N1600" t="inlineStr"/>
    </row>
    <row r="1601">
      <c r="A1601" t="inlineStr">
        <is>
          <t>FKEX01600</t>
        </is>
      </c>
      <c r="B1601" t="inlineStr">
        <is>
          <t>15 LL_Device</t>
        </is>
      </c>
      <c r="C1601" t="inlineStr">
        <is>
          <t>tblDeviceModel</t>
        </is>
      </c>
      <c r="D1601" t="n">
        <v>535</v>
      </c>
      <c r="E1601" t="inlineStr">
        <is>
          <t>MOD000532</t>
        </is>
      </c>
      <c r="F1601" t="inlineStr">
        <is>
          <t>ManufacturerID</t>
        </is>
      </c>
      <c r="G1601" t="inlineStr">
        <is>
          <t>MFG010</t>
        </is>
      </c>
      <c r="H1601" t="inlineStr">
        <is>
          <t>tblManufacturerIDCrosswalk</t>
        </is>
      </c>
      <c r="I1601" t="inlineStr"/>
      <c r="J1601" t="inlineStr">
        <is>
          <t>No Supported Match</t>
        </is>
      </c>
      <c r="K1601" t="inlineStr">
        <is>
          <t>None</t>
        </is>
      </c>
      <c r="L1601" t="inlineStr">
        <is>
          <t>Crosswalk Pending</t>
        </is>
      </c>
      <c r="M1601" t="inlineStr">
        <is>
          <t>Open</t>
        </is>
      </c>
      <c r="N1601" t="inlineStr"/>
    </row>
    <row r="1602">
      <c r="A1602" t="inlineStr">
        <is>
          <t>FKEX01601</t>
        </is>
      </c>
      <c r="B1602" t="inlineStr">
        <is>
          <t>15 LL_Device</t>
        </is>
      </c>
      <c r="C1602" t="inlineStr">
        <is>
          <t>tblDeviceModel</t>
        </is>
      </c>
      <c r="D1602" t="n">
        <v>535</v>
      </c>
      <c r="E1602" t="inlineStr">
        <is>
          <t>MOD000532</t>
        </is>
      </c>
      <c r="F1602" t="inlineStr">
        <is>
          <t>DeviceFamilyID</t>
        </is>
      </c>
      <c r="G1602" t="inlineStr">
        <is>
          <t>DF-101</t>
        </is>
      </c>
      <c r="H1602" t="inlineStr">
        <is>
          <t>tblDeviceFamilyIDCrosswalk</t>
        </is>
      </c>
      <c r="I1602" t="inlineStr"/>
      <c r="J1602" t="inlineStr">
        <is>
          <t>tblDeviceModel</t>
        </is>
      </c>
      <c r="K1602" t="inlineStr">
        <is>
          <t>Exact ID</t>
        </is>
      </c>
      <c r="L1602" t="inlineStr">
        <is>
          <t>Crosswalk Pending</t>
        </is>
      </c>
      <c r="M1602" t="inlineStr">
        <is>
          <t>Open</t>
        </is>
      </c>
      <c r="N1602" t="inlineStr"/>
    </row>
    <row r="1603">
      <c r="A1603" t="inlineStr">
        <is>
          <t>FKEX01602</t>
        </is>
      </c>
      <c r="B1603" t="inlineStr">
        <is>
          <t>15 LL_Device</t>
        </is>
      </c>
      <c r="C1603" t="inlineStr">
        <is>
          <t>tblDeviceModel</t>
        </is>
      </c>
      <c r="D1603" t="n">
        <v>535</v>
      </c>
      <c r="E1603" t="inlineStr">
        <is>
          <t>MOD000532</t>
        </is>
      </c>
      <c r="F1603" t="inlineStr">
        <is>
          <t>DeviceTypeID</t>
        </is>
      </c>
      <c r="G1603" t="inlineStr">
        <is>
          <t>DT001</t>
        </is>
      </c>
      <c r="H1603" t="inlineStr">
        <is>
          <t>tblDeviceTypeIDCrosswalk</t>
        </is>
      </c>
      <c r="I1603" t="inlineStr"/>
      <c r="J1603" t="inlineStr">
        <is>
          <t>No Supported Match</t>
        </is>
      </c>
      <c r="K1603" t="inlineStr">
        <is>
          <t>None</t>
        </is>
      </c>
      <c r="L1603" t="inlineStr">
        <is>
          <t>Crosswalk Pending</t>
        </is>
      </c>
      <c r="M1603" t="inlineStr">
        <is>
          <t>Open</t>
        </is>
      </c>
      <c r="N1603" t="inlineStr"/>
    </row>
    <row r="1604">
      <c r="A1604" t="inlineStr">
        <is>
          <t>FKEX01603</t>
        </is>
      </c>
      <c r="B1604" t="inlineStr">
        <is>
          <t>15 LL_Device</t>
        </is>
      </c>
      <c r="C1604" t="inlineStr">
        <is>
          <t>tblDeviceModel</t>
        </is>
      </c>
      <c r="D1604" t="n">
        <v>536</v>
      </c>
      <c r="E1604" t="inlineStr">
        <is>
          <t>MOD000533</t>
        </is>
      </c>
      <c r="F1604" t="inlineStr">
        <is>
          <t>ManufacturerID</t>
        </is>
      </c>
      <c r="G1604" t="inlineStr">
        <is>
          <t>MFG010</t>
        </is>
      </c>
      <c r="H1604" t="inlineStr">
        <is>
          <t>tblManufacturerIDCrosswalk</t>
        </is>
      </c>
      <c r="I1604" t="inlineStr"/>
      <c r="J1604" t="inlineStr">
        <is>
          <t>No Supported Match</t>
        </is>
      </c>
      <c r="K1604" t="inlineStr">
        <is>
          <t>None</t>
        </is>
      </c>
      <c r="L1604" t="inlineStr">
        <is>
          <t>Crosswalk Pending</t>
        </is>
      </c>
      <c r="M1604" t="inlineStr">
        <is>
          <t>Open</t>
        </is>
      </c>
      <c r="N1604" t="inlineStr"/>
    </row>
    <row r="1605">
      <c r="A1605" t="inlineStr">
        <is>
          <t>FKEX01604</t>
        </is>
      </c>
      <c r="B1605" t="inlineStr">
        <is>
          <t>15 LL_Device</t>
        </is>
      </c>
      <c r="C1605" t="inlineStr">
        <is>
          <t>tblDeviceModel</t>
        </is>
      </c>
      <c r="D1605" t="n">
        <v>536</v>
      </c>
      <c r="E1605" t="inlineStr">
        <is>
          <t>MOD000533</t>
        </is>
      </c>
      <c r="F1605" t="inlineStr">
        <is>
          <t>DeviceFamilyID</t>
        </is>
      </c>
      <c r="G1605" t="inlineStr">
        <is>
          <t>DF-101</t>
        </is>
      </c>
      <c r="H1605" t="inlineStr">
        <is>
          <t>tblDeviceFamilyIDCrosswalk</t>
        </is>
      </c>
      <c r="I1605" t="inlineStr"/>
      <c r="J1605" t="inlineStr">
        <is>
          <t>tblDeviceModel</t>
        </is>
      </c>
      <c r="K1605" t="inlineStr">
        <is>
          <t>Exact ID</t>
        </is>
      </c>
      <c r="L1605" t="inlineStr">
        <is>
          <t>Crosswalk Pending</t>
        </is>
      </c>
      <c r="M1605" t="inlineStr">
        <is>
          <t>Open</t>
        </is>
      </c>
      <c r="N1605" t="inlineStr"/>
    </row>
    <row r="1606">
      <c r="A1606" t="inlineStr">
        <is>
          <t>FKEX01605</t>
        </is>
      </c>
      <c r="B1606" t="inlineStr">
        <is>
          <t>15 LL_Device</t>
        </is>
      </c>
      <c r="C1606" t="inlineStr">
        <is>
          <t>tblDeviceModel</t>
        </is>
      </c>
      <c r="D1606" t="n">
        <v>536</v>
      </c>
      <c r="E1606" t="inlineStr">
        <is>
          <t>MOD000533</t>
        </is>
      </c>
      <c r="F1606" t="inlineStr">
        <is>
          <t>DeviceTypeID</t>
        </is>
      </c>
      <c r="G1606" t="inlineStr">
        <is>
          <t>DT001</t>
        </is>
      </c>
      <c r="H1606" t="inlineStr">
        <is>
          <t>tblDeviceTypeIDCrosswalk</t>
        </is>
      </c>
      <c r="I1606" t="inlineStr"/>
      <c r="J1606" t="inlineStr">
        <is>
          <t>No Supported Match</t>
        </is>
      </c>
      <c r="K1606" t="inlineStr">
        <is>
          <t>None</t>
        </is>
      </c>
      <c r="L1606" t="inlineStr">
        <is>
          <t>Crosswalk Pending</t>
        </is>
      </c>
      <c r="M1606" t="inlineStr">
        <is>
          <t>Open</t>
        </is>
      </c>
      <c r="N1606" t="inlineStr"/>
    </row>
    <row r="1607">
      <c r="A1607" t="inlineStr">
        <is>
          <t>FKEX01606</t>
        </is>
      </c>
      <c r="B1607" t="inlineStr">
        <is>
          <t>15 LL_Device</t>
        </is>
      </c>
      <c r="C1607" t="inlineStr">
        <is>
          <t>tblDeviceModel</t>
        </is>
      </c>
      <c r="D1607" t="n">
        <v>537</v>
      </c>
      <c r="E1607" t="inlineStr">
        <is>
          <t>MOD000534</t>
        </is>
      </c>
      <c r="F1607" t="inlineStr">
        <is>
          <t>ManufacturerID</t>
        </is>
      </c>
      <c r="G1607" t="inlineStr">
        <is>
          <t>MFG010</t>
        </is>
      </c>
      <c r="H1607" t="inlineStr">
        <is>
          <t>tblManufacturerIDCrosswalk</t>
        </is>
      </c>
      <c r="I1607" t="inlineStr"/>
      <c r="J1607" t="inlineStr">
        <is>
          <t>No Supported Match</t>
        </is>
      </c>
      <c r="K1607" t="inlineStr">
        <is>
          <t>None</t>
        </is>
      </c>
      <c r="L1607" t="inlineStr">
        <is>
          <t>Crosswalk Pending</t>
        </is>
      </c>
      <c r="M1607" t="inlineStr">
        <is>
          <t>Open</t>
        </is>
      </c>
      <c r="N1607" t="inlineStr"/>
    </row>
    <row r="1608">
      <c r="A1608" t="inlineStr">
        <is>
          <t>FKEX01607</t>
        </is>
      </c>
      <c r="B1608" t="inlineStr">
        <is>
          <t>15 LL_Device</t>
        </is>
      </c>
      <c r="C1608" t="inlineStr">
        <is>
          <t>tblDeviceModel</t>
        </is>
      </c>
      <c r="D1608" t="n">
        <v>537</v>
      </c>
      <c r="E1608" t="inlineStr">
        <is>
          <t>MOD000534</t>
        </is>
      </c>
      <c r="F1608" t="inlineStr">
        <is>
          <t>DeviceFamilyID</t>
        </is>
      </c>
      <c r="G1608" t="inlineStr">
        <is>
          <t>DF-100</t>
        </is>
      </c>
      <c r="H1608" t="inlineStr">
        <is>
          <t>tblDeviceFamilyIDCrosswalk</t>
        </is>
      </c>
      <c r="I1608" t="inlineStr"/>
      <c r="J1608" t="inlineStr">
        <is>
          <t>tblDeviceModel</t>
        </is>
      </c>
      <c r="K1608" t="inlineStr">
        <is>
          <t>Exact ID</t>
        </is>
      </c>
      <c r="L1608" t="inlineStr">
        <is>
          <t>Crosswalk Pending</t>
        </is>
      </c>
      <c r="M1608" t="inlineStr">
        <is>
          <t>Open</t>
        </is>
      </c>
      <c r="N1608" t="inlineStr"/>
    </row>
    <row r="1609">
      <c r="A1609" t="inlineStr">
        <is>
          <t>FKEX01608</t>
        </is>
      </c>
      <c r="B1609" t="inlineStr">
        <is>
          <t>15 LL_Device</t>
        </is>
      </c>
      <c r="C1609" t="inlineStr">
        <is>
          <t>tblDeviceModel</t>
        </is>
      </c>
      <c r="D1609" t="n">
        <v>537</v>
      </c>
      <c r="E1609" t="inlineStr">
        <is>
          <t>MOD000534</t>
        </is>
      </c>
      <c r="F1609" t="inlineStr">
        <is>
          <t>DeviceTypeID</t>
        </is>
      </c>
      <c r="G1609" t="inlineStr">
        <is>
          <t>DT001</t>
        </is>
      </c>
      <c r="H1609" t="inlineStr">
        <is>
          <t>tblDeviceTypeIDCrosswalk</t>
        </is>
      </c>
      <c r="I1609" t="inlineStr"/>
      <c r="J1609" t="inlineStr">
        <is>
          <t>No Supported Match</t>
        </is>
      </c>
      <c r="K1609" t="inlineStr">
        <is>
          <t>None</t>
        </is>
      </c>
      <c r="L1609" t="inlineStr">
        <is>
          <t>Crosswalk Pending</t>
        </is>
      </c>
      <c r="M1609" t="inlineStr">
        <is>
          <t>Open</t>
        </is>
      </c>
      <c r="N1609" t="inlineStr"/>
    </row>
    <row r="1610">
      <c r="A1610" t="inlineStr">
        <is>
          <t>FKEX01609</t>
        </is>
      </c>
      <c r="B1610" t="inlineStr">
        <is>
          <t>15 LL_Device</t>
        </is>
      </c>
      <c r="C1610" t="inlineStr">
        <is>
          <t>tblDeviceModel</t>
        </is>
      </c>
      <c r="D1610" t="n">
        <v>538</v>
      </c>
      <c r="E1610" t="inlineStr">
        <is>
          <t>MOD000535</t>
        </is>
      </c>
      <c r="F1610" t="inlineStr">
        <is>
          <t>ManufacturerID</t>
        </is>
      </c>
      <c r="G1610" t="inlineStr">
        <is>
          <t>MFG010</t>
        </is>
      </c>
      <c r="H1610" t="inlineStr">
        <is>
          <t>tblManufacturerIDCrosswalk</t>
        </is>
      </c>
      <c r="I1610" t="inlineStr"/>
      <c r="J1610" t="inlineStr">
        <is>
          <t>No Supported Match</t>
        </is>
      </c>
      <c r="K1610" t="inlineStr">
        <is>
          <t>None</t>
        </is>
      </c>
      <c r="L1610" t="inlineStr">
        <is>
          <t>Crosswalk Pending</t>
        </is>
      </c>
      <c r="M1610" t="inlineStr">
        <is>
          <t>Open</t>
        </is>
      </c>
      <c r="N1610" t="inlineStr"/>
    </row>
    <row r="1611">
      <c r="A1611" t="inlineStr">
        <is>
          <t>FKEX01610</t>
        </is>
      </c>
      <c r="B1611" t="inlineStr">
        <is>
          <t>15 LL_Device</t>
        </is>
      </c>
      <c r="C1611" t="inlineStr">
        <is>
          <t>tblDeviceModel</t>
        </is>
      </c>
      <c r="D1611" t="n">
        <v>538</v>
      </c>
      <c r="E1611" t="inlineStr">
        <is>
          <t>MOD000535</t>
        </is>
      </c>
      <c r="F1611" t="inlineStr">
        <is>
          <t>DeviceFamilyID</t>
        </is>
      </c>
      <c r="G1611" t="inlineStr">
        <is>
          <t>DF-100</t>
        </is>
      </c>
      <c r="H1611" t="inlineStr">
        <is>
          <t>tblDeviceFamilyIDCrosswalk</t>
        </is>
      </c>
      <c r="I1611" t="inlineStr"/>
      <c r="J1611" t="inlineStr">
        <is>
          <t>tblDeviceModel</t>
        </is>
      </c>
      <c r="K1611" t="inlineStr">
        <is>
          <t>Exact ID</t>
        </is>
      </c>
      <c r="L1611" t="inlineStr">
        <is>
          <t>Crosswalk Pending</t>
        </is>
      </c>
      <c r="M1611" t="inlineStr">
        <is>
          <t>Open</t>
        </is>
      </c>
      <c r="N1611" t="inlineStr"/>
    </row>
    <row r="1612">
      <c r="A1612" t="inlineStr">
        <is>
          <t>FKEX01611</t>
        </is>
      </c>
      <c r="B1612" t="inlineStr">
        <is>
          <t>15 LL_Device</t>
        </is>
      </c>
      <c r="C1612" t="inlineStr">
        <is>
          <t>tblDeviceModel</t>
        </is>
      </c>
      <c r="D1612" t="n">
        <v>538</v>
      </c>
      <c r="E1612" t="inlineStr">
        <is>
          <t>MOD000535</t>
        </is>
      </c>
      <c r="F1612" t="inlineStr">
        <is>
          <t>DeviceTypeID</t>
        </is>
      </c>
      <c r="G1612" t="inlineStr">
        <is>
          <t>DT001</t>
        </is>
      </c>
      <c r="H1612" t="inlineStr">
        <is>
          <t>tblDeviceTypeIDCrosswalk</t>
        </is>
      </c>
      <c r="I1612" t="inlineStr"/>
      <c r="J1612" t="inlineStr">
        <is>
          <t>No Supported Match</t>
        </is>
      </c>
      <c r="K1612" t="inlineStr">
        <is>
          <t>None</t>
        </is>
      </c>
      <c r="L1612" t="inlineStr">
        <is>
          <t>Crosswalk Pending</t>
        </is>
      </c>
      <c r="M1612" t="inlineStr">
        <is>
          <t>Open</t>
        </is>
      </c>
      <c r="N1612" t="inlineStr"/>
    </row>
    <row r="1613">
      <c r="A1613" t="inlineStr">
        <is>
          <t>FKEX01612</t>
        </is>
      </c>
      <c r="B1613" t="inlineStr">
        <is>
          <t>15 LL_Device</t>
        </is>
      </c>
      <c r="C1613" t="inlineStr">
        <is>
          <t>tblDeviceModel</t>
        </is>
      </c>
      <c r="D1613" t="n">
        <v>539</v>
      </c>
      <c r="E1613" t="inlineStr">
        <is>
          <t>MOD000536</t>
        </is>
      </c>
      <c r="F1613" t="inlineStr">
        <is>
          <t>ManufacturerID</t>
        </is>
      </c>
      <c r="G1613" t="inlineStr">
        <is>
          <t>MFG010</t>
        </is>
      </c>
      <c r="H1613" t="inlineStr">
        <is>
          <t>tblManufacturerIDCrosswalk</t>
        </is>
      </c>
      <c r="I1613" t="inlineStr"/>
      <c r="J1613" t="inlineStr">
        <is>
          <t>No Supported Match</t>
        </is>
      </c>
      <c r="K1613" t="inlineStr">
        <is>
          <t>None</t>
        </is>
      </c>
      <c r="L1613" t="inlineStr">
        <is>
          <t>Crosswalk Pending</t>
        </is>
      </c>
      <c r="M1613" t="inlineStr">
        <is>
          <t>Open</t>
        </is>
      </c>
      <c r="N1613" t="inlineStr"/>
    </row>
    <row r="1614">
      <c r="A1614" t="inlineStr">
        <is>
          <t>FKEX01613</t>
        </is>
      </c>
      <c r="B1614" t="inlineStr">
        <is>
          <t>15 LL_Device</t>
        </is>
      </c>
      <c r="C1614" t="inlineStr">
        <is>
          <t>tblDeviceModel</t>
        </is>
      </c>
      <c r="D1614" t="n">
        <v>539</v>
      </c>
      <c r="E1614" t="inlineStr">
        <is>
          <t>MOD000536</t>
        </is>
      </c>
      <c r="F1614" t="inlineStr">
        <is>
          <t>DeviceFamilyID</t>
        </is>
      </c>
      <c r="G1614" t="inlineStr">
        <is>
          <t>DF-100</t>
        </is>
      </c>
      <c r="H1614" t="inlineStr">
        <is>
          <t>tblDeviceFamilyIDCrosswalk</t>
        </is>
      </c>
      <c r="I1614" t="inlineStr"/>
      <c r="J1614" t="inlineStr">
        <is>
          <t>tblDeviceModel</t>
        </is>
      </c>
      <c r="K1614" t="inlineStr">
        <is>
          <t>Exact ID</t>
        </is>
      </c>
      <c r="L1614" t="inlineStr">
        <is>
          <t>Crosswalk Pending</t>
        </is>
      </c>
      <c r="M1614" t="inlineStr">
        <is>
          <t>Open</t>
        </is>
      </c>
      <c r="N1614" t="inlineStr"/>
    </row>
    <row r="1615">
      <c r="A1615" t="inlineStr">
        <is>
          <t>FKEX01614</t>
        </is>
      </c>
      <c r="B1615" t="inlineStr">
        <is>
          <t>15 LL_Device</t>
        </is>
      </c>
      <c r="C1615" t="inlineStr">
        <is>
          <t>tblDeviceModel</t>
        </is>
      </c>
      <c r="D1615" t="n">
        <v>539</v>
      </c>
      <c r="E1615" t="inlineStr">
        <is>
          <t>MOD000536</t>
        </is>
      </c>
      <c r="F1615" t="inlineStr">
        <is>
          <t>DeviceTypeID</t>
        </is>
      </c>
      <c r="G1615" t="inlineStr">
        <is>
          <t>DT001</t>
        </is>
      </c>
      <c r="H1615" t="inlineStr">
        <is>
          <t>tblDeviceTypeIDCrosswalk</t>
        </is>
      </c>
      <c r="I1615" t="inlineStr"/>
      <c r="J1615" t="inlineStr">
        <is>
          <t>No Supported Match</t>
        </is>
      </c>
      <c r="K1615" t="inlineStr">
        <is>
          <t>None</t>
        </is>
      </c>
      <c r="L1615" t="inlineStr">
        <is>
          <t>Crosswalk Pending</t>
        </is>
      </c>
      <c r="M1615" t="inlineStr">
        <is>
          <t>Open</t>
        </is>
      </c>
      <c r="N1615" t="inlineStr"/>
    </row>
    <row r="1616">
      <c r="A1616" t="inlineStr">
        <is>
          <t>FKEX01615</t>
        </is>
      </c>
      <c r="B1616" t="inlineStr">
        <is>
          <t>15 LL_Device</t>
        </is>
      </c>
      <c r="C1616" t="inlineStr">
        <is>
          <t>tblDeviceModel</t>
        </is>
      </c>
      <c r="D1616" t="n">
        <v>540</v>
      </c>
      <c r="E1616" t="inlineStr">
        <is>
          <t>MOD000537</t>
        </is>
      </c>
      <c r="F1616" t="inlineStr">
        <is>
          <t>ManufacturerID</t>
        </is>
      </c>
      <c r="G1616" t="inlineStr">
        <is>
          <t>MFG010</t>
        </is>
      </c>
      <c r="H1616" t="inlineStr">
        <is>
          <t>tblManufacturerIDCrosswalk</t>
        </is>
      </c>
      <c r="I1616" t="inlineStr"/>
      <c r="J1616" t="inlineStr">
        <is>
          <t>No Supported Match</t>
        </is>
      </c>
      <c r="K1616" t="inlineStr">
        <is>
          <t>None</t>
        </is>
      </c>
      <c r="L1616" t="inlineStr">
        <is>
          <t>Crosswalk Pending</t>
        </is>
      </c>
      <c r="M1616" t="inlineStr">
        <is>
          <t>Open</t>
        </is>
      </c>
      <c r="N1616" t="inlineStr"/>
    </row>
    <row r="1617">
      <c r="A1617" t="inlineStr">
        <is>
          <t>FKEX01616</t>
        </is>
      </c>
      <c r="B1617" t="inlineStr">
        <is>
          <t>15 LL_Device</t>
        </is>
      </c>
      <c r="C1617" t="inlineStr">
        <is>
          <t>tblDeviceModel</t>
        </is>
      </c>
      <c r="D1617" t="n">
        <v>540</v>
      </c>
      <c r="E1617" t="inlineStr">
        <is>
          <t>MOD000537</t>
        </is>
      </c>
      <c r="F1617" t="inlineStr">
        <is>
          <t>DeviceFamilyID</t>
        </is>
      </c>
      <c r="G1617" t="inlineStr">
        <is>
          <t>DF-101</t>
        </is>
      </c>
      <c r="H1617" t="inlineStr">
        <is>
          <t>tblDeviceFamilyIDCrosswalk</t>
        </is>
      </c>
      <c r="I1617" t="inlineStr"/>
      <c r="J1617" t="inlineStr">
        <is>
          <t>tblDeviceModel</t>
        </is>
      </c>
      <c r="K1617" t="inlineStr">
        <is>
          <t>Exact ID</t>
        </is>
      </c>
      <c r="L1617" t="inlineStr">
        <is>
          <t>Crosswalk Pending</t>
        </is>
      </c>
      <c r="M1617" t="inlineStr">
        <is>
          <t>Open</t>
        </is>
      </c>
      <c r="N1617" t="inlineStr"/>
    </row>
    <row r="1618">
      <c r="A1618" t="inlineStr">
        <is>
          <t>FKEX01617</t>
        </is>
      </c>
      <c r="B1618" t="inlineStr">
        <is>
          <t>15 LL_Device</t>
        </is>
      </c>
      <c r="C1618" t="inlineStr">
        <is>
          <t>tblDeviceModel</t>
        </is>
      </c>
      <c r="D1618" t="n">
        <v>540</v>
      </c>
      <c r="E1618" t="inlineStr">
        <is>
          <t>MOD000537</t>
        </is>
      </c>
      <c r="F1618" t="inlineStr">
        <is>
          <t>DeviceTypeID</t>
        </is>
      </c>
      <c r="G1618" t="inlineStr">
        <is>
          <t>DT001</t>
        </is>
      </c>
      <c r="H1618" t="inlineStr">
        <is>
          <t>tblDeviceTypeIDCrosswalk</t>
        </is>
      </c>
      <c r="I1618" t="inlineStr"/>
      <c r="J1618" t="inlineStr">
        <is>
          <t>No Supported Match</t>
        </is>
      </c>
      <c r="K1618" t="inlineStr">
        <is>
          <t>None</t>
        </is>
      </c>
      <c r="L1618" t="inlineStr">
        <is>
          <t>Crosswalk Pending</t>
        </is>
      </c>
      <c r="M1618" t="inlineStr">
        <is>
          <t>Open</t>
        </is>
      </c>
      <c r="N1618" t="inlineStr"/>
    </row>
    <row r="1619">
      <c r="A1619" t="inlineStr">
        <is>
          <t>FKEX01618</t>
        </is>
      </c>
      <c r="B1619" t="inlineStr">
        <is>
          <t>15 LL_Device</t>
        </is>
      </c>
      <c r="C1619" t="inlineStr">
        <is>
          <t>tblDeviceModel</t>
        </is>
      </c>
      <c r="D1619" t="n">
        <v>541</v>
      </c>
      <c r="E1619" t="inlineStr">
        <is>
          <t>MOD000538</t>
        </is>
      </c>
      <c r="F1619" t="inlineStr">
        <is>
          <t>ManufacturerID</t>
        </is>
      </c>
      <c r="G1619" t="inlineStr">
        <is>
          <t>MFG010</t>
        </is>
      </c>
      <c r="H1619" t="inlineStr">
        <is>
          <t>tblManufacturerIDCrosswalk</t>
        </is>
      </c>
      <c r="I1619" t="inlineStr"/>
      <c r="J1619" t="inlineStr">
        <is>
          <t>No Supported Match</t>
        </is>
      </c>
      <c r="K1619" t="inlineStr">
        <is>
          <t>None</t>
        </is>
      </c>
      <c r="L1619" t="inlineStr">
        <is>
          <t>Crosswalk Pending</t>
        </is>
      </c>
      <c r="M1619" t="inlineStr">
        <is>
          <t>Open</t>
        </is>
      </c>
      <c r="N1619" t="inlineStr"/>
    </row>
    <row r="1620">
      <c r="A1620" t="inlineStr">
        <is>
          <t>FKEX01619</t>
        </is>
      </c>
      <c r="B1620" t="inlineStr">
        <is>
          <t>15 LL_Device</t>
        </is>
      </c>
      <c r="C1620" t="inlineStr">
        <is>
          <t>tblDeviceModel</t>
        </is>
      </c>
      <c r="D1620" t="n">
        <v>541</v>
      </c>
      <c r="E1620" t="inlineStr">
        <is>
          <t>MOD000538</t>
        </is>
      </c>
      <c r="F1620" t="inlineStr">
        <is>
          <t>DeviceFamilyID</t>
        </is>
      </c>
      <c r="G1620" t="inlineStr">
        <is>
          <t>DF-101</t>
        </is>
      </c>
      <c r="H1620" t="inlineStr">
        <is>
          <t>tblDeviceFamilyIDCrosswalk</t>
        </is>
      </c>
      <c r="I1620" t="inlineStr"/>
      <c r="J1620" t="inlineStr">
        <is>
          <t>tblDeviceModel</t>
        </is>
      </c>
      <c r="K1620" t="inlineStr">
        <is>
          <t>Exact ID</t>
        </is>
      </c>
      <c r="L1620" t="inlineStr">
        <is>
          <t>Crosswalk Pending</t>
        </is>
      </c>
      <c r="M1620" t="inlineStr">
        <is>
          <t>Open</t>
        </is>
      </c>
      <c r="N1620" t="inlineStr"/>
    </row>
    <row r="1621">
      <c r="A1621" t="inlineStr">
        <is>
          <t>FKEX01620</t>
        </is>
      </c>
      <c r="B1621" t="inlineStr">
        <is>
          <t>15 LL_Device</t>
        </is>
      </c>
      <c r="C1621" t="inlineStr">
        <is>
          <t>tblDeviceModel</t>
        </is>
      </c>
      <c r="D1621" t="n">
        <v>541</v>
      </c>
      <c r="E1621" t="inlineStr">
        <is>
          <t>MOD000538</t>
        </is>
      </c>
      <c r="F1621" t="inlineStr">
        <is>
          <t>DeviceTypeID</t>
        </is>
      </c>
      <c r="G1621" t="inlineStr">
        <is>
          <t>DT001</t>
        </is>
      </c>
      <c r="H1621" t="inlineStr">
        <is>
          <t>tblDeviceTypeIDCrosswalk</t>
        </is>
      </c>
      <c r="I1621" t="inlineStr"/>
      <c r="J1621" t="inlineStr">
        <is>
          <t>No Supported Match</t>
        </is>
      </c>
      <c r="K1621" t="inlineStr">
        <is>
          <t>None</t>
        </is>
      </c>
      <c r="L1621" t="inlineStr">
        <is>
          <t>Crosswalk Pending</t>
        </is>
      </c>
      <c r="M1621" t="inlineStr">
        <is>
          <t>Open</t>
        </is>
      </c>
      <c r="N1621" t="inlineStr"/>
    </row>
    <row r="1622">
      <c r="A1622" t="inlineStr">
        <is>
          <t>FKEX01621</t>
        </is>
      </c>
      <c r="B1622" t="inlineStr">
        <is>
          <t>15 LL_Device</t>
        </is>
      </c>
      <c r="C1622" t="inlineStr">
        <is>
          <t>tblDeviceModel</t>
        </is>
      </c>
      <c r="D1622" t="n">
        <v>542</v>
      </c>
      <c r="E1622" t="inlineStr">
        <is>
          <t>MOD000539</t>
        </is>
      </c>
      <c r="F1622" t="inlineStr">
        <is>
          <t>ManufacturerID</t>
        </is>
      </c>
      <c r="G1622" t="inlineStr">
        <is>
          <t>MFG010</t>
        </is>
      </c>
      <c r="H1622" t="inlineStr">
        <is>
          <t>tblManufacturerIDCrosswalk</t>
        </is>
      </c>
      <c r="I1622" t="inlineStr"/>
      <c r="J1622" t="inlineStr">
        <is>
          <t>No Supported Match</t>
        </is>
      </c>
      <c r="K1622" t="inlineStr">
        <is>
          <t>None</t>
        </is>
      </c>
      <c r="L1622" t="inlineStr">
        <is>
          <t>Crosswalk Pending</t>
        </is>
      </c>
      <c r="M1622" t="inlineStr">
        <is>
          <t>Open</t>
        </is>
      </c>
      <c r="N1622" t="inlineStr"/>
    </row>
    <row r="1623">
      <c r="A1623" t="inlineStr">
        <is>
          <t>FKEX01622</t>
        </is>
      </c>
      <c r="B1623" t="inlineStr">
        <is>
          <t>15 LL_Device</t>
        </is>
      </c>
      <c r="C1623" t="inlineStr">
        <is>
          <t>tblDeviceModel</t>
        </is>
      </c>
      <c r="D1623" t="n">
        <v>542</v>
      </c>
      <c r="E1623" t="inlineStr">
        <is>
          <t>MOD000539</t>
        </is>
      </c>
      <c r="F1623" t="inlineStr">
        <is>
          <t>DeviceFamilyID</t>
        </is>
      </c>
      <c r="G1623" t="inlineStr">
        <is>
          <t>DF-102</t>
        </is>
      </c>
      <c r="H1623" t="inlineStr">
        <is>
          <t>tblDeviceFamilyIDCrosswalk</t>
        </is>
      </c>
      <c r="I1623" t="inlineStr"/>
      <c r="J1623" t="inlineStr">
        <is>
          <t>tblDeviceModel</t>
        </is>
      </c>
      <c r="K1623" t="inlineStr">
        <is>
          <t>Exact ID</t>
        </is>
      </c>
      <c r="L1623" t="inlineStr">
        <is>
          <t>Crosswalk Pending</t>
        </is>
      </c>
      <c r="M1623" t="inlineStr">
        <is>
          <t>Open</t>
        </is>
      </c>
      <c r="N1623" t="inlineStr"/>
    </row>
    <row r="1624">
      <c r="A1624" t="inlineStr">
        <is>
          <t>FKEX01623</t>
        </is>
      </c>
      <c r="B1624" t="inlineStr">
        <is>
          <t>15 LL_Device</t>
        </is>
      </c>
      <c r="C1624" t="inlineStr">
        <is>
          <t>tblDeviceModel</t>
        </is>
      </c>
      <c r="D1624" t="n">
        <v>542</v>
      </c>
      <c r="E1624" t="inlineStr">
        <is>
          <t>MOD000539</t>
        </is>
      </c>
      <c r="F1624" t="inlineStr">
        <is>
          <t>DeviceTypeID</t>
        </is>
      </c>
      <c r="G1624" t="inlineStr">
        <is>
          <t>DT001</t>
        </is>
      </c>
      <c r="H1624" t="inlineStr">
        <is>
          <t>tblDeviceTypeIDCrosswalk</t>
        </is>
      </c>
      <c r="I1624" t="inlineStr"/>
      <c r="J1624" t="inlineStr">
        <is>
          <t>No Supported Match</t>
        </is>
      </c>
      <c r="K1624" t="inlineStr">
        <is>
          <t>None</t>
        </is>
      </c>
      <c r="L1624" t="inlineStr">
        <is>
          <t>Crosswalk Pending</t>
        </is>
      </c>
      <c r="M1624" t="inlineStr">
        <is>
          <t>Open</t>
        </is>
      </c>
      <c r="N1624" t="inlineStr"/>
    </row>
    <row r="1625">
      <c r="A1625" t="inlineStr">
        <is>
          <t>FKEX01624</t>
        </is>
      </c>
      <c r="B1625" t="inlineStr">
        <is>
          <t>15 LL_Device</t>
        </is>
      </c>
      <c r="C1625" t="inlineStr">
        <is>
          <t>tblDeviceModel</t>
        </is>
      </c>
      <c r="D1625" t="n">
        <v>543</v>
      </c>
      <c r="E1625" t="inlineStr">
        <is>
          <t>MOD000540</t>
        </is>
      </c>
      <c r="F1625" t="inlineStr">
        <is>
          <t>ManufacturerID</t>
        </is>
      </c>
      <c r="G1625" t="inlineStr">
        <is>
          <t>MFG010</t>
        </is>
      </c>
      <c r="H1625" t="inlineStr">
        <is>
          <t>tblManufacturerIDCrosswalk</t>
        </is>
      </c>
      <c r="I1625" t="inlineStr"/>
      <c r="J1625" t="inlineStr">
        <is>
          <t>No Supported Match</t>
        </is>
      </c>
      <c r="K1625" t="inlineStr">
        <is>
          <t>None</t>
        </is>
      </c>
      <c r="L1625" t="inlineStr">
        <is>
          <t>Crosswalk Pending</t>
        </is>
      </c>
      <c r="M1625" t="inlineStr">
        <is>
          <t>Open</t>
        </is>
      </c>
      <c r="N1625" t="inlineStr"/>
    </row>
    <row r="1626">
      <c r="A1626" t="inlineStr">
        <is>
          <t>FKEX01625</t>
        </is>
      </c>
      <c r="B1626" t="inlineStr">
        <is>
          <t>15 LL_Device</t>
        </is>
      </c>
      <c r="C1626" t="inlineStr">
        <is>
          <t>tblDeviceModel</t>
        </is>
      </c>
      <c r="D1626" t="n">
        <v>543</v>
      </c>
      <c r="E1626" t="inlineStr">
        <is>
          <t>MOD000540</t>
        </is>
      </c>
      <c r="F1626" t="inlineStr">
        <is>
          <t>DeviceFamilyID</t>
        </is>
      </c>
      <c r="G1626" t="inlineStr">
        <is>
          <t>DF-103</t>
        </is>
      </c>
      <c r="H1626" t="inlineStr">
        <is>
          <t>tblDeviceFamilyIDCrosswalk</t>
        </is>
      </c>
      <c r="I1626" t="inlineStr"/>
      <c r="J1626" t="inlineStr">
        <is>
          <t>tblDeviceModel</t>
        </is>
      </c>
      <c r="K1626" t="inlineStr">
        <is>
          <t>Exact ID</t>
        </is>
      </c>
      <c r="L1626" t="inlineStr">
        <is>
          <t>Crosswalk Pending</t>
        </is>
      </c>
      <c r="M1626" t="inlineStr">
        <is>
          <t>Open</t>
        </is>
      </c>
      <c r="N1626" t="inlineStr"/>
    </row>
    <row r="1627">
      <c r="A1627" t="inlineStr">
        <is>
          <t>FKEX01626</t>
        </is>
      </c>
      <c r="B1627" t="inlineStr">
        <is>
          <t>15 LL_Device</t>
        </is>
      </c>
      <c r="C1627" t="inlineStr">
        <is>
          <t>tblDeviceModel</t>
        </is>
      </c>
      <c r="D1627" t="n">
        <v>543</v>
      </c>
      <c r="E1627" t="inlineStr">
        <is>
          <t>MOD000540</t>
        </is>
      </c>
      <c r="F1627" t="inlineStr">
        <is>
          <t>DeviceTypeID</t>
        </is>
      </c>
      <c r="G1627" t="inlineStr">
        <is>
          <t>DT001</t>
        </is>
      </c>
      <c r="H1627" t="inlineStr">
        <is>
          <t>tblDeviceTypeIDCrosswalk</t>
        </is>
      </c>
      <c r="I1627" t="inlineStr"/>
      <c r="J1627" t="inlineStr">
        <is>
          <t>No Supported Match</t>
        </is>
      </c>
      <c r="K1627" t="inlineStr">
        <is>
          <t>None</t>
        </is>
      </c>
      <c r="L1627" t="inlineStr">
        <is>
          <t>Crosswalk Pending</t>
        </is>
      </c>
      <c r="M1627" t="inlineStr">
        <is>
          <t>Open</t>
        </is>
      </c>
      <c r="N1627" t="inlineStr"/>
    </row>
    <row r="1628">
      <c r="A1628" t="inlineStr">
        <is>
          <t>FKEX01627</t>
        </is>
      </c>
      <c r="B1628" t="inlineStr">
        <is>
          <t>15 LL_Device</t>
        </is>
      </c>
      <c r="C1628" t="inlineStr">
        <is>
          <t>tblDeviceModel</t>
        </is>
      </c>
      <c r="D1628" t="n">
        <v>544</v>
      </c>
      <c r="E1628" t="inlineStr">
        <is>
          <t>MOD000541</t>
        </is>
      </c>
      <c r="F1628" t="inlineStr">
        <is>
          <t>ManufacturerID</t>
        </is>
      </c>
      <c r="G1628" t="inlineStr">
        <is>
          <t>MFG010</t>
        </is>
      </c>
      <c r="H1628" t="inlineStr">
        <is>
          <t>tblManufacturerIDCrosswalk</t>
        </is>
      </c>
      <c r="I1628" t="inlineStr"/>
      <c r="J1628" t="inlineStr">
        <is>
          <t>No Supported Match</t>
        </is>
      </c>
      <c r="K1628" t="inlineStr">
        <is>
          <t>None</t>
        </is>
      </c>
      <c r="L1628" t="inlineStr">
        <is>
          <t>Crosswalk Pending</t>
        </is>
      </c>
      <c r="M1628" t="inlineStr">
        <is>
          <t>Open</t>
        </is>
      </c>
      <c r="N1628" t="inlineStr"/>
    </row>
    <row r="1629">
      <c r="A1629" t="inlineStr">
        <is>
          <t>FKEX01628</t>
        </is>
      </c>
      <c r="B1629" t="inlineStr">
        <is>
          <t>15 LL_Device</t>
        </is>
      </c>
      <c r="C1629" t="inlineStr">
        <is>
          <t>tblDeviceModel</t>
        </is>
      </c>
      <c r="D1629" t="n">
        <v>544</v>
      </c>
      <c r="E1629" t="inlineStr">
        <is>
          <t>MOD000541</t>
        </is>
      </c>
      <c r="F1629" t="inlineStr">
        <is>
          <t>DeviceFamilyID</t>
        </is>
      </c>
      <c r="G1629" t="inlineStr">
        <is>
          <t>DF-104</t>
        </is>
      </c>
      <c r="H1629" t="inlineStr">
        <is>
          <t>tblDeviceFamilyIDCrosswalk</t>
        </is>
      </c>
      <c r="I1629" t="inlineStr"/>
      <c r="J1629" t="inlineStr">
        <is>
          <t>tblDeviceModel</t>
        </is>
      </c>
      <c r="K1629" t="inlineStr">
        <is>
          <t>Exact ID</t>
        </is>
      </c>
      <c r="L1629" t="inlineStr">
        <is>
          <t>Crosswalk Pending</t>
        </is>
      </c>
      <c r="M1629" t="inlineStr">
        <is>
          <t>Open</t>
        </is>
      </c>
      <c r="N1629" t="inlineStr"/>
    </row>
    <row r="1630">
      <c r="A1630" t="inlineStr">
        <is>
          <t>FKEX01629</t>
        </is>
      </c>
      <c r="B1630" t="inlineStr">
        <is>
          <t>15 LL_Device</t>
        </is>
      </c>
      <c r="C1630" t="inlineStr">
        <is>
          <t>tblDeviceModel</t>
        </is>
      </c>
      <c r="D1630" t="n">
        <v>544</v>
      </c>
      <c r="E1630" t="inlineStr">
        <is>
          <t>MOD000541</t>
        </is>
      </c>
      <c r="F1630" t="inlineStr">
        <is>
          <t>DeviceTypeID</t>
        </is>
      </c>
      <c r="G1630" t="inlineStr">
        <is>
          <t>DT001</t>
        </is>
      </c>
      <c r="H1630" t="inlineStr">
        <is>
          <t>tblDeviceTypeIDCrosswalk</t>
        </is>
      </c>
      <c r="I1630" t="inlineStr"/>
      <c r="J1630" t="inlineStr">
        <is>
          <t>No Supported Match</t>
        </is>
      </c>
      <c r="K1630" t="inlineStr">
        <is>
          <t>None</t>
        </is>
      </c>
      <c r="L1630" t="inlineStr">
        <is>
          <t>Crosswalk Pending</t>
        </is>
      </c>
      <c r="M1630" t="inlineStr">
        <is>
          <t>Open</t>
        </is>
      </c>
      <c r="N1630" t="inlineStr"/>
    </row>
    <row r="1631">
      <c r="A1631" t="inlineStr">
        <is>
          <t>FKEX01630</t>
        </is>
      </c>
      <c r="B1631" t="inlineStr">
        <is>
          <t>15 LL_Device</t>
        </is>
      </c>
      <c r="C1631" t="inlineStr">
        <is>
          <t>tblDeviceModel</t>
        </is>
      </c>
      <c r="D1631" t="n">
        <v>545</v>
      </c>
      <c r="E1631" t="inlineStr">
        <is>
          <t>MOD000542</t>
        </is>
      </c>
      <c r="F1631" t="inlineStr">
        <is>
          <t>ManufacturerID</t>
        </is>
      </c>
      <c r="G1631" t="inlineStr">
        <is>
          <t>MFG010</t>
        </is>
      </c>
      <c r="H1631" t="inlineStr">
        <is>
          <t>tblManufacturerIDCrosswalk</t>
        </is>
      </c>
      <c r="I1631" t="inlineStr"/>
      <c r="J1631" t="inlineStr">
        <is>
          <t>No Supported Match</t>
        </is>
      </c>
      <c r="K1631" t="inlineStr">
        <is>
          <t>None</t>
        </is>
      </c>
      <c r="L1631" t="inlineStr">
        <is>
          <t>Crosswalk Pending</t>
        </is>
      </c>
      <c r="M1631" t="inlineStr">
        <is>
          <t>Open</t>
        </is>
      </c>
      <c r="N1631" t="inlineStr"/>
    </row>
    <row r="1632">
      <c r="A1632" t="inlineStr">
        <is>
          <t>FKEX01631</t>
        </is>
      </c>
      <c r="B1632" t="inlineStr">
        <is>
          <t>15 LL_Device</t>
        </is>
      </c>
      <c r="C1632" t="inlineStr">
        <is>
          <t>tblDeviceModel</t>
        </is>
      </c>
      <c r="D1632" t="n">
        <v>545</v>
      </c>
      <c r="E1632" t="inlineStr">
        <is>
          <t>MOD000542</t>
        </is>
      </c>
      <c r="F1632" t="inlineStr">
        <is>
          <t>DeviceFamilyID</t>
        </is>
      </c>
      <c r="G1632" t="inlineStr">
        <is>
          <t>DF-105</t>
        </is>
      </c>
      <c r="H1632" t="inlineStr">
        <is>
          <t>tblDeviceFamilyIDCrosswalk</t>
        </is>
      </c>
      <c r="I1632" t="inlineStr"/>
      <c r="J1632" t="inlineStr">
        <is>
          <t>tblDeviceModel</t>
        </is>
      </c>
      <c r="K1632" t="inlineStr">
        <is>
          <t>Exact ID</t>
        </is>
      </c>
      <c r="L1632" t="inlineStr">
        <is>
          <t>Crosswalk Pending</t>
        </is>
      </c>
      <c r="M1632" t="inlineStr">
        <is>
          <t>Open</t>
        </is>
      </c>
      <c r="N1632" t="inlineStr"/>
    </row>
    <row r="1633">
      <c r="A1633" t="inlineStr">
        <is>
          <t>FKEX01632</t>
        </is>
      </c>
      <c r="B1633" t="inlineStr">
        <is>
          <t>15 LL_Device</t>
        </is>
      </c>
      <c r="C1633" t="inlineStr">
        <is>
          <t>tblDeviceModel</t>
        </is>
      </c>
      <c r="D1633" t="n">
        <v>545</v>
      </c>
      <c r="E1633" t="inlineStr">
        <is>
          <t>MOD000542</t>
        </is>
      </c>
      <c r="F1633" t="inlineStr">
        <is>
          <t>DeviceTypeID</t>
        </is>
      </c>
      <c r="G1633" t="inlineStr">
        <is>
          <t>DT001</t>
        </is>
      </c>
      <c r="H1633" t="inlineStr">
        <is>
          <t>tblDeviceTypeIDCrosswalk</t>
        </is>
      </c>
      <c r="I1633" t="inlineStr"/>
      <c r="J1633" t="inlineStr">
        <is>
          <t>No Supported Match</t>
        </is>
      </c>
      <c r="K1633" t="inlineStr">
        <is>
          <t>None</t>
        </is>
      </c>
      <c r="L1633" t="inlineStr">
        <is>
          <t>Crosswalk Pending</t>
        </is>
      </c>
      <c r="M1633" t="inlineStr">
        <is>
          <t>Open</t>
        </is>
      </c>
      <c r="N1633" t="inlineStr"/>
    </row>
    <row r="1634">
      <c r="A1634" t="inlineStr">
        <is>
          <t>FKEX01633</t>
        </is>
      </c>
      <c r="B1634" t="inlineStr">
        <is>
          <t>15 LL_Device</t>
        </is>
      </c>
      <c r="C1634" t="inlineStr">
        <is>
          <t>tblDeviceModel</t>
        </is>
      </c>
      <c r="D1634" t="n">
        <v>546</v>
      </c>
      <c r="E1634" t="inlineStr">
        <is>
          <t>MOD000543</t>
        </is>
      </c>
      <c r="F1634" t="inlineStr">
        <is>
          <t>ManufacturerID</t>
        </is>
      </c>
      <c r="G1634" t="inlineStr">
        <is>
          <t>MFG010</t>
        </is>
      </c>
      <c r="H1634" t="inlineStr">
        <is>
          <t>tblManufacturerIDCrosswalk</t>
        </is>
      </c>
      <c r="I1634" t="inlineStr"/>
      <c r="J1634" t="inlineStr">
        <is>
          <t>No Supported Match</t>
        </is>
      </c>
      <c r="K1634" t="inlineStr">
        <is>
          <t>None</t>
        </is>
      </c>
      <c r="L1634" t="inlineStr">
        <is>
          <t>Crosswalk Pending</t>
        </is>
      </c>
      <c r="M1634" t="inlineStr">
        <is>
          <t>Open</t>
        </is>
      </c>
      <c r="N1634" t="inlineStr"/>
    </row>
    <row r="1635">
      <c r="A1635" t="inlineStr">
        <is>
          <t>FKEX01634</t>
        </is>
      </c>
      <c r="B1635" t="inlineStr">
        <is>
          <t>15 LL_Device</t>
        </is>
      </c>
      <c r="C1635" t="inlineStr">
        <is>
          <t>tblDeviceModel</t>
        </is>
      </c>
      <c r="D1635" t="n">
        <v>546</v>
      </c>
      <c r="E1635" t="inlineStr">
        <is>
          <t>MOD000543</t>
        </is>
      </c>
      <c r="F1635" t="inlineStr">
        <is>
          <t>DeviceFamilyID</t>
        </is>
      </c>
      <c r="G1635" t="inlineStr">
        <is>
          <t>DF-106</t>
        </is>
      </c>
      <c r="H1635" t="inlineStr">
        <is>
          <t>tblDeviceFamilyIDCrosswalk</t>
        </is>
      </c>
      <c r="I1635" t="inlineStr"/>
      <c r="J1635" t="inlineStr">
        <is>
          <t>tblDeviceModel</t>
        </is>
      </c>
      <c r="K1635" t="inlineStr">
        <is>
          <t>Exact ID</t>
        </is>
      </c>
      <c r="L1635" t="inlineStr">
        <is>
          <t>Crosswalk Pending</t>
        </is>
      </c>
      <c r="M1635" t="inlineStr">
        <is>
          <t>Open</t>
        </is>
      </c>
      <c r="N1635" t="inlineStr"/>
    </row>
    <row r="1636">
      <c r="A1636" t="inlineStr">
        <is>
          <t>FKEX01635</t>
        </is>
      </c>
      <c r="B1636" t="inlineStr">
        <is>
          <t>15 LL_Device</t>
        </is>
      </c>
      <c r="C1636" t="inlineStr">
        <is>
          <t>tblDeviceModel</t>
        </is>
      </c>
      <c r="D1636" t="n">
        <v>546</v>
      </c>
      <c r="E1636" t="inlineStr">
        <is>
          <t>MOD000543</t>
        </is>
      </c>
      <c r="F1636" t="inlineStr">
        <is>
          <t>DeviceTypeID</t>
        </is>
      </c>
      <c r="G1636" t="inlineStr">
        <is>
          <t>DT002</t>
        </is>
      </c>
      <c r="H1636" t="inlineStr">
        <is>
          <t>tblDeviceTypeIDCrosswalk</t>
        </is>
      </c>
      <c r="I1636" t="inlineStr"/>
      <c r="J1636" t="inlineStr">
        <is>
          <t>No Supported Match</t>
        </is>
      </c>
      <c r="K1636" t="inlineStr">
        <is>
          <t>None</t>
        </is>
      </c>
      <c r="L1636" t="inlineStr">
        <is>
          <t>Crosswalk Pending</t>
        </is>
      </c>
      <c r="M1636" t="inlineStr">
        <is>
          <t>Open</t>
        </is>
      </c>
      <c r="N1636" t="inlineStr"/>
    </row>
    <row r="1637">
      <c r="A1637" t="inlineStr">
        <is>
          <t>FKEX01636</t>
        </is>
      </c>
      <c r="B1637" t="inlineStr">
        <is>
          <t>15 LL_Device</t>
        </is>
      </c>
      <c r="C1637" t="inlineStr">
        <is>
          <t>tblDeviceModel</t>
        </is>
      </c>
      <c r="D1637" t="n">
        <v>547</v>
      </c>
      <c r="E1637" t="inlineStr">
        <is>
          <t>MOD000544</t>
        </is>
      </c>
      <c r="F1637" t="inlineStr">
        <is>
          <t>ManufacturerID</t>
        </is>
      </c>
      <c r="G1637" t="inlineStr">
        <is>
          <t>MFG011</t>
        </is>
      </c>
      <c r="H1637" t="inlineStr">
        <is>
          <t>tblManufacturerIDCrosswalk</t>
        </is>
      </c>
      <c r="I1637" t="inlineStr"/>
      <c r="J1637" t="inlineStr">
        <is>
          <t>No Supported Match</t>
        </is>
      </c>
      <c r="K1637" t="inlineStr">
        <is>
          <t>None</t>
        </is>
      </c>
      <c r="L1637" t="inlineStr">
        <is>
          <t>Crosswalk Pending</t>
        </is>
      </c>
      <c r="M1637" t="inlineStr">
        <is>
          <t>Open</t>
        </is>
      </c>
      <c r="N1637" t="inlineStr"/>
    </row>
    <row r="1638">
      <c r="A1638" t="inlineStr">
        <is>
          <t>FKEX01637</t>
        </is>
      </c>
      <c r="B1638" t="inlineStr">
        <is>
          <t>15 LL_Device</t>
        </is>
      </c>
      <c r="C1638" t="inlineStr">
        <is>
          <t>tblDeviceModel</t>
        </is>
      </c>
      <c r="D1638" t="n">
        <v>547</v>
      </c>
      <c r="E1638" t="inlineStr">
        <is>
          <t>MOD000544</t>
        </is>
      </c>
      <c r="F1638" t="inlineStr">
        <is>
          <t>DeviceFamilyID</t>
        </is>
      </c>
      <c r="G1638" t="inlineStr">
        <is>
          <t>DF-110</t>
        </is>
      </c>
      <c r="H1638" t="inlineStr">
        <is>
          <t>tblDeviceFamilyIDCrosswalk</t>
        </is>
      </c>
      <c r="I1638" t="inlineStr"/>
      <c r="J1638" t="inlineStr">
        <is>
          <t>tblDeviceModel</t>
        </is>
      </c>
      <c r="K1638" t="inlineStr">
        <is>
          <t>Exact ID</t>
        </is>
      </c>
      <c r="L1638" t="inlineStr">
        <is>
          <t>Crosswalk Pending</t>
        </is>
      </c>
      <c r="M1638" t="inlineStr">
        <is>
          <t>Open</t>
        </is>
      </c>
      <c r="N1638" t="inlineStr"/>
    </row>
    <row r="1639">
      <c r="A1639" t="inlineStr">
        <is>
          <t>FKEX01638</t>
        </is>
      </c>
      <c r="B1639" t="inlineStr">
        <is>
          <t>15 LL_Device</t>
        </is>
      </c>
      <c r="C1639" t="inlineStr">
        <is>
          <t>tblDeviceModel</t>
        </is>
      </c>
      <c r="D1639" t="n">
        <v>547</v>
      </c>
      <c r="E1639" t="inlineStr">
        <is>
          <t>MOD000544</t>
        </is>
      </c>
      <c r="F1639" t="inlineStr">
        <is>
          <t>DeviceTypeID</t>
        </is>
      </c>
      <c r="G1639" t="inlineStr">
        <is>
          <t>DT001</t>
        </is>
      </c>
      <c r="H1639" t="inlineStr">
        <is>
          <t>tblDeviceTypeIDCrosswalk</t>
        </is>
      </c>
      <c r="I1639" t="inlineStr"/>
      <c r="J1639" t="inlineStr">
        <is>
          <t>No Supported Match</t>
        </is>
      </c>
      <c r="K1639" t="inlineStr">
        <is>
          <t>None</t>
        </is>
      </c>
      <c r="L1639" t="inlineStr">
        <is>
          <t>Crosswalk Pending</t>
        </is>
      </c>
      <c r="M1639" t="inlineStr">
        <is>
          <t>Open</t>
        </is>
      </c>
      <c r="N1639" t="inlineStr"/>
    </row>
    <row r="1640">
      <c r="A1640" t="inlineStr">
        <is>
          <t>FKEX01639</t>
        </is>
      </c>
      <c r="B1640" t="inlineStr">
        <is>
          <t>15 LL_Device</t>
        </is>
      </c>
      <c r="C1640" t="inlineStr">
        <is>
          <t>tblDeviceModel</t>
        </is>
      </c>
      <c r="D1640" t="n">
        <v>548</v>
      </c>
      <c r="E1640" t="inlineStr">
        <is>
          <t>MOD000545</t>
        </is>
      </c>
      <c r="F1640" t="inlineStr">
        <is>
          <t>ManufacturerID</t>
        </is>
      </c>
      <c r="G1640" t="inlineStr">
        <is>
          <t>MFG011</t>
        </is>
      </c>
      <c r="H1640" t="inlineStr">
        <is>
          <t>tblManufacturerIDCrosswalk</t>
        </is>
      </c>
      <c r="I1640" t="inlineStr"/>
      <c r="J1640" t="inlineStr">
        <is>
          <t>No Supported Match</t>
        </is>
      </c>
      <c r="K1640" t="inlineStr">
        <is>
          <t>None</t>
        </is>
      </c>
      <c r="L1640" t="inlineStr">
        <is>
          <t>Crosswalk Pending</t>
        </is>
      </c>
      <c r="M1640" t="inlineStr">
        <is>
          <t>Open</t>
        </is>
      </c>
      <c r="N1640" t="inlineStr"/>
    </row>
    <row r="1641">
      <c r="A1641" t="inlineStr">
        <is>
          <t>FKEX01640</t>
        </is>
      </c>
      <c r="B1641" t="inlineStr">
        <is>
          <t>15 LL_Device</t>
        </is>
      </c>
      <c r="C1641" t="inlineStr">
        <is>
          <t>tblDeviceModel</t>
        </is>
      </c>
      <c r="D1641" t="n">
        <v>548</v>
      </c>
      <c r="E1641" t="inlineStr">
        <is>
          <t>MOD000545</t>
        </is>
      </c>
      <c r="F1641" t="inlineStr">
        <is>
          <t>DeviceFamilyID</t>
        </is>
      </c>
      <c r="G1641" t="inlineStr">
        <is>
          <t>DF-110</t>
        </is>
      </c>
      <c r="H1641" t="inlineStr">
        <is>
          <t>tblDeviceFamilyIDCrosswalk</t>
        </is>
      </c>
      <c r="I1641" t="inlineStr"/>
      <c r="J1641" t="inlineStr">
        <is>
          <t>tblDeviceModel</t>
        </is>
      </c>
      <c r="K1641" t="inlineStr">
        <is>
          <t>Exact ID</t>
        </is>
      </c>
      <c r="L1641" t="inlineStr">
        <is>
          <t>Crosswalk Pending</t>
        </is>
      </c>
      <c r="M1641" t="inlineStr">
        <is>
          <t>Open</t>
        </is>
      </c>
      <c r="N1641" t="inlineStr"/>
    </row>
    <row r="1642">
      <c r="A1642" t="inlineStr">
        <is>
          <t>FKEX01641</t>
        </is>
      </c>
      <c r="B1642" t="inlineStr">
        <is>
          <t>15 LL_Device</t>
        </is>
      </c>
      <c r="C1642" t="inlineStr">
        <is>
          <t>tblDeviceModel</t>
        </is>
      </c>
      <c r="D1642" t="n">
        <v>548</v>
      </c>
      <c r="E1642" t="inlineStr">
        <is>
          <t>MOD000545</t>
        </is>
      </c>
      <c r="F1642" t="inlineStr">
        <is>
          <t>DeviceTypeID</t>
        </is>
      </c>
      <c r="G1642" t="inlineStr">
        <is>
          <t>DT001</t>
        </is>
      </c>
      <c r="H1642" t="inlineStr">
        <is>
          <t>tblDeviceTypeIDCrosswalk</t>
        </is>
      </c>
      <c r="I1642" t="inlineStr"/>
      <c r="J1642" t="inlineStr">
        <is>
          <t>No Supported Match</t>
        </is>
      </c>
      <c r="K1642" t="inlineStr">
        <is>
          <t>None</t>
        </is>
      </c>
      <c r="L1642" t="inlineStr">
        <is>
          <t>Crosswalk Pending</t>
        </is>
      </c>
      <c r="M1642" t="inlineStr">
        <is>
          <t>Open</t>
        </is>
      </c>
      <c r="N1642" t="inlineStr"/>
    </row>
    <row r="1643">
      <c r="A1643" t="inlineStr">
        <is>
          <t>FKEX01642</t>
        </is>
      </c>
      <c r="B1643" t="inlineStr">
        <is>
          <t>15 LL_Device</t>
        </is>
      </c>
      <c r="C1643" t="inlineStr">
        <is>
          <t>tblDeviceModel</t>
        </is>
      </c>
      <c r="D1643" t="n">
        <v>549</v>
      </c>
      <c r="E1643" t="inlineStr">
        <is>
          <t>MOD000546</t>
        </is>
      </c>
      <c r="F1643" t="inlineStr">
        <is>
          <t>ManufacturerID</t>
        </is>
      </c>
      <c r="G1643" t="inlineStr">
        <is>
          <t>MFG011</t>
        </is>
      </c>
      <c r="H1643" t="inlineStr">
        <is>
          <t>tblManufacturerIDCrosswalk</t>
        </is>
      </c>
      <c r="I1643" t="inlineStr"/>
      <c r="J1643" t="inlineStr">
        <is>
          <t>No Supported Match</t>
        </is>
      </c>
      <c r="K1643" t="inlineStr">
        <is>
          <t>None</t>
        </is>
      </c>
      <c r="L1643" t="inlineStr">
        <is>
          <t>Crosswalk Pending</t>
        </is>
      </c>
      <c r="M1643" t="inlineStr">
        <is>
          <t>Open</t>
        </is>
      </c>
      <c r="N1643" t="inlineStr"/>
    </row>
    <row r="1644">
      <c r="A1644" t="inlineStr">
        <is>
          <t>FKEX01643</t>
        </is>
      </c>
      <c r="B1644" t="inlineStr">
        <is>
          <t>15 LL_Device</t>
        </is>
      </c>
      <c r="C1644" t="inlineStr">
        <is>
          <t>tblDeviceModel</t>
        </is>
      </c>
      <c r="D1644" t="n">
        <v>549</v>
      </c>
      <c r="E1644" t="inlineStr">
        <is>
          <t>MOD000546</t>
        </is>
      </c>
      <c r="F1644" t="inlineStr">
        <is>
          <t>DeviceFamilyID</t>
        </is>
      </c>
      <c r="G1644" t="inlineStr">
        <is>
          <t>DF-110</t>
        </is>
      </c>
      <c r="H1644" t="inlineStr">
        <is>
          <t>tblDeviceFamilyIDCrosswalk</t>
        </is>
      </c>
      <c r="I1644" t="inlineStr"/>
      <c r="J1644" t="inlineStr">
        <is>
          <t>tblDeviceModel</t>
        </is>
      </c>
      <c r="K1644" t="inlineStr">
        <is>
          <t>Exact ID</t>
        </is>
      </c>
      <c r="L1644" t="inlineStr">
        <is>
          <t>Crosswalk Pending</t>
        </is>
      </c>
      <c r="M1644" t="inlineStr">
        <is>
          <t>Open</t>
        </is>
      </c>
      <c r="N1644" t="inlineStr"/>
    </row>
    <row r="1645">
      <c r="A1645" t="inlineStr">
        <is>
          <t>FKEX01644</t>
        </is>
      </c>
      <c r="B1645" t="inlineStr">
        <is>
          <t>15 LL_Device</t>
        </is>
      </c>
      <c r="C1645" t="inlineStr">
        <is>
          <t>tblDeviceModel</t>
        </is>
      </c>
      <c r="D1645" t="n">
        <v>549</v>
      </c>
      <c r="E1645" t="inlineStr">
        <is>
          <t>MOD000546</t>
        </is>
      </c>
      <c r="F1645" t="inlineStr">
        <is>
          <t>DeviceTypeID</t>
        </is>
      </c>
      <c r="G1645" t="inlineStr">
        <is>
          <t>DT001</t>
        </is>
      </c>
      <c r="H1645" t="inlineStr">
        <is>
          <t>tblDeviceTypeIDCrosswalk</t>
        </is>
      </c>
      <c r="I1645" t="inlineStr"/>
      <c r="J1645" t="inlineStr">
        <is>
          <t>No Supported Match</t>
        </is>
      </c>
      <c r="K1645" t="inlineStr">
        <is>
          <t>None</t>
        </is>
      </c>
      <c r="L1645" t="inlineStr">
        <is>
          <t>Crosswalk Pending</t>
        </is>
      </c>
      <c r="M1645" t="inlineStr">
        <is>
          <t>Open</t>
        </is>
      </c>
      <c r="N1645" t="inlineStr"/>
    </row>
    <row r="1646">
      <c r="A1646" t="inlineStr">
        <is>
          <t>FKEX01645</t>
        </is>
      </c>
      <c r="B1646" t="inlineStr">
        <is>
          <t>15 LL_Device</t>
        </is>
      </c>
      <c r="C1646" t="inlineStr">
        <is>
          <t>tblDeviceModel</t>
        </is>
      </c>
      <c r="D1646" t="n">
        <v>550</v>
      </c>
      <c r="E1646" t="inlineStr">
        <is>
          <t>MOD000547</t>
        </is>
      </c>
      <c r="F1646" t="inlineStr">
        <is>
          <t>ManufacturerID</t>
        </is>
      </c>
      <c r="G1646" t="inlineStr">
        <is>
          <t>MFG011</t>
        </is>
      </c>
      <c r="H1646" t="inlineStr">
        <is>
          <t>tblManufacturerIDCrosswalk</t>
        </is>
      </c>
      <c r="I1646" t="inlineStr"/>
      <c r="J1646" t="inlineStr">
        <is>
          <t>No Supported Match</t>
        </is>
      </c>
      <c r="K1646" t="inlineStr">
        <is>
          <t>None</t>
        </is>
      </c>
      <c r="L1646" t="inlineStr">
        <is>
          <t>Crosswalk Pending</t>
        </is>
      </c>
      <c r="M1646" t="inlineStr">
        <is>
          <t>Open</t>
        </is>
      </c>
      <c r="N1646" t="inlineStr"/>
    </row>
    <row r="1647">
      <c r="A1647" t="inlineStr">
        <is>
          <t>FKEX01646</t>
        </is>
      </c>
      <c r="B1647" t="inlineStr">
        <is>
          <t>15 LL_Device</t>
        </is>
      </c>
      <c r="C1647" t="inlineStr">
        <is>
          <t>tblDeviceModel</t>
        </is>
      </c>
      <c r="D1647" t="n">
        <v>550</v>
      </c>
      <c r="E1647" t="inlineStr">
        <is>
          <t>MOD000547</t>
        </is>
      </c>
      <c r="F1647" t="inlineStr">
        <is>
          <t>DeviceFamilyID</t>
        </is>
      </c>
      <c r="G1647" t="inlineStr">
        <is>
          <t>DF-111</t>
        </is>
      </c>
      <c r="H1647" t="inlineStr">
        <is>
          <t>tblDeviceFamilyIDCrosswalk</t>
        </is>
      </c>
      <c r="I1647" t="inlineStr"/>
      <c r="J1647" t="inlineStr">
        <is>
          <t>tblDeviceModel</t>
        </is>
      </c>
      <c r="K1647" t="inlineStr">
        <is>
          <t>Exact ID</t>
        </is>
      </c>
      <c r="L1647" t="inlineStr">
        <is>
          <t>Crosswalk Pending</t>
        </is>
      </c>
      <c r="M1647" t="inlineStr">
        <is>
          <t>Open</t>
        </is>
      </c>
      <c r="N1647" t="inlineStr"/>
    </row>
    <row r="1648">
      <c r="A1648" t="inlineStr">
        <is>
          <t>FKEX01647</t>
        </is>
      </c>
      <c r="B1648" t="inlineStr">
        <is>
          <t>15 LL_Device</t>
        </is>
      </c>
      <c r="C1648" t="inlineStr">
        <is>
          <t>tblDeviceModel</t>
        </is>
      </c>
      <c r="D1648" t="n">
        <v>550</v>
      </c>
      <c r="E1648" t="inlineStr">
        <is>
          <t>MOD000547</t>
        </is>
      </c>
      <c r="F1648" t="inlineStr">
        <is>
          <t>DeviceTypeID</t>
        </is>
      </c>
      <c r="G1648" t="inlineStr">
        <is>
          <t>DT001</t>
        </is>
      </c>
      <c r="H1648" t="inlineStr">
        <is>
          <t>tblDeviceTypeIDCrosswalk</t>
        </is>
      </c>
      <c r="I1648" t="inlineStr"/>
      <c r="J1648" t="inlineStr">
        <is>
          <t>No Supported Match</t>
        </is>
      </c>
      <c r="K1648" t="inlineStr">
        <is>
          <t>None</t>
        </is>
      </c>
      <c r="L1648" t="inlineStr">
        <is>
          <t>Crosswalk Pending</t>
        </is>
      </c>
      <c r="M1648" t="inlineStr">
        <is>
          <t>Open</t>
        </is>
      </c>
      <c r="N1648" t="inlineStr"/>
    </row>
    <row r="1649">
      <c r="A1649" t="inlineStr">
        <is>
          <t>FKEX01648</t>
        </is>
      </c>
      <c r="B1649" t="inlineStr">
        <is>
          <t>15 LL_Device</t>
        </is>
      </c>
      <c r="C1649" t="inlineStr">
        <is>
          <t>tblDeviceModel</t>
        </is>
      </c>
      <c r="D1649" t="n">
        <v>551</v>
      </c>
      <c r="E1649" t="inlineStr">
        <is>
          <t>MOD000548</t>
        </is>
      </c>
      <c r="F1649" t="inlineStr">
        <is>
          <t>ManufacturerID</t>
        </is>
      </c>
      <c r="G1649" t="inlineStr">
        <is>
          <t>MFG011</t>
        </is>
      </c>
      <c r="H1649" t="inlineStr">
        <is>
          <t>tblManufacturerIDCrosswalk</t>
        </is>
      </c>
      <c r="I1649" t="inlineStr"/>
      <c r="J1649" t="inlineStr">
        <is>
          <t>No Supported Match</t>
        </is>
      </c>
      <c r="K1649" t="inlineStr">
        <is>
          <t>None</t>
        </is>
      </c>
      <c r="L1649" t="inlineStr">
        <is>
          <t>Crosswalk Pending</t>
        </is>
      </c>
      <c r="M1649" t="inlineStr">
        <is>
          <t>Open</t>
        </is>
      </c>
      <c r="N1649" t="inlineStr"/>
    </row>
    <row r="1650">
      <c r="A1650" t="inlineStr">
        <is>
          <t>FKEX01649</t>
        </is>
      </c>
      <c r="B1650" t="inlineStr">
        <is>
          <t>15 LL_Device</t>
        </is>
      </c>
      <c r="C1650" t="inlineStr">
        <is>
          <t>tblDeviceModel</t>
        </is>
      </c>
      <c r="D1650" t="n">
        <v>551</v>
      </c>
      <c r="E1650" t="inlineStr">
        <is>
          <t>MOD000548</t>
        </is>
      </c>
      <c r="F1650" t="inlineStr">
        <is>
          <t>DeviceFamilyID</t>
        </is>
      </c>
      <c r="G1650" t="inlineStr">
        <is>
          <t>DF-111</t>
        </is>
      </c>
      <c r="H1650" t="inlineStr">
        <is>
          <t>tblDeviceFamilyIDCrosswalk</t>
        </is>
      </c>
      <c r="I1650" t="inlineStr"/>
      <c r="J1650" t="inlineStr">
        <is>
          <t>tblDeviceModel</t>
        </is>
      </c>
      <c r="K1650" t="inlineStr">
        <is>
          <t>Exact ID</t>
        </is>
      </c>
      <c r="L1650" t="inlineStr">
        <is>
          <t>Crosswalk Pending</t>
        </is>
      </c>
      <c r="M1650" t="inlineStr">
        <is>
          <t>Open</t>
        </is>
      </c>
      <c r="N1650" t="inlineStr"/>
    </row>
    <row r="1651">
      <c r="A1651" t="inlineStr">
        <is>
          <t>FKEX01650</t>
        </is>
      </c>
      <c r="B1651" t="inlineStr">
        <is>
          <t>15 LL_Device</t>
        </is>
      </c>
      <c r="C1651" t="inlineStr">
        <is>
          <t>tblDeviceModel</t>
        </is>
      </c>
      <c r="D1651" t="n">
        <v>551</v>
      </c>
      <c r="E1651" t="inlineStr">
        <is>
          <t>MOD000548</t>
        </is>
      </c>
      <c r="F1651" t="inlineStr">
        <is>
          <t>DeviceTypeID</t>
        </is>
      </c>
      <c r="G1651" t="inlineStr">
        <is>
          <t>DT001</t>
        </is>
      </c>
      <c r="H1651" t="inlineStr">
        <is>
          <t>tblDeviceTypeIDCrosswalk</t>
        </is>
      </c>
      <c r="I1651" t="inlineStr"/>
      <c r="J1651" t="inlineStr">
        <is>
          <t>No Supported Match</t>
        </is>
      </c>
      <c r="K1651" t="inlineStr">
        <is>
          <t>None</t>
        </is>
      </c>
      <c r="L1651" t="inlineStr">
        <is>
          <t>Crosswalk Pending</t>
        </is>
      </c>
      <c r="M1651" t="inlineStr">
        <is>
          <t>Open</t>
        </is>
      </c>
      <c r="N1651" t="inlineStr"/>
    </row>
    <row r="1652">
      <c r="A1652" t="inlineStr">
        <is>
          <t>FKEX01651</t>
        </is>
      </c>
      <c r="B1652" t="inlineStr">
        <is>
          <t>15 LL_Device</t>
        </is>
      </c>
      <c r="C1652" t="inlineStr">
        <is>
          <t>tblDeviceModel</t>
        </is>
      </c>
      <c r="D1652" t="n">
        <v>552</v>
      </c>
      <c r="E1652" t="inlineStr">
        <is>
          <t>MOD000549</t>
        </is>
      </c>
      <c r="F1652" t="inlineStr">
        <is>
          <t>ManufacturerID</t>
        </is>
      </c>
      <c r="G1652" t="inlineStr">
        <is>
          <t>MFG011</t>
        </is>
      </c>
      <c r="H1652" t="inlineStr">
        <is>
          <t>tblManufacturerIDCrosswalk</t>
        </is>
      </c>
      <c r="I1652" t="inlineStr"/>
      <c r="J1652" t="inlineStr">
        <is>
          <t>No Supported Match</t>
        </is>
      </c>
      <c r="K1652" t="inlineStr">
        <is>
          <t>None</t>
        </is>
      </c>
      <c r="L1652" t="inlineStr">
        <is>
          <t>Crosswalk Pending</t>
        </is>
      </c>
      <c r="M1652" t="inlineStr">
        <is>
          <t>Open</t>
        </is>
      </c>
      <c r="N1652" t="inlineStr"/>
    </row>
    <row r="1653">
      <c r="A1653" t="inlineStr">
        <is>
          <t>FKEX01652</t>
        </is>
      </c>
      <c r="B1653" t="inlineStr">
        <is>
          <t>15 LL_Device</t>
        </is>
      </c>
      <c r="C1653" t="inlineStr">
        <is>
          <t>tblDeviceModel</t>
        </is>
      </c>
      <c r="D1653" t="n">
        <v>552</v>
      </c>
      <c r="E1653" t="inlineStr">
        <is>
          <t>MOD000549</t>
        </is>
      </c>
      <c r="F1653" t="inlineStr">
        <is>
          <t>DeviceFamilyID</t>
        </is>
      </c>
      <c r="G1653" t="inlineStr">
        <is>
          <t>DF-112</t>
        </is>
      </c>
      <c r="H1653" t="inlineStr">
        <is>
          <t>tblDeviceFamilyIDCrosswalk</t>
        </is>
      </c>
      <c r="I1653" t="inlineStr"/>
      <c r="J1653" t="inlineStr">
        <is>
          <t>tblDeviceModel</t>
        </is>
      </c>
      <c r="K1653" t="inlineStr">
        <is>
          <t>Exact ID</t>
        </is>
      </c>
      <c r="L1653" t="inlineStr">
        <is>
          <t>Crosswalk Pending</t>
        </is>
      </c>
      <c r="M1653" t="inlineStr">
        <is>
          <t>Open</t>
        </is>
      </c>
      <c r="N1653" t="inlineStr"/>
    </row>
    <row r="1654">
      <c r="A1654" t="inlineStr">
        <is>
          <t>FKEX01653</t>
        </is>
      </c>
      <c r="B1654" t="inlineStr">
        <is>
          <t>15 LL_Device</t>
        </is>
      </c>
      <c r="C1654" t="inlineStr">
        <is>
          <t>tblDeviceModel</t>
        </is>
      </c>
      <c r="D1654" t="n">
        <v>552</v>
      </c>
      <c r="E1654" t="inlineStr">
        <is>
          <t>MOD000549</t>
        </is>
      </c>
      <c r="F1654" t="inlineStr">
        <is>
          <t>DeviceTypeID</t>
        </is>
      </c>
      <c r="G1654" t="inlineStr">
        <is>
          <t>DT001</t>
        </is>
      </c>
      <c r="H1654" t="inlineStr">
        <is>
          <t>tblDeviceTypeIDCrosswalk</t>
        </is>
      </c>
      <c r="I1654" t="inlineStr"/>
      <c r="J1654" t="inlineStr">
        <is>
          <t>No Supported Match</t>
        </is>
      </c>
      <c r="K1654" t="inlineStr">
        <is>
          <t>None</t>
        </is>
      </c>
      <c r="L1654" t="inlineStr">
        <is>
          <t>Crosswalk Pending</t>
        </is>
      </c>
      <c r="M1654" t="inlineStr">
        <is>
          <t>Open</t>
        </is>
      </c>
      <c r="N1654" t="inlineStr"/>
    </row>
    <row r="1655">
      <c r="A1655" t="inlineStr">
        <is>
          <t>FKEX01654</t>
        </is>
      </c>
      <c r="B1655" t="inlineStr">
        <is>
          <t>15 LL_Device</t>
        </is>
      </c>
      <c r="C1655" t="inlineStr">
        <is>
          <t>tblDeviceModel</t>
        </is>
      </c>
      <c r="D1655" t="n">
        <v>553</v>
      </c>
      <c r="E1655" t="inlineStr">
        <is>
          <t>MOD000550</t>
        </is>
      </c>
      <c r="F1655" t="inlineStr">
        <is>
          <t>ManufacturerID</t>
        </is>
      </c>
      <c r="G1655" t="inlineStr">
        <is>
          <t>MFG011</t>
        </is>
      </c>
      <c r="H1655" t="inlineStr">
        <is>
          <t>tblManufacturerIDCrosswalk</t>
        </is>
      </c>
      <c r="I1655" t="inlineStr"/>
      <c r="J1655" t="inlineStr">
        <is>
          <t>No Supported Match</t>
        </is>
      </c>
      <c r="K1655" t="inlineStr">
        <is>
          <t>None</t>
        </is>
      </c>
      <c r="L1655" t="inlineStr">
        <is>
          <t>Crosswalk Pending</t>
        </is>
      </c>
      <c r="M1655" t="inlineStr">
        <is>
          <t>Open</t>
        </is>
      </c>
      <c r="N1655" t="inlineStr"/>
    </row>
    <row r="1656">
      <c r="A1656" t="inlineStr">
        <is>
          <t>FKEX01655</t>
        </is>
      </c>
      <c r="B1656" t="inlineStr">
        <is>
          <t>15 LL_Device</t>
        </is>
      </c>
      <c r="C1656" t="inlineStr">
        <is>
          <t>tblDeviceModel</t>
        </is>
      </c>
      <c r="D1656" t="n">
        <v>553</v>
      </c>
      <c r="E1656" t="inlineStr">
        <is>
          <t>MOD000550</t>
        </is>
      </c>
      <c r="F1656" t="inlineStr">
        <is>
          <t>DeviceFamilyID</t>
        </is>
      </c>
      <c r="G1656" t="inlineStr">
        <is>
          <t>DF-112</t>
        </is>
      </c>
      <c r="H1656" t="inlineStr">
        <is>
          <t>tblDeviceFamilyIDCrosswalk</t>
        </is>
      </c>
      <c r="I1656" t="inlineStr"/>
      <c r="J1656" t="inlineStr">
        <is>
          <t>tblDeviceModel</t>
        </is>
      </c>
      <c r="K1656" t="inlineStr">
        <is>
          <t>Exact ID</t>
        </is>
      </c>
      <c r="L1656" t="inlineStr">
        <is>
          <t>Crosswalk Pending</t>
        </is>
      </c>
      <c r="M1656" t="inlineStr">
        <is>
          <t>Open</t>
        </is>
      </c>
      <c r="N1656" t="inlineStr"/>
    </row>
    <row r="1657">
      <c r="A1657" t="inlineStr">
        <is>
          <t>FKEX01656</t>
        </is>
      </c>
      <c r="B1657" t="inlineStr">
        <is>
          <t>15 LL_Device</t>
        </is>
      </c>
      <c r="C1657" t="inlineStr">
        <is>
          <t>tblDeviceModel</t>
        </is>
      </c>
      <c r="D1657" t="n">
        <v>553</v>
      </c>
      <c r="E1657" t="inlineStr">
        <is>
          <t>MOD000550</t>
        </is>
      </c>
      <c r="F1657" t="inlineStr">
        <is>
          <t>DeviceTypeID</t>
        </is>
      </c>
      <c r="G1657" t="inlineStr">
        <is>
          <t>DT001</t>
        </is>
      </c>
      <c r="H1657" t="inlineStr">
        <is>
          <t>tblDeviceTypeIDCrosswalk</t>
        </is>
      </c>
      <c r="I1657" t="inlineStr"/>
      <c r="J1657" t="inlineStr">
        <is>
          <t>No Supported Match</t>
        </is>
      </c>
      <c r="K1657" t="inlineStr">
        <is>
          <t>None</t>
        </is>
      </c>
      <c r="L1657" t="inlineStr">
        <is>
          <t>Crosswalk Pending</t>
        </is>
      </c>
      <c r="M1657" t="inlineStr">
        <is>
          <t>Open</t>
        </is>
      </c>
      <c r="N1657" t="inlineStr"/>
    </row>
    <row r="1658">
      <c r="A1658" t="inlineStr">
        <is>
          <t>FKEX01657</t>
        </is>
      </c>
      <c r="B1658" t="inlineStr">
        <is>
          <t>15 LL_Device</t>
        </is>
      </c>
      <c r="C1658" t="inlineStr">
        <is>
          <t>tblDeviceModel</t>
        </is>
      </c>
      <c r="D1658" t="n">
        <v>554</v>
      </c>
      <c r="E1658" t="inlineStr">
        <is>
          <t>MOD000551</t>
        </is>
      </c>
      <c r="F1658" t="inlineStr">
        <is>
          <t>ManufacturerID</t>
        </is>
      </c>
      <c r="G1658" t="inlineStr">
        <is>
          <t>MFG011</t>
        </is>
      </c>
      <c r="H1658" t="inlineStr">
        <is>
          <t>tblManufacturerIDCrosswalk</t>
        </is>
      </c>
      <c r="I1658" t="inlineStr"/>
      <c r="J1658" t="inlineStr">
        <is>
          <t>No Supported Match</t>
        </is>
      </c>
      <c r="K1658" t="inlineStr">
        <is>
          <t>None</t>
        </is>
      </c>
      <c r="L1658" t="inlineStr">
        <is>
          <t>Crosswalk Pending</t>
        </is>
      </c>
      <c r="M1658" t="inlineStr">
        <is>
          <t>Open</t>
        </is>
      </c>
      <c r="N1658" t="inlineStr"/>
    </row>
    <row r="1659">
      <c r="A1659" t="inlineStr">
        <is>
          <t>FKEX01658</t>
        </is>
      </c>
      <c r="B1659" t="inlineStr">
        <is>
          <t>15 LL_Device</t>
        </is>
      </c>
      <c r="C1659" t="inlineStr">
        <is>
          <t>tblDeviceModel</t>
        </is>
      </c>
      <c r="D1659" t="n">
        <v>554</v>
      </c>
      <c r="E1659" t="inlineStr">
        <is>
          <t>MOD000551</t>
        </is>
      </c>
      <c r="F1659" t="inlineStr">
        <is>
          <t>DeviceFamilyID</t>
        </is>
      </c>
      <c r="G1659" t="inlineStr">
        <is>
          <t>DF-112</t>
        </is>
      </c>
      <c r="H1659" t="inlineStr">
        <is>
          <t>tblDeviceFamilyIDCrosswalk</t>
        </is>
      </c>
      <c r="I1659" t="inlineStr"/>
      <c r="J1659" t="inlineStr">
        <is>
          <t>tblDeviceModel</t>
        </is>
      </c>
      <c r="K1659" t="inlineStr">
        <is>
          <t>Exact ID</t>
        </is>
      </c>
      <c r="L1659" t="inlineStr">
        <is>
          <t>Crosswalk Pending</t>
        </is>
      </c>
      <c r="M1659" t="inlineStr">
        <is>
          <t>Open</t>
        </is>
      </c>
      <c r="N1659" t="inlineStr"/>
    </row>
    <row r="1660">
      <c r="A1660" t="inlineStr">
        <is>
          <t>FKEX01659</t>
        </is>
      </c>
      <c r="B1660" t="inlineStr">
        <is>
          <t>15 LL_Device</t>
        </is>
      </c>
      <c r="C1660" t="inlineStr">
        <is>
          <t>tblDeviceModel</t>
        </is>
      </c>
      <c r="D1660" t="n">
        <v>554</v>
      </c>
      <c r="E1660" t="inlineStr">
        <is>
          <t>MOD000551</t>
        </is>
      </c>
      <c r="F1660" t="inlineStr">
        <is>
          <t>DeviceTypeID</t>
        </is>
      </c>
      <c r="G1660" t="inlineStr">
        <is>
          <t>DT001</t>
        </is>
      </c>
      <c r="H1660" t="inlineStr">
        <is>
          <t>tblDeviceTypeIDCrosswalk</t>
        </is>
      </c>
      <c r="I1660" t="inlineStr"/>
      <c r="J1660" t="inlineStr">
        <is>
          <t>No Supported Match</t>
        </is>
      </c>
      <c r="K1660" t="inlineStr">
        <is>
          <t>None</t>
        </is>
      </c>
      <c r="L1660" t="inlineStr">
        <is>
          <t>Crosswalk Pending</t>
        </is>
      </c>
      <c r="M1660" t="inlineStr">
        <is>
          <t>Open</t>
        </is>
      </c>
      <c r="N1660" t="inlineStr"/>
    </row>
    <row r="1661">
      <c r="A1661" t="inlineStr">
        <is>
          <t>FKEX01660</t>
        </is>
      </c>
      <c r="B1661" t="inlineStr">
        <is>
          <t>15 LL_Device</t>
        </is>
      </c>
      <c r="C1661" t="inlineStr">
        <is>
          <t>tblDeviceModel</t>
        </is>
      </c>
      <c r="D1661" t="n">
        <v>555</v>
      </c>
      <c r="E1661" t="inlineStr">
        <is>
          <t>MOD000552</t>
        </is>
      </c>
      <c r="F1661" t="inlineStr">
        <is>
          <t>ManufacturerID</t>
        </is>
      </c>
      <c r="G1661" t="inlineStr">
        <is>
          <t>MFG011</t>
        </is>
      </c>
      <c r="H1661" t="inlineStr">
        <is>
          <t>tblManufacturerIDCrosswalk</t>
        </is>
      </c>
      <c r="I1661" t="inlineStr"/>
      <c r="J1661" t="inlineStr">
        <is>
          <t>No Supported Match</t>
        </is>
      </c>
      <c r="K1661" t="inlineStr">
        <is>
          <t>None</t>
        </is>
      </c>
      <c r="L1661" t="inlineStr">
        <is>
          <t>Crosswalk Pending</t>
        </is>
      </c>
      <c r="M1661" t="inlineStr">
        <is>
          <t>Open</t>
        </is>
      </c>
      <c r="N1661" t="inlineStr"/>
    </row>
    <row r="1662">
      <c r="A1662" t="inlineStr">
        <is>
          <t>FKEX01661</t>
        </is>
      </c>
      <c r="B1662" t="inlineStr">
        <is>
          <t>15 LL_Device</t>
        </is>
      </c>
      <c r="C1662" t="inlineStr">
        <is>
          <t>tblDeviceModel</t>
        </is>
      </c>
      <c r="D1662" t="n">
        <v>555</v>
      </c>
      <c r="E1662" t="inlineStr">
        <is>
          <t>MOD000552</t>
        </is>
      </c>
      <c r="F1662" t="inlineStr">
        <is>
          <t>DeviceFamilyID</t>
        </is>
      </c>
      <c r="G1662" t="inlineStr">
        <is>
          <t>DF-113</t>
        </is>
      </c>
      <c r="H1662" t="inlineStr">
        <is>
          <t>tblDeviceFamilyIDCrosswalk</t>
        </is>
      </c>
      <c r="I1662" t="inlineStr"/>
      <c r="J1662" t="inlineStr">
        <is>
          <t>tblDeviceModel</t>
        </is>
      </c>
      <c r="K1662" t="inlineStr">
        <is>
          <t>Exact ID</t>
        </is>
      </c>
      <c r="L1662" t="inlineStr">
        <is>
          <t>Crosswalk Pending</t>
        </is>
      </c>
      <c r="M1662" t="inlineStr">
        <is>
          <t>Open</t>
        </is>
      </c>
      <c r="N1662" t="inlineStr"/>
    </row>
    <row r="1663">
      <c r="A1663" t="inlineStr">
        <is>
          <t>FKEX01662</t>
        </is>
      </c>
      <c r="B1663" t="inlineStr">
        <is>
          <t>15 LL_Device</t>
        </is>
      </c>
      <c r="C1663" t="inlineStr">
        <is>
          <t>tblDeviceModel</t>
        </is>
      </c>
      <c r="D1663" t="n">
        <v>555</v>
      </c>
      <c r="E1663" t="inlineStr">
        <is>
          <t>MOD000552</t>
        </is>
      </c>
      <c r="F1663" t="inlineStr">
        <is>
          <t>DeviceTypeID</t>
        </is>
      </c>
      <c r="G1663" t="inlineStr">
        <is>
          <t>DT001</t>
        </is>
      </c>
      <c r="H1663" t="inlineStr">
        <is>
          <t>tblDeviceTypeIDCrosswalk</t>
        </is>
      </c>
      <c r="I1663" t="inlineStr"/>
      <c r="J1663" t="inlineStr">
        <is>
          <t>No Supported Match</t>
        </is>
      </c>
      <c r="K1663" t="inlineStr">
        <is>
          <t>None</t>
        </is>
      </c>
      <c r="L1663" t="inlineStr">
        <is>
          <t>Crosswalk Pending</t>
        </is>
      </c>
      <c r="M1663" t="inlineStr">
        <is>
          <t>Open</t>
        </is>
      </c>
      <c r="N1663" t="inlineStr"/>
    </row>
    <row r="1664">
      <c r="A1664" t="inlineStr">
        <is>
          <t>FKEX01663</t>
        </is>
      </c>
      <c r="B1664" t="inlineStr">
        <is>
          <t>15 LL_Device</t>
        </is>
      </c>
      <c r="C1664" t="inlineStr">
        <is>
          <t>tblDeviceModel</t>
        </is>
      </c>
      <c r="D1664" t="n">
        <v>556</v>
      </c>
      <c r="E1664" t="inlineStr">
        <is>
          <t>MOD000553</t>
        </is>
      </c>
      <c r="F1664" t="inlineStr">
        <is>
          <t>ManufacturerID</t>
        </is>
      </c>
      <c r="G1664" t="inlineStr">
        <is>
          <t>MFG011</t>
        </is>
      </c>
      <c r="H1664" t="inlineStr">
        <is>
          <t>tblManufacturerIDCrosswalk</t>
        </is>
      </c>
      <c r="I1664" t="inlineStr"/>
      <c r="J1664" t="inlineStr">
        <is>
          <t>No Supported Match</t>
        </is>
      </c>
      <c r="K1664" t="inlineStr">
        <is>
          <t>None</t>
        </is>
      </c>
      <c r="L1664" t="inlineStr">
        <is>
          <t>Crosswalk Pending</t>
        </is>
      </c>
      <c r="M1664" t="inlineStr">
        <is>
          <t>Open</t>
        </is>
      </c>
      <c r="N1664" t="inlineStr"/>
    </row>
    <row r="1665">
      <c r="A1665" t="inlineStr">
        <is>
          <t>FKEX01664</t>
        </is>
      </c>
      <c r="B1665" t="inlineStr">
        <is>
          <t>15 LL_Device</t>
        </is>
      </c>
      <c r="C1665" t="inlineStr">
        <is>
          <t>tblDeviceModel</t>
        </is>
      </c>
      <c r="D1665" t="n">
        <v>556</v>
      </c>
      <c r="E1665" t="inlineStr">
        <is>
          <t>MOD000553</t>
        </is>
      </c>
      <c r="F1665" t="inlineStr">
        <is>
          <t>DeviceFamilyID</t>
        </is>
      </c>
      <c r="G1665" t="inlineStr">
        <is>
          <t>DF-113</t>
        </is>
      </c>
      <c r="H1665" t="inlineStr">
        <is>
          <t>tblDeviceFamilyIDCrosswalk</t>
        </is>
      </c>
      <c r="I1665" t="inlineStr"/>
      <c r="J1665" t="inlineStr">
        <is>
          <t>tblDeviceModel</t>
        </is>
      </c>
      <c r="K1665" t="inlineStr">
        <is>
          <t>Exact ID</t>
        </is>
      </c>
      <c r="L1665" t="inlineStr">
        <is>
          <t>Crosswalk Pending</t>
        </is>
      </c>
      <c r="M1665" t="inlineStr">
        <is>
          <t>Open</t>
        </is>
      </c>
      <c r="N1665" t="inlineStr"/>
    </row>
    <row r="1666">
      <c r="A1666" t="inlineStr">
        <is>
          <t>FKEX01665</t>
        </is>
      </c>
      <c r="B1666" t="inlineStr">
        <is>
          <t>15 LL_Device</t>
        </is>
      </c>
      <c r="C1666" t="inlineStr">
        <is>
          <t>tblDeviceModel</t>
        </is>
      </c>
      <c r="D1666" t="n">
        <v>556</v>
      </c>
      <c r="E1666" t="inlineStr">
        <is>
          <t>MOD000553</t>
        </is>
      </c>
      <c r="F1666" t="inlineStr">
        <is>
          <t>DeviceTypeID</t>
        </is>
      </c>
      <c r="G1666" t="inlineStr">
        <is>
          <t>DT001</t>
        </is>
      </c>
      <c r="H1666" t="inlineStr">
        <is>
          <t>tblDeviceTypeIDCrosswalk</t>
        </is>
      </c>
      <c r="I1666" t="inlineStr"/>
      <c r="J1666" t="inlineStr">
        <is>
          <t>No Supported Match</t>
        </is>
      </c>
      <c r="K1666" t="inlineStr">
        <is>
          <t>None</t>
        </is>
      </c>
      <c r="L1666" t="inlineStr">
        <is>
          <t>Crosswalk Pending</t>
        </is>
      </c>
      <c r="M1666" t="inlineStr">
        <is>
          <t>Open</t>
        </is>
      </c>
      <c r="N1666" t="inlineStr"/>
    </row>
    <row r="1667">
      <c r="A1667" t="inlineStr">
        <is>
          <t>FKEX01666</t>
        </is>
      </c>
      <c r="B1667" t="inlineStr">
        <is>
          <t>15 LL_Device</t>
        </is>
      </c>
      <c r="C1667" t="inlineStr">
        <is>
          <t>tblDeviceModel</t>
        </is>
      </c>
      <c r="D1667" t="n">
        <v>557</v>
      </c>
      <c r="E1667" t="inlineStr">
        <is>
          <t>MOD000554</t>
        </is>
      </c>
      <c r="F1667" t="inlineStr">
        <is>
          <t>ManufacturerID</t>
        </is>
      </c>
      <c r="G1667" t="inlineStr">
        <is>
          <t>MFG011</t>
        </is>
      </c>
      <c r="H1667" t="inlineStr">
        <is>
          <t>tblManufacturerIDCrosswalk</t>
        </is>
      </c>
      <c r="I1667" t="inlineStr"/>
      <c r="J1667" t="inlineStr">
        <is>
          <t>No Supported Match</t>
        </is>
      </c>
      <c r="K1667" t="inlineStr">
        <is>
          <t>None</t>
        </is>
      </c>
      <c r="L1667" t="inlineStr">
        <is>
          <t>Crosswalk Pending</t>
        </is>
      </c>
      <c r="M1667" t="inlineStr">
        <is>
          <t>Open</t>
        </is>
      </c>
      <c r="N1667" t="inlineStr"/>
    </row>
    <row r="1668">
      <c r="A1668" t="inlineStr">
        <is>
          <t>FKEX01667</t>
        </is>
      </c>
      <c r="B1668" t="inlineStr">
        <is>
          <t>15 LL_Device</t>
        </is>
      </c>
      <c r="C1668" t="inlineStr">
        <is>
          <t>tblDeviceModel</t>
        </is>
      </c>
      <c r="D1668" t="n">
        <v>557</v>
      </c>
      <c r="E1668" t="inlineStr">
        <is>
          <t>MOD000554</t>
        </is>
      </c>
      <c r="F1668" t="inlineStr">
        <is>
          <t>DeviceFamilyID</t>
        </is>
      </c>
      <c r="G1668" t="inlineStr">
        <is>
          <t>DF-114</t>
        </is>
      </c>
      <c r="H1668" t="inlineStr">
        <is>
          <t>tblDeviceFamilyIDCrosswalk</t>
        </is>
      </c>
      <c r="I1668" t="inlineStr"/>
      <c r="J1668" t="inlineStr">
        <is>
          <t>tblDeviceModel</t>
        </is>
      </c>
      <c r="K1668" t="inlineStr">
        <is>
          <t>Exact ID</t>
        </is>
      </c>
      <c r="L1668" t="inlineStr">
        <is>
          <t>Crosswalk Pending</t>
        </is>
      </c>
      <c r="M1668" t="inlineStr">
        <is>
          <t>Open</t>
        </is>
      </c>
      <c r="N1668" t="inlineStr"/>
    </row>
    <row r="1669">
      <c r="A1669" t="inlineStr">
        <is>
          <t>FKEX01668</t>
        </is>
      </c>
      <c r="B1669" t="inlineStr">
        <is>
          <t>15 LL_Device</t>
        </is>
      </c>
      <c r="C1669" t="inlineStr">
        <is>
          <t>tblDeviceModel</t>
        </is>
      </c>
      <c r="D1669" t="n">
        <v>557</v>
      </c>
      <c r="E1669" t="inlineStr">
        <is>
          <t>MOD000554</t>
        </is>
      </c>
      <c r="F1669" t="inlineStr">
        <is>
          <t>DeviceTypeID</t>
        </is>
      </c>
      <c r="G1669" t="inlineStr">
        <is>
          <t>DT002</t>
        </is>
      </c>
      <c r="H1669" t="inlineStr">
        <is>
          <t>tblDeviceTypeIDCrosswalk</t>
        </is>
      </c>
      <c r="I1669" t="inlineStr"/>
      <c r="J1669" t="inlineStr">
        <is>
          <t>No Supported Match</t>
        </is>
      </c>
      <c r="K1669" t="inlineStr">
        <is>
          <t>None</t>
        </is>
      </c>
      <c r="L1669" t="inlineStr">
        <is>
          <t>Crosswalk Pending</t>
        </is>
      </c>
      <c r="M1669" t="inlineStr">
        <is>
          <t>Open</t>
        </is>
      </c>
      <c r="N1669" t="inlineStr"/>
    </row>
    <row r="1670">
      <c r="A1670" t="inlineStr">
        <is>
          <t>FKEX01669</t>
        </is>
      </c>
      <c r="B1670" t="inlineStr">
        <is>
          <t>15 LL_Device</t>
        </is>
      </c>
      <c r="C1670" t="inlineStr">
        <is>
          <t>tblDeviceModel</t>
        </is>
      </c>
      <c r="D1670" t="n">
        <v>558</v>
      </c>
      <c r="E1670" t="inlineStr">
        <is>
          <t>MOD000555</t>
        </is>
      </c>
      <c r="F1670" t="inlineStr">
        <is>
          <t>ManufacturerID</t>
        </is>
      </c>
      <c r="G1670" t="inlineStr">
        <is>
          <t>MFG011</t>
        </is>
      </c>
      <c r="H1670" t="inlineStr">
        <is>
          <t>tblManufacturerIDCrosswalk</t>
        </is>
      </c>
      <c r="I1670" t="inlineStr"/>
      <c r="J1670" t="inlineStr">
        <is>
          <t>No Supported Match</t>
        </is>
      </c>
      <c r="K1670" t="inlineStr">
        <is>
          <t>None</t>
        </is>
      </c>
      <c r="L1670" t="inlineStr">
        <is>
          <t>Crosswalk Pending</t>
        </is>
      </c>
      <c r="M1670" t="inlineStr">
        <is>
          <t>Open</t>
        </is>
      </c>
      <c r="N1670" t="inlineStr"/>
    </row>
    <row r="1671">
      <c r="A1671" t="inlineStr">
        <is>
          <t>FKEX01670</t>
        </is>
      </c>
      <c r="B1671" t="inlineStr">
        <is>
          <t>15 LL_Device</t>
        </is>
      </c>
      <c r="C1671" t="inlineStr">
        <is>
          <t>tblDeviceModel</t>
        </is>
      </c>
      <c r="D1671" t="n">
        <v>558</v>
      </c>
      <c r="E1671" t="inlineStr">
        <is>
          <t>MOD000555</t>
        </is>
      </c>
      <c r="F1671" t="inlineStr">
        <is>
          <t>DeviceFamilyID</t>
        </is>
      </c>
      <c r="G1671" t="inlineStr">
        <is>
          <t>DF-111</t>
        </is>
      </c>
      <c r="H1671" t="inlineStr">
        <is>
          <t>tblDeviceFamilyIDCrosswalk</t>
        </is>
      </c>
      <c r="I1671" t="inlineStr"/>
      <c r="J1671" t="inlineStr">
        <is>
          <t>tblDeviceModel</t>
        </is>
      </c>
      <c r="K1671" t="inlineStr">
        <is>
          <t>Exact ID</t>
        </is>
      </c>
      <c r="L1671" t="inlineStr">
        <is>
          <t>Crosswalk Pending</t>
        </is>
      </c>
      <c r="M1671" t="inlineStr">
        <is>
          <t>Open</t>
        </is>
      </c>
      <c r="N1671" t="inlineStr"/>
    </row>
    <row r="1672">
      <c r="A1672" t="inlineStr">
        <is>
          <t>FKEX01671</t>
        </is>
      </c>
      <c r="B1672" t="inlineStr">
        <is>
          <t>15 LL_Device</t>
        </is>
      </c>
      <c r="C1672" t="inlineStr">
        <is>
          <t>tblDeviceModel</t>
        </is>
      </c>
      <c r="D1672" t="n">
        <v>558</v>
      </c>
      <c r="E1672" t="inlineStr">
        <is>
          <t>MOD000555</t>
        </is>
      </c>
      <c r="F1672" t="inlineStr">
        <is>
          <t>DeviceTypeID</t>
        </is>
      </c>
      <c r="G1672" t="inlineStr">
        <is>
          <t>DT001</t>
        </is>
      </c>
      <c r="H1672" t="inlineStr">
        <is>
          <t>tblDeviceTypeIDCrosswalk</t>
        </is>
      </c>
      <c r="I1672" t="inlineStr"/>
      <c r="J1672" t="inlineStr">
        <is>
          <t>No Supported Match</t>
        </is>
      </c>
      <c r="K1672" t="inlineStr">
        <is>
          <t>None</t>
        </is>
      </c>
      <c r="L1672" t="inlineStr">
        <is>
          <t>Crosswalk Pending</t>
        </is>
      </c>
      <c r="M1672" t="inlineStr">
        <is>
          <t>Open</t>
        </is>
      </c>
      <c r="N1672" t="inlineStr"/>
    </row>
    <row r="1673">
      <c r="A1673" t="inlineStr">
        <is>
          <t>FKEX01672</t>
        </is>
      </c>
      <c r="B1673" t="inlineStr">
        <is>
          <t>15 LL_Device</t>
        </is>
      </c>
      <c r="C1673" t="inlineStr">
        <is>
          <t>tblDeviceModel</t>
        </is>
      </c>
      <c r="D1673" t="n">
        <v>559</v>
      </c>
      <c r="E1673" t="inlineStr">
        <is>
          <t>MOD000556</t>
        </is>
      </c>
      <c r="F1673" t="inlineStr">
        <is>
          <t>ManufacturerID</t>
        </is>
      </c>
      <c r="G1673" t="inlineStr">
        <is>
          <t>MFG011</t>
        </is>
      </c>
      <c r="H1673" t="inlineStr">
        <is>
          <t>tblManufacturerIDCrosswalk</t>
        </is>
      </c>
      <c r="I1673" t="inlineStr"/>
      <c r="J1673" t="inlineStr">
        <is>
          <t>No Supported Match</t>
        </is>
      </c>
      <c r="K1673" t="inlineStr">
        <is>
          <t>None</t>
        </is>
      </c>
      <c r="L1673" t="inlineStr">
        <is>
          <t>Crosswalk Pending</t>
        </is>
      </c>
      <c r="M1673" t="inlineStr">
        <is>
          <t>Open</t>
        </is>
      </c>
      <c r="N1673" t="inlineStr"/>
    </row>
    <row r="1674">
      <c r="A1674" t="inlineStr">
        <is>
          <t>FKEX01673</t>
        </is>
      </c>
      <c r="B1674" t="inlineStr">
        <is>
          <t>15 LL_Device</t>
        </is>
      </c>
      <c r="C1674" t="inlineStr">
        <is>
          <t>tblDeviceModel</t>
        </is>
      </c>
      <c r="D1674" t="n">
        <v>559</v>
      </c>
      <c r="E1674" t="inlineStr">
        <is>
          <t>MOD000556</t>
        </is>
      </c>
      <c r="F1674" t="inlineStr">
        <is>
          <t>DeviceFamilyID</t>
        </is>
      </c>
      <c r="G1674" t="inlineStr">
        <is>
          <t>DF-111</t>
        </is>
      </c>
      <c r="H1674" t="inlineStr">
        <is>
          <t>tblDeviceFamilyIDCrosswalk</t>
        </is>
      </c>
      <c r="I1674" t="inlineStr"/>
      <c r="J1674" t="inlineStr">
        <is>
          <t>tblDeviceModel</t>
        </is>
      </c>
      <c r="K1674" t="inlineStr">
        <is>
          <t>Exact ID</t>
        </is>
      </c>
      <c r="L1674" t="inlineStr">
        <is>
          <t>Crosswalk Pending</t>
        </is>
      </c>
      <c r="M1674" t="inlineStr">
        <is>
          <t>Open</t>
        </is>
      </c>
      <c r="N1674" t="inlineStr"/>
    </row>
    <row r="1675">
      <c r="A1675" t="inlineStr">
        <is>
          <t>FKEX01674</t>
        </is>
      </c>
      <c r="B1675" t="inlineStr">
        <is>
          <t>15 LL_Device</t>
        </is>
      </c>
      <c r="C1675" t="inlineStr">
        <is>
          <t>tblDeviceModel</t>
        </is>
      </c>
      <c r="D1675" t="n">
        <v>559</v>
      </c>
      <c r="E1675" t="inlineStr">
        <is>
          <t>MOD000556</t>
        </is>
      </c>
      <c r="F1675" t="inlineStr">
        <is>
          <t>DeviceTypeID</t>
        </is>
      </c>
      <c r="G1675" t="inlineStr">
        <is>
          <t>DT001</t>
        </is>
      </c>
      <c r="H1675" t="inlineStr">
        <is>
          <t>tblDeviceTypeIDCrosswalk</t>
        </is>
      </c>
      <c r="I1675" t="inlineStr"/>
      <c r="J1675" t="inlineStr">
        <is>
          <t>No Supported Match</t>
        </is>
      </c>
      <c r="K1675" t="inlineStr">
        <is>
          <t>None</t>
        </is>
      </c>
      <c r="L1675" t="inlineStr">
        <is>
          <t>Crosswalk Pending</t>
        </is>
      </c>
      <c r="M1675" t="inlineStr">
        <is>
          <t>Open</t>
        </is>
      </c>
      <c r="N1675" t="inlineStr"/>
    </row>
    <row r="1676">
      <c r="A1676" t="inlineStr">
        <is>
          <t>FKEX01675</t>
        </is>
      </c>
      <c r="B1676" t="inlineStr">
        <is>
          <t>15 LL_Device</t>
        </is>
      </c>
      <c r="C1676" t="inlineStr">
        <is>
          <t>tblDeviceModel</t>
        </is>
      </c>
      <c r="D1676" t="n">
        <v>560</v>
      </c>
      <c r="E1676" t="inlineStr">
        <is>
          <t>MOD000557</t>
        </is>
      </c>
      <c r="F1676" t="inlineStr">
        <is>
          <t>ManufacturerID</t>
        </is>
      </c>
      <c r="G1676" t="inlineStr">
        <is>
          <t>MFG011</t>
        </is>
      </c>
      <c r="H1676" t="inlineStr">
        <is>
          <t>tblManufacturerIDCrosswalk</t>
        </is>
      </c>
      <c r="I1676" t="inlineStr"/>
      <c r="J1676" t="inlineStr">
        <is>
          <t>No Supported Match</t>
        </is>
      </c>
      <c r="K1676" t="inlineStr">
        <is>
          <t>None</t>
        </is>
      </c>
      <c r="L1676" t="inlineStr">
        <is>
          <t>Crosswalk Pending</t>
        </is>
      </c>
      <c r="M1676" t="inlineStr">
        <is>
          <t>Open</t>
        </is>
      </c>
      <c r="N1676" t="inlineStr"/>
    </row>
    <row r="1677">
      <c r="A1677" t="inlineStr">
        <is>
          <t>FKEX01676</t>
        </is>
      </c>
      <c r="B1677" t="inlineStr">
        <is>
          <t>15 LL_Device</t>
        </is>
      </c>
      <c r="C1677" t="inlineStr">
        <is>
          <t>tblDeviceModel</t>
        </is>
      </c>
      <c r="D1677" t="n">
        <v>560</v>
      </c>
      <c r="E1677" t="inlineStr">
        <is>
          <t>MOD000557</t>
        </is>
      </c>
      <c r="F1677" t="inlineStr">
        <is>
          <t>DeviceFamilyID</t>
        </is>
      </c>
      <c r="G1677" t="inlineStr">
        <is>
          <t>DF-112</t>
        </is>
      </c>
      <c r="H1677" t="inlineStr">
        <is>
          <t>tblDeviceFamilyIDCrosswalk</t>
        </is>
      </c>
      <c r="I1677" t="inlineStr"/>
      <c r="J1677" t="inlineStr">
        <is>
          <t>tblDeviceModel</t>
        </is>
      </c>
      <c r="K1677" t="inlineStr">
        <is>
          <t>Exact ID</t>
        </is>
      </c>
      <c r="L1677" t="inlineStr">
        <is>
          <t>Crosswalk Pending</t>
        </is>
      </c>
      <c r="M1677" t="inlineStr">
        <is>
          <t>Open</t>
        </is>
      </c>
      <c r="N1677" t="inlineStr"/>
    </row>
    <row r="1678">
      <c r="A1678" t="inlineStr">
        <is>
          <t>FKEX01677</t>
        </is>
      </c>
      <c r="B1678" t="inlineStr">
        <is>
          <t>15 LL_Device</t>
        </is>
      </c>
      <c r="C1678" t="inlineStr">
        <is>
          <t>tblDeviceModel</t>
        </is>
      </c>
      <c r="D1678" t="n">
        <v>560</v>
      </c>
      <c r="E1678" t="inlineStr">
        <is>
          <t>MOD000557</t>
        </is>
      </c>
      <c r="F1678" t="inlineStr">
        <is>
          <t>DeviceTypeID</t>
        </is>
      </c>
      <c r="G1678" t="inlineStr">
        <is>
          <t>DT001</t>
        </is>
      </c>
      <c r="H1678" t="inlineStr">
        <is>
          <t>tblDeviceTypeIDCrosswalk</t>
        </is>
      </c>
      <c r="I1678" t="inlineStr"/>
      <c r="J1678" t="inlineStr">
        <is>
          <t>No Supported Match</t>
        </is>
      </c>
      <c r="K1678" t="inlineStr">
        <is>
          <t>None</t>
        </is>
      </c>
      <c r="L1678" t="inlineStr">
        <is>
          <t>Crosswalk Pending</t>
        </is>
      </c>
      <c r="M1678" t="inlineStr">
        <is>
          <t>Open</t>
        </is>
      </c>
      <c r="N1678" t="inlineStr"/>
    </row>
    <row r="1679">
      <c r="A1679" t="inlineStr">
        <is>
          <t>FKEX01678</t>
        </is>
      </c>
      <c r="B1679" t="inlineStr">
        <is>
          <t>15 LL_Device</t>
        </is>
      </c>
      <c r="C1679" t="inlineStr">
        <is>
          <t>tblDeviceModel</t>
        </is>
      </c>
      <c r="D1679" t="n">
        <v>561</v>
      </c>
      <c r="E1679" t="inlineStr">
        <is>
          <t>MOD000558</t>
        </is>
      </c>
      <c r="F1679" t="inlineStr">
        <is>
          <t>ManufacturerID</t>
        </is>
      </c>
      <c r="G1679" t="inlineStr">
        <is>
          <t>MFG011</t>
        </is>
      </c>
      <c r="H1679" t="inlineStr">
        <is>
          <t>tblManufacturerIDCrosswalk</t>
        </is>
      </c>
      <c r="I1679" t="inlineStr"/>
      <c r="J1679" t="inlineStr">
        <is>
          <t>No Supported Match</t>
        </is>
      </c>
      <c r="K1679" t="inlineStr">
        <is>
          <t>None</t>
        </is>
      </c>
      <c r="L1679" t="inlineStr">
        <is>
          <t>Crosswalk Pending</t>
        </is>
      </c>
      <c r="M1679" t="inlineStr">
        <is>
          <t>Open</t>
        </is>
      </c>
      <c r="N1679" t="inlineStr"/>
    </row>
    <row r="1680">
      <c r="A1680" t="inlineStr">
        <is>
          <t>FKEX01679</t>
        </is>
      </c>
      <c r="B1680" t="inlineStr">
        <is>
          <t>15 LL_Device</t>
        </is>
      </c>
      <c r="C1680" t="inlineStr">
        <is>
          <t>tblDeviceModel</t>
        </is>
      </c>
      <c r="D1680" t="n">
        <v>561</v>
      </c>
      <c r="E1680" t="inlineStr">
        <is>
          <t>MOD000558</t>
        </is>
      </c>
      <c r="F1680" t="inlineStr">
        <is>
          <t>DeviceFamilyID</t>
        </is>
      </c>
      <c r="G1680" t="inlineStr">
        <is>
          <t>DF-112</t>
        </is>
      </c>
      <c r="H1680" t="inlineStr">
        <is>
          <t>tblDeviceFamilyIDCrosswalk</t>
        </is>
      </c>
      <c r="I1680" t="inlineStr"/>
      <c r="J1680" t="inlineStr">
        <is>
          <t>tblDeviceModel</t>
        </is>
      </c>
      <c r="K1680" t="inlineStr">
        <is>
          <t>Exact ID</t>
        </is>
      </c>
      <c r="L1680" t="inlineStr">
        <is>
          <t>Crosswalk Pending</t>
        </is>
      </c>
      <c r="M1680" t="inlineStr">
        <is>
          <t>Open</t>
        </is>
      </c>
      <c r="N1680" t="inlineStr"/>
    </row>
    <row r="1681">
      <c r="A1681" t="inlineStr">
        <is>
          <t>FKEX01680</t>
        </is>
      </c>
      <c r="B1681" t="inlineStr">
        <is>
          <t>15 LL_Device</t>
        </is>
      </c>
      <c r="C1681" t="inlineStr">
        <is>
          <t>tblDeviceModel</t>
        </is>
      </c>
      <c r="D1681" t="n">
        <v>561</v>
      </c>
      <c r="E1681" t="inlineStr">
        <is>
          <t>MOD000558</t>
        </is>
      </c>
      <c r="F1681" t="inlineStr">
        <is>
          <t>DeviceTypeID</t>
        </is>
      </c>
      <c r="G1681" t="inlineStr">
        <is>
          <t>DT001</t>
        </is>
      </c>
      <c r="H1681" t="inlineStr">
        <is>
          <t>tblDeviceTypeIDCrosswalk</t>
        </is>
      </c>
      <c r="I1681" t="inlineStr"/>
      <c r="J1681" t="inlineStr">
        <is>
          <t>No Supported Match</t>
        </is>
      </c>
      <c r="K1681" t="inlineStr">
        <is>
          <t>None</t>
        </is>
      </c>
      <c r="L1681" t="inlineStr">
        <is>
          <t>Crosswalk Pending</t>
        </is>
      </c>
      <c r="M1681" t="inlineStr">
        <is>
          <t>Open</t>
        </is>
      </c>
      <c r="N1681" t="inlineStr"/>
    </row>
    <row r="1682">
      <c r="A1682" t="inlineStr">
        <is>
          <t>FKEX01681</t>
        </is>
      </c>
      <c r="B1682" t="inlineStr">
        <is>
          <t>15 LL_Device</t>
        </is>
      </c>
      <c r="C1682" t="inlineStr">
        <is>
          <t>tblDeviceModel</t>
        </is>
      </c>
      <c r="D1682" t="n">
        <v>562</v>
      </c>
      <c r="E1682" t="inlineStr">
        <is>
          <t>MOD000559</t>
        </is>
      </c>
      <c r="F1682" t="inlineStr">
        <is>
          <t>ManufacturerID</t>
        </is>
      </c>
      <c r="G1682" t="inlineStr">
        <is>
          <t>MFG012</t>
        </is>
      </c>
      <c r="H1682" t="inlineStr">
        <is>
          <t>tblManufacturerIDCrosswalk</t>
        </is>
      </c>
      <c r="I1682" t="inlineStr"/>
      <c r="J1682" t="inlineStr">
        <is>
          <t>No Supported Match</t>
        </is>
      </c>
      <c r="K1682" t="inlineStr">
        <is>
          <t>None</t>
        </is>
      </c>
      <c r="L1682" t="inlineStr">
        <is>
          <t>Crosswalk Pending</t>
        </is>
      </c>
      <c r="M1682" t="inlineStr">
        <is>
          <t>Open</t>
        </is>
      </c>
      <c r="N1682" t="inlineStr"/>
    </row>
    <row r="1683">
      <c r="A1683" t="inlineStr">
        <is>
          <t>FKEX01682</t>
        </is>
      </c>
      <c r="B1683" t="inlineStr">
        <is>
          <t>15 LL_Device</t>
        </is>
      </c>
      <c r="C1683" t="inlineStr">
        <is>
          <t>tblDeviceModel</t>
        </is>
      </c>
      <c r="D1683" t="n">
        <v>562</v>
      </c>
      <c r="E1683" t="inlineStr">
        <is>
          <t>MOD000559</t>
        </is>
      </c>
      <c r="F1683" t="inlineStr">
        <is>
          <t>DeviceFamilyID</t>
        </is>
      </c>
      <c r="G1683" t="inlineStr">
        <is>
          <t>DF-120</t>
        </is>
      </c>
      <c r="H1683" t="inlineStr">
        <is>
          <t>tblDeviceFamilyIDCrosswalk</t>
        </is>
      </c>
      <c r="I1683" t="inlineStr"/>
      <c r="J1683" t="inlineStr">
        <is>
          <t>tblDeviceModel</t>
        </is>
      </c>
      <c r="K1683" t="inlineStr">
        <is>
          <t>Exact ID</t>
        </is>
      </c>
      <c r="L1683" t="inlineStr">
        <is>
          <t>Crosswalk Pending</t>
        </is>
      </c>
      <c r="M1683" t="inlineStr">
        <is>
          <t>Open</t>
        </is>
      </c>
      <c r="N1683" t="inlineStr"/>
    </row>
    <row r="1684">
      <c r="A1684" t="inlineStr">
        <is>
          <t>FKEX01683</t>
        </is>
      </c>
      <c r="B1684" t="inlineStr">
        <is>
          <t>15 LL_Device</t>
        </is>
      </c>
      <c r="C1684" t="inlineStr">
        <is>
          <t>tblDeviceModel</t>
        </is>
      </c>
      <c r="D1684" t="n">
        <v>562</v>
      </c>
      <c r="E1684" t="inlineStr">
        <is>
          <t>MOD000559</t>
        </is>
      </c>
      <c r="F1684" t="inlineStr">
        <is>
          <t>DeviceTypeID</t>
        </is>
      </c>
      <c r="G1684" t="inlineStr">
        <is>
          <t>DT001</t>
        </is>
      </c>
      <c r="H1684" t="inlineStr">
        <is>
          <t>tblDeviceTypeIDCrosswalk</t>
        </is>
      </c>
      <c r="I1684" t="inlineStr"/>
      <c r="J1684" t="inlineStr">
        <is>
          <t>No Supported Match</t>
        </is>
      </c>
      <c r="K1684" t="inlineStr">
        <is>
          <t>None</t>
        </is>
      </c>
      <c r="L1684" t="inlineStr">
        <is>
          <t>Crosswalk Pending</t>
        </is>
      </c>
      <c r="M1684" t="inlineStr">
        <is>
          <t>Open</t>
        </is>
      </c>
      <c r="N1684" t="inlineStr"/>
    </row>
    <row r="1685">
      <c r="A1685" t="inlineStr">
        <is>
          <t>FKEX01684</t>
        </is>
      </c>
      <c r="B1685" t="inlineStr">
        <is>
          <t>15 LL_Device</t>
        </is>
      </c>
      <c r="C1685" t="inlineStr">
        <is>
          <t>tblDeviceModel</t>
        </is>
      </c>
      <c r="D1685" t="n">
        <v>563</v>
      </c>
      <c r="E1685" t="inlineStr">
        <is>
          <t>MOD000560</t>
        </is>
      </c>
      <c r="F1685" t="inlineStr">
        <is>
          <t>ManufacturerID</t>
        </is>
      </c>
      <c r="G1685" t="inlineStr">
        <is>
          <t>MFG012</t>
        </is>
      </c>
      <c r="H1685" t="inlineStr">
        <is>
          <t>tblManufacturerIDCrosswalk</t>
        </is>
      </c>
      <c r="I1685" t="inlineStr"/>
      <c r="J1685" t="inlineStr">
        <is>
          <t>No Supported Match</t>
        </is>
      </c>
      <c r="K1685" t="inlineStr">
        <is>
          <t>None</t>
        </is>
      </c>
      <c r="L1685" t="inlineStr">
        <is>
          <t>Crosswalk Pending</t>
        </is>
      </c>
      <c r="M1685" t="inlineStr">
        <is>
          <t>Open</t>
        </is>
      </c>
      <c r="N1685" t="inlineStr"/>
    </row>
    <row r="1686">
      <c r="A1686" t="inlineStr">
        <is>
          <t>FKEX01685</t>
        </is>
      </c>
      <c r="B1686" t="inlineStr">
        <is>
          <t>15 LL_Device</t>
        </is>
      </c>
      <c r="C1686" t="inlineStr">
        <is>
          <t>tblDeviceModel</t>
        </is>
      </c>
      <c r="D1686" t="n">
        <v>563</v>
      </c>
      <c r="E1686" t="inlineStr">
        <is>
          <t>MOD000560</t>
        </is>
      </c>
      <c r="F1686" t="inlineStr">
        <is>
          <t>DeviceFamilyID</t>
        </is>
      </c>
      <c r="G1686" t="inlineStr">
        <is>
          <t>DF-120</t>
        </is>
      </c>
      <c r="H1686" t="inlineStr">
        <is>
          <t>tblDeviceFamilyIDCrosswalk</t>
        </is>
      </c>
      <c r="I1686" t="inlineStr"/>
      <c r="J1686" t="inlineStr">
        <is>
          <t>tblDeviceModel</t>
        </is>
      </c>
      <c r="K1686" t="inlineStr">
        <is>
          <t>Exact ID</t>
        </is>
      </c>
      <c r="L1686" t="inlineStr">
        <is>
          <t>Crosswalk Pending</t>
        </is>
      </c>
      <c r="M1686" t="inlineStr">
        <is>
          <t>Open</t>
        </is>
      </c>
      <c r="N1686" t="inlineStr"/>
    </row>
    <row r="1687">
      <c r="A1687" t="inlineStr">
        <is>
          <t>FKEX01686</t>
        </is>
      </c>
      <c r="B1687" t="inlineStr">
        <is>
          <t>15 LL_Device</t>
        </is>
      </c>
      <c r="C1687" t="inlineStr">
        <is>
          <t>tblDeviceModel</t>
        </is>
      </c>
      <c r="D1687" t="n">
        <v>563</v>
      </c>
      <c r="E1687" t="inlineStr">
        <is>
          <t>MOD000560</t>
        </is>
      </c>
      <c r="F1687" t="inlineStr">
        <is>
          <t>DeviceTypeID</t>
        </is>
      </c>
      <c r="G1687" t="inlineStr">
        <is>
          <t>DT001</t>
        </is>
      </c>
      <c r="H1687" t="inlineStr">
        <is>
          <t>tblDeviceTypeIDCrosswalk</t>
        </is>
      </c>
      <c r="I1687" t="inlineStr"/>
      <c r="J1687" t="inlineStr">
        <is>
          <t>No Supported Match</t>
        </is>
      </c>
      <c r="K1687" t="inlineStr">
        <is>
          <t>None</t>
        </is>
      </c>
      <c r="L1687" t="inlineStr">
        <is>
          <t>Crosswalk Pending</t>
        </is>
      </c>
      <c r="M1687" t="inlineStr">
        <is>
          <t>Open</t>
        </is>
      </c>
      <c r="N1687" t="inlineStr"/>
    </row>
    <row r="1688">
      <c r="A1688" t="inlineStr">
        <is>
          <t>FKEX01687</t>
        </is>
      </c>
      <c r="B1688" t="inlineStr">
        <is>
          <t>15 LL_Device</t>
        </is>
      </c>
      <c r="C1688" t="inlineStr">
        <is>
          <t>tblDeviceModel</t>
        </is>
      </c>
      <c r="D1688" t="n">
        <v>564</v>
      </c>
      <c r="E1688" t="inlineStr">
        <is>
          <t>MOD000561</t>
        </is>
      </c>
      <c r="F1688" t="inlineStr">
        <is>
          <t>ManufacturerID</t>
        </is>
      </c>
      <c r="G1688" t="inlineStr">
        <is>
          <t>MFG012</t>
        </is>
      </c>
      <c r="H1688" t="inlineStr">
        <is>
          <t>tblManufacturerIDCrosswalk</t>
        </is>
      </c>
      <c r="I1688" t="inlineStr"/>
      <c r="J1688" t="inlineStr">
        <is>
          <t>No Supported Match</t>
        </is>
      </c>
      <c r="K1688" t="inlineStr">
        <is>
          <t>None</t>
        </is>
      </c>
      <c r="L1688" t="inlineStr">
        <is>
          <t>Crosswalk Pending</t>
        </is>
      </c>
      <c r="M1688" t="inlineStr">
        <is>
          <t>Open</t>
        </is>
      </c>
      <c r="N1688" t="inlineStr"/>
    </row>
    <row r="1689">
      <c r="A1689" t="inlineStr">
        <is>
          <t>FKEX01688</t>
        </is>
      </c>
      <c r="B1689" t="inlineStr">
        <is>
          <t>15 LL_Device</t>
        </is>
      </c>
      <c r="C1689" t="inlineStr">
        <is>
          <t>tblDeviceModel</t>
        </is>
      </c>
      <c r="D1689" t="n">
        <v>564</v>
      </c>
      <c r="E1689" t="inlineStr">
        <is>
          <t>MOD000561</t>
        </is>
      </c>
      <c r="F1689" t="inlineStr">
        <is>
          <t>DeviceFamilyID</t>
        </is>
      </c>
      <c r="G1689" t="inlineStr">
        <is>
          <t>DF-121</t>
        </is>
      </c>
      <c r="H1689" t="inlineStr">
        <is>
          <t>tblDeviceFamilyIDCrosswalk</t>
        </is>
      </c>
      <c r="I1689" t="inlineStr"/>
      <c r="J1689" t="inlineStr">
        <is>
          <t>tblDeviceModel</t>
        </is>
      </c>
      <c r="K1689" t="inlineStr">
        <is>
          <t>Exact ID</t>
        </is>
      </c>
      <c r="L1689" t="inlineStr">
        <is>
          <t>Crosswalk Pending</t>
        </is>
      </c>
      <c r="M1689" t="inlineStr">
        <is>
          <t>Open</t>
        </is>
      </c>
      <c r="N1689" t="inlineStr"/>
    </row>
    <row r="1690">
      <c r="A1690" t="inlineStr">
        <is>
          <t>FKEX01689</t>
        </is>
      </c>
      <c r="B1690" t="inlineStr">
        <is>
          <t>15 LL_Device</t>
        </is>
      </c>
      <c r="C1690" t="inlineStr">
        <is>
          <t>tblDeviceModel</t>
        </is>
      </c>
      <c r="D1690" t="n">
        <v>564</v>
      </c>
      <c r="E1690" t="inlineStr">
        <is>
          <t>MOD000561</t>
        </is>
      </c>
      <c r="F1690" t="inlineStr">
        <is>
          <t>DeviceTypeID</t>
        </is>
      </c>
      <c r="G1690" t="inlineStr">
        <is>
          <t>DT001</t>
        </is>
      </c>
      <c r="H1690" t="inlineStr">
        <is>
          <t>tblDeviceTypeIDCrosswalk</t>
        </is>
      </c>
      <c r="I1690" t="inlineStr"/>
      <c r="J1690" t="inlineStr">
        <is>
          <t>No Supported Match</t>
        </is>
      </c>
      <c r="K1690" t="inlineStr">
        <is>
          <t>None</t>
        </is>
      </c>
      <c r="L1690" t="inlineStr">
        <is>
          <t>Crosswalk Pending</t>
        </is>
      </c>
      <c r="M1690" t="inlineStr">
        <is>
          <t>Open</t>
        </is>
      </c>
      <c r="N1690" t="inlineStr"/>
    </row>
    <row r="1691">
      <c r="A1691" t="inlineStr">
        <is>
          <t>FKEX01690</t>
        </is>
      </c>
      <c r="B1691" t="inlineStr">
        <is>
          <t>15 LL_Device</t>
        </is>
      </c>
      <c r="C1691" t="inlineStr">
        <is>
          <t>tblDeviceModel</t>
        </is>
      </c>
      <c r="D1691" t="n">
        <v>565</v>
      </c>
      <c r="E1691" t="inlineStr">
        <is>
          <t>MOD000562</t>
        </is>
      </c>
      <c r="F1691" t="inlineStr">
        <is>
          <t>ManufacturerID</t>
        </is>
      </c>
      <c r="G1691" t="inlineStr">
        <is>
          <t>MFG012</t>
        </is>
      </c>
      <c r="H1691" t="inlineStr">
        <is>
          <t>tblManufacturerIDCrosswalk</t>
        </is>
      </c>
      <c r="I1691" t="inlineStr"/>
      <c r="J1691" t="inlineStr">
        <is>
          <t>No Supported Match</t>
        </is>
      </c>
      <c r="K1691" t="inlineStr">
        <is>
          <t>None</t>
        </is>
      </c>
      <c r="L1691" t="inlineStr">
        <is>
          <t>Crosswalk Pending</t>
        </is>
      </c>
      <c r="M1691" t="inlineStr">
        <is>
          <t>Open</t>
        </is>
      </c>
      <c r="N1691" t="inlineStr"/>
    </row>
    <row r="1692">
      <c r="A1692" t="inlineStr">
        <is>
          <t>FKEX01691</t>
        </is>
      </c>
      <c r="B1692" t="inlineStr">
        <is>
          <t>15 LL_Device</t>
        </is>
      </c>
      <c r="C1692" t="inlineStr">
        <is>
          <t>tblDeviceModel</t>
        </is>
      </c>
      <c r="D1692" t="n">
        <v>565</v>
      </c>
      <c r="E1692" t="inlineStr">
        <is>
          <t>MOD000562</t>
        </is>
      </c>
      <c r="F1692" t="inlineStr">
        <is>
          <t>DeviceFamilyID</t>
        </is>
      </c>
      <c r="G1692" t="inlineStr">
        <is>
          <t>DF-122</t>
        </is>
      </c>
      <c r="H1692" t="inlineStr">
        <is>
          <t>tblDeviceFamilyIDCrosswalk</t>
        </is>
      </c>
      <c r="I1692" t="inlineStr"/>
      <c r="J1692" t="inlineStr">
        <is>
          <t>tblDeviceModel</t>
        </is>
      </c>
      <c r="K1692" t="inlineStr">
        <is>
          <t>Exact ID</t>
        </is>
      </c>
      <c r="L1692" t="inlineStr">
        <is>
          <t>Crosswalk Pending</t>
        </is>
      </c>
      <c r="M1692" t="inlineStr">
        <is>
          <t>Open</t>
        </is>
      </c>
      <c r="N1692" t="inlineStr"/>
    </row>
    <row r="1693">
      <c r="A1693" t="inlineStr">
        <is>
          <t>FKEX01692</t>
        </is>
      </c>
      <c r="B1693" t="inlineStr">
        <is>
          <t>15 LL_Device</t>
        </is>
      </c>
      <c r="C1693" t="inlineStr">
        <is>
          <t>tblDeviceModel</t>
        </is>
      </c>
      <c r="D1693" t="n">
        <v>565</v>
      </c>
      <c r="E1693" t="inlineStr">
        <is>
          <t>MOD000562</t>
        </is>
      </c>
      <c r="F1693" t="inlineStr">
        <is>
          <t>DeviceTypeID</t>
        </is>
      </c>
      <c r="G1693" t="inlineStr">
        <is>
          <t>DT001</t>
        </is>
      </c>
      <c r="H1693" t="inlineStr">
        <is>
          <t>tblDeviceTypeIDCrosswalk</t>
        </is>
      </c>
      <c r="I1693" t="inlineStr"/>
      <c r="J1693" t="inlineStr">
        <is>
          <t>No Supported Match</t>
        </is>
      </c>
      <c r="K1693" t="inlineStr">
        <is>
          <t>None</t>
        </is>
      </c>
      <c r="L1693" t="inlineStr">
        <is>
          <t>Crosswalk Pending</t>
        </is>
      </c>
      <c r="M1693" t="inlineStr">
        <is>
          <t>Open</t>
        </is>
      </c>
      <c r="N1693" t="inlineStr"/>
    </row>
    <row r="1694">
      <c r="A1694" t="inlineStr">
        <is>
          <t>FKEX01693</t>
        </is>
      </c>
      <c r="B1694" t="inlineStr">
        <is>
          <t>15 LL_Device</t>
        </is>
      </c>
      <c r="C1694" t="inlineStr">
        <is>
          <t>tblDeviceModel</t>
        </is>
      </c>
      <c r="D1694" t="n">
        <v>566</v>
      </c>
      <c r="E1694" t="inlineStr">
        <is>
          <t>MOD000563</t>
        </is>
      </c>
      <c r="F1694" t="inlineStr">
        <is>
          <t>ManufacturerID</t>
        </is>
      </c>
      <c r="G1694" t="inlineStr">
        <is>
          <t>MFG012</t>
        </is>
      </c>
      <c r="H1694" t="inlineStr">
        <is>
          <t>tblManufacturerIDCrosswalk</t>
        </is>
      </c>
      <c r="I1694" t="inlineStr"/>
      <c r="J1694" t="inlineStr">
        <is>
          <t>No Supported Match</t>
        </is>
      </c>
      <c r="K1694" t="inlineStr">
        <is>
          <t>None</t>
        </is>
      </c>
      <c r="L1694" t="inlineStr">
        <is>
          <t>Crosswalk Pending</t>
        </is>
      </c>
      <c r="M1694" t="inlineStr">
        <is>
          <t>Open</t>
        </is>
      </c>
      <c r="N1694" t="inlineStr"/>
    </row>
    <row r="1695">
      <c r="A1695" t="inlineStr">
        <is>
          <t>FKEX01694</t>
        </is>
      </c>
      <c r="B1695" t="inlineStr">
        <is>
          <t>15 LL_Device</t>
        </is>
      </c>
      <c r="C1695" t="inlineStr">
        <is>
          <t>tblDeviceModel</t>
        </is>
      </c>
      <c r="D1695" t="n">
        <v>566</v>
      </c>
      <c r="E1695" t="inlineStr">
        <is>
          <t>MOD000563</t>
        </is>
      </c>
      <c r="F1695" t="inlineStr">
        <is>
          <t>DeviceFamilyID</t>
        </is>
      </c>
      <c r="G1695" t="inlineStr">
        <is>
          <t>DF-120</t>
        </is>
      </c>
      <c r="H1695" t="inlineStr">
        <is>
          <t>tblDeviceFamilyIDCrosswalk</t>
        </is>
      </c>
      <c r="I1695" t="inlineStr"/>
      <c r="J1695" t="inlineStr">
        <is>
          <t>tblDeviceModel</t>
        </is>
      </c>
      <c r="K1695" t="inlineStr">
        <is>
          <t>Exact ID</t>
        </is>
      </c>
      <c r="L1695" t="inlineStr">
        <is>
          <t>Crosswalk Pending</t>
        </is>
      </c>
      <c r="M1695" t="inlineStr">
        <is>
          <t>Open</t>
        </is>
      </c>
      <c r="N1695" t="inlineStr"/>
    </row>
    <row r="1696">
      <c r="A1696" t="inlineStr">
        <is>
          <t>FKEX01695</t>
        </is>
      </c>
      <c r="B1696" t="inlineStr">
        <is>
          <t>15 LL_Device</t>
        </is>
      </c>
      <c r="C1696" t="inlineStr">
        <is>
          <t>tblDeviceModel</t>
        </is>
      </c>
      <c r="D1696" t="n">
        <v>566</v>
      </c>
      <c r="E1696" t="inlineStr">
        <is>
          <t>MOD000563</t>
        </is>
      </c>
      <c r="F1696" t="inlineStr">
        <is>
          <t>DeviceTypeID</t>
        </is>
      </c>
      <c r="G1696" t="inlineStr">
        <is>
          <t>DT001</t>
        </is>
      </c>
      <c r="H1696" t="inlineStr">
        <is>
          <t>tblDeviceTypeIDCrosswalk</t>
        </is>
      </c>
      <c r="I1696" t="inlineStr"/>
      <c r="J1696" t="inlineStr">
        <is>
          <t>No Supported Match</t>
        </is>
      </c>
      <c r="K1696" t="inlineStr">
        <is>
          <t>None</t>
        </is>
      </c>
      <c r="L1696" t="inlineStr">
        <is>
          <t>Crosswalk Pending</t>
        </is>
      </c>
      <c r="M1696" t="inlineStr">
        <is>
          <t>Open</t>
        </is>
      </c>
      <c r="N1696" t="inlineStr"/>
    </row>
    <row r="1697">
      <c r="A1697" t="inlineStr">
        <is>
          <t>FKEX01696</t>
        </is>
      </c>
      <c r="B1697" t="inlineStr">
        <is>
          <t>15 LL_Device</t>
        </is>
      </c>
      <c r="C1697" t="inlineStr">
        <is>
          <t>tblDeviceModel</t>
        </is>
      </c>
      <c r="D1697" t="n">
        <v>567</v>
      </c>
      <c r="E1697" t="inlineStr">
        <is>
          <t>MOD000564</t>
        </is>
      </c>
      <c r="F1697" t="inlineStr">
        <is>
          <t>ManufacturerID</t>
        </is>
      </c>
      <c r="G1697" t="inlineStr">
        <is>
          <t>MFG012</t>
        </is>
      </c>
      <c r="H1697" t="inlineStr">
        <is>
          <t>tblManufacturerIDCrosswalk</t>
        </is>
      </c>
      <c r="I1697" t="inlineStr"/>
      <c r="J1697" t="inlineStr">
        <is>
          <t>No Supported Match</t>
        </is>
      </c>
      <c r="K1697" t="inlineStr">
        <is>
          <t>None</t>
        </is>
      </c>
      <c r="L1697" t="inlineStr">
        <is>
          <t>Crosswalk Pending</t>
        </is>
      </c>
      <c r="M1697" t="inlineStr">
        <is>
          <t>Open</t>
        </is>
      </c>
      <c r="N1697" t="inlineStr"/>
    </row>
    <row r="1698">
      <c r="A1698" t="inlineStr">
        <is>
          <t>FKEX01697</t>
        </is>
      </c>
      <c r="B1698" t="inlineStr">
        <is>
          <t>15 LL_Device</t>
        </is>
      </c>
      <c r="C1698" t="inlineStr">
        <is>
          <t>tblDeviceModel</t>
        </is>
      </c>
      <c r="D1698" t="n">
        <v>567</v>
      </c>
      <c r="E1698" t="inlineStr">
        <is>
          <t>MOD000564</t>
        </is>
      </c>
      <c r="F1698" t="inlineStr">
        <is>
          <t>DeviceFamilyID</t>
        </is>
      </c>
      <c r="G1698" t="inlineStr">
        <is>
          <t>DF-120</t>
        </is>
      </c>
      <c r="H1698" t="inlineStr">
        <is>
          <t>tblDeviceFamilyIDCrosswalk</t>
        </is>
      </c>
      <c r="I1698" t="inlineStr"/>
      <c r="J1698" t="inlineStr">
        <is>
          <t>tblDeviceModel</t>
        </is>
      </c>
      <c r="K1698" t="inlineStr">
        <is>
          <t>Exact ID</t>
        </is>
      </c>
      <c r="L1698" t="inlineStr">
        <is>
          <t>Crosswalk Pending</t>
        </is>
      </c>
      <c r="M1698" t="inlineStr">
        <is>
          <t>Open</t>
        </is>
      </c>
      <c r="N1698" t="inlineStr"/>
    </row>
    <row r="1699">
      <c r="A1699" t="inlineStr">
        <is>
          <t>FKEX01698</t>
        </is>
      </c>
      <c r="B1699" t="inlineStr">
        <is>
          <t>15 LL_Device</t>
        </is>
      </c>
      <c r="C1699" t="inlineStr">
        <is>
          <t>tblDeviceModel</t>
        </is>
      </c>
      <c r="D1699" t="n">
        <v>567</v>
      </c>
      <c r="E1699" t="inlineStr">
        <is>
          <t>MOD000564</t>
        </is>
      </c>
      <c r="F1699" t="inlineStr">
        <is>
          <t>DeviceTypeID</t>
        </is>
      </c>
      <c r="G1699" t="inlineStr">
        <is>
          <t>DT001</t>
        </is>
      </c>
      <c r="H1699" t="inlineStr">
        <is>
          <t>tblDeviceTypeIDCrosswalk</t>
        </is>
      </c>
      <c r="I1699" t="inlineStr"/>
      <c r="J1699" t="inlineStr">
        <is>
          <t>No Supported Match</t>
        </is>
      </c>
      <c r="K1699" t="inlineStr">
        <is>
          <t>None</t>
        </is>
      </c>
      <c r="L1699" t="inlineStr">
        <is>
          <t>Crosswalk Pending</t>
        </is>
      </c>
      <c r="M1699" t="inlineStr">
        <is>
          <t>Open</t>
        </is>
      </c>
      <c r="N1699" t="inlineStr"/>
    </row>
    <row r="1700">
      <c r="A1700" t="inlineStr">
        <is>
          <t>FKEX01699</t>
        </is>
      </c>
      <c r="B1700" t="inlineStr">
        <is>
          <t>15 LL_Device</t>
        </is>
      </c>
      <c r="C1700" t="inlineStr">
        <is>
          <t>tblDeviceModel</t>
        </is>
      </c>
      <c r="D1700" t="n">
        <v>568</v>
      </c>
      <c r="E1700" t="inlineStr">
        <is>
          <t>MOD000565</t>
        </is>
      </c>
      <c r="F1700" t="inlineStr">
        <is>
          <t>ManufacturerID</t>
        </is>
      </c>
      <c r="G1700" t="inlineStr">
        <is>
          <t>MFG012</t>
        </is>
      </c>
      <c r="H1700" t="inlineStr">
        <is>
          <t>tblManufacturerIDCrosswalk</t>
        </is>
      </c>
      <c r="I1700" t="inlineStr"/>
      <c r="J1700" t="inlineStr">
        <is>
          <t>No Supported Match</t>
        </is>
      </c>
      <c r="K1700" t="inlineStr">
        <is>
          <t>None</t>
        </is>
      </c>
      <c r="L1700" t="inlineStr">
        <is>
          <t>Crosswalk Pending</t>
        </is>
      </c>
      <c r="M1700" t="inlineStr">
        <is>
          <t>Open</t>
        </is>
      </c>
      <c r="N1700" t="inlineStr"/>
    </row>
    <row r="1701">
      <c r="A1701" t="inlineStr">
        <is>
          <t>FKEX01700</t>
        </is>
      </c>
      <c r="B1701" t="inlineStr">
        <is>
          <t>15 LL_Device</t>
        </is>
      </c>
      <c r="C1701" t="inlineStr">
        <is>
          <t>tblDeviceModel</t>
        </is>
      </c>
      <c r="D1701" t="n">
        <v>568</v>
      </c>
      <c r="E1701" t="inlineStr">
        <is>
          <t>MOD000565</t>
        </is>
      </c>
      <c r="F1701" t="inlineStr">
        <is>
          <t>DeviceFamilyID</t>
        </is>
      </c>
      <c r="G1701" t="inlineStr">
        <is>
          <t>DF-120</t>
        </is>
      </c>
      <c r="H1701" t="inlineStr">
        <is>
          <t>tblDeviceFamilyIDCrosswalk</t>
        </is>
      </c>
      <c r="I1701" t="inlineStr"/>
      <c r="J1701" t="inlineStr">
        <is>
          <t>tblDeviceModel</t>
        </is>
      </c>
      <c r="K1701" t="inlineStr">
        <is>
          <t>Exact ID</t>
        </is>
      </c>
      <c r="L1701" t="inlineStr">
        <is>
          <t>Crosswalk Pending</t>
        </is>
      </c>
      <c r="M1701" t="inlineStr">
        <is>
          <t>Open</t>
        </is>
      </c>
      <c r="N1701" t="inlineStr"/>
    </row>
    <row r="1702">
      <c r="A1702" t="inlineStr">
        <is>
          <t>FKEX01701</t>
        </is>
      </c>
      <c r="B1702" t="inlineStr">
        <is>
          <t>15 LL_Device</t>
        </is>
      </c>
      <c r="C1702" t="inlineStr">
        <is>
          <t>tblDeviceModel</t>
        </is>
      </c>
      <c r="D1702" t="n">
        <v>568</v>
      </c>
      <c r="E1702" t="inlineStr">
        <is>
          <t>MOD000565</t>
        </is>
      </c>
      <c r="F1702" t="inlineStr">
        <is>
          <t>DeviceTypeID</t>
        </is>
      </c>
      <c r="G1702" t="inlineStr">
        <is>
          <t>DT001</t>
        </is>
      </c>
      <c r="H1702" t="inlineStr">
        <is>
          <t>tblDeviceTypeIDCrosswalk</t>
        </is>
      </c>
      <c r="I1702" t="inlineStr"/>
      <c r="J1702" t="inlineStr">
        <is>
          <t>No Supported Match</t>
        </is>
      </c>
      <c r="K1702" t="inlineStr">
        <is>
          <t>None</t>
        </is>
      </c>
      <c r="L1702" t="inlineStr">
        <is>
          <t>Crosswalk Pending</t>
        </is>
      </c>
      <c r="M1702" t="inlineStr">
        <is>
          <t>Open</t>
        </is>
      </c>
      <c r="N1702" t="inlineStr"/>
    </row>
    <row r="1703">
      <c r="A1703" t="inlineStr">
        <is>
          <t>FKEX01702</t>
        </is>
      </c>
      <c r="B1703" t="inlineStr">
        <is>
          <t>15 LL_Device</t>
        </is>
      </c>
      <c r="C1703" t="inlineStr">
        <is>
          <t>tblDeviceModel</t>
        </is>
      </c>
      <c r="D1703" t="n">
        <v>569</v>
      </c>
      <c r="E1703" t="inlineStr">
        <is>
          <t>MOD000566</t>
        </is>
      </c>
      <c r="F1703" t="inlineStr">
        <is>
          <t>ManufacturerID</t>
        </is>
      </c>
      <c r="G1703" t="inlineStr">
        <is>
          <t>MFG012</t>
        </is>
      </c>
      <c r="H1703" t="inlineStr">
        <is>
          <t>tblManufacturerIDCrosswalk</t>
        </is>
      </c>
      <c r="I1703" t="inlineStr"/>
      <c r="J1703" t="inlineStr">
        <is>
          <t>No Supported Match</t>
        </is>
      </c>
      <c r="K1703" t="inlineStr">
        <is>
          <t>None</t>
        </is>
      </c>
      <c r="L1703" t="inlineStr">
        <is>
          <t>Crosswalk Pending</t>
        </is>
      </c>
      <c r="M1703" t="inlineStr">
        <is>
          <t>Open</t>
        </is>
      </c>
      <c r="N1703" t="inlineStr"/>
    </row>
    <row r="1704">
      <c r="A1704" t="inlineStr">
        <is>
          <t>FKEX01703</t>
        </is>
      </c>
      <c r="B1704" t="inlineStr">
        <is>
          <t>15 LL_Device</t>
        </is>
      </c>
      <c r="C1704" t="inlineStr">
        <is>
          <t>tblDeviceModel</t>
        </is>
      </c>
      <c r="D1704" t="n">
        <v>569</v>
      </c>
      <c r="E1704" t="inlineStr">
        <is>
          <t>MOD000566</t>
        </is>
      </c>
      <c r="F1704" t="inlineStr">
        <is>
          <t>DeviceFamilyID</t>
        </is>
      </c>
      <c r="G1704" t="inlineStr">
        <is>
          <t>DF-121</t>
        </is>
      </c>
      <c r="H1704" t="inlineStr">
        <is>
          <t>tblDeviceFamilyIDCrosswalk</t>
        </is>
      </c>
      <c r="I1704" t="inlineStr"/>
      <c r="J1704" t="inlineStr">
        <is>
          <t>tblDeviceModel</t>
        </is>
      </c>
      <c r="K1704" t="inlineStr">
        <is>
          <t>Exact ID</t>
        </is>
      </c>
      <c r="L1704" t="inlineStr">
        <is>
          <t>Crosswalk Pending</t>
        </is>
      </c>
      <c r="M1704" t="inlineStr">
        <is>
          <t>Open</t>
        </is>
      </c>
      <c r="N1704" t="inlineStr"/>
    </row>
    <row r="1705">
      <c r="A1705" t="inlineStr">
        <is>
          <t>FKEX01704</t>
        </is>
      </c>
      <c r="B1705" t="inlineStr">
        <is>
          <t>15 LL_Device</t>
        </is>
      </c>
      <c r="C1705" t="inlineStr">
        <is>
          <t>tblDeviceModel</t>
        </is>
      </c>
      <c r="D1705" t="n">
        <v>569</v>
      </c>
      <c r="E1705" t="inlineStr">
        <is>
          <t>MOD000566</t>
        </is>
      </c>
      <c r="F1705" t="inlineStr">
        <is>
          <t>DeviceTypeID</t>
        </is>
      </c>
      <c r="G1705" t="inlineStr">
        <is>
          <t>DT001</t>
        </is>
      </c>
      <c r="H1705" t="inlineStr">
        <is>
          <t>tblDeviceTypeIDCrosswalk</t>
        </is>
      </c>
      <c r="I1705" t="inlineStr"/>
      <c r="J1705" t="inlineStr">
        <is>
          <t>No Supported Match</t>
        </is>
      </c>
      <c r="K1705" t="inlineStr">
        <is>
          <t>None</t>
        </is>
      </c>
      <c r="L1705" t="inlineStr">
        <is>
          <t>Crosswalk Pending</t>
        </is>
      </c>
      <c r="M1705" t="inlineStr">
        <is>
          <t>Open</t>
        </is>
      </c>
      <c r="N1705" t="inlineStr"/>
    </row>
    <row r="1706">
      <c r="A1706" t="inlineStr">
        <is>
          <t>FKEX01705</t>
        </is>
      </c>
      <c r="B1706" t="inlineStr">
        <is>
          <t>15 LL_Device</t>
        </is>
      </c>
      <c r="C1706" t="inlineStr">
        <is>
          <t>tblDeviceModel</t>
        </is>
      </c>
      <c r="D1706" t="n">
        <v>570</v>
      </c>
      <c r="E1706" t="inlineStr">
        <is>
          <t>MOD000567</t>
        </is>
      </c>
      <c r="F1706" t="inlineStr">
        <is>
          <t>ManufacturerID</t>
        </is>
      </c>
      <c r="G1706" t="inlineStr">
        <is>
          <t>MFG012</t>
        </is>
      </c>
      <c r="H1706" t="inlineStr">
        <is>
          <t>tblManufacturerIDCrosswalk</t>
        </is>
      </c>
      <c r="I1706" t="inlineStr"/>
      <c r="J1706" t="inlineStr">
        <is>
          <t>No Supported Match</t>
        </is>
      </c>
      <c r="K1706" t="inlineStr">
        <is>
          <t>None</t>
        </is>
      </c>
      <c r="L1706" t="inlineStr">
        <is>
          <t>Crosswalk Pending</t>
        </is>
      </c>
      <c r="M1706" t="inlineStr">
        <is>
          <t>Open</t>
        </is>
      </c>
      <c r="N1706" t="inlineStr"/>
    </row>
    <row r="1707">
      <c r="A1707" t="inlineStr">
        <is>
          <t>FKEX01706</t>
        </is>
      </c>
      <c r="B1707" t="inlineStr">
        <is>
          <t>15 LL_Device</t>
        </is>
      </c>
      <c r="C1707" t="inlineStr">
        <is>
          <t>tblDeviceModel</t>
        </is>
      </c>
      <c r="D1707" t="n">
        <v>570</v>
      </c>
      <c r="E1707" t="inlineStr">
        <is>
          <t>MOD000567</t>
        </is>
      </c>
      <c r="F1707" t="inlineStr">
        <is>
          <t>DeviceFamilyID</t>
        </is>
      </c>
      <c r="G1707" t="inlineStr">
        <is>
          <t>DF-121</t>
        </is>
      </c>
      <c r="H1707" t="inlineStr">
        <is>
          <t>tblDeviceFamilyIDCrosswalk</t>
        </is>
      </c>
      <c r="I1707" t="inlineStr"/>
      <c r="J1707" t="inlineStr">
        <is>
          <t>tblDeviceModel</t>
        </is>
      </c>
      <c r="K1707" t="inlineStr">
        <is>
          <t>Exact ID</t>
        </is>
      </c>
      <c r="L1707" t="inlineStr">
        <is>
          <t>Crosswalk Pending</t>
        </is>
      </c>
      <c r="M1707" t="inlineStr">
        <is>
          <t>Open</t>
        </is>
      </c>
      <c r="N1707" t="inlineStr"/>
    </row>
    <row r="1708">
      <c r="A1708" t="inlineStr">
        <is>
          <t>FKEX01707</t>
        </is>
      </c>
      <c r="B1708" t="inlineStr">
        <is>
          <t>15 LL_Device</t>
        </is>
      </c>
      <c r="C1708" t="inlineStr">
        <is>
          <t>tblDeviceModel</t>
        </is>
      </c>
      <c r="D1708" t="n">
        <v>570</v>
      </c>
      <c r="E1708" t="inlineStr">
        <is>
          <t>MOD000567</t>
        </is>
      </c>
      <c r="F1708" t="inlineStr">
        <is>
          <t>DeviceTypeID</t>
        </is>
      </c>
      <c r="G1708" t="inlineStr">
        <is>
          <t>DT001</t>
        </is>
      </c>
      <c r="H1708" t="inlineStr">
        <is>
          <t>tblDeviceTypeIDCrosswalk</t>
        </is>
      </c>
      <c r="I1708" t="inlineStr"/>
      <c r="J1708" t="inlineStr">
        <is>
          <t>No Supported Match</t>
        </is>
      </c>
      <c r="K1708" t="inlineStr">
        <is>
          <t>None</t>
        </is>
      </c>
      <c r="L1708" t="inlineStr">
        <is>
          <t>Crosswalk Pending</t>
        </is>
      </c>
      <c r="M1708" t="inlineStr">
        <is>
          <t>Open</t>
        </is>
      </c>
      <c r="N1708" t="inlineStr"/>
    </row>
    <row r="1709">
      <c r="A1709" t="inlineStr">
        <is>
          <t>FKEX01708</t>
        </is>
      </c>
      <c r="B1709" t="inlineStr">
        <is>
          <t>15 LL_Device</t>
        </is>
      </c>
      <c r="C1709" t="inlineStr">
        <is>
          <t>tblDeviceModel</t>
        </is>
      </c>
      <c r="D1709" t="n">
        <v>571</v>
      </c>
      <c r="E1709" t="inlineStr">
        <is>
          <t>MOD000568</t>
        </is>
      </c>
      <c r="F1709" t="inlineStr">
        <is>
          <t>ManufacturerID</t>
        </is>
      </c>
      <c r="G1709" t="inlineStr">
        <is>
          <t>MFG012</t>
        </is>
      </c>
      <c r="H1709" t="inlineStr">
        <is>
          <t>tblManufacturerIDCrosswalk</t>
        </is>
      </c>
      <c r="I1709" t="inlineStr"/>
      <c r="J1709" t="inlineStr">
        <is>
          <t>No Supported Match</t>
        </is>
      </c>
      <c r="K1709" t="inlineStr">
        <is>
          <t>None</t>
        </is>
      </c>
      <c r="L1709" t="inlineStr">
        <is>
          <t>Crosswalk Pending</t>
        </is>
      </c>
      <c r="M1709" t="inlineStr">
        <is>
          <t>Open</t>
        </is>
      </c>
      <c r="N1709" t="inlineStr"/>
    </row>
    <row r="1710">
      <c r="A1710" t="inlineStr">
        <is>
          <t>FKEX01709</t>
        </is>
      </c>
      <c r="B1710" t="inlineStr">
        <is>
          <t>15 LL_Device</t>
        </is>
      </c>
      <c r="C1710" t="inlineStr">
        <is>
          <t>tblDeviceModel</t>
        </is>
      </c>
      <c r="D1710" t="n">
        <v>571</v>
      </c>
      <c r="E1710" t="inlineStr">
        <is>
          <t>MOD000568</t>
        </is>
      </c>
      <c r="F1710" t="inlineStr">
        <is>
          <t>DeviceFamilyID</t>
        </is>
      </c>
      <c r="G1710" t="inlineStr">
        <is>
          <t>DF-122</t>
        </is>
      </c>
      <c r="H1710" t="inlineStr">
        <is>
          <t>tblDeviceFamilyIDCrosswalk</t>
        </is>
      </c>
      <c r="I1710" t="inlineStr"/>
      <c r="J1710" t="inlineStr">
        <is>
          <t>tblDeviceModel</t>
        </is>
      </c>
      <c r="K1710" t="inlineStr">
        <is>
          <t>Exact ID</t>
        </is>
      </c>
      <c r="L1710" t="inlineStr">
        <is>
          <t>Crosswalk Pending</t>
        </is>
      </c>
      <c r="M1710" t="inlineStr">
        <is>
          <t>Open</t>
        </is>
      </c>
      <c r="N1710" t="inlineStr"/>
    </row>
    <row r="1711">
      <c r="A1711" t="inlineStr">
        <is>
          <t>FKEX01710</t>
        </is>
      </c>
      <c r="B1711" t="inlineStr">
        <is>
          <t>15 LL_Device</t>
        </is>
      </c>
      <c r="C1711" t="inlineStr">
        <is>
          <t>tblDeviceModel</t>
        </is>
      </c>
      <c r="D1711" t="n">
        <v>571</v>
      </c>
      <c r="E1711" t="inlineStr">
        <is>
          <t>MOD000568</t>
        </is>
      </c>
      <c r="F1711" t="inlineStr">
        <is>
          <t>DeviceTypeID</t>
        </is>
      </c>
      <c r="G1711" t="inlineStr">
        <is>
          <t>DT001</t>
        </is>
      </c>
      <c r="H1711" t="inlineStr">
        <is>
          <t>tblDeviceTypeIDCrosswalk</t>
        </is>
      </c>
      <c r="I1711" t="inlineStr"/>
      <c r="J1711" t="inlineStr">
        <is>
          <t>No Supported Match</t>
        </is>
      </c>
      <c r="K1711" t="inlineStr">
        <is>
          <t>None</t>
        </is>
      </c>
      <c r="L1711" t="inlineStr">
        <is>
          <t>Crosswalk Pending</t>
        </is>
      </c>
      <c r="M1711" t="inlineStr">
        <is>
          <t>Open</t>
        </is>
      </c>
      <c r="N1711" t="inlineStr"/>
    </row>
    <row r="1712">
      <c r="A1712" t="inlineStr">
        <is>
          <t>FKEX01711</t>
        </is>
      </c>
      <c r="B1712" t="inlineStr">
        <is>
          <t>15 LL_Device</t>
        </is>
      </c>
      <c r="C1712" t="inlineStr">
        <is>
          <t>tblDeviceModel</t>
        </is>
      </c>
      <c r="D1712" t="n">
        <v>572</v>
      </c>
      <c r="E1712" t="inlineStr">
        <is>
          <t>MOD000569</t>
        </is>
      </c>
      <c r="F1712" t="inlineStr">
        <is>
          <t>ManufacturerID</t>
        </is>
      </c>
      <c r="G1712" t="inlineStr">
        <is>
          <t>MFG013</t>
        </is>
      </c>
      <c r="H1712" t="inlineStr">
        <is>
          <t>tblManufacturerIDCrosswalk</t>
        </is>
      </c>
      <c r="I1712" t="inlineStr"/>
      <c r="J1712" t="inlineStr">
        <is>
          <t>No Supported Match</t>
        </is>
      </c>
      <c r="K1712" t="inlineStr">
        <is>
          <t>None</t>
        </is>
      </c>
      <c r="L1712" t="inlineStr">
        <is>
          <t>Crosswalk Pending</t>
        </is>
      </c>
      <c r="M1712" t="inlineStr">
        <is>
          <t>Open</t>
        </is>
      </c>
      <c r="N1712" t="inlineStr"/>
    </row>
    <row r="1713">
      <c r="A1713" t="inlineStr">
        <is>
          <t>FKEX01712</t>
        </is>
      </c>
      <c r="B1713" t="inlineStr">
        <is>
          <t>15 LL_Device</t>
        </is>
      </c>
      <c r="C1713" t="inlineStr">
        <is>
          <t>tblDeviceModel</t>
        </is>
      </c>
      <c r="D1713" t="n">
        <v>572</v>
      </c>
      <c r="E1713" t="inlineStr">
        <is>
          <t>MOD000569</t>
        </is>
      </c>
      <c r="F1713" t="inlineStr">
        <is>
          <t>DeviceFamilyID</t>
        </is>
      </c>
      <c r="G1713" t="inlineStr">
        <is>
          <t>DF-130</t>
        </is>
      </c>
      <c r="H1713" t="inlineStr">
        <is>
          <t>tblDeviceFamilyIDCrosswalk</t>
        </is>
      </c>
      <c r="I1713" t="inlineStr"/>
      <c r="J1713" t="inlineStr">
        <is>
          <t>tblDeviceModel</t>
        </is>
      </c>
      <c r="K1713" t="inlineStr">
        <is>
          <t>Exact ID</t>
        </is>
      </c>
      <c r="L1713" t="inlineStr">
        <is>
          <t>Crosswalk Pending</t>
        </is>
      </c>
      <c r="M1713" t="inlineStr">
        <is>
          <t>Open</t>
        </is>
      </c>
      <c r="N1713" t="inlineStr"/>
    </row>
    <row r="1714">
      <c r="A1714" t="inlineStr">
        <is>
          <t>FKEX01713</t>
        </is>
      </c>
      <c r="B1714" t="inlineStr">
        <is>
          <t>15 LL_Device</t>
        </is>
      </c>
      <c r="C1714" t="inlineStr">
        <is>
          <t>tblDeviceModel</t>
        </is>
      </c>
      <c r="D1714" t="n">
        <v>572</v>
      </c>
      <c r="E1714" t="inlineStr">
        <is>
          <t>MOD000569</t>
        </is>
      </c>
      <c r="F1714" t="inlineStr">
        <is>
          <t>DeviceTypeID</t>
        </is>
      </c>
      <c r="G1714" t="inlineStr">
        <is>
          <t>DT001</t>
        </is>
      </c>
      <c r="H1714" t="inlineStr">
        <is>
          <t>tblDeviceTypeIDCrosswalk</t>
        </is>
      </c>
      <c r="I1714" t="inlineStr"/>
      <c r="J1714" t="inlineStr">
        <is>
          <t>No Supported Match</t>
        </is>
      </c>
      <c r="K1714" t="inlineStr">
        <is>
          <t>None</t>
        </is>
      </c>
      <c r="L1714" t="inlineStr">
        <is>
          <t>Crosswalk Pending</t>
        </is>
      </c>
      <c r="M1714" t="inlineStr">
        <is>
          <t>Open</t>
        </is>
      </c>
      <c r="N1714" t="inlineStr"/>
    </row>
    <row r="1715">
      <c r="A1715" t="inlineStr">
        <is>
          <t>FKEX01714</t>
        </is>
      </c>
      <c r="B1715" t="inlineStr">
        <is>
          <t>15 LL_Device</t>
        </is>
      </c>
      <c r="C1715" t="inlineStr">
        <is>
          <t>tblDeviceModel</t>
        </is>
      </c>
      <c r="D1715" t="n">
        <v>573</v>
      </c>
      <c r="E1715" t="inlineStr">
        <is>
          <t>MOD000570</t>
        </is>
      </c>
      <c r="F1715" t="inlineStr">
        <is>
          <t>ManufacturerID</t>
        </is>
      </c>
      <c r="G1715" t="inlineStr">
        <is>
          <t>MFG013</t>
        </is>
      </c>
      <c r="H1715" t="inlineStr">
        <is>
          <t>tblManufacturerIDCrosswalk</t>
        </is>
      </c>
      <c r="I1715" t="inlineStr"/>
      <c r="J1715" t="inlineStr">
        <is>
          <t>No Supported Match</t>
        </is>
      </c>
      <c r="K1715" t="inlineStr">
        <is>
          <t>None</t>
        </is>
      </c>
      <c r="L1715" t="inlineStr">
        <is>
          <t>Crosswalk Pending</t>
        </is>
      </c>
      <c r="M1715" t="inlineStr">
        <is>
          <t>Open</t>
        </is>
      </c>
      <c r="N1715" t="inlineStr"/>
    </row>
    <row r="1716">
      <c r="A1716" t="inlineStr">
        <is>
          <t>FKEX01715</t>
        </is>
      </c>
      <c r="B1716" t="inlineStr">
        <is>
          <t>15 LL_Device</t>
        </is>
      </c>
      <c r="C1716" t="inlineStr">
        <is>
          <t>tblDeviceModel</t>
        </is>
      </c>
      <c r="D1716" t="n">
        <v>573</v>
      </c>
      <c r="E1716" t="inlineStr">
        <is>
          <t>MOD000570</t>
        </is>
      </c>
      <c r="F1716" t="inlineStr">
        <is>
          <t>DeviceFamilyID</t>
        </is>
      </c>
      <c r="G1716" t="inlineStr">
        <is>
          <t>DF-130</t>
        </is>
      </c>
      <c r="H1716" t="inlineStr">
        <is>
          <t>tblDeviceFamilyIDCrosswalk</t>
        </is>
      </c>
      <c r="I1716" t="inlineStr"/>
      <c r="J1716" t="inlineStr">
        <is>
          <t>tblDeviceModel</t>
        </is>
      </c>
      <c r="K1716" t="inlineStr">
        <is>
          <t>Exact ID</t>
        </is>
      </c>
      <c r="L1716" t="inlineStr">
        <is>
          <t>Crosswalk Pending</t>
        </is>
      </c>
      <c r="M1716" t="inlineStr">
        <is>
          <t>Open</t>
        </is>
      </c>
      <c r="N1716" t="inlineStr"/>
    </row>
    <row r="1717">
      <c r="A1717" t="inlineStr">
        <is>
          <t>FKEX01716</t>
        </is>
      </c>
      <c r="B1717" t="inlineStr">
        <is>
          <t>15 LL_Device</t>
        </is>
      </c>
      <c r="C1717" t="inlineStr">
        <is>
          <t>tblDeviceModel</t>
        </is>
      </c>
      <c r="D1717" t="n">
        <v>573</v>
      </c>
      <c r="E1717" t="inlineStr">
        <is>
          <t>MOD000570</t>
        </is>
      </c>
      <c r="F1717" t="inlineStr">
        <is>
          <t>DeviceTypeID</t>
        </is>
      </c>
      <c r="G1717" t="inlineStr">
        <is>
          <t>DT001</t>
        </is>
      </c>
      <c r="H1717" t="inlineStr">
        <is>
          <t>tblDeviceTypeIDCrosswalk</t>
        </is>
      </c>
      <c r="I1717" t="inlineStr"/>
      <c r="J1717" t="inlineStr">
        <is>
          <t>No Supported Match</t>
        </is>
      </c>
      <c r="K1717" t="inlineStr">
        <is>
          <t>None</t>
        </is>
      </c>
      <c r="L1717" t="inlineStr">
        <is>
          <t>Crosswalk Pending</t>
        </is>
      </c>
      <c r="M1717" t="inlineStr">
        <is>
          <t>Open</t>
        </is>
      </c>
      <c r="N1717" t="inlineStr"/>
    </row>
    <row r="1718">
      <c r="A1718" t="inlineStr">
        <is>
          <t>FKEX01717</t>
        </is>
      </c>
      <c r="B1718" t="inlineStr">
        <is>
          <t>15 LL_Device</t>
        </is>
      </c>
      <c r="C1718" t="inlineStr">
        <is>
          <t>tblDeviceModel</t>
        </is>
      </c>
      <c r="D1718" t="n">
        <v>574</v>
      </c>
      <c r="E1718" t="inlineStr">
        <is>
          <t>MOD000571</t>
        </is>
      </c>
      <c r="F1718" t="inlineStr">
        <is>
          <t>ManufacturerID</t>
        </is>
      </c>
      <c r="G1718" t="inlineStr">
        <is>
          <t>MFG013</t>
        </is>
      </c>
      <c r="H1718" t="inlineStr">
        <is>
          <t>tblManufacturerIDCrosswalk</t>
        </is>
      </c>
      <c r="I1718" t="inlineStr"/>
      <c r="J1718" t="inlineStr">
        <is>
          <t>No Supported Match</t>
        </is>
      </c>
      <c r="K1718" t="inlineStr">
        <is>
          <t>None</t>
        </is>
      </c>
      <c r="L1718" t="inlineStr">
        <is>
          <t>Crosswalk Pending</t>
        </is>
      </c>
      <c r="M1718" t="inlineStr">
        <is>
          <t>Open</t>
        </is>
      </c>
      <c r="N1718" t="inlineStr"/>
    </row>
    <row r="1719">
      <c r="A1719" t="inlineStr">
        <is>
          <t>FKEX01718</t>
        </is>
      </c>
      <c r="B1719" t="inlineStr">
        <is>
          <t>15 LL_Device</t>
        </is>
      </c>
      <c r="C1719" t="inlineStr">
        <is>
          <t>tblDeviceModel</t>
        </is>
      </c>
      <c r="D1719" t="n">
        <v>574</v>
      </c>
      <c r="E1719" t="inlineStr">
        <is>
          <t>MOD000571</t>
        </is>
      </c>
      <c r="F1719" t="inlineStr">
        <is>
          <t>DeviceFamilyID</t>
        </is>
      </c>
      <c r="G1719" t="inlineStr">
        <is>
          <t>DF-131</t>
        </is>
      </c>
      <c r="H1719" t="inlineStr">
        <is>
          <t>tblDeviceFamilyIDCrosswalk</t>
        </is>
      </c>
      <c r="I1719" t="inlineStr"/>
      <c r="J1719" t="inlineStr">
        <is>
          <t>tblDeviceModel</t>
        </is>
      </c>
      <c r="K1719" t="inlineStr">
        <is>
          <t>Exact ID</t>
        </is>
      </c>
      <c r="L1719" t="inlineStr">
        <is>
          <t>Crosswalk Pending</t>
        </is>
      </c>
      <c r="M1719" t="inlineStr">
        <is>
          <t>Open</t>
        </is>
      </c>
      <c r="N1719" t="inlineStr"/>
    </row>
    <row r="1720">
      <c r="A1720" t="inlineStr">
        <is>
          <t>FKEX01719</t>
        </is>
      </c>
      <c r="B1720" t="inlineStr">
        <is>
          <t>15 LL_Device</t>
        </is>
      </c>
      <c r="C1720" t="inlineStr">
        <is>
          <t>tblDeviceModel</t>
        </is>
      </c>
      <c r="D1720" t="n">
        <v>574</v>
      </c>
      <c r="E1720" t="inlineStr">
        <is>
          <t>MOD000571</t>
        </is>
      </c>
      <c r="F1720" t="inlineStr">
        <is>
          <t>DeviceTypeID</t>
        </is>
      </c>
      <c r="G1720" t="inlineStr">
        <is>
          <t>DT001</t>
        </is>
      </c>
      <c r="H1720" t="inlineStr">
        <is>
          <t>tblDeviceTypeIDCrosswalk</t>
        </is>
      </c>
      <c r="I1720" t="inlineStr"/>
      <c r="J1720" t="inlineStr">
        <is>
          <t>No Supported Match</t>
        </is>
      </c>
      <c r="K1720" t="inlineStr">
        <is>
          <t>None</t>
        </is>
      </c>
      <c r="L1720" t="inlineStr">
        <is>
          <t>Crosswalk Pending</t>
        </is>
      </c>
      <c r="M1720" t="inlineStr">
        <is>
          <t>Open</t>
        </is>
      </c>
      <c r="N1720" t="inlineStr"/>
    </row>
    <row r="1721">
      <c r="A1721" t="inlineStr">
        <is>
          <t>FKEX01720</t>
        </is>
      </c>
      <c r="B1721" t="inlineStr">
        <is>
          <t>15 LL_Device</t>
        </is>
      </c>
      <c r="C1721" t="inlineStr">
        <is>
          <t>tblDeviceModel</t>
        </is>
      </c>
      <c r="D1721" t="n">
        <v>575</v>
      </c>
      <c r="E1721" t="inlineStr">
        <is>
          <t>MOD000572</t>
        </is>
      </c>
      <c r="F1721" t="inlineStr">
        <is>
          <t>ManufacturerID</t>
        </is>
      </c>
      <c r="G1721" t="inlineStr">
        <is>
          <t>MFG013</t>
        </is>
      </c>
      <c r="H1721" t="inlineStr">
        <is>
          <t>tblManufacturerIDCrosswalk</t>
        </is>
      </c>
      <c r="I1721" t="inlineStr"/>
      <c r="J1721" t="inlineStr">
        <is>
          <t>No Supported Match</t>
        </is>
      </c>
      <c r="K1721" t="inlineStr">
        <is>
          <t>None</t>
        </is>
      </c>
      <c r="L1721" t="inlineStr">
        <is>
          <t>Crosswalk Pending</t>
        </is>
      </c>
      <c r="M1721" t="inlineStr">
        <is>
          <t>Open</t>
        </is>
      </c>
      <c r="N1721" t="inlineStr"/>
    </row>
    <row r="1722">
      <c r="A1722" t="inlineStr">
        <is>
          <t>FKEX01721</t>
        </is>
      </c>
      <c r="B1722" t="inlineStr">
        <is>
          <t>15 LL_Device</t>
        </is>
      </c>
      <c r="C1722" t="inlineStr">
        <is>
          <t>tblDeviceModel</t>
        </is>
      </c>
      <c r="D1722" t="n">
        <v>575</v>
      </c>
      <c r="E1722" t="inlineStr">
        <is>
          <t>MOD000572</t>
        </is>
      </c>
      <c r="F1722" t="inlineStr">
        <is>
          <t>DeviceFamilyID</t>
        </is>
      </c>
      <c r="G1722" t="inlineStr">
        <is>
          <t>DF-132</t>
        </is>
      </c>
      <c r="H1722" t="inlineStr">
        <is>
          <t>tblDeviceFamilyIDCrosswalk</t>
        </is>
      </c>
      <c r="I1722" t="inlineStr"/>
      <c r="J1722" t="inlineStr">
        <is>
          <t>tblDeviceModel</t>
        </is>
      </c>
      <c r="K1722" t="inlineStr">
        <is>
          <t>Exact ID</t>
        </is>
      </c>
      <c r="L1722" t="inlineStr">
        <is>
          <t>Crosswalk Pending</t>
        </is>
      </c>
      <c r="M1722" t="inlineStr">
        <is>
          <t>Open</t>
        </is>
      </c>
      <c r="N1722" t="inlineStr"/>
    </row>
    <row r="1723">
      <c r="A1723" t="inlineStr">
        <is>
          <t>FKEX01722</t>
        </is>
      </c>
      <c r="B1723" t="inlineStr">
        <is>
          <t>15 LL_Device</t>
        </is>
      </c>
      <c r="C1723" t="inlineStr">
        <is>
          <t>tblDeviceModel</t>
        </is>
      </c>
      <c r="D1723" t="n">
        <v>575</v>
      </c>
      <c r="E1723" t="inlineStr">
        <is>
          <t>MOD000572</t>
        </is>
      </c>
      <c r="F1723" t="inlineStr">
        <is>
          <t>DeviceTypeID</t>
        </is>
      </c>
      <c r="G1723" t="inlineStr">
        <is>
          <t>DT001</t>
        </is>
      </c>
      <c r="H1723" t="inlineStr">
        <is>
          <t>tblDeviceTypeIDCrosswalk</t>
        </is>
      </c>
      <c r="I1723" t="inlineStr"/>
      <c r="J1723" t="inlineStr">
        <is>
          <t>No Supported Match</t>
        </is>
      </c>
      <c r="K1723" t="inlineStr">
        <is>
          <t>None</t>
        </is>
      </c>
      <c r="L1723" t="inlineStr">
        <is>
          <t>Crosswalk Pending</t>
        </is>
      </c>
      <c r="M1723" t="inlineStr">
        <is>
          <t>Open</t>
        </is>
      </c>
      <c r="N1723" t="inlineStr"/>
    </row>
    <row r="1724">
      <c r="A1724" t="inlineStr">
        <is>
          <t>FKEX01723</t>
        </is>
      </c>
      <c r="B1724" t="inlineStr">
        <is>
          <t>15 LL_Device</t>
        </is>
      </c>
      <c r="C1724" t="inlineStr">
        <is>
          <t>tblDeviceModel</t>
        </is>
      </c>
      <c r="D1724" t="n">
        <v>576</v>
      </c>
      <c r="E1724" t="inlineStr">
        <is>
          <t>MOD000573</t>
        </is>
      </c>
      <c r="F1724" t="inlineStr">
        <is>
          <t>ManufacturerID</t>
        </is>
      </c>
      <c r="G1724" t="inlineStr">
        <is>
          <t>MFG013</t>
        </is>
      </c>
      <c r="H1724" t="inlineStr">
        <is>
          <t>tblManufacturerIDCrosswalk</t>
        </is>
      </c>
      <c r="I1724" t="inlineStr"/>
      <c r="J1724" t="inlineStr">
        <is>
          <t>No Supported Match</t>
        </is>
      </c>
      <c r="K1724" t="inlineStr">
        <is>
          <t>None</t>
        </is>
      </c>
      <c r="L1724" t="inlineStr">
        <is>
          <t>Crosswalk Pending</t>
        </is>
      </c>
      <c r="M1724" t="inlineStr">
        <is>
          <t>Open</t>
        </is>
      </c>
      <c r="N1724" t="inlineStr"/>
    </row>
    <row r="1725">
      <c r="A1725" t="inlineStr">
        <is>
          <t>FKEX01724</t>
        </is>
      </c>
      <c r="B1725" t="inlineStr">
        <is>
          <t>15 LL_Device</t>
        </is>
      </c>
      <c r="C1725" t="inlineStr">
        <is>
          <t>tblDeviceModel</t>
        </is>
      </c>
      <c r="D1725" t="n">
        <v>576</v>
      </c>
      <c r="E1725" t="inlineStr">
        <is>
          <t>MOD000573</t>
        </is>
      </c>
      <c r="F1725" t="inlineStr">
        <is>
          <t>DeviceFamilyID</t>
        </is>
      </c>
      <c r="G1725" t="inlineStr">
        <is>
          <t>DF-130</t>
        </is>
      </c>
      <c r="H1725" t="inlineStr">
        <is>
          <t>tblDeviceFamilyIDCrosswalk</t>
        </is>
      </c>
      <c r="I1725" t="inlineStr"/>
      <c r="J1725" t="inlineStr">
        <is>
          <t>tblDeviceModel</t>
        </is>
      </c>
      <c r="K1725" t="inlineStr">
        <is>
          <t>Exact ID</t>
        </is>
      </c>
      <c r="L1725" t="inlineStr">
        <is>
          <t>Crosswalk Pending</t>
        </is>
      </c>
      <c r="M1725" t="inlineStr">
        <is>
          <t>Open</t>
        </is>
      </c>
      <c r="N1725" t="inlineStr"/>
    </row>
    <row r="1726">
      <c r="A1726" t="inlineStr">
        <is>
          <t>FKEX01725</t>
        </is>
      </c>
      <c r="B1726" t="inlineStr">
        <is>
          <t>15 LL_Device</t>
        </is>
      </c>
      <c r="C1726" t="inlineStr">
        <is>
          <t>tblDeviceModel</t>
        </is>
      </c>
      <c r="D1726" t="n">
        <v>576</v>
      </c>
      <c r="E1726" t="inlineStr">
        <is>
          <t>MOD000573</t>
        </is>
      </c>
      <c r="F1726" t="inlineStr">
        <is>
          <t>DeviceTypeID</t>
        </is>
      </c>
      <c r="G1726" t="inlineStr">
        <is>
          <t>DT001</t>
        </is>
      </c>
      <c r="H1726" t="inlineStr">
        <is>
          <t>tblDeviceTypeIDCrosswalk</t>
        </is>
      </c>
      <c r="I1726" t="inlineStr"/>
      <c r="J1726" t="inlineStr">
        <is>
          <t>No Supported Match</t>
        </is>
      </c>
      <c r="K1726" t="inlineStr">
        <is>
          <t>None</t>
        </is>
      </c>
      <c r="L1726" t="inlineStr">
        <is>
          <t>Crosswalk Pending</t>
        </is>
      </c>
      <c r="M1726" t="inlineStr">
        <is>
          <t>Open</t>
        </is>
      </c>
      <c r="N1726" t="inlineStr"/>
    </row>
    <row r="1727">
      <c r="A1727" t="inlineStr">
        <is>
          <t>FKEX01726</t>
        </is>
      </c>
      <c r="B1727" t="inlineStr">
        <is>
          <t>15 LL_Device</t>
        </is>
      </c>
      <c r="C1727" t="inlineStr">
        <is>
          <t>tblDeviceModel</t>
        </is>
      </c>
      <c r="D1727" t="n">
        <v>577</v>
      </c>
      <c r="E1727" t="inlineStr">
        <is>
          <t>MOD000574</t>
        </is>
      </c>
      <c r="F1727" t="inlineStr">
        <is>
          <t>ManufacturerID</t>
        </is>
      </c>
      <c r="G1727" t="inlineStr">
        <is>
          <t>MFG013</t>
        </is>
      </c>
      <c r="H1727" t="inlineStr">
        <is>
          <t>tblManufacturerIDCrosswalk</t>
        </is>
      </c>
      <c r="I1727" t="inlineStr"/>
      <c r="J1727" t="inlineStr">
        <is>
          <t>No Supported Match</t>
        </is>
      </c>
      <c r="K1727" t="inlineStr">
        <is>
          <t>None</t>
        </is>
      </c>
      <c r="L1727" t="inlineStr">
        <is>
          <t>Crosswalk Pending</t>
        </is>
      </c>
      <c r="M1727" t="inlineStr">
        <is>
          <t>Open</t>
        </is>
      </c>
      <c r="N1727" t="inlineStr"/>
    </row>
    <row r="1728">
      <c r="A1728" t="inlineStr">
        <is>
          <t>FKEX01727</t>
        </is>
      </c>
      <c r="B1728" t="inlineStr">
        <is>
          <t>15 LL_Device</t>
        </is>
      </c>
      <c r="C1728" t="inlineStr">
        <is>
          <t>tblDeviceModel</t>
        </is>
      </c>
      <c r="D1728" t="n">
        <v>577</v>
      </c>
      <c r="E1728" t="inlineStr">
        <is>
          <t>MOD000574</t>
        </is>
      </c>
      <c r="F1728" t="inlineStr">
        <is>
          <t>DeviceFamilyID</t>
        </is>
      </c>
      <c r="G1728" t="inlineStr">
        <is>
          <t>DF-131</t>
        </is>
      </c>
      <c r="H1728" t="inlineStr">
        <is>
          <t>tblDeviceFamilyIDCrosswalk</t>
        </is>
      </c>
      <c r="I1728" t="inlineStr"/>
      <c r="J1728" t="inlineStr">
        <is>
          <t>tblDeviceModel</t>
        </is>
      </c>
      <c r="K1728" t="inlineStr">
        <is>
          <t>Exact ID</t>
        </is>
      </c>
      <c r="L1728" t="inlineStr">
        <is>
          <t>Crosswalk Pending</t>
        </is>
      </c>
      <c r="M1728" t="inlineStr">
        <is>
          <t>Open</t>
        </is>
      </c>
      <c r="N1728" t="inlineStr"/>
    </row>
    <row r="1729">
      <c r="A1729" t="inlineStr">
        <is>
          <t>FKEX01728</t>
        </is>
      </c>
      <c r="B1729" t="inlineStr">
        <is>
          <t>15 LL_Device</t>
        </is>
      </c>
      <c r="C1729" t="inlineStr">
        <is>
          <t>tblDeviceModel</t>
        </is>
      </c>
      <c r="D1729" t="n">
        <v>577</v>
      </c>
      <c r="E1729" t="inlineStr">
        <is>
          <t>MOD000574</t>
        </is>
      </c>
      <c r="F1729" t="inlineStr">
        <is>
          <t>DeviceTypeID</t>
        </is>
      </c>
      <c r="G1729" t="inlineStr">
        <is>
          <t>DT001</t>
        </is>
      </c>
      <c r="H1729" t="inlineStr">
        <is>
          <t>tblDeviceTypeIDCrosswalk</t>
        </is>
      </c>
      <c r="I1729" t="inlineStr"/>
      <c r="J1729" t="inlineStr">
        <is>
          <t>No Supported Match</t>
        </is>
      </c>
      <c r="K1729" t="inlineStr">
        <is>
          <t>None</t>
        </is>
      </c>
      <c r="L1729" t="inlineStr">
        <is>
          <t>Crosswalk Pending</t>
        </is>
      </c>
      <c r="M1729" t="inlineStr">
        <is>
          <t>Open</t>
        </is>
      </c>
      <c r="N1729" t="inlineStr"/>
    </row>
    <row r="1730">
      <c r="A1730" t="inlineStr">
        <is>
          <t>FKEX01729</t>
        </is>
      </c>
      <c r="B1730" t="inlineStr">
        <is>
          <t>15 LL_Device</t>
        </is>
      </c>
      <c r="C1730" t="inlineStr">
        <is>
          <t>tblDeviceModel</t>
        </is>
      </c>
      <c r="D1730" t="n">
        <v>578</v>
      </c>
      <c r="E1730" t="inlineStr">
        <is>
          <t>MOD000575</t>
        </is>
      </c>
      <c r="F1730" t="inlineStr">
        <is>
          <t>ManufacturerID</t>
        </is>
      </c>
      <c r="G1730" t="inlineStr">
        <is>
          <t>MFG013</t>
        </is>
      </c>
      <c r="H1730" t="inlineStr">
        <is>
          <t>tblManufacturerIDCrosswalk</t>
        </is>
      </c>
      <c r="I1730" t="inlineStr"/>
      <c r="J1730" t="inlineStr">
        <is>
          <t>No Supported Match</t>
        </is>
      </c>
      <c r="K1730" t="inlineStr">
        <is>
          <t>None</t>
        </is>
      </c>
      <c r="L1730" t="inlineStr">
        <is>
          <t>Crosswalk Pending</t>
        </is>
      </c>
      <c r="M1730" t="inlineStr">
        <is>
          <t>Open</t>
        </is>
      </c>
      <c r="N1730" t="inlineStr"/>
    </row>
    <row r="1731">
      <c r="A1731" t="inlineStr">
        <is>
          <t>FKEX01730</t>
        </is>
      </c>
      <c r="B1731" t="inlineStr">
        <is>
          <t>15 LL_Device</t>
        </is>
      </c>
      <c r="C1731" t="inlineStr">
        <is>
          <t>tblDeviceModel</t>
        </is>
      </c>
      <c r="D1731" t="n">
        <v>578</v>
      </c>
      <c r="E1731" t="inlineStr">
        <is>
          <t>MOD000575</t>
        </is>
      </c>
      <c r="F1731" t="inlineStr">
        <is>
          <t>DeviceFamilyID</t>
        </is>
      </c>
      <c r="G1731" t="inlineStr">
        <is>
          <t>DF-133</t>
        </is>
      </c>
      <c r="H1731" t="inlineStr">
        <is>
          <t>tblDeviceFamilyIDCrosswalk</t>
        </is>
      </c>
      <c r="I1731" t="inlineStr"/>
      <c r="J1731" t="inlineStr">
        <is>
          <t>tblDeviceModel</t>
        </is>
      </c>
      <c r="K1731" t="inlineStr">
        <is>
          <t>Exact ID</t>
        </is>
      </c>
      <c r="L1731" t="inlineStr">
        <is>
          <t>Crosswalk Pending</t>
        </is>
      </c>
      <c r="M1731" t="inlineStr">
        <is>
          <t>Open</t>
        </is>
      </c>
      <c r="N1731" t="inlineStr"/>
    </row>
    <row r="1732">
      <c r="A1732" t="inlineStr">
        <is>
          <t>FKEX01731</t>
        </is>
      </c>
      <c r="B1732" t="inlineStr">
        <is>
          <t>15 LL_Device</t>
        </is>
      </c>
      <c r="C1732" t="inlineStr">
        <is>
          <t>tblDeviceModel</t>
        </is>
      </c>
      <c r="D1732" t="n">
        <v>578</v>
      </c>
      <c r="E1732" t="inlineStr">
        <is>
          <t>MOD000575</t>
        </is>
      </c>
      <c r="F1732" t="inlineStr">
        <is>
          <t>DeviceTypeID</t>
        </is>
      </c>
      <c r="G1732" t="inlineStr">
        <is>
          <t>DT001</t>
        </is>
      </c>
      <c r="H1732" t="inlineStr">
        <is>
          <t>tblDeviceTypeIDCrosswalk</t>
        </is>
      </c>
      <c r="I1732" t="inlineStr"/>
      <c r="J1732" t="inlineStr">
        <is>
          <t>No Supported Match</t>
        </is>
      </c>
      <c r="K1732" t="inlineStr">
        <is>
          <t>None</t>
        </is>
      </c>
      <c r="L1732" t="inlineStr">
        <is>
          <t>Crosswalk Pending</t>
        </is>
      </c>
      <c r="M1732" t="inlineStr">
        <is>
          <t>Open</t>
        </is>
      </c>
      <c r="N1732" t="inlineStr"/>
    </row>
    <row r="1733">
      <c r="A1733" t="inlineStr">
        <is>
          <t>FKEX01732</t>
        </is>
      </c>
      <c r="B1733" t="inlineStr">
        <is>
          <t>15 LL_Device</t>
        </is>
      </c>
      <c r="C1733" t="inlineStr">
        <is>
          <t>tblDeviceModel</t>
        </is>
      </c>
      <c r="D1733" t="n">
        <v>579</v>
      </c>
      <c r="E1733" t="inlineStr">
        <is>
          <t>MOD000576</t>
        </is>
      </c>
      <c r="F1733" t="inlineStr">
        <is>
          <t>ManufacturerID</t>
        </is>
      </c>
      <c r="G1733" t="inlineStr">
        <is>
          <t>MFG013</t>
        </is>
      </c>
      <c r="H1733" t="inlineStr">
        <is>
          <t>tblManufacturerIDCrosswalk</t>
        </is>
      </c>
      <c r="I1733" t="inlineStr"/>
      <c r="J1733" t="inlineStr">
        <is>
          <t>No Supported Match</t>
        </is>
      </c>
      <c r="K1733" t="inlineStr">
        <is>
          <t>None</t>
        </is>
      </c>
      <c r="L1733" t="inlineStr">
        <is>
          <t>Crosswalk Pending</t>
        </is>
      </c>
      <c r="M1733" t="inlineStr">
        <is>
          <t>Open</t>
        </is>
      </c>
      <c r="N1733" t="inlineStr"/>
    </row>
    <row r="1734">
      <c r="A1734" t="inlineStr">
        <is>
          <t>FKEX01733</t>
        </is>
      </c>
      <c r="B1734" t="inlineStr">
        <is>
          <t>15 LL_Device</t>
        </is>
      </c>
      <c r="C1734" t="inlineStr">
        <is>
          <t>tblDeviceModel</t>
        </is>
      </c>
      <c r="D1734" t="n">
        <v>579</v>
      </c>
      <c r="E1734" t="inlineStr">
        <is>
          <t>MOD000576</t>
        </is>
      </c>
      <c r="F1734" t="inlineStr">
        <is>
          <t>DeviceFamilyID</t>
        </is>
      </c>
      <c r="G1734" t="inlineStr">
        <is>
          <t>DF-133</t>
        </is>
      </c>
      <c r="H1734" t="inlineStr">
        <is>
          <t>tblDeviceFamilyIDCrosswalk</t>
        </is>
      </c>
      <c r="I1734" t="inlineStr"/>
      <c r="J1734" t="inlineStr">
        <is>
          <t>tblDeviceModel</t>
        </is>
      </c>
      <c r="K1734" t="inlineStr">
        <is>
          <t>Exact ID</t>
        </is>
      </c>
      <c r="L1734" t="inlineStr">
        <is>
          <t>Crosswalk Pending</t>
        </is>
      </c>
      <c r="M1734" t="inlineStr">
        <is>
          <t>Open</t>
        </is>
      </c>
      <c r="N1734" t="inlineStr"/>
    </row>
    <row r="1735">
      <c r="A1735" t="inlineStr">
        <is>
          <t>FKEX01734</t>
        </is>
      </c>
      <c r="B1735" t="inlineStr">
        <is>
          <t>15 LL_Device</t>
        </is>
      </c>
      <c r="C1735" t="inlineStr">
        <is>
          <t>tblDeviceModel</t>
        </is>
      </c>
      <c r="D1735" t="n">
        <v>579</v>
      </c>
      <c r="E1735" t="inlineStr">
        <is>
          <t>MOD000576</t>
        </is>
      </c>
      <c r="F1735" t="inlineStr">
        <is>
          <t>DeviceTypeID</t>
        </is>
      </c>
      <c r="G1735" t="inlineStr">
        <is>
          <t>DT001</t>
        </is>
      </c>
      <c r="H1735" t="inlineStr">
        <is>
          <t>tblDeviceTypeIDCrosswalk</t>
        </is>
      </c>
      <c r="I1735" t="inlineStr"/>
      <c r="J1735" t="inlineStr">
        <is>
          <t>No Supported Match</t>
        </is>
      </c>
      <c r="K1735" t="inlineStr">
        <is>
          <t>None</t>
        </is>
      </c>
      <c r="L1735" t="inlineStr">
        <is>
          <t>Crosswalk Pending</t>
        </is>
      </c>
      <c r="M1735" t="inlineStr">
        <is>
          <t>Open</t>
        </is>
      </c>
      <c r="N1735" t="inlineStr"/>
    </row>
    <row r="1736">
      <c r="A1736" t="inlineStr">
        <is>
          <t>FKEX01735</t>
        </is>
      </c>
      <c r="B1736" t="inlineStr">
        <is>
          <t>15 LL_Device</t>
        </is>
      </c>
      <c r="C1736" t="inlineStr">
        <is>
          <t>tblDeviceModel</t>
        </is>
      </c>
      <c r="D1736" t="n">
        <v>580</v>
      </c>
      <c r="E1736" t="inlineStr">
        <is>
          <t>MOD000577</t>
        </is>
      </c>
      <c r="F1736" t="inlineStr">
        <is>
          <t>ManufacturerID</t>
        </is>
      </c>
      <c r="G1736" t="inlineStr">
        <is>
          <t>MFG014</t>
        </is>
      </c>
      <c r="H1736" t="inlineStr">
        <is>
          <t>tblManufacturerIDCrosswalk</t>
        </is>
      </c>
      <c r="I1736" t="inlineStr"/>
      <c r="J1736" t="inlineStr">
        <is>
          <t>No Supported Match</t>
        </is>
      </c>
      <c r="K1736" t="inlineStr">
        <is>
          <t>None</t>
        </is>
      </c>
      <c r="L1736" t="inlineStr">
        <is>
          <t>Crosswalk Pending</t>
        </is>
      </c>
      <c r="M1736" t="inlineStr">
        <is>
          <t>Open</t>
        </is>
      </c>
      <c r="N1736" t="inlineStr"/>
    </row>
    <row r="1737">
      <c r="A1737" t="inlineStr">
        <is>
          <t>FKEX01736</t>
        </is>
      </c>
      <c r="B1737" t="inlineStr">
        <is>
          <t>15 LL_Device</t>
        </is>
      </c>
      <c r="C1737" t="inlineStr">
        <is>
          <t>tblDeviceModel</t>
        </is>
      </c>
      <c r="D1737" t="n">
        <v>580</v>
      </c>
      <c r="E1737" t="inlineStr">
        <is>
          <t>MOD000577</t>
        </is>
      </c>
      <c r="F1737" t="inlineStr">
        <is>
          <t>DeviceFamilyID</t>
        </is>
      </c>
      <c r="G1737" t="inlineStr">
        <is>
          <t>DF-140</t>
        </is>
      </c>
      <c r="H1737" t="inlineStr">
        <is>
          <t>tblDeviceFamilyIDCrosswalk</t>
        </is>
      </c>
      <c r="I1737" t="inlineStr"/>
      <c r="J1737" t="inlineStr">
        <is>
          <t>tblDeviceModel</t>
        </is>
      </c>
      <c r="K1737" t="inlineStr">
        <is>
          <t>Exact ID</t>
        </is>
      </c>
      <c r="L1737" t="inlineStr">
        <is>
          <t>Crosswalk Pending</t>
        </is>
      </c>
      <c r="M1737" t="inlineStr">
        <is>
          <t>Open</t>
        </is>
      </c>
      <c r="N1737" t="inlineStr"/>
    </row>
    <row r="1738">
      <c r="A1738" t="inlineStr">
        <is>
          <t>FKEX01737</t>
        </is>
      </c>
      <c r="B1738" t="inlineStr">
        <is>
          <t>15 LL_Device</t>
        </is>
      </c>
      <c r="C1738" t="inlineStr">
        <is>
          <t>tblDeviceModel</t>
        </is>
      </c>
      <c r="D1738" t="n">
        <v>580</v>
      </c>
      <c r="E1738" t="inlineStr">
        <is>
          <t>MOD000577</t>
        </is>
      </c>
      <c r="F1738" t="inlineStr">
        <is>
          <t>DeviceTypeID</t>
        </is>
      </c>
      <c r="G1738" t="inlineStr">
        <is>
          <t>DT001</t>
        </is>
      </c>
      <c r="H1738" t="inlineStr">
        <is>
          <t>tblDeviceTypeIDCrosswalk</t>
        </is>
      </c>
      <c r="I1738" t="inlineStr"/>
      <c r="J1738" t="inlineStr">
        <is>
          <t>No Supported Match</t>
        </is>
      </c>
      <c r="K1738" t="inlineStr">
        <is>
          <t>None</t>
        </is>
      </c>
      <c r="L1738" t="inlineStr">
        <is>
          <t>Crosswalk Pending</t>
        </is>
      </c>
      <c r="M1738" t="inlineStr">
        <is>
          <t>Open</t>
        </is>
      </c>
      <c r="N1738" t="inlineStr"/>
    </row>
    <row r="1739">
      <c r="A1739" t="inlineStr">
        <is>
          <t>FKEX01738</t>
        </is>
      </c>
      <c r="B1739" t="inlineStr">
        <is>
          <t>15 LL_Device</t>
        </is>
      </c>
      <c r="C1739" t="inlineStr">
        <is>
          <t>tblDeviceModel</t>
        </is>
      </c>
      <c r="D1739" t="n">
        <v>581</v>
      </c>
      <c r="E1739" t="inlineStr">
        <is>
          <t>MOD000578</t>
        </is>
      </c>
      <c r="F1739" t="inlineStr">
        <is>
          <t>ManufacturerID</t>
        </is>
      </c>
      <c r="G1739" t="inlineStr">
        <is>
          <t>MFG014</t>
        </is>
      </c>
      <c r="H1739" t="inlineStr">
        <is>
          <t>tblManufacturerIDCrosswalk</t>
        </is>
      </c>
      <c r="I1739" t="inlineStr"/>
      <c r="J1739" t="inlineStr">
        <is>
          <t>No Supported Match</t>
        </is>
      </c>
      <c r="K1739" t="inlineStr">
        <is>
          <t>None</t>
        </is>
      </c>
      <c r="L1739" t="inlineStr">
        <is>
          <t>Crosswalk Pending</t>
        </is>
      </c>
      <c r="M1739" t="inlineStr">
        <is>
          <t>Open</t>
        </is>
      </c>
      <c r="N1739" t="inlineStr"/>
    </row>
    <row r="1740">
      <c r="A1740" t="inlineStr">
        <is>
          <t>FKEX01739</t>
        </is>
      </c>
      <c r="B1740" t="inlineStr">
        <is>
          <t>15 LL_Device</t>
        </is>
      </c>
      <c r="C1740" t="inlineStr">
        <is>
          <t>tblDeviceModel</t>
        </is>
      </c>
      <c r="D1740" t="n">
        <v>581</v>
      </c>
      <c r="E1740" t="inlineStr">
        <is>
          <t>MOD000578</t>
        </is>
      </c>
      <c r="F1740" t="inlineStr">
        <is>
          <t>DeviceFamilyID</t>
        </is>
      </c>
      <c r="G1740" t="inlineStr">
        <is>
          <t>DF-140</t>
        </is>
      </c>
      <c r="H1740" t="inlineStr">
        <is>
          <t>tblDeviceFamilyIDCrosswalk</t>
        </is>
      </c>
      <c r="I1740" t="inlineStr"/>
      <c r="J1740" t="inlineStr">
        <is>
          <t>tblDeviceModel</t>
        </is>
      </c>
      <c r="K1740" t="inlineStr">
        <is>
          <t>Exact ID</t>
        </is>
      </c>
      <c r="L1740" t="inlineStr">
        <is>
          <t>Crosswalk Pending</t>
        </is>
      </c>
      <c r="M1740" t="inlineStr">
        <is>
          <t>Open</t>
        </is>
      </c>
      <c r="N1740" t="inlineStr"/>
    </row>
    <row r="1741">
      <c r="A1741" t="inlineStr">
        <is>
          <t>FKEX01740</t>
        </is>
      </c>
      <c r="B1741" t="inlineStr">
        <is>
          <t>15 LL_Device</t>
        </is>
      </c>
      <c r="C1741" t="inlineStr">
        <is>
          <t>tblDeviceModel</t>
        </is>
      </c>
      <c r="D1741" t="n">
        <v>581</v>
      </c>
      <c r="E1741" t="inlineStr">
        <is>
          <t>MOD000578</t>
        </is>
      </c>
      <c r="F1741" t="inlineStr">
        <is>
          <t>DeviceTypeID</t>
        </is>
      </c>
      <c r="G1741" t="inlineStr">
        <is>
          <t>DT001</t>
        </is>
      </c>
      <c r="H1741" t="inlineStr">
        <is>
          <t>tblDeviceTypeIDCrosswalk</t>
        </is>
      </c>
      <c r="I1741" t="inlineStr"/>
      <c r="J1741" t="inlineStr">
        <is>
          <t>No Supported Match</t>
        </is>
      </c>
      <c r="K1741" t="inlineStr">
        <is>
          <t>None</t>
        </is>
      </c>
      <c r="L1741" t="inlineStr">
        <is>
          <t>Crosswalk Pending</t>
        </is>
      </c>
      <c r="M1741" t="inlineStr">
        <is>
          <t>Open</t>
        </is>
      </c>
      <c r="N1741" t="inlineStr"/>
    </row>
    <row r="1742">
      <c r="A1742" t="inlineStr">
        <is>
          <t>FKEX01741</t>
        </is>
      </c>
      <c r="B1742" t="inlineStr">
        <is>
          <t>15 LL_Device</t>
        </is>
      </c>
      <c r="C1742" t="inlineStr">
        <is>
          <t>tblDeviceModel</t>
        </is>
      </c>
      <c r="D1742" t="n">
        <v>582</v>
      </c>
      <c r="E1742" t="inlineStr">
        <is>
          <t>MOD000579</t>
        </is>
      </c>
      <c r="F1742" t="inlineStr">
        <is>
          <t>ManufacturerID</t>
        </is>
      </c>
      <c r="G1742" t="inlineStr">
        <is>
          <t>MFG014</t>
        </is>
      </c>
      <c r="H1742" t="inlineStr">
        <is>
          <t>tblManufacturerIDCrosswalk</t>
        </is>
      </c>
      <c r="I1742" t="inlineStr"/>
      <c r="J1742" t="inlineStr">
        <is>
          <t>No Supported Match</t>
        </is>
      </c>
      <c r="K1742" t="inlineStr">
        <is>
          <t>None</t>
        </is>
      </c>
      <c r="L1742" t="inlineStr">
        <is>
          <t>Crosswalk Pending</t>
        </is>
      </c>
      <c r="M1742" t="inlineStr">
        <is>
          <t>Open</t>
        </is>
      </c>
      <c r="N1742" t="inlineStr"/>
    </row>
    <row r="1743">
      <c r="A1743" t="inlineStr">
        <is>
          <t>FKEX01742</t>
        </is>
      </c>
      <c r="B1743" t="inlineStr">
        <is>
          <t>15 LL_Device</t>
        </is>
      </c>
      <c r="C1743" t="inlineStr">
        <is>
          <t>tblDeviceModel</t>
        </is>
      </c>
      <c r="D1743" t="n">
        <v>582</v>
      </c>
      <c r="E1743" t="inlineStr">
        <is>
          <t>MOD000579</t>
        </is>
      </c>
      <c r="F1743" t="inlineStr">
        <is>
          <t>DeviceFamilyID</t>
        </is>
      </c>
      <c r="G1743" t="inlineStr">
        <is>
          <t>DF-140</t>
        </is>
      </c>
      <c r="H1743" t="inlineStr">
        <is>
          <t>tblDeviceFamilyIDCrosswalk</t>
        </is>
      </c>
      <c r="I1743" t="inlineStr"/>
      <c r="J1743" t="inlineStr">
        <is>
          <t>tblDeviceModel</t>
        </is>
      </c>
      <c r="K1743" t="inlineStr">
        <is>
          <t>Exact ID</t>
        </is>
      </c>
      <c r="L1743" t="inlineStr">
        <is>
          <t>Crosswalk Pending</t>
        </is>
      </c>
      <c r="M1743" t="inlineStr">
        <is>
          <t>Open</t>
        </is>
      </c>
      <c r="N1743" t="inlineStr"/>
    </row>
    <row r="1744">
      <c r="A1744" t="inlineStr">
        <is>
          <t>FKEX01743</t>
        </is>
      </c>
      <c r="B1744" t="inlineStr">
        <is>
          <t>15 LL_Device</t>
        </is>
      </c>
      <c r="C1744" t="inlineStr">
        <is>
          <t>tblDeviceModel</t>
        </is>
      </c>
      <c r="D1744" t="n">
        <v>582</v>
      </c>
      <c r="E1744" t="inlineStr">
        <is>
          <t>MOD000579</t>
        </is>
      </c>
      <c r="F1744" t="inlineStr">
        <is>
          <t>DeviceTypeID</t>
        </is>
      </c>
      <c r="G1744" t="inlineStr">
        <is>
          <t>DT001</t>
        </is>
      </c>
      <c r="H1744" t="inlineStr">
        <is>
          <t>tblDeviceTypeIDCrosswalk</t>
        </is>
      </c>
      <c r="I1744" t="inlineStr"/>
      <c r="J1744" t="inlineStr">
        <is>
          <t>No Supported Match</t>
        </is>
      </c>
      <c r="K1744" t="inlineStr">
        <is>
          <t>None</t>
        </is>
      </c>
      <c r="L1744" t="inlineStr">
        <is>
          <t>Crosswalk Pending</t>
        </is>
      </c>
      <c r="M1744" t="inlineStr">
        <is>
          <t>Open</t>
        </is>
      </c>
      <c r="N1744" t="inlineStr"/>
    </row>
    <row r="1745">
      <c r="A1745" t="inlineStr">
        <is>
          <t>FKEX01744</t>
        </is>
      </c>
      <c r="B1745" t="inlineStr">
        <is>
          <t>15 LL_Device</t>
        </is>
      </c>
      <c r="C1745" t="inlineStr">
        <is>
          <t>tblDeviceModel</t>
        </is>
      </c>
      <c r="D1745" t="n">
        <v>583</v>
      </c>
      <c r="E1745" t="inlineStr">
        <is>
          <t>MOD000580</t>
        </is>
      </c>
      <c r="F1745" t="inlineStr">
        <is>
          <t>ManufacturerID</t>
        </is>
      </c>
      <c r="G1745" t="inlineStr">
        <is>
          <t>MFG014</t>
        </is>
      </c>
      <c r="H1745" t="inlineStr">
        <is>
          <t>tblManufacturerIDCrosswalk</t>
        </is>
      </c>
      <c r="I1745" t="inlineStr"/>
      <c r="J1745" t="inlineStr">
        <is>
          <t>No Supported Match</t>
        </is>
      </c>
      <c r="K1745" t="inlineStr">
        <is>
          <t>None</t>
        </is>
      </c>
      <c r="L1745" t="inlineStr">
        <is>
          <t>Crosswalk Pending</t>
        </is>
      </c>
      <c r="M1745" t="inlineStr">
        <is>
          <t>Open</t>
        </is>
      </c>
      <c r="N1745" t="inlineStr"/>
    </row>
    <row r="1746">
      <c r="A1746" t="inlineStr">
        <is>
          <t>FKEX01745</t>
        </is>
      </c>
      <c r="B1746" t="inlineStr">
        <is>
          <t>15 LL_Device</t>
        </is>
      </c>
      <c r="C1746" t="inlineStr">
        <is>
          <t>tblDeviceModel</t>
        </is>
      </c>
      <c r="D1746" t="n">
        <v>583</v>
      </c>
      <c r="E1746" t="inlineStr">
        <is>
          <t>MOD000580</t>
        </is>
      </c>
      <c r="F1746" t="inlineStr">
        <is>
          <t>DeviceFamilyID</t>
        </is>
      </c>
      <c r="G1746" t="inlineStr">
        <is>
          <t>DF-140</t>
        </is>
      </c>
      <c r="H1746" t="inlineStr">
        <is>
          <t>tblDeviceFamilyIDCrosswalk</t>
        </is>
      </c>
      <c r="I1746" t="inlineStr"/>
      <c r="J1746" t="inlineStr">
        <is>
          <t>tblDeviceModel</t>
        </is>
      </c>
      <c r="K1746" t="inlineStr">
        <is>
          <t>Exact ID</t>
        </is>
      </c>
      <c r="L1746" t="inlineStr">
        <is>
          <t>Crosswalk Pending</t>
        </is>
      </c>
      <c r="M1746" t="inlineStr">
        <is>
          <t>Open</t>
        </is>
      </c>
      <c r="N1746" t="inlineStr"/>
    </row>
    <row r="1747">
      <c r="A1747" t="inlineStr">
        <is>
          <t>FKEX01746</t>
        </is>
      </c>
      <c r="B1747" t="inlineStr">
        <is>
          <t>15 LL_Device</t>
        </is>
      </c>
      <c r="C1747" t="inlineStr">
        <is>
          <t>tblDeviceModel</t>
        </is>
      </c>
      <c r="D1747" t="n">
        <v>583</v>
      </c>
      <c r="E1747" t="inlineStr">
        <is>
          <t>MOD000580</t>
        </is>
      </c>
      <c r="F1747" t="inlineStr">
        <is>
          <t>DeviceTypeID</t>
        </is>
      </c>
      <c r="G1747" t="inlineStr">
        <is>
          <t>DT001</t>
        </is>
      </c>
      <c r="H1747" t="inlineStr">
        <is>
          <t>tblDeviceTypeIDCrosswalk</t>
        </is>
      </c>
      <c r="I1747" t="inlineStr"/>
      <c r="J1747" t="inlineStr">
        <is>
          <t>No Supported Match</t>
        </is>
      </c>
      <c r="K1747" t="inlineStr">
        <is>
          <t>None</t>
        </is>
      </c>
      <c r="L1747" t="inlineStr">
        <is>
          <t>Crosswalk Pending</t>
        </is>
      </c>
      <c r="M1747" t="inlineStr">
        <is>
          <t>Open</t>
        </is>
      </c>
      <c r="N1747" t="inlineStr"/>
    </row>
    <row r="1748">
      <c r="A1748" t="inlineStr">
        <is>
          <t>FKEX01747</t>
        </is>
      </c>
      <c r="B1748" t="inlineStr">
        <is>
          <t>15 LL_Device</t>
        </is>
      </c>
      <c r="C1748" t="inlineStr">
        <is>
          <t>tblDeviceModel</t>
        </is>
      </c>
      <c r="D1748" t="n">
        <v>584</v>
      </c>
      <c r="E1748" t="inlineStr">
        <is>
          <t>MOD000581</t>
        </is>
      </c>
      <c r="F1748" t="inlineStr">
        <is>
          <t>ManufacturerID</t>
        </is>
      </c>
      <c r="G1748" t="inlineStr">
        <is>
          <t>MFG014</t>
        </is>
      </c>
      <c r="H1748" t="inlineStr">
        <is>
          <t>tblManufacturerIDCrosswalk</t>
        </is>
      </c>
      <c r="I1748" t="inlineStr"/>
      <c r="J1748" t="inlineStr">
        <is>
          <t>No Supported Match</t>
        </is>
      </c>
      <c r="K1748" t="inlineStr">
        <is>
          <t>None</t>
        </is>
      </c>
      <c r="L1748" t="inlineStr">
        <is>
          <t>Crosswalk Pending</t>
        </is>
      </c>
      <c r="M1748" t="inlineStr">
        <is>
          <t>Open</t>
        </is>
      </c>
      <c r="N1748" t="inlineStr"/>
    </row>
    <row r="1749">
      <c r="A1749" t="inlineStr">
        <is>
          <t>FKEX01748</t>
        </is>
      </c>
      <c r="B1749" t="inlineStr">
        <is>
          <t>15 LL_Device</t>
        </is>
      </c>
      <c r="C1749" t="inlineStr">
        <is>
          <t>tblDeviceModel</t>
        </is>
      </c>
      <c r="D1749" t="n">
        <v>584</v>
      </c>
      <c r="E1749" t="inlineStr">
        <is>
          <t>MOD000581</t>
        </is>
      </c>
      <c r="F1749" t="inlineStr">
        <is>
          <t>DeviceFamilyID</t>
        </is>
      </c>
      <c r="G1749" t="inlineStr">
        <is>
          <t>DF-141</t>
        </is>
      </c>
      <c r="H1749" t="inlineStr">
        <is>
          <t>tblDeviceFamilyIDCrosswalk</t>
        </is>
      </c>
      <c r="I1749" t="inlineStr"/>
      <c r="J1749" t="inlineStr">
        <is>
          <t>tblDeviceModel</t>
        </is>
      </c>
      <c r="K1749" t="inlineStr">
        <is>
          <t>Exact ID</t>
        </is>
      </c>
      <c r="L1749" t="inlineStr">
        <is>
          <t>Crosswalk Pending</t>
        </is>
      </c>
      <c r="M1749" t="inlineStr">
        <is>
          <t>Open</t>
        </is>
      </c>
      <c r="N1749" t="inlineStr"/>
    </row>
    <row r="1750">
      <c r="A1750" t="inlineStr">
        <is>
          <t>FKEX01749</t>
        </is>
      </c>
      <c r="B1750" t="inlineStr">
        <is>
          <t>15 LL_Device</t>
        </is>
      </c>
      <c r="C1750" t="inlineStr">
        <is>
          <t>tblDeviceModel</t>
        </is>
      </c>
      <c r="D1750" t="n">
        <v>584</v>
      </c>
      <c r="E1750" t="inlineStr">
        <is>
          <t>MOD000581</t>
        </is>
      </c>
      <c r="F1750" t="inlineStr">
        <is>
          <t>DeviceTypeID</t>
        </is>
      </c>
      <c r="G1750" t="inlineStr">
        <is>
          <t>DT001</t>
        </is>
      </c>
      <c r="H1750" t="inlineStr">
        <is>
          <t>tblDeviceTypeIDCrosswalk</t>
        </is>
      </c>
      <c r="I1750" t="inlineStr"/>
      <c r="J1750" t="inlineStr">
        <is>
          <t>No Supported Match</t>
        </is>
      </c>
      <c r="K1750" t="inlineStr">
        <is>
          <t>None</t>
        </is>
      </c>
      <c r="L1750" t="inlineStr">
        <is>
          <t>Crosswalk Pending</t>
        </is>
      </c>
      <c r="M1750" t="inlineStr">
        <is>
          <t>Open</t>
        </is>
      </c>
      <c r="N1750" t="inlineStr"/>
    </row>
    <row r="1751">
      <c r="A1751" t="inlineStr">
        <is>
          <t>FKEX01750</t>
        </is>
      </c>
      <c r="B1751" t="inlineStr">
        <is>
          <t>15 LL_Device</t>
        </is>
      </c>
      <c r="C1751" t="inlineStr">
        <is>
          <t>tblDeviceModel</t>
        </is>
      </c>
      <c r="D1751" t="n">
        <v>585</v>
      </c>
      <c r="E1751" t="inlineStr">
        <is>
          <t>MOD000582</t>
        </is>
      </c>
      <c r="F1751" t="inlineStr">
        <is>
          <t>ManufacturerID</t>
        </is>
      </c>
      <c r="G1751" t="inlineStr">
        <is>
          <t>MFG014</t>
        </is>
      </c>
      <c r="H1751" t="inlineStr">
        <is>
          <t>tblManufacturerIDCrosswalk</t>
        </is>
      </c>
      <c r="I1751" t="inlineStr"/>
      <c r="J1751" t="inlineStr">
        <is>
          <t>No Supported Match</t>
        </is>
      </c>
      <c r="K1751" t="inlineStr">
        <is>
          <t>None</t>
        </is>
      </c>
      <c r="L1751" t="inlineStr">
        <is>
          <t>Crosswalk Pending</t>
        </is>
      </c>
      <c r="M1751" t="inlineStr">
        <is>
          <t>Open</t>
        </is>
      </c>
      <c r="N1751" t="inlineStr"/>
    </row>
    <row r="1752">
      <c r="A1752" t="inlineStr">
        <is>
          <t>FKEX01751</t>
        </is>
      </c>
      <c r="B1752" t="inlineStr">
        <is>
          <t>15 LL_Device</t>
        </is>
      </c>
      <c r="C1752" t="inlineStr">
        <is>
          <t>tblDeviceModel</t>
        </is>
      </c>
      <c r="D1752" t="n">
        <v>585</v>
      </c>
      <c r="E1752" t="inlineStr">
        <is>
          <t>MOD000582</t>
        </is>
      </c>
      <c r="F1752" t="inlineStr">
        <is>
          <t>DeviceFamilyID</t>
        </is>
      </c>
      <c r="G1752" t="inlineStr">
        <is>
          <t>DF-142</t>
        </is>
      </c>
      <c r="H1752" t="inlineStr">
        <is>
          <t>tblDeviceFamilyIDCrosswalk</t>
        </is>
      </c>
      <c r="I1752" t="inlineStr"/>
      <c r="J1752" t="inlineStr">
        <is>
          <t>tblDeviceModel</t>
        </is>
      </c>
      <c r="K1752" t="inlineStr">
        <is>
          <t>Exact ID</t>
        </is>
      </c>
      <c r="L1752" t="inlineStr">
        <is>
          <t>Crosswalk Pending</t>
        </is>
      </c>
      <c r="M1752" t="inlineStr">
        <is>
          <t>Open</t>
        </is>
      </c>
      <c r="N1752" t="inlineStr"/>
    </row>
    <row r="1753">
      <c r="A1753" t="inlineStr">
        <is>
          <t>FKEX01752</t>
        </is>
      </c>
      <c r="B1753" t="inlineStr">
        <is>
          <t>15 LL_Device</t>
        </is>
      </c>
      <c r="C1753" t="inlineStr">
        <is>
          <t>tblDeviceModel</t>
        </is>
      </c>
      <c r="D1753" t="n">
        <v>585</v>
      </c>
      <c r="E1753" t="inlineStr">
        <is>
          <t>MOD000582</t>
        </is>
      </c>
      <c r="F1753" t="inlineStr">
        <is>
          <t>DeviceTypeID</t>
        </is>
      </c>
      <c r="G1753" t="inlineStr">
        <is>
          <t>DT001</t>
        </is>
      </c>
      <c r="H1753" t="inlineStr">
        <is>
          <t>tblDeviceTypeIDCrosswalk</t>
        </is>
      </c>
      <c r="I1753" t="inlineStr"/>
      <c r="J1753" t="inlineStr">
        <is>
          <t>No Supported Match</t>
        </is>
      </c>
      <c r="K1753" t="inlineStr">
        <is>
          <t>None</t>
        </is>
      </c>
      <c r="L1753" t="inlineStr">
        <is>
          <t>Crosswalk Pending</t>
        </is>
      </c>
      <c r="M1753" t="inlineStr">
        <is>
          <t>Open</t>
        </is>
      </c>
      <c r="N1753" t="inlineStr"/>
    </row>
    <row r="1754">
      <c r="A1754" t="inlineStr">
        <is>
          <t>FKEX01753</t>
        </is>
      </c>
      <c r="B1754" t="inlineStr">
        <is>
          <t>15 LL_Device</t>
        </is>
      </c>
      <c r="C1754" t="inlineStr">
        <is>
          <t>tblDeviceModel</t>
        </is>
      </c>
      <c r="D1754" t="n">
        <v>586</v>
      </c>
      <c r="E1754" t="inlineStr">
        <is>
          <t>MOD000583</t>
        </is>
      </c>
      <c r="F1754" t="inlineStr">
        <is>
          <t>ManufacturerID</t>
        </is>
      </c>
      <c r="G1754" t="inlineStr">
        <is>
          <t>MFG015</t>
        </is>
      </c>
      <c r="H1754" t="inlineStr">
        <is>
          <t>tblManufacturerIDCrosswalk</t>
        </is>
      </c>
      <c r="I1754" t="inlineStr"/>
      <c r="J1754" t="inlineStr">
        <is>
          <t>No Supported Match</t>
        </is>
      </c>
      <c r="K1754" t="inlineStr">
        <is>
          <t>None</t>
        </is>
      </c>
      <c r="L1754" t="inlineStr">
        <is>
          <t>Crosswalk Pending</t>
        </is>
      </c>
      <c r="M1754" t="inlineStr">
        <is>
          <t>Open</t>
        </is>
      </c>
      <c r="N1754" t="inlineStr"/>
    </row>
    <row r="1755">
      <c r="A1755" t="inlineStr">
        <is>
          <t>FKEX01754</t>
        </is>
      </c>
      <c r="B1755" t="inlineStr">
        <is>
          <t>15 LL_Device</t>
        </is>
      </c>
      <c r="C1755" t="inlineStr">
        <is>
          <t>tblDeviceModel</t>
        </is>
      </c>
      <c r="D1755" t="n">
        <v>586</v>
      </c>
      <c r="E1755" t="inlineStr">
        <is>
          <t>MOD000583</t>
        </is>
      </c>
      <c r="F1755" t="inlineStr">
        <is>
          <t>DeviceFamilyID</t>
        </is>
      </c>
      <c r="G1755" t="inlineStr">
        <is>
          <t>DF-150</t>
        </is>
      </c>
      <c r="H1755" t="inlineStr">
        <is>
          <t>tblDeviceFamilyIDCrosswalk</t>
        </is>
      </c>
      <c r="I1755" t="inlineStr"/>
      <c r="J1755" t="inlineStr">
        <is>
          <t>tblDeviceModel</t>
        </is>
      </c>
      <c r="K1755" t="inlineStr">
        <is>
          <t>Exact ID</t>
        </is>
      </c>
      <c r="L1755" t="inlineStr">
        <is>
          <t>Crosswalk Pending</t>
        </is>
      </c>
      <c r="M1755" t="inlineStr">
        <is>
          <t>Open</t>
        </is>
      </c>
      <c r="N1755" t="inlineStr"/>
    </row>
    <row r="1756">
      <c r="A1756" t="inlineStr">
        <is>
          <t>FKEX01755</t>
        </is>
      </c>
      <c r="B1756" t="inlineStr">
        <is>
          <t>15 LL_Device</t>
        </is>
      </c>
      <c r="C1756" t="inlineStr">
        <is>
          <t>tblDeviceModel</t>
        </is>
      </c>
      <c r="D1756" t="n">
        <v>586</v>
      </c>
      <c r="E1756" t="inlineStr">
        <is>
          <t>MOD000583</t>
        </is>
      </c>
      <c r="F1756" t="inlineStr">
        <is>
          <t>DeviceTypeID</t>
        </is>
      </c>
      <c r="G1756" t="inlineStr">
        <is>
          <t>DT001</t>
        </is>
      </c>
      <c r="H1756" t="inlineStr">
        <is>
          <t>tblDeviceTypeIDCrosswalk</t>
        </is>
      </c>
      <c r="I1756" t="inlineStr"/>
      <c r="J1756" t="inlineStr">
        <is>
          <t>No Supported Match</t>
        </is>
      </c>
      <c r="K1756" t="inlineStr">
        <is>
          <t>None</t>
        </is>
      </c>
      <c r="L1756" t="inlineStr">
        <is>
          <t>Crosswalk Pending</t>
        </is>
      </c>
      <c r="M1756" t="inlineStr">
        <is>
          <t>Open</t>
        </is>
      </c>
      <c r="N1756" t="inlineStr"/>
    </row>
    <row r="1757">
      <c r="A1757" t="inlineStr">
        <is>
          <t>FKEX01756</t>
        </is>
      </c>
      <c r="B1757" t="inlineStr">
        <is>
          <t>15 LL_Device</t>
        </is>
      </c>
      <c r="C1757" t="inlineStr">
        <is>
          <t>tblDeviceModel</t>
        </is>
      </c>
      <c r="D1757" t="n">
        <v>587</v>
      </c>
      <c r="E1757" t="inlineStr">
        <is>
          <t>MOD000584</t>
        </is>
      </c>
      <c r="F1757" t="inlineStr">
        <is>
          <t>ManufacturerID</t>
        </is>
      </c>
      <c r="G1757" t="inlineStr">
        <is>
          <t>MFG015</t>
        </is>
      </c>
      <c r="H1757" t="inlineStr">
        <is>
          <t>tblManufacturerIDCrosswalk</t>
        </is>
      </c>
      <c r="I1757" t="inlineStr"/>
      <c r="J1757" t="inlineStr">
        <is>
          <t>No Supported Match</t>
        </is>
      </c>
      <c r="K1757" t="inlineStr">
        <is>
          <t>None</t>
        </is>
      </c>
      <c r="L1757" t="inlineStr">
        <is>
          <t>Crosswalk Pending</t>
        </is>
      </c>
      <c r="M1757" t="inlineStr">
        <is>
          <t>Open</t>
        </is>
      </c>
      <c r="N1757" t="inlineStr"/>
    </row>
    <row r="1758">
      <c r="A1758" t="inlineStr">
        <is>
          <t>FKEX01757</t>
        </is>
      </c>
      <c r="B1758" t="inlineStr">
        <is>
          <t>15 LL_Device</t>
        </is>
      </c>
      <c r="C1758" t="inlineStr">
        <is>
          <t>tblDeviceModel</t>
        </is>
      </c>
      <c r="D1758" t="n">
        <v>587</v>
      </c>
      <c r="E1758" t="inlineStr">
        <is>
          <t>MOD000584</t>
        </is>
      </c>
      <c r="F1758" t="inlineStr">
        <is>
          <t>DeviceFamilyID</t>
        </is>
      </c>
      <c r="G1758" t="inlineStr">
        <is>
          <t>DF-150</t>
        </is>
      </c>
      <c r="H1758" t="inlineStr">
        <is>
          <t>tblDeviceFamilyIDCrosswalk</t>
        </is>
      </c>
      <c r="I1758" t="inlineStr"/>
      <c r="J1758" t="inlineStr">
        <is>
          <t>tblDeviceModel</t>
        </is>
      </c>
      <c r="K1758" t="inlineStr">
        <is>
          <t>Exact ID</t>
        </is>
      </c>
      <c r="L1758" t="inlineStr">
        <is>
          <t>Crosswalk Pending</t>
        </is>
      </c>
      <c r="M1758" t="inlineStr">
        <is>
          <t>Open</t>
        </is>
      </c>
      <c r="N1758" t="inlineStr"/>
    </row>
    <row r="1759">
      <c r="A1759" t="inlineStr">
        <is>
          <t>FKEX01758</t>
        </is>
      </c>
      <c r="B1759" t="inlineStr">
        <is>
          <t>15 LL_Device</t>
        </is>
      </c>
      <c r="C1759" t="inlineStr">
        <is>
          <t>tblDeviceModel</t>
        </is>
      </c>
      <c r="D1759" t="n">
        <v>587</v>
      </c>
      <c r="E1759" t="inlineStr">
        <is>
          <t>MOD000584</t>
        </is>
      </c>
      <c r="F1759" t="inlineStr">
        <is>
          <t>DeviceTypeID</t>
        </is>
      </c>
      <c r="G1759" t="inlineStr">
        <is>
          <t>DT001</t>
        </is>
      </c>
      <c r="H1759" t="inlineStr">
        <is>
          <t>tblDeviceTypeIDCrosswalk</t>
        </is>
      </c>
      <c r="I1759" t="inlineStr"/>
      <c r="J1759" t="inlineStr">
        <is>
          <t>No Supported Match</t>
        </is>
      </c>
      <c r="K1759" t="inlineStr">
        <is>
          <t>None</t>
        </is>
      </c>
      <c r="L1759" t="inlineStr">
        <is>
          <t>Crosswalk Pending</t>
        </is>
      </c>
      <c r="M1759" t="inlineStr">
        <is>
          <t>Open</t>
        </is>
      </c>
      <c r="N1759" t="inlineStr"/>
    </row>
    <row r="1760">
      <c r="A1760" t="inlineStr">
        <is>
          <t>FKEX01759</t>
        </is>
      </c>
      <c r="B1760" t="inlineStr">
        <is>
          <t>15 LL_Device</t>
        </is>
      </c>
      <c r="C1760" t="inlineStr">
        <is>
          <t>tblDeviceModel</t>
        </is>
      </c>
      <c r="D1760" t="n">
        <v>588</v>
      </c>
      <c r="E1760" t="inlineStr">
        <is>
          <t>MOD000585</t>
        </is>
      </c>
      <c r="F1760" t="inlineStr">
        <is>
          <t>ManufacturerID</t>
        </is>
      </c>
      <c r="G1760" t="inlineStr">
        <is>
          <t>MFG015</t>
        </is>
      </c>
      <c r="H1760" t="inlineStr">
        <is>
          <t>tblManufacturerIDCrosswalk</t>
        </is>
      </c>
      <c r="I1760" t="inlineStr"/>
      <c r="J1760" t="inlineStr">
        <is>
          <t>No Supported Match</t>
        </is>
      </c>
      <c r="K1760" t="inlineStr">
        <is>
          <t>None</t>
        </is>
      </c>
      <c r="L1760" t="inlineStr">
        <is>
          <t>Crosswalk Pending</t>
        </is>
      </c>
      <c r="M1760" t="inlineStr">
        <is>
          <t>Open</t>
        </is>
      </c>
      <c r="N1760" t="inlineStr"/>
    </row>
    <row r="1761">
      <c r="A1761" t="inlineStr">
        <is>
          <t>FKEX01760</t>
        </is>
      </c>
      <c r="B1761" t="inlineStr">
        <is>
          <t>15 LL_Device</t>
        </is>
      </c>
      <c r="C1761" t="inlineStr">
        <is>
          <t>tblDeviceModel</t>
        </is>
      </c>
      <c r="D1761" t="n">
        <v>588</v>
      </c>
      <c r="E1761" t="inlineStr">
        <is>
          <t>MOD000585</t>
        </is>
      </c>
      <c r="F1761" t="inlineStr">
        <is>
          <t>DeviceFamilyID</t>
        </is>
      </c>
      <c r="G1761" t="inlineStr">
        <is>
          <t>DF-151</t>
        </is>
      </c>
      <c r="H1761" t="inlineStr">
        <is>
          <t>tblDeviceFamilyIDCrosswalk</t>
        </is>
      </c>
      <c r="I1761" t="inlineStr"/>
      <c r="J1761" t="inlineStr">
        <is>
          <t>tblDeviceModel</t>
        </is>
      </c>
      <c r="K1761" t="inlineStr">
        <is>
          <t>Exact ID</t>
        </is>
      </c>
      <c r="L1761" t="inlineStr">
        <is>
          <t>Crosswalk Pending</t>
        </is>
      </c>
      <c r="M1761" t="inlineStr">
        <is>
          <t>Open</t>
        </is>
      </c>
      <c r="N1761" t="inlineStr"/>
    </row>
    <row r="1762">
      <c r="A1762" t="inlineStr">
        <is>
          <t>FKEX01761</t>
        </is>
      </c>
      <c r="B1762" t="inlineStr">
        <is>
          <t>15 LL_Device</t>
        </is>
      </c>
      <c r="C1762" t="inlineStr">
        <is>
          <t>tblDeviceModel</t>
        </is>
      </c>
      <c r="D1762" t="n">
        <v>588</v>
      </c>
      <c r="E1762" t="inlineStr">
        <is>
          <t>MOD000585</t>
        </is>
      </c>
      <c r="F1762" t="inlineStr">
        <is>
          <t>DeviceTypeID</t>
        </is>
      </c>
      <c r="G1762" t="inlineStr">
        <is>
          <t>DT001</t>
        </is>
      </c>
      <c r="H1762" t="inlineStr">
        <is>
          <t>tblDeviceTypeIDCrosswalk</t>
        </is>
      </c>
      <c r="I1762" t="inlineStr"/>
      <c r="J1762" t="inlineStr">
        <is>
          <t>No Supported Match</t>
        </is>
      </c>
      <c r="K1762" t="inlineStr">
        <is>
          <t>None</t>
        </is>
      </c>
      <c r="L1762" t="inlineStr">
        <is>
          <t>Crosswalk Pending</t>
        </is>
      </c>
      <c r="M1762" t="inlineStr">
        <is>
          <t>Open</t>
        </is>
      </c>
      <c r="N1762" t="inlineStr"/>
    </row>
    <row r="1763">
      <c r="A1763" t="inlineStr">
        <is>
          <t>FKEX01762</t>
        </is>
      </c>
      <c r="B1763" t="inlineStr">
        <is>
          <t>15 LL_Device</t>
        </is>
      </c>
      <c r="C1763" t="inlineStr">
        <is>
          <t>tblDeviceModel</t>
        </is>
      </c>
      <c r="D1763" t="n">
        <v>589</v>
      </c>
      <c r="E1763" t="inlineStr">
        <is>
          <t>MOD000586</t>
        </is>
      </c>
      <c r="F1763" t="inlineStr">
        <is>
          <t>ManufacturerID</t>
        </is>
      </c>
      <c r="G1763" t="inlineStr">
        <is>
          <t>MFG015</t>
        </is>
      </c>
      <c r="H1763" t="inlineStr">
        <is>
          <t>tblManufacturerIDCrosswalk</t>
        </is>
      </c>
      <c r="I1763" t="inlineStr"/>
      <c r="J1763" t="inlineStr">
        <is>
          <t>No Supported Match</t>
        </is>
      </c>
      <c r="K1763" t="inlineStr">
        <is>
          <t>None</t>
        </is>
      </c>
      <c r="L1763" t="inlineStr">
        <is>
          <t>Crosswalk Pending</t>
        </is>
      </c>
      <c r="M1763" t="inlineStr">
        <is>
          <t>Open</t>
        </is>
      </c>
      <c r="N1763" t="inlineStr"/>
    </row>
    <row r="1764">
      <c r="A1764" t="inlineStr">
        <is>
          <t>FKEX01763</t>
        </is>
      </c>
      <c r="B1764" t="inlineStr">
        <is>
          <t>15 LL_Device</t>
        </is>
      </c>
      <c r="C1764" t="inlineStr">
        <is>
          <t>tblDeviceModel</t>
        </is>
      </c>
      <c r="D1764" t="n">
        <v>589</v>
      </c>
      <c r="E1764" t="inlineStr">
        <is>
          <t>MOD000586</t>
        </is>
      </c>
      <c r="F1764" t="inlineStr">
        <is>
          <t>DeviceFamilyID</t>
        </is>
      </c>
      <c r="G1764" t="inlineStr">
        <is>
          <t>DF-151</t>
        </is>
      </c>
      <c r="H1764" t="inlineStr">
        <is>
          <t>tblDeviceFamilyIDCrosswalk</t>
        </is>
      </c>
      <c r="I1764" t="inlineStr"/>
      <c r="J1764" t="inlineStr">
        <is>
          <t>tblDeviceModel</t>
        </is>
      </c>
      <c r="K1764" t="inlineStr">
        <is>
          <t>Exact ID</t>
        </is>
      </c>
      <c r="L1764" t="inlineStr">
        <is>
          <t>Crosswalk Pending</t>
        </is>
      </c>
      <c r="M1764" t="inlineStr">
        <is>
          <t>Open</t>
        </is>
      </c>
      <c r="N1764" t="inlineStr"/>
    </row>
    <row r="1765">
      <c r="A1765" t="inlineStr">
        <is>
          <t>FKEX01764</t>
        </is>
      </c>
      <c r="B1765" t="inlineStr">
        <is>
          <t>15 LL_Device</t>
        </is>
      </c>
      <c r="C1765" t="inlineStr">
        <is>
          <t>tblDeviceModel</t>
        </is>
      </c>
      <c r="D1765" t="n">
        <v>589</v>
      </c>
      <c r="E1765" t="inlineStr">
        <is>
          <t>MOD000586</t>
        </is>
      </c>
      <c r="F1765" t="inlineStr">
        <is>
          <t>DeviceTypeID</t>
        </is>
      </c>
      <c r="G1765" t="inlineStr">
        <is>
          <t>DT001</t>
        </is>
      </c>
      <c r="H1765" t="inlineStr">
        <is>
          <t>tblDeviceTypeIDCrosswalk</t>
        </is>
      </c>
      <c r="I1765" t="inlineStr"/>
      <c r="J1765" t="inlineStr">
        <is>
          <t>No Supported Match</t>
        </is>
      </c>
      <c r="K1765" t="inlineStr">
        <is>
          <t>None</t>
        </is>
      </c>
      <c r="L1765" t="inlineStr">
        <is>
          <t>Crosswalk Pending</t>
        </is>
      </c>
      <c r="M1765" t="inlineStr">
        <is>
          <t>Open</t>
        </is>
      </c>
      <c r="N1765" t="inlineStr"/>
    </row>
    <row r="1766">
      <c r="A1766" t="inlineStr">
        <is>
          <t>FKEX01765</t>
        </is>
      </c>
      <c r="B1766" t="inlineStr">
        <is>
          <t>15 LL_Device</t>
        </is>
      </c>
      <c r="C1766" t="inlineStr">
        <is>
          <t>tblDeviceModel</t>
        </is>
      </c>
      <c r="D1766" t="n">
        <v>590</v>
      </c>
      <c r="E1766" t="inlineStr">
        <is>
          <t>MOD000587</t>
        </is>
      </c>
      <c r="F1766" t="inlineStr">
        <is>
          <t>ManufacturerID</t>
        </is>
      </c>
      <c r="G1766" t="inlineStr">
        <is>
          <t>MFG015</t>
        </is>
      </c>
      <c r="H1766" t="inlineStr">
        <is>
          <t>tblManufacturerIDCrosswalk</t>
        </is>
      </c>
      <c r="I1766" t="inlineStr"/>
      <c r="J1766" t="inlineStr">
        <is>
          <t>No Supported Match</t>
        </is>
      </c>
      <c r="K1766" t="inlineStr">
        <is>
          <t>None</t>
        </is>
      </c>
      <c r="L1766" t="inlineStr">
        <is>
          <t>Crosswalk Pending</t>
        </is>
      </c>
      <c r="M1766" t="inlineStr">
        <is>
          <t>Open</t>
        </is>
      </c>
      <c r="N1766" t="inlineStr"/>
    </row>
    <row r="1767">
      <c r="A1767" t="inlineStr">
        <is>
          <t>FKEX01766</t>
        </is>
      </c>
      <c r="B1767" t="inlineStr">
        <is>
          <t>15 LL_Device</t>
        </is>
      </c>
      <c r="C1767" t="inlineStr">
        <is>
          <t>tblDeviceModel</t>
        </is>
      </c>
      <c r="D1767" t="n">
        <v>590</v>
      </c>
      <c r="E1767" t="inlineStr">
        <is>
          <t>MOD000587</t>
        </is>
      </c>
      <c r="F1767" t="inlineStr">
        <is>
          <t>DeviceFamilyID</t>
        </is>
      </c>
      <c r="G1767" t="inlineStr">
        <is>
          <t>DF-152</t>
        </is>
      </c>
      <c r="H1767" t="inlineStr">
        <is>
          <t>tblDeviceFamilyIDCrosswalk</t>
        </is>
      </c>
      <c r="I1767" t="inlineStr"/>
      <c r="J1767" t="inlineStr">
        <is>
          <t>tblDeviceModel</t>
        </is>
      </c>
      <c r="K1767" t="inlineStr">
        <is>
          <t>Exact ID</t>
        </is>
      </c>
      <c r="L1767" t="inlineStr">
        <is>
          <t>Crosswalk Pending</t>
        </is>
      </c>
      <c r="M1767" t="inlineStr">
        <is>
          <t>Open</t>
        </is>
      </c>
      <c r="N1767" t="inlineStr"/>
    </row>
    <row r="1768">
      <c r="A1768" t="inlineStr">
        <is>
          <t>FKEX01767</t>
        </is>
      </c>
      <c r="B1768" t="inlineStr">
        <is>
          <t>15 LL_Device</t>
        </is>
      </c>
      <c r="C1768" t="inlineStr">
        <is>
          <t>tblDeviceModel</t>
        </is>
      </c>
      <c r="D1768" t="n">
        <v>590</v>
      </c>
      <c r="E1768" t="inlineStr">
        <is>
          <t>MOD000587</t>
        </is>
      </c>
      <c r="F1768" t="inlineStr">
        <is>
          <t>DeviceTypeID</t>
        </is>
      </c>
      <c r="G1768" t="inlineStr">
        <is>
          <t>DT001</t>
        </is>
      </c>
      <c r="H1768" t="inlineStr">
        <is>
          <t>tblDeviceTypeIDCrosswalk</t>
        </is>
      </c>
      <c r="I1768" t="inlineStr"/>
      <c r="J1768" t="inlineStr">
        <is>
          <t>No Supported Match</t>
        </is>
      </c>
      <c r="K1768" t="inlineStr">
        <is>
          <t>None</t>
        </is>
      </c>
      <c r="L1768" t="inlineStr">
        <is>
          <t>Crosswalk Pending</t>
        </is>
      </c>
      <c r="M1768" t="inlineStr">
        <is>
          <t>Open</t>
        </is>
      </c>
      <c r="N1768" t="inlineStr"/>
    </row>
    <row r="1769">
      <c r="A1769" t="inlineStr">
        <is>
          <t>FKEX01768</t>
        </is>
      </c>
      <c r="B1769" t="inlineStr">
        <is>
          <t>15 LL_Device</t>
        </is>
      </c>
      <c r="C1769" t="inlineStr">
        <is>
          <t>tblDeviceModel</t>
        </is>
      </c>
      <c r="D1769" t="n">
        <v>591</v>
      </c>
      <c r="E1769" t="inlineStr">
        <is>
          <t>MOD000588</t>
        </is>
      </c>
      <c r="F1769" t="inlineStr">
        <is>
          <t>ManufacturerID</t>
        </is>
      </c>
      <c r="G1769" t="inlineStr">
        <is>
          <t>MFG015</t>
        </is>
      </c>
      <c r="H1769" t="inlineStr">
        <is>
          <t>tblManufacturerIDCrosswalk</t>
        </is>
      </c>
      <c r="I1769" t="inlineStr"/>
      <c r="J1769" t="inlineStr">
        <is>
          <t>No Supported Match</t>
        </is>
      </c>
      <c r="K1769" t="inlineStr">
        <is>
          <t>None</t>
        </is>
      </c>
      <c r="L1769" t="inlineStr">
        <is>
          <t>Crosswalk Pending</t>
        </is>
      </c>
      <c r="M1769" t="inlineStr">
        <is>
          <t>Open</t>
        </is>
      </c>
      <c r="N1769" t="inlineStr"/>
    </row>
    <row r="1770">
      <c r="A1770" t="inlineStr">
        <is>
          <t>FKEX01769</t>
        </is>
      </c>
      <c r="B1770" t="inlineStr">
        <is>
          <t>15 LL_Device</t>
        </is>
      </c>
      <c r="C1770" t="inlineStr">
        <is>
          <t>tblDeviceModel</t>
        </is>
      </c>
      <c r="D1770" t="n">
        <v>591</v>
      </c>
      <c r="E1770" t="inlineStr">
        <is>
          <t>MOD000588</t>
        </is>
      </c>
      <c r="F1770" t="inlineStr">
        <is>
          <t>DeviceFamilyID</t>
        </is>
      </c>
      <c r="G1770" t="inlineStr">
        <is>
          <t>DF-153</t>
        </is>
      </c>
      <c r="H1770" t="inlineStr">
        <is>
          <t>tblDeviceFamilyIDCrosswalk</t>
        </is>
      </c>
      <c r="I1770" t="inlineStr"/>
      <c r="J1770" t="inlineStr">
        <is>
          <t>tblDeviceModel</t>
        </is>
      </c>
      <c r="K1770" t="inlineStr">
        <is>
          <t>Exact ID</t>
        </is>
      </c>
      <c r="L1770" t="inlineStr">
        <is>
          <t>Crosswalk Pending</t>
        </is>
      </c>
      <c r="M1770" t="inlineStr">
        <is>
          <t>Open</t>
        </is>
      </c>
      <c r="N1770" t="inlineStr"/>
    </row>
    <row r="1771">
      <c r="A1771" t="inlineStr">
        <is>
          <t>FKEX01770</t>
        </is>
      </c>
      <c r="B1771" t="inlineStr">
        <is>
          <t>15 LL_Device</t>
        </is>
      </c>
      <c r="C1771" t="inlineStr">
        <is>
          <t>tblDeviceModel</t>
        </is>
      </c>
      <c r="D1771" t="n">
        <v>591</v>
      </c>
      <c r="E1771" t="inlineStr">
        <is>
          <t>MOD000588</t>
        </is>
      </c>
      <c r="F1771" t="inlineStr">
        <is>
          <t>DeviceTypeID</t>
        </is>
      </c>
      <c r="G1771" t="inlineStr">
        <is>
          <t>DT002</t>
        </is>
      </c>
      <c r="H1771" t="inlineStr">
        <is>
          <t>tblDeviceTypeIDCrosswalk</t>
        </is>
      </c>
      <c r="I1771" t="inlineStr"/>
      <c r="J1771" t="inlineStr">
        <is>
          <t>No Supported Match</t>
        </is>
      </c>
      <c r="K1771" t="inlineStr">
        <is>
          <t>None</t>
        </is>
      </c>
      <c r="L1771" t="inlineStr">
        <is>
          <t>Crosswalk Pending</t>
        </is>
      </c>
      <c r="M1771" t="inlineStr">
        <is>
          <t>Open</t>
        </is>
      </c>
      <c r="N1771" t="inlineStr"/>
    </row>
    <row r="1772">
      <c r="A1772" t="inlineStr">
        <is>
          <t>FKEX01771</t>
        </is>
      </c>
      <c r="B1772" t="inlineStr">
        <is>
          <t>15 LL_Device</t>
        </is>
      </c>
      <c r="C1772" t="inlineStr">
        <is>
          <t>tblDeviceModel</t>
        </is>
      </c>
      <c r="D1772" t="n">
        <v>592</v>
      </c>
      <c r="E1772" t="inlineStr">
        <is>
          <t>MOD000589</t>
        </is>
      </c>
      <c r="F1772" t="inlineStr">
        <is>
          <t>ManufacturerID</t>
        </is>
      </c>
      <c r="G1772" t="inlineStr">
        <is>
          <t>MFG016</t>
        </is>
      </c>
      <c r="H1772" t="inlineStr">
        <is>
          <t>tblManufacturerIDCrosswalk</t>
        </is>
      </c>
      <c r="I1772" t="inlineStr"/>
      <c r="J1772" t="inlineStr">
        <is>
          <t>No Supported Match</t>
        </is>
      </c>
      <c r="K1772" t="inlineStr">
        <is>
          <t>None</t>
        </is>
      </c>
      <c r="L1772" t="inlineStr">
        <is>
          <t>Crosswalk Pending</t>
        </is>
      </c>
      <c r="M1772" t="inlineStr">
        <is>
          <t>Open</t>
        </is>
      </c>
      <c r="N1772" t="inlineStr"/>
    </row>
    <row r="1773">
      <c r="A1773" t="inlineStr">
        <is>
          <t>FKEX01772</t>
        </is>
      </c>
      <c r="B1773" t="inlineStr">
        <is>
          <t>15 LL_Device</t>
        </is>
      </c>
      <c r="C1773" t="inlineStr">
        <is>
          <t>tblDeviceModel</t>
        </is>
      </c>
      <c r="D1773" t="n">
        <v>592</v>
      </c>
      <c r="E1773" t="inlineStr">
        <is>
          <t>MOD000589</t>
        </is>
      </c>
      <c r="F1773" t="inlineStr">
        <is>
          <t>DeviceFamilyID</t>
        </is>
      </c>
      <c r="G1773" t="inlineStr">
        <is>
          <t>DF-160</t>
        </is>
      </c>
      <c r="H1773" t="inlineStr">
        <is>
          <t>tblDeviceFamilyIDCrosswalk</t>
        </is>
      </c>
      <c r="I1773" t="inlineStr"/>
      <c r="J1773" t="inlineStr">
        <is>
          <t>tblDeviceModel</t>
        </is>
      </c>
      <c r="K1773" t="inlineStr">
        <is>
          <t>Exact ID</t>
        </is>
      </c>
      <c r="L1773" t="inlineStr">
        <is>
          <t>Crosswalk Pending</t>
        </is>
      </c>
      <c r="M1773" t="inlineStr">
        <is>
          <t>Open</t>
        </is>
      </c>
      <c r="N1773" t="inlineStr"/>
    </row>
    <row r="1774">
      <c r="A1774" t="inlineStr">
        <is>
          <t>FKEX01773</t>
        </is>
      </c>
      <c r="B1774" t="inlineStr">
        <is>
          <t>15 LL_Device</t>
        </is>
      </c>
      <c r="C1774" t="inlineStr">
        <is>
          <t>tblDeviceModel</t>
        </is>
      </c>
      <c r="D1774" t="n">
        <v>592</v>
      </c>
      <c r="E1774" t="inlineStr">
        <is>
          <t>MOD000589</t>
        </is>
      </c>
      <c r="F1774" t="inlineStr">
        <is>
          <t>DeviceTypeID</t>
        </is>
      </c>
      <c r="G1774" t="inlineStr">
        <is>
          <t>DT001</t>
        </is>
      </c>
      <c r="H1774" t="inlineStr">
        <is>
          <t>tblDeviceTypeIDCrosswalk</t>
        </is>
      </c>
      <c r="I1774" t="inlineStr"/>
      <c r="J1774" t="inlineStr">
        <is>
          <t>No Supported Match</t>
        </is>
      </c>
      <c r="K1774" t="inlineStr">
        <is>
          <t>None</t>
        </is>
      </c>
      <c r="L1774" t="inlineStr">
        <is>
          <t>Crosswalk Pending</t>
        </is>
      </c>
      <c r="M1774" t="inlineStr">
        <is>
          <t>Open</t>
        </is>
      </c>
      <c r="N1774" t="inlineStr"/>
    </row>
    <row r="1775">
      <c r="A1775" t="inlineStr">
        <is>
          <t>FKEX01774</t>
        </is>
      </c>
      <c r="B1775" t="inlineStr">
        <is>
          <t>15 LL_Device</t>
        </is>
      </c>
      <c r="C1775" t="inlineStr">
        <is>
          <t>tblDeviceModel</t>
        </is>
      </c>
      <c r="D1775" t="n">
        <v>593</v>
      </c>
      <c r="E1775" t="inlineStr">
        <is>
          <t>MOD000590</t>
        </is>
      </c>
      <c r="F1775" t="inlineStr">
        <is>
          <t>ManufacturerID</t>
        </is>
      </c>
      <c r="G1775" t="inlineStr">
        <is>
          <t>MFG016</t>
        </is>
      </c>
      <c r="H1775" t="inlineStr">
        <is>
          <t>tblManufacturerIDCrosswalk</t>
        </is>
      </c>
      <c r="I1775" t="inlineStr"/>
      <c r="J1775" t="inlineStr">
        <is>
          <t>No Supported Match</t>
        </is>
      </c>
      <c r="K1775" t="inlineStr">
        <is>
          <t>None</t>
        </is>
      </c>
      <c r="L1775" t="inlineStr">
        <is>
          <t>Crosswalk Pending</t>
        </is>
      </c>
      <c r="M1775" t="inlineStr">
        <is>
          <t>Open</t>
        </is>
      </c>
      <c r="N1775" t="inlineStr"/>
    </row>
    <row r="1776">
      <c r="A1776" t="inlineStr">
        <is>
          <t>FKEX01775</t>
        </is>
      </c>
      <c r="B1776" t="inlineStr">
        <is>
          <t>15 LL_Device</t>
        </is>
      </c>
      <c r="C1776" t="inlineStr">
        <is>
          <t>tblDeviceModel</t>
        </is>
      </c>
      <c r="D1776" t="n">
        <v>593</v>
      </c>
      <c r="E1776" t="inlineStr">
        <is>
          <t>MOD000590</t>
        </is>
      </c>
      <c r="F1776" t="inlineStr">
        <is>
          <t>DeviceFamilyID</t>
        </is>
      </c>
      <c r="G1776" t="inlineStr">
        <is>
          <t>DF-161</t>
        </is>
      </c>
      <c r="H1776" t="inlineStr">
        <is>
          <t>tblDeviceFamilyIDCrosswalk</t>
        </is>
      </c>
      <c r="I1776" t="inlineStr"/>
      <c r="J1776" t="inlineStr">
        <is>
          <t>tblDeviceModel</t>
        </is>
      </c>
      <c r="K1776" t="inlineStr">
        <is>
          <t>Exact ID</t>
        </is>
      </c>
      <c r="L1776" t="inlineStr">
        <is>
          <t>Crosswalk Pending</t>
        </is>
      </c>
      <c r="M1776" t="inlineStr">
        <is>
          <t>Open</t>
        </is>
      </c>
      <c r="N1776" t="inlineStr"/>
    </row>
    <row r="1777">
      <c r="A1777" t="inlineStr">
        <is>
          <t>FKEX01776</t>
        </is>
      </c>
      <c r="B1777" t="inlineStr">
        <is>
          <t>15 LL_Device</t>
        </is>
      </c>
      <c r="C1777" t="inlineStr">
        <is>
          <t>tblDeviceModel</t>
        </is>
      </c>
      <c r="D1777" t="n">
        <v>593</v>
      </c>
      <c r="E1777" t="inlineStr">
        <is>
          <t>MOD000590</t>
        </is>
      </c>
      <c r="F1777" t="inlineStr">
        <is>
          <t>DeviceTypeID</t>
        </is>
      </c>
      <c r="G1777" t="inlineStr">
        <is>
          <t>DT001</t>
        </is>
      </c>
      <c r="H1777" t="inlineStr">
        <is>
          <t>tblDeviceTypeIDCrosswalk</t>
        </is>
      </c>
      <c r="I1777" t="inlineStr"/>
      <c r="J1777" t="inlineStr">
        <is>
          <t>No Supported Match</t>
        </is>
      </c>
      <c r="K1777" t="inlineStr">
        <is>
          <t>None</t>
        </is>
      </c>
      <c r="L1777" t="inlineStr">
        <is>
          <t>Crosswalk Pending</t>
        </is>
      </c>
      <c r="M1777" t="inlineStr">
        <is>
          <t>Open</t>
        </is>
      </c>
      <c r="N1777" t="inlineStr"/>
    </row>
    <row r="1778">
      <c r="A1778" t="inlineStr">
        <is>
          <t>FKEX01777</t>
        </is>
      </c>
      <c r="B1778" t="inlineStr">
        <is>
          <t>15 LL_Device</t>
        </is>
      </c>
      <c r="C1778" t="inlineStr">
        <is>
          <t>tblDeviceModel</t>
        </is>
      </c>
      <c r="D1778" t="n">
        <v>594</v>
      </c>
      <c r="E1778" t="inlineStr">
        <is>
          <t>MOD000591</t>
        </is>
      </c>
      <c r="F1778" t="inlineStr">
        <is>
          <t>ManufacturerID</t>
        </is>
      </c>
      <c r="G1778" t="inlineStr">
        <is>
          <t>MFG017</t>
        </is>
      </c>
      <c r="H1778" t="inlineStr">
        <is>
          <t>tblManufacturerIDCrosswalk</t>
        </is>
      </c>
      <c r="I1778" t="inlineStr"/>
      <c r="J1778" t="inlineStr">
        <is>
          <t>No Supported Match</t>
        </is>
      </c>
      <c r="K1778" t="inlineStr">
        <is>
          <t>None</t>
        </is>
      </c>
      <c r="L1778" t="inlineStr">
        <is>
          <t>Crosswalk Pending</t>
        </is>
      </c>
      <c r="M1778" t="inlineStr">
        <is>
          <t>Open</t>
        </is>
      </c>
      <c r="N1778" t="inlineStr"/>
    </row>
    <row r="1779">
      <c r="A1779" t="inlineStr">
        <is>
          <t>FKEX01778</t>
        </is>
      </c>
      <c r="B1779" t="inlineStr">
        <is>
          <t>15 LL_Device</t>
        </is>
      </c>
      <c r="C1779" t="inlineStr">
        <is>
          <t>tblDeviceModel</t>
        </is>
      </c>
      <c r="D1779" t="n">
        <v>594</v>
      </c>
      <c r="E1779" t="inlineStr">
        <is>
          <t>MOD000591</t>
        </is>
      </c>
      <c r="F1779" t="inlineStr">
        <is>
          <t>DeviceFamilyID</t>
        </is>
      </c>
      <c r="G1779" t="inlineStr">
        <is>
          <t>DF-170</t>
        </is>
      </c>
      <c r="H1779" t="inlineStr">
        <is>
          <t>tblDeviceFamilyIDCrosswalk</t>
        </is>
      </c>
      <c r="I1779" t="inlineStr"/>
      <c r="J1779" t="inlineStr">
        <is>
          <t>tblDeviceModel</t>
        </is>
      </c>
      <c r="K1779" t="inlineStr">
        <is>
          <t>Exact ID</t>
        </is>
      </c>
      <c r="L1779" t="inlineStr">
        <is>
          <t>Crosswalk Pending</t>
        </is>
      </c>
      <c r="M1779" t="inlineStr">
        <is>
          <t>Open</t>
        </is>
      </c>
      <c r="N1779" t="inlineStr"/>
    </row>
    <row r="1780">
      <c r="A1780" t="inlineStr">
        <is>
          <t>FKEX01779</t>
        </is>
      </c>
      <c r="B1780" t="inlineStr">
        <is>
          <t>15 LL_Device</t>
        </is>
      </c>
      <c r="C1780" t="inlineStr">
        <is>
          <t>tblDeviceModel</t>
        </is>
      </c>
      <c r="D1780" t="n">
        <v>594</v>
      </c>
      <c r="E1780" t="inlineStr">
        <is>
          <t>MOD000591</t>
        </is>
      </c>
      <c r="F1780" t="inlineStr">
        <is>
          <t>DeviceTypeID</t>
        </is>
      </c>
      <c r="G1780" t="inlineStr">
        <is>
          <t>DT001</t>
        </is>
      </c>
      <c r="H1780" t="inlineStr">
        <is>
          <t>tblDeviceTypeIDCrosswalk</t>
        </is>
      </c>
      <c r="I1780" t="inlineStr"/>
      <c r="J1780" t="inlineStr">
        <is>
          <t>No Supported Match</t>
        </is>
      </c>
      <c r="K1780" t="inlineStr">
        <is>
          <t>None</t>
        </is>
      </c>
      <c r="L1780" t="inlineStr">
        <is>
          <t>Crosswalk Pending</t>
        </is>
      </c>
      <c r="M1780" t="inlineStr">
        <is>
          <t>Open</t>
        </is>
      </c>
      <c r="N1780" t="inlineStr"/>
    </row>
    <row r="1781">
      <c r="A1781" t="inlineStr">
        <is>
          <t>FKEX01780</t>
        </is>
      </c>
      <c r="B1781" t="inlineStr">
        <is>
          <t>15 LL_Device</t>
        </is>
      </c>
      <c r="C1781" t="inlineStr">
        <is>
          <t>tblDeviceModel</t>
        </is>
      </c>
      <c r="D1781" t="n">
        <v>595</v>
      </c>
      <c r="E1781" t="inlineStr">
        <is>
          <t>MOD000592</t>
        </is>
      </c>
      <c r="F1781" t="inlineStr">
        <is>
          <t>ManufacturerID</t>
        </is>
      </c>
      <c r="G1781" t="inlineStr">
        <is>
          <t>MFG017</t>
        </is>
      </c>
      <c r="H1781" t="inlineStr">
        <is>
          <t>tblManufacturerIDCrosswalk</t>
        </is>
      </c>
      <c r="I1781" t="inlineStr"/>
      <c r="J1781" t="inlineStr">
        <is>
          <t>No Supported Match</t>
        </is>
      </c>
      <c r="K1781" t="inlineStr">
        <is>
          <t>None</t>
        </is>
      </c>
      <c r="L1781" t="inlineStr">
        <is>
          <t>Crosswalk Pending</t>
        </is>
      </c>
      <c r="M1781" t="inlineStr">
        <is>
          <t>Open</t>
        </is>
      </c>
      <c r="N1781" t="inlineStr"/>
    </row>
    <row r="1782">
      <c r="A1782" t="inlineStr">
        <is>
          <t>FKEX01781</t>
        </is>
      </c>
      <c r="B1782" t="inlineStr">
        <is>
          <t>15 LL_Device</t>
        </is>
      </c>
      <c r="C1782" t="inlineStr">
        <is>
          <t>tblDeviceModel</t>
        </is>
      </c>
      <c r="D1782" t="n">
        <v>595</v>
      </c>
      <c r="E1782" t="inlineStr">
        <is>
          <t>MOD000592</t>
        </is>
      </c>
      <c r="F1782" t="inlineStr">
        <is>
          <t>DeviceFamilyID</t>
        </is>
      </c>
      <c r="G1782" t="inlineStr">
        <is>
          <t>DF-170</t>
        </is>
      </c>
      <c r="H1782" t="inlineStr">
        <is>
          <t>tblDeviceFamilyIDCrosswalk</t>
        </is>
      </c>
      <c r="I1782" t="inlineStr"/>
      <c r="J1782" t="inlineStr">
        <is>
          <t>tblDeviceModel</t>
        </is>
      </c>
      <c r="K1782" t="inlineStr">
        <is>
          <t>Exact ID</t>
        </is>
      </c>
      <c r="L1782" t="inlineStr">
        <is>
          <t>Crosswalk Pending</t>
        </is>
      </c>
      <c r="M1782" t="inlineStr">
        <is>
          <t>Open</t>
        </is>
      </c>
      <c r="N1782" t="inlineStr"/>
    </row>
    <row r="1783">
      <c r="A1783" t="inlineStr">
        <is>
          <t>FKEX01782</t>
        </is>
      </c>
      <c r="B1783" t="inlineStr">
        <is>
          <t>15 LL_Device</t>
        </is>
      </c>
      <c r="C1783" t="inlineStr">
        <is>
          <t>tblDeviceModel</t>
        </is>
      </c>
      <c r="D1783" t="n">
        <v>595</v>
      </c>
      <c r="E1783" t="inlineStr">
        <is>
          <t>MOD000592</t>
        </is>
      </c>
      <c r="F1783" t="inlineStr">
        <is>
          <t>DeviceTypeID</t>
        </is>
      </c>
      <c r="G1783" t="inlineStr">
        <is>
          <t>DT001</t>
        </is>
      </c>
      <c r="H1783" t="inlineStr">
        <is>
          <t>tblDeviceTypeIDCrosswalk</t>
        </is>
      </c>
      <c r="I1783" t="inlineStr"/>
      <c r="J1783" t="inlineStr">
        <is>
          <t>No Supported Match</t>
        </is>
      </c>
      <c r="K1783" t="inlineStr">
        <is>
          <t>None</t>
        </is>
      </c>
      <c r="L1783" t="inlineStr">
        <is>
          <t>Crosswalk Pending</t>
        </is>
      </c>
      <c r="M1783" t="inlineStr">
        <is>
          <t>Open</t>
        </is>
      </c>
      <c r="N1783" t="inlineStr"/>
    </row>
    <row r="1784">
      <c r="A1784" t="inlineStr">
        <is>
          <t>FKEX01783</t>
        </is>
      </c>
      <c r="B1784" t="inlineStr">
        <is>
          <t>15 LL_Device</t>
        </is>
      </c>
      <c r="C1784" t="inlineStr">
        <is>
          <t>tblDeviceModel</t>
        </is>
      </c>
      <c r="D1784" t="n">
        <v>596</v>
      </c>
      <c r="E1784" t="inlineStr">
        <is>
          <t>MOD000593</t>
        </is>
      </c>
      <c r="F1784" t="inlineStr">
        <is>
          <t>ManufacturerID</t>
        </is>
      </c>
      <c r="G1784" t="inlineStr">
        <is>
          <t>MFG017</t>
        </is>
      </c>
      <c r="H1784" t="inlineStr">
        <is>
          <t>tblManufacturerIDCrosswalk</t>
        </is>
      </c>
      <c r="I1784" t="inlineStr"/>
      <c r="J1784" t="inlineStr">
        <is>
          <t>No Supported Match</t>
        </is>
      </c>
      <c r="K1784" t="inlineStr">
        <is>
          <t>None</t>
        </is>
      </c>
      <c r="L1784" t="inlineStr">
        <is>
          <t>Crosswalk Pending</t>
        </is>
      </c>
      <c r="M1784" t="inlineStr">
        <is>
          <t>Open</t>
        </is>
      </c>
      <c r="N1784" t="inlineStr"/>
    </row>
    <row r="1785">
      <c r="A1785" t="inlineStr">
        <is>
          <t>FKEX01784</t>
        </is>
      </c>
      <c r="B1785" t="inlineStr">
        <is>
          <t>15 LL_Device</t>
        </is>
      </c>
      <c r="C1785" t="inlineStr">
        <is>
          <t>tblDeviceModel</t>
        </is>
      </c>
      <c r="D1785" t="n">
        <v>596</v>
      </c>
      <c r="E1785" t="inlineStr">
        <is>
          <t>MOD000593</t>
        </is>
      </c>
      <c r="F1785" t="inlineStr">
        <is>
          <t>DeviceFamilyID</t>
        </is>
      </c>
      <c r="G1785" t="inlineStr">
        <is>
          <t>DF-170</t>
        </is>
      </c>
      <c r="H1785" t="inlineStr">
        <is>
          <t>tblDeviceFamilyIDCrosswalk</t>
        </is>
      </c>
      <c r="I1785" t="inlineStr"/>
      <c r="J1785" t="inlineStr">
        <is>
          <t>tblDeviceModel</t>
        </is>
      </c>
      <c r="K1785" t="inlineStr">
        <is>
          <t>Exact ID</t>
        </is>
      </c>
      <c r="L1785" t="inlineStr">
        <is>
          <t>Crosswalk Pending</t>
        </is>
      </c>
      <c r="M1785" t="inlineStr">
        <is>
          <t>Open</t>
        </is>
      </c>
      <c r="N1785" t="inlineStr"/>
    </row>
    <row r="1786">
      <c r="A1786" t="inlineStr">
        <is>
          <t>FKEX01785</t>
        </is>
      </c>
      <c r="B1786" t="inlineStr">
        <is>
          <t>15 LL_Device</t>
        </is>
      </c>
      <c r="C1786" t="inlineStr">
        <is>
          <t>tblDeviceModel</t>
        </is>
      </c>
      <c r="D1786" t="n">
        <v>596</v>
      </c>
      <c r="E1786" t="inlineStr">
        <is>
          <t>MOD000593</t>
        </is>
      </c>
      <c r="F1786" t="inlineStr">
        <is>
          <t>DeviceTypeID</t>
        </is>
      </c>
      <c r="G1786" t="inlineStr">
        <is>
          <t>DT001</t>
        </is>
      </c>
      <c r="H1786" t="inlineStr">
        <is>
          <t>tblDeviceTypeIDCrosswalk</t>
        </is>
      </c>
      <c r="I1786" t="inlineStr"/>
      <c r="J1786" t="inlineStr">
        <is>
          <t>No Supported Match</t>
        </is>
      </c>
      <c r="K1786" t="inlineStr">
        <is>
          <t>None</t>
        </is>
      </c>
      <c r="L1786" t="inlineStr">
        <is>
          <t>Crosswalk Pending</t>
        </is>
      </c>
      <c r="M1786" t="inlineStr">
        <is>
          <t>Open</t>
        </is>
      </c>
      <c r="N1786" t="inlineStr"/>
    </row>
    <row r="1787">
      <c r="A1787" t="inlineStr">
        <is>
          <t>FKEX01786</t>
        </is>
      </c>
      <c r="B1787" t="inlineStr">
        <is>
          <t>15 LL_Device</t>
        </is>
      </c>
      <c r="C1787" t="inlineStr">
        <is>
          <t>tblDeviceModel</t>
        </is>
      </c>
      <c r="D1787" t="n">
        <v>597</v>
      </c>
      <c r="E1787" t="inlineStr">
        <is>
          <t>MOD000594</t>
        </is>
      </c>
      <c r="F1787" t="inlineStr">
        <is>
          <t>ManufacturerID</t>
        </is>
      </c>
      <c r="G1787" t="inlineStr">
        <is>
          <t>MFG017</t>
        </is>
      </c>
      <c r="H1787" t="inlineStr">
        <is>
          <t>tblManufacturerIDCrosswalk</t>
        </is>
      </c>
      <c r="I1787" t="inlineStr"/>
      <c r="J1787" t="inlineStr">
        <is>
          <t>No Supported Match</t>
        </is>
      </c>
      <c r="K1787" t="inlineStr">
        <is>
          <t>None</t>
        </is>
      </c>
      <c r="L1787" t="inlineStr">
        <is>
          <t>Crosswalk Pending</t>
        </is>
      </c>
      <c r="M1787" t="inlineStr">
        <is>
          <t>Open</t>
        </is>
      </c>
      <c r="N1787" t="inlineStr"/>
    </row>
    <row r="1788">
      <c r="A1788" t="inlineStr">
        <is>
          <t>FKEX01787</t>
        </is>
      </c>
      <c r="B1788" t="inlineStr">
        <is>
          <t>15 LL_Device</t>
        </is>
      </c>
      <c r="C1788" t="inlineStr">
        <is>
          <t>tblDeviceModel</t>
        </is>
      </c>
      <c r="D1788" t="n">
        <v>597</v>
      </c>
      <c r="E1788" t="inlineStr">
        <is>
          <t>MOD000594</t>
        </is>
      </c>
      <c r="F1788" t="inlineStr">
        <is>
          <t>DeviceFamilyID</t>
        </is>
      </c>
      <c r="G1788" t="inlineStr">
        <is>
          <t>DF-171</t>
        </is>
      </c>
      <c r="H1788" t="inlineStr">
        <is>
          <t>tblDeviceFamilyIDCrosswalk</t>
        </is>
      </c>
      <c r="I1788" t="inlineStr"/>
      <c r="J1788" t="inlineStr">
        <is>
          <t>tblDeviceModel</t>
        </is>
      </c>
      <c r="K1788" t="inlineStr">
        <is>
          <t>Exact ID</t>
        </is>
      </c>
      <c r="L1788" t="inlineStr">
        <is>
          <t>Crosswalk Pending</t>
        </is>
      </c>
      <c r="M1788" t="inlineStr">
        <is>
          <t>Open</t>
        </is>
      </c>
      <c r="N1788" t="inlineStr"/>
    </row>
    <row r="1789">
      <c r="A1789" t="inlineStr">
        <is>
          <t>FKEX01788</t>
        </is>
      </c>
      <c r="B1789" t="inlineStr">
        <is>
          <t>15 LL_Device</t>
        </is>
      </c>
      <c r="C1789" t="inlineStr">
        <is>
          <t>tblDeviceModel</t>
        </is>
      </c>
      <c r="D1789" t="n">
        <v>597</v>
      </c>
      <c r="E1789" t="inlineStr">
        <is>
          <t>MOD000594</t>
        </is>
      </c>
      <c r="F1789" t="inlineStr">
        <is>
          <t>DeviceTypeID</t>
        </is>
      </c>
      <c r="G1789" t="inlineStr">
        <is>
          <t>DT001</t>
        </is>
      </c>
      <c r="H1789" t="inlineStr">
        <is>
          <t>tblDeviceTypeIDCrosswalk</t>
        </is>
      </c>
      <c r="I1789" t="inlineStr"/>
      <c r="J1789" t="inlineStr">
        <is>
          <t>No Supported Match</t>
        </is>
      </c>
      <c r="K1789" t="inlineStr">
        <is>
          <t>None</t>
        </is>
      </c>
      <c r="L1789" t="inlineStr">
        <is>
          <t>Crosswalk Pending</t>
        </is>
      </c>
      <c r="M1789" t="inlineStr">
        <is>
          <t>Open</t>
        </is>
      </c>
      <c r="N1789" t="inlineStr"/>
    </row>
    <row r="1790">
      <c r="A1790" t="inlineStr">
        <is>
          <t>FKEX01789</t>
        </is>
      </c>
      <c r="B1790" t="inlineStr">
        <is>
          <t>15 LL_Device</t>
        </is>
      </c>
      <c r="C1790" t="inlineStr">
        <is>
          <t>tblDeviceModel</t>
        </is>
      </c>
      <c r="D1790" t="n">
        <v>598</v>
      </c>
      <c r="E1790" t="inlineStr">
        <is>
          <t>MOD000595</t>
        </is>
      </c>
      <c r="F1790" t="inlineStr">
        <is>
          <t>ManufacturerID</t>
        </is>
      </c>
      <c r="G1790" t="inlineStr">
        <is>
          <t>MFG018</t>
        </is>
      </c>
      <c r="H1790" t="inlineStr">
        <is>
          <t>tblManufacturerIDCrosswalk</t>
        </is>
      </c>
      <c r="I1790" t="inlineStr"/>
      <c r="J1790" t="inlineStr">
        <is>
          <t>No Supported Match</t>
        </is>
      </c>
      <c r="K1790" t="inlineStr">
        <is>
          <t>None</t>
        </is>
      </c>
      <c r="L1790" t="inlineStr">
        <is>
          <t>Crosswalk Pending</t>
        </is>
      </c>
      <c r="M1790" t="inlineStr">
        <is>
          <t>Open</t>
        </is>
      </c>
      <c r="N1790" t="inlineStr"/>
    </row>
    <row r="1791">
      <c r="A1791" t="inlineStr">
        <is>
          <t>FKEX01790</t>
        </is>
      </c>
      <c r="B1791" t="inlineStr">
        <is>
          <t>15 LL_Device</t>
        </is>
      </c>
      <c r="C1791" t="inlineStr">
        <is>
          <t>tblDeviceModel</t>
        </is>
      </c>
      <c r="D1791" t="n">
        <v>598</v>
      </c>
      <c r="E1791" t="inlineStr">
        <is>
          <t>MOD000595</t>
        </is>
      </c>
      <c r="F1791" t="inlineStr">
        <is>
          <t>DeviceFamilyID</t>
        </is>
      </c>
      <c r="G1791" t="inlineStr">
        <is>
          <t>DF-180</t>
        </is>
      </c>
      <c r="H1791" t="inlineStr">
        <is>
          <t>tblDeviceFamilyIDCrosswalk</t>
        </is>
      </c>
      <c r="I1791" t="inlineStr"/>
      <c r="J1791" t="inlineStr">
        <is>
          <t>tblDeviceModel</t>
        </is>
      </c>
      <c r="K1791" t="inlineStr">
        <is>
          <t>Exact ID</t>
        </is>
      </c>
      <c r="L1791" t="inlineStr">
        <is>
          <t>Crosswalk Pending</t>
        </is>
      </c>
      <c r="M1791" t="inlineStr">
        <is>
          <t>Open</t>
        </is>
      </c>
      <c r="N1791" t="inlineStr"/>
    </row>
    <row r="1792">
      <c r="A1792" t="inlineStr">
        <is>
          <t>FKEX01791</t>
        </is>
      </c>
      <c r="B1792" t="inlineStr">
        <is>
          <t>15 LL_Device</t>
        </is>
      </c>
      <c r="C1792" t="inlineStr">
        <is>
          <t>tblDeviceModel</t>
        </is>
      </c>
      <c r="D1792" t="n">
        <v>598</v>
      </c>
      <c r="E1792" t="inlineStr">
        <is>
          <t>MOD000595</t>
        </is>
      </c>
      <c r="F1792" t="inlineStr">
        <is>
          <t>DeviceTypeID</t>
        </is>
      </c>
      <c r="G1792" t="inlineStr">
        <is>
          <t>DT001</t>
        </is>
      </c>
      <c r="H1792" t="inlineStr">
        <is>
          <t>tblDeviceTypeIDCrosswalk</t>
        </is>
      </c>
      <c r="I1792" t="inlineStr"/>
      <c r="J1792" t="inlineStr">
        <is>
          <t>No Supported Match</t>
        </is>
      </c>
      <c r="K1792" t="inlineStr">
        <is>
          <t>None</t>
        </is>
      </c>
      <c r="L1792" t="inlineStr">
        <is>
          <t>Crosswalk Pending</t>
        </is>
      </c>
      <c r="M1792" t="inlineStr">
        <is>
          <t>Open</t>
        </is>
      </c>
      <c r="N1792" t="inlineStr"/>
    </row>
    <row r="1793">
      <c r="A1793" t="inlineStr">
        <is>
          <t>FKEX01792</t>
        </is>
      </c>
      <c r="B1793" t="inlineStr">
        <is>
          <t>15 LL_Device</t>
        </is>
      </c>
      <c r="C1793" t="inlineStr">
        <is>
          <t>tblDeviceModel</t>
        </is>
      </c>
      <c r="D1793" t="n">
        <v>599</v>
      </c>
      <c r="E1793" t="inlineStr">
        <is>
          <t>MOD000596</t>
        </is>
      </c>
      <c r="F1793" t="inlineStr">
        <is>
          <t>ManufacturerID</t>
        </is>
      </c>
      <c r="G1793" t="inlineStr">
        <is>
          <t>MFG018</t>
        </is>
      </c>
      <c r="H1793" t="inlineStr">
        <is>
          <t>tblManufacturerIDCrosswalk</t>
        </is>
      </c>
      <c r="I1793" t="inlineStr"/>
      <c r="J1793" t="inlineStr">
        <is>
          <t>No Supported Match</t>
        </is>
      </c>
      <c r="K1793" t="inlineStr">
        <is>
          <t>None</t>
        </is>
      </c>
      <c r="L1793" t="inlineStr">
        <is>
          <t>Crosswalk Pending</t>
        </is>
      </c>
      <c r="M1793" t="inlineStr">
        <is>
          <t>Open</t>
        </is>
      </c>
      <c r="N1793" t="inlineStr"/>
    </row>
    <row r="1794">
      <c r="A1794" t="inlineStr">
        <is>
          <t>FKEX01793</t>
        </is>
      </c>
      <c r="B1794" t="inlineStr">
        <is>
          <t>15 LL_Device</t>
        </is>
      </c>
      <c r="C1794" t="inlineStr">
        <is>
          <t>tblDeviceModel</t>
        </is>
      </c>
      <c r="D1794" t="n">
        <v>599</v>
      </c>
      <c r="E1794" t="inlineStr">
        <is>
          <t>MOD000596</t>
        </is>
      </c>
      <c r="F1794" t="inlineStr">
        <is>
          <t>DeviceFamilyID</t>
        </is>
      </c>
      <c r="G1794" t="inlineStr">
        <is>
          <t>DF-180</t>
        </is>
      </c>
      <c r="H1794" t="inlineStr">
        <is>
          <t>tblDeviceFamilyIDCrosswalk</t>
        </is>
      </c>
      <c r="I1794" t="inlineStr"/>
      <c r="J1794" t="inlineStr">
        <is>
          <t>tblDeviceModel</t>
        </is>
      </c>
      <c r="K1794" t="inlineStr">
        <is>
          <t>Exact ID</t>
        </is>
      </c>
      <c r="L1794" t="inlineStr">
        <is>
          <t>Crosswalk Pending</t>
        </is>
      </c>
      <c r="M1794" t="inlineStr">
        <is>
          <t>Open</t>
        </is>
      </c>
      <c r="N1794" t="inlineStr"/>
    </row>
    <row r="1795">
      <c r="A1795" t="inlineStr">
        <is>
          <t>FKEX01794</t>
        </is>
      </c>
      <c r="B1795" t="inlineStr">
        <is>
          <t>15 LL_Device</t>
        </is>
      </c>
      <c r="C1795" t="inlineStr">
        <is>
          <t>tblDeviceModel</t>
        </is>
      </c>
      <c r="D1795" t="n">
        <v>599</v>
      </c>
      <c r="E1795" t="inlineStr">
        <is>
          <t>MOD000596</t>
        </is>
      </c>
      <c r="F1795" t="inlineStr">
        <is>
          <t>DeviceTypeID</t>
        </is>
      </c>
      <c r="G1795" t="inlineStr">
        <is>
          <t>DT001</t>
        </is>
      </c>
      <c r="H1795" t="inlineStr">
        <is>
          <t>tblDeviceTypeIDCrosswalk</t>
        </is>
      </c>
      <c r="I1795" t="inlineStr"/>
      <c r="J1795" t="inlineStr">
        <is>
          <t>No Supported Match</t>
        </is>
      </c>
      <c r="K1795" t="inlineStr">
        <is>
          <t>None</t>
        </is>
      </c>
      <c r="L1795" t="inlineStr">
        <is>
          <t>Crosswalk Pending</t>
        </is>
      </c>
      <c r="M1795" t="inlineStr">
        <is>
          <t>Open</t>
        </is>
      </c>
      <c r="N1795" t="inlineStr"/>
    </row>
    <row r="1796">
      <c r="A1796" t="inlineStr">
        <is>
          <t>FKEX01795</t>
        </is>
      </c>
      <c r="B1796" t="inlineStr">
        <is>
          <t>15 LL_Device</t>
        </is>
      </c>
      <c r="C1796" t="inlineStr">
        <is>
          <t>tblDeviceModel</t>
        </is>
      </c>
      <c r="D1796" t="n">
        <v>600</v>
      </c>
      <c r="E1796" t="inlineStr">
        <is>
          <t>MOD000597</t>
        </is>
      </c>
      <c r="F1796" t="inlineStr">
        <is>
          <t>ManufacturerID</t>
        </is>
      </c>
      <c r="G1796" t="inlineStr">
        <is>
          <t>MFG019</t>
        </is>
      </c>
      <c r="H1796" t="inlineStr">
        <is>
          <t>tblManufacturerIDCrosswalk</t>
        </is>
      </c>
      <c r="I1796" t="inlineStr"/>
      <c r="J1796" t="inlineStr">
        <is>
          <t>No Supported Match</t>
        </is>
      </c>
      <c r="K1796" t="inlineStr">
        <is>
          <t>None</t>
        </is>
      </c>
      <c r="L1796" t="inlineStr">
        <is>
          <t>Crosswalk Pending</t>
        </is>
      </c>
      <c r="M1796" t="inlineStr">
        <is>
          <t>Open</t>
        </is>
      </c>
      <c r="N1796" t="inlineStr"/>
    </row>
    <row r="1797">
      <c r="A1797" t="inlineStr">
        <is>
          <t>FKEX01796</t>
        </is>
      </c>
      <c r="B1797" t="inlineStr">
        <is>
          <t>15 LL_Device</t>
        </is>
      </c>
      <c r="C1797" t="inlineStr">
        <is>
          <t>tblDeviceModel</t>
        </is>
      </c>
      <c r="D1797" t="n">
        <v>600</v>
      </c>
      <c r="E1797" t="inlineStr">
        <is>
          <t>MOD000597</t>
        </is>
      </c>
      <c r="F1797" t="inlineStr">
        <is>
          <t>DeviceFamilyID</t>
        </is>
      </c>
      <c r="G1797" t="inlineStr">
        <is>
          <t>DF-190</t>
        </is>
      </c>
      <c r="H1797" t="inlineStr">
        <is>
          <t>tblDeviceFamilyIDCrosswalk</t>
        </is>
      </c>
      <c r="I1797" t="inlineStr"/>
      <c r="J1797" t="inlineStr">
        <is>
          <t>tblDeviceModel</t>
        </is>
      </c>
      <c r="K1797" t="inlineStr">
        <is>
          <t>Exact ID</t>
        </is>
      </c>
      <c r="L1797" t="inlineStr">
        <is>
          <t>Crosswalk Pending</t>
        </is>
      </c>
      <c r="M1797" t="inlineStr">
        <is>
          <t>Open</t>
        </is>
      </c>
      <c r="N1797" t="inlineStr"/>
    </row>
    <row r="1798">
      <c r="A1798" t="inlineStr">
        <is>
          <t>FKEX01797</t>
        </is>
      </c>
      <c r="B1798" t="inlineStr">
        <is>
          <t>15 LL_Device</t>
        </is>
      </c>
      <c r="C1798" t="inlineStr">
        <is>
          <t>tblDeviceModel</t>
        </is>
      </c>
      <c r="D1798" t="n">
        <v>600</v>
      </c>
      <c r="E1798" t="inlineStr">
        <is>
          <t>MOD000597</t>
        </is>
      </c>
      <c r="F1798" t="inlineStr">
        <is>
          <t>DeviceTypeID</t>
        </is>
      </c>
      <c r="G1798" t="inlineStr">
        <is>
          <t>DT001</t>
        </is>
      </c>
      <c r="H1798" t="inlineStr">
        <is>
          <t>tblDeviceTypeIDCrosswalk</t>
        </is>
      </c>
      <c r="I1798" t="inlineStr"/>
      <c r="J1798" t="inlineStr">
        <is>
          <t>No Supported Match</t>
        </is>
      </c>
      <c r="K1798" t="inlineStr">
        <is>
          <t>None</t>
        </is>
      </c>
      <c r="L1798" t="inlineStr">
        <is>
          <t>Crosswalk Pending</t>
        </is>
      </c>
      <c r="M1798" t="inlineStr">
        <is>
          <t>Open</t>
        </is>
      </c>
      <c r="N1798" t="inlineStr"/>
    </row>
    <row r="1799">
      <c r="A1799" t="inlineStr">
        <is>
          <t>FKEX01798</t>
        </is>
      </c>
      <c r="B1799" t="inlineStr">
        <is>
          <t>15 LL_Device</t>
        </is>
      </c>
      <c r="C1799" t="inlineStr">
        <is>
          <t>tblDeviceModel</t>
        </is>
      </c>
      <c r="D1799" t="n">
        <v>601</v>
      </c>
      <c r="E1799" t="inlineStr">
        <is>
          <t>MOD000598</t>
        </is>
      </c>
      <c r="F1799" t="inlineStr">
        <is>
          <t>ManufacturerID</t>
        </is>
      </c>
      <c r="G1799" t="inlineStr">
        <is>
          <t>MFG020</t>
        </is>
      </c>
      <c r="H1799" t="inlineStr">
        <is>
          <t>tblManufacturerIDCrosswalk</t>
        </is>
      </c>
      <c r="I1799" t="inlineStr"/>
      <c r="J1799" t="inlineStr">
        <is>
          <t>No Supported Match</t>
        </is>
      </c>
      <c r="K1799" t="inlineStr">
        <is>
          <t>None</t>
        </is>
      </c>
      <c r="L1799" t="inlineStr">
        <is>
          <t>Crosswalk Pending</t>
        </is>
      </c>
      <c r="M1799" t="inlineStr">
        <is>
          <t>Open</t>
        </is>
      </c>
      <c r="N1799" t="inlineStr"/>
    </row>
    <row r="1800">
      <c r="A1800" t="inlineStr">
        <is>
          <t>FKEX01799</t>
        </is>
      </c>
      <c r="B1800" t="inlineStr">
        <is>
          <t>15 LL_Device</t>
        </is>
      </c>
      <c r="C1800" t="inlineStr">
        <is>
          <t>tblDeviceModel</t>
        </is>
      </c>
      <c r="D1800" t="n">
        <v>601</v>
      </c>
      <c r="E1800" t="inlineStr">
        <is>
          <t>MOD000598</t>
        </is>
      </c>
      <c r="F1800" t="inlineStr">
        <is>
          <t>DeviceFamilyID</t>
        </is>
      </c>
      <c r="G1800" t="inlineStr">
        <is>
          <t>DF-200</t>
        </is>
      </c>
      <c r="H1800" t="inlineStr">
        <is>
          <t>tblDeviceFamilyIDCrosswalk</t>
        </is>
      </c>
      <c r="I1800" t="inlineStr"/>
      <c r="J1800" t="inlineStr">
        <is>
          <t>tblDeviceModel</t>
        </is>
      </c>
      <c r="K1800" t="inlineStr">
        <is>
          <t>Exact ID</t>
        </is>
      </c>
      <c r="L1800" t="inlineStr">
        <is>
          <t>Crosswalk Pending</t>
        </is>
      </c>
      <c r="M1800" t="inlineStr">
        <is>
          <t>Open</t>
        </is>
      </c>
      <c r="N1800" t="inlineStr"/>
    </row>
    <row r="1801">
      <c r="A1801" t="inlineStr">
        <is>
          <t>FKEX01800</t>
        </is>
      </c>
      <c r="B1801" t="inlineStr">
        <is>
          <t>15 LL_Device</t>
        </is>
      </c>
      <c r="C1801" t="inlineStr">
        <is>
          <t>tblDeviceModel</t>
        </is>
      </c>
      <c r="D1801" t="n">
        <v>601</v>
      </c>
      <c r="E1801" t="inlineStr">
        <is>
          <t>MOD000598</t>
        </is>
      </c>
      <c r="F1801" t="inlineStr">
        <is>
          <t>DeviceTypeID</t>
        </is>
      </c>
      <c r="G1801" t="inlineStr">
        <is>
          <t>DT001</t>
        </is>
      </c>
      <c r="H1801" t="inlineStr">
        <is>
          <t>tblDeviceTypeIDCrosswalk</t>
        </is>
      </c>
      <c r="I1801" t="inlineStr"/>
      <c r="J1801" t="inlineStr">
        <is>
          <t>No Supported Match</t>
        </is>
      </c>
      <c r="K1801" t="inlineStr">
        <is>
          <t>None</t>
        </is>
      </c>
      <c r="L1801" t="inlineStr">
        <is>
          <t>Crosswalk Pending</t>
        </is>
      </c>
      <c r="M1801" t="inlineStr">
        <is>
          <t>Open</t>
        </is>
      </c>
      <c r="N1801" t="inlineStr"/>
    </row>
    <row r="1802">
      <c r="A1802" t="inlineStr">
        <is>
          <t>FKEX01801</t>
        </is>
      </c>
      <c r="B1802" t="inlineStr">
        <is>
          <t>15 LL_Device</t>
        </is>
      </c>
      <c r="C1802" t="inlineStr">
        <is>
          <t>tblDeviceModel</t>
        </is>
      </c>
      <c r="D1802" t="n">
        <v>602</v>
      </c>
      <c r="E1802" t="inlineStr">
        <is>
          <t>MOD000599</t>
        </is>
      </c>
      <c r="F1802" t="inlineStr">
        <is>
          <t>ManufacturerID</t>
        </is>
      </c>
      <c r="G1802" t="inlineStr">
        <is>
          <t>MFG021</t>
        </is>
      </c>
      <c r="H1802" t="inlineStr">
        <is>
          <t>tblManufacturerIDCrosswalk</t>
        </is>
      </c>
      <c r="I1802" t="inlineStr"/>
      <c r="J1802" t="inlineStr">
        <is>
          <t>No Supported Match</t>
        </is>
      </c>
      <c r="K1802" t="inlineStr">
        <is>
          <t>None</t>
        </is>
      </c>
      <c r="L1802" t="inlineStr">
        <is>
          <t>Crosswalk Pending</t>
        </is>
      </c>
      <c r="M1802" t="inlineStr">
        <is>
          <t>Open</t>
        </is>
      </c>
      <c r="N1802" t="inlineStr"/>
    </row>
    <row r="1803">
      <c r="A1803" t="inlineStr">
        <is>
          <t>FKEX01802</t>
        </is>
      </c>
      <c r="B1803" t="inlineStr">
        <is>
          <t>15 LL_Device</t>
        </is>
      </c>
      <c r="C1803" t="inlineStr">
        <is>
          <t>tblDeviceModel</t>
        </is>
      </c>
      <c r="D1803" t="n">
        <v>602</v>
      </c>
      <c r="E1803" t="inlineStr">
        <is>
          <t>MOD000599</t>
        </is>
      </c>
      <c r="F1803" t="inlineStr">
        <is>
          <t>DeviceFamilyID</t>
        </is>
      </c>
      <c r="G1803" t="inlineStr">
        <is>
          <t>DF-210</t>
        </is>
      </c>
      <c r="H1803" t="inlineStr">
        <is>
          <t>tblDeviceFamilyIDCrosswalk</t>
        </is>
      </c>
      <c r="I1803" t="inlineStr"/>
      <c r="J1803" t="inlineStr">
        <is>
          <t>tblDeviceModel</t>
        </is>
      </c>
      <c r="K1803" t="inlineStr">
        <is>
          <t>Exact ID</t>
        </is>
      </c>
      <c r="L1803" t="inlineStr">
        <is>
          <t>Crosswalk Pending</t>
        </is>
      </c>
      <c r="M1803" t="inlineStr">
        <is>
          <t>Open</t>
        </is>
      </c>
      <c r="N1803" t="inlineStr"/>
    </row>
    <row r="1804">
      <c r="A1804" t="inlineStr">
        <is>
          <t>FKEX01803</t>
        </is>
      </c>
      <c r="B1804" t="inlineStr">
        <is>
          <t>15 LL_Device</t>
        </is>
      </c>
      <c r="C1804" t="inlineStr">
        <is>
          <t>tblDeviceModel</t>
        </is>
      </c>
      <c r="D1804" t="n">
        <v>602</v>
      </c>
      <c r="E1804" t="inlineStr">
        <is>
          <t>MOD000599</t>
        </is>
      </c>
      <c r="F1804" t="inlineStr">
        <is>
          <t>DeviceTypeID</t>
        </is>
      </c>
      <c r="G1804" t="inlineStr">
        <is>
          <t>DT001</t>
        </is>
      </c>
      <c r="H1804" t="inlineStr">
        <is>
          <t>tblDeviceTypeIDCrosswalk</t>
        </is>
      </c>
      <c r="I1804" t="inlineStr"/>
      <c r="J1804" t="inlineStr">
        <is>
          <t>No Supported Match</t>
        </is>
      </c>
      <c r="K1804" t="inlineStr">
        <is>
          <t>None</t>
        </is>
      </c>
      <c r="L1804" t="inlineStr">
        <is>
          <t>Crosswalk Pending</t>
        </is>
      </c>
      <c r="M1804" t="inlineStr">
        <is>
          <t>Open</t>
        </is>
      </c>
      <c r="N1804" t="inlineStr"/>
    </row>
    <row r="1805">
      <c r="A1805" t="inlineStr">
        <is>
          <t>FKEX01804</t>
        </is>
      </c>
      <c r="B1805" t="inlineStr">
        <is>
          <t>15 LL_Device</t>
        </is>
      </c>
      <c r="C1805" t="inlineStr">
        <is>
          <t>tblDeviceModel</t>
        </is>
      </c>
      <c r="D1805" t="n">
        <v>603</v>
      </c>
      <c r="E1805" t="inlineStr">
        <is>
          <t>MOD000600</t>
        </is>
      </c>
      <c r="F1805" t="inlineStr">
        <is>
          <t>ManufacturerID</t>
        </is>
      </c>
      <c r="G1805" t="inlineStr">
        <is>
          <t>MFG022</t>
        </is>
      </c>
      <c r="H1805" t="inlineStr">
        <is>
          <t>tblManufacturerIDCrosswalk</t>
        </is>
      </c>
      <c r="I1805" t="inlineStr"/>
      <c r="J1805" t="inlineStr">
        <is>
          <t>No Supported Match</t>
        </is>
      </c>
      <c r="K1805" t="inlineStr">
        <is>
          <t>None</t>
        </is>
      </c>
      <c r="L1805" t="inlineStr">
        <is>
          <t>Crosswalk Pending</t>
        </is>
      </c>
      <c r="M1805" t="inlineStr">
        <is>
          <t>Open</t>
        </is>
      </c>
      <c r="N1805" t="inlineStr"/>
    </row>
    <row r="1806">
      <c r="A1806" t="inlineStr">
        <is>
          <t>FKEX01805</t>
        </is>
      </c>
      <c r="B1806" t="inlineStr">
        <is>
          <t>15 LL_Device</t>
        </is>
      </c>
      <c r="C1806" t="inlineStr">
        <is>
          <t>tblDeviceModel</t>
        </is>
      </c>
      <c r="D1806" t="n">
        <v>603</v>
      </c>
      <c r="E1806" t="inlineStr">
        <is>
          <t>MOD000600</t>
        </is>
      </c>
      <c r="F1806" t="inlineStr">
        <is>
          <t>DeviceFamilyID</t>
        </is>
      </c>
      <c r="G1806" t="inlineStr">
        <is>
          <t>DF-220</t>
        </is>
      </c>
      <c r="H1806" t="inlineStr">
        <is>
          <t>tblDeviceFamilyIDCrosswalk</t>
        </is>
      </c>
      <c r="I1806" t="inlineStr"/>
      <c r="J1806" t="inlineStr">
        <is>
          <t>tblDeviceModel</t>
        </is>
      </c>
      <c r="K1806" t="inlineStr">
        <is>
          <t>Exact ID</t>
        </is>
      </c>
      <c r="L1806" t="inlineStr">
        <is>
          <t>Crosswalk Pending</t>
        </is>
      </c>
      <c r="M1806" t="inlineStr">
        <is>
          <t>Open</t>
        </is>
      </c>
      <c r="N1806" t="inlineStr"/>
    </row>
    <row r="1807">
      <c r="A1807" t="inlineStr">
        <is>
          <t>FKEX01806</t>
        </is>
      </c>
      <c r="B1807" t="inlineStr">
        <is>
          <t>15 LL_Device</t>
        </is>
      </c>
      <c r="C1807" t="inlineStr">
        <is>
          <t>tblDeviceModel</t>
        </is>
      </c>
      <c r="D1807" t="n">
        <v>603</v>
      </c>
      <c r="E1807" t="inlineStr">
        <is>
          <t>MOD000600</t>
        </is>
      </c>
      <c r="F1807" t="inlineStr">
        <is>
          <t>DeviceTypeID</t>
        </is>
      </c>
      <c r="G1807" t="inlineStr">
        <is>
          <t>DT001</t>
        </is>
      </c>
      <c r="H1807" t="inlineStr">
        <is>
          <t>tblDeviceTypeIDCrosswalk</t>
        </is>
      </c>
      <c r="I1807" t="inlineStr"/>
      <c r="J1807" t="inlineStr">
        <is>
          <t>No Supported Match</t>
        </is>
      </c>
      <c r="K1807" t="inlineStr">
        <is>
          <t>None</t>
        </is>
      </c>
      <c r="L1807" t="inlineStr">
        <is>
          <t>Crosswalk Pending</t>
        </is>
      </c>
      <c r="M1807" t="inlineStr">
        <is>
          <t>Open</t>
        </is>
      </c>
      <c r="N1807" t="inlineStr"/>
    </row>
    <row r="1808">
      <c r="A1808" t="inlineStr">
        <is>
          <t>FKEX01807</t>
        </is>
      </c>
      <c r="B1808" t="inlineStr">
        <is>
          <t>15 LL_Device</t>
        </is>
      </c>
      <c r="C1808" t="inlineStr">
        <is>
          <t>tblDeviceModel</t>
        </is>
      </c>
      <c r="D1808" t="n">
        <v>604</v>
      </c>
      <c r="E1808" t="inlineStr">
        <is>
          <t>MOD000601</t>
        </is>
      </c>
      <c r="F1808" t="inlineStr">
        <is>
          <t>ManufacturerID</t>
        </is>
      </c>
      <c r="G1808" t="inlineStr">
        <is>
          <t>MFG023</t>
        </is>
      </c>
      <c r="H1808" t="inlineStr">
        <is>
          <t>tblManufacturerIDCrosswalk</t>
        </is>
      </c>
      <c r="I1808" t="inlineStr"/>
      <c r="J1808" t="inlineStr">
        <is>
          <t>No Supported Match</t>
        </is>
      </c>
      <c r="K1808" t="inlineStr">
        <is>
          <t>None</t>
        </is>
      </c>
      <c r="L1808" t="inlineStr">
        <is>
          <t>Crosswalk Pending</t>
        </is>
      </c>
      <c r="M1808" t="inlineStr">
        <is>
          <t>Open</t>
        </is>
      </c>
      <c r="N1808" t="inlineStr"/>
    </row>
    <row r="1809">
      <c r="A1809" t="inlineStr">
        <is>
          <t>FKEX01808</t>
        </is>
      </c>
      <c r="B1809" t="inlineStr">
        <is>
          <t>15 LL_Device</t>
        </is>
      </c>
      <c r="C1809" t="inlineStr">
        <is>
          <t>tblDeviceModel</t>
        </is>
      </c>
      <c r="D1809" t="n">
        <v>604</v>
      </c>
      <c r="E1809" t="inlineStr">
        <is>
          <t>MOD000601</t>
        </is>
      </c>
      <c r="F1809" t="inlineStr">
        <is>
          <t>DeviceFamilyID</t>
        </is>
      </c>
      <c r="G1809" t="inlineStr">
        <is>
          <t>DF-230</t>
        </is>
      </c>
      <c r="H1809" t="inlineStr">
        <is>
          <t>tblDeviceFamilyIDCrosswalk</t>
        </is>
      </c>
      <c r="I1809" t="inlineStr"/>
      <c r="J1809" t="inlineStr">
        <is>
          <t>tblDeviceModel</t>
        </is>
      </c>
      <c r="K1809" t="inlineStr">
        <is>
          <t>Exact ID</t>
        </is>
      </c>
      <c r="L1809" t="inlineStr">
        <is>
          <t>Crosswalk Pending</t>
        </is>
      </c>
      <c r="M1809" t="inlineStr">
        <is>
          <t>Open</t>
        </is>
      </c>
      <c r="N1809" t="inlineStr"/>
    </row>
    <row r="1810">
      <c r="A1810" t="inlineStr">
        <is>
          <t>FKEX01809</t>
        </is>
      </c>
      <c r="B1810" t="inlineStr">
        <is>
          <t>15 LL_Device</t>
        </is>
      </c>
      <c r="C1810" t="inlineStr">
        <is>
          <t>tblDeviceModel</t>
        </is>
      </c>
      <c r="D1810" t="n">
        <v>604</v>
      </c>
      <c r="E1810" t="inlineStr">
        <is>
          <t>MOD000601</t>
        </is>
      </c>
      <c r="F1810" t="inlineStr">
        <is>
          <t>DeviceTypeID</t>
        </is>
      </c>
      <c r="G1810" t="inlineStr">
        <is>
          <t>DT001</t>
        </is>
      </c>
      <c r="H1810" t="inlineStr">
        <is>
          <t>tblDeviceTypeIDCrosswalk</t>
        </is>
      </c>
      <c r="I1810" t="inlineStr"/>
      <c r="J1810" t="inlineStr">
        <is>
          <t>No Supported Match</t>
        </is>
      </c>
      <c r="K1810" t="inlineStr">
        <is>
          <t>None</t>
        </is>
      </c>
      <c r="L1810" t="inlineStr">
        <is>
          <t>Crosswalk Pending</t>
        </is>
      </c>
      <c r="M1810" t="inlineStr">
        <is>
          <t>Open</t>
        </is>
      </c>
      <c r="N1810" t="inlineStr"/>
    </row>
    <row r="1811">
      <c r="A1811" t="inlineStr">
        <is>
          <t>FKEX01810</t>
        </is>
      </c>
      <c r="B1811" t="inlineStr">
        <is>
          <t>15 LL_Device</t>
        </is>
      </c>
      <c r="C1811" t="inlineStr">
        <is>
          <t>tblDeviceModel</t>
        </is>
      </c>
      <c r="D1811" t="n">
        <v>605</v>
      </c>
      <c r="E1811" t="inlineStr">
        <is>
          <t>MOD000602</t>
        </is>
      </c>
      <c r="F1811" t="inlineStr">
        <is>
          <t>ManufacturerID</t>
        </is>
      </c>
      <c r="G1811" t="inlineStr">
        <is>
          <t>MFG024</t>
        </is>
      </c>
      <c r="H1811" t="inlineStr">
        <is>
          <t>tblManufacturerIDCrosswalk</t>
        </is>
      </c>
      <c r="I1811" t="inlineStr"/>
      <c r="J1811" t="inlineStr">
        <is>
          <t>No Supported Match</t>
        </is>
      </c>
      <c r="K1811" t="inlineStr">
        <is>
          <t>None</t>
        </is>
      </c>
      <c r="L1811" t="inlineStr">
        <is>
          <t>Crosswalk Pending</t>
        </is>
      </c>
      <c r="M1811" t="inlineStr">
        <is>
          <t>Open</t>
        </is>
      </c>
      <c r="N1811" t="inlineStr"/>
    </row>
    <row r="1812">
      <c r="A1812" t="inlineStr">
        <is>
          <t>FKEX01811</t>
        </is>
      </c>
      <c r="B1812" t="inlineStr">
        <is>
          <t>15 LL_Device</t>
        </is>
      </c>
      <c r="C1812" t="inlineStr">
        <is>
          <t>tblDeviceModel</t>
        </is>
      </c>
      <c r="D1812" t="n">
        <v>605</v>
      </c>
      <c r="E1812" t="inlineStr">
        <is>
          <t>MOD000602</t>
        </is>
      </c>
      <c r="F1812" t="inlineStr">
        <is>
          <t>DeviceFamilyID</t>
        </is>
      </c>
      <c r="G1812" t="inlineStr">
        <is>
          <t>DF-240</t>
        </is>
      </c>
      <c r="H1812" t="inlineStr">
        <is>
          <t>tblDeviceFamilyIDCrosswalk</t>
        </is>
      </c>
      <c r="I1812" t="inlineStr"/>
      <c r="J1812" t="inlineStr">
        <is>
          <t>tblDeviceModel</t>
        </is>
      </c>
      <c r="K1812" t="inlineStr">
        <is>
          <t>Exact ID</t>
        </is>
      </c>
      <c r="L1812" t="inlineStr">
        <is>
          <t>Crosswalk Pending</t>
        </is>
      </c>
      <c r="M1812" t="inlineStr">
        <is>
          <t>Open</t>
        </is>
      </c>
      <c r="N1812" t="inlineStr"/>
    </row>
    <row r="1813">
      <c r="A1813" t="inlineStr">
        <is>
          <t>FKEX01812</t>
        </is>
      </c>
      <c r="B1813" t="inlineStr">
        <is>
          <t>15 LL_Device</t>
        </is>
      </c>
      <c r="C1813" t="inlineStr">
        <is>
          <t>tblDeviceModel</t>
        </is>
      </c>
      <c r="D1813" t="n">
        <v>605</v>
      </c>
      <c r="E1813" t="inlineStr">
        <is>
          <t>MOD000602</t>
        </is>
      </c>
      <c r="F1813" t="inlineStr">
        <is>
          <t>DeviceTypeID</t>
        </is>
      </c>
      <c r="G1813" t="inlineStr">
        <is>
          <t>DT001</t>
        </is>
      </c>
      <c r="H1813" t="inlineStr">
        <is>
          <t>tblDeviceTypeIDCrosswalk</t>
        </is>
      </c>
      <c r="I1813" t="inlineStr"/>
      <c r="J1813" t="inlineStr">
        <is>
          <t>No Supported Match</t>
        </is>
      </c>
      <c r="K1813" t="inlineStr">
        <is>
          <t>None</t>
        </is>
      </c>
      <c r="L1813" t="inlineStr">
        <is>
          <t>Crosswalk Pending</t>
        </is>
      </c>
      <c r="M1813" t="inlineStr">
        <is>
          <t>Open</t>
        </is>
      </c>
      <c r="N1813" t="inlineStr"/>
    </row>
    <row r="1814">
      <c r="A1814" t="inlineStr">
        <is>
          <t>FKEX01813</t>
        </is>
      </c>
      <c r="B1814" t="inlineStr">
        <is>
          <t>15 LL_Device</t>
        </is>
      </c>
      <c r="C1814" t="inlineStr">
        <is>
          <t>tblDeviceModel</t>
        </is>
      </c>
      <c r="D1814" t="n">
        <v>606</v>
      </c>
      <c r="E1814" t="inlineStr">
        <is>
          <t>MOD000603</t>
        </is>
      </c>
      <c r="F1814" t="inlineStr">
        <is>
          <t>ManufacturerID</t>
        </is>
      </c>
      <c r="G1814" t="inlineStr">
        <is>
          <t>MFG025</t>
        </is>
      </c>
      <c r="H1814" t="inlineStr">
        <is>
          <t>tblManufacturerIDCrosswalk</t>
        </is>
      </c>
      <c r="I1814" t="inlineStr"/>
      <c r="J1814" t="inlineStr">
        <is>
          <t>No Supported Match</t>
        </is>
      </c>
      <c r="K1814" t="inlineStr">
        <is>
          <t>None</t>
        </is>
      </c>
      <c r="L1814" t="inlineStr">
        <is>
          <t>Crosswalk Pending</t>
        </is>
      </c>
      <c r="M1814" t="inlineStr">
        <is>
          <t>Open</t>
        </is>
      </c>
      <c r="N1814" t="inlineStr"/>
    </row>
    <row r="1815">
      <c r="A1815" t="inlineStr">
        <is>
          <t>FKEX01814</t>
        </is>
      </c>
      <c r="B1815" t="inlineStr">
        <is>
          <t>15 LL_Device</t>
        </is>
      </c>
      <c r="C1815" t="inlineStr">
        <is>
          <t>tblDeviceModel</t>
        </is>
      </c>
      <c r="D1815" t="n">
        <v>606</v>
      </c>
      <c r="E1815" t="inlineStr">
        <is>
          <t>MOD000603</t>
        </is>
      </c>
      <c r="F1815" t="inlineStr">
        <is>
          <t>DeviceFamilyID</t>
        </is>
      </c>
      <c r="G1815" t="inlineStr">
        <is>
          <t>DF-250</t>
        </is>
      </c>
      <c r="H1815" t="inlineStr">
        <is>
          <t>tblDeviceFamilyIDCrosswalk</t>
        </is>
      </c>
      <c r="I1815" t="inlineStr"/>
      <c r="J1815" t="inlineStr">
        <is>
          <t>tblDeviceModel</t>
        </is>
      </c>
      <c r="K1815" t="inlineStr">
        <is>
          <t>Exact ID</t>
        </is>
      </c>
      <c r="L1815" t="inlineStr">
        <is>
          <t>Crosswalk Pending</t>
        </is>
      </c>
      <c r="M1815" t="inlineStr">
        <is>
          <t>Open</t>
        </is>
      </c>
      <c r="N1815" t="inlineStr"/>
    </row>
    <row r="1816">
      <c r="A1816" t="inlineStr">
        <is>
          <t>FKEX01815</t>
        </is>
      </c>
      <c r="B1816" t="inlineStr">
        <is>
          <t>15 LL_Device</t>
        </is>
      </c>
      <c r="C1816" t="inlineStr">
        <is>
          <t>tblDeviceModel</t>
        </is>
      </c>
      <c r="D1816" t="n">
        <v>606</v>
      </c>
      <c r="E1816" t="inlineStr">
        <is>
          <t>MOD000603</t>
        </is>
      </c>
      <c r="F1816" t="inlineStr">
        <is>
          <t>DeviceTypeID</t>
        </is>
      </c>
      <c r="G1816" t="inlineStr">
        <is>
          <t>DT001</t>
        </is>
      </c>
      <c r="H1816" t="inlineStr">
        <is>
          <t>tblDeviceTypeIDCrosswalk</t>
        </is>
      </c>
      <c r="I1816" t="inlineStr"/>
      <c r="J1816" t="inlineStr">
        <is>
          <t>No Supported Match</t>
        </is>
      </c>
      <c r="K1816" t="inlineStr">
        <is>
          <t>None</t>
        </is>
      </c>
      <c r="L1816" t="inlineStr">
        <is>
          <t>Crosswalk Pending</t>
        </is>
      </c>
      <c r="M1816" t="inlineStr">
        <is>
          <t>Open</t>
        </is>
      </c>
      <c r="N1816" t="inlineStr"/>
    </row>
    <row r="1817">
      <c r="A1817" t="inlineStr">
        <is>
          <t>FKEX01816</t>
        </is>
      </c>
      <c r="B1817" t="inlineStr">
        <is>
          <t>15 LL_Device</t>
        </is>
      </c>
      <c r="C1817" t="inlineStr">
        <is>
          <t>tblDeviceModel</t>
        </is>
      </c>
      <c r="D1817" t="n">
        <v>607</v>
      </c>
      <c r="E1817" t="inlineStr">
        <is>
          <t>MOD000604</t>
        </is>
      </c>
      <c r="F1817" t="inlineStr">
        <is>
          <t>ManufacturerID</t>
        </is>
      </c>
      <c r="G1817" t="inlineStr">
        <is>
          <t>MFG026</t>
        </is>
      </c>
      <c r="H1817" t="inlineStr">
        <is>
          <t>tblManufacturerIDCrosswalk</t>
        </is>
      </c>
      <c r="I1817" t="inlineStr"/>
      <c r="J1817" t="inlineStr">
        <is>
          <t>No Supported Match</t>
        </is>
      </c>
      <c r="K1817" t="inlineStr">
        <is>
          <t>None</t>
        </is>
      </c>
      <c r="L1817" t="inlineStr">
        <is>
          <t>Crosswalk Pending</t>
        </is>
      </c>
      <c r="M1817" t="inlineStr">
        <is>
          <t>Open</t>
        </is>
      </c>
      <c r="N1817" t="inlineStr"/>
    </row>
    <row r="1818">
      <c r="A1818" t="inlineStr">
        <is>
          <t>FKEX01817</t>
        </is>
      </c>
      <c r="B1818" t="inlineStr">
        <is>
          <t>15 LL_Device</t>
        </is>
      </c>
      <c r="C1818" t="inlineStr">
        <is>
          <t>tblDeviceModel</t>
        </is>
      </c>
      <c r="D1818" t="n">
        <v>607</v>
      </c>
      <c r="E1818" t="inlineStr">
        <is>
          <t>MOD000604</t>
        </is>
      </c>
      <c r="F1818" t="inlineStr">
        <is>
          <t>DeviceFamilyID</t>
        </is>
      </c>
      <c r="G1818" t="inlineStr">
        <is>
          <t>DF-260</t>
        </is>
      </c>
      <c r="H1818" t="inlineStr">
        <is>
          <t>tblDeviceFamilyIDCrosswalk</t>
        </is>
      </c>
      <c r="I1818" t="inlineStr"/>
      <c r="J1818" t="inlineStr">
        <is>
          <t>tblDeviceModel</t>
        </is>
      </c>
      <c r="K1818" t="inlineStr">
        <is>
          <t>Exact ID</t>
        </is>
      </c>
      <c r="L1818" t="inlineStr">
        <is>
          <t>Crosswalk Pending</t>
        </is>
      </c>
      <c r="M1818" t="inlineStr">
        <is>
          <t>Open</t>
        </is>
      </c>
      <c r="N1818" t="inlineStr"/>
    </row>
    <row r="1819">
      <c r="A1819" t="inlineStr">
        <is>
          <t>FKEX01818</t>
        </is>
      </c>
      <c r="B1819" t="inlineStr">
        <is>
          <t>15 LL_Device</t>
        </is>
      </c>
      <c r="C1819" t="inlineStr">
        <is>
          <t>tblDeviceModel</t>
        </is>
      </c>
      <c r="D1819" t="n">
        <v>607</v>
      </c>
      <c r="E1819" t="inlineStr">
        <is>
          <t>MOD000604</t>
        </is>
      </c>
      <c r="F1819" t="inlineStr">
        <is>
          <t>DeviceTypeID</t>
        </is>
      </c>
      <c r="G1819" t="inlineStr">
        <is>
          <t>DT001</t>
        </is>
      </c>
      <c r="H1819" t="inlineStr">
        <is>
          <t>tblDeviceTypeIDCrosswalk</t>
        </is>
      </c>
      <c r="I1819" t="inlineStr"/>
      <c r="J1819" t="inlineStr">
        <is>
          <t>No Supported Match</t>
        </is>
      </c>
      <c r="K1819" t="inlineStr">
        <is>
          <t>None</t>
        </is>
      </c>
      <c r="L1819" t="inlineStr">
        <is>
          <t>Crosswalk Pending</t>
        </is>
      </c>
      <c r="M1819" t="inlineStr">
        <is>
          <t>Open</t>
        </is>
      </c>
      <c r="N1819" t="inlineStr"/>
    </row>
    <row r="1820">
      <c r="A1820" t="inlineStr">
        <is>
          <t>FKEX01819</t>
        </is>
      </c>
      <c r="B1820" t="inlineStr">
        <is>
          <t>15 LL_Device</t>
        </is>
      </c>
      <c r="C1820" t="inlineStr">
        <is>
          <t>tblDeviceModel</t>
        </is>
      </c>
      <c r="D1820" t="n">
        <v>608</v>
      </c>
      <c r="E1820" t="inlineStr">
        <is>
          <t>MOD000605</t>
        </is>
      </c>
      <c r="F1820" t="inlineStr">
        <is>
          <t>ManufacturerID</t>
        </is>
      </c>
      <c r="G1820" t="inlineStr">
        <is>
          <t>MFG027</t>
        </is>
      </c>
      <c r="H1820" t="inlineStr">
        <is>
          <t>tblManufacturerIDCrosswalk</t>
        </is>
      </c>
      <c r="I1820" t="inlineStr"/>
      <c r="J1820" t="inlineStr">
        <is>
          <t>No Supported Match</t>
        </is>
      </c>
      <c r="K1820" t="inlineStr">
        <is>
          <t>None</t>
        </is>
      </c>
      <c r="L1820" t="inlineStr">
        <is>
          <t>Crosswalk Pending</t>
        </is>
      </c>
      <c r="M1820" t="inlineStr">
        <is>
          <t>Open</t>
        </is>
      </c>
      <c r="N1820" t="inlineStr"/>
    </row>
    <row r="1821">
      <c r="A1821" t="inlineStr">
        <is>
          <t>FKEX01820</t>
        </is>
      </c>
      <c r="B1821" t="inlineStr">
        <is>
          <t>15 LL_Device</t>
        </is>
      </c>
      <c r="C1821" t="inlineStr">
        <is>
          <t>tblDeviceModel</t>
        </is>
      </c>
      <c r="D1821" t="n">
        <v>608</v>
      </c>
      <c r="E1821" t="inlineStr">
        <is>
          <t>MOD000605</t>
        </is>
      </c>
      <c r="F1821" t="inlineStr">
        <is>
          <t>DeviceFamilyID</t>
        </is>
      </c>
      <c r="G1821" t="inlineStr">
        <is>
          <t>DF-270</t>
        </is>
      </c>
      <c r="H1821" t="inlineStr">
        <is>
          <t>tblDeviceFamilyIDCrosswalk</t>
        </is>
      </c>
      <c r="I1821" t="inlineStr"/>
      <c r="J1821" t="inlineStr">
        <is>
          <t>tblDeviceModel</t>
        </is>
      </c>
      <c r="K1821" t="inlineStr">
        <is>
          <t>Exact ID</t>
        </is>
      </c>
      <c r="L1821" t="inlineStr">
        <is>
          <t>Crosswalk Pending</t>
        </is>
      </c>
      <c r="M1821" t="inlineStr">
        <is>
          <t>Open</t>
        </is>
      </c>
      <c r="N1821" t="inlineStr"/>
    </row>
    <row r="1822">
      <c r="A1822" t="inlineStr">
        <is>
          <t>FKEX01821</t>
        </is>
      </c>
      <c r="B1822" t="inlineStr">
        <is>
          <t>15 LL_Device</t>
        </is>
      </c>
      <c r="C1822" t="inlineStr">
        <is>
          <t>tblDeviceModel</t>
        </is>
      </c>
      <c r="D1822" t="n">
        <v>608</v>
      </c>
      <c r="E1822" t="inlineStr">
        <is>
          <t>MOD000605</t>
        </is>
      </c>
      <c r="F1822" t="inlineStr">
        <is>
          <t>DeviceTypeID</t>
        </is>
      </c>
      <c r="G1822" t="inlineStr">
        <is>
          <t>DT001</t>
        </is>
      </c>
      <c r="H1822" t="inlineStr">
        <is>
          <t>tblDeviceTypeIDCrosswalk</t>
        </is>
      </c>
      <c r="I1822" t="inlineStr"/>
      <c r="J1822" t="inlineStr">
        <is>
          <t>No Supported Match</t>
        </is>
      </c>
      <c r="K1822" t="inlineStr">
        <is>
          <t>None</t>
        </is>
      </c>
      <c r="L1822" t="inlineStr">
        <is>
          <t>Crosswalk Pending</t>
        </is>
      </c>
      <c r="M1822" t="inlineStr">
        <is>
          <t>Open</t>
        </is>
      </c>
      <c r="N1822" t="inlineStr"/>
    </row>
    <row r="1823">
      <c r="A1823" t="inlineStr">
        <is>
          <t>FKEX01822</t>
        </is>
      </c>
      <c r="B1823" t="inlineStr">
        <is>
          <t>15 LL_Device</t>
        </is>
      </c>
      <c r="C1823" t="inlineStr">
        <is>
          <t>tblDeviceModel</t>
        </is>
      </c>
      <c r="D1823" t="n">
        <v>609</v>
      </c>
      <c r="E1823" t="inlineStr">
        <is>
          <t>MOD000606</t>
        </is>
      </c>
      <c r="F1823" t="inlineStr">
        <is>
          <t>ManufacturerID</t>
        </is>
      </c>
      <c r="G1823" t="inlineStr">
        <is>
          <t>MFG028</t>
        </is>
      </c>
      <c r="H1823" t="inlineStr">
        <is>
          <t>tblManufacturerIDCrosswalk</t>
        </is>
      </c>
      <c r="I1823" t="inlineStr"/>
      <c r="J1823" t="inlineStr">
        <is>
          <t>No Supported Match</t>
        </is>
      </c>
      <c r="K1823" t="inlineStr">
        <is>
          <t>None</t>
        </is>
      </c>
      <c r="L1823" t="inlineStr">
        <is>
          <t>Crosswalk Pending</t>
        </is>
      </c>
      <c r="M1823" t="inlineStr">
        <is>
          <t>Open</t>
        </is>
      </c>
      <c r="N1823" t="inlineStr"/>
    </row>
    <row r="1824">
      <c r="A1824" t="inlineStr">
        <is>
          <t>FKEX01823</t>
        </is>
      </c>
      <c r="B1824" t="inlineStr">
        <is>
          <t>15 LL_Device</t>
        </is>
      </c>
      <c r="C1824" t="inlineStr">
        <is>
          <t>tblDeviceModel</t>
        </is>
      </c>
      <c r="D1824" t="n">
        <v>609</v>
      </c>
      <c r="E1824" t="inlineStr">
        <is>
          <t>MOD000606</t>
        </is>
      </c>
      <c r="F1824" t="inlineStr">
        <is>
          <t>DeviceFamilyID</t>
        </is>
      </c>
      <c r="G1824" t="inlineStr">
        <is>
          <t>DF-280</t>
        </is>
      </c>
      <c r="H1824" t="inlineStr">
        <is>
          <t>tblDeviceFamilyIDCrosswalk</t>
        </is>
      </c>
      <c r="I1824" t="inlineStr"/>
      <c r="J1824" t="inlineStr">
        <is>
          <t>tblDeviceModel</t>
        </is>
      </c>
      <c r="K1824" t="inlineStr">
        <is>
          <t>Exact ID</t>
        </is>
      </c>
      <c r="L1824" t="inlineStr">
        <is>
          <t>Crosswalk Pending</t>
        </is>
      </c>
      <c r="M1824" t="inlineStr">
        <is>
          <t>Open</t>
        </is>
      </c>
      <c r="N1824" t="inlineStr"/>
    </row>
    <row r="1825">
      <c r="A1825" t="inlineStr">
        <is>
          <t>FKEX01824</t>
        </is>
      </c>
      <c r="B1825" t="inlineStr">
        <is>
          <t>15 LL_Device</t>
        </is>
      </c>
      <c r="C1825" t="inlineStr">
        <is>
          <t>tblDeviceModel</t>
        </is>
      </c>
      <c r="D1825" t="n">
        <v>609</v>
      </c>
      <c r="E1825" t="inlineStr">
        <is>
          <t>MOD000606</t>
        </is>
      </c>
      <c r="F1825" t="inlineStr">
        <is>
          <t>DeviceTypeID</t>
        </is>
      </c>
      <c r="G1825" t="inlineStr">
        <is>
          <t>DT001</t>
        </is>
      </c>
      <c r="H1825" t="inlineStr">
        <is>
          <t>tblDeviceTypeIDCrosswalk</t>
        </is>
      </c>
      <c r="I1825" t="inlineStr"/>
      <c r="J1825" t="inlineStr">
        <is>
          <t>No Supported Match</t>
        </is>
      </c>
      <c r="K1825" t="inlineStr">
        <is>
          <t>None</t>
        </is>
      </c>
      <c r="L1825" t="inlineStr">
        <is>
          <t>Crosswalk Pending</t>
        </is>
      </c>
      <c r="M1825" t="inlineStr">
        <is>
          <t>Open</t>
        </is>
      </c>
      <c r="N1825" t="inlineStr"/>
    </row>
    <row r="1826">
      <c r="A1826" t="inlineStr">
        <is>
          <t>FKEX01825</t>
        </is>
      </c>
      <c r="B1826" t="inlineStr">
        <is>
          <t>15 LL_Device</t>
        </is>
      </c>
      <c r="C1826" t="inlineStr">
        <is>
          <t>tblDeviceModel</t>
        </is>
      </c>
      <c r="D1826" t="n">
        <v>610</v>
      </c>
      <c r="E1826" t="inlineStr">
        <is>
          <t>MOD000607</t>
        </is>
      </c>
      <c r="F1826" t="inlineStr">
        <is>
          <t>ManufacturerID</t>
        </is>
      </c>
      <c r="G1826" t="inlineStr">
        <is>
          <t>MFG029</t>
        </is>
      </c>
      <c r="H1826" t="inlineStr">
        <is>
          <t>tblManufacturerIDCrosswalk</t>
        </is>
      </c>
      <c r="I1826" t="inlineStr"/>
      <c r="J1826" t="inlineStr">
        <is>
          <t>No Supported Match</t>
        </is>
      </c>
      <c r="K1826" t="inlineStr">
        <is>
          <t>None</t>
        </is>
      </c>
      <c r="L1826" t="inlineStr">
        <is>
          <t>Crosswalk Pending</t>
        </is>
      </c>
      <c r="M1826" t="inlineStr">
        <is>
          <t>Open</t>
        </is>
      </c>
      <c r="N1826" t="inlineStr"/>
    </row>
    <row r="1827">
      <c r="A1827" t="inlineStr">
        <is>
          <t>FKEX01826</t>
        </is>
      </c>
      <c r="B1827" t="inlineStr">
        <is>
          <t>15 LL_Device</t>
        </is>
      </c>
      <c r="C1827" t="inlineStr">
        <is>
          <t>tblDeviceModel</t>
        </is>
      </c>
      <c r="D1827" t="n">
        <v>610</v>
      </c>
      <c r="E1827" t="inlineStr">
        <is>
          <t>MOD000607</t>
        </is>
      </c>
      <c r="F1827" t="inlineStr">
        <is>
          <t>DeviceFamilyID</t>
        </is>
      </c>
      <c r="G1827" t="inlineStr">
        <is>
          <t>DF-290</t>
        </is>
      </c>
      <c r="H1827" t="inlineStr">
        <is>
          <t>tblDeviceFamilyIDCrosswalk</t>
        </is>
      </c>
      <c r="I1827" t="inlineStr"/>
      <c r="J1827" t="inlineStr">
        <is>
          <t>tblDeviceModel</t>
        </is>
      </c>
      <c r="K1827" t="inlineStr">
        <is>
          <t>Exact ID</t>
        </is>
      </c>
      <c r="L1827" t="inlineStr">
        <is>
          <t>Crosswalk Pending</t>
        </is>
      </c>
      <c r="M1827" t="inlineStr">
        <is>
          <t>Open</t>
        </is>
      </c>
      <c r="N1827" t="inlineStr"/>
    </row>
    <row r="1828">
      <c r="A1828" t="inlineStr">
        <is>
          <t>FKEX01827</t>
        </is>
      </c>
      <c r="B1828" t="inlineStr">
        <is>
          <t>15 LL_Device</t>
        </is>
      </c>
      <c r="C1828" t="inlineStr">
        <is>
          <t>tblDeviceModel</t>
        </is>
      </c>
      <c r="D1828" t="n">
        <v>610</v>
      </c>
      <c r="E1828" t="inlineStr">
        <is>
          <t>MOD000607</t>
        </is>
      </c>
      <c r="F1828" t="inlineStr">
        <is>
          <t>DeviceTypeID</t>
        </is>
      </c>
      <c r="G1828" t="inlineStr">
        <is>
          <t>DT002</t>
        </is>
      </c>
      <c r="H1828" t="inlineStr">
        <is>
          <t>tblDeviceTypeIDCrosswalk</t>
        </is>
      </c>
      <c r="I1828" t="inlineStr"/>
      <c r="J1828" t="inlineStr">
        <is>
          <t>No Supported Match</t>
        </is>
      </c>
      <c r="K1828" t="inlineStr">
        <is>
          <t>None</t>
        </is>
      </c>
      <c r="L1828" t="inlineStr">
        <is>
          <t>Crosswalk Pending</t>
        </is>
      </c>
      <c r="M1828" t="inlineStr">
        <is>
          <t>Open</t>
        </is>
      </c>
      <c r="N1828" t="inlineStr"/>
    </row>
    <row r="1829">
      <c r="A1829" t="inlineStr">
        <is>
          <t>FKEX01828</t>
        </is>
      </c>
      <c r="B1829" t="inlineStr">
        <is>
          <t>15 LL_Device</t>
        </is>
      </c>
      <c r="C1829" t="inlineStr">
        <is>
          <t>tblDeviceModel</t>
        </is>
      </c>
      <c r="D1829" t="n">
        <v>611</v>
      </c>
      <c r="E1829" t="inlineStr">
        <is>
          <t>MOD000608</t>
        </is>
      </c>
      <c r="F1829" t="inlineStr">
        <is>
          <t>ManufacturerID</t>
        </is>
      </c>
      <c r="G1829" t="inlineStr">
        <is>
          <t>MFG030</t>
        </is>
      </c>
      <c r="H1829" t="inlineStr">
        <is>
          <t>tblManufacturerIDCrosswalk</t>
        </is>
      </c>
      <c r="I1829" t="inlineStr"/>
      <c r="J1829" t="inlineStr">
        <is>
          <t>No Supported Match</t>
        </is>
      </c>
      <c r="K1829" t="inlineStr">
        <is>
          <t>None</t>
        </is>
      </c>
      <c r="L1829" t="inlineStr">
        <is>
          <t>Crosswalk Pending</t>
        </is>
      </c>
      <c r="M1829" t="inlineStr">
        <is>
          <t>Open</t>
        </is>
      </c>
      <c r="N1829" t="inlineStr"/>
    </row>
    <row r="1830">
      <c r="A1830" t="inlineStr">
        <is>
          <t>FKEX01829</t>
        </is>
      </c>
      <c r="B1830" t="inlineStr">
        <is>
          <t>15 LL_Device</t>
        </is>
      </c>
      <c r="C1830" t="inlineStr">
        <is>
          <t>tblDeviceModel</t>
        </is>
      </c>
      <c r="D1830" t="n">
        <v>611</v>
      </c>
      <c r="E1830" t="inlineStr">
        <is>
          <t>MOD000608</t>
        </is>
      </c>
      <c r="F1830" t="inlineStr">
        <is>
          <t>DeviceFamilyID</t>
        </is>
      </c>
      <c r="G1830" t="inlineStr">
        <is>
          <t>DF-300</t>
        </is>
      </c>
      <c r="H1830" t="inlineStr">
        <is>
          <t>tblDeviceFamilyIDCrosswalk</t>
        </is>
      </c>
      <c r="I1830" t="inlineStr"/>
      <c r="J1830" t="inlineStr">
        <is>
          <t>tblDeviceModel</t>
        </is>
      </c>
      <c r="K1830" t="inlineStr">
        <is>
          <t>Exact ID</t>
        </is>
      </c>
      <c r="L1830" t="inlineStr">
        <is>
          <t>Crosswalk Pending</t>
        </is>
      </c>
      <c r="M1830" t="inlineStr">
        <is>
          <t>Open</t>
        </is>
      </c>
      <c r="N1830" t="inlineStr"/>
    </row>
    <row r="1831">
      <c r="A1831" t="inlineStr">
        <is>
          <t>FKEX01830</t>
        </is>
      </c>
      <c r="B1831" t="inlineStr">
        <is>
          <t>15 LL_Device</t>
        </is>
      </c>
      <c r="C1831" t="inlineStr">
        <is>
          <t>tblDeviceModel</t>
        </is>
      </c>
      <c r="D1831" t="n">
        <v>611</v>
      </c>
      <c r="E1831" t="inlineStr">
        <is>
          <t>MOD000608</t>
        </is>
      </c>
      <c r="F1831" t="inlineStr">
        <is>
          <t>DeviceTypeID</t>
        </is>
      </c>
      <c r="G1831" t="inlineStr">
        <is>
          <t>DT002</t>
        </is>
      </c>
      <c r="H1831" t="inlineStr">
        <is>
          <t>tblDeviceTypeIDCrosswalk</t>
        </is>
      </c>
      <c r="I1831" t="inlineStr"/>
      <c r="J1831" t="inlineStr">
        <is>
          <t>No Supported Match</t>
        </is>
      </c>
      <c r="K1831" t="inlineStr">
        <is>
          <t>None</t>
        </is>
      </c>
      <c r="L1831" t="inlineStr">
        <is>
          <t>Crosswalk Pending</t>
        </is>
      </c>
      <c r="M1831" t="inlineStr">
        <is>
          <t>Open</t>
        </is>
      </c>
      <c r="N1831" t="inlineStr"/>
    </row>
    <row r="1832">
      <c r="A1832" t="inlineStr">
        <is>
          <t>FKEX01831</t>
        </is>
      </c>
      <c r="B1832" t="inlineStr">
        <is>
          <t>15 LL_Device</t>
        </is>
      </c>
      <c r="C1832" t="inlineStr">
        <is>
          <t>tblDeviceModel</t>
        </is>
      </c>
      <c r="D1832" t="n">
        <v>612</v>
      </c>
      <c r="E1832" t="inlineStr">
        <is>
          <t>MOD000609</t>
        </is>
      </c>
      <c r="F1832" t="inlineStr">
        <is>
          <t>ManufacturerID</t>
        </is>
      </c>
      <c r="G1832" t="inlineStr">
        <is>
          <t>MFG031</t>
        </is>
      </c>
      <c r="H1832" t="inlineStr">
        <is>
          <t>tblManufacturerIDCrosswalk</t>
        </is>
      </c>
      <c r="I1832" t="inlineStr"/>
      <c r="J1832" t="inlineStr">
        <is>
          <t>No Supported Match</t>
        </is>
      </c>
      <c r="K1832" t="inlineStr">
        <is>
          <t>None</t>
        </is>
      </c>
      <c r="L1832" t="inlineStr">
        <is>
          <t>Crosswalk Pending</t>
        </is>
      </c>
      <c r="M1832" t="inlineStr">
        <is>
          <t>Open</t>
        </is>
      </c>
      <c r="N1832" t="inlineStr"/>
    </row>
    <row r="1833">
      <c r="A1833" t="inlineStr">
        <is>
          <t>FKEX01832</t>
        </is>
      </c>
      <c r="B1833" t="inlineStr">
        <is>
          <t>15 LL_Device</t>
        </is>
      </c>
      <c r="C1833" t="inlineStr">
        <is>
          <t>tblDeviceModel</t>
        </is>
      </c>
      <c r="D1833" t="n">
        <v>612</v>
      </c>
      <c r="E1833" t="inlineStr">
        <is>
          <t>MOD000609</t>
        </is>
      </c>
      <c r="F1833" t="inlineStr">
        <is>
          <t>DeviceFamilyID</t>
        </is>
      </c>
      <c r="G1833" t="inlineStr">
        <is>
          <t>DF-310</t>
        </is>
      </c>
      <c r="H1833" t="inlineStr">
        <is>
          <t>tblDeviceFamilyIDCrosswalk</t>
        </is>
      </c>
      <c r="I1833" t="inlineStr"/>
      <c r="J1833" t="inlineStr">
        <is>
          <t>tblDeviceModel</t>
        </is>
      </c>
      <c r="K1833" t="inlineStr">
        <is>
          <t>Exact ID</t>
        </is>
      </c>
      <c r="L1833" t="inlineStr">
        <is>
          <t>Crosswalk Pending</t>
        </is>
      </c>
      <c r="M1833" t="inlineStr">
        <is>
          <t>Open</t>
        </is>
      </c>
      <c r="N1833" t="inlineStr"/>
    </row>
    <row r="1834">
      <c r="A1834" t="inlineStr">
        <is>
          <t>FKEX01833</t>
        </is>
      </c>
      <c r="B1834" t="inlineStr">
        <is>
          <t>15 LL_Device</t>
        </is>
      </c>
      <c r="C1834" t="inlineStr">
        <is>
          <t>tblDeviceModel</t>
        </is>
      </c>
      <c r="D1834" t="n">
        <v>612</v>
      </c>
      <c r="E1834" t="inlineStr">
        <is>
          <t>MOD000609</t>
        </is>
      </c>
      <c r="F1834" t="inlineStr">
        <is>
          <t>DeviceTypeID</t>
        </is>
      </c>
      <c r="G1834" t="inlineStr">
        <is>
          <t>DT002</t>
        </is>
      </c>
      <c r="H1834" t="inlineStr">
        <is>
          <t>tblDeviceTypeIDCrosswalk</t>
        </is>
      </c>
      <c r="I1834" t="inlineStr"/>
      <c r="J1834" t="inlineStr">
        <is>
          <t>No Supported Match</t>
        </is>
      </c>
      <c r="K1834" t="inlineStr">
        <is>
          <t>None</t>
        </is>
      </c>
      <c r="L1834" t="inlineStr">
        <is>
          <t>Crosswalk Pending</t>
        </is>
      </c>
      <c r="M1834" t="inlineStr">
        <is>
          <t>Open</t>
        </is>
      </c>
      <c r="N1834" t="inlineStr"/>
    </row>
    <row r="1835">
      <c r="A1835" t="inlineStr">
        <is>
          <t>FKEX01834</t>
        </is>
      </c>
      <c r="B1835" t="inlineStr">
        <is>
          <t>15 LL_Device</t>
        </is>
      </c>
      <c r="C1835" t="inlineStr">
        <is>
          <t>tblDeviceModel</t>
        </is>
      </c>
      <c r="D1835" t="n">
        <v>613</v>
      </c>
      <c r="E1835" t="inlineStr">
        <is>
          <t>MOD000610</t>
        </is>
      </c>
      <c r="F1835" t="inlineStr">
        <is>
          <t>ManufacturerID</t>
        </is>
      </c>
      <c r="G1835" t="inlineStr">
        <is>
          <t>MFG032</t>
        </is>
      </c>
      <c r="H1835" t="inlineStr">
        <is>
          <t>tblManufacturerIDCrosswalk</t>
        </is>
      </c>
      <c r="I1835" t="inlineStr"/>
      <c r="J1835" t="inlineStr">
        <is>
          <t>No Supported Match</t>
        </is>
      </c>
      <c r="K1835" t="inlineStr">
        <is>
          <t>None</t>
        </is>
      </c>
      <c r="L1835" t="inlineStr">
        <is>
          <t>Crosswalk Pending</t>
        </is>
      </c>
      <c r="M1835" t="inlineStr">
        <is>
          <t>Open</t>
        </is>
      </c>
      <c r="N1835" t="inlineStr"/>
    </row>
    <row r="1836">
      <c r="A1836" t="inlineStr">
        <is>
          <t>FKEX01835</t>
        </is>
      </c>
      <c r="B1836" t="inlineStr">
        <is>
          <t>15 LL_Device</t>
        </is>
      </c>
      <c r="C1836" t="inlineStr">
        <is>
          <t>tblDeviceModel</t>
        </is>
      </c>
      <c r="D1836" t="n">
        <v>613</v>
      </c>
      <c r="E1836" t="inlineStr">
        <is>
          <t>MOD000610</t>
        </is>
      </c>
      <c r="F1836" t="inlineStr">
        <is>
          <t>DeviceFamilyID</t>
        </is>
      </c>
      <c r="G1836" t="inlineStr">
        <is>
          <t>DF-320</t>
        </is>
      </c>
      <c r="H1836" t="inlineStr">
        <is>
          <t>tblDeviceFamilyIDCrosswalk</t>
        </is>
      </c>
      <c r="I1836" t="inlineStr"/>
      <c r="J1836" t="inlineStr">
        <is>
          <t>tblDeviceModel</t>
        </is>
      </c>
      <c r="K1836" t="inlineStr">
        <is>
          <t>Exact ID</t>
        </is>
      </c>
      <c r="L1836" t="inlineStr">
        <is>
          <t>Crosswalk Pending</t>
        </is>
      </c>
      <c r="M1836" t="inlineStr">
        <is>
          <t>Open</t>
        </is>
      </c>
      <c r="N1836" t="inlineStr"/>
    </row>
    <row r="1837">
      <c r="A1837" t="inlineStr">
        <is>
          <t>FKEX01836</t>
        </is>
      </c>
      <c r="B1837" t="inlineStr">
        <is>
          <t>15 LL_Device</t>
        </is>
      </c>
      <c r="C1837" t="inlineStr">
        <is>
          <t>tblDeviceModel</t>
        </is>
      </c>
      <c r="D1837" t="n">
        <v>613</v>
      </c>
      <c r="E1837" t="inlineStr">
        <is>
          <t>MOD000610</t>
        </is>
      </c>
      <c r="F1837" t="inlineStr">
        <is>
          <t>DeviceTypeID</t>
        </is>
      </c>
      <c r="G1837" t="inlineStr">
        <is>
          <t>DT003</t>
        </is>
      </c>
      <c r="H1837" t="inlineStr">
        <is>
          <t>tblDeviceTypeIDCrosswalk</t>
        </is>
      </c>
      <c r="I1837" t="inlineStr"/>
      <c r="J1837" t="inlineStr">
        <is>
          <t>No Supported Match</t>
        </is>
      </c>
      <c r="K1837" t="inlineStr">
        <is>
          <t>None</t>
        </is>
      </c>
      <c r="L1837" t="inlineStr">
        <is>
          <t>Crosswalk Pending</t>
        </is>
      </c>
      <c r="M1837" t="inlineStr">
        <is>
          <t>Open</t>
        </is>
      </c>
      <c r="N1837" t="inlineStr"/>
    </row>
    <row r="1838">
      <c r="A1838" t="inlineStr">
        <is>
          <t>FKEX01837</t>
        </is>
      </c>
      <c r="B1838" t="inlineStr">
        <is>
          <t>15 LL_Device</t>
        </is>
      </c>
      <c r="C1838" t="inlineStr">
        <is>
          <t>tblDeviceModel</t>
        </is>
      </c>
      <c r="D1838" t="n">
        <v>614</v>
      </c>
      <c r="E1838" t="inlineStr">
        <is>
          <t>MOD000611</t>
        </is>
      </c>
      <c r="F1838" t="inlineStr">
        <is>
          <t>ManufacturerID</t>
        </is>
      </c>
      <c r="G1838" t="inlineStr">
        <is>
          <t>MFG033</t>
        </is>
      </c>
      <c r="H1838" t="inlineStr">
        <is>
          <t>tblManufacturerIDCrosswalk</t>
        </is>
      </c>
      <c r="I1838" t="inlineStr"/>
      <c r="J1838" t="inlineStr">
        <is>
          <t>No Supported Match</t>
        </is>
      </c>
      <c r="K1838" t="inlineStr">
        <is>
          <t>None</t>
        </is>
      </c>
      <c r="L1838" t="inlineStr">
        <is>
          <t>Crosswalk Pending</t>
        </is>
      </c>
      <c r="M1838" t="inlineStr">
        <is>
          <t>Open</t>
        </is>
      </c>
      <c r="N1838" t="inlineStr"/>
    </row>
    <row r="1839">
      <c r="A1839" t="inlineStr">
        <is>
          <t>FKEX01838</t>
        </is>
      </c>
      <c r="B1839" t="inlineStr">
        <is>
          <t>15 LL_Device</t>
        </is>
      </c>
      <c r="C1839" t="inlineStr">
        <is>
          <t>tblDeviceModel</t>
        </is>
      </c>
      <c r="D1839" t="n">
        <v>614</v>
      </c>
      <c r="E1839" t="inlineStr">
        <is>
          <t>MOD000611</t>
        </is>
      </c>
      <c r="F1839" t="inlineStr">
        <is>
          <t>DeviceFamilyID</t>
        </is>
      </c>
      <c r="G1839" t="inlineStr">
        <is>
          <t>DF-330</t>
        </is>
      </c>
      <c r="H1839" t="inlineStr">
        <is>
          <t>tblDeviceFamilyIDCrosswalk</t>
        </is>
      </c>
      <c r="I1839" t="inlineStr"/>
      <c r="J1839" t="inlineStr">
        <is>
          <t>tblDeviceModel</t>
        </is>
      </c>
      <c r="K1839" t="inlineStr">
        <is>
          <t>Exact ID</t>
        </is>
      </c>
      <c r="L1839" t="inlineStr">
        <is>
          <t>Crosswalk Pending</t>
        </is>
      </c>
      <c r="M1839" t="inlineStr">
        <is>
          <t>Open</t>
        </is>
      </c>
      <c r="N1839" t="inlineStr"/>
    </row>
    <row r="1840">
      <c r="A1840" t="inlineStr">
        <is>
          <t>FKEX01839</t>
        </is>
      </c>
      <c r="B1840" t="inlineStr">
        <is>
          <t>15 LL_Device</t>
        </is>
      </c>
      <c r="C1840" t="inlineStr">
        <is>
          <t>tblDeviceModel</t>
        </is>
      </c>
      <c r="D1840" t="n">
        <v>614</v>
      </c>
      <c r="E1840" t="inlineStr">
        <is>
          <t>MOD000611</t>
        </is>
      </c>
      <c r="F1840" t="inlineStr">
        <is>
          <t>DeviceTypeID</t>
        </is>
      </c>
      <c r="G1840" t="inlineStr">
        <is>
          <t>DT003</t>
        </is>
      </c>
      <c r="H1840" t="inlineStr">
        <is>
          <t>tblDeviceTypeIDCrosswalk</t>
        </is>
      </c>
      <c r="I1840" t="inlineStr"/>
      <c r="J1840" t="inlineStr">
        <is>
          <t>No Supported Match</t>
        </is>
      </c>
      <c r="K1840" t="inlineStr">
        <is>
          <t>None</t>
        </is>
      </c>
      <c r="L1840" t="inlineStr">
        <is>
          <t>Crosswalk Pending</t>
        </is>
      </c>
      <c r="M1840" t="inlineStr">
        <is>
          <t>Open</t>
        </is>
      </c>
      <c r="N1840" t="inlineStr"/>
    </row>
    <row r="1841">
      <c r="A1841" t="inlineStr">
        <is>
          <t>FKEX01840</t>
        </is>
      </c>
      <c r="B1841" t="inlineStr">
        <is>
          <t>15 LL_Device</t>
        </is>
      </c>
      <c r="C1841" t="inlineStr">
        <is>
          <t>tblDeviceModel</t>
        </is>
      </c>
      <c r="D1841" t="n">
        <v>615</v>
      </c>
      <c r="E1841" t="inlineStr">
        <is>
          <t>MOD000612</t>
        </is>
      </c>
      <c r="F1841" t="inlineStr">
        <is>
          <t>ManufacturerID</t>
        </is>
      </c>
      <c r="G1841" t="inlineStr">
        <is>
          <t>MFG034</t>
        </is>
      </c>
      <c r="H1841" t="inlineStr">
        <is>
          <t>tblManufacturerIDCrosswalk</t>
        </is>
      </c>
      <c r="I1841" t="inlineStr"/>
      <c r="J1841" t="inlineStr">
        <is>
          <t>No Supported Match</t>
        </is>
      </c>
      <c r="K1841" t="inlineStr">
        <is>
          <t>None</t>
        </is>
      </c>
      <c r="L1841" t="inlineStr">
        <is>
          <t>Crosswalk Pending</t>
        </is>
      </c>
      <c r="M1841" t="inlineStr">
        <is>
          <t>Open</t>
        </is>
      </c>
      <c r="N1841" t="inlineStr"/>
    </row>
    <row r="1842">
      <c r="A1842" t="inlineStr">
        <is>
          <t>FKEX01841</t>
        </is>
      </c>
      <c r="B1842" t="inlineStr">
        <is>
          <t>15 LL_Device</t>
        </is>
      </c>
      <c r="C1842" t="inlineStr">
        <is>
          <t>tblDeviceModel</t>
        </is>
      </c>
      <c r="D1842" t="n">
        <v>615</v>
      </c>
      <c r="E1842" t="inlineStr">
        <is>
          <t>MOD000612</t>
        </is>
      </c>
      <c r="F1842" t="inlineStr">
        <is>
          <t>DeviceFamilyID</t>
        </is>
      </c>
      <c r="G1842" t="inlineStr">
        <is>
          <t>DF-340</t>
        </is>
      </c>
      <c r="H1842" t="inlineStr">
        <is>
          <t>tblDeviceFamilyIDCrosswalk</t>
        </is>
      </c>
      <c r="I1842" t="inlineStr"/>
      <c r="J1842" t="inlineStr">
        <is>
          <t>tblDeviceModel</t>
        </is>
      </c>
      <c r="K1842" t="inlineStr">
        <is>
          <t>Exact ID</t>
        </is>
      </c>
      <c r="L1842" t="inlineStr">
        <is>
          <t>Crosswalk Pending</t>
        </is>
      </c>
      <c r="M1842" t="inlineStr">
        <is>
          <t>Open</t>
        </is>
      </c>
      <c r="N1842" t="inlineStr"/>
    </row>
    <row r="1843">
      <c r="A1843" t="inlineStr">
        <is>
          <t>FKEX01842</t>
        </is>
      </c>
      <c r="B1843" t="inlineStr">
        <is>
          <t>15 LL_Device</t>
        </is>
      </c>
      <c r="C1843" t="inlineStr">
        <is>
          <t>tblDeviceModel</t>
        </is>
      </c>
      <c r="D1843" t="n">
        <v>615</v>
      </c>
      <c r="E1843" t="inlineStr">
        <is>
          <t>MOD000612</t>
        </is>
      </c>
      <c r="F1843" t="inlineStr">
        <is>
          <t>DeviceTypeID</t>
        </is>
      </c>
      <c r="G1843" t="inlineStr">
        <is>
          <t>DT003</t>
        </is>
      </c>
      <c r="H1843" t="inlineStr">
        <is>
          <t>tblDeviceTypeIDCrosswalk</t>
        </is>
      </c>
      <c r="I1843" t="inlineStr"/>
      <c r="J1843" t="inlineStr">
        <is>
          <t>No Supported Match</t>
        </is>
      </c>
      <c r="K1843" t="inlineStr">
        <is>
          <t>None</t>
        </is>
      </c>
      <c r="L1843" t="inlineStr">
        <is>
          <t>Crosswalk Pending</t>
        </is>
      </c>
      <c r="M1843" t="inlineStr">
        <is>
          <t>Open</t>
        </is>
      </c>
      <c r="N1843" t="inlineStr"/>
    </row>
    <row r="1844">
      <c r="A1844" t="inlineStr">
        <is>
          <t>FKEX01843</t>
        </is>
      </c>
      <c r="B1844" t="inlineStr">
        <is>
          <t>15 LL_Device</t>
        </is>
      </c>
      <c r="C1844" t="inlineStr">
        <is>
          <t>tblDeviceModel</t>
        </is>
      </c>
      <c r="D1844" t="n">
        <v>616</v>
      </c>
      <c r="E1844" t="inlineStr">
        <is>
          <t>MOD000613</t>
        </is>
      </c>
      <c r="F1844" t="inlineStr">
        <is>
          <t>ManufacturerID</t>
        </is>
      </c>
      <c r="G1844" t="inlineStr">
        <is>
          <t>MFG032</t>
        </is>
      </c>
      <c r="H1844" t="inlineStr">
        <is>
          <t>tblManufacturerIDCrosswalk</t>
        </is>
      </c>
      <c r="I1844" t="inlineStr"/>
      <c r="J1844" t="inlineStr">
        <is>
          <t>No Supported Match</t>
        </is>
      </c>
      <c r="K1844" t="inlineStr">
        <is>
          <t>None</t>
        </is>
      </c>
      <c r="L1844" t="inlineStr">
        <is>
          <t>Crosswalk Pending</t>
        </is>
      </c>
      <c r="M1844" t="inlineStr">
        <is>
          <t>Open</t>
        </is>
      </c>
      <c r="N1844" t="inlineStr"/>
    </row>
    <row r="1845">
      <c r="A1845" t="inlineStr">
        <is>
          <t>FKEX01844</t>
        </is>
      </c>
      <c r="B1845" t="inlineStr">
        <is>
          <t>15 LL_Device</t>
        </is>
      </c>
      <c r="C1845" t="inlineStr">
        <is>
          <t>tblDeviceModel</t>
        </is>
      </c>
      <c r="D1845" t="n">
        <v>616</v>
      </c>
      <c r="E1845" t="inlineStr">
        <is>
          <t>MOD000613</t>
        </is>
      </c>
      <c r="F1845" t="inlineStr">
        <is>
          <t>DeviceFamilyID</t>
        </is>
      </c>
      <c r="G1845" t="inlineStr">
        <is>
          <t>DF-321</t>
        </is>
      </c>
      <c r="H1845" t="inlineStr">
        <is>
          <t>tblDeviceFamilyIDCrosswalk</t>
        </is>
      </c>
      <c r="I1845" t="inlineStr"/>
      <c r="J1845" t="inlineStr">
        <is>
          <t>tblDeviceModel</t>
        </is>
      </c>
      <c r="K1845" t="inlineStr">
        <is>
          <t>Exact ID</t>
        </is>
      </c>
      <c r="L1845" t="inlineStr">
        <is>
          <t>Crosswalk Pending</t>
        </is>
      </c>
      <c r="M1845" t="inlineStr">
        <is>
          <t>Open</t>
        </is>
      </c>
      <c r="N1845" t="inlineStr"/>
    </row>
    <row r="1846">
      <c r="A1846" t="inlineStr">
        <is>
          <t>FKEX01845</t>
        </is>
      </c>
      <c r="B1846" t="inlineStr">
        <is>
          <t>15 LL_Device</t>
        </is>
      </c>
      <c r="C1846" t="inlineStr">
        <is>
          <t>tblDeviceModel</t>
        </is>
      </c>
      <c r="D1846" t="n">
        <v>616</v>
      </c>
      <c r="E1846" t="inlineStr">
        <is>
          <t>MOD000613</t>
        </is>
      </c>
      <c r="F1846" t="inlineStr">
        <is>
          <t>DeviceTypeID</t>
        </is>
      </c>
      <c r="G1846" t="inlineStr">
        <is>
          <t>DT003</t>
        </is>
      </c>
      <c r="H1846" t="inlineStr">
        <is>
          <t>tblDeviceTypeIDCrosswalk</t>
        </is>
      </c>
      <c r="I1846" t="inlineStr"/>
      <c r="J1846" t="inlineStr">
        <is>
          <t>No Supported Match</t>
        </is>
      </c>
      <c r="K1846" t="inlineStr">
        <is>
          <t>None</t>
        </is>
      </c>
      <c r="L1846" t="inlineStr">
        <is>
          <t>Crosswalk Pending</t>
        </is>
      </c>
      <c r="M1846" t="inlineStr">
        <is>
          <t>Open</t>
        </is>
      </c>
      <c r="N1846" t="inlineStr"/>
    </row>
    <row r="1847">
      <c r="A1847" t="inlineStr">
        <is>
          <t>FKEX01846</t>
        </is>
      </c>
      <c r="B1847" t="inlineStr">
        <is>
          <t>15 LL_Device</t>
        </is>
      </c>
      <c r="C1847" t="inlineStr">
        <is>
          <t>tblDeviceModel</t>
        </is>
      </c>
      <c r="D1847" t="n">
        <v>617</v>
      </c>
      <c r="E1847" t="inlineStr">
        <is>
          <t>MOD000614</t>
        </is>
      </c>
      <c r="F1847" t="inlineStr">
        <is>
          <t>ManufacturerID</t>
        </is>
      </c>
      <c r="G1847" t="inlineStr">
        <is>
          <t>MFG032</t>
        </is>
      </c>
      <c r="H1847" t="inlineStr">
        <is>
          <t>tblManufacturerIDCrosswalk</t>
        </is>
      </c>
      <c r="I1847" t="inlineStr"/>
      <c r="J1847" t="inlineStr">
        <is>
          <t>No Supported Match</t>
        </is>
      </c>
      <c r="K1847" t="inlineStr">
        <is>
          <t>None</t>
        </is>
      </c>
      <c r="L1847" t="inlineStr">
        <is>
          <t>Crosswalk Pending</t>
        </is>
      </c>
      <c r="M1847" t="inlineStr">
        <is>
          <t>Open</t>
        </is>
      </c>
      <c r="N1847" t="inlineStr"/>
    </row>
    <row r="1848">
      <c r="A1848" t="inlineStr">
        <is>
          <t>FKEX01847</t>
        </is>
      </c>
      <c r="B1848" t="inlineStr">
        <is>
          <t>15 LL_Device</t>
        </is>
      </c>
      <c r="C1848" t="inlineStr">
        <is>
          <t>tblDeviceModel</t>
        </is>
      </c>
      <c r="D1848" t="n">
        <v>617</v>
      </c>
      <c r="E1848" t="inlineStr">
        <is>
          <t>MOD000614</t>
        </is>
      </c>
      <c r="F1848" t="inlineStr">
        <is>
          <t>DeviceFamilyID</t>
        </is>
      </c>
      <c r="G1848" t="inlineStr">
        <is>
          <t>DF-322</t>
        </is>
      </c>
      <c r="H1848" t="inlineStr">
        <is>
          <t>tblDeviceFamilyIDCrosswalk</t>
        </is>
      </c>
      <c r="I1848" t="inlineStr"/>
      <c r="J1848" t="inlineStr">
        <is>
          <t>tblDeviceModel</t>
        </is>
      </c>
      <c r="K1848" t="inlineStr">
        <is>
          <t>Exact ID</t>
        </is>
      </c>
      <c r="L1848" t="inlineStr">
        <is>
          <t>Crosswalk Pending</t>
        </is>
      </c>
      <c r="M1848" t="inlineStr">
        <is>
          <t>Open</t>
        </is>
      </c>
      <c r="N1848" t="inlineStr"/>
    </row>
    <row r="1849">
      <c r="A1849" t="inlineStr">
        <is>
          <t>FKEX01848</t>
        </is>
      </c>
      <c r="B1849" t="inlineStr">
        <is>
          <t>15 LL_Device</t>
        </is>
      </c>
      <c r="C1849" t="inlineStr">
        <is>
          <t>tblDeviceModel</t>
        </is>
      </c>
      <c r="D1849" t="n">
        <v>617</v>
      </c>
      <c r="E1849" t="inlineStr">
        <is>
          <t>MOD000614</t>
        </is>
      </c>
      <c r="F1849" t="inlineStr">
        <is>
          <t>DeviceTypeID</t>
        </is>
      </c>
      <c r="G1849" t="inlineStr">
        <is>
          <t>DT003</t>
        </is>
      </c>
      <c r="H1849" t="inlineStr">
        <is>
          <t>tblDeviceTypeIDCrosswalk</t>
        </is>
      </c>
      <c r="I1849" t="inlineStr"/>
      <c r="J1849" t="inlineStr">
        <is>
          <t>No Supported Match</t>
        </is>
      </c>
      <c r="K1849" t="inlineStr">
        <is>
          <t>None</t>
        </is>
      </c>
      <c r="L1849" t="inlineStr">
        <is>
          <t>Crosswalk Pending</t>
        </is>
      </c>
      <c r="M1849" t="inlineStr">
        <is>
          <t>Open</t>
        </is>
      </c>
      <c r="N1849" t="inlineStr"/>
    </row>
    <row r="1850">
      <c r="A1850" t="inlineStr">
        <is>
          <t>FKEX01849</t>
        </is>
      </c>
      <c r="B1850" t="inlineStr">
        <is>
          <t>15 LL_Device</t>
        </is>
      </c>
      <c r="C1850" t="inlineStr">
        <is>
          <t>tblDeviceModel</t>
        </is>
      </c>
      <c r="D1850" t="n">
        <v>618</v>
      </c>
      <c r="E1850" t="inlineStr">
        <is>
          <t>MOD000615</t>
        </is>
      </c>
      <c r="F1850" t="inlineStr">
        <is>
          <t>ManufacturerID</t>
        </is>
      </c>
      <c r="G1850" t="inlineStr">
        <is>
          <t>MFG033</t>
        </is>
      </c>
      <c r="H1850" t="inlineStr">
        <is>
          <t>tblManufacturerIDCrosswalk</t>
        </is>
      </c>
      <c r="I1850" t="inlineStr"/>
      <c r="J1850" t="inlineStr">
        <is>
          <t>No Supported Match</t>
        </is>
      </c>
      <c r="K1850" t="inlineStr">
        <is>
          <t>None</t>
        </is>
      </c>
      <c r="L1850" t="inlineStr">
        <is>
          <t>Crosswalk Pending</t>
        </is>
      </c>
      <c r="M1850" t="inlineStr">
        <is>
          <t>Open</t>
        </is>
      </c>
      <c r="N1850" t="inlineStr"/>
    </row>
    <row r="1851">
      <c r="A1851" t="inlineStr">
        <is>
          <t>FKEX01850</t>
        </is>
      </c>
      <c r="B1851" t="inlineStr">
        <is>
          <t>15 LL_Device</t>
        </is>
      </c>
      <c r="C1851" t="inlineStr">
        <is>
          <t>tblDeviceModel</t>
        </is>
      </c>
      <c r="D1851" t="n">
        <v>618</v>
      </c>
      <c r="E1851" t="inlineStr">
        <is>
          <t>MOD000615</t>
        </is>
      </c>
      <c r="F1851" t="inlineStr">
        <is>
          <t>DeviceFamilyID</t>
        </is>
      </c>
      <c r="G1851" t="inlineStr">
        <is>
          <t>DF-331</t>
        </is>
      </c>
      <c r="H1851" t="inlineStr">
        <is>
          <t>tblDeviceFamilyIDCrosswalk</t>
        </is>
      </c>
      <c r="I1851" t="inlineStr"/>
      <c r="J1851" t="inlineStr">
        <is>
          <t>tblDeviceModel</t>
        </is>
      </c>
      <c r="K1851" t="inlineStr">
        <is>
          <t>Exact ID</t>
        </is>
      </c>
      <c r="L1851" t="inlineStr">
        <is>
          <t>Crosswalk Pending</t>
        </is>
      </c>
      <c r="M1851" t="inlineStr">
        <is>
          <t>Open</t>
        </is>
      </c>
      <c r="N1851" t="inlineStr"/>
    </row>
    <row r="1852">
      <c r="A1852" t="inlineStr">
        <is>
          <t>FKEX01851</t>
        </is>
      </c>
      <c r="B1852" t="inlineStr">
        <is>
          <t>15 LL_Device</t>
        </is>
      </c>
      <c r="C1852" t="inlineStr">
        <is>
          <t>tblDeviceModel</t>
        </is>
      </c>
      <c r="D1852" t="n">
        <v>618</v>
      </c>
      <c r="E1852" t="inlineStr">
        <is>
          <t>MOD000615</t>
        </is>
      </c>
      <c r="F1852" t="inlineStr">
        <is>
          <t>DeviceTypeID</t>
        </is>
      </c>
      <c r="G1852" t="inlineStr">
        <is>
          <t>DT003</t>
        </is>
      </c>
      <c r="H1852" t="inlineStr">
        <is>
          <t>tblDeviceTypeIDCrosswalk</t>
        </is>
      </c>
      <c r="I1852" t="inlineStr"/>
      <c r="J1852" t="inlineStr">
        <is>
          <t>No Supported Match</t>
        </is>
      </c>
      <c r="K1852" t="inlineStr">
        <is>
          <t>None</t>
        </is>
      </c>
      <c r="L1852" t="inlineStr">
        <is>
          <t>Crosswalk Pending</t>
        </is>
      </c>
      <c r="M1852" t="inlineStr">
        <is>
          <t>Open</t>
        </is>
      </c>
      <c r="N1852" t="inlineStr"/>
    </row>
    <row r="1853">
      <c r="A1853" t="inlineStr">
        <is>
          <t>FKEX01852</t>
        </is>
      </c>
      <c r="B1853" t="inlineStr">
        <is>
          <t>15 LL_Device</t>
        </is>
      </c>
      <c r="C1853" t="inlineStr">
        <is>
          <t>tblDeviceModel</t>
        </is>
      </c>
      <c r="D1853" t="n">
        <v>619</v>
      </c>
      <c r="E1853" t="inlineStr">
        <is>
          <t>MOD000616</t>
        </is>
      </c>
      <c r="F1853" t="inlineStr">
        <is>
          <t>ManufacturerID</t>
        </is>
      </c>
      <c r="G1853" t="inlineStr">
        <is>
          <t>MFG033</t>
        </is>
      </c>
      <c r="H1853" t="inlineStr">
        <is>
          <t>tblManufacturerIDCrosswalk</t>
        </is>
      </c>
      <c r="I1853" t="inlineStr"/>
      <c r="J1853" t="inlineStr">
        <is>
          <t>No Supported Match</t>
        </is>
      </c>
      <c r="K1853" t="inlineStr">
        <is>
          <t>None</t>
        </is>
      </c>
      <c r="L1853" t="inlineStr">
        <is>
          <t>Crosswalk Pending</t>
        </is>
      </c>
      <c r="M1853" t="inlineStr">
        <is>
          <t>Open</t>
        </is>
      </c>
      <c r="N1853" t="inlineStr"/>
    </row>
    <row r="1854">
      <c r="A1854" t="inlineStr">
        <is>
          <t>FKEX01853</t>
        </is>
      </c>
      <c r="B1854" t="inlineStr">
        <is>
          <t>15 LL_Device</t>
        </is>
      </c>
      <c r="C1854" t="inlineStr">
        <is>
          <t>tblDeviceModel</t>
        </is>
      </c>
      <c r="D1854" t="n">
        <v>619</v>
      </c>
      <c r="E1854" t="inlineStr">
        <is>
          <t>MOD000616</t>
        </is>
      </c>
      <c r="F1854" t="inlineStr">
        <is>
          <t>DeviceFamilyID</t>
        </is>
      </c>
      <c r="G1854" t="inlineStr">
        <is>
          <t>DF-332</t>
        </is>
      </c>
      <c r="H1854" t="inlineStr">
        <is>
          <t>tblDeviceFamilyIDCrosswalk</t>
        </is>
      </c>
      <c r="I1854" t="inlineStr"/>
      <c r="J1854" t="inlineStr">
        <is>
          <t>tblDeviceModel</t>
        </is>
      </c>
      <c r="K1854" t="inlineStr">
        <is>
          <t>Exact ID</t>
        </is>
      </c>
      <c r="L1854" t="inlineStr">
        <is>
          <t>Crosswalk Pending</t>
        </is>
      </c>
      <c r="M1854" t="inlineStr">
        <is>
          <t>Open</t>
        </is>
      </c>
      <c r="N1854" t="inlineStr"/>
    </row>
    <row r="1855">
      <c r="A1855" t="inlineStr">
        <is>
          <t>FKEX01854</t>
        </is>
      </c>
      <c r="B1855" t="inlineStr">
        <is>
          <t>15 LL_Device</t>
        </is>
      </c>
      <c r="C1855" t="inlineStr">
        <is>
          <t>tblDeviceModel</t>
        </is>
      </c>
      <c r="D1855" t="n">
        <v>619</v>
      </c>
      <c r="E1855" t="inlineStr">
        <is>
          <t>MOD000616</t>
        </is>
      </c>
      <c r="F1855" t="inlineStr">
        <is>
          <t>DeviceTypeID</t>
        </is>
      </c>
      <c r="G1855" t="inlineStr">
        <is>
          <t>DT003</t>
        </is>
      </c>
      <c r="H1855" t="inlineStr">
        <is>
          <t>tblDeviceTypeIDCrosswalk</t>
        </is>
      </c>
      <c r="I1855" t="inlineStr"/>
      <c r="J1855" t="inlineStr">
        <is>
          <t>No Supported Match</t>
        </is>
      </c>
      <c r="K1855" t="inlineStr">
        <is>
          <t>None</t>
        </is>
      </c>
      <c r="L1855" t="inlineStr">
        <is>
          <t>Crosswalk Pending</t>
        </is>
      </c>
      <c r="M1855" t="inlineStr">
        <is>
          <t>Open</t>
        </is>
      </c>
      <c r="N1855" t="inlineStr"/>
    </row>
    <row r="1856">
      <c r="A1856" t="inlineStr">
        <is>
          <t>FKEX01855</t>
        </is>
      </c>
      <c r="B1856" t="inlineStr">
        <is>
          <t>15 LL_Device</t>
        </is>
      </c>
      <c r="C1856" t="inlineStr">
        <is>
          <t>tblDeviceModel</t>
        </is>
      </c>
      <c r="D1856" t="n">
        <v>620</v>
      </c>
      <c r="E1856" t="inlineStr">
        <is>
          <t>MOD000617</t>
        </is>
      </c>
      <c r="F1856" t="inlineStr">
        <is>
          <t>ManufacturerID</t>
        </is>
      </c>
      <c r="G1856" t="inlineStr">
        <is>
          <t>MFG034</t>
        </is>
      </c>
      <c r="H1856" t="inlineStr">
        <is>
          <t>tblManufacturerIDCrosswalk</t>
        </is>
      </c>
      <c r="I1856" t="inlineStr"/>
      <c r="J1856" t="inlineStr">
        <is>
          <t>No Supported Match</t>
        </is>
      </c>
      <c r="K1856" t="inlineStr">
        <is>
          <t>None</t>
        </is>
      </c>
      <c r="L1856" t="inlineStr">
        <is>
          <t>Crosswalk Pending</t>
        </is>
      </c>
      <c r="M1856" t="inlineStr">
        <is>
          <t>Open</t>
        </is>
      </c>
      <c r="N1856" t="inlineStr"/>
    </row>
    <row r="1857">
      <c r="A1857" t="inlineStr">
        <is>
          <t>FKEX01856</t>
        </is>
      </c>
      <c r="B1857" t="inlineStr">
        <is>
          <t>15 LL_Device</t>
        </is>
      </c>
      <c r="C1857" t="inlineStr">
        <is>
          <t>tblDeviceModel</t>
        </is>
      </c>
      <c r="D1857" t="n">
        <v>620</v>
      </c>
      <c r="E1857" t="inlineStr">
        <is>
          <t>MOD000617</t>
        </is>
      </c>
      <c r="F1857" t="inlineStr">
        <is>
          <t>DeviceFamilyID</t>
        </is>
      </c>
      <c r="G1857" t="inlineStr">
        <is>
          <t>DF-341</t>
        </is>
      </c>
      <c r="H1857" t="inlineStr">
        <is>
          <t>tblDeviceFamilyIDCrosswalk</t>
        </is>
      </c>
      <c r="I1857" t="inlineStr"/>
      <c r="J1857" t="inlineStr">
        <is>
          <t>tblDeviceModel</t>
        </is>
      </c>
      <c r="K1857" t="inlineStr">
        <is>
          <t>Exact ID</t>
        </is>
      </c>
      <c r="L1857" t="inlineStr">
        <is>
          <t>Crosswalk Pending</t>
        </is>
      </c>
      <c r="M1857" t="inlineStr">
        <is>
          <t>Open</t>
        </is>
      </c>
      <c r="N1857" t="inlineStr"/>
    </row>
    <row r="1858">
      <c r="A1858" t="inlineStr">
        <is>
          <t>FKEX01857</t>
        </is>
      </c>
      <c r="B1858" t="inlineStr">
        <is>
          <t>15 LL_Device</t>
        </is>
      </c>
      <c r="C1858" t="inlineStr">
        <is>
          <t>tblDeviceModel</t>
        </is>
      </c>
      <c r="D1858" t="n">
        <v>620</v>
      </c>
      <c r="E1858" t="inlineStr">
        <is>
          <t>MOD000617</t>
        </is>
      </c>
      <c r="F1858" t="inlineStr">
        <is>
          <t>DeviceTypeID</t>
        </is>
      </c>
      <c r="G1858" t="inlineStr">
        <is>
          <t>DT003</t>
        </is>
      </c>
      <c r="H1858" t="inlineStr">
        <is>
          <t>tblDeviceTypeIDCrosswalk</t>
        </is>
      </c>
      <c r="I1858" t="inlineStr"/>
      <c r="J1858" t="inlineStr">
        <is>
          <t>No Supported Match</t>
        </is>
      </c>
      <c r="K1858" t="inlineStr">
        <is>
          <t>None</t>
        </is>
      </c>
      <c r="L1858" t="inlineStr">
        <is>
          <t>Crosswalk Pending</t>
        </is>
      </c>
      <c r="M1858" t="inlineStr">
        <is>
          <t>Open</t>
        </is>
      </c>
      <c r="N1858" t="inlineStr"/>
    </row>
    <row r="1859">
      <c r="A1859" t="inlineStr">
        <is>
          <t>FKEX01858</t>
        </is>
      </c>
      <c r="B1859" t="inlineStr">
        <is>
          <t>15 LL_Device</t>
        </is>
      </c>
      <c r="C1859" t="inlineStr">
        <is>
          <t>tblDeviceModel</t>
        </is>
      </c>
      <c r="D1859" t="n">
        <v>621</v>
      </c>
      <c r="E1859" t="inlineStr">
        <is>
          <t>MOD000618</t>
        </is>
      </c>
      <c r="F1859" t="inlineStr">
        <is>
          <t>ManufacturerID</t>
        </is>
      </c>
      <c r="G1859" t="inlineStr">
        <is>
          <t>MFG035</t>
        </is>
      </c>
      <c r="H1859" t="inlineStr">
        <is>
          <t>tblManufacturerIDCrosswalk</t>
        </is>
      </c>
      <c r="I1859" t="inlineStr"/>
      <c r="J1859" t="inlineStr">
        <is>
          <t>No Supported Match</t>
        </is>
      </c>
      <c r="K1859" t="inlineStr">
        <is>
          <t>None</t>
        </is>
      </c>
      <c r="L1859" t="inlineStr">
        <is>
          <t>Crosswalk Pending</t>
        </is>
      </c>
      <c r="M1859" t="inlineStr">
        <is>
          <t>Open</t>
        </is>
      </c>
      <c r="N1859" t="inlineStr"/>
    </row>
    <row r="1860">
      <c r="A1860" t="inlineStr">
        <is>
          <t>FKEX01859</t>
        </is>
      </c>
      <c r="B1860" t="inlineStr">
        <is>
          <t>15 LL_Device</t>
        </is>
      </c>
      <c r="C1860" t="inlineStr">
        <is>
          <t>tblDeviceModel</t>
        </is>
      </c>
      <c r="D1860" t="n">
        <v>621</v>
      </c>
      <c r="E1860" t="inlineStr">
        <is>
          <t>MOD000618</t>
        </is>
      </c>
      <c r="F1860" t="inlineStr">
        <is>
          <t>DeviceFamilyID</t>
        </is>
      </c>
      <c r="G1860" t="inlineStr">
        <is>
          <t>DF-350</t>
        </is>
      </c>
      <c r="H1860" t="inlineStr">
        <is>
          <t>tblDeviceFamilyIDCrosswalk</t>
        </is>
      </c>
      <c r="I1860" t="inlineStr"/>
      <c r="J1860" t="inlineStr">
        <is>
          <t>tblDeviceModel</t>
        </is>
      </c>
      <c r="K1860" t="inlineStr">
        <is>
          <t>Exact ID</t>
        </is>
      </c>
      <c r="L1860" t="inlineStr">
        <is>
          <t>Crosswalk Pending</t>
        </is>
      </c>
      <c r="M1860" t="inlineStr">
        <is>
          <t>Open</t>
        </is>
      </c>
      <c r="N1860" t="inlineStr"/>
    </row>
    <row r="1861">
      <c r="A1861" t="inlineStr">
        <is>
          <t>FKEX01860</t>
        </is>
      </c>
      <c r="B1861" t="inlineStr">
        <is>
          <t>15 LL_Device</t>
        </is>
      </c>
      <c r="C1861" t="inlineStr">
        <is>
          <t>tblDeviceModel</t>
        </is>
      </c>
      <c r="D1861" t="n">
        <v>621</v>
      </c>
      <c r="E1861" t="inlineStr">
        <is>
          <t>MOD000618</t>
        </is>
      </c>
      <c r="F1861" t="inlineStr">
        <is>
          <t>DeviceTypeID</t>
        </is>
      </c>
      <c r="G1861" t="inlineStr">
        <is>
          <t>DT003</t>
        </is>
      </c>
      <c r="H1861" t="inlineStr">
        <is>
          <t>tblDeviceTypeIDCrosswalk</t>
        </is>
      </c>
      <c r="I1861" t="inlineStr"/>
      <c r="J1861" t="inlineStr">
        <is>
          <t>No Supported Match</t>
        </is>
      </c>
      <c r="K1861" t="inlineStr">
        <is>
          <t>None</t>
        </is>
      </c>
      <c r="L1861" t="inlineStr">
        <is>
          <t>Crosswalk Pending</t>
        </is>
      </c>
      <c r="M1861" t="inlineStr">
        <is>
          <t>Open</t>
        </is>
      </c>
      <c r="N1861" t="inlineStr"/>
    </row>
    <row r="1862">
      <c r="A1862" t="inlineStr">
        <is>
          <t>FKEX01861</t>
        </is>
      </c>
      <c r="B1862" t="inlineStr">
        <is>
          <t>15 LL_Device</t>
        </is>
      </c>
      <c r="C1862" t="inlineStr">
        <is>
          <t>tblDeviceModel</t>
        </is>
      </c>
      <c r="D1862" t="n">
        <v>622</v>
      </c>
      <c r="E1862" t="inlineStr">
        <is>
          <t>MOD000619</t>
        </is>
      </c>
      <c r="F1862" t="inlineStr">
        <is>
          <t>ManufacturerID</t>
        </is>
      </c>
      <c r="G1862" t="inlineStr">
        <is>
          <t>MFG036</t>
        </is>
      </c>
      <c r="H1862" t="inlineStr">
        <is>
          <t>tblManufacturerIDCrosswalk</t>
        </is>
      </c>
      <c r="I1862" t="inlineStr"/>
      <c r="J1862" t="inlineStr">
        <is>
          <t>No Supported Match</t>
        </is>
      </c>
      <c r="K1862" t="inlineStr">
        <is>
          <t>None</t>
        </is>
      </c>
      <c r="L1862" t="inlineStr">
        <is>
          <t>Crosswalk Pending</t>
        </is>
      </c>
      <c r="M1862" t="inlineStr">
        <is>
          <t>Open</t>
        </is>
      </c>
      <c r="N1862" t="inlineStr"/>
    </row>
    <row r="1863">
      <c r="A1863" t="inlineStr">
        <is>
          <t>FKEX01862</t>
        </is>
      </c>
      <c r="B1863" t="inlineStr">
        <is>
          <t>15 LL_Device</t>
        </is>
      </c>
      <c r="C1863" t="inlineStr">
        <is>
          <t>tblDeviceModel</t>
        </is>
      </c>
      <c r="D1863" t="n">
        <v>622</v>
      </c>
      <c r="E1863" t="inlineStr">
        <is>
          <t>MOD000619</t>
        </is>
      </c>
      <c r="F1863" t="inlineStr">
        <is>
          <t>DeviceFamilyID</t>
        </is>
      </c>
      <c r="G1863" t="inlineStr">
        <is>
          <t>DF-360</t>
        </is>
      </c>
      <c r="H1863" t="inlineStr">
        <is>
          <t>tblDeviceFamilyIDCrosswalk</t>
        </is>
      </c>
      <c r="I1863" t="inlineStr"/>
      <c r="J1863" t="inlineStr">
        <is>
          <t>tblDeviceModel</t>
        </is>
      </c>
      <c r="K1863" t="inlineStr">
        <is>
          <t>Exact ID</t>
        </is>
      </c>
      <c r="L1863" t="inlineStr">
        <is>
          <t>Crosswalk Pending</t>
        </is>
      </c>
      <c r="M1863" t="inlineStr">
        <is>
          <t>Open</t>
        </is>
      </c>
      <c r="N1863" t="inlineStr"/>
    </row>
    <row r="1864">
      <c r="A1864" t="inlineStr">
        <is>
          <t>FKEX01863</t>
        </is>
      </c>
      <c r="B1864" t="inlineStr">
        <is>
          <t>15 LL_Device</t>
        </is>
      </c>
      <c r="C1864" t="inlineStr">
        <is>
          <t>tblDeviceModel</t>
        </is>
      </c>
      <c r="D1864" t="n">
        <v>622</v>
      </c>
      <c r="E1864" t="inlineStr">
        <is>
          <t>MOD000619</t>
        </is>
      </c>
      <c r="F1864" t="inlineStr">
        <is>
          <t>DeviceTypeID</t>
        </is>
      </c>
      <c r="G1864" t="inlineStr">
        <is>
          <t>DT003</t>
        </is>
      </c>
      <c r="H1864" t="inlineStr">
        <is>
          <t>tblDeviceTypeIDCrosswalk</t>
        </is>
      </c>
      <c r="I1864" t="inlineStr"/>
      <c r="J1864" t="inlineStr">
        <is>
          <t>No Supported Match</t>
        </is>
      </c>
      <c r="K1864" t="inlineStr">
        <is>
          <t>None</t>
        </is>
      </c>
      <c r="L1864" t="inlineStr">
        <is>
          <t>Crosswalk Pending</t>
        </is>
      </c>
      <c r="M1864" t="inlineStr">
        <is>
          <t>Open</t>
        </is>
      </c>
      <c r="N1864" t="inlineStr"/>
    </row>
    <row r="1865">
      <c r="A1865" t="inlineStr">
        <is>
          <t>FKEX01864</t>
        </is>
      </c>
      <c r="B1865" t="inlineStr">
        <is>
          <t>15 LL_Device</t>
        </is>
      </c>
      <c r="C1865" t="inlineStr">
        <is>
          <t>tblDeviceModel</t>
        </is>
      </c>
      <c r="D1865" t="n">
        <v>623</v>
      </c>
      <c r="E1865" t="inlineStr">
        <is>
          <t>MOD000620</t>
        </is>
      </c>
      <c r="F1865" t="inlineStr">
        <is>
          <t>ManufacturerID</t>
        </is>
      </c>
      <c r="G1865" t="inlineStr">
        <is>
          <t>MFG037</t>
        </is>
      </c>
      <c r="H1865" t="inlineStr">
        <is>
          <t>tblManufacturerIDCrosswalk</t>
        </is>
      </c>
      <c r="I1865" t="inlineStr"/>
      <c r="J1865" t="inlineStr">
        <is>
          <t>No Supported Match</t>
        </is>
      </c>
      <c r="K1865" t="inlineStr">
        <is>
          <t>None</t>
        </is>
      </c>
      <c r="L1865" t="inlineStr">
        <is>
          <t>Crosswalk Pending</t>
        </is>
      </c>
      <c r="M1865" t="inlineStr">
        <is>
          <t>Open</t>
        </is>
      </c>
      <c r="N1865" t="inlineStr"/>
    </row>
    <row r="1866">
      <c r="A1866" t="inlineStr">
        <is>
          <t>FKEX01865</t>
        </is>
      </c>
      <c r="B1866" t="inlineStr">
        <is>
          <t>15 LL_Device</t>
        </is>
      </c>
      <c r="C1866" t="inlineStr">
        <is>
          <t>tblDeviceModel</t>
        </is>
      </c>
      <c r="D1866" t="n">
        <v>623</v>
      </c>
      <c r="E1866" t="inlineStr">
        <is>
          <t>MOD000620</t>
        </is>
      </c>
      <c r="F1866" t="inlineStr">
        <is>
          <t>DeviceFamilyID</t>
        </is>
      </c>
      <c r="G1866" t="inlineStr">
        <is>
          <t>DF-370</t>
        </is>
      </c>
      <c r="H1866" t="inlineStr">
        <is>
          <t>tblDeviceFamilyIDCrosswalk</t>
        </is>
      </c>
      <c r="I1866" t="inlineStr"/>
      <c r="J1866" t="inlineStr">
        <is>
          <t>tblDeviceModel</t>
        </is>
      </c>
      <c r="K1866" t="inlineStr">
        <is>
          <t>Exact ID</t>
        </is>
      </c>
      <c r="L1866" t="inlineStr">
        <is>
          <t>Crosswalk Pending</t>
        </is>
      </c>
      <c r="M1866" t="inlineStr">
        <is>
          <t>Open</t>
        </is>
      </c>
      <c r="N1866" t="inlineStr"/>
    </row>
    <row r="1867">
      <c r="A1867" t="inlineStr">
        <is>
          <t>FKEX01866</t>
        </is>
      </c>
      <c r="B1867" t="inlineStr">
        <is>
          <t>15 LL_Device</t>
        </is>
      </c>
      <c r="C1867" t="inlineStr">
        <is>
          <t>tblDeviceModel</t>
        </is>
      </c>
      <c r="D1867" t="n">
        <v>623</v>
      </c>
      <c r="E1867" t="inlineStr">
        <is>
          <t>MOD000620</t>
        </is>
      </c>
      <c r="F1867" t="inlineStr">
        <is>
          <t>DeviceTypeID</t>
        </is>
      </c>
      <c r="G1867" t="inlineStr">
        <is>
          <t>DT003</t>
        </is>
      </c>
      <c r="H1867" t="inlineStr">
        <is>
          <t>tblDeviceTypeIDCrosswalk</t>
        </is>
      </c>
      <c r="I1867" t="inlineStr"/>
      <c r="J1867" t="inlineStr">
        <is>
          <t>No Supported Match</t>
        </is>
      </c>
      <c r="K1867" t="inlineStr">
        <is>
          <t>None</t>
        </is>
      </c>
      <c r="L1867" t="inlineStr">
        <is>
          <t>Crosswalk Pending</t>
        </is>
      </c>
      <c r="M1867" t="inlineStr">
        <is>
          <t>Open</t>
        </is>
      </c>
      <c r="N1867" t="inlineStr"/>
    </row>
    <row r="1868">
      <c r="A1868" t="inlineStr">
        <is>
          <t>FKEX01867</t>
        </is>
      </c>
      <c r="B1868" t="inlineStr">
        <is>
          <t>15 LL_Device</t>
        </is>
      </c>
      <c r="C1868" t="inlineStr">
        <is>
          <t>tblDeviceModel</t>
        </is>
      </c>
      <c r="D1868" t="n">
        <v>624</v>
      </c>
      <c r="E1868" t="inlineStr">
        <is>
          <t>MOD000621</t>
        </is>
      </c>
      <c r="F1868" t="inlineStr">
        <is>
          <t>ManufacturerID</t>
        </is>
      </c>
      <c r="G1868" t="inlineStr">
        <is>
          <t>MFG038</t>
        </is>
      </c>
      <c r="H1868" t="inlineStr">
        <is>
          <t>tblManufacturerIDCrosswalk</t>
        </is>
      </c>
      <c r="I1868" t="inlineStr"/>
      <c r="J1868" t="inlineStr">
        <is>
          <t>No Supported Match</t>
        </is>
      </c>
      <c r="K1868" t="inlineStr">
        <is>
          <t>None</t>
        </is>
      </c>
      <c r="L1868" t="inlineStr">
        <is>
          <t>Crosswalk Pending</t>
        </is>
      </c>
      <c r="M1868" t="inlineStr">
        <is>
          <t>Open</t>
        </is>
      </c>
      <c r="N1868" t="inlineStr"/>
    </row>
    <row r="1869">
      <c r="A1869" t="inlineStr">
        <is>
          <t>FKEX01868</t>
        </is>
      </c>
      <c r="B1869" t="inlineStr">
        <is>
          <t>15 LL_Device</t>
        </is>
      </c>
      <c r="C1869" t="inlineStr">
        <is>
          <t>tblDeviceModel</t>
        </is>
      </c>
      <c r="D1869" t="n">
        <v>624</v>
      </c>
      <c r="E1869" t="inlineStr">
        <is>
          <t>MOD000621</t>
        </is>
      </c>
      <c r="F1869" t="inlineStr">
        <is>
          <t>DeviceFamilyID</t>
        </is>
      </c>
      <c r="G1869" t="inlineStr">
        <is>
          <t>DF-380</t>
        </is>
      </c>
      <c r="H1869" t="inlineStr">
        <is>
          <t>tblDeviceFamilyIDCrosswalk</t>
        </is>
      </c>
      <c r="I1869" t="inlineStr"/>
      <c r="J1869" t="inlineStr">
        <is>
          <t>tblDeviceModel</t>
        </is>
      </c>
      <c r="K1869" t="inlineStr">
        <is>
          <t>Exact ID</t>
        </is>
      </c>
      <c r="L1869" t="inlineStr">
        <is>
          <t>Crosswalk Pending</t>
        </is>
      </c>
      <c r="M1869" t="inlineStr">
        <is>
          <t>Open</t>
        </is>
      </c>
      <c r="N1869" t="inlineStr"/>
    </row>
    <row r="1870">
      <c r="A1870" t="inlineStr">
        <is>
          <t>FKEX01869</t>
        </is>
      </c>
      <c r="B1870" t="inlineStr">
        <is>
          <t>15 LL_Device</t>
        </is>
      </c>
      <c r="C1870" t="inlineStr">
        <is>
          <t>tblDeviceModel</t>
        </is>
      </c>
      <c r="D1870" t="n">
        <v>624</v>
      </c>
      <c r="E1870" t="inlineStr">
        <is>
          <t>MOD000621</t>
        </is>
      </c>
      <c r="F1870" t="inlineStr">
        <is>
          <t>DeviceTypeID</t>
        </is>
      </c>
      <c r="G1870" t="inlineStr">
        <is>
          <t>DT003</t>
        </is>
      </c>
      <c r="H1870" t="inlineStr">
        <is>
          <t>tblDeviceTypeIDCrosswalk</t>
        </is>
      </c>
      <c r="I1870" t="inlineStr"/>
      <c r="J1870" t="inlineStr">
        <is>
          <t>No Supported Match</t>
        </is>
      </c>
      <c r="K1870" t="inlineStr">
        <is>
          <t>None</t>
        </is>
      </c>
      <c r="L1870" t="inlineStr">
        <is>
          <t>Crosswalk Pending</t>
        </is>
      </c>
      <c r="M1870" t="inlineStr">
        <is>
          <t>Open</t>
        </is>
      </c>
      <c r="N1870" t="inlineStr"/>
    </row>
    <row r="1871">
      <c r="A1871" t="inlineStr">
        <is>
          <t>FKEX01870</t>
        </is>
      </c>
      <c r="B1871" t="inlineStr">
        <is>
          <t>15 LL_Device</t>
        </is>
      </c>
      <c r="C1871" t="inlineStr">
        <is>
          <t>tblDeviceModel</t>
        </is>
      </c>
      <c r="D1871" t="n">
        <v>625</v>
      </c>
      <c r="E1871" t="inlineStr">
        <is>
          <t>MOD000622</t>
        </is>
      </c>
      <c r="F1871" t="inlineStr">
        <is>
          <t>ManufacturerID</t>
        </is>
      </c>
      <c r="G1871" t="inlineStr">
        <is>
          <t>MFG039</t>
        </is>
      </c>
      <c r="H1871" t="inlineStr">
        <is>
          <t>tblManufacturerIDCrosswalk</t>
        </is>
      </c>
      <c r="I1871" t="inlineStr"/>
      <c r="J1871" t="inlineStr">
        <is>
          <t>No Supported Match</t>
        </is>
      </c>
      <c r="K1871" t="inlineStr">
        <is>
          <t>None</t>
        </is>
      </c>
      <c r="L1871" t="inlineStr">
        <is>
          <t>Crosswalk Pending</t>
        </is>
      </c>
      <c r="M1871" t="inlineStr">
        <is>
          <t>Open</t>
        </is>
      </c>
      <c r="N1871" t="inlineStr"/>
    </row>
    <row r="1872">
      <c r="A1872" t="inlineStr">
        <is>
          <t>FKEX01871</t>
        </is>
      </c>
      <c r="B1872" t="inlineStr">
        <is>
          <t>15 LL_Device</t>
        </is>
      </c>
      <c r="C1872" t="inlineStr">
        <is>
          <t>tblDeviceModel</t>
        </is>
      </c>
      <c r="D1872" t="n">
        <v>625</v>
      </c>
      <c r="E1872" t="inlineStr">
        <is>
          <t>MOD000622</t>
        </is>
      </c>
      <c r="F1872" t="inlineStr">
        <is>
          <t>DeviceFamilyID</t>
        </is>
      </c>
      <c r="G1872" t="inlineStr">
        <is>
          <t>DF-390</t>
        </is>
      </c>
      <c r="H1872" t="inlineStr">
        <is>
          <t>tblDeviceFamilyIDCrosswalk</t>
        </is>
      </c>
      <c r="I1872" t="inlineStr"/>
      <c r="J1872" t="inlineStr">
        <is>
          <t>tblDeviceModel</t>
        </is>
      </c>
      <c r="K1872" t="inlineStr">
        <is>
          <t>Exact ID</t>
        </is>
      </c>
      <c r="L1872" t="inlineStr">
        <is>
          <t>Crosswalk Pending</t>
        </is>
      </c>
      <c r="M1872" t="inlineStr">
        <is>
          <t>Open</t>
        </is>
      </c>
      <c r="N1872" t="inlineStr"/>
    </row>
    <row r="1873">
      <c r="A1873" t="inlineStr">
        <is>
          <t>FKEX01872</t>
        </is>
      </c>
      <c r="B1873" t="inlineStr">
        <is>
          <t>15 LL_Device</t>
        </is>
      </c>
      <c r="C1873" t="inlineStr">
        <is>
          <t>tblDeviceModel</t>
        </is>
      </c>
      <c r="D1873" t="n">
        <v>625</v>
      </c>
      <c r="E1873" t="inlineStr">
        <is>
          <t>MOD000622</t>
        </is>
      </c>
      <c r="F1873" t="inlineStr">
        <is>
          <t>DeviceTypeID</t>
        </is>
      </c>
      <c r="G1873" t="inlineStr">
        <is>
          <t>DT003</t>
        </is>
      </c>
      <c r="H1873" t="inlineStr">
        <is>
          <t>tblDeviceTypeIDCrosswalk</t>
        </is>
      </c>
      <c r="I1873" t="inlineStr"/>
      <c r="J1873" t="inlineStr">
        <is>
          <t>No Supported Match</t>
        </is>
      </c>
      <c r="K1873" t="inlineStr">
        <is>
          <t>None</t>
        </is>
      </c>
      <c r="L1873" t="inlineStr">
        <is>
          <t>Crosswalk Pending</t>
        </is>
      </c>
      <c r="M1873" t="inlineStr">
        <is>
          <t>Open</t>
        </is>
      </c>
      <c r="N1873" t="inlineStr"/>
    </row>
    <row r="1874">
      <c r="A1874" t="inlineStr">
        <is>
          <t>FKEX01873</t>
        </is>
      </c>
      <c r="B1874" t="inlineStr">
        <is>
          <t>15 LL_Device</t>
        </is>
      </c>
      <c r="C1874" t="inlineStr">
        <is>
          <t>tblDeviceModel</t>
        </is>
      </c>
      <c r="D1874" t="n">
        <v>626</v>
      </c>
      <c r="E1874" t="inlineStr">
        <is>
          <t>MOD000623</t>
        </is>
      </c>
      <c r="F1874" t="inlineStr">
        <is>
          <t>ManufacturerID</t>
        </is>
      </c>
      <c r="G1874" t="inlineStr">
        <is>
          <t>MFG040</t>
        </is>
      </c>
      <c r="H1874" t="inlineStr">
        <is>
          <t>tblManufacturerIDCrosswalk</t>
        </is>
      </c>
      <c r="I1874" t="inlineStr"/>
      <c r="J1874" t="inlineStr">
        <is>
          <t>No Supported Match</t>
        </is>
      </c>
      <c r="K1874" t="inlineStr">
        <is>
          <t>None</t>
        </is>
      </c>
      <c r="L1874" t="inlineStr">
        <is>
          <t>Crosswalk Pending</t>
        </is>
      </c>
      <c r="M1874" t="inlineStr">
        <is>
          <t>Open</t>
        </is>
      </c>
      <c r="N1874" t="inlineStr"/>
    </row>
    <row r="1875">
      <c r="A1875" t="inlineStr">
        <is>
          <t>FKEX01874</t>
        </is>
      </c>
      <c r="B1875" t="inlineStr">
        <is>
          <t>15 LL_Device</t>
        </is>
      </c>
      <c r="C1875" t="inlineStr">
        <is>
          <t>tblDeviceModel</t>
        </is>
      </c>
      <c r="D1875" t="n">
        <v>626</v>
      </c>
      <c r="E1875" t="inlineStr">
        <is>
          <t>MOD000623</t>
        </is>
      </c>
      <c r="F1875" t="inlineStr">
        <is>
          <t>DeviceFamilyID</t>
        </is>
      </c>
      <c r="G1875" t="inlineStr">
        <is>
          <t>DF-400</t>
        </is>
      </c>
      <c r="H1875" t="inlineStr">
        <is>
          <t>tblDeviceFamilyIDCrosswalk</t>
        </is>
      </c>
      <c r="I1875" t="inlineStr"/>
      <c r="J1875" t="inlineStr">
        <is>
          <t>tblDeviceModel</t>
        </is>
      </c>
      <c r="K1875" t="inlineStr">
        <is>
          <t>Exact ID</t>
        </is>
      </c>
      <c r="L1875" t="inlineStr">
        <is>
          <t>Crosswalk Pending</t>
        </is>
      </c>
      <c r="M1875" t="inlineStr">
        <is>
          <t>Open</t>
        </is>
      </c>
      <c r="N1875" t="inlineStr"/>
    </row>
    <row r="1876">
      <c r="A1876" t="inlineStr">
        <is>
          <t>FKEX01875</t>
        </is>
      </c>
      <c r="B1876" t="inlineStr">
        <is>
          <t>15 LL_Device</t>
        </is>
      </c>
      <c r="C1876" t="inlineStr">
        <is>
          <t>tblDeviceModel</t>
        </is>
      </c>
      <c r="D1876" t="n">
        <v>626</v>
      </c>
      <c r="E1876" t="inlineStr">
        <is>
          <t>MOD000623</t>
        </is>
      </c>
      <c r="F1876" t="inlineStr">
        <is>
          <t>DeviceTypeID</t>
        </is>
      </c>
      <c r="G1876" t="inlineStr">
        <is>
          <t>DT003</t>
        </is>
      </c>
      <c r="H1876" t="inlineStr">
        <is>
          <t>tblDeviceTypeIDCrosswalk</t>
        </is>
      </c>
      <c r="I1876" t="inlineStr"/>
      <c r="J1876" t="inlineStr">
        <is>
          <t>No Supported Match</t>
        </is>
      </c>
      <c r="K1876" t="inlineStr">
        <is>
          <t>None</t>
        </is>
      </c>
      <c r="L1876" t="inlineStr">
        <is>
          <t>Crosswalk Pending</t>
        </is>
      </c>
      <c r="M1876" t="inlineStr">
        <is>
          <t>Open</t>
        </is>
      </c>
      <c r="N1876" t="inlineStr"/>
    </row>
    <row r="1877">
      <c r="A1877" t="inlineStr">
        <is>
          <t>FKEX01876</t>
        </is>
      </c>
      <c r="B1877" t="inlineStr">
        <is>
          <t>15 LL_Device</t>
        </is>
      </c>
      <c r="C1877" t="inlineStr">
        <is>
          <t>tblDeviceModel</t>
        </is>
      </c>
      <c r="D1877" t="n">
        <v>627</v>
      </c>
      <c r="E1877" t="inlineStr">
        <is>
          <t>MOD000624</t>
        </is>
      </c>
      <c r="F1877" t="inlineStr">
        <is>
          <t>ManufacturerID</t>
        </is>
      </c>
      <c r="G1877" t="inlineStr">
        <is>
          <t>MFG041</t>
        </is>
      </c>
      <c r="H1877" t="inlineStr">
        <is>
          <t>tblManufacturerIDCrosswalk</t>
        </is>
      </c>
      <c r="I1877" t="inlineStr"/>
      <c r="J1877" t="inlineStr">
        <is>
          <t>No Supported Match</t>
        </is>
      </c>
      <c r="K1877" t="inlineStr">
        <is>
          <t>None</t>
        </is>
      </c>
      <c r="L1877" t="inlineStr">
        <is>
          <t>Crosswalk Pending</t>
        </is>
      </c>
      <c r="M1877" t="inlineStr">
        <is>
          <t>Open</t>
        </is>
      </c>
      <c r="N1877" t="inlineStr"/>
    </row>
    <row r="1878">
      <c r="A1878" t="inlineStr">
        <is>
          <t>FKEX01877</t>
        </is>
      </c>
      <c r="B1878" t="inlineStr">
        <is>
          <t>15 LL_Device</t>
        </is>
      </c>
      <c r="C1878" t="inlineStr">
        <is>
          <t>tblDeviceModel</t>
        </is>
      </c>
      <c r="D1878" t="n">
        <v>627</v>
      </c>
      <c r="E1878" t="inlineStr">
        <is>
          <t>MOD000624</t>
        </is>
      </c>
      <c r="F1878" t="inlineStr">
        <is>
          <t>DeviceFamilyID</t>
        </is>
      </c>
      <c r="G1878" t="inlineStr">
        <is>
          <t>DF-410</t>
        </is>
      </c>
      <c r="H1878" t="inlineStr">
        <is>
          <t>tblDeviceFamilyIDCrosswalk</t>
        </is>
      </c>
      <c r="I1878" t="inlineStr"/>
      <c r="J1878" t="inlineStr">
        <is>
          <t>tblDeviceModel</t>
        </is>
      </c>
      <c r="K1878" t="inlineStr">
        <is>
          <t>Exact ID</t>
        </is>
      </c>
      <c r="L1878" t="inlineStr">
        <is>
          <t>Crosswalk Pending</t>
        </is>
      </c>
      <c r="M1878" t="inlineStr">
        <is>
          <t>Open</t>
        </is>
      </c>
      <c r="N1878" t="inlineStr"/>
    </row>
    <row r="1879">
      <c r="A1879" t="inlineStr">
        <is>
          <t>FKEX01878</t>
        </is>
      </c>
      <c r="B1879" t="inlineStr">
        <is>
          <t>15 LL_Device</t>
        </is>
      </c>
      <c r="C1879" t="inlineStr">
        <is>
          <t>tblDeviceModel</t>
        </is>
      </c>
      <c r="D1879" t="n">
        <v>627</v>
      </c>
      <c r="E1879" t="inlineStr">
        <is>
          <t>MOD000624</t>
        </is>
      </c>
      <c r="F1879" t="inlineStr">
        <is>
          <t>DeviceTypeID</t>
        </is>
      </c>
      <c r="G1879" t="inlineStr">
        <is>
          <t>DT003</t>
        </is>
      </c>
      <c r="H1879" t="inlineStr">
        <is>
          <t>tblDeviceTypeIDCrosswalk</t>
        </is>
      </c>
      <c r="I1879" t="inlineStr"/>
      <c r="J1879" t="inlineStr">
        <is>
          <t>No Supported Match</t>
        </is>
      </c>
      <c r="K1879" t="inlineStr">
        <is>
          <t>None</t>
        </is>
      </c>
      <c r="L1879" t="inlineStr">
        <is>
          <t>Crosswalk Pending</t>
        </is>
      </c>
      <c r="M1879" t="inlineStr">
        <is>
          <t>Open</t>
        </is>
      </c>
      <c r="N1879" t="inlineStr"/>
    </row>
    <row r="1880">
      <c r="A1880" t="inlineStr">
        <is>
          <t>FKEX01879</t>
        </is>
      </c>
      <c r="B1880" t="inlineStr">
        <is>
          <t>15 LL_Device</t>
        </is>
      </c>
      <c r="C1880" t="inlineStr">
        <is>
          <t>tblDeviceModel</t>
        </is>
      </c>
      <c r="D1880" t="n">
        <v>628</v>
      </c>
      <c r="E1880" t="inlineStr">
        <is>
          <t>MOD000625</t>
        </is>
      </c>
      <c r="F1880" t="inlineStr">
        <is>
          <t>ManufacturerID</t>
        </is>
      </c>
      <c r="G1880" t="inlineStr">
        <is>
          <t>MFG042</t>
        </is>
      </c>
      <c r="H1880" t="inlineStr">
        <is>
          <t>tblManufacturerIDCrosswalk</t>
        </is>
      </c>
      <c r="I1880" t="inlineStr"/>
      <c r="J1880" t="inlineStr">
        <is>
          <t>No Supported Match</t>
        </is>
      </c>
      <c r="K1880" t="inlineStr">
        <is>
          <t>None</t>
        </is>
      </c>
      <c r="L1880" t="inlineStr">
        <is>
          <t>Crosswalk Pending</t>
        </is>
      </c>
      <c r="M1880" t="inlineStr">
        <is>
          <t>Open</t>
        </is>
      </c>
      <c r="N1880" t="inlineStr"/>
    </row>
    <row r="1881">
      <c r="A1881" t="inlineStr">
        <is>
          <t>FKEX01880</t>
        </is>
      </c>
      <c r="B1881" t="inlineStr">
        <is>
          <t>15 LL_Device</t>
        </is>
      </c>
      <c r="C1881" t="inlineStr">
        <is>
          <t>tblDeviceModel</t>
        </is>
      </c>
      <c r="D1881" t="n">
        <v>628</v>
      </c>
      <c r="E1881" t="inlineStr">
        <is>
          <t>MOD000625</t>
        </is>
      </c>
      <c r="F1881" t="inlineStr">
        <is>
          <t>DeviceFamilyID</t>
        </is>
      </c>
      <c r="G1881" t="inlineStr">
        <is>
          <t>DF-420</t>
        </is>
      </c>
      <c r="H1881" t="inlineStr">
        <is>
          <t>tblDeviceFamilyIDCrosswalk</t>
        </is>
      </c>
      <c r="I1881" t="inlineStr"/>
      <c r="J1881" t="inlineStr">
        <is>
          <t>tblDeviceModel</t>
        </is>
      </c>
      <c r="K1881" t="inlineStr">
        <is>
          <t>Exact ID</t>
        </is>
      </c>
      <c r="L1881" t="inlineStr">
        <is>
          <t>Crosswalk Pending</t>
        </is>
      </c>
      <c r="M1881" t="inlineStr">
        <is>
          <t>Open</t>
        </is>
      </c>
      <c r="N1881" t="inlineStr"/>
    </row>
    <row r="1882">
      <c r="A1882" t="inlineStr">
        <is>
          <t>FKEX01881</t>
        </is>
      </c>
      <c r="B1882" t="inlineStr">
        <is>
          <t>15 LL_Device</t>
        </is>
      </c>
      <c r="C1882" t="inlineStr">
        <is>
          <t>tblDeviceModel</t>
        </is>
      </c>
      <c r="D1882" t="n">
        <v>628</v>
      </c>
      <c r="E1882" t="inlineStr">
        <is>
          <t>MOD000625</t>
        </is>
      </c>
      <c r="F1882" t="inlineStr">
        <is>
          <t>DeviceTypeID</t>
        </is>
      </c>
      <c r="G1882" t="inlineStr">
        <is>
          <t>DT003</t>
        </is>
      </c>
      <c r="H1882" t="inlineStr">
        <is>
          <t>tblDeviceTypeIDCrosswalk</t>
        </is>
      </c>
      <c r="I1882" t="inlineStr"/>
      <c r="J1882" t="inlineStr">
        <is>
          <t>No Supported Match</t>
        </is>
      </c>
      <c r="K1882" t="inlineStr">
        <is>
          <t>None</t>
        </is>
      </c>
      <c r="L1882" t="inlineStr">
        <is>
          <t>Crosswalk Pending</t>
        </is>
      </c>
      <c r="M1882" t="inlineStr">
        <is>
          <t>Open</t>
        </is>
      </c>
      <c r="N1882" t="inlineStr"/>
    </row>
    <row r="1883">
      <c r="A1883" t="inlineStr">
        <is>
          <t>FKEX01882</t>
        </is>
      </c>
      <c r="B1883" t="inlineStr">
        <is>
          <t>15 LL_Device</t>
        </is>
      </c>
      <c r="C1883" t="inlineStr">
        <is>
          <t>tblDeviceModel</t>
        </is>
      </c>
      <c r="D1883" t="n">
        <v>629</v>
      </c>
      <c r="E1883" t="inlineStr">
        <is>
          <t>MOD000626</t>
        </is>
      </c>
      <c r="F1883" t="inlineStr">
        <is>
          <t>ManufacturerID</t>
        </is>
      </c>
      <c r="G1883" t="inlineStr">
        <is>
          <t>MFG031</t>
        </is>
      </c>
      <c r="H1883" t="inlineStr">
        <is>
          <t>tblManufacturerIDCrosswalk</t>
        </is>
      </c>
      <c r="I1883" t="inlineStr"/>
      <c r="J1883" t="inlineStr">
        <is>
          <t>No Supported Match</t>
        </is>
      </c>
      <c r="K1883" t="inlineStr">
        <is>
          <t>None</t>
        </is>
      </c>
      <c r="L1883" t="inlineStr">
        <is>
          <t>Crosswalk Pending</t>
        </is>
      </c>
      <c r="M1883" t="inlineStr">
        <is>
          <t>Open</t>
        </is>
      </c>
      <c r="N1883" t="inlineStr"/>
    </row>
    <row r="1884">
      <c r="A1884" t="inlineStr">
        <is>
          <t>FKEX01883</t>
        </is>
      </c>
      <c r="B1884" t="inlineStr">
        <is>
          <t>15 LL_Device</t>
        </is>
      </c>
      <c r="C1884" t="inlineStr">
        <is>
          <t>tblDeviceModel</t>
        </is>
      </c>
      <c r="D1884" t="n">
        <v>629</v>
      </c>
      <c r="E1884" t="inlineStr">
        <is>
          <t>MOD000626</t>
        </is>
      </c>
      <c r="F1884" t="inlineStr">
        <is>
          <t>DeviceFamilyID</t>
        </is>
      </c>
      <c r="G1884" t="inlineStr">
        <is>
          <t>DF-311</t>
        </is>
      </c>
      <c r="H1884" t="inlineStr">
        <is>
          <t>tblDeviceFamilyIDCrosswalk</t>
        </is>
      </c>
      <c r="I1884" t="inlineStr"/>
      <c r="J1884" t="inlineStr">
        <is>
          <t>tblDeviceModel</t>
        </is>
      </c>
      <c r="K1884" t="inlineStr">
        <is>
          <t>Exact ID</t>
        </is>
      </c>
      <c r="L1884" t="inlineStr">
        <is>
          <t>Crosswalk Pending</t>
        </is>
      </c>
      <c r="M1884" t="inlineStr">
        <is>
          <t>Open</t>
        </is>
      </c>
      <c r="N1884" t="inlineStr"/>
    </row>
    <row r="1885">
      <c r="A1885" t="inlineStr">
        <is>
          <t>FKEX01884</t>
        </is>
      </c>
      <c r="B1885" t="inlineStr">
        <is>
          <t>15 LL_Device</t>
        </is>
      </c>
      <c r="C1885" t="inlineStr">
        <is>
          <t>tblDeviceModel</t>
        </is>
      </c>
      <c r="D1885" t="n">
        <v>629</v>
      </c>
      <c r="E1885" t="inlineStr">
        <is>
          <t>MOD000626</t>
        </is>
      </c>
      <c r="F1885" t="inlineStr">
        <is>
          <t>DeviceTypeID</t>
        </is>
      </c>
      <c r="G1885" t="inlineStr">
        <is>
          <t>DT003</t>
        </is>
      </c>
      <c r="H1885" t="inlineStr">
        <is>
          <t>tblDeviceTypeIDCrosswalk</t>
        </is>
      </c>
      <c r="I1885" t="inlineStr"/>
      <c r="J1885" t="inlineStr">
        <is>
          <t>No Supported Match</t>
        </is>
      </c>
      <c r="K1885" t="inlineStr">
        <is>
          <t>None</t>
        </is>
      </c>
      <c r="L1885" t="inlineStr">
        <is>
          <t>Crosswalk Pending</t>
        </is>
      </c>
      <c r="M1885" t="inlineStr">
        <is>
          <t>Open</t>
        </is>
      </c>
      <c r="N1885" t="inlineStr"/>
    </row>
    <row r="1886">
      <c r="A1886" t="inlineStr">
        <is>
          <t>FKEX01885</t>
        </is>
      </c>
      <c r="B1886" t="inlineStr">
        <is>
          <t>15 LL_Device</t>
        </is>
      </c>
      <c r="C1886" t="inlineStr">
        <is>
          <t>tblDeviceModel</t>
        </is>
      </c>
      <c r="D1886" t="n">
        <v>630</v>
      </c>
      <c r="E1886" t="inlineStr">
        <is>
          <t>MOD000627</t>
        </is>
      </c>
      <c r="F1886" t="inlineStr">
        <is>
          <t>ManufacturerID</t>
        </is>
      </c>
      <c r="G1886" t="inlineStr">
        <is>
          <t>MFG031</t>
        </is>
      </c>
      <c r="H1886" t="inlineStr">
        <is>
          <t>tblManufacturerIDCrosswalk</t>
        </is>
      </c>
      <c r="I1886" t="inlineStr"/>
      <c r="J1886" t="inlineStr">
        <is>
          <t>No Supported Match</t>
        </is>
      </c>
      <c r="K1886" t="inlineStr">
        <is>
          <t>None</t>
        </is>
      </c>
      <c r="L1886" t="inlineStr">
        <is>
          <t>Crosswalk Pending</t>
        </is>
      </c>
      <c r="M1886" t="inlineStr">
        <is>
          <t>Open</t>
        </is>
      </c>
      <c r="N1886" t="inlineStr"/>
    </row>
    <row r="1887">
      <c r="A1887" t="inlineStr">
        <is>
          <t>FKEX01886</t>
        </is>
      </c>
      <c r="B1887" t="inlineStr">
        <is>
          <t>15 LL_Device</t>
        </is>
      </c>
      <c r="C1887" t="inlineStr">
        <is>
          <t>tblDeviceModel</t>
        </is>
      </c>
      <c r="D1887" t="n">
        <v>630</v>
      </c>
      <c r="E1887" t="inlineStr">
        <is>
          <t>MOD000627</t>
        </is>
      </c>
      <c r="F1887" t="inlineStr">
        <is>
          <t>DeviceFamilyID</t>
        </is>
      </c>
      <c r="G1887" t="inlineStr">
        <is>
          <t>DF-312</t>
        </is>
      </c>
      <c r="H1887" t="inlineStr">
        <is>
          <t>tblDeviceFamilyIDCrosswalk</t>
        </is>
      </c>
      <c r="I1887" t="inlineStr"/>
      <c r="J1887" t="inlineStr">
        <is>
          <t>tblDeviceModel</t>
        </is>
      </c>
      <c r="K1887" t="inlineStr">
        <is>
          <t>Exact ID</t>
        </is>
      </c>
      <c r="L1887" t="inlineStr">
        <is>
          <t>Crosswalk Pending</t>
        </is>
      </c>
      <c r="M1887" t="inlineStr">
        <is>
          <t>Open</t>
        </is>
      </c>
      <c r="N1887" t="inlineStr"/>
    </row>
    <row r="1888">
      <c r="A1888" t="inlineStr">
        <is>
          <t>FKEX01887</t>
        </is>
      </c>
      <c r="B1888" t="inlineStr">
        <is>
          <t>15 LL_Device</t>
        </is>
      </c>
      <c r="C1888" t="inlineStr">
        <is>
          <t>tblDeviceModel</t>
        </is>
      </c>
      <c r="D1888" t="n">
        <v>630</v>
      </c>
      <c r="E1888" t="inlineStr">
        <is>
          <t>MOD000627</t>
        </is>
      </c>
      <c r="F1888" t="inlineStr">
        <is>
          <t>DeviceTypeID</t>
        </is>
      </c>
      <c r="G1888" t="inlineStr">
        <is>
          <t>DT003</t>
        </is>
      </c>
      <c r="H1888" t="inlineStr">
        <is>
          <t>tblDeviceTypeIDCrosswalk</t>
        </is>
      </c>
      <c r="I1888" t="inlineStr"/>
      <c r="J1888" t="inlineStr">
        <is>
          <t>No Supported Match</t>
        </is>
      </c>
      <c r="K1888" t="inlineStr">
        <is>
          <t>None</t>
        </is>
      </c>
      <c r="L1888" t="inlineStr">
        <is>
          <t>Crosswalk Pending</t>
        </is>
      </c>
      <c r="M1888" t="inlineStr">
        <is>
          <t>Open</t>
        </is>
      </c>
      <c r="N1888" t="inlineStr"/>
    </row>
    <row r="1889">
      <c r="A1889" t="inlineStr">
        <is>
          <t>FKEX01888</t>
        </is>
      </c>
      <c r="B1889" t="inlineStr">
        <is>
          <t>15 LL_Device</t>
        </is>
      </c>
      <c r="C1889" t="inlineStr">
        <is>
          <t>tblDeviceModel</t>
        </is>
      </c>
      <c r="D1889" t="n">
        <v>631</v>
      </c>
      <c r="E1889" t="inlineStr">
        <is>
          <t>MOD000628</t>
        </is>
      </c>
      <c r="F1889" t="inlineStr">
        <is>
          <t>ManufacturerID</t>
        </is>
      </c>
      <c r="G1889" t="inlineStr">
        <is>
          <t>MFG043</t>
        </is>
      </c>
      <c r="H1889" t="inlineStr">
        <is>
          <t>tblManufacturerIDCrosswalk</t>
        </is>
      </c>
      <c r="I1889" t="inlineStr"/>
      <c r="J1889" t="inlineStr">
        <is>
          <t>No Supported Match</t>
        </is>
      </c>
      <c r="K1889" t="inlineStr">
        <is>
          <t>None</t>
        </is>
      </c>
      <c r="L1889" t="inlineStr">
        <is>
          <t>Crosswalk Pending</t>
        </is>
      </c>
      <c r="M1889" t="inlineStr">
        <is>
          <t>Open</t>
        </is>
      </c>
      <c r="N1889" t="inlineStr"/>
    </row>
    <row r="1890">
      <c r="A1890" t="inlineStr">
        <is>
          <t>FKEX01889</t>
        </is>
      </c>
      <c r="B1890" t="inlineStr">
        <is>
          <t>15 LL_Device</t>
        </is>
      </c>
      <c r="C1890" t="inlineStr">
        <is>
          <t>tblDeviceModel</t>
        </is>
      </c>
      <c r="D1890" t="n">
        <v>631</v>
      </c>
      <c r="E1890" t="inlineStr">
        <is>
          <t>MOD000628</t>
        </is>
      </c>
      <c r="F1890" t="inlineStr">
        <is>
          <t>DeviceFamilyID</t>
        </is>
      </c>
      <c r="G1890" t="inlineStr">
        <is>
          <t>DF-430</t>
        </is>
      </c>
      <c r="H1890" t="inlineStr">
        <is>
          <t>tblDeviceFamilyIDCrosswalk</t>
        </is>
      </c>
      <c r="I1890" t="inlineStr"/>
      <c r="J1890" t="inlineStr">
        <is>
          <t>tblDeviceModel</t>
        </is>
      </c>
      <c r="K1890" t="inlineStr">
        <is>
          <t>Exact ID</t>
        </is>
      </c>
      <c r="L1890" t="inlineStr">
        <is>
          <t>Crosswalk Pending</t>
        </is>
      </c>
      <c r="M1890" t="inlineStr">
        <is>
          <t>Open</t>
        </is>
      </c>
      <c r="N1890" t="inlineStr"/>
    </row>
    <row r="1891">
      <c r="A1891" t="inlineStr">
        <is>
          <t>FKEX01890</t>
        </is>
      </c>
      <c r="B1891" t="inlineStr">
        <is>
          <t>15 LL_Device</t>
        </is>
      </c>
      <c r="C1891" t="inlineStr">
        <is>
          <t>tblDeviceModel</t>
        </is>
      </c>
      <c r="D1891" t="n">
        <v>631</v>
      </c>
      <c r="E1891" t="inlineStr">
        <is>
          <t>MOD000628</t>
        </is>
      </c>
      <c r="F1891" t="inlineStr">
        <is>
          <t>DeviceTypeID</t>
        </is>
      </c>
      <c r="G1891" t="inlineStr">
        <is>
          <t>DT004</t>
        </is>
      </c>
      <c r="H1891" t="inlineStr">
        <is>
          <t>tblDeviceTypeIDCrosswalk</t>
        </is>
      </c>
      <c r="I1891" t="inlineStr"/>
      <c r="J1891" t="inlineStr">
        <is>
          <t>No Supported Match</t>
        </is>
      </c>
      <c r="K1891" t="inlineStr">
        <is>
          <t>None</t>
        </is>
      </c>
      <c r="L1891" t="inlineStr">
        <is>
          <t>Crosswalk Pending</t>
        </is>
      </c>
      <c r="M1891" t="inlineStr">
        <is>
          <t>Open</t>
        </is>
      </c>
      <c r="N1891" t="inlineStr"/>
    </row>
    <row r="1892">
      <c r="A1892" t="inlineStr">
        <is>
          <t>FKEX01891</t>
        </is>
      </c>
      <c r="B1892" t="inlineStr">
        <is>
          <t>15 LL_Device</t>
        </is>
      </c>
      <c r="C1892" t="inlineStr">
        <is>
          <t>tblDeviceModel</t>
        </is>
      </c>
      <c r="D1892" t="n">
        <v>632</v>
      </c>
      <c r="E1892" t="inlineStr">
        <is>
          <t>MOD000629</t>
        </is>
      </c>
      <c r="F1892" t="inlineStr">
        <is>
          <t>ManufacturerID</t>
        </is>
      </c>
      <c r="G1892" t="inlineStr">
        <is>
          <t>MFG044</t>
        </is>
      </c>
      <c r="H1892" t="inlineStr">
        <is>
          <t>tblManufacturerIDCrosswalk</t>
        </is>
      </c>
      <c r="I1892" t="inlineStr"/>
      <c r="J1892" t="inlineStr">
        <is>
          <t>No Supported Match</t>
        </is>
      </c>
      <c r="K1892" t="inlineStr">
        <is>
          <t>None</t>
        </is>
      </c>
      <c r="L1892" t="inlineStr">
        <is>
          <t>Crosswalk Pending</t>
        </is>
      </c>
      <c r="M1892" t="inlineStr">
        <is>
          <t>Open</t>
        </is>
      </c>
      <c r="N1892" t="inlineStr"/>
    </row>
    <row r="1893">
      <c r="A1893" t="inlineStr">
        <is>
          <t>FKEX01892</t>
        </is>
      </c>
      <c r="B1893" t="inlineStr">
        <is>
          <t>15 LL_Device</t>
        </is>
      </c>
      <c r="C1893" t="inlineStr">
        <is>
          <t>tblDeviceModel</t>
        </is>
      </c>
      <c r="D1893" t="n">
        <v>632</v>
      </c>
      <c r="E1893" t="inlineStr">
        <is>
          <t>MOD000629</t>
        </is>
      </c>
      <c r="F1893" t="inlineStr">
        <is>
          <t>DeviceFamilyID</t>
        </is>
      </c>
      <c r="G1893" t="inlineStr">
        <is>
          <t>DF-440</t>
        </is>
      </c>
      <c r="H1893" t="inlineStr">
        <is>
          <t>tblDeviceFamilyIDCrosswalk</t>
        </is>
      </c>
      <c r="I1893" t="inlineStr"/>
      <c r="J1893" t="inlineStr">
        <is>
          <t>tblDeviceModel</t>
        </is>
      </c>
      <c r="K1893" t="inlineStr">
        <is>
          <t>Exact ID</t>
        </is>
      </c>
      <c r="L1893" t="inlineStr">
        <is>
          <t>Crosswalk Pending</t>
        </is>
      </c>
      <c r="M1893" t="inlineStr">
        <is>
          <t>Open</t>
        </is>
      </c>
      <c r="N1893" t="inlineStr"/>
    </row>
    <row r="1894">
      <c r="A1894" t="inlineStr">
        <is>
          <t>FKEX01893</t>
        </is>
      </c>
      <c r="B1894" t="inlineStr">
        <is>
          <t>15 LL_Device</t>
        </is>
      </c>
      <c r="C1894" t="inlineStr">
        <is>
          <t>tblDeviceModel</t>
        </is>
      </c>
      <c r="D1894" t="n">
        <v>632</v>
      </c>
      <c r="E1894" t="inlineStr">
        <is>
          <t>MOD000629</t>
        </is>
      </c>
      <c r="F1894" t="inlineStr">
        <is>
          <t>DeviceTypeID</t>
        </is>
      </c>
      <c r="G1894" t="inlineStr">
        <is>
          <t>DT004</t>
        </is>
      </c>
      <c r="H1894" t="inlineStr">
        <is>
          <t>tblDeviceTypeIDCrosswalk</t>
        </is>
      </c>
      <c r="I1894" t="inlineStr"/>
      <c r="J1894" t="inlineStr">
        <is>
          <t>No Supported Match</t>
        </is>
      </c>
      <c r="K1894" t="inlineStr">
        <is>
          <t>None</t>
        </is>
      </c>
      <c r="L1894" t="inlineStr">
        <is>
          <t>Crosswalk Pending</t>
        </is>
      </c>
      <c r="M1894" t="inlineStr">
        <is>
          <t>Open</t>
        </is>
      </c>
      <c r="N1894" t="inlineStr"/>
    </row>
    <row r="1895">
      <c r="A1895" t="inlineStr">
        <is>
          <t>FKEX01894</t>
        </is>
      </c>
      <c r="B1895" t="inlineStr">
        <is>
          <t>15 LL_Device</t>
        </is>
      </c>
      <c r="C1895" t="inlineStr">
        <is>
          <t>tblDeviceModel</t>
        </is>
      </c>
      <c r="D1895" t="n">
        <v>633</v>
      </c>
      <c r="E1895" t="inlineStr">
        <is>
          <t>MOD000630</t>
        </is>
      </c>
      <c r="F1895" t="inlineStr">
        <is>
          <t>ManufacturerID</t>
        </is>
      </c>
      <c r="G1895" t="inlineStr">
        <is>
          <t>MFG008</t>
        </is>
      </c>
      <c r="H1895" t="inlineStr">
        <is>
          <t>tblManufacturerIDCrosswalk</t>
        </is>
      </c>
      <c r="I1895" t="inlineStr"/>
      <c r="J1895" t="inlineStr">
        <is>
          <t>No Supported Match</t>
        </is>
      </c>
      <c r="K1895" t="inlineStr">
        <is>
          <t>None</t>
        </is>
      </c>
      <c r="L1895" t="inlineStr">
        <is>
          <t>Crosswalk Pending</t>
        </is>
      </c>
      <c r="M1895" t="inlineStr">
        <is>
          <t>Open</t>
        </is>
      </c>
      <c r="N1895" t="inlineStr"/>
    </row>
    <row r="1896">
      <c r="A1896" t="inlineStr">
        <is>
          <t>FKEX01895</t>
        </is>
      </c>
      <c r="B1896" t="inlineStr">
        <is>
          <t>15 LL_Device</t>
        </is>
      </c>
      <c r="C1896" t="inlineStr">
        <is>
          <t>tblDeviceModel</t>
        </is>
      </c>
      <c r="D1896" t="n">
        <v>633</v>
      </c>
      <c r="E1896" t="inlineStr">
        <is>
          <t>MOD000630</t>
        </is>
      </c>
      <c r="F1896" t="inlineStr">
        <is>
          <t>DeviceFamilyID</t>
        </is>
      </c>
      <c r="G1896" t="inlineStr">
        <is>
          <t>DF081</t>
        </is>
      </c>
      <c r="H1896" t="inlineStr">
        <is>
          <t>tblDeviceFamilyIDCrosswalk</t>
        </is>
      </c>
      <c r="I1896" t="inlineStr"/>
      <c r="J1896" t="inlineStr">
        <is>
          <t>tblDeviceModel</t>
        </is>
      </c>
      <c r="K1896" t="inlineStr">
        <is>
          <t>Exact ID</t>
        </is>
      </c>
      <c r="L1896" t="inlineStr">
        <is>
          <t>Crosswalk Pending</t>
        </is>
      </c>
      <c r="M1896" t="inlineStr">
        <is>
          <t>Open</t>
        </is>
      </c>
      <c r="N1896" t="inlineStr"/>
    </row>
    <row r="1897">
      <c r="A1897" t="inlineStr">
        <is>
          <t>FKEX01896</t>
        </is>
      </c>
      <c r="B1897" t="inlineStr">
        <is>
          <t>15 LL_Device</t>
        </is>
      </c>
      <c r="C1897" t="inlineStr">
        <is>
          <t>tblDeviceModel</t>
        </is>
      </c>
      <c r="D1897" t="n">
        <v>633</v>
      </c>
      <c r="E1897" t="inlineStr">
        <is>
          <t>MOD000630</t>
        </is>
      </c>
      <c r="F1897" t="inlineStr">
        <is>
          <t>DeviceTypeID</t>
        </is>
      </c>
      <c r="G1897" t="inlineStr">
        <is>
          <t>DT004</t>
        </is>
      </c>
      <c r="H1897" t="inlineStr">
        <is>
          <t>tblDeviceTypeIDCrosswalk</t>
        </is>
      </c>
      <c r="I1897" t="inlineStr"/>
      <c r="J1897" t="inlineStr">
        <is>
          <t>No Supported Match</t>
        </is>
      </c>
      <c r="K1897" t="inlineStr">
        <is>
          <t>None</t>
        </is>
      </c>
      <c r="L1897" t="inlineStr">
        <is>
          <t>Crosswalk Pending</t>
        </is>
      </c>
      <c r="M1897" t="inlineStr">
        <is>
          <t>Open</t>
        </is>
      </c>
      <c r="N1897" t="inlineStr"/>
    </row>
    <row r="1898">
      <c r="A1898" t="inlineStr">
        <is>
          <t>FKEX01897</t>
        </is>
      </c>
      <c r="B1898" t="inlineStr">
        <is>
          <t>15 LL_Device</t>
        </is>
      </c>
      <c r="C1898" t="inlineStr">
        <is>
          <t>tblDeviceModel</t>
        </is>
      </c>
      <c r="D1898" t="n">
        <v>634</v>
      </c>
      <c r="E1898" t="inlineStr">
        <is>
          <t>MOD000631</t>
        </is>
      </c>
      <c r="F1898" t="inlineStr">
        <is>
          <t>ManufacturerID</t>
        </is>
      </c>
      <c r="G1898" t="inlineStr">
        <is>
          <t>MFG034</t>
        </is>
      </c>
      <c r="H1898" t="inlineStr">
        <is>
          <t>tblManufacturerIDCrosswalk</t>
        </is>
      </c>
      <c r="I1898" t="inlineStr"/>
      <c r="J1898" t="inlineStr">
        <is>
          <t>No Supported Match</t>
        </is>
      </c>
      <c r="K1898" t="inlineStr">
        <is>
          <t>None</t>
        </is>
      </c>
      <c r="L1898" t="inlineStr">
        <is>
          <t>Crosswalk Pending</t>
        </is>
      </c>
      <c r="M1898" t="inlineStr">
        <is>
          <t>Open</t>
        </is>
      </c>
      <c r="N1898" t="inlineStr"/>
    </row>
    <row r="1899">
      <c r="A1899" t="inlineStr">
        <is>
          <t>FKEX01898</t>
        </is>
      </c>
      <c r="B1899" t="inlineStr">
        <is>
          <t>15 LL_Device</t>
        </is>
      </c>
      <c r="C1899" t="inlineStr">
        <is>
          <t>tblDeviceModel</t>
        </is>
      </c>
      <c r="D1899" t="n">
        <v>634</v>
      </c>
      <c r="E1899" t="inlineStr">
        <is>
          <t>MOD000631</t>
        </is>
      </c>
      <c r="F1899" t="inlineStr">
        <is>
          <t>DeviceFamilyID</t>
        </is>
      </c>
      <c r="G1899" t="inlineStr">
        <is>
          <t>DF-342</t>
        </is>
      </c>
      <c r="H1899" t="inlineStr">
        <is>
          <t>tblDeviceFamilyIDCrosswalk</t>
        </is>
      </c>
      <c r="I1899" t="inlineStr"/>
      <c r="J1899" t="inlineStr">
        <is>
          <t>tblDeviceModel</t>
        </is>
      </c>
      <c r="K1899" t="inlineStr">
        <is>
          <t>Exact ID</t>
        </is>
      </c>
      <c r="L1899" t="inlineStr">
        <is>
          <t>Crosswalk Pending</t>
        </is>
      </c>
      <c r="M1899" t="inlineStr">
        <is>
          <t>Open</t>
        </is>
      </c>
      <c r="N1899" t="inlineStr"/>
    </row>
    <row r="1900">
      <c r="A1900" t="inlineStr">
        <is>
          <t>FKEX01899</t>
        </is>
      </c>
      <c r="B1900" t="inlineStr">
        <is>
          <t>15 LL_Device</t>
        </is>
      </c>
      <c r="C1900" t="inlineStr">
        <is>
          <t>tblDeviceModel</t>
        </is>
      </c>
      <c r="D1900" t="n">
        <v>634</v>
      </c>
      <c r="E1900" t="inlineStr">
        <is>
          <t>MOD000631</t>
        </is>
      </c>
      <c r="F1900" t="inlineStr">
        <is>
          <t>DeviceTypeID</t>
        </is>
      </c>
      <c r="G1900" t="inlineStr">
        <is>
          <t>DT004</t>
        </is>
      </c>
      <c r="H1900" t="inlineStr">
        <is>
          <t>tblDeviceTypeIDCrosswalk</t>
        </is>
      </c>
      <c r="I1900" t="inlineStr"/>
      <c r="J1900" t="inlineStr">
        <is>
          <t>No Supported Match</t>
        </is>
      </c>
      <c r="K1900" t="inlineStr">
        <is>
          <t>None</t>
        </is>
      </c>
      <c r="L1900" t="inlineStr">
        <is>
          <t>Crosswalk Pending</t>
        </is>
      </c>
      <c r="M1900" t="inlineStr">
        <is>
          <t>Open</t>
        </is>
      </c>
      <c r="N1900" t="inlineStr"/>
    </row>
    <row r="1901">
      <c r="A1901" t="inlineStr">
        <is>
          <t>FKEX01900</t>
        </is>
      </c>
      <c r="B1901" t="inlineStr">
        <is>
          <t>15 LL_Device</t>
        </is>
      </c>
      <c r="C1901" t="inlineStr">
        <is>
          <t>tblDeviceModel</t>
        </is>
      </c>
      <c r="D1901" t="n">
        <v>635</v>
      </c>
      <c r="E1901" t="inlineStr">
        <is>
          <t>MOD000632</t>
        </is>
      </c>
      <c r="F1901" t="inlineStr">
        <is>
          <t>ManufacturerID</t>
        </is>
      </c>
      <c r="G1901" t="inlineStr">
        <is>
          <t>MFG045</t>
        </is>
      </c>
      <c r="H1901" t="inlineStr">
        <is>
          <t>tblManufacturerIDCrosswalk</t>
        </is>
      </c>
      <c r="I1901" t="inlineStr"/>
      <c r="J1901" t="inlineStr">
        <is>
          <t>No Supported Match</t>
        </is>
      </c>
      <c r="K1901" t="inlineStr">
        <is>
          <t>None</t>
        </is>
      </c>
      <c r="L1901" t="inlineStr">
        <is>
          <t>Crosswalk Pending</t>
        </is>
      </c>
      <c r="M1901" t="inlineStr">
        <is>
          <t>Open</t>
        </is>
      </c>
      <c r="N1901" t="inlineStr"/>
    </row>
    <row r="1902">
      <c r="A1902" t="inlineStr">
        <is>
          <t>FKEX01901</t>
        </is>
      </c>
      <c r="B1902" t="inlineStr">
        <is>
          <t>15 LL_Device</t>
        </is>
      </c>
      <c r="C1902" t="inlineStr">
        <is>
          <t>tblDeviceModel</t>
        </is>
      </c>
      <c r="D1902" t="n">
        <v>635</v>
      </c>
      <c r="E1902" t="inlineStr">
        <is>
          <t>MOD000632</t>
        </is>
      </c>
      <c r="F1902" t="inlineStr">
        <is>
          <t>DeviceFamilyID</t>
        </is>
      </c>
      <c r="G1902" t="inlineStr">
        <is>
          <t>DF-450</t>
        </is>
      </c>
      <c r="H1902" t="inlineStr">
        <is>
          <t>tblDeviceFamilyIDCrosswalk</t>
        </is>
      </c>
      <c r="I1902" t="inlineStr"/>
      <c r="J1902" t="inlineStr">
        <is>
          <t>tblDeviceModel</t>
        </is>
      </c>
      <c r="K1902" t="inlineStr">
        <is>
          <t>Exact ID</t>
        </is>
      </c>
      <c r="L1902" t="inlineStr">
        <is>
          <t>Crosswalk Pending</t>
        </is>
      </c>
      <c r="M1902" t="inlineStr">
        <is>
          <t>Open</t>
        </is>
      </c>
      <c r="N1902" t="inlineStr"/>
    </row>
    <row r="1903">
      <c r="A1903" t="inlineStr">
        <is>
          <t>FKEX01902</t>
        </is>
      </c>
      <c r="B1903" t="inlineStr">
        <is>
          <t>15 LL_Device</t>
        </is>
      </c>
      <c r="C1903" t="inlineStr">
        <is>
          <t>tblDeviceModel</t>
        </is>
      </c>
      <c r="D1903" t="n">
        <v>635</v>
      </c>
      <c r="E1903" t="inlineStr">
        <is>
          <t>MOD000632</t>
        </is>
      </c>
      <c r="F1903" t="inlineStr">
        <is>
          <t>DeviceTypeID</t>
        </is>
      </c>
      <c r="G1903" t="inlineStr">
        <is>
          <t>DT004</t>
        </is>
      </c>
      <c r="H1903" t="inlineStr">
        <is>
          <t>tblDeviceTypeIDCrosswalk</t>
        </is>
      </c>
      <c r="I1903" t="inlineStr"/>
      <c r="J1903" t="inlineStr">
        <is>
          <t>No Supported Match</t>
        </is>
      </c>
      <c r="K1903" t="inlineStr">
        <is>
          <t>None</t>
        </is>
      </c>
      <c r="L1903" t="inlineStr">
        <is>
          <t>Crosswalk Pending</t>
        </is>
      </c>
      <c r="M1903" t="inlineStr">
        <is>
          <t>Open</t>
        </is>
      </c>
      <c r="N1903" t="inlineStr"/>
    </row>
  </sheetData>
  <autoFilter ref="A1:N19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2" min="1" max="1"/>
    <col width="11" customWidth="1" style="42" min="2" max="2"/>
    <col width="16" customWidth="1" style="42" min="3" max="3"/>
    <col width="24" customWidth="1" style="42" min="4" max="4"/>
    <col width="16" customWidth="1" style="42" min="5" max="5"/>
    <col width="24" customWidth="1" style="42" min="6" max="6"/>
    <col width="14" customWidth="1" style="42" min="7" max="7"/>
    <col width="22" customWidth="1" style="42" min="8" max="8"/>
    <col width="30" customWidth="1" style="42" min="9" max="9"/>
    <col width="19" customWidth="1" style="42" min="10" max="10"/>
    <col width="13" customWidth="1" style="42" min="11" max="11"/>
    <col width="10" customWidth="1" style="42" min="12" max="12"/>
    <col width="15" customWidth="1" style="42" min="13" max="13"/>
    <col width="16" customWidth="1" style="42" min="14" max="14"/>
    <col width="21" customWidth="1" style="42" min="15" max="15"/>
    <col width="18" customWidth="1" style="42" min="16" max="16"/>
    <col width="44" customWidth="1" style="42" min="17" max="17"/>
    <col width="12" customWidth="1" style="42" min="18" max="18"/>
    <col width="14" customWidth="1" style="42" min="19" max="19"/>
    <col width="16" customWidth="1" style="42" min="20" max="20"/>
    <col width="7" customWidth="1" style="42" min="21" max="21"/>
  </cols>
  <sheetData>
    <row r="1">
      <c r="A1" t="inlineStr">
        <is>
          <t>DuplicateGroupID</t>
        </is>
      </c>
      <c r="B1" t="inlineStr">
        <is>
          <t>ModelID</t>
        </is>
      </c>
      <c r="C1" t="inlineStr">
        <is>
          <t>ManufacturerID</t>
        </is>
      </c>
      <c r="D1" t="inlineStr">
        <is>
          <t>ProposedManufacturerID</t>
        </is>
      </c>
      <c r="E1" t="inlineStr">
        <is>
          <t>DeviceFamilyID</t>
        </is>
      </c>
      <c r="F1" t="inlineStr">
        <is>
          <t>ProposedDeviceFamilyID</t>
        </is>
      </c>
      <c r="G1" t="inlineStr">
        <is>
          <t>DeviceTypeID</t>
        </is>
      </c>
      <c r="H1" t="inlineStr">
        <is>
          <t>ProposedDeviceTypeID</t>
        </is>
      </c>
      <c r="I1" t="inlineStr">
        <is>
          <t>ModelName</t>
        </is>
      </c>
      <c r="J1" t="inlineStr">
        <is>
          <t>ManufacturerModel</t>
        </is>
      </c>
      <c r="K1" t="inlineStr">
        <is>
          <t>ReleaseYear</t>
        </is>
      </c>
      <c r="L1" t="inlineStr">
        <is>
          <t>IsActive</t>
        </is>
      </c>
      <c r="M1" t="inlineStr">
        <is>
          <t>DuplicateRule</t>
        </is>
      </c>
      <c r="N1" t="inlineStr">
        <is>
          <t>CandidateCount</t>
        </is>
      </c>
      <c r="O1" t="inlineStr">
        <is>
          <t>ProposedDisposition</t>
        </is>
      </c>
      <c r="P1" t="inlineStr">
        <is>
          <t>CanonicalModelID</t>
        </is>
      </c>
      <c r="Q1" t="inlineStr">
        <is>
          <t>DecisionBasis</t>
        </is>
      </c>
      <c r="R1" t="inlineStr">
        <is>
          <t>ReviewedBy</t>
        </is>
      </c>
      <c r="S1" t="inlineStr">
        <is>
          <t>ReviewedDate</t>
        </is>
      </c>
      <c r="T1" t="inlineStr">
        <is>
          <t>ApprovalStatus</t>
        </is>
      </c>
      <c r="U1" t="inlineStr">
        <is>
          <t>Notes</t>
        </is>
      </c>
    </row>
    <row r="2">
      <c r="A2" t="inlineStr">
        <is>
          <t>MDUP0001</t>
        </is>
      </c>
      <c r="B2" t="inlineStr">
        <is>
          <t>MOD000086</t>
        </is>
      </c>
      <c r="C2" t="inlineStr">
        <is>
          <t>MFG001</t>
        </is>
      </c>
      <c r="D2" t="inlineStr"/>
      <c r="E2" t="inlineStr">
        <is>
          <t>DF006</t>
        </is>
      </c>
      <c r="F2" t="inlineStr"/>
      <c r="G2" t="inlineStr">
        <is>
          <t>DT003</t>
        </is>
      </c>
      <c r="H2" t="inlineStr"/>
      <c r="I2" t="inlineStr">
        <is>
          <t>MacBook (Late 2008 Aluminum)</t>
        </is>
      </c>
      <c r="J2" t="inlineStr">
        <is>
          <t>A1278</t>
        </is>
      </c>
      <c r="K2" t="n">
        <v>2008</v>
      </c>
      <c r="L2" t="inlineStr">
        <is>
          <t>Yes</t>
        </is>
      </c>
      <c r="M2" t="inlineStr">
        <is>
          <t>R1</t>
        </is>
      </c>
      <c r="N2" t="n">
        <v>2</v>
      </c>
      <c r="O2" t="inlineStr">
        <is>
          <t>Pending Review</t>
        </is>
      </c>
      <c r="P2" t="inlineStr"/>
      <c r="Q2" t="inlineStr">
        <is>
          <t>Duplicate candidate only; not adjudicated.</t>
        </is>
      </c>
      <c r="R2" t="inlineStr"/>
      <c r="S2" t="inlineStr"/>
      <c r="T2" t="inlineStr">
        <is>
          <t>Not Approved</t>
        </is>
      </c>
      <c r="U2" t="inlineStr"/>
    </row>
    <row r="3">
      <c r="A3" t="inlineStr">
        <is>
          <t>MDUP0001</t>
        </is>
      </c>
      <c r="B3" t="inlineStr">
        <is>
          <t>MOD000097</t>
        </is>
      </c>
      <c r="C3" t="inlineStr">
        <is>
          <t>MFG001</t>
        </is>
      </c>
      <c r="D3" t="inlineStr"/>
      <c r="E3" t="inlineStr">
        <is>
          <t>DF008</t>
        </is>
      </c>
      <c r="F3" t="inlineStr"/>
      <c r="G3" t="inlineStr">
        <is>
          <t>DT003</t>
        </is>
      </c>
      <c r="H3" t="inlineStr"/>
      <c r="I3" t="inlineStr">
        <is>
          <t>MacBook Pro 13-inch (Intel)</t>
        </is>
      </c>
      <c r="J3" t="inlineStr">
        <is>
          <t>A1278</t>
        </is>
      </c>
      <c r="K3" t="n">
        <v>2009</v>
      </c>
      <c r="L3" t="inlineStr">
        <is>
          <t>Yes</t>
        </is>
      </c>
      <c r="M3" t="inlineStr">
        <is>
          <t>R1</t>
        </is>
      </c>
      <c r="N3" t="n">
        <v>2</v>
      </c>
      <c r="O3" t="inlineStr">
        <is>
          <t>Pending Review</t>
        </is>
      </c>
      <c r="P3" t="inlineStr"/>
      <c r="Q3" t="inlineStr">
        <is>
          <t>Duplicate candidate only; not adjudicated.</t>
        </is>
      </c>
      <c r="R3" t="inlineStr"/>
      <c r="S3" t="inlineStr"/>
      <c r="T3" t="inlineStr">
        <is>
          <t>Not Approved</t>
        </is>
      </c>
      <c r="U3" t="inlineStr"/>
    </row>
    <row r="4">
      <c r="A4" t="inlineStr">
        <is>
          <t>MDUP0002</t>
        </is>
      </c>
      <c r="B4" t="inlineStr">
        <is>
          <t>MOD000117</t>
        </is>
      </c>
      <c r="C4" t="inlineStr">
        <is>
          <t>MFG001</t>
        </is>
      </c>
      <c r="D4" t="inlineStr"/>
      <c r="E4" t="inlineStr">
        <is>
          <t>DF012</t>
        </is>
      </c>
      <c r="F4" t="inlineStr"/>
      <c r="G4" t="inlineStr">
        <is>
          <t>DT004</t>
        </is>
      </c>
      <c r="H4" t="inlineStr"/>
      <c r="I4" t="inlineStr">
        <is>
          <t>Mac Studio (M1 Max)</t>
        </is>
      </c>
      <c r="J4" t="inlineStr">
        <is>
          <t>A2615</t>
        </is>
      </c>
      <c r="K4" t="n">
        <v>2022</v>
      </c>
      <c r="L4" t="inlineStr">
        <is>
          <t>Yes</t>
        </is>
      </c>
      <c r="M4" t="inlineStr">
        <is>
          <t>R1</t>
        </is>
      </c>
      <c r="N4" t="n">
        <v>2</v>
      </c>
      <c r="O4" t="inlineStr">
        <is>
          <t>Pending Review</t>
        </is>
      </c>
      <c r="P4" t="inlineStr"/>
      <c r="Q4" t="inlineStr">
        <is>
          <t>Duplicate candidate only; not adjudicated.</t>
        </is>
      </c>
      <c r="R4" t="inlineStr"/>
      <c r="S4" t="inlineStr"/>
      <c r="T4" t="inlineStr">
        <is>
          <t>Not Approved</t>
        </is>
      </c>
      <c r="U4" t="inlineStr"/>
    </row>
    <row r="5">
      <c r="A5" t="inlineStr">
        <is>
          <t>MDUP0002</t>
        </is>
      </c>
      <c r="B5" t="inlineStr">
        <is>
          <t>MOD000118</t>
        </is>
      </c>
      <c r="C5" t="inlineStr">
        <is>
          <t>MFG001</t>
        </is>
      </c>
      <c r="D5" t="inlineStr"/>
      <c r="E5" t="inlineStr">
        <is>
          <t>DF012</t>
        </is>
      </c>
      <c r="F5" t="inlineStr"/>
      <c r="G5" t="inlineStr">
        <is>
          <t>DT004</t>
        </is>
      </c>
      <c r="H5" t="inlineStr"/>
      <c r="I5" t="inlineStr">
        <is>
          <t>Mac Studio (M1 Ultra)</t>
        </is>
      </c>
      <c r="J5" t="inlineStr">
        <is>
          <t>A2615</t>
        </is>
      </c>
      <c r="K5" t="n">
        <v>2022</v>
      </c>
      <c r="L5" t="inlineStr">
        <is>
          <t>Yes</t>
        </is>
      </c>
      <c r="M5" t="inlineStr">
        <is>
          <t>R1</t>
        </is>
      </c>
      <c r="N5" t="n">
        <v>2</v>
      </c>
      <c r="O5" t="inlineStr">
        <is>
          <t>Pending Review</t>
        </is>
      </c>
      <c r="P5" t="inlineStr"/>
      <c r="Q5" t="inlineStr">
        <is>
          <t>Duplicate candidate only; not adjudicated.</t>
        </is>
      </c>
      <c r="R5" t="inlineStr"/>
      <c r="S5" t="inlineStr"/>
      <c r="T5" t="inlineStr">
        <is>
          <t>Not Approved</t>
        </is>
      </c>
      <c r="U5" t="inlineStr"/>
    </row>
    <row r="6">
      <c r="A6" t="inlineStr">
        <is>
          <t>MDUP0003</t>
        </is>
      </c>
      <c r="B6" t="inlineStr">
        <is>
          <t>MOD000119</t>
        </is>
      </c>
      <c r="C6" t="inlineStr">
        <is>
          <t>MFG001</t>
        </is>
      </c>
      <c r="D6" t="inlineStr"/>
      <c r="E6" t="inlineStr">
        <is>
          <t>DF012</t>
        </is>
      </c>
      <c r="F6" t="inlineStr"/>
      <c r="G6" t="inlineStr">
        <is>
          <t>DT004</t>
        </is>
      </c>
      <c r="H6" t="inlineStr"/>
      <c r="I6" t="inlineStr">
        <is>
          <t>Mac Studio (M2 Max)</t>
        </is>
      </c>
      <c r="J6" t="inlineStr">
        <is>
          <t>A2901</t>
        </is>
      </c>
      <c r="K6" t="n">
        <v>2023</v>
      </c>
      <c r="L6" t="inlineStr">
        <is>
          <t>Yes</t>
        </is>
      </c>
      <c r="M6" t="inlineStr">
        <is>
          <t>R1</t>
        </is>
      </c>
      <c r="N6" t="n">
        <v>2</v>
      </c>
      <c r="O6" t="inlineStr">
        <is>
          <t>Pending Review</t>
        </is>
      </c>
      <c r="P6" t="inlineStr"/>
      <c r="Q6" t="inlineStr">
        <is>
          <t>Duplicate candidate only; not adjudicated.</t>
        </is>
      </c>
      <c r="R6" t="inlineStr"/>
      <c r="S6" t="inlineStr"/>
      <c r="T6" t="inlineStr">
        <is>
          <t>Not Approved</t>
        </is>
      </c>
      <c r="U6" t="inlineStr"/>
    </row>
    <row r="7">
      <c r="A7" t="inlineStr">
        <is>
          <t>MDUP0003</t>
        </is>
      </c>
      <c r="B7" t="inlineStr">
        <is>
          <t>MOD000120</t>
        </is>
      </c>
      <c r="C7" t="inlineStr">
        <is>
          <t>MFG001</t>
        </is>
      </c>
      <c r="D7" t="inlineStr"/>
      <c r="E7" t="inlineStr">
        <is>
          <t>DF012</t>
        </is>
      </c>
      <c r="F7" t="inlineStr"/>
      <c r="G7" t="inlineStr">
        <is>
          <t>DT004</t>
        </is>
      </c>
      <c r="H7" t="inlineStr"/>
      <c r="I7" t="inlineStr">
        <is>
          <t>Mac Studio (M2 Ultra)</t>
        </is>
      </c>
      <c r="J7" t="inlineStr">
        <is>
          <t>A2901</t>
        </is>
      </c>
      <c r="K7" t="n">
        <v>2023</v>
      </c>
      <c r="L7" t="inlineStr">
        <is>
          <t>Yes</t>
        </is>
      </c>
      <c r="M7" t="inlineStr">
        <is>
          <t>R1</t>
        </is>
      </c>
      <c r="N7" t="n">
        <v>2</v>
      </c>
      <c r="O7" t="inlineStr">
        <is>
          <t>Pending Review</t>
        </is>
      </c>
      <c r="P7" t="inlineStr"/>
      <c r="Q7" t="inlineStr">
        <is>
          <t>Duplicate candidate only; not adjudicated.</t>
        </is>
      </c>
      <c r="R7" t="inlineStr"/>
      <c r="S7" t="inlineStr"/>
      <c r="T7" t="inlineStr">
        <is>
          <t>Not Approved</t>
        </is>
      </c>
      <c r="U7" t="inlineStr"/>
    </row>
    <row r="8">
      <c r="A8" t="inlineStr">
        <is>
          <t>MDUP0004</t>
        </is>
      </c>
      <c r="B8" t="inlineStr">
        <is>
          <t>MOD000483</t>
        </is>
      </c>
      <c r="C8" t="inlineStr">
        <is>
          <t>MFG008</t>
        </is>
      </c>
      <c r="D8" t="inlineStr"/>
      <c r="E8" t="inlineStr">
        <is>
          <t>DF081</t>
        </is>
      </c>
      <c r="F8" t="inlineStr"/>
      <c r="G8" t="inlineStr">
        <is>
          <t>DT001</t>
        </is>
      </c>
      <c r="H8" t="inlineStr"/>
      <c r="I8" t="inlineStr">
        <is>
          <t>ROG Phone 8 Pro</t>
        </is>
      </c>
      <c r="J8" t="inlineStr">
        <is>
          <t>AI2401</t>
        </is>
      </c>
      <c r="K8" t="n">
        <v>2024</v>
      </c>
      <c r="L8" t="inlineStr">
        <is>
          <t>Yes</t>
        </is>
      </c>
      <c r="M8" t="inlineStr">
        <is>
          <t>R1</t>
        </is>
      </c>
      <c r="N8" t="n">
        <v>3</v>
      </c>
      <c r="O8" t="inlineStr">
        <is>
          <t>Pending Review</t>
        </is>
      </c>
      <c r="P8" t="inlineStr"/>
      <c r="Q8" t="inlineStr">
        <is>
          <t>Duplicate candidate only; not adjudicated.</t>
        </is>
      </c>
      <c r="R8" t="inlineStr"/>
      <c r="S8" t="inlineStr"/>
      <c r="T8" t="inlineStr">
        <is>
          <t>Not Approved</t>
        </is>
      </c>
      <c r="U8" t="inlineStr"/>
    </row>
    <row r="9">
      <c r="A9" t="inlineStr">
        <is>
          <t>MDUP0004</t>
        </is>
      </c>
      <c r="B9" t="inlineStr">
        <is>
          <t>MOD000490</t>
        </is>
      </c>
      <c r="C9" t="inlineStr">
        <is>
          <t>MFG008</t>
        </is>
      </c>
      <c r="D9" t="inlineStr"/>
      <c r="E9" t="inlineStr">
        <is>
          <t>DF081</t>
        </is>
      </c>
      <c r="F9" t="inlineStr"/>
      <c r="G9" t="inlineStr">
        <is>
          <t>DT001</t>
        </is>
      </c>
      <c r="H9" t="inlineStr"/>
      <c r="I9" t="inlineStr">
        <is>
          <t>ROG Phone 8</t>
        </is>
      </c>
      <c r="J9" t="inlineStr">
        <is>
          <t>AI2401</t>
        </is>
      </c>
      <c r="K9" t="n">
        <v>2024</v>
      </c>
      <c r="L9" t="inlineStr">
        <is>
          <t>Yes</t>
        </is>
      </c>
      <c r="M9" t="inlineStr">
        <is>
          <t>R1</t>
        </is>
      </c>
      <c r="N9" t="n">
        <v>3</v>
      </c>
      <c r="O9" t="inlineStr">
        <is>
          <t>Pending Review</t>
        </is>
      </c>
      <c r="P9" t="inlineStr"/>
      <c r="Q9" t="inlineStr">
        <is>
          <t>Duplicate candidate only; not adjudicated.</t>
        </is>
      </c>
      <c r="R9" t="inlineStr"/>
      <c r="S9" t="inlineStr"/>
      <c r="T9" t="inlineStr">
        <is>
          <t>Not Approved</t>
        </is>
      </c>
      <c r="U9" t="inlineStr"/>
    </row>
    <row r="10">
      <c r="A10" t="inlineStr">
        <is>
          <t>MDUP0004</t>
        </is>
      </c>
      <c r="B10" t="inlineStr">
        <is>
          <t>MOD000491</t>
        </is>
      </c>
      <c r="C10" t="inlineStr">
        <is>
          <t>MFG008</t>
        </is>
      </c>
      <c r="D10" t="inlineStr"/>
      <c r="E10" t="inlineStr">
        <is>
          <t>DF080</t>
        </is>
      </c>
      <c r="F10" t="inlineStr"/>
      <c r="G10" t="inlineStr">
        <is>
          <t>DT001</t>
        </is>
      </c>
      <c r="H10" t="inlineStr"/>
      <c r="I10" t="inlineStr">
        <is>
          <t>Zenfone 11 Ultra</t>
        </is>
      </c>
      <c r="J10" t="inlineStr">
        <is>
          <t>AI2401</t>
        </is>
      </c>
      <c r="K10" t="n">
        <v>2024</v>
      </c>
      <c r="L10" t="inlineStr">
        <is>
          <t>Yes</t>
        </is>
      </c>
      <c r="M10" t="inlineStr">
        <is>
          <t>R1</t>
        </is>
      </c>
      <c r="N10" t="n">
        <v>3</v>
      </c>
      <c r="O10" t="inlineStr">
        <is>
          <t>Pending Review</t>
        </is>
      </c>
      <c r="P10" t="inlineStr"/>
      <c r="Q10" t="inlineStr">
        <is>
          <t>Duplicate candidate only; not adjudicated.</t>
        </is>
      </c>
      <c r="R10" t="inlineStr"/>
      <c r="S10" t="inlineStr"/>
      <c r="T10" t="inlineStr">
        <is>
          <t>Not Approved</t>
        </is>
      </c>
      <c r="U10" t="inlineStr"/>
    </row>
    <row r="11">
      <c r="A11" t="inlineStr">
        <is>
          <t>MDUP0005</t>
        </is>
      </c>
      <c r="B11" t="inlineStr">
        <is>
          <t>MOD000486</t>
        </is>
      </c>
      <c r="C11" t="inlineStr">
        <is>
          <t>MFG008</t>
        </is>
      </c>
      <c r="D11" t="inlineStr"/>
      <c r="E11" t="inlineStr">
        <is>
          <t>DF081</t>
        </is>
      </c>
      <c r="F11" t="inlineStr"/>
      <c r="G11" t="inlineStr">
        <is>
          <t>DT001</t>
        </is>
      </c>
      <c r="H11" t="inlineStr"/>
      <c r="I11" t="inlineStr">
        <is>
          <t>ROG Phone 6</t>
        </is>
      </c>
      <c r="J11" t="inlineStr">
        <is>
          <t>AI2201</t>
        </is>
      </c>
      <c r="K11" t="n">
        <v>2022</v>
      </c>
      <c r="L11" t="inlineStr">
        <is>
          <t>Yes</t>
        </is>
      </c>
      <c r="M11" t="inlineStr">
        <is>
          <t>R1</t>
        </is>
      </c>
      <c r="N11" t="n">
        <v>2</v>
      </c>
      <c r="O11" t="inlineStr">
        <is>
          <t>Pending Review</t>
        </is>
      </c>
      <c r="P11" t="inlineStr"/>
      <c r="Q11" t="inlineStr">
        <is>
          <t>Duplicate candidate only; not adjudicated.</t>
        </is>
      </c>
      <c r="R11" t="inlineStr"/>
      <c r="S11" t="inlineStr"/>
      <c r="T11" t="inlineStr">
        <is>
          <t>Not Approved</t>
        </is>
      </c>
      <c r="U11" t="inlineStr"/>
    </row>
    <row r="12">
      <c r="A12" t="inlineStr">
        <is>
          <t>MDUP0005</t>
        </is>
      </c>
      <c r="B12" t="inlineStr">
        <is>
          <t>MOD000487</t>
        </is>
      </c>
      <c r="C12" t="inlineStr">
        <is>
          <t>MFG008</t>
        </is>
      </c>
      <c r="D12" t="inlineStr"/>
      <c r="E12" t="inlineStr">
        <is>
          <t>DF081</t>
        </is>
      </c>
      <c r="F12" t="inlineStr"/>
      <c r="G12" t="inlineStr">
        <is>
          <t>DT001</t>
        </is>
      </c>
      <c r="H12" t="inlineStr"/>
      <c r="I12" t="inlineStr">
        <is>
          <t>ROG Phone 6 Pro</t>
        </is>
      </c>
      <c r="J12" t="inlineStr">
        <is>
          <t>AI2201</t>
        </is>
      </c>
      <c r="K12" t="n">
        <v>2022</v>
      </c>
      <c r="L12" t="inlineStr">
        <is>
          <t>Yes</t>
        </is>
      </c>
      <c r="M12" t="inlineStr">
        <is>
          <t>R1</t>
        </is>
      </c>
      <c r="N12" t="n">
        <v>2</v>
      </c>
      <c r="O12" t="inlineStr">
        <is>
          <t>Pending Review</t>
        </is>
      </c>
      <c r="P12" t="inlineStr"/>
      <c r="Q12" t="inlineStr">
        <is>
          <t>Duplicate candidate only; not adjudicated.</t>
        </is>
      </c>
      <c r="R12" t="inlineStr"/>
      <c r="S12" t="inlineStr"/>
      <c r="T12" t="inlineStr">
        <is>
          <t>Not Approved</t>
        </is>
      </c>
      <c r="U12" t="inlineStr"/>
    </row>
    <row r="13">
      <c r="A13" t="inlineStr">
        <is>
          <t>MDUP0006</t>
        </is>
      </c>
      <c r="B13" t="inlineStr">
        <is>
          <t>MOD000488</t>
        </is>
      </c>
      <c r="C13" t="inlineStr">
        <is>
          <t>MFG008</t>
        </is>
      </c>
      <c r="D13" t="inlineStr"/>
      <c r="E13" t="inlineStr">
        <is>
          <t>DF081</t>
        </is>
      </c>
      <c r="F13" t="inlineStr"/>
      <c r="G13" t="inlineStr">
        <is>
          <t>DT001</t>
        </is>
      </c>
      <c r="H13" t="inlineStr"/>
      <c r="I13" t="inlineStr">
        <is>
          <t>ROG Phone 7</t>
        </is>
      </c>
      <c r="J13" t="inlineStr">
        <is>
          <t>AI2205</t>
        </is>
      </c>
      <c r="K13" t="n">
        <v>2023</v>
      </c>
      <c r="L13" t="inlineStr">
        <is>
          <t>Yes</t>
        </is>
      </c>
      <c r="M13" t="inlineStr">
        <is>
          <t>R1</t>
        </is>
      </c>
      <c r="N13" t="n">
        <v>2</v>
      </c>
      <c r="O13" t="inlineStr">
        <is>
          <t>Pending Review</t>
        </is>
      </c>
      <c r="P13" t="inlineStr"/>
      <c r="Q13" t="inlineStr">
        <is>
          <t>Duplicate candidate only; not adjudicated.</t>
        </is>
      </c>
      <c r="R13" t="inlineStr"/>
      <c r="S13" t="inlineStr"/>
      <c r="T13" t="inlineStr">
        <is>
          <t>Not Approved</t>
        </is>
      </c>
      <c r="U13" t="inlineStr"/>
    </row>
    <row r="14">
      <c r="A14" t="inlineStr">
        <is>
          <t>MDUP0006</t>
        </is>
      </c>
      <c r="B14" t="inlineStr">
        <is>
          <t>MOD000489</t>
        </is>
      </c>
      <c r="C14" t="inlineStr">
        <is>
          <t>MFG008</t>
        </is>
      </c>
      <c r="D14" t="inlineStr"/>
      <c r="E14" t="inlineStr">
        <is>
          <t>DF081</t>
        </is>
      </c>
      <c r="F14" t="inlineStr"/>
      <c r="G14" t="inlineStr">
        <is>
          <t>DT001</t>
        </is>
      </c>
      <c r="H14" t="inlineStr"/>
      <c r="I14" t="inlineStr">
        <is>
          <t>ROG Phone 7 Ultimate</t>
        </is>
      </c>
      <c r="J14" t="inlineStr">
        <is>
          <t>AI2205</t>
        </is>
      </c>
      <c r="K14" t="n">
        <v>2023</v>
      </c>
      <c r="L14" t="inlineStr">
        <is>
          <t>Yes</t>
        </is>
      </c>
      <c r="M14" t="inlineStr">
        <is>
          <t>R1</t>
        </is>
      </c>
      <c r="N14" t="n">
        <v>2</v>
      </c>
      <c r="O14" t="inlineStr">
        <is>
          <t>Pending Review</t>
        </is>
      </c>
      <c r="P14" t="inlineStr"/>
      <c r="Q14" t="inlineStr">
        <is>
          <t>Duplicate candidate only; not adjudicated.</t>
        </is>
      </c>
      <c r="R14" t="inlineStr"/>
      <c r="S14" t="inlineStr"/>
      <c r="T14" t="inlineStr">
        <is>
          <t>Not Approved</t>
        </is>
      </c>
      <c r="U14" t="inlineStr"/>
    </row>
  </sheetData>
  <autoFilter ref="A1:U14"/>
  <dataValidations count="2">
    <dataValidation sqref="O2:O14" showDropDown="0" showInputMessage="0" showErrorMessage="0" allowBlank="1" type="list">
      <formula1>"Pending Review,Keep Separate,Merge Proposed,Rename Proposed,Parent-Child Relationship,Invalid Record,Escalate"</formula1>
    </dataValidation>
    <dataValidation sqref="T2:T14" showDropDown="0" showInputMessage="0" showErrorMessage="0" allowBlank="1" type="list">
      <formula1>"Not Approved,Approved,Rejected,Escalated"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42" min="1" max="1"/>
    <col width="19" customWidth="1" style="42" min="2" max="2"/>
    <col width="37" customWidth="1" style="42" min="3" max="3"/>
    <col width="13" customWidth="1" style="42" min="4" max="4"/>
    <col width="9" customWidth="1" style="42" min="5" max="5"/>
    <col width="10" customWidth="1" style="42" min="6" max="6"/>
    <col width="19" customWidth="1" style="42" min="7" max="7"/>
    <col width="7" customWidth="1" style="42" min="8" max="8"/>
  </cols>
  <sheetData>
    <row r="1">
      <c r="A1" t="inlineStr">
        <is>
          <t>CheckID</t>
        </is>
      </c>
      <c r="B1" t="inlineStr">
        <is>
          <t>CheckCategory</t>
        </is>
      </c>
      <c r="C1" t="inlineStr">
        <is>
          <t>CheckDescription</t>
        </is>
      </c>
      <c r="D1" t="inlineStr">
        <is>
          <t>ResultCount</t>
        </is>
      </c>
      <c r="E1" t="inlineStr">
        <is>
          <t>Status</t>
        </is>
      </c>
      <c r="F1" t="inlineStr">
        <is>
          <t>Blocking</t>
        </is>
      </c>
      <c r="G1" t="inlineStr">
        <is>
          <t>EvidenceReference</t>
        </is>
      </c>
      <c r="H1" t="inlineStr">
        <is>
          <t>Notes</t>
        </is>
      </c>
    </row>
    <row r="2">
      <c r="A2" t="inlineStr">
        <is>
          <t>AUD001</t>
        </is>
      </c>
      <c r="B2" t="inlineStr">
        <is>
          <t>Lookup Governance</t>
        </is>
      </c>
      <c r="C2" t="inlineStr">
        <is>
          <t>Lookup worksheet count</t>
        </is>
      </c>
      <c r="D2" t="n">
        <v>8</v>
      </c>
      <c r="E2" t="inlineStr">
        <is>
          <t>WARNING</t>
        </is>
      </c>
      <c r="F2" t="inlineStr">
        <is>
          <t>No</t>
        </is>
      </c>
      <c r="G2" t="inlineStr">
        <is>
          <t>Generated audit</t>
        </is>
      </c>
      <c r="H2" t="inlineStr"/>
    </row>
    <row r="3">
      <c r="A3" t="inlineStr">
        <is>
          <t>AUD002</t>
        </is>
      </c>
      <c r="B3" t="inlineStr">
        <is>
          <t>Lookup Governance</t>
        </is>
      </c>
      <c r="C3" t="inlineStr">
        <is>
          <t>Lookup table count</t>
        </is>
      </c>
      <c r="D3" t="n">
        <v>49</v>
      </c>
      <c r="E3" t="inlineStr">
        <is>
          <t>WARNING</t>
        </is>
      </c>
      <c r="F3" t="inlineStr">
        <is>
          <t>No</t>
        </is>
      </c>
      <c r="G3" t="inlineStr">
        <is>
          <t>Generated audit</t>
        </is>
      </c>
      <c r="H3" t="inlineStr"/>
    </row>
    <row r="4">
      <c r="A4" t="inlineStr">
        <is>
          <t>AUD003</t>
        </is>
      </c>
      <c r="B4" t="inlineStr">
        <is>
          <t>Lookup Governance</t>
        </is>
      </c>
      <c r="C4" t="inlineStr">
        <is>
          <t>Total lookup records</t>
        </is>
      </c>
      <c r="D4" t="n">
        <v>1219</v>
      </c>
      <c r="E4" t="inlineStr">
        <is>
          <t>WARNING</t>
        </is>
      </c>
      <c r="F4" t="inlineStr">
        <is>
          <t>No</t>
        </is>
      </c>
      <c r="G4" t="inlineStr">
        <is>
          <t>Generated audit</t>
        </is>
      </c>
      <c r="H4" t="inlineStr"/>
    </row>
    <row r="5">
      <c r="A5" t="inlineStr">
        <is>
          <t>AUD004</t>
        </is>
      </c>
      <c r="B5" t="inlineStr">
        <is>
          <t>Lookup Governance</t>
        </is>
      </c>
      <c r="C5" t="inlineStr">
        <is>
          <t>Blank primary ID count</t>
        </is>
      </c>
      <c r="D5" t="n">
        <v>2</v>
      </c>
      <c r="E5" t="inlineStr">
        <is>
          <t>WARNING</t>
        </is>
      </c>
      <c r="F5" t="inlineStr">
        <is>
          <t>No</t>
        </is>
      </c>
      <c r="G5" t="inlineStr">
        <is>
          <t>Generated audit</t>
        </is>
      </c>
      <c r="H5" t="inlineStr"/>
    </row>
    <row r="6">
      <c r="A6" t="inlineStr">
        <is>
          <t>AUD005</t>
        </is>
      </c>
      <c r="B6" t="inlineStr">
        <is>
          <t>Lookup Governance</t>
        </is>
      </c>
      <c r="C6" t="inlineStr">
        <is>
          <t>Duplicate primary ID count</t>
        </is>
      </c>
      <c r="D6" t="n">
        <v>55</v>
      </c>
      <c r="E6" t="inlineStr">
        <is>
          <t>WARNING</t>
        </is>
      </c>
      <c r="F6" t="inlineStr">
        <is>
          <t>No</t>
        </is>
      </c>
      <c r="G6" t="inlineStr">
        <is>
          <t>Generated audit</t>
        </is>
      </c>
      <c r="H6" t="inlineStr"/>
    </row>
    <row r="7">
      <c r="A7" t="inlineStr">
        <is>
          <t>AUD006</t>
        </is>
      </c>
      <c r="B7" t="inlineStr">
        <is>
          <t>Lookup Governance</t>
        </is>
      </c>
      <c r="C7" t="inlineStr">
        <is>
          <t>Duplicate active-label count</t>
        </is>
      </c>
      <c r="D7" t="n">
        <v>56</v>
      </c>
      <c r="E7" t="inlineStr">
        <is>
          <t>WARNING</t>
        </is>
      </c>
      <c r="F7" t="inlineStr">
        <is>
          <t>No</t>
        </is>
      </c>
      <c r="G7" t="inlineStr">
        <is>
          <t>Generated audit</t>
        </is>
      </c>
      <c r="H7" t="inlineStr"/>
    </row>
    <row r="8">
      <c r="A8" t="inlineStr">
        <is>
          <t>AUD007</t>
        </is>
      </c>
      <c r="B8" t="inlineStr">
        <is>
          <t>Lookup Governance</t>
        </is>
      </c>
      <c r="C8" t="inlineStr">
        <is>
          <t>Invalid ID-format count</t>
        </is>
      </c>
      <c r="D8" t="n">
        <v>0</v>
      </c>
      <c r="E8" t="inlineStr">
        <is>
          <t>PASS</t>
        </is>
      </c>
      <c r="F8" t="inlineStr">
        <is>
          <t>No</t>
        </is>
      </c>
      <c r="G8" t="inlineStr">
        <is>
          <t>Generated audit</t>
        </is>
      </c>
      <c r="H8" t="inlineStr"/>
    </row>
    <row r="9">
      <c r="A9" t="inlineStr">
        <is>
          <t>AUD008</t>
        </is>
      </c>
      <c r="B9" t="inlineStr">
        <is>
          <t>Lookup Governance</t>
        </is>
      </c>
      <c r="C9" t="inlineStr">
        <is>
          <t>Tables requiring manual review</t>
        </is>
      </c>
      <c r="D9" t="n">
        <v>5</v>
      </c>
      <c r="E9" t="inlineStr">
        <is>
          <t>WARNING</t>
        </is>
      </c>
      <c r="F9" t="inlineStr">
        <is>
          <t>No</t>
        </is>
      </c>
      <c r="G9" t="inlineStr">
        <is>
          <t>Generated audit</t>
        </is>
      </c>
      <c r="H9" t="inlineStr"/>
    </row>
    <row r="10">
      <c r="A10" t="inlineStr">
        <is>
          <t>AUD009</t>
        </is>
      </c>
      <c r="B10" t="inlineStr">
        <is>
          <t>Lookup Governance</t>
        </is>
      </c>
      <c r="C10" t="inlineStr">
        <is>
          <t>Crosswalk table count</t>
        </is>
      </c>
      <c r="D10" t="n">
        <v>3</v>
      </c>
      <c r="E10" t="inlineStr">
        <is>
          <t>WARNING</t>
        </is>
      </c>
      <c r="F10" t="inlineStr">
        <is>
          <t>No</t>
        </is>
      </c>
      <c r="G10" t="inlineStr">
        <is>
          <t>Generated audit</t>
        </is>
      </c>
      <c r="H10" t="inlineStr"/>
    </row>
    <row r="11">
      <c r="A11" t="inlineStr">
        <is>
          <t>AUD010</t>
        </is>
      </c>
      <c r="B11" t="inlineStr">
        <is>
          <t>Lookup Governance</t>
        </is>
      </c>
      <c r="C11" t="inlineStr">
        <is>
          <t>Manufacturer crosswalk row count</t>
        </is>
      </c>
      <c r="D11" t="n">
        <v>20</v>
      </c>
      <c r="E11" t="inlineStr">
        <is>
          <t>WARNING</t>
        </is>
      </c>
      <c r="F11" t="inlineStr">
        <is>
          <t>No</t>
        </is>
      </c>
      <c r="G11" t="inlineStr">
        <is>
          <t>Generated audit</t>
        </is>
      </c>
      <c r="H11" t="inlineStr"/>
    </row>
    <row r="12">
      <c r="A12" t="inlineStr">
        <is>
          <t>AUD011</t>
        </is>
      </c>
      <c r="B12" t="inlineStr">
        <is>
          <t>Lookup Governance</t>
        </is>
      </c>
      <c r="C12" t="inlineStr">
        <is>
          <t>Device-family crosswalk row count</t>
        </is>
      </c>
      <c r="D12" t="n">
        <v>127</v>
      </c>
      <c r="E12" t="inlineStr">
        <is>
          <t>WARNING</t>
        </is>
      </c>
      <c r="F12" t="inlineStr">
        <is>
          <t>No</t>
        </is>
      </c>
      <c r="G12" t="inlineStr">
        <is>
          <t>Generated audit</t>
        </is>
      </c>
      <c r="H12" t="inlineStr"/>
    </row>
    <row r="13">
      <c r="A13" t="inlineStr">
        <is>
          <t>AUD012</t>
        </is>
      </c>
      <c r="B13" t="inlineStr">
        <is>
          <t>Lookup Governance</t>
        </is>
      </c>
      <c r="C13" t="inlineStr">
        <is>
          <t>Device-type crosswalk row count</t>
        </is>
      </c>
      <c r="D13" t="n">
        <v>12</v>
      </c>
      <c r="E13" t="inlineStr">
        <is>
          <t>WARNING</t>
        </is>
      </c>
      <c r="F13" t="inlineStr">
        <is>
          <t>No</t>
        </is>
      </c>
      <c r="G13" t="inlineStr">
        <is>
          <t>Generated audit</t>
        </is>
      </c>
      <c r="H13" t="inlineStr"/>
    </row>
    <row r="14">
      <c r="A14" t="inlineStr">
        <is>
          <t>AUD013</t>
        </is>
      </c>
      <c r="B14" t="inlineStr">
        <is>
          <t>Lookup Governance</t>
        </is>
      </c>
      <c r="C14" t="inlineStr">
        <is>
          <t>Other crosswalk row count</t>
        </is>
      </c>
      <c r="D14" t="n">
        <v>0</v>
      </c>
      <c r="E14" t="inlineStr">
        <is>
          <t>PASS</t>
        </is>
      </c>
      <c r="F14" t="inlineStr">
        <is>
          <t>No</t>
        </is>
      </c>
      <c r="G14" t="inlineStr">
        <is>
          <t>Generated audit</t>
        </is>
      </c>
      <c r="H14" t="inlineStr"/>
    </row>
    <row r="15">
      <c r="A15" t="inlineStr">
        <is>
          <t>AUD014</t>
        </is>
      </c>
      <c r="B15" t="inlineStr">
        <is>
          <t>Lookup Governance</t>
        </is>
      </c>
      <c r="C15" t="inlineStr">
        <is>
          <t>High-confidence proposals</t>
        </is>
      </c>
      <c r="D15" t="n">
        <v>0</v>
      </c>
      <c r="E15" t="inlineStr">
        <is>
          <t>PASS</t>
        </is>
      </c>
      <c r="F15" t="inlineStr">
        <is>
          <t>No</t>
        </is>
      </c>
      <c r="G15" t="inlineStr">
        <is>
          <t>Generated audit</t>
        </is>
      </c>
      <c r="H15" t="inlineStr"/>
    </row>
    <row r="16">
      <c r="A16" t="inlineStr">
        <is>
          <t>AUD015</t>
        </is>
      </c>
      <c r="B16" t="inlineStr">
        <is>
          <t>Lookup Governance</t>
        </is>
      </c>
      <c r="C16" t="inlineStr">
        <is>
          <t>Medium-confidence proposals</t>
        </is>
      </c>
      <c r="D16" t="n">
        <v>0</v>
      </c>
      <c r="E16" t="inlineStr">
        <is>
          <t>PASS</t>
        </is>
      </c>
      <c r="F16" t="inlineStr">
        <is>
          <t>No</t>
        </is>
      </c>
      <c r="G16" t="inlineStr">
        <is>
          <t>Generated audit</t>
        </is>
      </c>
      <c r="H16" t="inlineStr"/>
    </row>
    <row r="17">
      <c r="A17" t="inlineStr">
        <is>
          <t>AUD016</t>
        </is>
      </c>
      <c r="B17" t="inlineStr">
        <is>
          <t>Lookup Governance</t>
        </is>
      </c>
      <c r="C17" t="inlineStr">
        <is>
          <t>Low-confidence proposals</t>
        </is>
      </c>
      <c r="D17" t="n">
        <v>0</v>
      </c>
      <c r="E17" t="inlineStr">
        <is>
          <t>PASS</t>
        </is>
      </c>
      <c r="F17" t="inlineStr">
        <is>
          <t>No</t>
        </is>
      </c>
      <c r="G17" t="inlineStr">
        <is>
          <t>Generated audit</t>
        </is>
      </c>
      <c r="H17" t="inlineStr"/>
    </row>
    <row r="18">
      <c r="A18" t="inlineStr">
        <is>
          <t>AUD017</t>
        </is>
      </c>
      <c r="B18" t="inlineStr">
        <is>
          <t>Lookup Governance</t>
        </is>
      </c>
      <c r="C18" t="inlineStr">
        <is>
          <t>Multiple-candidate count</t>
        </is>
      </c>
      <c r="D18" t="n">
        <v>0</v>
      </c>
      <c r="E18" t="inlineStr">
        <is>
          <t>PASS</t>
        </is>
      </c>
      <c r="F18" t="inlineStr">
        <is>
          <t>No</t>
        </is>
      </c>
      <c r="G18" t="inlineStr">
        <is>
          <t>Generated audit</t>
        </is>
      </c>
      <c r="H18" t="inlineStr"/>
    </row>
    <row r="19">
      <c r="A19" t="inlineStr">
        <is>
          <t>AUD018</t>
        </is>
      </c>
      <c r="B19" t="inlineStr">
        <is>
          <t>Lookup Governance</t>
        </is>
      </c>
      <c r="C19" t="inlineStr">
        <is>
          <t>No-match count</t>
        </is>
      </c>
      <c r="D19" t="n">
        <v>0</v>
      </c>
      <c r="E19" t="inlineStr">
        <is>
          <t>PASS</t>
        </is>
      </c>
      <c r="F19" t="inlineStr">
        <is>
          <t>No</t>
        </is>
      </c>
      <c r="G19" t="inlineStr">
        <is>
          <t>Generated audit</t>
        </is>
      </c>
      <c r="H19" t="inlineStr"/>
    </row>
    <row r="20">
      <c r="A20" t="inlineStr">
        <is>
          <t>AUD019</t>
        </is>
      </c>
      <c r="B20" t="inlineStr">
        <is>
          <t>Lookup Governance</t>
        </is>
      </c>
      <c r="C20" t="inlineStr">
        <is>
          <t>Foreign-key exception count</t>
        </is>
      </c>
      <c r="D20" t="n">
        <v>1902</v>
      </c>
      <c r="E20" t="inlineStr">
        <is>
          <t>WARNING</t>
        </is>
      </c>
      <c r="F20" t="inlineStr">
        <is>
          <t>No</t>
        </is>
      </c>
      <c r="G20" t="inlineStr">
        <is>
          <t>Generated audit</t>
        </is>
      </c>
      <c r="H20" t="inlineStr"/>
    </row>
    <row r="21">
      <c r="A21" t="inlineStr">
        <is>
          <t>AUD020</t>
        </is>
      </c>
      <c r="B21" t="inlineStr">
        <is>
          <t>Lookup Governance</t>
        </is>
      </c>
      <c r="C21" t="inlineStr">
        <is>
          <t>Duplicate model group count</t>
        </is>
      </c>
      <c r="D21" t="n">
        <v>6</v>
      </c>
      <c r="E21" t="inlineStr">
        <is>
          <t>WARNING</t>
        </is>
      </c>
      <c r="F21" t="inlineStr">
        <is>
          <t>No</t>
        </is>
      </c>
      <c r="G21" t="inlineStr">
        <is>
          <t>Generated audit</t>
        </is>
      </c>
      <c r="H21" t="inlineStr"/>
    </row>
    <row r="22">
      <c r="A22" t="inlineStr">
        <is>
          <t>AUD021</t>
        </is>
      </c>
      <c r="B22" t="inlineStr">
        <is>
          <t>Lookup Governance</t>
        </is>
      </c>
      <c r="C22" t="inlineStr">
        <is>
          <t>Duplicate model candidate row count</t>
        </is>
      </c>
      <c r="D22" t="n">
        <v>13</v>
      </c>
      <c r="E22" t="inlineStr">
        <is>
          <t>WARNING</t>
        </is>
      </c>
      <c r="F22" t="inlineStr">
        <is>
          <t>No</t>
        </is>
      </c>
      <c r="G22" t="inlineStr">
        <is>
          <t>Generated audit</t>
        </is>
      </c>
      <c r="H22" t="inlineStr"/>
    </row>
    <row r="23">
      <c r="A23" t="inlineStr">
        <is>
          <t>AUD022</t>
        </is>
      </c>
      <c r="B23" t="inlineStr">
        <is>
          <t>Lookup Governance</t>
        </is>
      </c>
      <c r="C23" t="inlineStr">
        <is>
          <t>Data-dictionary row count</t>
        </is>
      </c>
      <c r="D23" t="n">
        <v>247</v>
      </c>
      <c r="E23" t="inlineStr">
        <is>
          <t>WARNING</t>
        </is>
      </c>
      <c r="F23" t="inlineStr">
        <is>
          <t>No</t>
        </is>
      </c>
      <c r="G23" t="inlineStr">
        <is>
          <t>Generated audit</t>
        </is>
      </c>
      <c r="H23" t="inlineStr"/>
    </row>
  </sheetData>
  <autoFilter ref="A1:H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2026-07-23T05:24:49Z</dcterms:created>
  <dcterms:modified xmlns:dcterms="http://purl.org/dc/terms/" xmlns:xsi="http://www.w3.org/2001/XMLSchema-instance" xsi:type="dcterms:W3CDTF">2026-07-25T04:12:02Z</dcterms:modified>
  <cp:lastModifiedBy>Ryan Brown</cp:lastModifiedBy>
</cp:coreProperties>
</file>